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6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5" i="3"/>
  <c r="R5"/>
  <c r="L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9"/>
  <c r="B10" s="1"/>
  <c r="B11" s="1"/>
  <c r="B12" s="1"/>
  <c r="B13" s="1"/>
  <c r="B14" s="1"/>
  <c r="B15" s="1"/>
  <c r="AR5" i="5"/>
  <c r="BG5"/>
  <c r="BF5"/>
  <c r="BE5"/>
  <c r="BD5"/>
  <c r="BC5"/>
  <c r="BB5"/>
  <c r="BA5"/>
  <c r="AZ5"/>
  <c r="AY5"/>
  <c r="AX5"/>
  <c r="AW5"/>
  <c r="AV5"/>
  <c r="AU5"/>
  <c r="AT5"/>
  <c r="AS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W16" i="76" l="1"/>
  <c r="W15"/>
  <c r="W13"/>
  <c r="W14"/>
  <c r="X14"/>
  <c r="Y14"/>
  <c r="AB18"/>
  <c r="AB17"/>
  <c r="AB13"/>
  <c r="AB14"/>
  <c r="AC14"/>
  <c r="AC13"/>
  <c r="AC11"/>
  <c r="AC10"/>
  <c r="AC9"/>
  <c r="AD11"/>
  <c r="AD10"/>
  <c r="AD9"/>
  <c r="AB11"/>
  <c r="AB10"/>
  <c r="AB9"/>
  <c r="AA12"/>
  <c r="AA11"/>
  <c r="AA10"/>
  <c r="AA9"/>
  <c r="Z11"/>
  <c r="Z10"/>
  <c r="Z9"/>
  <c r="Y11"/>
  <c r="Y10"/>
  <c r="Y9"/>
  <c r="W11"/>
  <c r="W10"/>
  <c r="W9"/>
  <c r="V11"/>
  <c r="V10"/>
  <c r="V9"/>
  <c r="O5" i="73"/>
  <c r="N5"/>
  <c r="M5"/>
  <c r="L5"/>
  <c r="K5"/>
  <c r="J5"/>
  <c r="I5"/>
  <c r="H5"/>
  <c r="G5"/>
  <c r="F5"/>
  <c r="E5"/>
  <c r="D5"/>
  <c r="C5"/>
  <c r="B5"/>
  <c r="M5" i="79"/>
  <c r="H5"/>
  <c r="G5"/>
  <c r="F5"/>
  <c r="E5"/>
  <c r="D5"/>
  <c r="C5"/>
  <c r="B5"/>
  <c r="I12" i="77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Q3" s="1"/>
  <c r="O2"/>
  <c r="N2"/>
  <c r="M2"/>
  <c r="L2"/>
  <c r="K2"/>
  <c r="J2"/>
  <c r="I2"/>
  <c r="H2"/>
  <c r="G2"/>
  <c r="F2"/>
  <c r="E2"/>
  <c r="D2"/>
  <c r="K11" i="74" l="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10"/>
  <c r="H12" i="77"/>
  <c r="C19"/>
  <c r="C18"/>
  <c r="C17"/>
  <c r="C16"/>
  <c r="C15"/>
  <c r="C14"/>
  <c r="D18" l="1"/>
  <c r="D17"/>
  <c r="AC19" i="76" l="1"/>
  <c r="AB19"/>
  <c r="AC18"/>
  <c r="AC17"/>
  <c r="AB12"/>
  <c r="V16"/>
  <c r="V15"/>
  <c r="V14"/>
  <c r="V13"/>
  <c r="V12"/>
  <c r="AC15"/>
  <c r="X11"/>
  <c r="X10"/>
  <c r="X9"/>
  <c r="O5" i="79"/>
  <c r="I5"/>
  <c r="B8" i="76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7" i="3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G10" i="5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B7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16" i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7" i="2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J8" i="76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T5" i="3"/>
  <c r="T6" s="1"/>
  <c r="T7" s="1"/>
  <c r="T8" s="1"/>
  <c r="T9" s="1"/>
  <c r="T10" s="1"/>
  <c r="T11" s="1"/>
  <c r="T12" s="1"/>
  <c r="T13" s="1"/>
  <c r="T14" s="1"/>
  <c r="T15" s="1"/>
  <c r="T16" s="1"/>
  <c r="R7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7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K13" i="73"/>
  <c r="AX10" i="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0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10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E10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Z10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0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10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10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10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R7" i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9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6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6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6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6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9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9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C7" i="2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7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Y4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4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4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H8" i="79" l="1"/>
  <c r="M7"/>
  <c r="M6"/>
  <c r="D24" i="3"/>
  <c r="E23"/>
  <c r="T17"/>
  <c r="U16"/>
  <c r="M8" i="79" l="1"/>
  <c r="D25" i="3"/>
  <c r="E24"/>
  <c r="T18"/>
  <c r="U17"/>
  <c r="H10" i="79" l="1"/>
  <c r="M9"/>
  <c r="D26" i="3"/>
  <c r="E25"/>
  <c r="T19"/>
  <c r="U18"/>
  <c r="H11" i="79" l="1"/>
  <c r="M10"/>
  <c r="T20" i="3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19"/>
  <c r="D27"/>
  <c r="D28" s="1"/>
  <c r="D29" s="1"/>
  <c r="D30" s="1"/>
  <c r="D31" s="1"/>
  <c r="D32" s="1"/>
  <c r="D33" s="1"/>
  <c r="E26"/>
  <c r="H12" i="79" l="1"/>
  <c r="M11"/>
  <c r="H13" l="1"/>
  <c r="M12"/>
  <c r="H14" l="1"/>
  <c r="M13"/>
  <c r="H15" l="1"/>
  <c r="M14"/>
  <c r="H16" l="1"/>
  <c r="M15"/>
  <c r="H17" l="1"/>
  <c r="M16"/>
  <c r="H18" l="1"/>
  <c r="M17"/>
  <c r="H19" l="1"/>
  <c r="M18"/>
  <c r="H20" l="1"/>
  <c r="M19"/>
  <c r="H21" l="1"/>
  <c r="M20"/>
  <c r="H22" l="1"/>
  <c r="M21"/>
  <c r="H23" l="1"/>
  <c r="M22"/>
  <c r="H24" l="1"/>
  <c r="M23"/>
  <c r="H25" l="1"/>
  <c r="M24"/>
  <c r="H26" l="1"/>
  <c r="M25"/>
  <c r="H27" l="1"/>
  <c r="M26"/>
  <c r="H28" l="1"/>
  <c r="M27"/>
  <c r="H29" l="1"/>
  <c r="M28"/>
  <c r="H30" l="1"/>
  <c r="M29"/>
  <c r="H31" l="1"/>
  <c r="M30"/>
  <c r="H32" l="1"/>
  <c r="M31"/>
  <c r="H33" l="1"/>
  <c r="M32"/>
  <c r="H34" l="1"/>
  <c r="M33"/>
  <c r="H35" l="1"/>
  <c r="M34"/>
  <c r="H36" l="1"/>
  <c r="M35"/>
  <c r="H37" l="1"/>
  <c r="M36"/>
  <c r="I37" l="1"/>
  <c r="E33" i="2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O30" i="7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J5"/>
  <c r="I13" l="1"/>
  <c r="I14"/>
  <c r="I15"/>
  <c r="I16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A10" i="3"/>
  <c r="A11"/>
  <c r="A12"/>
  <c r="A13"/>
  <c r="I9" i="79"/>
  <c r="I10"/>
  <c r="I8"/>
  <c r="I7"/>
  <c r="I6"/>
  <c r="N5"/>
  <c r="I11" l="1"/>
  <c r="I12"/>
  <c r="Y13" i="76"/>
  <c r="X13"/>
  <c r="A3"/>
  <c r="A5" i="7"/>
  <c r="O33" i="79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1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P30" i="3"/>
  <c r="P31" s="1"/>
  <c r="P32" s="1"/>
  <c r="P33" s="1"/>
  <c r="P29"/>
  <c r="K13" i="5"/>
  <c r="K12"/>
  <c r="K11"/>
  <c r="K10"/>
  <c r="K9"/>
  <c r="K8"/>
  <c r="K7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O34" i="79" l="1"/>
  <c r="O36" l="1"/>
  <c r="O35"/>
  <c r="X16" i="76"/>
  <c r="X15"/>
  <c r="W17"/>
  <c r="Y16"/>
  <c r="Y15"/>
  <c r="Y12"/>
  <c r="AT37" i="5" l="1"/>
  <c r="A2" i="3"/>
  <c r="A5" i="73"/>
  <c r="N7" i="1" l="1"/>
  <c r="C6" i="77"/>
  <c r="B32" i="82"/>
  <c r="B32" i="81"/>
  <c r="AC12" i="76"/>
  <c r="AC16"/>
  <c r="AB15"/>
  <c r="AB16"/>
  <c r="AA17"/>
  <c r="V27"/>
  <c r="V28"/>
  <c r="W12"/>
  <c r="V26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K14" i="5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D12" i="5" l="1"/>
  <c r="E12"/>
  <c r="B26" i="2"/>
  <c r="AZ29" i="7"/>
  <c r="B18" i="2"/>
  <c r="AZ21" i="7"/>
  <c r="B27" i="2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22" i="82" l="1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K15" i="5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5" i="3" l="1"/>
  <c r="AB5" s="1"/>
  <c r="J11" i="65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K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6" i="3" l="1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L25" s="1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K24" i="5"/>
  <c r="H21" i="63"/>
  <c r="F24" i="6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K26" i="5"/>
  <c r="F26" i="65"/>
  <c r="H23" i="63"/>
  <c r="AY6" i="7"/>
  <c r="I28" i="79" l="1"/>
  <c r="K28" i="5"/>
  <c r="L28" s="1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I29" i="79" l="1"/>
  <c r="I30"/>
  <c r="K29" i="5"/>
  <c r="L29" s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L30"/>
  <c r="AS21" i="7" l="1"/>
  <c r="AX21" s="1"/>
  <c r="I31" i="79"/>
  <c r="K31" i="5"/>
  <c r="L3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AB26" i="76" l="1"/>
  <c r="I34" i="79"/>
  <c r="K34" i="5"/>
  <c r="L34" s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H30" i="63"/>
  <c r="AK33" i="5"/>
  <c r="F33" i="65"/>
  <c r="AA33" i="3" l="1"/>
  <c r="V33"/>
  <c r="AB27" i="76"/>
  <c r="I35" i="79"/>
  <c r="K35" i="5"/>
  <c r="L35" s="1"/>
  <c r="AK35" s="1"/>
  <c r="I36" i="79"/>
  <c r="K36" i="5"/>
  <c r="A36" i="7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AK36" i="5"/>
  <c r="F18" i="77" l="1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Q35"/>
  <c r="T34" l="1"/>
  <c r="R35"/>
  <c r="O6" i="79"/>
  <c r="F32" i="81" l="1"/>
  <c r="K6" i="5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<sst xmlns="http://schemas.openxmlformats.org/spreadsheetml/2006/main" count="652" uniqueCount="415">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</sst>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8" xfId="0" applyFont="1" applyBorder="1" applyAlignment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3239808"/>
        <c:axId val="123434112"/>
      </c:lineChart>
      <c:catAx>
        <c:axId val="1232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34112"/>
        <c:crosses val="autoZero"/>
        <c:auto val="1"/>
        <c:lblAlgn val="ctr"/>
        <c:lblOffset val="100"/>
      </c:catAx>
      <c:valAx>
        <c:axId val="123434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479"/>
          <c:w val="0.11899800868449698"/>
          <c:h val="4.49826989619411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454592"/>
        <c:axId val="123456128"/>
      </c:lineChart>
      <c:catAx>
        <c:axId val="1234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56128"/>
        <c:crosses val="autoZero"/>
        <c:auto val="1"/>
        <c:lblAlgn val="ctr"/>
        <c:lblOffset val="100"/>
      </c:catAx>
      <c:valAx>
        <c:axId val="12345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45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033856"/>
        <c:axId val="123043840"/>
      </c:lineChart>
      <c:catAx>
        <c:axId val="12303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43840"/>
        <c:crosses val="autoZero"/>
        <c:auto val="1"/>
        <c:lblAlgn val="ctr"/>
        <c:lblOffset val="100"/>
      </c:catAx>
      <c:valAx>
        <c:axId val="123043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3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241"/>
          <c:y val="0.62975887529632479"/>
          <c:w val="7.9124755870162669E-2"/>
          <c:h val="4.49826989619411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067776"/>
        <c:axId val="82576512"/>
      </c:lineChart>
      <c:catAx>
        <c:axId val="12306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76512"/>
        <c:crosses val="autoZero"/>
        <c:auto val="1"/>
        <c:lblAlgn val="ctr"/>
        <c:lblOffset val="100"/>
      </c:catAx>
      <c:valAx>
        <c:axId val="82576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6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0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600704"/>
        <c:axId val="82602240"/>
      </c:lineChart>
      <c:catAx>
        <c:axId val="8260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2240"/>
        <c:crosses val="autoZero"/>
        <c:auto val="1"/>
        <c:lblAlgn val="ctr"/>
        <c:lblOffset val="100"/>
      </c:catAx>
      <c:valAx>
        <c:axId val="826022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8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220736"/>
        <c:axId val="83226624"/>
      </c:lineChart>
      <c:catAx>
        <c:axId val="8322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26624"/>
        <c:crosses val="autoZero"/>
        <c:auto val="1"/>
        <c:lblAlgn val="ctr"/>
        <c:lblOffset val="100"/>
      </c:catAx>
      <c:valAx>
        <c:axId val="8322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2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800000"/>
        <c:axId val="82809984"/>
      </c:lineChart>
      <c:catAx>
        <c:axId val="8280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09984"/>
        <c:crosses val="autoZero"/>
        <c:auto val="1"/>
        <c:lblAlgn val="ctr"/>
        <c:lblOffset val="100"/>
      </c:catAx>
      <c:valAx>
        <c:axId val="8280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0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833792"/>
        <c:axId val="82835328"/>
      </c:lineChart>
      <c:catAx>
        <c:axId val="8283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35328"/>
        <c:crosses val="autoZero"/>
        <c:auto val="1"/>
        <c:lblAlgn val="ctr"/>
        <c:lblOffset val="100"/>
      </c:catAx>
      <c:valAx>
        <c:axId val="8283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3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929152"/>
        <c:axId val="82930688"/>
      </c:lineChart>
      <c:catAx>
        <c:axId val="829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30688"/>
        <c:crosses val="autoZero"/>
        <c:auto val="1"/>
        <c:lblAlgn val="ctr"/>
        <c:lblOffset val="100"/>
      </c:catAx>
      <c:valAx>
        <c:axId val="82930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835"/>
          <c:w val="0.127240331517711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950784"/>
        <c:axId val="82952576"/>
      </c:lineChart>
      <c:catAx>
        <c:axId val="8295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52576"/>
        <c:crosses val="autoZero"/>
        <c:auto val="1"/>
        <c:lblAlgn val="ctr"/>
        <c:lblOffset val="100"/>
      </c:catAx>
      <c:valAx>
        <c:axId val="8295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5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35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647.29999999998836</c:v>
                </c:pt>
                <c:pt idx="1">
                  <c:v>580</c:v>
                </c:pt>
                <c:pt idx="2">
                  <c:v>567</c:v>
                </c:pt>
                <c:pt idx="3">
                  <c:v>1061.4000000000233</c:v>
                </c:pt>
                <c:pt idx="4">
                  <c:v>276.69999999998254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013632"/>
        <c:axId val="83015168"/>
      </c:lineChart>
      <c:catAx>
        <c:axId val="830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5168"/>
        <c:crosses val="autoZero"/>
        <c:auto val="1"/>
        <c:lblAlgn val="ctr"/>
        <c:lblOffset val="100"/>
      </c:catAx>
      <c:valAx>
        <c:axId val="8301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835"/>
          <c:w val="0.135416885389336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240.1</c:v>
                </c:pt>
                <c:pt idx="1">
                  <c:v>60</c:v>
                </c:pt>
                <c:pt idx="2">
                  <c:v>90</c:v>
                </c:pt>
                <c:pt idx="3">
                  <c:v>210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231872"/>
        <c:axId val="83233408"/>
      </c:lineChart>
      <c:catAx>
        <c:axId val="8323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33408"/>
        <c:crosses val="autoZero"/>
        <c:auto val="1"/>
        <c:lblAlgn val="ctr"/>
        <c:lblOffset val="100"/>
      </c:catAx>
      <c:valAx>
        <c:axId val="83233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3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8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14138</c:v>
                </c:pt>
                <c:pt idx="1">
                  <c:v>10658</c:v>
                </c:pt>
                <c:pt idx="2">
                  <c:v>12173</c:v>
                </c:pt>
                <c:pt idx="3">
                  <c:v>11827.600000000093</c:v>
                </c:pt>
                <c:pt idx="4">
                  <c:v>12688.799999999814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278464"/>
        <c:axId val="83284352"/>
      </c:lineChart>
      <c:catAx>
        <c:axId val="8327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84352"/>
        <c:crosses val="autoZero"/>
        <c:auto val="1"/>
        <c:lblAlgn val="ctr"/>
        <c:lblOffset val="100"/>
      </c:catAx>
      <c:valAx>
        <c:axId val="83284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7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479"/>
          <c:w val="0.12291688538932598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382272"/>
        <c:axId val="83383808"/>
      </c:lineChart>
      <c:catAx>
        <c:axId val="8338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83808"/>
        <c:crosses val="autoZero"/>
        <c:auto val="1"/>
        <c:lblAlgn val="ctr"/>
        <c:lblOffset val="100"/>
      </c:catAx>
      <c:valAx>
        <c:axId val="83383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8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835"/>
          <c:w val="0.1354168853893364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5.0200000000004366</c:v>
                </c:pt>
                <c:pt idx="1">
                  <c:v>1.9799999999995634</c:v>
                </c:pt>
                <c:pt idx="2">
                  <c:v>3.4500000000007276</c:v>
                </c:pt>
                <c:pt idx="3">
                  <c:v>4.0299999999988358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416192"/>
        <c:axId val="83417728"/>
      </c:lineChart>
      <c:catAx>
        <c:axId val="8341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7728"/>
        <c:crosses val="autoZero"/>
        <c:auto val="1"/>
        <c:lblAlgn val="ctr"/>
        <c:lblOffset val="100"/>
      </c:catAx>
      <c:valAx>
        <c:axId val="83417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777"/>
          <c:y val="0.54325368498487869"/>
          <c:w val="0.11458355205599259"/>
          <c:h val="4.49826989619406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-1346.8129032258089</c:v>
                </c:pt>
                <c:pt idx="1">
                  <c:v>-1491.3870967742114</c:v>
                </c:pt>
                <c:pt idx="2">
                  <c:v>-1268.7096774193487</c:v>
                </c:pt>
                <c:pt idx="3">
                  <c:v>-2019.7387096774182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323136"/>
        <c:axId val="83324928"/>
      </c:lineChart>
      <c:catAx>
        <c:axId val="8332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4928"/>
        <c:crosses val="autoZero"/>
        <c:auto val="1"/>
        <c:lblAlgn val="ctr"/>
        <c:lblOffset val="100"/>
      </c:catAx>
      <c:valAx>
        <c:axId val="83324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59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492864"/>
        <c:axId val="83494400"/>
      </c:lineChart>
      <c:catAx>
        <c:axId val="8349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94400"/>
        <c:crosses val="autoZero"/>
        <c:auto val="1"/>
        <c:lblAlgn val="ctr"/>
        <c:lblOffset val="100"/>
      </c:catAx>
      <c:valAx>
        <c:axId val="8349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9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068"/>
          <c:y val="0.62975887529632479"/>
          <c:w val="0.13541688538933688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0.1522</c:v>
                </c:pt>
                <c:pt idx="1">
                  <c:v>0.113</c:v>
                </c:pt>
                <c:pt idx="2">
                  <c:v>0.1217</c:v>
                </c:pt>
                <c:pt idx="3">
                  <c:v>0.12609999999999999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526784"/>
        <c:axId val="83528320"/>
      </c:lineChart>
      <c:catAx>
        <c:axId val="8352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28320"/>
        <c:crosses val="autoZero"/>
        <c:auto val="1"/>
        <c:lblAlgn val="ctr"/>
        <c:lblOffset val="100"/>
      </c:catAx>
      <c:valAx>
        <c:axId val="835283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2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479"/>
          <c:w val="9.730870597697025E-2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50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35.006</c:v>
                </c:pt>
                <c:pt idx="1">
                  <c:v>25.990000000000002</c:v>
                </c:pt>
                <c:pt idx="2">
                  <c:v>27.991</c:v>
                </c:pt>
                <c:pt idx="3">
                  <c:v>29.002999999999997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638528"/>
        <c:axId val="83640320"/>
      </c:lineChart>
      <c:catAx>
        <c:axId val="8363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0320"/>
        <c:crosses val="autoZero"/>
        <c:auto val="1"/>
        <c:lblAlgn val="ctr"/>
        <c:lblOffset val="100"/>
      </c:catAx>
      <c:valAx>
        <c:axId val="83640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3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24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647872"/>
        <c:axId val="83661952"/>
      </c:lineChart>
      <c:catAx>
        <c:axId val="8364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61952"/>
        <c:crosses val="autoZero"/>
        <c:auto val="1"/>
        <c:lblAlgn val="ctr"/>
        <c:lblOffset val="100"/>
      </c:catAx>
      <c:valAx>
        <c:axId val="8366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103"/>
          <c:y val="0.62975887529632479"/>
          <c:w val="0.13250539334757044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454</c:v>
                </c:pt>
                <c:pt idx="2">
                  <c:v>0</c:v>
                </c:pt>
                <c:pt idx="3">
                  <c:v>341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559168"/>
        <c:axId val="83560704"/>
      </c:lineChart>
      <c:catAx>
        <c:axId val="835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0704"/>
        <c:crosses val="autoZero"/>
        <c:auto val="1"/>
        <c:lblAlgn val="ctr"/>
        <c:lblOffset val="100"/>
      </c:catAx>
      <c:valAx>
        <c:axId val="8356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8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593088"/>
        <c:axId val="83594624"/>
      </c:lineChart>
      <c:catAx>
        <c:axId val="8359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94624"/>
        <c:crosses val="autoZero"/>
        <c:auto val="1"/>
        <c:lblAlgn val="ctr"/>
        <c:lblOffset val="100"/>
      </c:catAx>
      <c:valAx>
        <c:axId val="8359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074"/>
          <c:w val="0.1234311819809195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3775488"/>
        <c:axId val="83777024"/>
      </c:lineChart>
      <c:catAx>
        <c:axId val="837754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7024"/>
        <c:crosses val="autoZero"/>
        <c:auto val="1"/>
        <c:lblAlgn val="ctr"/>
        <c:lblOffset val="100"/>
      </c:catAx>
      <c:valAx>
        <c:axId val="837770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131"/>
          <c:y val="0.45486256926219565"/>
          <c:w val="0.1569039853282029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170.25</c:v>
                </c:pt>
                <c:pt idx="1">
                  <c:v>195.66666666666666</c:v>
                </c:pt>
                <c:pt idx="2">
                  <c:v>197</c:v>
                </c:pt>
                <c:pt idx="3">
                  <c:v>200.5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800832"/>
        <c:axId val="83802368"/>
      </c:lineChart>
      <c:catAx>
        <c:axId val="8380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2368"/>
        <c:crosses val="autoZero"/>
        <c:auto val="1"/>
        <c:lblAlgn val="ctr"/>
        <c:lblOffset val="100"/>
      </c:catAx>
      <c:valAx>
        <c:axId val="83802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479"/>
          <c:w val="0.14853578449138347"/>
          <c:h val="4.4982698961941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15.5</c:v>
                </c:pt>
                <c:pt idx="3">
                  <c:v>15.5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1873152"/>
        <c:axId val="81887232"/>
      </c:lineChart>
      <c:catAx>
        <c:axId val="8187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87232"/>
        <c:crosses val="autoZero"/>
        <c:auto val="1"/>
        <c:lblAlgn val="ctr"/>
        <c:lblOffset val="100"/>
      </c:catAx>
      <c:valAx>
        <c:axId val="8188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7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804"/>
          <c:y val="0.62975887529632479"/>
          <c:w val="0.12164948453608219"/>
          <c:h val="4.49826989619414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79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5.0200000000004366</c:v>
                </c:pt>
                <c:pt idx="1">
                  <c:v>1.9799999999995634</c:v>
                </c:pt>
                <c:pt idx="2">
                  <c:v>3.4500000000007276</c:v>
                </c:pt>
                <c:pt idx="3">
                  <c:v>4.0299999999988358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4177280"/>
        <c:axId val="84178816"/>
      </c:lineChart>
      <c:catAx>
        <c:axId val="8417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78816"/>
        <c:crosses val="autoZero"/>
        <c:auto val="1"/>
        <c:lblAlgn val="ctr"/>
        <c:lblOffset val="100"/>
      </c:catAx>
      <c:valAx>
        <c:axId val="84178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7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5344</c:v>
                </c:pt>
                <c:pt idx="1">
                  <c:v>4370</c:v>
                </c:pt>
                <c:pt idx="2">
                  <c:v>4928</c:v>
                </c:pt>
                <c:pt idx="3">
                  <c:v>5160</c:v>
                </c:pt>
                <c:pt idx="4">
                  <c:v>5331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4465152"/>
        <c:axId val="84466688"/>
      </c:lineChart>
      <c:catAx>
        <c:axId val="844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66688"/>
        <c:crosses val="autoZero"/>
        <c:auto val="1"/>
        <c:lblAlgn val="ctr"/>
        <c:lblOffset val="100"/>
      </c:catAx>
      <c:valAx>
        <c:axId val="844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91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4320256"/>
        <c:axId val="84321792"/>
      </c:lineChart>
      <c:catAx>
        <c:axId val="84320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21792"/>
        <c:crosses val="autoZero"/>
        <c:auto val="1"/>
        <c:lblAlgn val="ctr"/>
        <c:lblOffset val="100"/>
      </c:catAx>
      <c:valAx>
        <c:axId val="84321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2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56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>
        <row r="31">
          <cell r="D31">
            <v>31482720</v>
          </cell>
          <cell r="E31">
            <v>3634</v>
          </cell>
          <cell r="F31">
            <v>3556171</v>
          </cell>
          <cell r="G31">
            <v>2226</v>
          </cell>
          <cell r="H31">
            <v>17345006</v>
          </cell>
          <cell r="I31">
            <v>2064</v>
          </cell>
          <cell r="J31">
            <v>28330034</v>
          </cell>
          <cell r="K31">
            <v>2096</v>
          </cell>
          <cell r="L31">
            <v>22752598</v>
          </cell>
          <cell r="M31">
            <v>4118</v>
          </cell>
          <cell r="N31">
            <v>14138</v>
          </cell>
          <cell r="O31">
            <v>336.63507786085046</v>
          </cell>
          <cell r="P31">
            <v>15376.9</v>
          </cell>
          <cell r="Q31">
            <v>4899.9999999996362</v>
          </cell>
          <cell r="R31">
            <v>9238.0000000003638</v>
          </cell>
          <cell r="S31">
            <v>8384</v>
          </cell>
          <cell r="T31">
            <v>0</v>
          </cell>
          <cell r="U31">
            <v>1024343</v>
          </cell>
          <cell r="V31">
            <v>0</v>
          </cell>
          <cell r="W31">
            <v>31845</v>
          </cell>
          <cell r="X31">
            <v>0</v>
          </cell>
          <cell r="Y31">
            <v>624440</v>
          </cell>
          <cell r="Z31">
            <v>0</v>
          </cell>
          <cell r="AA31">
            <v>34967</v>
          </cell>
          <cell r="AB31">
            <v>6</v>
          </cell>
          <cell r="AC31">
            <v>756979</v>
          </cell>
          <cell r="AD31">
            <v>932</v>
          </cell>
          <cell r="AE31">
            <v>6</v>
          </cell>
          <cell r="AF31">
            <v>932</v>
          </cell>
          <cell r="AG31">
            <v>155.33333333333334</v>
          </cell>
          <cell r="AI31">
            <v>-49556526</v>
          </cell>
        </row>
      </sheetData>
      <sheetData sheetId="3">
        <row r="33">
          <cell r="B33">
            <v>233.3</v>
          </cell>
          <cell r="C33">
            <v>239.1</v>
          </cell>
          <cell r="D33">
            <v>8.9000000000000057</v>
          </cell>
          <cell r="E33">
            <v>74.58200000000005</v>
          </cell>
          <cell r="F33">
            <v>1448</v>
          </cell>
          <cell r="G33">
            <v>1</v>
          </cell>
          <cell r="H33">
            <v>342051</v>
          </cell>
          <cell r="I33">
            <v>93</v>
          </cell>
          <cell r="J33">
            <v>93</v>
          </cell>
          <cell r="K33">
            <v>1836</v>
          </cell>
          <cell r="L33">
            <v>5</v>
          </cell>
          <cell r="M33">
            <v>134157</v>
          </cell>
          <cell r="N33">
            <v>330</v>
          </cell>
          <cell r="O33">
            <v>389.57539682539681</v>
          </cell>
          <cell r="P33">
            <v>1676</v>
          </cell>
          <cell r="Q33">
            <v>143307</v>
          </cell>
          <cell r="R33">
            <v>216</v>
          </cell>
          <cell r="S33">
            <v>3</v>
          </cell>
          <cell r="T33">
            <v>0</v>
          </cell>
          <cell r="U33">
            <v>9</v>
          </cell>
          <cell r="V33">
            <v>639</v>
          </cell>
          <cell r="X33">
            <v>2392</v>
          </cell>
          <cell r="Y33">
            <v>1</v>
          </cell>
          <cell r="Z33">
            <v>134406.79999999999</v>
          </cell>
          <cell r="AA33">
            <v>8.2999999999883585</v>
          </cell>
          <cell r="AB33">
            <v>0</v>
          </cell>
          <cell r="AC33">
            <v>1801</v>
          </cell>
          <cell r="AD33">
            <v>0</v>
          </cell>
          <cell r="AE33">
            <v>357717.5</v>
          </cell>
          <cell r="AF33">
            <v>0</v>
          </cell>
          <cell r="AG33">
            <v>0</v>
          </cell>
          <cell r="AH33">
            <v>8.2999999999883585</v>
          </cell>
          <cell r="AI33">
            <v>647.29999999998836</v>
          </cell>
          <cell r="AJ33">
            <v>647.29999999998836</v>
          </cell>
          <cell r="AK33">
            <v>0</v>
          </cell>
          <cell r="AL33">
            <v>9</v>
          </cell>
          <cell r="AM33">
            <v>1</v>
          </cell>
          <cell r="AN33">
            <v>77</v>
          </cell>
          <cell r="AO33">
            <v>2310</v>
          </cell>
          <cell r="AP33">
            <v>77</v>
          </cell>
          <cell r="AQ33">
            <v>2310</v>
          </cell>
          <cell r="AR33">
            <v>80</v>
          </cell>
          <cell r="AS33">
            <v>2400</v>
          </cell>
          <cell r="AT33">
            <v>7020</v>
          </cell>
          <cell r="AU33">
            <v>150</v>
          </cell>
          <cell r="AX33">
            <v>0.7</v>
          </cell>
        </row>
      </sheetData>
      <sheetData sheetId="4">
        <row r="34">
          <cell r="B34">
            <v>108473</v>
          </cell>
          <cell r="C34">
            <v>0</v>
          </cell>
          <cell r="D34">
            <v>0</v>
          </cell>
          <cell r="E34">
            <v>258.62068965517244</v>
          </cell>
          <cell r="G34">
            <v>592253</v>
          </cell>
          <cell r="H34">
            <v>160</v>
          </cell>
          <cell r="I34">
            <v>160</v>
          </cell>
          <cell r="J34">
            <v>1.6163793103448278</v>
          </cell>
          <cell r="K34">
            <v>5921</v>
          </cell>
          <cell r="L34">
            <v>2</v>
          </cell>
          <cell r="M34">
            <v>457.44</v>
          </cell>
          <cell r="N34">
            <v>0</v>
          </cell>
          <cell r="O34">
            <v>529.52</v>
          </cell>
          <cell r="P34">
            <v>0</v>
          </cell>
          <cell r="Q34">
            <v>0</v>
          </cell>
          <cell r="T34">
            <v>4664</v>
          </cell>
          <cell r="U34">
            <v>5</v>
          </cell>
          <cell r="V34">
            <v>392</v>
          </cell>
          <cell r="W34">
            <v>1</v>
          </cell>
          <cell r="X34">
            <v>141345</v>
          </cell>
          <cell r="Y34">
            <v>129</v>
          </cell>
          <cell r="Z34">
            <v>93009</v>
          </cell>
          <cell r="AA34">
            <v>56</v>
          </cell>
          <cell r="AB34">
            <v>261</v>
          </cell>
          <cell r="AC34">
            <v>671</v>
          </cell>
          <cell r="AD34">
            <v>0</v>
          </cell>
          <cell r="AE34">
            <v>124.74</v>
          </cell>
          <cell r="AF34">
            <v>3.1400000000000006</v>
          </cell>
          <cell r="AG34">
            <v>1443.46</v>
          </cell>
          <cell r="AH34">
            <v>0.30999999999994543</v>
          </cell>
          <cell r="AI34">
            <v>3.449999999999946</v>
          </cell>
          <cell r="AJ34">
            <v>56</v>
          </cell>
          <cell r="AK34">
            <v>127</v>
          </cell>
          <cell r="AL34">
            <v>55</v>
          </cell>
          <cell r="AM34">
            <v>15.5</v>
          </cell>
          <cell r="AN34">
            <v>150</v>
          </cell>
          <cell r="AP34">
            <v>518</v>
          </cell>
          <cell r="AS34">
            <v>0.9</v>
          </cell>
          <cell r="AT34">
            <v>93</v>
          </cell>
          <cell r="AU34">
            <v>1.1000000000000001</v>
          </cell>
          <cell r="AV34">
            <v>95</v>
          </cell>
          <cell r="AW34">
            <v>2.9</v>
          </cell>
          <cell r="AX34">
            <v>68</v>
          </cell>
          <cell r="AY34">
            <v>83.7</v>
          </cell>
          <cell r="AZ34">
            <v>104.50000000000001</v>
          </cell>
          <cell r="BA34">
            <v>197.2</v>
          </cell>
          <cell r="BB34">
            <v>26.1</v>
          </cell>
          <cell r="BC34">
            <v>-6.5999999999999943</v>
          </cell>
          <cell r="BD34">
            <v>49.299999999999983</v>
          </cell>
          <cell r="BE34">
            <v>68.799999999999983</v>
          </cell>
          <cell r="BF34">
            <v>91.200000000000017</v>
          </cell>
          <cell r="BG34">
            <v>68.799999999999983</v>
          </cell>
        </row>
      </sheetData>
      <sheetData sheetId="5" refreshError="1"/>
      <sheetData sheetId="6">
        <row r="34">
          <cell r="B34">
            <v>18</v>
          </cell>
          <cell r="C34">
            <v>13</v>
          </cell>
          <cell r="D34">
            <v>15.5</v>
          </cell>
          <cell r="E34">
            <v>0.65</v>
          </cell>
          <cell r="F34">
            <v>0.18260000000000001</v>
          </cell>
          <cell r="G34">
            <v>41.998000000000005</v>
          </cell>
          <cell r="H34">
            <v>150</v>
          </cell>
          <cell r="J34">
            <v>518</v>
          </cell>
          <cell r="K34">
            <v>668</v>
          </cell>
        </row>
      </sheetData>
      <sheetData sheetId="7">
        <row r="34">
          <cell r="B34">
            <v>233.3</v>
          </cell>
          <cell r="C34">
            <v>5019.7129032258063</v>
          </cell>
          <cell r="D34">
            <v>233.3</v>
          </cell>
          <cell r="E34">
            <v>5019.7129032258063</v>
          </cell>
          <cell r="F34">
            <v>233.3</v>
          </cell>
          <cell r="G34">
            <v>5019.7129032258063</v>
          </cell>
          <cell r="H34">
            <v>233.3</v>
          </cell>
          <cell r="I34">
            <v>5019.7129032258063</v>
          </cell>
          <cell r="J34">
            <v>233.3</v>
          </cell>
          <cell r="K34">
            <v>5019.7129032258063</v>
          </cell>
          <cell r="L34">
            <v>233.3</v>
          </cell>
          <cell r="M34">
            <v>5019.7129032258063</v>
          </cell>
          <cell r="N34">
            <v>233.3</v>
          </cell>
          <cell r="O34">
            <v>5019.7129032258063</v>
          </cell>
          <cell r="P34">
            <v>233.3</v>
          </cell>
          <cell r="Q34">
            <v>5019.7129032258063</v>
          </cell>
          <cell r="R34">
            <v>233.3</v>
          </cell>
          <cell r="S34">
            <v>5019.7129032258063</v>
          </cell>
          <cell r="T34">
            <v>233.3</v>
          </cell>
          <cell r="U34">
            <v>5019.7129032258063</v>
          </cell>
          <cell r="V34">
            <v>233.3</v>
          </cell>
          <cell r="W34">
            <v>5019.7129032258063</v>
          </cell>
          <cell r="X34">
            <v>0.75258064516129042</v>
          </cell>
          <cell r="Y34">
            <v>55216.841935483877</v>
          </cell>
          <cell r="Z34">
            <v>239.1</v>
          </cell>
          <cell r="AA34">
            <v>2391</v>
          </cell>
          <cell r="AB34">
            <v>239.1</v>
          </cell>
          <cell r="AC34">
            <v>2391</v>
          </cell>
          <cell r="AD34">
            <v>239.1</v>
          </cell>
          <cell r="AE34">
            <v>2391</v>
          </cell>
          <cell r="AF34">
            <v>239.1</v>
          </cell>
          <cell r="AG34">
            <v>2391</v>
          </cell>
          <cell r="AH34">
            <v>239.1</v>
          </cell>
          <cell r="AI34">
            <v>2391</v>
          </cell>
          <cell r="AJ34">
            <v>239.1</v>
          </cell>
          <cell r="AK34">
            <v>2391</v>
          </cell>
          <cell r="AL34">
            <v>239.1</v>
          </cell>
          <cell r="AM34">
            <v>2391</v>
          </cell>
          <cell r="AN34">
            <v>0.85392857142857148</v>
          </cell>
          <cell r="AO34">
            <v>16737</v>
          </cell>
          <cell r="AQ34">
            <v>0.77394688539834233</v>
          </cell>
          <cell r="AR34">
            <v>71953.841935483884</v>
          </cell>
          <cell r="AS34">
            <v>-2682.0935483870853</v>
          </cell>
          <cell r="AV34">
            <v>0.49349999999999999</v>
          </cell>
          <cell r="AW34">
            <v>-647.29999999998836</v>
          </cell>
          <cell r="AX34">
            <v>-2034.793548387097</v>
          </cell>
          <cell r="AY34">
            <v>-2682.0935483870853</v>
          </cell>
          <cell r="AZ34">
            <v>0.18260000000000001</v>
          </cell>
          <cell r="BA34">
            <v>15.5</v>
          </cell>
          <cell r="BB34">
            <v>0.65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  <cell r="C31">
            <v>6</v>
          </cell>
          <cell r="D31">
            <v>129830.6</v>
          </cell>
          <cell r="E31">
            <v>1004.7000000000116</v>
          </cell>
          <cell r="F31">
            <v>167.45000000000195</v>
          </cell>
          <cell r="H31">
            <v>8497</v>
          </cell>
          <cell r="I31" t="str">
            <v>oil change</v>
          </cell>
          <cell r="J31">
            <v>10689</v>
          </cell>
          <cell r="K31">
            <v>0</v>
          </cell>
          <cell r="L31">
            <v>237069.5</v>
          </cell>
          <cell r="M31">
            <v>0</v>
          </cell>
          <cell r="N31">
            <v>0</v>
          </cell>
          <cell r="P31">
            <v>10873</v>
          </cell>
          <cell r="Q31" t="str">
            <v>ok</v>
          </cell>
          <cell r="R31">
            <v>10992</v>
          </cell>
          <cell r="S31">
            <v>0</v>
          </cell>
          <cell r="T31">
            <v>201286.1</v>
          </cell>
          <cell r="U31">
            <v>0.10000000000582077</v>
          </cell>
          <cell r="V31">
            <v>0</v>
          </cell>
          <cell r="X31">
            <v>11349</v>
          </cell>
          <cell r="Y31" t="str">
            <v>ok</v>
          </cell>
          <cell r="Z31">
            <v>6</v>
          </cell>
          <cell r="AA31">
            <v>1004.8000000000175</v>
          </cell>
          <cell r="AB31">
            <v>167.45000000000195</v>
          </cell>
          <cell r="AC31">
            <v>167.46666666666957</v>
          </cell>
          <cell r="AD31">
            <v>4899.9999999996362</v>
          </cell>
          <cell r="AE31">
            <v>816.66666666660603</v>
          </cell>
          <cell r="AF31">
            <v>0.51041666666662877</v>
          </cell>
          <cell r="AG31">
            <v>163.33333333332121</v>
          </cell>
          <cell r="AH31">
            <v>4.1333333333483608</v>
          </cell>
          <cell r="AI31">
            <v>1261.1814345990626</v>
          </cell>
          <cell r="AJ31">
            <v>0.25738396624472576</v>
          </cell>
          <cell r="AK31">
            <v>210.19690576651044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17141733</v>
          </cell>
          <cell r="W26">
            <v>17197272</v>
          </cell>
          <cell r="Y26">
            <v>80</v>
          </cell>
          <cell r="Z26">
            <v>1</v>
          </cell>
          <cell r="AA26">
            <v>55539</v>
          </cell>
          <cell r="AB26">
            <v>4443120</v>
          </cell>
          <cell r="AC26">
            <v>1033333</v>
          </cell>
          <cell r="AD26">
            <v>0.35885325131810192</v>
          </cell>
        </row>
        <row r="27">
          <cell r="V27">
            <v>24340859</v>
          </cell>
          <cell r="W27">
            <v>24415638</v>
          </cell>
          <cell r="Y27">
            <v>112</v>
          </cell>
          <cell r="Z27">
            <v>1</v>
          </cell>
          <cell r="AA27">
            <v>74779</v>
          </cell>
          <cell r="AB27">
            <v>8375248</v>
          </cell>
          <cell r="AC27">
            <v>6200000</v>
          </cell>
          <cell r="AD27">
            <v>0.48316835521554841</v>
          </cell>
        </row>
        <row r="28">
          <cell r="V28">
            <v>7944681</v>
          </cell>
          <cell r="W28">
            <v>7969132</v>
          </cell>
          <cell r="Y28">
            <v>320</v>
          </cell>
          <cell r="Z28">
            <v>1</v>
          </cell>
          <cell r="AA28">
            <v>24451</v>
          </cell>
          <cell r="AB28">
            <v>7824320</v>
          </cell>
          <cell r="AC28">
            <v>1000</v>
          </cell>
          <cell r="AD28">
            <v>0.157984854750336</v>
          </cell>
        </row>
        <row r="29">
          <cell r="AA29">
            <v>154769</v>
          </cell>
        </row>
        <row r="30">
          <cell r="W30">
            <v>0.20819655172413792</v>
          </cell>
          <cell r="AB30">
            <v>20642688</v>
          </cell>
          <cell r="AC30">
            <v>7234333</v>
          </cell>
        </row>
        <row r="31">
          <cell r="W31">
            <v>115.42000000000007</v>
          </cell>
          <cell r="X31">
            <v>3.9800000000000026</v>
          </cell>
          <cell r="Y31">
            <v>1.9900000000000013</v>
          </cell>
          <cell r="AB31">
            <v>27877021</v>
          </cell>
          <cell r="AC31">
            <v>7234333</v>
          </cell>
        </row>
        <row r="32">
          <cell r="B32">
            <v>49582042</v>
          </cell>
          <cell r="C32">
            <v>5344</v>
          </cell>
          <cell r="D32">
            <v>5342</v>
          </cell>
          <cell r="E32">
            <v>49582040</v>
          </cell>
          <cell r="F32">
            <v>7969132</v>
          </cell>
          <cell r="G32">
            <v>830</v>
          </cell>
          <cell r="H32">
            <v>24415638</v>
          </cell>
          <cell r="I32">
            <v>2199</v>
          </cell>
          <cell r="J32">
            <v>17197272</v>
          </cell>
          <cell r="K32">
            <v>2313</v>
          </cell>
          <cell r="L32">
            <v>176.18573797678275</v>
          </cell>
          <cell r="M32">
            <v>163.37512437810946</v>
          </cell>
          <cell r="N32">
            <v>122.74626865671642</v>
          </cell>
          <cell r="O32">
            <v>165.47911019614571</v>
          </cell>
          <cell r="P32">
            <v>627.7862412077543</v>
          </cell>
          <cell r="Q32">
            <v>1051.3100000000002</v>
          </cell>
          <cell r="R32">
            <v>1679.0962412077545</v>
          </cell>
          <cell r="S32">
            <v>14138</v>
          </cell>
          <cell r="T32">
            <v>0.1187647645499897</v>
          </cell>
          <cell r="W32">
            <v>-549.00000000000011</v>
          </cell>
        </row>
        <row r="33">
          <cell r="W33">
            <v>2.2999999999999972</v>
          </cell>
        </row>
        <row r="34">
          <cell r="AB34">
            <v>30943493.309999999</v>
          </cell>
        </row>
        <row r="35">
          <cell r="AB35">
            <v>18492.219568822555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 refreshError="1"/>
      <sheetData sheetId="15" refreshError="1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  <cell r="H34">
            <v>5921</v>
          </cell>
          <cell r="M34">
            <v>5921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C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  <row r="30">
          <cell r="Y30" t="str">
            <v>Per G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>
        <row r="5">
          <cell r="B5">
            <v>69891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290340</v>
          </cell>
        </row>
      </sheetData>
      <sheetData sheetId="13"/>
      <sheetData sheetId="14"/>
      <sheetData sheetId="15">
        <row r="8">
          <cell r="C8">
            <v>66432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15.46774193548387</v>
          </cell>
        </row>
        <row r="17">
          <cell r="C17">
            <v>0.65261290322580645</v>
          </cell>
        </row>
        <row r="18">
          <cell r="C18">
            <v>120</v>
          </cell>
        </row>
        <row r="19">
          <cell r="C19">
            <v>3.870967741935484</v>
          </cell>
        </row>
      </sheetData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D60">
            <v>142.66666666666666</v>
          </cell>
        </row>
        <row r="62">
          <cell r="D62">
            <v>0.315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1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8" t="s">
        <v>404</v>
      </c>
      <c r="N1" s="529" t="s">
        <v>405</v>
      </c>
      <c r="O1" s="281" t="s">
        <v>347</v>
      </c>
    </row>
    <row r="2" spans="1:15">
      <c r="A2" t="s">
        <v>348</v>
      </c>
      <c r="B2">
        <v>1</v>
      </c>
      <c r="C2">
        <v>3</v>
      </c>
      <c r="D2">
        <v>2020</v>
      </c>
      <c r="E2" s="207">
        <f>ELEC!N3</f>
        <v>10658</v>
      </c>
      <c r="F2" s="346">
        <f>SUM('EDl log'!T4)</f>
        <v>4.8038828375572121E-2</v>
      </c>
      <c r="G2" s="207">
        <f>-tanks!AW6</f>
        <v>580</v>
      </c>
      <c r="H2" s="346">
        <f>SUM(tanks!AV6)</f>
        <v>0.1</v>
      </c>
      <c r="I2" s="10">
        <f>('B5'!AU5)*0.51</f>
        <v>122.45099999999999</v>
      </c>
      <c r="J2" s="325">
        <f>'B5'!AX5/0.51</f>
        <v>0.19607843137254902</v>
      </c>
      <c r="K2" s="207">
        <f>WATER!I6</f>
        <v>0</v>
      </c>
      <c r="L2" s="347">
        <f>SUM(WATER!J6)</f>
        <v>0</v>
      </c>
      <c r="M2" s="347">
        <f>WATER!Q6</f>
        <v>0</v>
      </c>
      <c r="N2" s="530">
        <v>0.6</v>
      </c>
      <c r="O2" s="10">
        <f>ELEC!B3</f>
        <v>35.006</v>
      </c>
    </row>
    <row r="3" spans="1:15">
      <c r="A3" t="s">
        <v>348</v>
      </c>
      <c r="B3">
        <f>B2+1</f>
        <v>2</v>
      </c>
      <c r="C3">
        <v>3</v>
      </c>
      <c r="D3">
        <v>2020</v>
      </c>
      <c r="E3" s="207">
        <f>ELEC!N4</f>
        <v>12173</v>
      </c>
      <c r="F3" s="346">
        <f>SUM('EDl log'!T5)</f>
        <v>4.8140416930866049E-2</v>
      </c>
      <c r="G3" s="207">
        <f>-tanks!AW7</f>
        <v>567</v>
      </c>
      <c r="H3" s="346">
        <f>SUM(tanks!AV7)</f>
        <v>0.1</v>
      </c>
      <c r="I3" s="10">
        <f>('B5'!AU6)*0.51</f>
        <v>30.6</v>
      </c>
      <c r="J3" s="325">
        <f>'B5'!AX6/0.51</f>
        <v>0.19607843137254902</v>
      </c>
      <c r="K3" s="207">
        <f>WATER!I7</f>
        <v>454</v>
      </c>
      <c r="L3" s="347">
        <f>SUM(WATER!J7)</f>
        <v>0.53289754156600821</v>
      </c>
      <c r="M3" s="347">
        <f>WATER!Q7</f>
        <v>0</v>
      </c>
      <c r="N3" s="530">
        <v>0.6</v>
      </c>
      <c r="O3" s="10">
        <f>ELEC!B4</f>
        <v>25.990000000000002</v>
      </c>
    </row>
    <row r="4" spans="1:15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ELEC!N5</f>
        <v>11827.600000000093</v>
      </c>
      <c r="F4" s="346">
        <f>SUM('EDl log'!T6)</f>
        <v>4.4792755405009023E-2</v>
      </c>
      <c r="G4" s="207">
        <f>-tanks!AW8</f>
        <v>1061.4000000000233</v>
      </c>
      <c r="H4" s="346">
        <f>SUM(tanks!AV8)</f>
        <v>0.1</v>
      </c>
      <c r="I4" s="10">
        <f>('B5'!AU7)*0.51</f>
        <v>45.9</v>
      </c>
      <c r="J4" s="325">
        <f>'B5'!AX7/0.51</f>
        <v>0.19607843137254902</v>
      </c>
      <c r="K4" s="207">
        <f>WATER!I8</f>
        <v>0</v>
      </c>
      <c r="L4" s="347">
        <f>SUM(WATER!J8)</f>
        <v>0</v>
      </c>
      <c r="M4" s="347">
        <f>WATER!Q8</f>
        <v>0</v>
      </c>
      <c r="N4" s="530">
        <v>0.6</v>
      </c>
      <c r="O4" s="10">
        <f>ELEC!B5</f>
        <v>27.991</v>
      </c>
    </row>
    <row r="5" spans="1:15">
      <c r="A5" t="s">
        <v>348</v>
      </c>
      <c r="B5">
        <f t="shared" si="0"/>
        <v>4</v>
      </c>
      <c r="C5">
        <v>3</v>
      </c>
      <c r="D5">
        <v>2020</v>
      </c>
      <c r="E5" s="207">
        <f>ELEC!N6</f>
        <v>12688.799999999814</v>
      </c>
      <c r="F5" s="346">
        <f>SUM('EDl log'!T7)</f>
        <v>5.0220430396881247E-2</v>
      </c>
      <c r="G5" s="207">
        <f>-tanks!AW9</f>
        <v>276.69999999998254</v>
      </c>
      <c r="H5" s="346">
        <f>SUM(tanks!AV9)</f>
        <v>0.1</v>
      </c>
      <c r="I5" s="10">
        <f>('B5'!AU8)*0.51</f>
        <v>107.10000000000001</v>
      </c>
      <c r="J5" s="325">
        <f>'B5'!AX8/0.51</f>
        <v>0.19607843137254902</v>
      </c>
      <c r="K5" s="207">
        <f>WATER!I9</f>
        <v>341</v>
      </c>
      <c r="L5" s="347">
        <f>SUM(WATER!J9)</f>
        <v>0.70948822249550658</v>
      </c>
      <c r="M5" s="347">
        <f>WATER!Q9</f>
        <v>0</v>
      </c>
      <c r="N5" s="530">
        <v>0.6</v>
      </c>
      <c r="O5" s="10">
        <f>ELEC!B6</f>
        <v>29.002999999999997</v>
      </c>
    </row>
    <row r="6" spans="1:15">
      <c r="A6" t="s">
        <v>348</v>
      </c>
      <c r="B6">
        <f t="shared" si="0"/>
        <v>5</v>
      </c>
      <c r="C6">
        <v>3</v>
      </c>
      <c r="D6">
        <v>2020</v>
      </c>
      <c r="E6" s="207">
        <f>ELEC!N7</f>
        <v>0</v>
      </c>
      <c r="F6" s="346">
        <f>SUM('EDl log'!T8)</f>
        <v>0</v>
      </c>
      <c r="G6" s="207">
        <f>-tanks!AW10</f>
        <v>0</v>
      </c>
      <c r="H6" s="346">
        <f>SUM(tanks!AV10)</f>
        <v>0.1</v>
      </c>
      <c r="I6" s="10">
        <f>('B5'!AU9)*0.51</f>
        <v>0</v>
      </c>
      <c r="J6" s="325">
        <f>'B5'!AX9/0.51</f>
        <v>0.19607843137254902</v>
      </c>
      <c r="K6" s="207">
        <f>WATER!I10</f>
        <v>0</v>
      </c>
      <c r="L6" s="347">
        <f>SUM(WATER!J10)</f>
        <v>0</v>
      </c>
      <c r="M6" s="347">
        <f>WATER!Q10</f>
        <v>0</v>
      </c>
      <c r="N6" s="530">
        <v>0.6</v>
      </c>
      <c r="O6" s="10">
        <f>ELEC!B7</f>
        <v>0</v>
      </c>
    </row>
    <row r="7" spans="1:15">
      <c r="A7" t="s">
        <v>348</v>
      </c>
      <c r="B7">
        <f t="shared" si="0"/>
        <v>6</v>
      </c>
      <c r="C7">
        <v>3</v>
      </c>
      <c r="D7">
        <v>2020</v>
      </c>
      <c r="E7" s="207">
        <f>ELEC!N8</f>
        <v>0</v>
      </c>
      <c r="F7" s="346">
        <f>SUM('EDl log'!T9)</f>
        <v>0</v>
      </c>
      <c r="G7" s="207">
        <f>-tanks!AW11</f>
        <v>0</v>
      </c>
      <c r="H7" s="346">
        <f>SUM(tanks!AV11)</f>
        <v>0.1</v>
      </c>
      <c r="I7" s="10">
        <f>('B5'!AU10)*0.51</f>
        <v>0</v>
      </c>
      <c r="J7" s="325">
        <f>'B5'!AX10/0.51</f>
        <v>0.19607843137254902</v>
      </c>
      <c r="K7" s="207">
        <f>WATER!I11</f>
        <v>0</v>
      </c>
      <c r="L7" s="347">
        <f>SUM(WATER!J11)</f>
        <v>0</v>
      </c>
      <c r="M7" s="347">
        <f>WATER!Q11</f>
        <v>0</v>
      </c>
      <c r="N7" s="530">
        <v>0.6</v>
      </c>
      <c r="O7" s="10">
        <f>ELEC!B8</f>
        <v>0</v>
      </c>
    </row>
    <row r="8" spans="1:15">
      <c r="A8" t="s">
        <v>348</v>
      </c>
      <c r="B8">
        <f t="shared" si="0"/>
        <v>7</v>
      </c>
      <c r="C8">
        <v>3</v>
      </c>
      <c r="D8">
        <v>2020</v>
      </c>
      <c r="E8" s="207">
        <f>ELEC!N9</f>
        <v>0</v>
      </c>
      <c r="F8" s="346">
        <f>SUM('EDl log'!T10)</f>
        <v>0</v>
      </c>
      <c r="G8" s="207">
        <f>-tanks!AW12</f>
        <v>0</v>
      </c>
      <c r="H8" s="346">
        <f>SUM(tanks!AV12)</f>
        <v>0.1</v>
      </c>
      <c r="I8" s="10">
        <f>('B5'!AU11)*0.51</f>
        <v>0</v>
      </c>
      <c r="J8" s="325">
        <f>'B5'!AX11/0.51</f>
        <v>0.19607843137254902</v>
      </c>
      <c r="K8" s="207">
        <f>WATER!I12</f>
        <v>0</v>
      </c>
      <c r="L8" s="347">
        <f>SUM(WATER!J12)</f>
        <v>0</v>
      </c>
      <c r="M8" s="347">
        <f>WATER!Q12</f>
        <v>0</v>
      </c>
      <c r="N8" s="530">
        <v>0.6</v>
      </c>
      <c r="O8" s="10">
        <f>ELEC!B9</f>
        <v>0</v>
      </c>
    </row>
    <row r="9" spans="1:15">
      <c r="A9" t="s">
        <v>348</v>
      </c>
      <c r="B9">
        <f t="shared" si="0"/>
        <v>8</v>
      </c>
      <c r="C9">
        <v>3</v>
      </c>
      <c r="D9">
        <v>2020</v>
      </c>
      <c r="E9" s="207">
        <f>ELEC!N10</f>
        <v>0</v>
      </c>
      <c r="F9" s="346">
        <f>SUM('EDl log'!T11)</f>
        <v>0</v>
      </c>
      <c r="G9" s="207">
        <f>-tanks!AW13</f>
        <v>0</v>
      </c>
      <c r="H9" s="346">
        <f>SUM(tanks!AV13)</f>
        <v>0.1</v>
      </c>
      <c r="I9" s="10">
        <f>('B5'!AU12)*0.51</f>
        <v>0</v>
      </c>
      <c r="J9" s="325">
        <f>'B5'!AX12/0.51</f>
        <v>0.19607843137254902</v>
      </c>
      <c r="K9" s="207">
        <f>WATER!I13</f>
        <v>0</v>
      </c>
      <c r="L9" s="347">
        <f>SUM(WATER!J13)</f>
        <v>0</v>
      </c>
      <c r="M9" s="347">
        <f>WATER!Q13</f>
        <v>0</v>
      </c>
      <c r="N9" s="530">
        <v>0.6</v>
      </c>
      <c r="O9" s="10">
        <f>ELEC!B10</f>
        <v>0</v>
      </c>
    </row>
    <row r="10" spans="1:15">
      <c r="A10" t="s">
        <v>348</v>
      </c>
      <c r="B10">
        <f t="shared" si="0"/>
        <v>9</v>
      </c>
      <c r="C10">
        <v>3</v>
      </c>
      <c r="D10">
        <v>2020</v>
      </c>
      <c r="E10" s="207">
        <f>ELEC!N11</f>
        <v>0</v>
      </c>
      <c r="F10" s="346">
        <f>SUM('EDl log'!T12)</f>
        <v>0</v>
      </c>
      <c r="G10" s="207">
        <f>-tanks!AW14</f>
        <v>0</v>
      </c>
      <c r="H10" s="346">
        <f>SUM(tanks!AV14)</f>
        <v>0.1</v>
      </c>
      <c r="I10" s="10">
        <f>('B5'!AU13)*0.51</f>
        <v>0</v>
      </c>
      <c r="J10" s="325">
        <f>'B5'!AX13/0.51</f>
        <v>0.19607843137254902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0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3</v>
      </c>
      <c r="D11">
        <v>2020</v>
      </c>
      <c r="E11" s="207">
        <f>ELEC!N12</f>
        <v>0</v>
      </c>
      <c r="F11" s="346">
        <f>SUM('EDl log'!T13)</f>
        <v>0</v>
      </c>
      <c r="G11" s="207">
        <f>-tanks!AW15</f>
        <v>0</v>
      </c>
      <c r="H11" s="346">
        <f>SUM(tanks!AV15)</f>
        <v>0.1</v>
      </c>
      <c r="I11" s="10">
        <f>('B5'!AU14)*0.51</f>
        <v>0</v>
      </c>
      <c r="J11" s="325">
        <f>'B5'!AX14/0.51</f>
        <v>0.19607843137254902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0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3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0.1</v>
      </c>
      <c r="I12" s="10">
        <f>('B5'!AU15)*0.51</f>
        <v>0</v>
      </c>
      <c r="J12" s="325">
        <f>'B5'!AX15/0.51</f>
        <v>0.19607843137254902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0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3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0.1</v>
      </c>
      <c r="I13" s="10">
        <f>('B5'!AU16)*0.51</f>
        <v>0</v>
      </c>
      <c r="J13" s="325">
        <f>'B5'!AX16/0.51</f>
        <v>0.19607843137254902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0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3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0.1</v>
      </c>
      <c r="I14" s="10">
        <f>('B5'!AU17)*0.51</f>
        <v>0</v>
      </c>
      <c r="J14" s="325">
        <f>'B5'!AX17/0.51</f>
        <v>0.19607843137254902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0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3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0.1</v>
      </c>
      <c r="I15" s="10">
        <f>('B5'!AU18)*0.51</f>
        <v>0</v>
      </c>
      <c r="J15" s="325">
        <f>'B5'!AX18/0.51</f>
        <v>0.19607843137254902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0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3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0.1</v>
      </c>
      <c r="I16" s="10">
        <f>('B5'!AU19)*0.51</f>
        <v>0</v>
      </c>
      <c r="J16" s="325">
        <f>'B5'!AX19/0.51</f>
        <v>0.19607843137254902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0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3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0.1</v>
      </c>
      <c r="I17" s="10">
        <f>('B5'!AU20)*0.51</f>
        <v>0</v>
      </c>
      <c r="J17" s="325">
        <f>'B5'!AX20/0.51</f>
        <v>0.19607843137254902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0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3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0.1</v>
      </c>
      <c r="I18" s="10">
        <f>('B5'!AU21)*0.51</f>
        <v>0</v>
      </c>
      <c r="J18" s="325">
        <f>'B5'!AX21/0.51</f>
        <v>0.19607843137254902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0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3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0.1</v>
      </c>
      <c r="I19" s="10">
        <f>('B5'!AU22)*0.51</f>
        <v>0</v>
      </c>
      <c r="J19" s="325">
        <f>'B5'!AX22/0.51</f>
        <v>0.19607843137254902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0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3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0.1</v>
      </c>
      <c r="I20" s="10">
        <f>('B5'!AU23)*0.51</f>
        <v>0</v>
      </c>
      <c r="J20" s="325">
        <f>'B5'!AX23/0.51</f>
        <v>0.19607843137254902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0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3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0.1</v>
      </c>
      <c r="I21" s="10">
        <f>('B5'!AU24)*0.51</f>
        <v>0</v>
      </c>
      <c r="J21" s="325">
        <f>'B5'!AX24/0.51</f>
        <v>0.19607843137254902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0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3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0.1</v>
      </c>
      <c r="I22" s="10">
        <f>('B5'!AU25)*0.51</f>
        <v>0</v>
      </c>
      <c r="J22" s="325">
        <f>'B5'!AX25/0.51</f>
        <v>0.19607843137254902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0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3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0.1</v>
      </c>
      <c r="I23" s="10">
        <f>('B5'!AU26)*0.51</f>
        <v>0</v>
      </c>
      <c r="J23" s="325">
        <f>'B5'!AX26/0.51</f>
        <v>0.19607843137254902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0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3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0.1</v>
      </c>
      <c r="I24" s="10">
        <f>('B5'!AU27)*0.51</f>
        <v>0</v>
      </c>
      <c r="J24" s="325">
        <f>'B5'!AX27/0.51</f>
        <v>0.19607843137254902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0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3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0.1</v>
      </c>
      <c r="I25" s="10">
        <f>('B5'!AU28)*0.51</f>
        <v>0</v>
      </c>
      <c r="J25" s="325">
        <f>'B5'!AX28/0.51</f>
        <v>0.19607843137254902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0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3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0.1</v>
      </c>
      <c r="I26" s="10">
        <f>('B5'!AU29)*0.51</f>
        <v>0</v>
      </c>
      <c r="J26" s="325">
        <f>'B5'!AX29/0.51</f>
        <v>0.19607843137254902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0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3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0.1</v>
      </c>
      <c r="I27" s="10">
        <f>('B5'!AU30)*0.51</f>
        <v>0</v>
      </c>
      <c r="J27" s="325">
        <f>'B5'!AX30/0.51</f>
        <v>0.19607843137254902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0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3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0.1</v>
      </c>
      <c r="I28" s="10">
        <f>('B5'!AU31)*0.51</f>
        <v>0</v>
      </c>
      <c r="J28" s="325">
        <f>'B5'!AX31/0.51</f>
        <v>0.19607843137254902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0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3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0.1</v>
      </c>
      <c r="I29" s="10">
        <f>('B5'!AU32)*0.51</f>
        <v>0</v>
      </c>
      <c r="J29" s="325">
        <f>'B5'!AX32/0.51</f>
        <v>0.19607843137254902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0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3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0.1</v>
      </c>
      <c r="I30" s="10">
        <f>('B5'!AU33)*0.51</f>
        <v>0</v>
      </c>
      <c r="J30" s="325">
        <f>'B5'!AX33/0.51</f>
        <v>0.19607843137254902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0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3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0.1</v>
      </c>
      <c r="I31" s="10">
        <f>('B5'!AU34)*0.51</f>
        <v>0</v>
      </c>
      <c r="J31" s="325">
        <f>'B5'!AX34/0.51</f>
        <v>0.19607843137254902</v>
      </c>
      <c r="K31" s="207">
        <f>WATER!I35</f>
        <v>0</v>
      </c>
      <c r="L31" s="347">
        <f>SUM(WATER!J35)</f>
        <v>0</v>
      </c>
      <c r="M31" s="347">
        <f>WATER!Q35</f>
        <v>0</v>
      </c>
      <c r="N31" s="530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3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0.1</v>
      </c>
      <c r="I32" s="10">
        <f>('B5'!AU35)*0.51</f>
        <v>0</v>
      </c>
      <c r="J32" s="325">
        <f>'B5'!AX35/0.51</f>
        <v>0.19607843137254902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0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3</v>
      </c>
      <c r="D2">
        <v>2020</v>
      </c>
      <c r="E2" s="207">
        <f>ELEC!M3</f>
        <v>3180</v>
      </c>
      <c r="F2" s="207">
        <f>ELEC!K3</f>
        <v>1116</v>
      </c>
      <c r="G2" s="207">
        <f>ELEC!I3</f>
        <v>1704</v>
      </c>
      <c r="H2" s="207">
        <f>ELEC!E3</f>
        <v>2808</v>
      </c>
      <c r="I2" s="207">
        <f>ELEC!G3</f>
        <v>1850</v>
      </c>
      <c r="J2" s="207">
        <f>WATER!Y6</f>
        <v>26</v>
      </c>
      <c r="K2" s="207">
        <f>WATER!AJ6</f>
        <v>11</v>
      </c>
      <c r="L2" s="10">
        <f>ELEC!B3</f>
        <v>35.006</v>
      </c>
      <c r="M2" s="10"/>
    </row>
    <row r="3" spans="1:13">
      <c r="A3" t="s">
        <v>348</v>
      </c>
      <c r="B3">
        <f>B2+1</f>
        <v>2</v>
      </c>
      <c r="C3">
        <v>3</v>
      </c>
      <c r="D3">
        <v>2020</v>
      </c>
      <c r="E3" s="207">
        <f>ELEC!M4</f>
        <v>3284</v>
      </c>
      <c r="F3" s="207">
        <f>ELEC!K4</f>
        <v>1684</v>
      </c>
      <c r="G3" s="207">
        <f>ELEC!I4</f>
        <v>1910</v>
      </c>
      <c r="H3" s="207">
        <f>ELEC!E4</f>
        <v>3246</v>
      </c>
      <c r="I3" s="207">
        <f>ELEC!G4</f>
        <v>2049</v>
      </c>
      <c r="J3" s="207">
        <f>WATER!Y7</f>
        <v>152</v>
      </c>
      <c r="K3" s="207">
        <f>WATER!AJ7</f>
        <v>66</v>
      </c>
      <c r="L3" s="10">
        <f>ELEC!B4</f>
        <v>25.990000000000002</v>
      </c>
      <c r="M3" s="10"/>
    </row>
    <row r="4" spans="1:13">
      <c r="A4" t="s">
        <v>348</v>
      </c>
      <c r="B4">
        <f t="shared" ref="B4:B32" si="0">B3+1</f>
        <v>3</v>
      </c>
      <c r="C4">
        <v>3</v>
      </c>
      <c r="D4">
        <v>2020</v>
      </c>
      <c r="E4" s="207">
        <f>ELEC!M5</f>
        <v>3232</v>
      </c>
      <c r="F4" s="207">
        <f>ELEC!K5</f>
        <v>1468</v>
      </c>
      <c r="G4" s="207">
        <f>ELEC!I5</f>
        <v>1798</v>
      </c>
      <c r="H4" s="207">
        <f>ELEC!E5</f>
        <v>3364</v>
      </c>
      <c r="I4" s="207">
        <f>ELEC!G5</f>
        <v>1965.6000000000931</v>
      </c>
      <c r="J4" s="207">
        <f>WATER!Y8</f>
        <v>0</v>
      </c>
      <c r="K4" s="207">
        <f>WATER!AJ8</f>
        <v>0</v>
      </c>
      <c r="L4" s="10">
        <f>ELEC!B5</f>
        <v>27.991</v>
      </c>
      <c r="M4" s="10"/>
    </row>
    <row r="5" spans="1:13">
      <c r="A5" t="s">
        <v>348</v>
      </c>
      <c r="B5">
        <f t="shared" si="0"/>
        <v>4</v>
      </c>
      <c r="C5">
        <v>3</v>
      </c>
      <c r="D5">
        <v>2020</v>
      </c>
      <c r="E5" s="207">
        <f>ELEC!M6</f>
        <v>3424</v>
      </c>
      <c r="F5" s="207">
        <f>ELEC!K6</f>
        <v>1488</v>
      </c>
      <c r="G5" s="207">
        <f>ELEC!I6</f>
        <v>2038</v>
      </c>
      <c r="H5" s="207">
        <f>ELEC!E6</f>
        <v>3630</v>
      </c>
      <c r="I5" s="207">
        <f>ELEC!G6</f>
        <v>2108.7999999998137</v>
      </c>
      <c r="J5" s="207">
        <f>WATER!Y9</f>
        <v>93</v>
      </c>
      <c r="K5" s="207">
        <f>WATER!AJ9</f>
        <v>90</v>
      </c>
      <c r="L5" s="10">
        <f>ELEC!B6</f>
        <v>29.002999999999997</v>
      </c>
      <c r="M5" s="10"/>
    </row>
    <row r="6" spans="1:13">
      <c r="A6" t="s">
        <v>348</v>
      </c>
      <c r="B6">
        <f t="shared" si="0"/>
        <v>5</v>
      </c>
      <c r="C6">
        <v>3</v>
      </c>
      <c r="D6">
        <v>2020</v>
      </c>
      <c r="E6" s="207">
        <f>ELEC!M7</f>
        <v>0</v>
      </c>
      <c r="F6" s="207">
        <f>ELEC!K7</f>
        <v>0</v>
      </c>
      <c r="G6" s="207">
        <f>ELEC!I7</f>
        <v>0</v>
      </c>
      <c r="H6" s="207">
        <f>ELEC!E7</f>
        <v>0</v>
      </c>
      <c r="I6" s="207">
        <f>ELEC!G7</f>
        <v>0</v>
      </c>
      <c r="J6" s="207">
        <f>WATER!Y10</f>
        <v>0</v>
      </c>
      <c r="K6" s="207">
        <f>WATER!AJ10</f>
        <v>0</v>
      </c>
      <c r="L6" s="10">
        <f>ELEC!B7</f>
        <v>0</v>
      </c>
      <c r="M6" s="10"/>
    </row>
    <row r="7" spans="1:13">
      <c r="A7" t="s">
        <v>348</v>
      </c>
      <c r="B7">
        <f t="shared" si="0"/>
        <v>6</v>
      </c>
      <c r="C7">
        <v>3</v>
      </c>
      <c r="D7">
        <v>2020</v>
      </c>
      <c r="E7" s="207">
        <f>ELEC!M8</f>
        <v>0</v>
      </c>
      <c r="F7" s="207">
        <f>ELEC!K8</f>
        <v>0</v>
      </c>
      <c r="G7" s="207">
        <f>ELEC!I8</f>
        <v>0</v>
      </c>
      <c r="H7" s="207">
        <f>ELEC!E8</f>
        <v>0</v>
      </c>
      <c r="I7" s="207">
        <f>ELEC!G8</f>
        <v>0</v>
      </c>
      <c r="J7" s="207">
        <f>WATER!Y11</f>
        <v>0</v>
      </c>
      <c r="K7" s="207">
        <f>WATER!AJ11</f>
        <v>0</v>
      </c>
      <c r="L7" s="10">
        <f>ELEC!B8</f>
        <v>0</v>
      </c>
      <c r="M7" s="10"/>
    </row>
    <row r="8" spans="1:13">
      <c r="A8" t="s">
        <v>348</v>
      </c>
      <c r="B8">
        <f t="shared" si="0"/>
        <v>7</v>
      </c>
      <c r="C8">
        <v>3</v>
      </c>
      <c r="D8">
        <v>2020</v>
      </c>
      <c r="E8" s="207">
        <f>ELEC!M9</f>
        <v>0</v>
      </c>
      <c r="F8" s="207">
        <f>ELEC!K9</f>
        <v>0</v>
      </c>
      <c r="G8" s="207">
        <f>ELEC!I9</f>
        <v>0</v>
      </c>
      <c r="H8" s="207">
        <f>ELEC!E9</f>
        <v>0</v>
      </c>
      <c r="I8" s="207">
        <f>ELEC!G9</f>
        <v>0</v>
      </c>
      <c r="J8" s="207">
        <f>WATER!Y12</f>
        <v>0</v>
      </c>
      <c r="K8" s="207">
        <f>WATER!AJ12</f>
        <v>0</v>
      </c>
      <c r="L8" s="10">
        <f>ELEC!B9</f>
        <v>0</v>
      </c>
      <c r="M8" s="10"/>
    </row>
    <row r="9" spans="1:13">
      <c r="A9" t="s">
        <v>348</v>
      </c>
      <c r="B9">
        <f t="shared" si="0"/>
        <v>8</v>
      </c>
      <c r="C9">
        <v>3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348</v>
      </c>
      <c r="B10">
        <f t="shared" si="0"/>
        <v>9</v>
      </c>
      <c r="C10">
        <v>3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3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3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3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3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3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3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3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3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3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3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3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3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3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3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3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3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3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3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3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3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3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3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abSelected="1" topLeftCell="S1" zoomScaleNormal="100" zoomScaleSheetLayoutView="100" workbookViewId="0">
      <pane ySplit="1" topLeftCell="A2" activePane="bottomLeft" state="frozen"/>
      <selection activeCell="C1" sqref="C1"/>
      <selection pane="bottomLeft" activeCell="AF6" sqref="AF6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bestFit="1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34">
        <v>0.1391</v>
      </c>
      <c r="B2" s="534">
        <v>0.1391</v>
      </c>
      <c r="C2" s="482">
        <v>43890</v>
      </c>
      <c r="D2" s="506">
        <f>[1]ELEC!D31</f>
        <v>31482720</v>
      </c>
      <c r="E2" s="506">
        <f>[1]ELEC!E31</f>
        <v>3634</v>
      </c>
      <c r="F2" s="506">
        <f>[1]ELEC!F31</f>
        <v>3556171</v>
      </c>
      <c r="G2" s="506">
        <f>[1]ELEC!G31</f>
        <v>2226</v>
      </c>
      <c r="H2" s="506">
        <f>[1]ELEC!H31</f>
        <v>17345006</v>
      </c>
      <c r="I2" s="506">
        <f>[1]ELEC!I31</f>
        <v>2064</v>
      </c>
      <c r="J2" s="506">
        <f>[1]ELEC!J31</f>
        <v>28330034</v>
      </c>
      <c r="K2" s="506">
        <f>[1]ELEC!K31</f>
        <v>2096</v>
      </c>
      <c r="L2" s="506">
        <f>[1]ELEC!L31</f>
        <v>22752598</v>
      </c>
      <c r="M2" s="506">
        <f>[1]ELEC!M31</f>
        <v>4118</v>
      </c>
      <c r="N2" s="506">
        <f>[1]ELEC!N31</f>
        <v>14138</v>
      </c>
      <c r="O2" s="506">
        <f>[1]ELEC!O31</f>
        <v>336.63507786085046</v>
      </c>
      <c r="P2" s="506">
        <f>[1]ELEC!P31</f>
        <v>15376.9</v>
      </c>
      <c r="Q2" s="506">
        <f>[1]ELEC!Q31</f>
        <v>4899.9999999996362</v>
      </c>
      <c r="R2" s="506">
        <f>[1]ELEC!R31</f>
        <v>9238.0000000003638</v>
      </c>
      <c r="S2" s="506">
        <f>[1]ELEC!S31</f>
        <v>8384</v>
      </c>
      <c r="T2" s="506">
        <f>[1]ELEC!T31</f>
        <v>0</v>
      </c>
      <c r="U2" s="506">
        <f>[1]ELEC!U31</f>
        <v>1024343</v>
      </c>
      <c r="V2" s="506">
        <f>[1]ELEC!V31</f>
        <v>0</v>
      </c>
      <c r="W2" s="506">
        <f>[1]ELEC!W31</f>
        <v>31845</v>
      </c>
      <c r="X2" s="506">
        <f>[1]ELEC!X31</f>
        <v>0</v>
      </c>
      <c r="Y2" s="506">
        <f>[1]ELEC!Y31</f>
        <v>624440</v>
      </c>
      <c r="Z2" s="506">
        <f>[1]ELEC!Z31</f>
        <v>0</v>
      </c>
      <c r="AA2" s="506">
        <f>[1]ELEC!AA31</f>
        <v>34967</v>
      </c>
      <c r="AB2" s="506">
        <f>[1]ELEC!AB31</f>
        <v>6</v>
      </c>
      <c r="AC2" s="506">
        <f>[1]ELEC!AC31</f>
        <v>756979</v>
      </c>
      <c r="AD2" s="506">
        <f>[1]ELEC!AD31</f>
        <v>932</v>
      </c>
      <c r="AE2" s="506">
        <f>[1]ELEC!AE31</f>
        <v>6</v>
      </c>
      <c r="AF2" s="506">
        <f>[1]ELEC!AF31</f>
        <v>932</v>
      </c>
      <c r="AG2" s="506">
        <f>[1]ELEC!AG31</f>
        <v>155.33333333333334</v>
      </c>
      <c r="AH2" s="506">
        <f>[1]ELEC!AH31</f>
        <v>0</v>
      </c>
      <c r="AI2" s="506">
        <f>[1]ELEC!AI31</f>
        <v>-49556526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0.1522</v>
      </c>
      <c r="B3" s="475">
        <f>SUM(230*A3)</f>
        <v>35.006</v>
      </c>
      <c r="C3" s="482">
        <v>43891</v>
      </c>
      <c r="D3" s="469">
        <v>31485528</v>
      </c>
      <c r="E3" s="470">
        <f>D3-D2</f>
        <v>2808</v>
      </c>
      <c r="F3" s="469">
        <v>3558021</v>
      </c>
      <c r="G3" s="471">
        <f t="shared" ref="G3:G31" si="0">F3-F2</f>
        <v>1850</v>
      </c>
      <c r="H3" s="469">
        <v>17346710</v>
      </c>
      <c r="I3" s="471">
        <f>H3-H2</f>
        <v>1704</v>
      </c>
      <c r="J3" s="469">
        <v>28331150</v>
      </c>
      <c r="K3" s="471">
        <f>J3-J2</f>
        <v>1116</v>
      </c>
      <c r="L3" s="469">
        <v>22755778</v>
      </c>
      <c r="M3" s="471">
        <f>L3-L2</f>
        <v>3180</v>
      </c>
      <c r="N3" s="472">
        <f>M3+K3+I3+G3+E3</f>
        <v>10658</v>
      </c>
      <c r="O3" s="483">
        <f t="shared" ref="O3:O9" si="1">IF(B3&gt;0,N3/B3,0)</f>
        <v>304.46209221276354</v>
      </c>
      <c r="P3" s="469">
        <v>15381</v>
      </c>
      <c r="Q3" s="492">
        <f t="shared" ref="Q3:Q12" si="2">(P3-P2)*1000</f>
        <v>4100.0000000003638</v>
      </c>
      <c r="R3" s="485">
        <f>+N3-Q3</f>
        <v>6557.9999999996362</v>
      </c>
      <c r="S3" s="469">
        <v>8384</v>
      </c>
      <c r="T3" s="486">
        <f t="shared" ref="T3:T32" si="3">S3-S2</f>
        <v>0</v>
      </c>
      <c r="U3" s="469">
        <v>1024343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34971</v>
      </c>
      <c r="AB3" s="484">
        <f>AA3-AA2</f>
        <v>4</v>
      </c>
      <c r="AC3" s="469">
        <v>757660</v>
      </c>
      <c r="AD3" s="487">
        <f>AC3-AC2</f>
        <v>681</v>
      </c>
      <c r="AE3" s="488">
        <f>AB3+X3+T3</f>
        <v>4</v>
      </c>
      <c r="AF3" s="469">
        <f>V3+Z3+AD3</f>
        <v>681</v>
      </c>
      <c r="AG3" s="489">
        <f t="shared" ref="AG3:AG9" si="5">IF(AE3&gt;0,AF3/AE3,0)</f>
        <v>170.25</v>
      </c>
    </row>
    <row r="4" spans="1:115">
      <c r="A4" s="481">
        <f>'General information '!F7</f>
        <v>0.113</v>
      </c>
      <c r="B4" s="475">
        <f t="shared" ref="B4:B31" si="6">SUM(230*A4)</f>
        <v>25.990000000000002</v>
      </c>
      <c r="C4" s="482">
        <v>43892</v>
      </c>
      <c r="D4" s="469">
        <v>31488774</v>
      </c>
      <c r="E4" s="327">
        <f>D4-D3</f>
        <v>3246</v>
      </c>
      <c r="F4" s="469">
        <v>3560070</v>
      </c>
      <c r="G4" s="328">
        <f t="shared" si="0"/>
        <v>2049</v>
      </c>
      <c r="H4" s="469">
        <v>17348620</v>
      </c>
      <c r="I4" s="328">
        <f>H4-H3</f>
        <v>1910</v>
      </c>
      <c r="J4" s="469">
        <v>28332834</v>
      </c>
      <c r="K4" s="328">
        <f>J4-J3</f>
        <v>1684</v>
      </c>
      <c r="L4" s="469">
        <v>22759062</v>
      </c>
      <c r="M4" s="328">
        <f>L4-L3</f>
        <v>3284</v>
      </c>
      <c r="N4" s="326">
        <f>M4+K4+I4+G4+E4</f>
        <v>12173</v>
      </c>
      <c r="O4" s="491">
        <f t="shared" si="1"/>
        <v>468.37245094267024</v>
      </c>
      <c r="P4" s="469">
        <v>15381.849</v>
      </c>
      <c r="Q4" s="492">
        <f t="shared" si="2"/>
        <v>849.00000000016007</v>
      </c>
      <c r="R4" s="473">
        <f>N4-Q4</f>
        <v>11323.99999999984</v>
      </c>
      <c r="S4" s="469">
        <f t="shared" ref="S4:AC33" si="7">S3</f>
        <v>8384</v>
      </c>
      <c r="T4" s="493">
        <f t="shared" si="3"/>
        <v>0</v>
      </c>
      <c r="U4" s="469">
        <f t="shared" si="7"/>
        <v>1024343</v>
      </c>
      <c r="V4" s="473">
        <f>U4-U3</f>
        <v>0</v>
      </c>
      <c r="W4" s="469">
        <f t="shared" si="7"/>
        <v>31845</v>
      </c>
      <c r="X4" s="473">
        <f t="shared" si="4"/>
        <v>0</v>
      </c>
      <c r="Y4" s="469">
        <f t="shared" si="7"/>
        <v>624440</v>
      </c>
      <c r="Z4" s="473">
        <f>Y4-Y3</f>
        <v>0</v>
      </c>
      <c r="AA4" s="469">
        <v>34974</v>
      </c>
      <c r="AB4" s="494">
        <f>AA4-AA3</f>
        <v>3</v>
      </c>
      <c r="AC4" s="469">
        <v>758247</v>
      </c>
      <c r="AD4" s="495">
        <f>AC4-AC3</f>
        <v>587</v>
      </c>
      <c r="AE4" s="496">
        <f t="shared" ref="AE4:AE32" si="8">AB4+X4+T4</f>
        <v>3</v>
      </c>
      <c r="AF4" s="497">
        <f t="shared" ref="AF4:AF31" si="9">V4+Z4+AD4</f>
        <v>587</v>
      </c>
      <c r="AG4" s="489">
        <f t="shared" si="5"/>
        <v>195.66666666666666</v>
      </c>
    </row>
    <row r="5" spans="1:115">
      <c r="A5" s="481">
        <f>'General information '!F8</f>
        <v>0.1217</v>
      </c>
      <c r="B5" s="475">
        <f>SUM(230*A5)</f>
        <v>27.991</v>
      </c>
      <c r="C5" s="482">
        <v>43893</v>
      </c>
      <c r="D5" s="469">
        <v>31492138</v>
      </c>
      <c r="E5" s="327">
        <f t="shared" ref="E5:E33" si="10">D5-D4</f>
        <v>3364</v>
      </c>
      <c r="F5" s="469">
        <v>3562035.6</v>
      </c>
      <c r="G5" s="328">
        <f t="shared" si="0"/>
        <v>1965.6000000000931</v>
      </c>
      <c r="H5" s="469">
        <v>17350418</v>
      </c>
      <c r="I5" s="328">
        <f t="shared" ref="I5:I31" si="11">H5-H4</f>
        <v>1798</v>
      </c>
      <c r="J5" s="469">
        <v>28334302</v>
      </c>
      <c r="K5" s="328">
        <f t="shared" ref="K5:K31" si="12">J5-J4</f>
        <v>1468</v>
      </c>
      <c r="L5" s="469">
        <v>22762294</v>
      </c>
      <c r="M5" s="328">
        <f t="shared" ref="M5:M31" si="13">L5-L4</f>
        <v>3232</v>
      </c>
      <c r="N5" s="326">
        <f t="shared" ref="N5:N31" si="14">M5+K5+I5+G5+E5</f>
        <v>11827.600000000093</v>
      </c>
      <c r="O5" s="491">
        <f t="shared" si="1"/>
        <v>422.55010539102187</v>
      </c>
      <c r="P5" s="469">
        <v>15383.715</v>
      </c>
      <c r="Q5" s="492">
        <f>(P5-P4)*1000</f>
        <v>1865.9999999999854</v>
      </c>
      <c r="R5" s="473">
        <f>N5-Q5</f>
        <v>9961.6000000001077</v>
      </c>
      <c r="S5" s="469">
        <v>8384</v>
      </c>
      <c r="T5" s="493">
        <f t="shared" si="3"/>
        <v>0</v>
      </c>
      <c r="U5" s="469">
        <v>1024343</v>
      </c>
      <c r="V5" s="473">
        <f t="shared" ref="V5:V32" si="15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34978</v>
      </c>
      <c r="AB5" s="473">
        <f t="shared" ref="AB5:AB32" si="16">AA5-AA4</f>
        <v>4</v>
      </c>
      <c r="AC5" s="469">
        <v>759035</v>
      </c>
      <c r="AD5" s="473">
        <f t="shared" ref="AD5:AD16" si="17">AC5-AC4</f>
        <v>788</v>
      </c>
      <c r="AE5" s="496">
        <f t="shared" si="8"/>
        <v>4</v>
      </c>
      <c r="AF5" s="497">
        <f t="shared" si="9"/>
        <v>788</v>
      </c>
      <c r="AG5" s="489">
        <f t="shared" si="5"/>
        <v>197</v>
      </c>
      <c r="AI5" s="490">
        <f>R5-'EDl log'!B3</f>
        <v>-49572080.399999999</v>
      </c>
    </row>
    <row r="6" spans="1:115">
      <c r="A6" s="481">
        <f>'General information '!F9</f>
        <v>0.12609999999999999</v>
      </c>
      <c r="B6" s="475">
        <f t="shared" si="6"/>
        <v>29.002999999999997</v>
      </c>
      <c r="C6" s="482">
        <v>43894</v>
      </c>
      <c r="D6" s="469">
        <v>31495768</v>
      </c>
      <c r="E6" s="327">
        <f t="shared" si="10"/>
        <v>3630</v>
      </c>
      <c r="F6" s="469">
        <v>3564144.4</v>
      </c>
      <c r="G6" s="328">
        <f t="shared" si="0"/>
        <v>2108.7999999998137</v>
      </c>
      <c r="H6" s="469">
        <v>17352456</v>
      </c>
      <c r="I6" s="328">
        <f t="shared" si="11"/>
        <v>2038</v>
      </c>
      <c r="J6" s="469">
        <v>28335790</v>
      </c>
      <c r="K6" s="328">
        <f t="shared" si="12"/>
        <v>1488</v>
      </c>
      <c r="L6" s="469">
        <v>22765718</v>
      </c>
      <c r="M6" s="328">
        <f t="shared" si="13"/>
        <v>3424</v>
      </c>
      <c r="N6" s="326">
        <f t="shared" si="14"/>
        <v>12688.799999999814</v>
      </c>
      <c r="O6" s="491">
        <f t="shared" si="1"/>
        <v>437.49956901009602</v>
      </c>
      <c r="P6" s="469">
        <v>15386.126</v>
      </c>
      <c r="Q6" s="473">
        <f t="shared" si="2"/>
        <v>2411.0000000000582</v>
      </c>
      <c r="R6" s="473">
        <f t="shared" ref="R6:R31" si="18">N6-Q6</f>
        <v>10277.799999999756</v>
      </c>
      <c r="S6" s="469">
        <v>8384</v>
      </c>
      <c r="T6" s="493">
        <f t="shared" si="3"/>
        <v>0</v>
      </c>
      <c r="U6" s="469">
        <v>1024343</v>
      </c>
      <c r="V6" s="473">
        <f t="shared" si="15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19">Y6-Y5</f>
        <v>0</v>
      </c>
      <c r="AA6" s="469">
        <v>34982</v>
      </c>
      <c r="AB6" s="473">
        <f t="shared" si="16"/>
        <v>4</v>
      </c>
      <c r="AC6" s="469">
        <v>759837</v>
      </c>
      <c r="AD6" s="473">
        <f t="shared" si="17"/>
        <v>802</v>
      </c>
      <c r="AE6" s="496">
        <f t="shared" si="8"/>
        <v>4</v>
      </c>
      <c r="AF6" s="497">
        <f t="shared" si="9"/>
        <v>802</v>
      </c>
      <c r="AG6" s="489">
        <f t="shared" si="5"/>
        <v>200.5</v>
      </c>
      <c r="AI6" s="490">
        <f>R6-'EDl log'!B4</f>
        <v>-49576134.200000003</v>
      </c>
    </row>
    <row r="7" spans="1:115">
      <c r="A7" s="481">
        <f>'General information '!F10</f>
        <v>0</v>
      </c>
      <c r="B7" s="475">
        <f t="shared" si="6"/>
        <v>0</v>
      </c>
      <c r="C7" s="482">
        <v>43895</v>
      </c>
      <c r="D7" s="469">
        <f t="shared" ref="D7:L33" si="20">D6</f>
        <v>31495768</v>
      </c>
      <c r="E7" s="327">
        <f t="shared" si="10"/>
        <v>0</v>
      </c>
      <c r="F7" s="469">
        <f t="shared" si="20"/>
        <v>3564144.4</v>
      </c>
      <c r="G7" s="328">
        <f t="shared" si="0"/>
        <v>0</v>
      </c>
      <c r="H7" s="469">
        <f t="shared" si="20"/>
        <v>17352456</v>
      </c>
      <c r="I7" s="328">
        <f t="shared" si="11"/>
        <v>0</v>
      </c>
      <c r="J7" s="469">
        <f t="shared" si="20"/>
        <v>28335790</v>
      </c>
      <c r="K7" s="328">
        <f t="shared" si="12"/>
        <v>0</v>
      </c>
      <c r="L7" s="469">
        <f t="shared" si="20"/>
        <v>22765718</v>
      </c>
      <c r="M7" s="328">
        <f t="shared" si="13"/>
        <v>0</v>
      </c>
      <c r="N7" s="326">
        <f t="shared" si="14"/>
        <v>0</v>
      </c>
      <c r="O7" s="491">
        <f t="shared" si="1"/>
        <v>0</v>
      </c>
      <c r="P7" s="469">
        <f t="shared" ref="P7:P33" si="21">P6</f>
        <v>15386.126</v>
      </c>
      <c r="Q7" s="473">
        <f t="shared" si="2"/>
        <v>0</v>
      </c>
      <c r="R7" s="473">
        <f t="shared" si="18"/>
        <v>0</v>
      </c>
      <c r="S7" s="469">
        <f t="shared" si="7"/>
        <v>8384</v>
      </c>
      <c r="T7" s="493">
        <f t="shared" si="3"/>
        <v>0</v>
      </c>
      <c r="U7" s="469">
        <f t="shared" si="7"/>
        <v>1024343</v>
      </c>
      <c r="V7" s="473">
        <f t="shared" si="15"/>
        <v>0</v>
      </c>
      <c r="W7" s="469">
        <f t="shared" si="7"/>
        <v>31845</v>
      </c>
      <c r="X7" s="473">
        <f t="shared" si="4"/>
        <v>0</v>
      </c>
      <c r="Y7" s="469">
        <f t="shared" si="7"/>
        <v>624440</v>
      </c>
      <c r="Z7" s="473">
        <f t="shared" si="19"/>
        <v>0</v>
      </c>
      <c r="AA7" s="469">
        <f t="shared" si="7"/>
        <v>34982</v>
      </c>
      <c r="AB7" s="473">
        <f t="shared" si="16"/>
        <v>0</v>
      </c>
      <c r="AC7" s="469">
        <f t="shared" si="7"/>
        <v>759837</v>
      </c>
      <c r="AD7" s="473">
        <f t="shared" si="17"/>
        <v>0</v>
      </c>
      <c r="AE7" s="496">
        <f t="shared" si="8"/>
        <v>0</v>
      </c>
      <c r="AF7" s="497">
        <f t="shared" si="9"/>
        <v>0</v>
      </c>
      <c r="AG7" s="489">
        <f t="shared" si="5"/>
        <v>0</v>
      </c>
      <c r="AI7" s="490">
        <f>R7-'EDl log'!B5</f>
        <v>-49591340</v>
      </c>
    </row>
    <row r="8" spans="1:115">
      <c r="A8" s="481">
        <f>'General information '!F11</f>
        <v>0</v>
      </c>
      <c r="B8" s="475">
        <f t="shared" si="6"/>
        <v>0</v>
      </c>
      <c r="C8" s="482">
        <v>43896</v>
      </c>
      <c r="D8" s="469">
        <f t="shared" si="20"/>
        <v>31495768</v>
      </c>
      <c r="E8" s="327">
        <f t="shared" si="10"/>
        <v>0</v>
      </c>
      <c r="F8" s="469">
        <f t="shared" si="20"/>
        <v>3564144.4</v>
      </c>
      <c r="G8" s="328">
        <f t="shared" si="0"/>
        <v>0</v>
      </c>
      <c r="H8" s="469">
        <f t="shared" si="20"/>
        <v>17352456</v>
      </c>
      <c r="I8" s="328">
        <f t="shared" si="11"/>
        <v>0</v>
      </c>
      <c r="J8" s="469">
        <f t="shared" si="20"/>
        <v>28335790</v>
      </c>
      <c r="K8" s="328">
        <f t="shared" si="12"/>
        <v>0</v>
      </c>
      <c r="L8" s="469">
        <f t="shared" si="20"/>
        <v>22765718</v>
      </c>
      <c r="M8" s="328">
        <f t="shared" si="13"/>
        <v>0</v>
      </c>
      <c r="N8" s="326">
        <f t="shared" si="14"/>
        <v>0</v>
      </c>
      <c r="O8" s="491">
        <f t="shared" si="1"/>
        <v>0</v>
      </c>
      <c r="P8" s="469">
        <f t="shared" si="21"/>
        <v>15386.126</v>
      </c>
      <c r="Q8" s="473">
        <f t="shared" si="2"/>
        <v>0</v>
      </c>
      <c r="R8" s="473">
        <f t="shared" si="18"/>
        <v>0</v>
      </c>
      <c r="S8" s="469">
        <f t="shared" si="7"/>
        <v>8384</v>
      </c>
      <c r="T8" s="493">
        <f t="shared" si="3"/>
        <v>0</v>
      </c>
      <c r="U8" s="469">
        <f t="shared" si="7"/>
        <v>1024343</v>
      </c>
      <c r="V8" s="473">
        <f t="shared" si="15"/>
        <v>0</v>
      </c>
      <c r="W8" s="469">
        <f t="shared" si="7"/>
        <v>31845</v>
      </c>
      <c r="X8" s="473">
        <f t="shared" si="4"/>
        <v>0</v>
      </c>
      <c r="Y8" s="469">
        <f t="shared" si="7"/>
        <v>624440</v>
      </c>
      <c r="Z8" s="473">
        <f t="shared" si="19"/>
        <v>0</v>
      </c>
      <c r="AA8" s="469">
        <f t="shared" si="7"/>
        <v>34982</v>
      </c>
      <c r="AB8" s="473">
        <f t="shared" si="16"/>
        <v>0</v>
      </c>
      <c r="AC8" s="469">
        <f t="shared" si="7"/>
        <v>759837</v>
      </c>
      <c r="AD8" s="473">
        <f t="shared" si="17"/>
        <v>0</v>
      </c>
      <c r="AE8" s="496">
        <f t="shared" si="8"/>
        <v>0</v>
      </c>
      <c r="AF8" s="497">
        <f t="shared" si="9"/>
        <v>0</v>
      </c>
      <c r="AG8" s="489">
        <f t="shared" si="5"/>
        <v>0</v>
      </c>
      <c r="AI8" s="490">
        <f>R8-'EDl log'!B6</f>
        <v>-49596500</v>
      </c>
    </row>
    <row r="9" spans="1:115">
      <c r="A9" s="481">
        <f>'General information '!F12</f>
        <v>0</v>
      </c>
      <c r="B9" s="475">
        <f t="shared" si="6"/>
        <v>0</v>
      </c>
      <c r="C9" s="482">
        <v>43897</v>
      </c>
      <c r="D9" s="469">
        <f t="shared" si="20"/>
        <v>31495768</v>
      </c>
      <c r="E9" s="327">
        <f t="shared" si="10"/>
        <v>0</v>
      </c>
      <c r="F9" s="469">
        <f t="shared" si="20"/>
        <v>3564144.4</v>
      </c>
      <c r="G9" s="328">
        <f t="shared" si="0"/>
        <v>0</v>
      </c>
      <c r="H9" s="469">
        <f t="shared" si="20"/>
        <v>17352456</v>
      </c>
      <c r="I9" s="328">
        <f t="shared" si="11"/>
        <v>0</v>
      </c>
      <c r="J9" s="469">
        <f t="shared" si="20"/>
        <v>28335790</v>
      </c>
      <c r="K9" s="328">
        <f t="shared" si="12"/>
        <v>0</v>
      </c>
      <c r="L9" s="469">
        <f t="shared" si="20"/>
        <v>22765718</v>
      </c>
      <c r="M9" s="328">
        <f t="shared" si="13"/>
        <v>0</v>
      </c>
      <c r="N9" s="326">
        <f t="shared" si="14"/>
        <v>0</v>
      </c>
      <c r="O9" s="491">
        <f t="shared" si="1"/>
        <v>0</v>
      </c>
      <c r="P9" s="469">
        <f t="shared" si="21"/>
        <v>15386.126</v>
      </c>
      <c r="Q9" s="473">
        <f t="shared" si="2"/>
        <v>0</v>
      </c>
      <c r="R9" s="473">
        <f t="shared" si="18"/>
        <v>0</v>
      </c>
      <c r="S9" s="469">
        <f t="shared" si="7"/>
        <v>8384</v>
      </c>
      <c r="T9" s="493">
        <f t="shared" si="3"/>
        <v>0</v>
      </c>
      <c r="U9" s="469">
        <f t="shared" si="7"/>
        <v>1024343</v>
      </c>
      <c r="V9" s="473">
        <f t="shared" si="15"/>
        <v>0</v>
      </c>
      <c r="W9" s="469">
        <f t="shared" si="7"/>
        <v>31845</v>
      </c>
      <c r="X9" s="473">
        <f t="shared" ref="X9:X32" si="22">W9-W8</f>
        <v>0</v>
      </c>
      <c r="Y9" s="469">
        <f t="shared" si="7"/>
        <v>624440</v>
      </c>
      <c r="Z9" s="473">
        <f t="shared" si="19"/>
        <v>0</v>
      </c>
      <c r="AA9" s="469">
        <f t="shared" si="7"/>
        <v>34982</v>
      </c>
      <c r="AB9" s="473">
        <f t="shared" si="16"/>
        <v>0</v>
      </c>
      <c r="AC9" s="469">
        <f t="shared" si="7"/>
        <v>759837</v>
      </c>
      <c r="AD9" s="473">
        <f t="shared" si="17"/>
        <v>0</v>
      </c>
      <c r="AE9" s="496">
        <f t="shared" si="8"/>
        <v>0</v>
      </c>
      <c r="AF9" s="497">
        <f t="shared" si="9"/>
        <v>0</v>
      </c>
      <c r="AG9" s="489">
        <f t="shared" si="5"/>
        <v>0</v>
      </c>
      <c r="AI9" s="490">
        <f>R9-'EDl log'!B7</f>
        <v>-49601831</v>
      </c>
    </row>
    <row r="10" spans="1:115">
      <c r="A10" s="481">
        <f>'General information '!F13</f>
        <v>0</v>
      </c>
      <c r="B10" s="475">
        <f t="shared" si="6"/>
        <v>0</v>
      </c>
      <c r="C10" s="482">
        <v>43898</v>
      </c>
      <c r="D10" s="469">
        <f t="shared" si="20"/>
        <v>31495768</v>
      </c>
      <c r="E10" s="327">
        <f t="shared" si="10"/>
        <v>0</v>
      </c>
      <c r="F10" s="469">
        <f t="shared" si="20"/>
        <v>3564144.4</v>
      </c>
      <c r="G10" s="328">
        <f t="shared" si="0"/>
        <v>0</v>
      </c>
      <c r="H10" s="469">
        <f t="shared" si="20"/>
        <v>17352456</v>
      </c>
      <c r="I10" s="328">
        <f t="shared" si="11"/>
        <v>0</v>
      </c>
      <c r="J10" s="469">
        <f t="shared" si="20"/>
        <v>28335790</v>
      </c>
      <c r="K10" s="328">
        <f t="shared" si="12"/>
        <v>0</v>
      </c>
      <c r="L10" s="469">
        <f t="shared" si="20"/>
        <v>22765718</v>
      </c>
      <c r="M10" s="328">
        <f t="shared" si="13"/>
        <v>0</v>
      </c>
      <c r="N10" s="326">
        <f t="shared" si="14"/>
        <v>0</v>
      </c>
      <c r="O10" s="491">
        <f t="shared" ref="O10:O32" si="23">IF(B10&gt;0,N10/B10,0)</f>
        <v>0</v>
      </c>
      <c r="P10" s="469">
        <f t="shared" si="21"/>
        <v>15386.126</v>
      </c>
      <c r="Q10" s="473">
        <f t="shared" si="2"/>
        <v>0</v>
      </c>
      <c r="R10" s="473">
        <f t="shared" si="18"/>
        <v>0</v>
      </c>
      <c r="S10" s="469">
        <f t="shared" si="7"/>
        <v>8384</v>
      </c>
      <c r="T10" s="493">
        <f t="shared" si="3"/>
        <v>0</v>
      </c>
      <c r="U10" s="469">
        <f t="shared" si="7"/>
        <v>1024343</v>
      </c>
      <c r="V10" s="473">
        <f t="shared" si="15"/>
        <v>0</v>
      </c>
      <c r="W10" s="469">
        <f t="shared" si="7"/>
        <v>31845</v>
      </c>
      <c r="X10" s="473">
        <f t="shared" si="22"/>
        <v>0</v>
      </c>
      <c r="Y10" s="469">
        <f t="shared" si="7"/>
        <v>624440</v>
      </c>
      <c r="Z10" s="473">
        <f t="shared" si="19"/>
        <v>0</v>
      </c>
      <c r="AA10" s="469">
        <f t="shared" si="7"/>
        <v>34982</v>
      </c>
      <c r="AB10" s="473">
        <f t="shared" si="16"/>
        <v>0</v>
      </c>
      <c r="AC10" s="469">
        <f t="shared" si="7"/>
        <v>759837</v>
      </c>
      <c r="AD10" s="473">
        <f t="shared" si="17"/>
        <v>0</v>
      </c>
      <c r="AE10" s="496">
        <f t="shared" si="8"/>
        <v>0</v>
      </c>
      <c r="AF10" s="497">
        <f t="shared" si="9"/>
        <v>0</v>
      </c>
      <c r="AG10" s="489">
        <f t="shared" ref="AG10:AG33" si="24">IF(AE10&gt;0,AF10/AE10,0)</f>
        <v>0</v>
      </c>
      <c r="AI10" s="490">
        <f>R10-'EDl log'!B8</f>
        <v>-49601831</v>
      </c>
    </row>
    <row r="11" spans="1:115">
      <c r="A11" s="481">
        <f>'General information '!F14</f>
        <v>0</v>
      </c>
      <c r="B11" s="475">
        <f>SUM(230*A11)</f>
        <v>0</v>
      </c>
      <c r="C11" s="482">
        <v>43899</v>
      </c>
      <c r="D11" s="469">
        <f t="shared" si="20"/>
        <v>31495768</v>
      </c>
      <c r="E11" s="327">
        <f t="shared" si="10"/>
        <v>0</v>
      </c>
      <c r="F11" s="469">
        <f t="shared" si="20"/>
        <v>3564144.4</v>
      </c>
      <c r="G11" s="328">
        <f t="shared" si="0"/>
        <v>0</v>
      </c>
      <c r="H11" s="469">
        <f t="shared" si="20"/>
        <v>17352456</v>
      </c>
      <c r="I11" s="328">
        <f t="shared" si="11"/>
        <v>0</v>
      </c>
      <c r="J11" s="469">
        <f t="shared" si="20"/>
        <v>28335790</v>
      </c>
      <c r="K11" s="328">
        <f t="shared" si="12"/>
        <v>0</v>
      </c>
      <c r="L11" s="469">
        <f t="shared" si="20"/>
        <v>22765718</v>
      </c>
      <c r="M11" s="328">
        <f t="shared" si="13"/>
        <v>0</v>
      </c>
      <c r="N11" s="326">
        <f>M11+K11+I11+G11+E11</f>
        <v>0</v>
      </c>
      <c r="O11" s="491">
        <f t="shared" si="23"/>
        <v>0</v>
      </c>
      <c r="P11" s="469">
        <f t="shared" si="21"/>
        <v>15386.126</v>
      </c>
      <c r="Q11" s="473">
        <f t="shared" si="2"/>
        <v>0</v>
      </c>
      <c r="R11" s="473">
        <f t="shared" si="18"/>
        <v>0</v>
      </c>
      <c r="S11" s="469">
        <f t="shared" si="7"/>
        <v>8384</v>
      </c>
      <c r="T11" s="493">
        <f t="shared" si="3"/>
        <v>0</v>
      </c>
      <c r="U11" s="469">
        <f t="shared" si="7"/>
        <v>1024343</v>
      </c>
      <c r="V11" s="473">
        <f t="shared" si="15"/>
        <v>0</v>
      </c>
      <c r="W11" s="469">
        <f t="shared" si="7"/>
        <v>31845</v>
      </c>
      <c r="X11" s="473">
        <f t="shared" si="22"/>
        <v>0</v>
      </c>
      <c r="Y11" s="469">
        <f t="shared" si="7"/>
        <v>624440</v>
      </c>
      <c r="Z11" s="473">
        <f t="shared" si="19"/>
        <v>0</v>
      </c>
      <c r="AA11" s="469">
        <f t="shared" si="7"/>
        <v>34982</v>
      </c>
      <c r="AB11" s="473">
        <f t="shared" si="16"/>
        <v>0</v>
      </c>
      <c r="AC11" s="469">
        <f t="shared" si="7"/>
        <v>759837</v>
      </c>
      <c r="AD11" s="473">
        <f t="shared" si="17"/>
        <v>0</v>
      </c>
      <c r="AE11" s="496">
        <f t="shared" si="8"/>
        <v>0</v>
      </c>
      <c r="AF11" s="497">
        <f t="shared" si="9"/>
        <v>0</v>
      </c>
      <c r="AG11" s="489">
        <f t="shared" si="24"/>
        <v>0</v>
      </c>
      <c r="AI11" s="490">
        <f>R11-'EDl log'!B9</f>
        <v>-49601831</v>
      </c>
    </row>
    <row r="12" spans="1:115">
      <c r="A12" s="481">
        <f>'General information '!F15</f>
        <v>0</v>
      </c>
      <c r="B12" s="475">
        <f t="shared" si="6"/>
        <v>0</v>
      </c>
      <c r="C12" s="482">
        <v>43900</v>
      </c>
      <c r="D12" s="469">
        <f t="shared" si="20"/>
        <v>31495768</v>
      </c>
      <c r="E12" s="327">
        <f t="shared" si="10"/>
        <v>0</v>
      </c>
      <c r="F12" s="469">
        <f t="shared" si="20"/>
        <v>3564144.4</v>
      </c>
      <c r="G12" s="328">
        <f t="shared" si="0"/>
        <v>0</v>
      </c>
      <c r="H12" s="469">
        <f t="shared" si="20"/>
        <v>17352456</v>
      </c>
      <c r="I12" s="328">
        <f t="shared" si="11"/>
        <v>0</v>
      </c>
      <c r="J12" s="469">
        <f t="shared" si="20"/>
        <v>28335790</v>
      </c>
      <c r="K12" s="328">
        <f t="shared" si="12"/>
        <v>0</v>
      </c>
      <c r="L12" s="469">
        <f t="shared" si="20"/>
        <v>22765718</v>
      </c>
      <c r="M12" s="328">
        <f t="shared" si="13"/>
        <v>0</v>
      </c>
      <c r="N12" s="326">
        <f>M12+K12+I12+G12+E12</f>
        <v>0</v>
      </c>
      <c r="O12" s="491">
        <f t="shared" si="23"/>
        <v>0</v>
      </c>
      <c r="P12" s="469">
        <f t="shared" si="21"/>
        <v>15386.126</v>
      </c>
      <c r="Q12" s="473">
        <f t="shared" si="2"/>
        <v>0</v>
      </c>
      <c r="R12" s="473">
        <f t="shared" si="18"/>
        <v>0</v>
      </c>
      <c r="S12" s="469">
        <f t="shared" si="7"/>
        <v>8384</v>
      </c>
      <c r="T12" s="493">
        <f t="shared" si="3"/>
        <v>0</v>
      </c>
      <c r="U12" s="469">
        <f t="shared" si="7"/>
        <v>1024343</v>
      </c>
      <c r="V12" s="473">
        <f t="shared" si="15"/>
        <v>0</v>
      </c>
      <c r="W12" s="469">
        <f t="shared" si="7"/>
        <v>31845</v>
      </c>
      <c r="X12" s="473">
        <f t="shared" si="22"/>
        <v>0</v>
      </c>
      <c r="Y12" s="469">
        <f t="shared" si="7"/>
        <v>624440</v>
      </c>
      <c r="Z12" s="473">
        <f t="shared" si="19"/>
        <v>0</v>
      </c>
      <c r="AA12" s="469">
        <f t="shared" si="7"/>
        <v>34982</v>
      </c>
      <c r="AB12" s="473">
        <f t="shared" si="16"/>
        <v>0</v>
      </c>
      <c r="AC12" s="469">
        <f t="shared" si="7"/>
        <v>759837</v>
      </c>
      <c r="AD12" s="473">
        <f t="shared" si="17"/>
        <v>0</v>
      </c>
      <c r="AE12" s="496">
        <f t="shared" si="8"/>
        <v>0</v>
      </c>
      <c r="AF12" s="497">
        <f t="shared" si="9"/>
        <v>0</v>
      </c>
      <c r="AG12" s="489">
        <f t="shared" si="24"/>
        <v>0</v>
      </c>
      <c r="AI12" s="490">
        <f>R12-'EDl log'!B10</f>
        <v>-49601831</v>
      </c>
    </row>
    <row r="13" spans="1:115">
      <c r="A13" s="481">
        <f>'General information '!F16</f>
        <v>0</v>
      </c>
      <c r="B13" s="475">
        <f t="shared" si="6"/>
        <v>0</v>
      </c>
      <c r="C13" s="482">
        <v>43901</v>
      </c>
      <c r="D13" s="469">
        <f t="shared" si="20"/>
        <v>31495768</v>
      </c>
      <c r="E13" s="327">
        <f t="shared" si="10"/>
        <v>0</v>
      </c>
      <c r="F13" s="469">
        <f t="shared" si="20"/>
        <v>3564144.4</v>
      </c>
      <c r="G13" s="328">
        <f t="shared" si="0"/>
        <v>0</v>
      </c>
      <c r="H13" s="469">
        <f t="shared" si="20"/>
        <v>17352456</v>
      </c>
      <c r="I13" s="328">
        <f t="shared" si="11"/>
        <v>0</v>
      </c>
      <c r="J13" s="469">
        <f t="shared" si="20"/>
        <v>28335790</v>
      </c>
      <c r="K13" s="328">
        <f t="shared" si="12"/>
        <v>0</v>
      </c>
      <c r="L13" s="469">
        <f t="shared" si="20"/>
        <v>22765718</v>
      </c>
      <c r="M13" s="328">
        <f t="shared" si="13"/>
        <v>0</v>
      </c>
      <c r="N13" s="326">
        <f t="shared" si="14"/>
        <v>0</v>
      </c>
      <c r="O13" s="491">
        <f t="shared" si="23"/>
        <v>0</v>
      </c>
      <c r="P13" s="469">
        <f t="shared" si="21"/>
        <v>15386.126</v>
      </c>
      <c r="Q13" s="473">
        <f t="shared" ref="Q13:Q31" si="25">(P13-P12)*1000</f>
        <v>0</v>
      </c>
      <c r="R13" s="473">
        <f t="shared" si="18"/>
        <v>0</v>
      </c>
      <c r="S13" s="469">
        <f t="shared" si="7"/>
        <v>8384</v>
      </c>
      <c r="T13" s="493">
        <f t="shared" si="3"/>
        <v>0</v>
      </c>
      <c r="U13" s="469">
        <f t="shared" si="7"/>
        <v>1024343</v>
      </c>
      <c r="V13" s="473">
        <f t="shared" si="15"/>
        <v>0</v>
      </c>
      <c r="W13" s="469">
        <f t="shared" si="7"/>
        <v>31845</v>
      </c>
      <c r="X13" s="473">
        <f t="shared" si="22"/>
        <v>0</v>
      </c>
      <c r="Y13" s="469">
        <f t="shared" si="7"/>
        <v>624440</v>
      </c>
      <c r="Z13" s="473">
        <f t="shared" si="19"/>
        <v>0</v>
      </c>
      <c r="AA13" s="469">
        <f t="shared" si="7"/>
        <v>34982</v>
      </c>
      <c r="AB13" s="473">
        <f t="shared" si="16"/>
        <v>0</v>
      </c>
      <c r="AC13" s="469">
        <f t="shared" si="7"/>
        <v>759837</v>
      </c>
      <c r="AD13" s="473">
        <f t="shared" si="17"/>
        <v>0</v>
      </c>
      <c r="AE13" s="496">
        <f t="shared" si="8"/>
        <v>0</v>
      </c>
      <c r="AF13" s="497">
        <f t="shared" si="9"/>
        <v>0</v>
      </c>
      <c r="AG13" s="489">
        <f t="shared" si="24"/>
        <v>0</v>
      </c>
      <c r="AI13" s="490">
        <f>R13-'EDl log'!B11</f>
        <v>-49601831</v>
      </c>
    </row>
    <row r="14" spans="1:115">
      <c r="A14" s="481">
        <f>'General information '!F17</f>
        <v>0</v>
      </c>
      <c r="B14" s="475">
        <f t="shared" si="6"/>
        <v>0</v>
      </c>
      <c r="C14" s="482">
        <v>43902</v>
      </c>
      <c r="D14" s="469">
        <f t="shared" si="20"/>
        <v>31495768</v>
      </c>
      <c r="E14" s="327">
        <f t="shared" si="10"/>
        <v>0</v>
      </c>
      <c r="F14" s="469">
        <f t="shared" si="20"/>
        <v>3564144.4</v>
      </c>
      <c r="G14" s="328">
        <f t="shared" si="0"/>
        <v>0</v>
      </c>
      <c r="H14" s="469">
        <f t="shared" si="20"/>
        <v>17352456</v>
      </c>
      <c r="I14" s="328">
        <f t="shared" si="11"/>
        <v>0</v>
      </c>
      <c r="J14" s="469">
        <f t="shared" si="20"/>
        <v>28335790</v>
      </c>
      <c r="K14" s="328">
        <f t="shared" si="12"/>
        <v>0</v>
      </c>
      <c r="L14" s="469">
        <f t="shared" si="20"/>
        <v>22765718</v>
      </c>
      <c r="M14" s="328">
        <f t="shared" si="13"/>
        <v>0</v>
      </c>
      <c r="N14" s="326">
        <f t="shared" si="14"/>
        <v>0</v>
      </c>
      <c r="O14" s="491">
        <f t="shared" si="23"/>
        <v>0</v>
      </c>
      <c r="P14" s="469">
        <f t="shared" si="21"/>
        <v>15386.126</v>
      </c>
      <c r="Q14" s="473">
        <f t="shared" si="25"/>
        <v>0</v>
      </c>
      <c r="R14" s="473">
        <f t="shared" si="18"/>
        <v>0</v>
      </c>
      <c r="S14" s="469">
        <f t="shared" si="7"/>
        <v>8384</v>
      </c>
      <c r="T14" s="493">
        <f t="shared" si="3"/>
        <v>0</v>
      </c>
      <c r="U14" s="469">
        <f t="shared" si="7"/>
        <v>1024343</v>
      </c>
      <c r="V14" s="473">
        <f t="shared" si="15"/>
        <v>0</v>
      </c>
      <c r="W14" s="469">
        <f t="shared" si="7"/>
        <v>31845</v>
      </c>
      <c r="X14" s="473">
        <f t="shared" si="22"/>
        <v>0</v>
      </c>
      <c r="Y14" s="469">
        <f t="shared" si="7"/>
        <v>624440</v>
      </c>
      <c r="Z14" s="473">
        <f t="shared" si="19"/>
        <v>0</v>
      </c>
      <c r="AA14" s="469">
        <f t="shared" si="7"/>
        <v>34982</v>
      </c>
      <c r="AB14" s="473">
        <f t="shared" si="16"/>
        <v>0</v>
      </c>
      <c r="AC14" s="469">
        <f t="shared" si="7"/>
        <v>759837</v>
      </c>
      <c r="AD14" s="473">
        <f t="shared" si="17"/>
        <v>0</v>
      </c>
      <c r="AE14" s="496">
        <f t="shared" si="8"/>
        <v>0</v>
      </c>
      <c r="AF14" s="497">
        <f t="shared" si="9"/>
        <v>0</v>
      </c>
      <c r="AG14" s="489">
        <f t="shared" si="24"/>
        <v>0</v>
      </c>
      <c r="AI14" s="490">
        <f>R14-'EDl log'!B12</f>
        <v>-49601831</v>
      </c>
    </row>
    <row r="15" spans="1:115">
      <c r="A15" s="481">
        <f>'General information '!F18</f>
        <v>0</v>
      </c>
      <c r="B15" s="475">
        <f t="shared" si="6"/>
        <v>0</v>
      </c>
      <c r="C15" s="482">
        <v>43903</v>
      </c>
      <c r="D15" s="469">
        <f t="shared" si="20"/>
        <v>31495768</v>
      </c>
      <c r="E15" s="327">
        <f t="shared" si="10"/>
        <v>0</v>
      </c>
      <c r="F15" s="469">
        <f t="shared" si="20"/>
        <v>3564144.4</v>
      </c>
      <c r="G15" s="328">
        <f t="shared" si="0"/>
        <v>0</v>
      </c>
      <c r="H15" s="469">
        <f t="shared" si="20"/>
        <v>17352456</v>
      </c>
      <c r="I15" s="328">
        <f t="shared" si="11"/>
        <v>0</v>
      </c>
      <c r="J15" s="469">
        <f t="shared" si="20"/>
        <v>28335790</v>
      </c>
      <c r="K15" s="328">
        <f t="shared" si="12"/>
        <v>0</v>
      </c>
      <c r="L15" s="469">
        <f t="shared" si="20"/>
        <v>22765718</v>
      </c>
      <c r="M15" s="328">
        <f t="shared" si="13"/>
        <v>0</v>
      </c>
      <c r="N15" s="326">
        <f t="shared" si="14"/>
        <v>0</v>
      </c>
      <c r="O15" s="491">
        <f t="shared" si="23"/>
        <v>0</v>
      </c>
      <c r="P15" s="469">
        <f t="shared" si="21"/>
        <v>15386.126</v>
      </c>
      <c r="Q15" s="473">
        <f>(P15-P14)*1000</f>
        <v>0</v>
      </c>
      <c r="R15" s="473">
        <f t="shared" si="18"/>
        <v>0</v>
      </c>
      <c r="S15" s="469">
        <f t="shared" si="7"/>
        <v>8384</v>
      </c>
      <c r="T15" s="493">
        <f t="shared" si="3"/>
        <v>0</v>
      </c>
      <c r="U15" s="469">
        <f t="shared" si="7"/>
        <v>1024343</v>
      </c>
      <c r="V15" s="473">
        <f t="shared" si="15"/>
        <v>0</v>
      </c>
      <c r="W15" s="469">
        <f t="shared" si="7"/>
        <v>31845</v>
      </c>
      <c r="X15" s="473">
        <f t="shared" si="22"/>
        <v>0</v>
      </c>
      <c r="Y15" s="469">
        <f t="shared" si="7"/>
        <v>624440</v>
      </c>
      <c r="Z15" s="473">
        <f t="shared" si="19"/>
        <v>0</v>
      </c>
      <c r="AA15" s="469">
        <f t="shared" si="7"/>
        <v>34982</v>
      </c>
      <c r="AB15" s="473">
        <f t="shared" si="16"/>
        <v>0</v>
      </c>
      <c r="AC15" s="469">
        <f t="shared" si="7"/>
        <v>759837</v>
      </c>
      <c r="AD15" s="473">
        <f t="shared" si="17"/>
        <v>0</v>
      </c>
      <c r="AE15" s="496">
        <f t="shared" si="8"/>
        <v>0</v>
      </c>
      <c r="AF15" s="497">
        <f t="shared" si="9"/>
        <v>0</v>
      </c>
      <c r="AG15" s="489">
        <f t="shared" si="24"/>
        <v>0</v>
      </c>
      <c r="AI15" s="490">
        <f>R15-'EDl log'!B13</f>
        <v>-49601831</v>
      </c>
    </row>
    <row r="16" spans="1:115">
      <c r="A16" s="481">
        <f>'General information '!F19</f>
        <v>0</v>
      </c>
      <c r="B16" s="475">
        <f t="shared" si="6"/>
        <v>0</v>
      </c>
      <c r="C16" s="482">
        <v>43904</v>
      </c>
      <c r="D16" s="469">
        <f t="shared" si="20"/>
        <v>31495768</v>
      </c>
      <c r="E16" s="327">
        <f t="shared" si="10"/>
        <v>0</v>
      </c>
      <c r="F16" s="469">
        <f t="shared" si="20"/>
        <v>3564144.4</v>
      </c>
      <c r="G16" s="328">
        <f t="shared" si="0"/>
        <v>0</v>
      </c>
      <c r="H16" s="469">
        <f t="shared" si="20"/>
        <v>17352456</v>
      </c>
      <c r="I16" s="328">
        <f t="shared" si="11"/>
        <v>0</v>
      </c>
      <c r="J16" s="469">
        <f t="shared" si="20"/>
        <v>28335790</v>
      </c>
      <c r="K16" s="328">
        <f t="shared" si="12"/>
        <v>0</v>
      </c>
      <c r="L16" s="469">
        <f t="shared" si="20"/>
        <v>22765718</v>
      </c>
      <c r="M16" s="328">
        <f t="shared" si="13"/>
        <v>0</v>
      </c>
      <c r="N16" s="326">
        <f t="shared" si="14"/>
        <v>0</v>
      </c>
      <c r="O16" s="491">
        <f t="shared" si="23"/>
        <v>0</v>
      </c>
      <c r="P16" s="469">
        <f t="shared" si="21"/>
        <v>15386.126</v>
      </c>
      <c r="Q16" s="473">
        <f>(P16-P15)*1000</f>
        <v>0</v>
      </c>
      <c r="R16" s="473">
        <f t="shared" si="18"/>
        <v>0</v>
      </c>
      <c r="S16" s="469">
        <f t="shared" si="7"/>
        <v>8384</v>
      </c>
      <c r="T16" s="493">
        <f t="shared" si="3"/>
        <v>0</v>
      </c>
      <c r="U16" s="469">
        <f t="shared" si="7"/>
        <v>1024343</v>
      </c>
      <c r="V16" s="473">
        <f t="shared" si="15"/>
        <v>0</v>
      </c>
      <c r="W16" s="469">
        <f t="shared" si="7"/>
        <v>31845</v>
      </c>
      <c r="X16" s="473">
        <f>W16-W15</f>
        <v>0</v>
      </c>
      <c r="Y16" s="469">
        <f t="shared" si="7"/>
        <v>624440</v>
      </c>
      <c r="Z16" s="473">
        <f>Y16-Y15</f>
        <v>0</v>
      </c>
      <c r="AA16" s="469">
        <f t="shared" si="7"/>
        <v>34982</v>
      </c>
      <c r="AB16" s="473">
        <f>AA16-AA15</f>
        <v>0</v>
      </c>
      <c r="AC16" s="469">
        <f t="shared" si="7"/>
        <v>759837</v>
      </c>
      <c r="AD16" s="473">
        <f t="shared" si="17"/>
        <v>0</v>
      </c>
      <c r="AE16" s="496">
        <f t="shared" si="8"/>
        <v>0</v>
      </c>
      <c r="AF16" s="497">
        <f t="shared" si="9"/>
        <v>0</v>
      </c>
      <c r="AG16" s="489">
        <f t="shared" si="24"/>
        <v>0</v>
      </c>
      <c r="AI16" s="490">
        <f>R16-'EDl log'!B14</f>
        <v>-49601831</v>
      </c>
    </row>
    <row r="17" spans="1:35">
      <c r="A17" s="481">
        <f>'General information '!F20</f>
        <v>0</v>
      </c>
      <c r="B17" s="475">
        <f t="shared" si="6"/>
        <v>0</v>
      </c>
      <c r="C17" s="482">
        <v>43905</v>
      </c>
      <c r="D17" s="469">
        <f t="shared" si="20"/>
        <v>31495768</v>
      </c>
      <c r="E17" s="327">
        <f t="shared" si="10"/>
        <v>0</v>
      </c>
      <c r="F17" s="469">
        <f t="shared" si="20"/>
        <v>3564144.4</v>
      </c>
      <c r="G17" s="328">
        <f t="shared" si="0"/>
        <v>0</v>
      </c>
      <c r="H17" s="469">
        <f t="shared" si="20"/>
        <v>17352456</v>
      </c>
      <c r="I17" s="328">
        <f t="shared" si="11"/>
        <v>0</v>
      </c>
      <c r="J17" s="469">
        <f t="shared" si="20"/>
        <v>28335790</v>
      </c>
      <c r="K17" s="328">
        <f t="shared" si="12"/>
        <v>0</v>
      </c>
      <c r="L17" s="469">
        <f t="shared" si="20"/>
        <v>22765718</v>
      </c>
      <c r="M17" s="328">
        <f t="shared" si="13"/>
        <v>0</v>
      </c>
      <c r="N17" s="326">
        <f t="shared" si="14"/>
        <v>0</v>
      </c>
      <c r="O17" s="491">
        <f t="shared" si="23"/>
        <v>0</v>
      </c>
      <c r="P17" s="469">
        <f t="shared" si="21"/>
        <v>15386.126</v>
      </c>
      <c r="Q17" s="473">
        <f t="shared" si="25"/>
        <v>0</v>
      </c>
      <c r="R17" s="473">
        <f t="shared" si="18"/>
        <v>0</v>
      </c>
      <c r="S17" s="469">
        <f t="shared" si="7"/>
        <v>8384</v>
      </c>
      <c r="T17" s="493">
        <f t="shared" si="3"/>
        <v>0</v>
      </c>
      <c r="U17" s="469">
        <f t="shared" si="7"/>
        <v>1024343</v>
      </c>
      <c r="V17" s="473">
        <f t="shared" si="15"/>
        <v>0</v>
      </c>
      <c r="W17" s="469">
        <f t="shared" si="7"/>
        <v>31845</v>
      </c>
      <c r="X17" s="473">
        <f t="shared" si="22"/>
        <v>0</v>
      </c>
      <c r="Y17" s="469">
        <f t="shared" si="7"/>
        <v>624440</v>
      </c>
      <c r="Z17" s="473">
        <f t="shared" si="19"/>
        <v>0</v>
      </c>
      <c r="AA17" s="469">
        <f t="shared" si="7"/>
        <v>34982</v>
      </c>
      <c r="AB17" s="473">
        <f t="shared" si="16"/>
        <v>0</v>
      </c>
      <c r="AC17" s="469">
        <f t="shared" si="7"/>
        <v>759837</v>
      </c>
      <c r="AD17" s="473">
        <f t="shared" ref="AD17:AD32" si="26">AC17-AC16</f>
        <v>0</v>
      </c>
      <c r="AE17" s="496">
        <f t="shared" si="8"/>
        <v>0</v>
      </c>
      <c r="AF17" s="497">
        <f t="shared" si="9"/>
        <v>0</v>
      </c>
      <c r="AG17" s="489">
        <f t="shared" si="24"/>
        <v>0</v>
      </c>
      <c r="AI17" s="490">
        <f>R17-'EDl log'!B15</f>
        <v>-49601831</v>
      </c>
    </row>
    <row r="18" spans="1:35">
      <c r="A18" s="481">
        <f>'General information '!F21</f>
        <v>0</v>
      </c>
      <c r="B18" s="475">
        <f t="shared" si="6"/>
        <v>0</v>
      </c>
      <c r="C18" s="482">
        <v>43906</v>
      </c>
      <c r="D18" s="469">
        <f t="shared" si="20"/>
        <v>31495768</v>
      </c>
      <c r="E18" s="327">
        <f t="shared" si="10"/>
        <v>0</v>
      </c>
      <c r="F18" s="469">
        <f t="shared" si="20"/>
        <v>3564144.4</v>
      </c>
      <c r="G18" s="328">
        <f t="shared" si="0"/>
        <v>0</v>
      </c>
      <c r="H18" s="469">
        <f t="shared" si="20"/>
        <v>17352456</v>
      </c>
      <c r="I18" s="328">
        <f t="shared" si="11"/>
        <v>0</v>
      </c>
      <c r="J18" s="469">
        <f t="shared" si="20"/>
        <v>28335790</v>
      </c>
      <c r="K18" s="328">
        <f t="shared" si="12"/>
        <v>0</v>
      </c>
      <c r="L18" s="469">
        <f t="shared" si="20"/>
        <v>22765718</v>
      </c>
      <c r="M18" s="328">
        <f t="shared" si="13"/>
        <v>0</v>
      </c>
      <c r="N18" s="326">
        <f t="shared" si="14"/>
        <v>0</v>
      </c>
      <c r="O18" s="491">
        <f t="shared" si="23"/>
        <v>0</v>
      </c>
      <c r="P18" s="469">
        <f t="shared" si="21"/>
        <v>15386.126</v>
      </c>
      <c r="Q18" s="473">
        <f t="shared" si="25"/>
        <v>0</v>
      </c>
      <c r="R18" s="473">
        <f t="shared" si="18"/>
        <v>0</v>
      </c>
      <c r="S18" s="469">
        <f t="shared" si="7"/>
        <v>8384</v>
      </c>
      <c r="T18" s="493">
        <f t="shared" si="3"/>
        <v>0</v>
      </c>
      <c r="U18" s="469">
        <f t="shared" si="7"/>
        <v>1024343</v>
      </c>
      <c r="V18" s="473">
        <f t="shared" si="15"/>
        <v>0</v>
      </c>
      <c r="W18" s="469">
        <f t="shared" si="7"/>
        <v>31845</v>
      </c>
      <c r="X18" s="473">
        <f t="shared" si="22"/>
        <v>0</v>
      </c>
      <c r="Y18" s="469">
        <f t="shared" si="7"/>
        <v>624440</v>
      </c>
      <c r="Z18" s="473">
        <f t="shared" si="19"/>
        <v>0</v>
      </c>
      <c r="AA18" s="469">
        <f t="shared" si="7"/>
        <v>34982</v>
      </c>
      <c r="AB18" s="473">
        <f t="shared" si="16"/>
        <v>0</v>
      </c>
      <c r="AC18" s="469">
        <f t="shared" si="7"/>
        <v>759837</v>
      </c>
      <c r="AD18" s="473">
        <f t="shared" si="26"/>
        <v>0</v>
      </c>
      <c r="AE18" s="496">
        <f t="shared" si="8"/>
        <v>0</v>
      </c>
      <c r="AF18" s="497">
        <f t="shared" si="9"/>
        <v>0</v>
      </c>
      <c r="AG18" s="489">
        <f t="shared" si="24"/>
        <v>0</v>
      </c>
      <c r="AI18" s="490">
        <f>R18-'EDl log'!B16</f>
        <v>-49601831</v>
      </c>
    </row>
    <row r="19" spans="1:35">
      <c r="A19" s="481">
        <f>'General information '!F22</f>
        <v>0</v>
      </c>
      <c r="B19" s="475">
        <f t="shared" si="6"/>
        <v>0</v>
      </c>
      <c r="C19" s="482">
        <v>43907</v>
      </c>
      <c r="D19" s="469">
        <f t="shared" si="20"/>
        <v>31495768</v>
      </c>
      <c r="E19" s="327">
        <f t="shared" si="10"/>
        <v>0</v>
      </c>
      <c r="F19" s="469">
        <f t="shared" si="20"/>
        <v>3564144.4</v>
      </c>
      <c r="G19" s="328">
        <f t="shared" si="0"/>
        <v>0</v>
      </c>
      <c r="H19" s="469">
        <f t="shared" si="20"/>
        <v>17352456</v>
      </c>
      <c r="I19" s="328">
        <f t="shared" si="11"/>
        <v>0</v>
      </c>
      <c r="J19" s="469">
        <f t="shared" si="20"/>
        <v>28335790</v>
      </c>
      <c r="K19" s="328">
        <f t="shared" si="12"/>
        <v>0</v>
      </c>
      <c r="L19" s="469">
        <f t="shared" si="20"/>
        <v>22765718</v>
      </c>
      <c r="M19" s="328">
        <f t="shared" si="13"/>
        <v>0</v>
      </c>
      <c r="N19" s="326">
        <f t="shared" si="14"/>
        <v>0</v>
      </c>
      <c r="O19" s="491">
        <f t="shared" si="23"/>
        <v>0</v>
      </c>
      <c r="P19" s="469">
        <f t="shared" si="21"/>
        <v>15386.126</v>
      </c>
      <c r="Q19" s="473">
        <f t="shared" si="25"/>
        <v>0</v>
      </c>
      <c r="R19" s="473">
        <f t="shared" si="18"/>
        <v>0</v>
      </c>
      <c r="S19" s="469">
        <f t="shared" si="7"/>
        <v>8384</v>
      </c>
      <c r="T19" s="493">
        <f t="shared" si="3"/>
        <v>0</v>
      </c>
      <c r="U19" s="469">
        <f t="shared" si="7"/>
        <v>1024343</v>
      </c>
      <c r="V19" s="473">
        <f t="shared" si="15"/>
        <v>0</v>
      </c>
      <c r="W19" s="469">
        <f t="shared" si="7"/>
        <v>31845</v>
      </c>
      <c r="X19" s="473">
        <f t="shared" si="22"/>
        <v>0</v>
      </c>
      <c r="Y19" s="469">
        <f t="shared" si="7"/>
        <v>624440</v>
      </c>
      <c r="Z19" s="473">
        <f t="shared" si="19"/>
        <v>0</v>
      </c>
      <c r="AA19" s="469">
        <f t="shared" si="7"/>
        <v>34982</v>
      </c>
      <c r="AB19" s="473">
        <f t="shared" si="16"/>
        <v>0</v>
      </c>
      <c r="AC19" s="469">
        <f t="shared" si="7"/>
        <v>759837</v>
      </c>
      <c r="AD19" s="473">
        <f t="shared" si="26"/>
        <v>0</v>
      </c>
      <c r="AE19" s="496">
        <f t="shared" si="8"/>
        <v>0</v>
      </c>
      <c r="AF19" s="497">
        <f t="shared" si="9"/>
        <v>0</v>
      </c>
      <c r="AG19" s="489">
        <f t="shared" si="24"/>
        <v>0</v>
      </c>
      <c r="AI19" s="490">
        <f>R19-'EDl log'!B17</f>
        <v>-49601831</v>
      </c>
    </row>
    <row r="20" spans="1:35">
      <c r="A20" s="481">
        <f>'General information '!F23</f>
        <v>0</v>
      </c>
      <c r="B20" s="475">
        <f t="shared" si="6"/>
        <v>0</v>
      </c>
      <c r="C20" s="482">
        <v>43908</v>
      </c>
      <c r="D20" s="469">
        <f t="shared" si="20"/>
        <v>31495768</v>
      </c>
      <c r="E20" s="327">
        <f t="shared" si="10"/>
        <v>0</v>
      </c>
      <c r="F20" s="469">
        <f t="shared" si="20"/>
        <v>3564144.4</v>
      </c>
      <c r="G20" s="328">
        <f t="shared" si="0"/>
        <v>0</v>
      </c>
      <c r="H20" s="469">
        <f t="shared" si="20"/>
        <v>17352456</v>
      </c>
      <c r="I20" s="328">
        <f t="shared" si="11"/>
        <v>0</v>
      </c>
      <c r="J20" s="469">
        <f t="shared" si="20"/>
        <v>28335790</v>
      </c>
      <c r="K20" s="328">
        <f t="shared" si="12"/>
        <v>0</v>
      </c>
      <c r="L20" s="469">
        <f t="shared" si="20"/>
        <v>22765718</v>
      </c>
      <c r="M20" s="328">
        <f t="shared" si="13"/>
        <v>0</v>
      </c>
      <c r="N20" s="326">
        <f t="shared" si="14"/>
        <v>0</v>
      </c>
      <c r="O20" s="491">
        <f t="shared" si="23"/>
        <v>0</v>
      </c>
      <c r="P20" s="469">
        <f t="shared" si="21"/>
        <v>15386.126</v>
      </c>
      <c r="Q20" s="473">
        <f t="shared" si="25"/>
        <v>0</v>
      </c>
      <c r="R20" s="473">
        <f t="shared" si="18"/>
        <v>0</v>
      </c>
      <c r="S20" s="469">
        <f t="shared" si="7"/>
        <v>8384</v>
      </c>
      <c r="T20" s="493">
        <f t="shared" si="3"/>
        <v>0</v>
      </c>
      <c r="U20" s="469">
        <f t="shared" si="7"/>
        <v>1024343</v>
      </c>
      <c r="V20" s="473">
        <f t="shared" si="15"/>
        <v>0</v>
      </c>
      <c r="W20" s="469">
        <f t="shared" si="7"/>
        <v>31845</v>
      </c>
      <c r="X20" s="473">
        <f t="shared" si="22"/>
        <v>0</v>
      </c>
      <c r="Y20" s="469">
        <f t="shared" si="7"/>
        <v>624440</v>
      </c>
      <c r="Z20" s="473">
        <f t="shared" si="19"/>
        <v>0</v>
      </c>
      <c r="AA20" s="469">
        <f t="shared" si="7"/>
        <v>34982</v>
      </c>
      <c r="AB20" s="473">
        <f t="shared" si="16"/>
        <v>0</v>
      </c>
      <c r="AC20" s="469">
        <f t="shared" si="7"/>
        <v>759837</v>
      </c>
      <c r="AD20" s="473">
        <f t="shared" si="26"/>
        <v>0</v>
      </c>
      <c r="AE20" s="496">
        <f t="shared" si="8"/>
        <v>0</v>
      </c>
      <c r="AF20" s="497">
        <f t="shared" si="9"/>
        <v>0</v>
      </c>
      <c r="AG20" s="489">
        <f t="shared" si="24"/>
        <v>0</v>
      </c>
      <c r="AI20" s="490">
        <f>R20-'EDl log'!B18</f>
        <v>-49601831</v>
      </c>
    </row>
    <row r="21" spans="1:35">
      <c r="A21" s="481">
        <f>'General information '!F24</f>
        <v>0</v>
      </c>
      <c r="B21" s="475">
        <f t="shared" si="6"/>
        <v>0</v>
      </c>
      <c r="C21" s="482">
        <v>43909</v>
      </c>
      <c r="D21" s="469">
        <f t="shared" si="20"/>
        <v>31495768</v>
      </c>
      <c r="E21" s="327">
        <f t="shared" si="10"/>
        <v>0</v>
      </c>
      <c r="F21" s="469">
        <f t="shared" si="20"/>
        <v>3564144.4</v>
      </c>
      <c r="G21" s="328">
        <f t="shared" si="0"/>
        <v>0</v>
      </c>
      <c r="H21" s="469">
        <f t="shared" si="20"/>
        <v>17352456</v>
      </c>
      <c r="I21" s="328">
        <f t="shared" si="11"/>
        <v>0</v>
      </c>
      <c r="J21" s="469">
        <f t="shared" si="20"/>
        <v>28335790</v>
      </c>
      <c r="K21" s="328">
        <f t="shared" si="12"/>
        <v>0</v>
      </c>
      <c r="L21" s="469">
        <f t="shared" si="20"/>
        <v>22765718</v>
      </c>
      <c r="M21" s="328">
        <f t="shared" si="13"/>
        <v>0</v>
      </c>
      <c r="N21" s="326">
        <f t="shared" si="14"/>
        <v>0</v>
      </c>
      <c r="O21" s="491">
        <f t="shared" si="23"/>
        <v>0</v>
      </c>
      <c r="P21" s="469">
        <f t="shared" si="21"/>
        <v>15386.126</v>
      </c>
      <c r="Q21" s="473">
        <f>(P21-P20)*1000</f>
        <v>0</v>
      </c>
      <c r="R21" s="473">
        <f t="shared" si="18"/>
        <v>0</v>
      </c>
      <c r="S21" s="469">
        <f t="shared" si="7"/>
        <v>8384</v>
      </c>
      <c r="T21" s="493">
        <f t="shared" si="3"/>
        <v>0</v>
      </c>
      <c r="U21" s="469">
        <f t="shared" si="7"/>
        <v>1024343</v>
      </c>
      <c r="V21" s="473">
        <f t="shared" si="15"/>
        <v>0</v>
      </c>
      <c r="W21" s="469">
        <f t="shared" si="7"/>
        <v>31845</v>
      </c>
      <c r="X21" s="473">
        <f t="shared" si="22"/>
        <v>0</v>
      </c>
      <c r="Y21" s="469">
        <f t="shared" si="7"/>
        <v>624440</v>
      </c>
      <c r="Z21" s="473">
        <f t="shared" si="19"/>
        <v>0</v>
      </c>
      <c r="AA21" s="469">
        <f t="shared" si="7"/>
        <v>34982</v>
      </c>
      <c r="AB21" s="473">
        <f t="shared" si="16"/>
        <v>0</v>
      </c>
      <c r="AC21" s="469">
        <f t="shared" si="7"/>
        <v>759837</v>
      </c>
      <c r="AD21" s="473">
        <f t="shared" si="26"/>
        <v>0</v>
      </c>
      <c r="AE21" s="496">
        <f t="shared" si="8"/>
        <v>0</v>
      </c>
      <c r="AF21" s="497">
        <f t="shared" si="9"/>
        <v>0</v>
      </c>
      <c r="AG21" s="489">
        <f t="shared" si="24"/>
        <v>0</v>
      </c>
      <c r="AI21" s="490">
        <f>R21-'EDl log'!B19</f>
        <v>-49601831</v>
      </c>
    </row>
    <row r="22" spans="1:35">
      <c r="A22" s="481">
        <f>'General information '!F25</f>
        <v>0</v>
      </c>
      <c r="B22" s="475">
        <f t="shared" si="6"/>
        <v>0</v>
      </c>
      <c r="C22" s="482">
        <v>43910</v>
      </c>
      <c r="D22" s="469">
        <f t="shared" si="20"/>
        <v>31495768</v>
      </c>
      <c r="E22" s="327">
        <f t="shared" si="10"/>
        <v>0</v>
      </c>
      <c r="F22" s="469">
        <f t="shared" si="20"/>
        <v>3564144.4</v>
      </c>
      <c r="G22" s="328">
        <f t="shared" si="0"/>
        <v>0</v>
      </c>
      <c r="H22" s="469">
        <f t="shared" si="20"/>
        <v>17352456</v>
      </c>
      <c r="I22" s="328">
        <f t="shared" si="11"/>
        <v>0</v>
      </c>
      <c r="J22" s="469">
        <f t="shared" si="20"/>
        <v>28335790</v>
      </c>
      <c r="K22" s="328">
        <f t="shared" si="12"/>
        <v>0</v>
      </c>
      <c r="L22" s="469">
        <f t="shared" si="20"/>
        <v>22765718</v>
      </c>
      <c r="M22" s="328">
        <f t="shared" si="13"/>
        <v>0</v>
      </c>
      <c r="N22" s="326">
        <f t="shared" si="14"/>
        <v>0</v>
      </c>
      <c r="O22" s="491">
        <f t="shared" si="23"/>
        <v>0</v>
      </c>
      <c r="P22" s="469">
        <f t="shared" si="21"/>
        <v>15386.126</v>
      </c>
      <c r="Q22" s="473">
        <f t="shared" si="25"/>
        <v>0</v>
      </c>
      <c r="R22" s="473">
        <f t="shared" si="18"/>
        <v>0</v>
      </c>
      <c r="S22" s="469">
        <f t="shared" si="7"/>
        <v>8384</v>
      </c>
      <c r="T22" s="493">
        <f t="shared" si="3"/>
        <v>0</v>
      </c>
      <c r="U22" s="469">
        <f t="shared" si="7"/>
        <v>1024343</v>
      </c>
      <c r="V22" s="473">
        <f t="shared" si="15"/>
        <v>0</v>
      </c>
      <c r="W22" s="469">
        <f t="shared" si="7"/>
        <v>31845</v>
      </c>
      <c r="X22" s="473">
        <f t="shared" si="22"/>
        <v>0</v>
      </c>
      <c r="Y22" s="469">
        <f t="shared" si="7"/>
        <v>624440</v>
      </c>
      <c r="Z22" s="473">
        <f t="shared" si="19"/>
        <v>0</v>
      </c>
      <c r="AA22" s="469">
        <f t="shared" si="7"/>
        <v>34982</v>
      </c>
      <c r="AB22" s="473">
        <f t="shared" si="16"/>
        <v>0</v>
      </c>
      <c r="AC22" s="469">
        <f t="shared" si="7"/>
        <v>759837</v>
      </c>
      <c r="AD22" s="473">
        <f t="shared" si="26"/>
        <v>0</v>
      </c>
      <c r="AE22" s="496">
        <f t="shared" si="8"/>
        <v>0</v>
      </c>
      <c r="AF22" s="497">
        <f t="shared" si="9"/>
        <v>0</v>
      </c>
      <c r="AG22" s="489">
        <f t="shared" si="24"/>
        <v>0</v>
      </c>
      <c r="AI22" s="490">
        <f>R22-'EDl log'!B20</f>
        <v>-49601831</v>
      </c>
    </row>
    <row r="23" spans="1:35">
      <c r="A23" s="481">
        <f>'General information '!F26</f>
        <v>0</v>
      </c>
      <c r="B23" s="475">
        <f t="shared" si="6"/>
        <v>0</v>
      </c>
      <c r="C23" s="482">
        <v>43911</v>
      </c>
      <c r="D23" s="469">
        <f t="shared" si="20"/>
        <v>31495768</v>
      </c>
      <c r="E23" s="327">
        <f t="shared" si="10"/>
        <v>0</v>
      </c>
      <c r="F23" s="469">
        <f t="shared" si="20"/>
        <v>3564144.4</v>
      </c>
      <c r="G23" s="328">
        <f t="shared" si="0"/>
        <v>0</v>
      </c>
      <c r="H23" s="469">
        <f t="shared" si="20"/>
        <v>17352456</v>
      </c>
      <c r="I23" s="462">
        <f t="shared" si="11"/>
        <v>0</v>
      </c>
      <c r="J23" s="469">
        <f t="shared" si="20"/>
        <v>28335790</v>
      </c>
      <c r="K23" s="328">
        <f t="shared" si="12"/>
        <v>0</v>
      </c>
      <c r="L23" s="469">
        <f t="shared" si="20"/>
        <v>22765718</v>
      </c>
      <c r="M23" s="328">
        <f t="shared" si="13"/>
        <v>0</v>
      </c>
      <c r="N23" s="326">
        <f t="shared" si="14"/>
        <v>0</v>
      </c>
      <c r="O23" s="491">
        <f t="shared" si="23"/>
        <v>0</v>
      </c>
      <c r="P23" s="469">
        <f t="shared" si="21"/>
        <v>15386.126</v>
      </c>
      <c r="Q23" s="473">
        <f t="shared" si="25"/>
        <v>0</v>
      </c>
      <c r="R23" s="473">
        <f t="shared" si="18"/>
        <v>0</v>
      </c>
      <c r="S23" s="469">
        <f t="shared" si="7"/>
        <v>8384</v>
      </c>
      <c r="T23" s="493">
        <f t="shared" si="3"/>
        <v>0</v>
      </c>
      <c r="U23" s="469">
        <f t="shared" si="7"/>
        <v>1024343</v>
      </c>
      <c r="V23" s="473">
        <f t="shared" si="15"/>
        <v>0</v>
      </c>
      <c r="W23" s="469">
        <f t="shared" si="7"/>
        <v>31845</v>
      </c>
      <c r="X23" s="473">
        <f t="shared" si="22"/>
        <v>0</v>
      </c>
      <c r="Y23" s="469">
        <f t="shared" si="7"/>
        <v>624440</v>
      </c>
      <c r="Z23" s="473">
        <f t="shared" si="19"/>
        <v>0</v>
      </c>
      <c r="AA23" s="469">
        <f t="shared" si="7"/>
        <v>34982</v>
      </c>
      <c r="AB23" s="473">
        <f t="shared" si="16"/>
        <v>0</v>
      </c>
      <c r="AC23" s="469">
        <f t="shared" si="7"/>
        <v>759837</v>
      </c>
      <c r="AD23" s="473">
        <f t="shared" si="26"/>
        <v>0</v>
      </c>
      <c r="AE23" s="496">
        <f t="shared" si="8"/>
        <v>0</v>
      </c>
      <c r="AF23" s="497">
        <f t="shared" si="9"/>
        <v>0</v>
      </c>
      <c r="AG23" s="489">
        <f t="shared" si="24"/>
        <v>0</v>
      </c>
      <c r="AI23" s="490">
        <f>R23-'EDl log'!B21</f>
        <v>-49601831</v>
      </c>
    </row>
    <row r="24" spans="1:35">
      <c r="A24" s="481">
        <f>'General information '!F27</f>
        <v>0</v>
      </c>
      <c r="B24" s="475">
        <f t="shared" si="6"/>
        <v>0</v>
      </c>
      <c r="C24" s="482">
        <v>43912</v>
      </c>
      <c r="D24" s="469">
        <f t="shared" si="20"/>
        <v>31495768</v>
      </c>
      <c r="E24" s="327">
        <f t="shared" si="10"/>
        <v>0</v>
      </c>
      <c r="F24" s="469">
        <f t="shared" si="20"/>
        <v>3564144.4</v>
      </c>
      <c r="G24" s="328">
        <f t="shared" si="0"/>
        <v>0</v>
      </c>
      <c r="H24" s="469">
        <f t="shared" si="20"/>
        <v>17352456</v>
      </c>
      <c r="I24" s="328">
        <f t="shared" si="11"/>
        <v>0</v>
      </c>
      <c r="J24" s="469">
        <f t="shared" si="20"/>
        <v>28335790</v>
      </c>
      <c r="K24" s="328">
        <f t="shared" si="12"/>
        <v>0</v>
      </c>
      <c r="L24" s="469">
        <f t="shared" si="20"/>
        <v>22765718</v>
      </c>
      <c r="M24" s="328">
        <f t="shared" si="13"/>
        <v>0</v>
      </c>
      <c r="N24" s="326">
        <f t="shared" si="14"/>
        <v>0</v>
      </c>
      <c r="O24" s="491">
        <f t="shared" si="23"/>
        <v>0</v>
      </c>
      <c r="P24" s="469">
        <f t="shared" si="21"/>
        <v>15386.126</v>
      </c>
      <c r="Q24" s="473">
        <f t="shared" si="25"/>
        <v>0</v>
      </c>
      <c r="R24" s="473">
        <f t="shared" si="18"/>
        <v>0</v>
      </c>
      <c r="S24" s="469">
        <f t="shared" si="7"/>
        <v>8384</v>
      </c>
      <c r="T24" s="493">
        <f t="shared" si="3"/>
        <v>0</v>
      </c>
      <c r="U24" s="469">
        <f t="shared" si="7"/>
        <v>1024343</v>
      </c>
      <c r="V24" s="473">
        <f t="shared" si="15"/>
        <v>0</v>
      </c>
      <c r="W24" s="469">
        <f t="shared" si="7"/>
        <v>31845</v>
      </c>
      <c r="X24" s="473">
        <f t="shared" si="22"/>
        <v>0</v>
      </c>
      <c r="Y24" s="469">
        <f t="shared" si="7"/>
        <v>624440</v>
      </c>
      <c r="Z24" s="473">
        <f t="shared" si="19"/>
        <v>0</v>
      </c>
      <c r="AA24" s="469">
        <f t="shared" si="7"/>
        <v>34982</v>
      </c>
      <c r="AB24" s="473">
        <f t="shared" si="16"/>
        <v>0</v>
      </c>
      <c r="AC24" s="469">
        <f t="shared" si="7"/>
        <v>759837</v>
      </c>
      <c r="AD24" s="473">
        <f t="shared" si="26"/>
        <v>0</v>
      </c>
      <c r="AE24" s="496">
        <f t="shared" si="8"/>
        <v>0</v>
      </c>
      <c r="AF24" s="497">
        <f t="shared" si="9"/>
        <v>0</v>
      </c>
      <c r="AG24" s="489">
        <f t="shared" si="24"/>
        <v>0</v>
      </c>
      <c r="AI24" s="490">
        <f>R24-'EDl log'!B22</f>
        <v>-49601831</v>
      </c>
    </row>
    <row r="25" spans="1:35">
      <c r="A25" s="481">
        <f>'General information '!F28</f>
        <v>0</v>
      </c>
      <c r="B25" s="475">
        <f t="shared" si="6"/>
        <v>0</v>
      </c>
      <c r="C25" s="482">
        <v>43913</v>
      </c>
      <c r="D25" s="469">
        <f t="shared" si="20"/>
        <v>31495768</v>
      </c>
      <c r="E25" s="327">
        <f t="shared" si="10"/>
        <v>0</v>
      </c>
      <c r="F25" s="469">
        <f t="shared" si="20"/>
        <v>3564144.4</v>
      </c>
      <c r="G25" s="328">
        <f t="shared" si="0"/>
        <v>0</v>
      </c>
      <c r="H25" s="469">
        <f t="shared" si="20"/>
        <v>17352456</v>
      </c>
      <c r="I25" s="328">
        <f t="shared" si="11"/>
        <v>0</v>
      </c>
      <c r="J25" s="469">
        <f t="shared" si="20"/>
        <v>28335790</v>
      </c>
      <c r="K25" s="328">
        <f t="shared" si="12"/>
        <v>0</v>
      </c>
      <c r="L25" s="469">
        <f t="shared" si="20"/>
        <v>22765718</v>
      </c>
      <c r="M25" s="328">
        <f t="shared" si="13"/>
        <v>0</v>
      </c>
      <c r="N25" s="326">
        <f t="shared" si="14"/>
        <v>0</v>
      </c>
      <c r="O25" s="491">
        <f t="shared" si="23"/>
        <v>0</v>
      </c>
      <c r="P25" s="469">
        <f t="shared" si="21"/>
        <v>15386.126</v>
      </c>
      <c r="Q25" s="473">
        <f t="shared" si="25"/>
        <v>0</v>
      </c>
      <c r="R25" s="473">
        <f t="shared" si="18"/>
        <v>0</v>
      </c>
      <c r="S25" s="469">
        <f t="shared" si="7"/>
        <v>8384</v>
      </c>
      <c r="T25" s="493">
        <f t="shared" si="3"/>
        <v>0</v>
      </c>
      <c r="U25" s="469">
        <f t="shared" si="7"/>
        <v>1024343</v>
      </c>
      <c r="V25" s="473">
        <f t="shared" si="15"/>
        <v>0</v>
      </c>
      <c r="W25" s="469">
        <f t="shared" si="7"/>
        <v>31845</v>
      </c>
      <c r="X25" s="473">
        <f t="shared" si="22"/>
        <v>0</v>
      </c>
      <c r="Y25" s="469">
        <f t="shared" si="7"/>
        <v>624440</v>
      </c>
      <c r="Z25" s="473">
        <f t="shared" si="19"/>
        <v>0</v>
      </c>
      <c r="AA25" s="469">
        <f t="shared" si="7"/>
        <v>34982</v>
      </c>
      <c r="AB25" s="473">
        <f t="shared" si="16"/>
        <v>0</v>
      </c>
      <c r="AC25" s="469">
        <f t="shared" si="7"/>
        <v>759837</v>
      </c>
      <c r="AD25" s="473">
        <f t="shared" si="26"/>
        <v>0</v>
      </c>
      <c r="AE25" s="496">
        <f t="shared" si="8"/>
        <v>0</v>
      </c>
      <c r="AF25" s="497">
        <f t="shared" si="9"/>
        <v>0</v>
      </c>
      <c r="AG25" s="489">
        <f t="shared" si="24"/>
        <v>0</v>
      </c>
      <c r="AI25" s="490">
        <f>R25-'EDl log'!B23</f>
        <v>-49601831</v>
      </c>
    </row>
    <row r="26" spans="1:35">
      <c r="A26" s="481">
        <f>'General information '!F29</f>
        <v>0</v>
      </c>
      <c r="B26" s="475">
        <f t="shared" si="6"/>
        <v>0</v>
      </c>
      <c r="C26" s="482">
        <v>43914</v>
      </c>
      <c r="D26" s="469">
        <f t="shared" si="20"/>
        <v>31495768</v>
      </c>
      <c r="E26" s="327">
        <f t="shared" si="10"/>
        <v>0</v>
      </c>
      <c r="F26" s="469">
        <f t="shared" si="20"/>
        <v>3564144.4</v>
      </c>
      <c r="G26" s="328">
        <f t="shared" si="0"/>
        <v>0</v>
      </c>
      <c r="H26" s="469">
        <f t="shared" si="20"/>
        <v>17352456</v>
      </c>
      <c r="I26" s="328">
        <f t="shared" si="11"/>
        <v>0</v>
      </c>
      <c r="J26" s="469">
        <f t="shared" si="20"/>
        <v>28335790</v>
      </c>
      <c r="K26" s="328">
        <f t="shared" si="12"/>
        <v>0</v>
      </c>
      <c r="L26" s="469">
        <f t="shared" si="20"/>
        <v>22765718</v>
      </c>
      <c r="M26" s="328">
        <f t="shared" si="13"/>
        <v>0</v>
      </c>
      <c r="N26" s="326">
        <f t="shared" si="14"/>
        <v>0</v>
      </c>
      <c r="O26" s="491">
        <f t="shared" si="23"/>
        <v>0</v>
      </c>
      <c r="P26" s="469">
        <f t="shared" si="21"/>
        <v>15386.126</v>
      </c>
      <c r="Q26" s="473">
        <f t="shared" si="25"/>
        <v>0</v>
      </c>
      <c r="R26" s="498">
        <f>N26-Q26</f>
        <v>0</v>
      </c>
      <c r="S26" s="469">
        <f t="shared" si="7"/>
        <v>8384</v>
      </c>
      <c r="T26" s="493">
        <f t="shared" si="3"/>
        <v>0</v>
      </c>
      <c r="U26" s="469">
        <f t="shared" si="7"/>
        <v>1024343</v>
      </c>
      <c r="V26" s="473">
        <f t="shared" si="15"/>
        <v>0</v>
      </c>
      <c r="W26" s="469">
        <f t="shared" si="7"/>
        <v>31845</v>
      </c>
      <c r="X26" s="473">
        <f t="shared" si="22"/>
        <v>0</v>
      </c>
      <c r="Y26" s="469">
        <f t="shared" si="7"/>
        <v>624440</v>
      </c>
      <c r="Z26" s="473">
        <f t="shared" si="19"/>
        <v>0</v>
      </c>
      <c r="AA26" s="469">
        <f t="shared" si="7"/>
        <v>34982</v>
      </c>
      <c r="AB26" s="473">
        <f t="shared" si="16"/>
        <v>0</v>
      </c>
      <c r="AC26" s="469">
        <f t="shared" si="7"/>
        <v>759837</v>
      </c>
      <c r="AD26" s="473">
        <f t="shared" si="26"/>
        <v>0</v>
      </c>
      <c r="AE26" s="496">
        <f t="shared" si="8"/>
        <v>0</v>
      </c>
      <c r="AF26" s="497">
        <f t="shared" si="9"/>
        <v>0</v>
      </c>
      <c r="AG26" s="489">
        <f t="shared" si="24"/>
        <v>0</v>
      </c>
      <c r="AI26" s="490">
        <f>R26-'EDl log'!B24</f>
        <v>-49601831</v>
      </c>
    </row>
    <row r="27" spans="1:35">
      <c r="A27" s="481">
        <f>'General information '!F30</f>
        <v>0</v>
      </c>
      <c r="B27" s="475">
        <f t="shared" si="6"/>
        <v>0</v>
      </c>
      <c r="C27" s="482">
        <v>43915</v>
      </c>
      <c r="D27" s="469">
        <f t="shared" si="20"/>
        <v>31495768</v>
      </c>
      <c r="E27" s="327">
        <f t="shared" si="10"/>
        <v>0</v>
      </c>
      <c r="F27" s="469">
        <f t="shared" si="20"/>
        <v>3564144.4</v>
      </c>
      <c r="G27" s="328">
        <f>F27-F26</f>
        <v>0</v>
      </c>
      <c r="H27" s="469">
        <f t="shared" si="20"/>
        <v>17352456</v>
      </c>
      <c r="I27" s="328">
        <f t="shared" si="11"/>
        <v>0</v>
      </c>
      <c r="J27" s="469">
        <f t="shared" si="20"/>
        <v>28335790</v>
      </c>
      <c r="K27" s="328">
        <f t="shared" si="12"/>
        <v>0</v>
      </c>
      <c r="L27" s="469">
        <f t="shared" si="20"/>
        <v>22765718</v>
      </c>
      <c r="M27" s="328">
        <f t="shared" si="13"/>
        <v>0</v>
      </c>
      <c r="N27" s="326">
        <f t="shared" si="14"/>
        <v>0</v>
      </c>
      <c r="O27" s="491">
        <f t="shared" si="23"/>
        <v>0</v>
      </c>
      <c r="P27" s="469">
        <f t="shared" si="21"/>
        <v>15386.126</v>
      </c>
      <c r="Q27" s="473">
        <f t="shared" si="25"/>
        <v>0</v>
      </c>
      <c r="R27" s="473">
        <f t="shared" si="18"/>
        <v>0</v>
      </c>
      <c r="S27" s="469">
        <f t="shared" si="7"/>
        <v>8384</v>
      </c>
      <c r="T27" s="493">
        <f t="shared" si="3"/>
        <v>0</v>
      </c>
      <c r="U27" s="469">
        <f t="shared" si="7"/>
        <v>1024343</v>
      </c>
      <c r="V27" s="473">
        <f t="shared" si="15"/>
        <v>0</v>
      </c>
      <c r="W27" s="469">
        <f t="shared" si="7"/>
        <v>31845</v>
      </c>
      <c r="X27" s="473">
        <f t="shared" si="22"/>
        <v>0</v>
      </c>
      <c r="Y27" s="469">
        <f t="shared" si="7"/>
        <v>624440</v>
      </c>
      <c r="Z27" s="473">
        <f t="shared" si="19"/>
        <v>0</v>
      </c>
      <c r="AA27" s="469">
        <f t="shared" si="7"/>
        <v>34982</v>
      </c>
      <c r="AB27" s="473">
        <f t="shared" si="16"/>
        <v>0</v>
      </c>
      <c r="AC27" s="469">
        <f t="shared" si="7"/>
        <v>759837</v>
      </c>
      <c r="AD27" s="473">
        <f t="shared" si="26"/>
        <v>0</v>
      </c>
      <c r="AE27" s="496">
        <f t="shared" si="8"/>
        <v>0</v>
      </c>
      <c r="AF27" s="497">
        <f t="shared" si="9"/>
        <v>0</v>
      </c>
      <c r="AG27" s="489">
        <f t="shared" si="24"/>
        <v>0</v>
      </c>
      <c r="AI27" s="490">
        <f>R27-'EDl log'!B25</f>
        <v>-49601831</v>
      </c>
    </row>
    <row r="28" spans="1:35">
      <c r="A28" s="481">
        <f>'General information '!F31</f>
        <v>0</v>
      </c>
      <c r="B28" s="475">
        <f t="shared" si="6"/>
        <v>0</v>
      </c>
      <c r="C28" s="482">
        <v>43916</v>
      </c>
      <c r="D28" s="469">
        <f t="shared" si="20"/>
        <v>31495768</v>
      </c>
      <c r="E28" s="327">
        <f t="shared" si="10"/>
        <v>0</v>
      </c>
      <c r="F28" s="469">
        <f t="shared" si="20"/>
        <v>3564144.4</v>
      </c>
      <c r="G28" s="328">
        <f t="shared" si="0"/>
        <v>0</v>
      </c>
      <c r="H28" s="469">
        <f t="shared" si="20"/>
        <v>17352456</v>
      </c>
      <c r="I28" s="328">
        <f t="shared" si="11"/>
        <v>0</v>
      </c>
      <c r="J28" s="469">
        <f t="shared" si="20"/>
        <v>28335790</v>
      </c>
      <c r="K28" s="328">
        <f t="shared" si="12"/>
        <v>0</v>
      </c>
      <c r="L28" s="469">
        <f t="shared" si="20"/>
        <v>22765718</v>
      </c>
      <c r="M28" s="328">
        <f t="shared" si="13"/>
        <v>0</v>
      </c>
      <c r="N28" s="326">
        <f t="shared" si="14"/>
        <v>0</v>
      </c>
      <c r="O28" s="491">
        <f t="shared" si="23"/>
        <v>0</v>
      </c>
      <c r="P28" s="469">
        <f t="shared" si="21"/>
        <v>15386.126</v>
      </c>
      <c r="Q28" s="473">
        <f t="shared" si="25"/>
        <v>0</v>
      </c>
      <c r="R28" s="473">
        <f>N28-Q28</f>
        <v>0</v>
      </c>
      <c r="S28" s="469">
        <f t="shared" si="7"/>
        <v>8384</v>
      </c>
      <c r="T28" s="493">
        <f t="shared" si="3"/>
        <v>0</v>
      </c>
      <c r="U28" s="469">
        <f t="shared" si="7"/>
        <v>1024343</v>
      </c>
      <c r="V28" s="473">
        <f t="shared" si="15"/>
        <v>0</v>
      </c>
      <c r="W28" s="469">
        <f t="shared" si="7"/>
        <v>31845</v>
      </c>
      <c r="X28" s="473">
        <f t="shared" si="22"/>
        <v>0</v>
      </c>
      <c r="Y28" s="469">
        <f t="shared" si="7"/>
        <v>624440</v>
      </c>
      <c r="Z28" s="473">
        <f t="shared" si="19"/>
        <v>0</v>
      </c>
      <c r="AA28" s="469">
        <f t="shared" si="7"/>
        <v>34982</v>
      </c>
      <c r="AB28" s="473">
        <f t="shared" si="16"/>
        <v>0</v>
      </c>
      <c r="AC28" s="469">
        <f t="shared" si="7"/>
        <v>759837</v>
      </c>
      <c r="AD28" s="473">
        <f t="shared" si="26"/>
        <v>0</v>
      </c>
      <c r="AE28" s="496">
        <f t="shared" si="8"/>
        <v>0</v>
      </c>
      <c r="AF28" s="497">
        <f t="shared" si="9"/>
        <v>0</v>
      </c>
      <c r="AG28" s="489">
        <f t="shared" si="24"/>
        <v>0</v>
      </c>
      <c r="AI28" s="490">
        <f>R28-'EDl log'!B26</f>
        <v>-49601831</v>
      </c>
    </row>
    <row r="29" spans="1:35">
      <c r="A29" s="481">
        <f>'General information '!F32</f>
        <v>0</v>
      </c>
      <c r="B29" s="475">
        <f>SUM(230*A29)</f>
        <v>0</v>
      </c>
      <c r="C29" s="482">
        <v>43917</v>
      </c>
      <c r="D29" s="469">
        <f t="shared" si="20"/>
        <v>31495768</v>
      </c>
      <c r="E29" s="327">
        <f t="shared" si="10"/>
        <v>0</v>
      </c>
      <c r="F29" s="469">
        <f t="shared" si="20"/>
        <v>3564144.4</v>
      </c>
      <c r="G29" s="328">
        <f t="shared" si="0"/>
        <v>0</v>
      </c>
      <c r="H29" s="469">
        <f t="shared" si="20"/>
        <v>17352456</v>
      </c>
      <c r="I29" s="328">
        <f t="shared" si="11"/>
        <v>0</v>
      </c>
      <c r="J29" s="469">
        <f t="shared" si="20"/>
        <v>28335790</v>
      </c>
      <c r="K29" s="328">
        <f t="shared" si="12"/>
        <v>0</v>
      </c>
      <c r="L29" s="469">
        <f t="shared" si="20"/>
        <v>22765718</v>
      </c>
      <c r="M29" s="328">
        <f t="shared" si="13"/>
        <v>0</v>
      </c>
      <c r="N29" s="326">
        <f t="shared" si="14"/>
        <v>0</v>
      </c>
      <c r="O29" s="491">
        <f t="shared" si="23"/>
        <v>0</v>
      </c>
      <c r="P29" s="469">
        <f t="shared" si="21"/>
        <v>15386.126</v>
      </c>
      <c r="Q29" s="473">
        <f t="shared" si="25"/>
        <v>0</v>
      </c>
      <c r="R29" s="473">
        <f t="shared" si="18"/>
        <v>0</v>
      </c>
      <c r="S29" s="469">
        <f t="shared" si="7"/>
        <v>8384</v>
      </c>
      <c r="T29" s="493">
        <f t="shared" si="3"/>
        <v>0</v>
      </c>
      <c r="U29" s="469">
        <f t="shared" si="7"/>
        <v>1024343</v>
      </c>
      <c r="V29" s="473">
        <f t="shared" si="15"/>
        <v>0</v>
      </c>
      <c r="W29" s="469">
        <f t="shared" si="7"/>
        <v>31845</v>
      </c>
      <c r="X29" s="473">
        <f t="shared" si="22"/>
        <v>0</v>
      </c>
      <c r="Y29" s="469">
        <f t="shared" si="7"/>
        <v>624440</v>
      </c>
      <c r="Z29" s="473">
        <f t="shared" si="19"/>
        <v>0</v>
      </c>
      <c r="AA29" s="469">
        <f t="shared" si="7"/>
        <v>34982</v>
      </c>
      <c r="AB29" s="473">
        <f t="shared" si="16"/>
        <v>0</v>
      </c>
      <c r="AC29" s="469">
        <f t="shared" si="7"/>
        <v>759837</v>
      </c>
      <c r="AD29" s="473">
        <f t="shared" si="26"/>
        <v>0</v>
      </c>
      <c r="AE29" s="496">
        <f t="shared" si="8"/>
        <v>0</v>
      </c>
      <c r="AF29" s="497">
        <f t="shared" si="9"/>
        <v>0</v>
      </c>
      <c r="AG29" s="489">
        <f t="shared" si="24"/>
        <v>0</v>
      </c>
      <c r="AI29" s="490">
        <f>R29-'EDl log'!B27</f>
        <v>-49601831</v>
      </c>
    </row>
    <row r="30" spans="1:35">
      <c r="A30" s="481">
        <f>'General information '!F33</f>
        <v>0</v>
      </c>
      <c r="B30" s="475">
        <f t="shared" si="6"/>
        <v>0</v>
      </c>
      <c r="C30" s="482">
        <v>43918</v>
      </c>
      <c r="D30" s="469">
        <f t="shared" si="20"/>
        <v>31495768</v>
      </c>
      <c r="E30" s="327">
        <f t="shared" si="10"/>
        <v>0</v>
      </c>
      <c r="F30" s="469">
        <f t="shared" si="20"/>
        <v>3564144.4</v>
      </c>
      <c r="G30" s="328">
        <f t="shared" si="0"/>
        <v>0</v>
      </c>
      <c r="H30" s="469">
        <f t="shared" si="20"/>
        <v>17352456</v>
      </c>
      <c r="I30" s="328">
        <f t="shared" si="11"/>
        <v>0</v>
      </c>
      <c r="J30" s="469">
        <f t="shared" si="20"/>
        <v>28335790</v>
      </c>
      <c r="K30" s="328">
        <f t="shared" si="12"/>
        <v>0</v>
      </c>
      <c r="L30" s="469">
        <f t="shared" si="20"/>
        <v>22765718</v>
      </c>
      <c r="M30" s="328">
        <f t="shared" si="13"/>
        <v>0</v>
      </c>
      <c r="N30" s="326">
        <f t="shared" si="14"/>
        <v>0</v>
      </c>
      <c r="O30" s="491">
        <f t="shared" si="23"/>
        <v>0</v>
      </c>
      <c r="P30" s="469">
        <f t="shared" si="21"/>
        <v>15386.126</v>
      </c>
      <c r="Q30" s="473">
        <f t="shared" si="25"/>
        <v>0</v>
      </c>
      <c r="R30" s="473">
        <f t="shared" si="18"/>
        <v>0</v>
      </c>
      <c r="S30" s="469">
        <f t="shared" si="7"/>
        <v>8384</v>
      </c>
      <c r="T30" s="493">
        <f t="shared" si="3"/>
        <v>0</v>
      </c>
      <c r="U30" s="469">
        <f t="shared" si="7"/>
        <v>1024343</v>
      </c>
      <c r="V30" s="473">
        <f t="shared" si="15"/>
        <v>0</v>
      </c>
      <c r="W30" s="469">
        <f t="shared" si="7"/>
        <v>31845</v>
      </c>
      <c r="X30" s="494">
        <f t="shared" si="22"/>
        <v>0</v>
      </c>
      <c r="Y30" s="469">
        <f t="shared" si="7"/>
        <v>624440</v>
      </c>
      <c r="Z30" s="473">
        <f t="shared" si="19"/>
        <v>0</v>
      </c>
      <c r="AA30" s="469">
        <f t="shared" si="7"/>
        <v>34982</v>
      </c>
      <c r="AB30" s="473">
        <f t="shared" si="16"/>
        <v>0</v>
      </c>
      <c r="AC30" s="469">
        <f t="shared" si="7"/>
        <v>759837</v>
      </c>
      <c r="AD30" s="473">
        <f t="shared" si="26"/>
        <v>0</v>
      </c>
      <c r="AE30" s="496">
        <f t="shared" si="8"/>
        <v>0</v>
      </c>
      <c r="AF30" s="497">
        <f t="shared" si="9"/>
        <v>0</v>
      </c>
      <c r="AG30" s="489">
        <f t="shared" si="24"/>
        <v>0</v>
      </c>
      <c r="AI30" s="490">
        <f>R30-'EDl log'!B28</f>
        <v>-49601831</v>
      </c>
    </row>
    <row r="31" spans="1:35">
      <c r="A31" s="481">
        <f>'General information '!F34</f>
        <v>0</v>
      </c>
      <c r="B31" s="475">
        <f t="shared" si="6"/>
        <v>0</v>
      </c>
      <c r="C31" s="482">
        <v>43919</v>
      </c>
      <c r="D31" s="469">
        <f t="shared" si="20"/>
        <v>31495768</v>
      </c>
      <c r="E31" s="327">
        <f t="shared" si="10"/>
        <v>0</v>
      </c>
      <c r="F31" s="469">
        <f t="shared" si="20"/>
        <v>3564144.4</v>
      </c>
      <c r="G31" s="328">
        <f t="shared" si="0"/>
        <v>0</v>
      </c>
      <c r="H31" s="469">
        <f t="shared" si="20"/>
        <v>17352456</v>
      </c>
      <c r="I31" s="328">
        <f t="shared" si="11"/>
        <v>0</v>
      </c>
      <c r="J31" s="469">
        <f t="shared" si="20"/>
        <v>28335790</v>
      </c>
      <c r="K31" s="328">
        <f t="shared" si="12"/>
        <v>0</v>
      </c>
      <c r="L31" s="469">
        <f t="shared" si="20"/>
        <v>22765718</v>
      </c>
      <c r="M31" s="328">
        <f t="shared" si="13"/>
        <v>0</v>
      </c>
      <c r="N31" s="326">
        <f t="shared" si="14"/>
        <v>0</v>
      </c>
      <c r="O31" s="491">
        <f t="shared" si="23"/>
        <v>0</v>
      </c>
      <c r="P31" s="469">
        <f t="shared" si="21"/>
        <v>15386.126</v>
      </c>
      <c r="Q31" s="473">
        <f t="shared" si="25"/>
        <v>0</v>
      </c>
      <c r="R31" s="473">
        <f t="shared" si="18"/>
        <v>0</v>
      </c>
      <c r="S31" s="469">
        <f t="shared" si="7"/>
        <v>8384</v>
      </c>
      <c r="T31" s="493">
        <f t="shared" si="3"/>
        <v>0</v>
      </c>
      <c r="U31" s="469">
        <f t="shared" si="7"/>
        <v>1024343</v>
      </c>
      <c r="V31" s="473">
        <f t="shared" si="15"/>
        <v>0</v>
      </c>
      <c r="W31" s="469">
        <f t="shared" si="7"/>
        <v>31845</v>
      </c>
      <c r="X31" s="473">
        <f t="shared" si="22"/>
        <v>0</v>
      </c>
      <c r="Y31" s="469">
        <f t="shared" si="7"/>
        <v>624440</v>
      </c>
      <c r="Z31" s="495">
        <f>Y31-Y30</f>
        <v>0</v>
      </c>
      <c r="AA31" s="469">
        <f t="shared" si="7"/>
        <v>34982</v>
      </c>
      <c r="AB31" s="473">
        <f t="shared" si="16"/>
        <v>0</v>
      </c>
      <c r="AC31" s="469">
        <f t="shared" si="7"/>
        <v>759837</v>
      </c>
      <c r="AD31" s="473">
        <f t="shared" si="26"/>
        <v>0</v>
      </c>
      <c r="AE31" s="496">
        <f t="shared" si="8"/>
        <v>0</v>
      </c>
      <c r="AF31" s="497">
        <f t="shared" si="9"/>
        <v>0</v>
      </c>
      <c r="AG31" s="489">
        <f t="shared" si="24"/>
        <v>0</v>
      </c>
      <c r="AI31" s="490">
        <f>R31-'EDl log'!B29</f>
        <v>-49601831</v>
      </c>
    </row>
    <row r="32" spans="1:35">
      <c r="A32" s="481">
        <f>'General information '!F35</f>
        <v>0</v>
      </c>
      <c r="B32" s="475">
        <f>SUM(230*A32)</f>
        <v>0</v>
      </c>
      <c r="C32" s="482">
        <v>43920</v>
      </c>
      <c r="D32" s="469">
        <f t="shared" si="20"/>
        <v>31495768</v>
      </c>
      <c r="E32" s="327">
        <f t="shared" si="10"/>
        <v>0</v>
      </c>
      <c r="F32" s="469">
        <f t="shared" si="20"/>
        <v>3564144.4</v>
      </c>
      <c r="G32" s="328">
        <f>F32-F31</f>
        <v>0</v>
      </c>
      <c r="H32" s="469">
        <f t="shared" si="20"/>
        <v>17352456</v>
      </c>
      <c r="I32" s="328">
        <f>H32-H31</f>
        <v>0</v>
      </c>
      <c r="J32" s="469">
        <f t="shared" si="20"/>
        <v>28335790</v>
      </c>
      <c r="K32" s="328">
        <f>J32-J31</f>
        <v>0</v>
      </c>
      <c r="L32" s="469">
        <f t="shared" si="20"/>
        <v>22765718</v>
      </c>
      <c r="M32" s="328">
        <f>L32-L31</f>
        <v>0</v>
      </c>
      <c r="N32" s="326">
        <f>M32+K32+I32+G32+E32</f>
        <v>0</v>
      </c>
      <c r="O32" s="491">
        <f t="shared" si="23"/>
        <v>0</v>
      </c>
      <c r="P32" s="469">
        <f t="shared" si="21"/>
        <v>15386.126</v>
      </c>
      <c r="Q32" s="473">
        <f>(P32-P31)*1000</f>
        <v>0</v>
      </c>
      <c r="R32" s="473">
        <f>N32-Q32</f>
        <v>0</v>
      </c>
      <c r="S32" s="469">
        <f t="shared" si="7"/>
        <v>8384</v>
      </c>
      <c r="T32" s="493">
        <f t="shared" si="3"/>
        <v>0</v>
      </c>
      <c r="U32" s="469">
        <f t="shared" si="7"/>
        <v>1024343</v>
      </c>
      <c r="V32" s="473">
        <f t="shared" si="15"/>
        <v>0</v>
      </c>
      <c r="W32" s="469">
        <f t="shared" si="7"/>
        <v>31845</v>
      </c>
      <c r="X32" s="473">
        <f t="shared" si="22"/>
        <v>0</v>
      </c>
      <c r="Y32" s="469">
        <f t="shared" si="7"/>
        <v>624440</v>
      </c>
      <c r="Z32" s="495">
        <f>Y32-Y31</f>
        <v>0</v>
      </c>
      <c r="AA32" s="469">
        <f t="shared" si="7"/>
        <v>34982</v>
      </c>
      <c r="AB32" s="473">
        <f t="shared" si="16"/>
        <v>0</v>
      </c>
      <c r="AC32" s="469">
        <f t="shared" si="7"/>
        <v>759837</v>
      </c>
      <c r="AD32" s="473">
        <f t="shared" si="26"/>
        <v>0</v>
      </c>
      <c r="AE32" s="496">
        <f t="shared" si="8"/>
        <v>0</v>
      </c>
      <c r="AF32" s="497">
        <f>V32+Z32+AD32</f>
        <v>0</v>
      </c>
      <c r="AG32" s="489">
        <f t="shared" si="24"/>
        <v>0</v>
      </c>
      <c r="AI32" s="490">
        <f>R32-'EDl log'!B30</f>
        <v>-49601831</v>
      </c>
    </row>
    <row r="33" spans="1:35">
      <c r="A33" s="481">
        <f>'General information '!F36</f>
        <v>0</v>
      </c>
      <c r="B33" s="475">
        <f>SUM(230*A33)</f>
        <v>0</v>
      </c>
      <c r="C33" s="482">
        <v>43921</v>
      </c>
      <c r="D33" s="469">
        <f t="shared" si="20"/>
        <v>31495768</v>
      </c>
      <c r="E33" s="327">
        <f t="shared" si="10"/>
        <v>0</v>
      </c>
      <c r="F33" s="469">
        <f t="shared" si="20"/>
        <v>3564144.4</v>
      </c>
      <c r="G33" s="328">
        <f>F33-F32</f>
        <v>0</v>
      </c>
      <c r="H33" s="469">
        <f t="shared" si="20"/>
        <v>17352456</v>
      </c>
      <c r="I33" s="328">
        <f>H33-H32</f>
        <v>0</v>
      </c>
      <c r="J33" s="469">
        <f t="shared" si="20"/>
        <v>28335790</v>
      </c>
      <c r="K33" s="328">
        <f>J33-J32</f>
        <v>0</v>
      </c>
      <c r="L33" s="469">
        <f t="shared" si="20"/>
        <v>22765718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1"/>
        <v>15386.126</v>
      </c>
      <c r="Q33" s="473">
        <f>(P33-P32)*1000</f>
        <v>0</v>
      </c>
      <c r="R33" s="473">
        <f>N33-Q33</f>
        <v>0</v>
      </c>
      <c r="S33" s="469">
        <f t="shared" si="7"/>
        <v>8384</v>
      </c>
      <c r="T33" s="493">
        <f>S33-S32</f>
        <v>0</v>
      </c>
      <c r="U33" s="469">
        <f t="shared" si="7"/>
        <v>1024343</v>
      </c>
      <c r="V33" s="473">
        <f>U33-U32</f>
        <v>0</v>
      </c>
      <c r="W33" s="469">
        <f t="shared" si="7"/>
        <v>31845</v>
      </c>
      <c r="X33" s="473">
        <f>W33-W32</f>
        <v>0</v>
      </c>
      <c r="Y33" s="469">
        <f t="shared" si="7"/>
        <v>624440</v>
      </c>
      <c r="Z33" s="495">
        <f>Y33-Y32</f>
        <v>0</v>
      </c>
      <c r="AA33" s="469">
        <f t="shared" si="7"/>
        <v>34982</v>
      </c>
      <c r="AB33" s="473">
        <f>AA33-AA32</f>
        <v>0</v>
      </c>
      <c r="AC33" s="469">
        <f t="shared" si="7"/>
        <v>759837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4"/>
        <v>0</v>
      </c>
      <c r="AI33" s="490">
        <f>R33-'EDl log'!B31</f>
        <v>-49601831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Y1" zoomScale="90" zoomScaleNormal="90" workbookViewId="0">
      <pane ySplit="1" topLeftCell="A2" activePane="bottomLeft" state="frozen"/>
      <selection activeCell="K1" sqref="K1"/>
      <selection pane="bottomLeft" activeCell="AR8" sqref="AR8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3">
        <f>J36</f>
        <v>51.888888888888893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8"/>
      <c r="V1" s="27" t="s">
        <v>104</v>
      </c>
      <c r="W1" s="419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43890</v>
      </c>
      <c r="B4" s="416">
        <f>[1]B5!B33</f>
        <v>233.3</v>
      </c>
      <c r="C4" s="416">
        <f>[1]B5!C33</f>
        <v>239.1</v>
      </c>
      <c r="D4" s="416">
        <f>[1]B5!D33</f>
        <v>8.9000000000000057</v>
      </c>
      <c r="E4" s="416">
        <f>[1]B5!E33</f>
        <v>74.58200000000005</v>
      </c>
      <c r="F4" s="416">
        <f>[1]B5!F33</f>
        <v>1448</v>
      </c>
      <c r="G4" s="416">
        <f>[1]B5!G33</f>
        <v>1</v>
      </c>
      <c r="H4" s="416">
        <f>[1]B5!H33</f>
        <v>342051</v>
      </c>
      <c r="I4" s="416">
        <f>[1]B5!I33</f>
        <v>93</v>
      </c>
      <c r="J4" s="416">
        <f>[1]B5!J33</f>
        <v>93</v>
      </c>
      <c r="K4" s="416">
        <f>[1]B5!K33</f>
        <v>1836</v>
      </c>
      <c r="L4" s="416">
        <f>[1]B5!L33</f>
        <v>5</v>
      </c>
      <c r="M4" s="416">
        <f>[1]B5!M33</f>
        <v>134157</v>
      </c>
      <c r="N4" s="416">
        <f>[1]B5!N33</f>
        <v>330</v>
      </c>
      <c r="O4" s="416">
        <f>[1]B5!O33</f>
        <v>389.57539682539681</v>
      </c>
      <c r="P4" s="416">
        <f>[1]B5!P33</f>
        <v>1676</v>
      </c>
      <c r="Q4" s="416">
        <f>[1]B5!Q33</f>
        <v>143307</v>
      </c>
      <c r="R4" s="416">
        <f>[1]B5!R33</f>
        <v>216</v>
      </c>
      <c r="S4" s="416">
        <f>[1]B5!S33</f>
        <v>3</v>
      </c>
      <c r="T4" s="416">
        <f>[1]B5!T33</f>
        <v>0</v>
      </c>
      <c r="U4" s="416">
        <f>[1]B5!U33</f>
        <v>9</v>
      </c>
      <c r="V4" s="416">
        <f>[1]B5!V33</f>
        <v>639</v>
      </c>
      <c r="W4" s="416">
        <f>[1]B5!W33</f>
        <v>0</v>
      </c>
      <c r="X4" s="416">
        <f>[1]B5!X33</f>
        <v>2392</v>
      </c>
      <c r="Y4" s="416">
        <f>[1]B5!Y33</f>
        <v>1</v>
      </c>
      <c r="Z4" s="416">
        <f>[1]B5!Z33</f>
        <v>134406.79999999999</v>
      </c>
      <c r="AA4" s="416">
        <f>[1]B5!AA33</f>
        <v>8.2999999999883585</v>
      </c>
      <c r="AB4" s="416">
        <f>[1]B5!AB33</f>
        <v>0</v>
      </c>
      <c r="AC4" s="416">
        <f>[1]B5!AC33</f>
        <v>1801</v>
      </c>
      <c r="AD4" s="416">
        <f>[1]B5!AD33</f>
        <v>0</v>
      </c>
      <c r="AE4" s="416">
        <f>[1]B5!AE33</f>
        <v>357717.5</v>
      </c>
      <c r="AF4" s="416">
        <f>[1]B5!AF33</f>
        <v>0</v>
      </c>
      <c r="AG4" s="416">
        <f>[1]B5!AG33</f>
        <v>0</v>
      </c>
      <c r="AH4" s="416">
        <f>[1]B5!AH33</f>
        <v>8.2999999999883585</v>
      </c>
      <c r="AI4" s="416">
        <f>[1]B5!AI33</f>
        <v>647.29999999998836</v>
      </c>
      <c r="AJ4" s="416">
        <f>[1]B5!AJ33</f>
        <v>647.29999999998836</v>
      </c>
      <c r="AK4" s="416">
        <f>[1]B5!AK33</f>
        <v>0</v>
      </c>
      <c r="AL4" s="416">
        <f>[1]B5!AL33</f>
        <v>9</v>
      </c>
      <c r="AM4" s="416">
        <f>[1]B5!AM33</f>
        <v>1</v>
      </c>
      <c r="AN4" s="416">
        <f>[1]B5!AN33</f>
        <v>77</v>
      </c>
      <c r="AO4" s="416">
        <f>[1]B5!AO33</f>
        <v>2310</v>
      </c>
      <c r="AP4" s="416">
        <f>[1]B5!AP33</f>
        <v>77</v>
      </c>
      <c r="AQ4" s="416">
        <f>[1]B5!AQ33</f>
        <v>2310</v>
      </c>
      <c r="AR4" s="416">
        <f>[1]B5!AR33</f>
        <v>80</v>
      </c>
      <c r="AS4" s="416">
        <f>[1]B5!AS33</f>
        <v>2400</v>
      </c>
      <c r="AT4" s="416">
        <f>[1]B5!AT33</f>
        <v>7020</v>
      </c>
      <c r="AU4" s="416">
        <f>[1]B5!AU33</f>
        <v>150</v>
      </c>
      <c r="AV4" s="416">
        <f>[1]B5!AV33</f>
        <v>0</v>
      </c>
      <c r="AW4" s="416">
        <f>[1]B5!AW33</f>
        <v>0</v>
      </c>
      <c r="AX4" s="416">
        <f>[1]B5!AX33</f>
        <v>0.7</v>
      </c>
    </row>
    <row r="5" spans="1:50">
      <c r="A5" s="63">
        <f>ELEC!C3</f>
        <v>43891</v>
      </c>
      <c r="B5" s="64">
        <v>229</v>
      </c>
      <c r="C5" s="64">
        <v>234.4</v>
      </c>
      <c r="D5" s="45">
        <f t="shared" ref="D5:D34" si="0">C4-C5</f>
        <v>4.6999999999999886</v>
      </c>
      <c r="E5" s="45">
        <f>D5*8.38</f>
        <v>39.38599999999991</v>
      </c>
      <c r="F5" s="64">
        <v>1452</v>
      </c>
      <c r="G5" s="52">
        <f t="shared" ref="G5:G34" si="1">F5-F4</f>
        <v>4</v>
      </c>
      <c r="H5" s="64">
        <v>342342</v>
      </c>
      <c r="I5" s="417">
        <f t="shared" ref="I5:I34" si="2">SUM(H5-H4)</f>
        <v>291</v>
      </c>
      <c r="J5" s="66">
        <v>1</v>
      </c>
      <c r="K5" s="64">
        <v>1836</v>
      </c>
      <c r="L5" s="52">
        <f t="shared" ref="L5:L34" si="3">K5-K4</f>
        <v>0</v>
      </c>
      <c r="M5" s="64">
        <v>134157</v>
      </c>
      <c r="N5" s="417">
        <f t="shared" ref="N5:N30" si="4">M5-M4</f>
        <v>0</v>
      </c>
      <c r="O5" s="359">
        <f t="shared" ref="O5:O34" si="5">SUM(L5*$J$1)</f>
        <v>0</v>
      </c>
      <c r="P5" s="64">
        <v>1680</v>
      </c>
      <c r="Q5" s="64">
        <v>143596</v>
      </c>
      <c r="R5" s="416">
        <f t="shared" ref="R5:R10" si="6">Q5-Q4</f>
        <v>289</v>
      </c>
      <c r="S5" s="52">
        <f>SUM(P5-P4)</f>
        <v>4</v>
      </c>
      <c r="T5" s="68">
        <f>SUM(S5*$T$2)</f>
        <v>0</v>
      </c>
      <c r="U5" s="423">
        <f>SUM(G5+L5+S5)</f>
        <v>8</v>
      </c>
      <c r="V5" s="62">
        <f>R5+N5+I5:I5</f>
        <v>580</v>
      </c>
      <c r="W5" s="421">
        <f>SUM(V5/U5)</f>
        <v>72.5</v>
      </c>
      <c r="X5" s="64">
        <v>2392</v>
      </c>
      <c r="Y5" s="52">
        <f>X5-X4</f>
        <v>0</v>
      </c>
      <c r="Z5" s="64">
        <v>134406.79999999999</v>
      </c>
      <c r="AA5" s="65">
        <f t="shared" ref="AA5:AA34" si="7">Z5-Z4</f>
        <v>0</v>
      </c>
      <c r="AB5" s="295">
        <f>SUM(Y5*$AB$2)</f>
        <v>0</v>
      </c>
      <c r="AC5" s="64">
        <v>1801</v>
      </c>
      <c r="AD5" s="45">
        <f t="shared" ref="AD5:AD34" si="8">AC5-AC4</f>
        <v>0</v>
      </c>
      <c r="AE5" s="64">
        <v>357717.5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580</v>
      </c>
      <c r="AJ5" s="334">
        <f>-tanks!AW6</f>
        <v>580</v>
      </c>
      <c r="AK5" s="334">
        <f>SUM(AJ5-AI5)</f>
        <v>0</v>
      </c>
      <c r="AL5" s="334">
        <f t="shared" ref="AL5:AL18" si="9">S5+L5+G5</f>
        <v>8</v>
      </c>
      <c r="AM5" s="334">
        <f>Y5+AD5</f>
        <v>0</v>
      </c>
      <c r="AN5" s="64">
        <v>75</v>
      </c>
      <c r="AO5" s="336">
        <f>(AN5/100)*3000</f>
        <v>2250</v>
      </c>
      <c r="AP5" s="64">
        <v>75</v>
      </c>
      <c r="AQ5" s="336">
        <f>(AP5/100)*3000</f>
        <v>2250</v>
      </c>
      <c r="AR5" s="64">
        <v>76</v>
      </c>
      <c r="AS5" s="336">
        <f>(AR5/100)*3000</f>
        <v>2280</v>
      </c>
      <c r="AT5" s="336">
        <f>SUM(AO5+AQ5+AS5)</f>
        <v>6780</v>
      </c>
      <c r="AU5" s="336">
        <f>AT4-AT5+AV5</f>
        <v>240.1</v>
      </c>
      <c r="AV5" s="276">
        <v>0.1</v>
      </c>
      <c r="AW5" s="276">
        <v>0.1</v>
      </c>
      <c r="AX5" s="329">
        <f>IF(AV5&gt;0,AW5,AX4)</f>
        <v>0.1</v>
      </c>
    </row>
    <row r="6" spans="1:50">
      <c r="A6" s="63">
        <f>ELEC!C4</f>
        <v>43892</v>
      </c>
      <c r="B6" s="64">
        <v>224</v>
      </c>
      <c r="C6" s="64">
        <v>230</v>
      </c>
      <c r="D6" s="45">
        <f t="shared" si="0"/>
        <v>4.4000000000000057</v>
      </c>
      <c r="E6" s="45">
        <f t="shared" ref="E6:E28" si="10">D6*8.38</f>
        <v>36.87200000000005</v>
      </c>
      <c r="F6" s="64">
        <v>1456</v>
      </c>
      <c r="G6" s="52">
        <f t="shared" si="1"/>
        <v>4</v>
      </c>
      <c r="H6" s="64">
        <v>342630</v>
      </c>
      <c r="I6" s="417">
        <f t="shared" si="2"/>
        <v>288</v>
      </c>
      <c r="J6" s="66">
        <f t="shared" ref="J6:J34" si="11">IF(G6&gt;0,I6/G6,0)</f>
        <v>72</v>
      </c>
      <c r="K6" s="64">
        <v>1839</v>
      </c>
      <c r="L6" s="52">
        <f t="shared" si="3"/>
        <v>3</v>
      </c>
      <c r="M6" s="64">
        <v>134436</v>
      </c>
      <c r="N6" s="417">
        <f t="shared" si="4"/>
        <v>279</v>
      </c>
      <c r="O6" s="67">
        <f t="shared" si="5"/>
        <v>155.66666666666669</v>
      </c>
      <c r="P6" s="64">
        <f t="shared" ref="P6:Q35" si="12">P5</f>
        <v>1680</v>
      </c>
      <c r="Q6" s="64">
        <f t="shared" si="12"/>
        <v>143596</v>
      </c>
      <c r="R6" s="416">
        <f t="shared" si="6"/>
        <v>0</v>
      </c>
      <c r="S6" s="52">
        <f t="shared" ref="S6:S23" si="13">SUM(P6-P5)</f>
        <v>0</v>
      </c>
      <c r="T6" s="68">
        <f>SUM(S6*$T$2)</f>
        <v>0</v>
      </c>
      <c r="U6" s="423">
        <f t="shared" ref="U6:U35" si="14">SUM(G6+L6+S6)</f>
        <v>7</v>
      </c>
      <c r="V6" s="62">
        <f t="shared" ref="V6:V34" si="15">R6+N6+I6:I6</f>
        <v>567</v>
      </c>
      <c r="W6" s="421">
        <f t="shared" ref="W6:W16" si="16">SUM(V6/U6)</f>
        <v>81</v>
      </c>
      <c r="X6" s="64">
        <f t="shared" ref="X6:Z35" si="17">X5</f>
        <v>2392</v>
      </c>
      <c r="Y6" s="52">
        <f t="shared" ref="Y6:Y34" si="18">X6-X5</f>
        <v>0</v>
      </c>
      <c r="Z6" s="64">
        <f t="shared" si="17"/>
        <v>134406.79999999999</v>
      </c>
      <c r="AA6" s="65">
        <f t="shared" si="7"/>
        <v>0</v>
      </c>
      <c r="AB6" s="295">
        <f>SUM(Y6*$AB$2)</f>
        <v>0</v>
      </c>
      <c r="AC6" s="64">
        <f t="shared" ref="AC6:AE35" si="19">AC5</f>
        <v>1801</v>
      </c>
      <c r="AD6" s="45">
        <f t="shared" si="8"/>
        <v>0</v>
      </c>
      <c r="AE6" s="64">
        <f t="shared" si="19"/>
        <v>357717.5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567</v>
      </c>
      <c r="AJ6" s="334">
        <f>-tanks!AW7</f>
        <v>567</v>
      </c>
      <c r="AK6" s="334">
        <f t="shared" ref="AK6:AK34" si="22">SUM(AJ6-AI6)</f>
        <v>0</v>
      </c>
      <c r="AL6" s="334">
        <f t="shared" si="9"/>
        <v>7</v>
      </c>
      <c r="AM6" s="334">
        <f t="shared" ref="AM6:AM33" si="23">Y6+AD6</f>
        <v>0</v>
      </c>
      <c r="AN6" s="64">
        <f t="shared" ref="AN6:AR35" si="24">AN5</f>
        <v>75</v>
      </c>
      <c r="AO6" s="336">
        <f t="shared" ref="AO6:AO26" si="25">(AN6/100)*3000</f>
        <v>2250</v>
      </c>
      <c r="AP6" s="64">
        <v>74</v>
      </c>
      <c r="AQ6" s="336">
        <f t="shared" ref="AQ6:AQ24" si="26">(AP6/100)*3000</f>
        <v>2220</v>
      </c>
      <c r="AR6" s="64">
        <v>75</v>
      </c>
      <c r="AS6" s="336">
        <f>(AR6/100)*3000</f>
        <v>2250</v>
      </c>
      <c r="AT6" s="336">
        <f>SUM(AO6+AQ6+AS6)</f>
        <v>6720</v>
      </c>
      <c r="AU6" s="336">
        <f>AT5-AT6+AV6</f>
        <v>60</v>
      </c>
      <c r="AV6" s="276"/>
      <c r="AW6" s="276"/>
      <c r="AX6" s="329">
        <f t="shared" ref="AX6:AX34" si="27">IF(AV6&gt;0,AW6,AX5)</f>
        <v>0.1</v>
      </c>
    </row>
    <row r="7" spans="1:50">
      <c r="A7" s="63">
        <f>ELEC!C5</f>
        <v>43893</v>
      </c>
      <c r="B7" s="64">
        <v>220</v>
      </c>
      <c r="C7" s="64">
        <v>225.4</v>
      </c>
      <c r="D7" s="45">
        <f t="shared" si="0"/>
        <v>4.5999999999999943</v>
      </c>
      <c r="E7" s="45">
        <f t="shared" si="10"/>
        <v>38.547999999999959</v>
      </c>
      <c r="F7" s="64">
        <v>1459</v>
      </c>
      <c r="G7" s="52">
        <f t="shared" si="1"/>
        <v>3</v>
      </c>
      <c r="H7" s="64">
        <v>342878</v>
      </c>
      <c r="I7" s="417">
        <f t="shared" si="2"/>
        <v>248</v>
      </c>
      <c r="J7" s="66">
        <f t="shared" si="11"/>
        <v>82.666666666666671</v>
      </c>
      <c r="K7" s="64">
        <v>1843</v>
      </c>
      <c r="L7" s="52">
        <f t="shared" si="3"/>
        <v>4</v>
      </c>
      <c r="M7" s="64">
        <v>134733</v>
      </c>
      <c r="N7" s="417">
        <f>M7-M6</f>
        <v>297</v>
      </c>
      <c r="O7" s="67">
        <v>1</v>
      </c>
      <c r="P7" s="64">
        <v>1680</v>
      </c>
      <c r="Q7" s="64">
        <v>143604</v>
      </c>
      <c r="R7" s="416">
        <f t="shared" si="6"/>
        <v>8</v>
      </c>
      <c r="S7" s="52">
        <f t="shared" si="13"/>
        <v>0</v>
      </c>
      <c r="T7" s="68">
        <f t="shared" ref="T7:T34" si="28">SUM(S7*$T$2)</f>
        <v>0</v>
      </c>
      <c r="U7" s="423">
        <f t="shared" si="14"/>
        <v>7</v>
      </c>
      <c r="V7" s="62">
        <f t="shared" si="15"/>
        <v>553</v>
      </c>
      <c r="W7" s="421">
        <f t="shared" si="16"/>
        <v>79</v>
      </c>
      <c r="X7" s="64">
        <v>2400</v>
      </c>
      <c r="Y7" s="52">
        <f t="shared" si="18"/>
        <v>8</v>
      </c>
      <c r="Z7" s="64">
        <v>134915.20000000001</v>
      </c>
      <c r="AA7" s="65">
        <f t="shared" si="7"/>
        <v>508.40000000002328</v>
      </c>
      <c r="AB7" s="295">
        <f t="shared" ref="AB7:AB17" si="29">SUM(Y7*$AB$2)</f>
        <v>0</v>
      </c>
      <c r="AC7" s="64">
        <v>1801</v>
      </c>
      <c r="AD7" s="45">
        <f t="shared" si="8"/>
        <v>0</v>
      </c>
      <c r="AE7" s="64">
        <v>357717.5</v>
      </c>
      <c r="AF7" s="322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508.40000000002328</v>
      </c>
      <c r="AI7" s="334">
        <f t="shared" si="21"/>
        <v>1061.4000000000233</v>
      </c>
      <c r="AJ7" s="334">
        <f>-tanks!AW8</f>
        <v>1061.4000000000233</v>
      </c>
      <c r="AK7" s="334">
        <f t="shared" si="22"/>
        <v>0</v>
      </c>
      <c r="AL7" s="334">
        <f t="shared" si="9"/>
        <v>7</v>
      </c>
      <c r="AM7" s="334">
        <f t="shared" si="23"/>
        <v>8</v>
      </c>
      <c r="AN7" s="64">
        <v>72</v>
      </c>
      <c r="AO7" s="336">
        <f t="shared" si="25"/>
        <v>2160</v>
      </c>
      <c r="AP7" s="64">
        <v>74</v>
      </c>
      <c r="AQ7" s="336">
        <f t="shared" si="26"/>
        <v>2220</v>
      </c>
      <c r="AR7" s="64">
        <f t="shared" si="24"/>
        <v>75</v>
      </c>
      <c r="AS7" s="336">
        <f t="shared" ref="AS7:AS34" si="32">(AR7/100)*3000</f>
        <v>2250</v>
      </c>
      <c r="AT7" s="336">
        <f t="shared" ref="AT7:AT23" si="33">SUM(AO7+AQ7+AS7)</f>
        <v>6630</v>
      </c>
      <c r="AU7" s="336">
        <f t="shared" ref="AU7:AU34" si="34">AT6-AT7+AV7</f>
        <v>90</v>
      </c>
      <c r="AV7" s="276"/>
      <c r="AW7" s="276"/>
      <c r="AX7" s="329">
        <f t="shared" si="27"/>
        <v>0.1</v>
      </c>
    </row>
    <row r="8" spans="1:50">
      <c r="A8" s="63">
        <f>ELEC!C6</f>
        <v>43894</v>
      </c>
      <c r="B8" s="64">
        <v>213.3</v>
      </c>
      <c r="C8" s="64">
        <v>219.2</v>
      </c>
      <c r="D8" s="45">
        <f t="shared" si="0"/>
        <v>6.2000000000000171</v>
      </c>
      <c r="E8" s="45">
        <f t="shared" si="10"/>
        <v>51.956000000000145</v>
      </c>
      <c r="F8" s="64">
        <v>1459</v>
      </c>
      <c r="G8" s="52">
        <f t="shared" si="1"/>
        <v>0</v>
      </c>
      <c r="H8" s="64">
        <v>342878</v>
      </c>
      <c r="I8" s="417">
        <f t="shared" si="2"/>
        <v>0</v>
      </c>
      <c r="J8" s="66">
        <f t="shared" si="11"/>
        <v>0</v>
      </c>
      <c r="K8" s="64">
        <v>1846</v>
      </c>
      <c r="L8" s="52">
        <f t="shared" si="3"/>
        <v>3</v>
      </c>
      <c r="M8" s="64">
        <v>134906</v>
      </c>
      <c r="N8" s="417">
        <f t="shared" si="4"/>
        <v>173</v>
      </c>
      <c r="O8" s="67">
        <v>1479</v>
      </c>
      <c r="P8" s="64">
        <v>1681</v>
      </c>
      <c r="Q8" s="64">
        <v>143671</v>
      </c>
      <c r="R8" s="416">
        <f t="shared" si="6"/>
        <v>67</v>
      </c>
      <c r="S8" s="52">
        <f t="shared" si="13"/>
        <v>1</v>
      </c>
      <c r="T8" s="68">
        <f t="shared" si="28"/>
        <v>0</v>
      </c>
      <c r="U8" s="423">
        <f t="shared" si="14"/>
        <v>4</v>
      </c>
      <c r="V8" s="62">
        <f t="shared" si="15"/>
        <v>240</v>
      </c>
      <c r="W8" s="421">
        <f t="shared" si="16"/>
        <v>60</v>
      </c>
      <c r="X8" s="64">
        <v>2401</v>
      </c>
      <c r="Y8" s="52">
        <f t="shared" si="18"/>
        <v>1</v>
      </c>
      <c r="Z8" s="64">
        <v>134951.9</v>
      </c>
      <c r="AA8" s="65">
        <f t="shared" si="7"/>
        <v>36.699999999982538</v>
      </c>
      <c r="AB8" s="295">
        <f t="shared" si="29"/>
        <v>0</v>
      </c>
      <c r="AC8" s="64">
        <v>1801</v>
      </c>
      <c r="AD8" s="45">
        <f t="shared" si="8"/>
        <v>0</v>
      </c>
      <c r="AE8" s="64">
        <v>357717.5</v>
      </c>
      <c r="AF8" s="322">
        <f t="shared" si="20"/>
        <v>0</v>
      </c>
      <c r="AG8" s="213">
        <f t="shared" si="30"/>
        <v>0</v>
      </c>
      <c r="AH8" s="62">
        <f t="shared" si="31"/>
        <v>36.699999999982538</v>
      </c>
      <c r="AI8" s="334">
        <f t="shared" si="21"/>
        <v>276.69999999998254</v>
      </c>
      <c r="AJ8" s="334">
        <f>-tanks!AW9</f>
        <v>276.69999999998254</v>
      </c>
      <c r="AK8" s="334">
        <f t="shared" si="22"/>
        <v>0</v>
      </c>
      <c r="AL8" s="334">
        <f t="shared" si="9"/>
        <v>4</v>
      </c>
      <c r="AM8" s="334">
        <f t="shared" si="23"/>
        <v>1</v>
      </c>
      <c r="AN8" s="64">
        <v>71</v>
      </c>
      <c r="AO8" s="336">
        <f t="shared" si="25"/>
        <v>2130</v>
      </c>
      <c r="AP8" s="64">
        <v>71</v>
      </c>
      <c r="AQ8" s="336">
        <f t="shared" si="26"/>
        <v>2130</v>
      </c>
      <c r="AR8" s="64">
        <v>72</v>
      </c>
      <c r="AS8" s="336">
        <f t="shared" si="32"/>
        <v>2160</v>
      </c>
      <c r="AT8" s="336">
        <f t="shared" si="33"/>
        <v>6420</v>
      </c>
      <c r="AU8" s="336">
        <f t="shared" si="34"/>
        <v>210</v>
      </c>
      <c r="AV8" s="276"/>
      <c r="AW8" s="276"/>
      <c r="AX8" s="329">
        <f t="shared" si="27"/>
        <v>0.1</v>
      </c>
    </row>
    <row r="9" spans="1:50">
      <c r="A9" s="63">
        <f>ELEC!C7</f>
        <v>43895</v>
      </c>
      <c r="B9" s="64">
        <f t="shared" ref="B9:B35" si="35">B8</f>
        <v>213.3</v>
      </c>
      <c r="C9" s="64">
        <f t="shared" ref="C9:C35" si="36">C8</f>
        <v>219.2</v>
      </c>
      <c r="D9" s="45">
        <f t="shared" si="0"/>
        <v>0</v>
      </c>
      <c r="E9" s="45">
        <f t="shared" si="10"/>
        <v>0</v>
      </c>
      <c r="F9" s="64">
        <f t="shared" ref="F9:F35" si="37">F8</f>
        <v>1459</v>
      </c>
      <c r="G9" s="52">
        <f t="shared" si="1"/>
        <v>0</v>
      </c>
      <c r="H9" s="64">
        <f t="shared" ref="H9:H35" si="38">H8</f>
        <v>342878</v>
      </c>
      <c r="I9" s="417">
        <f t="shared" si="2"/>
        <v>0</v>
      </c>
      <c r="J9" s="66">
        <f t="shared" si="11"/>
        <v>0</v>
      </c>
      <c r="K9" s="64">
        <f t="shared" ref="K9:K35" si="39">K8</f>
        <v>1846</v>
      </c>
      <c r="L9" s="52">
        <f t="shared" si="3"/>
        <v>0</v>
      </c>
      <c r="M9" s="64">
        <f t="shared" ref="M9:M35" si="40">M8</f>
        <v>134906</v>
      </c>
      <c r="N9" s="417">
        <f t="shared" si="4"/>
        <v>0</v>
      </c>
      <c r="O9" s="67">
        <f t="shared" si="5"/>
        <v>0</v>
      </c>
      <c r="P9" s="64">
        <f t="shared" si="12"/>
        <v>1681</v>
      </c>
      <c r="Q9" s="64">
        <f t="shared" si="12"/>
        <v>143671</v>
      </c>
      <c r="R9" s="416">
        <f t="shared" si="6"/>
        <v>0</v>
      </c>
      <c r="S9" s="52">
        <f t="shared" si="13"/>
        <v>0</v>
      </c>
      <c r="T9" s="68">
        <f t="shared" si="28"/>
        <v>0</v>
      </c>
      <c r="U9" s="423">
        <f t="shared" si="14"/>
        <v>0</v>
      </c>
      <c r="V9" s="62">
        <f t="shared" si="15"/>
        <v>0</v>
      </c>
      <c r="W9" s="421" t="e">
        <f t="shared" si="16"/>
        <v>#DIV/0!</v>
      </c>
      <c r="X9" s="64">
        <f t="shared" si="17"/>
        <v>2401</v>
      </c>
      <c r="Y9" s="52">
        <f t="shared" si="18"/>
        <v>0</v>
      </c>
      <c r="Z9" s="64">
        <f t="shared" si="17"/>
        <v>134951.9</v>
      </c>
      <c r="AA9" s="65">
        <f t="shared" si="7"/>
        <v>0</v>
      </c>
      <c r="AB9" s="295">
        <f t="shared" si="29"/>
        <v>0</v>
      </c>
      <c r="AC9" s="64">
        <f t="shared" si="19"/>
        <v>1801</v>
      </c>
      <c r="AD9" s="45">
        <f t="shared" si="8"/>
        <v>0</v>
      </c>
      <c r="AE9" s="64">
        <f t="shared" si="19"/>
        <v>357717.5</v>
      </c>
      <c r="AF9" s="322">
        <f t="shared" si="20"/>
        <v>0</v>
      </c>
      <c r="AG9" s="213">
        <f t="shared" si="30"/>
        <v>0</v>
      </c>
      <c r="AH9" s="62">
        <f t="shared" si="31"/>
        <v>0</v>
      </c>
      <c r="AI9" s="334">
        <f t="shared" si="21"/>
        <v>0</v>
      </c>
      <c r="AJ9" s="334">
        <f>-tanks!AW10</f>
        <v>0</v>
      </c>
      <c r="AK9" s="334">
        <f t="shared" si="22"/>
        <v>0</v>
      </c>
      <c r="AL9" s="334">
        <f t="shared" si="9"/>
        <v>0</v>
      </c>
      <c r="AM9" s="334">
        <f t="shared" si="23"/>
        <v>0</v>
      </c>
      <c r="AN9" s="64">
        <f t="shared" si="24"/>
        <v>71</v>
      </c>
      <c r="AO9" s="336">
        <f t="shared" si="25"/>
        <v>2130</v>
      </c>
      <c r="AP9" s="64">
        <f t="shared" si="24"/>
        <v>71</v>
      </c>
      <c r="AQ9" s="336">
        <f t="shared" si="26"/>
        <v>2130</v>
      </c>
      <c r="AR9" s="64">
        <f t="shared" si="24"/>
        <v>72</v>
      </c>
      <c r="AS9" s="336">
        <f>(AR9/100)*3000</f>
        <v>2160</v>
      </c>
      <c r="AT9" s="336">
        <f t="shared" si="33"/>
        <v>6420</v>
      </c>
      <c r="AU9" s="336">
        <f t="shared" si="34"/>
        <v>0</v>
      </c>
      <c r="AV9" s="276"/>
      <c r="AW9" s="276"/>
      <c r="AX9" s="329">
        <f t="shared" si="27"/>
        <v>0.1</v>
      </c>
    </row>
    <row r="10" spans="1:50">
      <c r="A10" s="63">
        <f>ELEC!C8</f>
        <v>43896</v>
      </c>
      <c r="B10" s="64">
        <f t="shared" si="35"/>
        <v>213.3</v>
      </c>
      <c r="C10" s="64">
        <f t="shared" si="36"/>
        <v>219.2</v>
      </c>
      <c r="D10" s="45">
        <f t="shared" si="0"/>
        <v>0</v>
      </c>
      <c r="E10" s="45">
        <f t="shared" si="10"/>
        <v>0</v>
      </c>
      <c r="F10" s="64">
        <f t="shared" si="37"/>
        <v>1459</v>
      </c>
      <c r="G10" s="52">
        <f t="shared" si="1"/>
        <v>0</v>
      </c>
      <c r="H10" s="64">
        <f t="shared" si="38"/>
        <v>342878</v>
      </c>
      <c r="I10" s="417">
        <f t="shared" si="2"/>
        <v>0</v>
      </c>
      <c r="J10" s="66">
        <f t="shared" si="11"/>
        <v>0</v>
      </c>
      <c r="K10" s="64">
        <f t="shared" si="39"/>
        <v>1846</v>
      </c>
      <c r="L10" s="52">
        <f t="shared" si="3"/>
        <v>0</v>
      </c>
      <c r="M10" s="64">
        <f t="shared" si="40"/>
        <v>134906</v>
      </c>
      <c r="N10" s="417">
        <f t="shared" si="4"/>
        <v>0</v>
      </c>
      <c r="O10" s="67">
        <f t="shared" si="5"/>
        <v>0</v>
      </c>
      <c r="P10" s="64">
        <f t="shared" si="12"/>
        <v>1681</v>
      </c>
      <c r="Q10" s="64">
        <f t="shared" si="12"/>
        <v>143671</v>
      </c>
      <c r="R10" s="416">
        <f t="shared" si="6"/>
        <v>0</v>
      </c>
      <c r="S10" s="52">
        <f t="shared" si="13"/>
        <v>0</v>
      </c>
      <c r="T10" s="68">
        <f t="shared" si="28"/>
        <v>0</v>
      </c>
      <c r="U10" s="423">
        <f t="shared" si="14"/>
        <v>0</v>
      </c>
      <c r="V10" s="62">
        <f t="shared" si="15"/>
        <v>0</v>
      </c>
      <c r="W10" s="421" t="e">
        <f t="shared" si="16"/>
        <v>#DIV/0!</v>
      </c>
      <c r="X10" s="64">
        <f t="shared" si="17"/>
        <v>2401</v>
      </c>
      <c r="Y10" s="52">
        <f t="shared" si="18"/>
        <v>0</v>
      </c>
      <c r="Z10" s="64">
        <f t="shared" si="17"/>
        <v>134951.9</v>
      </c>
      <c r="AA10" s="65">
        <f t="shared" si="7"/>
        <v>0</v>
      </c>
      <c r="AB10" s="295">
        <f t="shared" si="29"/>
        <v>0</v>
      </c>
      <c r="AC10" s="64">
        <f t="shared" si="19"/>
        <v>1801</v>
      </c>
      <c r="AD10" s="45">
        <f t="shared" si="8"/>
        <v>0</v>
      </c>
      <c r="AE10" s="64">
        <f t="shared" si="19"/>
        <v>357717.5</v>
      </c>
      <c r="AF10" s="322">
        <f t="shared" si="20"/>
        <v>0</v>
      </c>
      <c r="AG10" s="213">
        <f t="shared" si="30"/>
        <v>0</v>
      </c>
      <c r="AH10" s="62">
        <f t="shared" si="31"/>
        <v>0</v>
      </c>
      <c r="AI10" s="334">
        <f>SUM(AH10+V10)</f>
        <v>0</v>
      </c>
      <c r="AJ10" s="334">
        <f>-tanks!AW11</f>
        <v>0</v>
      </c>
      <c r="AK10" s="334">
        <f t="shared" si="22"/>
        <v>0</v>
      </c>
      <c r="AL10" s="334">
        <f t="shared" si="9"/>
        <v>0</v>
      </c>
      <c r="AM10" s="334">
        <f t="shared" si="23"/>
        <v>0</v>
      </c>
      <c r="AN10" s="64">
        <f t="shared" si="24"/>
        <v>71</v>
      </c>
      <c r="AO10" s="336">
        <f t="shared" si="25"/>
        <v>2130</v>
      </c>
      <c r="AP10" s="64">
        <f t="shared" si="24"/>
        <v>71</v>
      </c>
      <c r="AQ10" s="336">
        <f t="shared" si="26"/>
        <v>2130</v>
      </c>
      <c r="AR10" s="64">
        <f t="shared" si="24"/>
        <v>72</v>
      </c>
      <c r="AS10" s="336">
        <f t="shared" si="32"/>
        <v>2160</v>
      </c>
      <c r="AT10" s="336">
        <f t="shared" si="33"/>
        <v>6420</v>
      </c>
      <c r="AU10" s="336">
        <f t="shared" si="34"/>
        <v>0</v>
      </c>
      <c r="AV10" s="276"/>
      <c r="AW10" s="276"/>
      <c r="AX10" s="329">
        <f t="shared" si="27"/>
        <v>0.1</v>
      </c>
    </row>
    <row r="11" spans="1:50">
      <c r="A11" s="63">
        <f>ELEC!C9</f>
        <v>43897</v>
      </c>
      <c r="B11" s="64">
        <f t="shared" si="35"/>
        <v>213.3</v>
      </c>
      <c r="C11" s="64">
        <f t="shared" si="36"/>
        <v>219.2</v>
      </c>
      <c r="D11" s="45">
        <f t="shared" si="0"/>
        <v>0</v>
      </c>
      <c r="E11" s="45">
        <f t="shared" si="10"/>
        <v>0</v>
      </c>
      <c r="F11" s="64">
        <f t="shared" si="37"/>
        <v>1459</v>
      </c>
      <c r="G11" s="52">
        <f t="shared" si="1"/>
        <v>0</v>
      </c>
      <c r="H11" s="64">
        <f t="shared" si="38"/>
        <v>342878</v>
      </c>
      <c r="I11" s="417">
        <f t="shared" si="2"/>
        <v>0</v>
      </c>
      <c r="J11" s="66">
        <f t="shared" si="11"/>
        <v>0</v>
      </c>
      <c r="K11" s="64">
        <f t="shared" si="39"/>
        <v>1846</v>
      </c>
      <c r="L11" s="52">
        <f t="shared" si="3"/>
        <v>0</v>
      </c>
      <c r="M11" s="64">
        <f t="shared" si="40"/>
        <v>134906</v>
      </c>
      <c r="N11" s="417">
        <f t="shared" si="4"/>
        <v>0</v>
      </c>
      <c r="O11" s="67">
        <f t="shared" si="5"/>
        <v>0</v>
      </c>
      <c r="P11" s="64">
        <f t="shared" si="12"/>
        <v>1681</v>
      </c>
      <c r="Q11" s="64">
        <f t="shared" si="12"/>
        <v>143671</v>
      </c>
      <c r="R11" s="416">
        <f t="shared" ref="R11:R34" si="41">Q11-Q10</f>
        <v>0</v>
      </c>
      <c r="S11" s="52">
        <f t="shared" si="13"/>
        <v>0</v>
      </c>
      <c r="T11" s="68">
        <f t="shared" si="28"/>
        <v>0</v>
      </c>
      <c r="U11" s="423">
        <f t="shared" si="14"/>
        <v>0</v>
      </c>
      <c r="V11" s="62">
        <f t="shared" si="15"/>
        <v>0</v>
      </c>
      <c r="W11" s="421" t="e">
        <f t="shared" si="16"/>
        <v>#DIV/0!</v>
      </c>
      <c r="X11" s="64">
        <f t="shared" si="17"/>
        <v>2401</v>
      </c>
      <c r="Y11" s="52">
        <f t="shared" si="18"/>
        <v>0</v>
      </c>
      <c r="Z11" s="64">
        <f t="shared" si="17"/>
        <v>134951.9</v>
      </c>
      <c r="AA11" s="65">
        <f t="shared" si="7"/>
        <v>0</v>
      </c>
      <c r="AB11" s="295">
        <f t="shared" si="29"/>
        <v>0</v>
      </c>
      <c r="AC11" s="64">
        <f t="shared" si="19"/>
        <v>1801</v>
      </c>
      <c r="AD11" s="45">
        <f t="shared" si="8"/>
        <v>0</v>
      </c>
      <c r="AE11" s="64">
        <f t="shared" si="19"/>
        <v>357717.5</v>
      </c>
      <c r="AF11" s="322">
        <f t="shared" si="20"/>
        <v>0</v>
      </c>
      <c r="AG11" s="213">
        <f t="shared" si="30"/>
        <v>0</v>
      </c>
      <c r="AH11" s="62">
        <f>AF11+AA11</f>
        <v>0</v>
      </c>
      <c r="AI11" s="334">
        <f>SUM(AH11+V11)</f>
        <v>0</v>
      </c>
      <c r="AJ11" s="334">
        <f>-tanks!AW12</f>
        <v>0</v>
      </c>
      <c r="AK11" s="334">
        <f t="shared" si="22"/>
        <v>0</v>
      </c>
      <c r="AL11" s="334">
        <f t="shared" si="9"/>
        <v>0</v>
      </c>
      <c r="AM11" s="334">
        <f t="shared" si="23"/>
        <v>0</v>
      </c>
      <c r="AN11" s="64">
        <f t="shared" si="24"/>
        <v>71</v>
      </c>
      <c r="AO11" s="336">
        <f t="shared" si="25"/>
        <v>2130</v>
      </c>
      <c r="AP11" s="64">
        <f t="shared" si="24"/>
        <v>71</v>
      </c>
      <c r="AQ11" s="336">
        <f t="shared" si="26"/>
        <v>2130</v>
      </c>
      <c r="AR11" s="64">
        <f t="shared" si="24"/>
        <v>72</v>
      </c>
      <c r="AS11" s="336">
        <f t="shared" si="32"/>
        <v>2160</v>
      </c>
      <c r="AT11" s="336">
        <f t="shared" si="33"/>
        <v>6420</v>
      </c>
      <c r="AU11" s="336">
        <f t="shared" si="34"/>
        <v>0</v>
      </c>
      <c r="AV11" s="276"/>
      <c r="AW11" s="276"/>
      <c r="AX11" s="329">
        <f t="shared" si="27"/>
        <v>0.1</v>
      </c>
    </row>
    <row r="12" spans="1:50">
      <c r="A12" s="63">
        <f>ELEC!C10</f>
        <v>43898</v>
      </c>
      <c r="B12" s="64">
        <f t="shared" si="35"/>
        <v>213.3</v>
      </c>
      <c r="C12" s="64">
        <f t="shared" si="36"/>
        <v>219.2</v>
      </c>
      <c r="D12" s="45">
        <f t="shared" si="0"/>
        <v>0</v>
      </c>
      <c r="E12" s="45">
        <f t="shared" si="10"/>
        <v>0</v>
      </c>
      <c r="F12" s="64">
        <f t="shared" si="37"/>
        <v>1459</v>
      </c>
      <c r="G12" s="52">
        <f t="shared" si="1"/>
        <v>0</v>
      </c>
      <c r="H12" s="64">
        <f t="shared" si="38"/>
        <v>342878</v>
      </c>
      <c r="I12" s="417">
        <f t="shared" si="2"/>
        <v>0</v>
      </c>
      <c r="J12" s="66">
        <f t="shared" si="11"/>
        <v>0</v>
      </c>
      <c r="K12" s="64">
        <f t="shared" si="39"/>
        <v>1846</v>
      </c>
      <c r="L12" s="52">
        <f t="shared" si="3"/>
        <v>0</v>
      </c>
      <c r="M12" s="64">
        <f t="shared" si="40"/>
        <v>134906</v>
      </c>
      <c r="N12" s="417">
        <f t="shared" si="4"/>
        <v>0</v>
      </c>
      <c r="O12" s="67">
        <f t="shared" si="5"/>
        <v>0</v>
      </c>
      <c r="P12" s="64">
        <f t="shared" si="12"/>
        <v>1681</v>
      </c>
      <c r="Q12" s="64">
        <f t="shared" si="12"/>
        <v>143671</v>
      </c>
      <c r="R12" s="416">
        <f t="shared" si="41"/>
        <v>0</v>
      </c>
      <c r="S12" s="52">
        <f t="shared" si="13"/>
        <v>0</v>
      </c>
      <c r="T12" s="68">
        <f t="shared" si="28"/>
        <v>0</v>
      </c>
      <c r="U12" s="423">
        <f t="shared" si="14"/>
        <v>0</v>
      </c>
      <c r="V12" s="62">
        <f t="shared" si="15"/>
        <v>0</v>
      </c>
      <c r="W12" s="421" t="e">
        <f t="shared" si="16"/>
        <v>#DIV/0!</v>
      </c>
      <c r="X12" s="64">
        <f t="shared" si="17"/>
        <v>2401</v>
      </c>
      <c r="Y12" s="52">
        <f t="shared" si="18"/>
        <v>0</v>
      </c>
      <c r="Z12" s="64">
        <f t="shared" si="17"/>
        <v>134951.9</v>
      </c>
      <c r="AA12" s="65">
        <f t="shared" si="7"/>
        <v>0</v>
      </c>
      <c r="AB12" s="295">
        <f t="shared" si="29"/>
        <v>0</v>
      </c>
      <c r="AC12" s="64">
        <f t="shared" si="19"/>
        <v>1801</v>
      </c>
      <c r="AD12" s="45">
        <f t="shared" si="8"/>
        <v>0</v>
      </c>
      <c r="AE12" s="64">
        <f t="shared" si="19"/>
        <v>357717.5</v>
      </c>
      <c r="AF12" s="322">
        <f t="shared" si="20"/>
        <v>0</v>
      </c>
      <c r="AG12" s="213">
        <f t="shared" si="30"/>
        <v>0</v>
      </c>
      <c r="AH12" s="62">
        <f t="shared" si="31"/>
        <v>0</v>
      </c>
      <c r="AI12" s="334">
        <f t="shared" si="21"/>
        <v>0</v>
      </c>
      <c r="AJ12" s="334">
        <f>-tanks!AW13</f>
        <v>0</v>
      </c>
      <c r="AK12" s="334">
        <f t="shared" si="22"/>
        <v>0</v>
      </c>
      <c r="AL12" s="334">
        <f t="shared" si="9"/>
        <v>0</v>
      </c>
      <c r="AM12" s="334">
        <f t="shared" si="23"/>
        <v>0</v>
      </c>
      <c r="AN12" s="64">
        <f t="shared" si="24"/>
        <v>71</v>
      </c>
      <c r="AO12" s="336">
        <f t="shared" si="25"/>
        <v>2130</v>
      </c>
      <c r="AP12" s="64">
        <f t="shared" si="24"/>
        <v>71</v>
      </c>
      <c r="AQ12" s="336">
        <f t="shared" si="26"/>
        <v>2130</v>
      </c>
      <c r="AR12" s="64">
        <f t="shared" si="24"/>
        <v>72</v>
      </c>
      <c r="AS12" s="336">
        <f t="shared" si="32"/>
        <v>2160</v>
      </c>
      <c r="AT12" s="336">
        <f t="shared" si="33"/>
        <v>6420</v>
      </c>
      <c r="AU12" s="336">
        <f t="shared" si="34"/>
        <v>0</v>
      </c>
      <c r="AV12" s="276"/>
      <c r="AW12" s="276"/>
      <c r="AX12" s="329">
        <f t="shared" si="27"/>
        <v>0.1</v>
      </c>
    </row>
    <row r="13" spans="1:50">
      <c r="A13" s="63">
        <f>ELEC!C11</f>
        <v>43899</v>
      </c>
      <c r="B13" s="64">
        <f t="shared" si="35"/>
        <v>213.3</v>
      </c>
      <c r="C13" s="64">
        <f t="shared" si="36"/>
        <v>219.2</v>
      </c>
      <c r="D13" s="45">
        <f t="shared" si="0"/>
        <v>0</v>
      </c>
      <c r="E13" s="45">
        <f t="shared" si="10"/>
        <v>0</v>
      </c>
      <c r="F13" s="64">
        <f t="shared" si="37"/>
        <v>1459</v>
      </c>
      <c r="G13" s="52">
        <f t="shared" si="1"/>
        <v>0</v>
      </c>
      <c r="H13" s="64">
        <f t="shared" si="38"/>
        <v>342878</v>
      </c>
      <c r="I13" s="417">
        <f t="shared" si="2"/>
        <v>0</v>
      </c>
      <c r="J13" s="66">
        <f t="shared" si="11"/>
        <v>0</v>
      </c>
      <c r="K13" s="64">
        <f t="shared" si="39"/>
        <v>1846</v>
      </c>
      <c r="L13" s="52">
        <f t="shared" si="3"/>
        <v>0</v>
      </c>
      <c r="M13" s="64">
        <f t="shared" si="40"/>
        <v>134906</v>
      </c>
      <c r="N13" s="417">
        <f t="shared" si="4"/>
        <v>0</v>
      </c>
      <c r="O13" s="67">
        <f t="shared" si="5"/>
        <v>0</v>
      </c>
      <c r="P13" s="64">
        <f t="shared" si="12"/>
        <v>1681</v>
      </c>
      <c r="Q13" s="64">
        <f t="shared" si="12"/>
        <v>143671</v>
      </c>
      <c r="R13" s="416">
        <f t="shared" si="41"/>
        <v>0</v>
      </c>
      <c r="S13" s="52">
        <f t="shared" si="13"/>
        <v>0</v>
      </c>
      <c r="T13" s="68">
        <f t="shared" si="28"/>
        <v>0</v>
      </c>
      <c r="U13" s="423">
        <f t="shared" si="14"/>
        <v>0</v>
      </c>
      <c r="V13" s="62">
        <f>R13+N13+I13:I13</f>
        <v>0</v>
      </c>
      <c r="W13" s="421" t="e">
        <f t="shared" si="16"/>
        <v>#DIV/0!</v>
      </c>
      <c r="X13" s="64">
        <f t="shared" si="17"/>
        <v>2401</v>
      </c>
      <c r="Y13" s="52">
        <f t="shared" si="18"/>
        <v>0</v>
      </c>
      <c r="Z13" s="64">
        <f t="shared" si="17"/>
        <v>134951.9</v>
      </c>
      <c r="AA13" s="295">
        <f t="shared" si="7"/>
        <v>0</v>
      </c>
      <c r="AB13" s="295">
        <f t="shared" si="29"/>
        <v>0</v>
      </c>
      <c r="AC13" s="64">
        <f t="shared" si="19"/>
        <v>1801</v>
      </c>
      <c r="AD13" s="45">
        <f t="shared" si="8"/>
        <v>0</v>
      </c>
      <c r="AE13" s="64">
        <f t="shared" si="19"/>
        <v>357717.5</v>
      </c>
      <c r="AF13" s="322">
        <f t="shared" si="20"/>
        <v>0</v>
      </c>
      <c r="AG13" s="213">
        <f t="shared" si="30"/>
        <v>0</v>
      </c>
      <c r="AH13" s="62">
        <f t="shared" si="31"/>
        <v>0</v>
      </c>
      <c r="AI13" s="334">
        <f t="shared" si="21"/>
        <v>0</v>
      </c>
      <c r="AJ13" s="334">
        <f>-tanks!AW14</f>
        <v>0</v>
      </c>
      <c r="AK13" s="334">
        <f t="shared" si="22"/>
        <v>0</v>
      </c>
      <c r="AL13" s="334">
        <f t="shared" si="9"/>
        <v>0</v>
      </c>
      <c r="AM13" s="334">
        <f t="shared" si="23"/>
        <v>0</v>
      </c>
      <c r="AN13" s="64">
        <f t="shared" si="24"/>
        <v>71</v>
      </c>
      <c r="AO13" s="336">
        <f t="shared" si="25"/>
        <v>2130</v>
      </c>
      <c r="AP13" s="64">
        <f t="shared" si="24"/>
        <v>71</v>
      </c>
      <c r="AQ13" s="336">
        <f t="shared" si="26"/>
        <v>2130</v>
      </c>
      <c r="AR13" s="64">
        <f t="shared" si="24"/>
        <v>72</v>
      </c>
      <c r="AS13" s="336">
        <f t="shared" si="32"/>
        <v>2160</v>
      </c>
      <c r="AT13" s="336">
        <f t="shared" si="33"/>
        <v>6420</v>
      </c>
      <c r="AU13" s="336">
        <f t="shared" si="34"/>
        <v>0</v>
      </c>
      <c r="AV13" s="276"/>
      <c r="AW13" s="276"/>
      <c r="AX13" s="329">
        <f t="shared" si="27"/>
        <v>0.1</v>
      </c>
    </row>
    <row r="14" spans="1:50">
      <c r="A14" s="63">
        <f>ELEC!C12</f>
        <v>43900</v>
      </c>
      <c r="B14" s="64">
        <f t="shared" si="35"/>
        <v>213.3</v>
      </c>
      <c r="C14" s="64">
        <f t="shared" si="36"/>
        <v>219.2</v>
      </c>
      <c r="D14" s="45">
        <f t="shared" si="0"/>
        <v>0</v>
      </c>
      <c r="E14" s="45">
        <f t="shared" si="10"/>
        <v>0</v>
      </c>
      <c r="F14" s="64">
        <f t="shared" si="37"/>
        <v>1459</v>
      </c>
      <c r="G14" s="52">
        <f t="shared" si="1"/>
        <v>0</v>
      </c>
      <c r="H14" s="64">
        <f t="shared" si="38"/>
        <v>342878</v>
      </c>
      <c r="I14" s="417">
        <f t="shared" si="2"/>
        <v>0</v>
      </c>
      <c r="J14" s="66">
        <f t="shared" si="11"/>
        <v>0</v>
      </c>
      <c r="K14" s="64">
        <f t="shared" si="39"/>
        <v>1846</v>
      </c>
      <c r="L14" s="52">
        <f t="shared" si="3"/>
        <v>0</v>
      </c>
      <c r="M14" s="64">
        <f t="shared" si="40"/>
        <v>134906</v>
      </c>
      <c r="N14" s="417">
        <f t="shared" si="4"/>
        <v>0</v>
      </c>
      <c r="O14" s="67">
        <f t="shared" si="5"/>
        <v>0</v>
      </c>
      <c r="P14" s="64">
        <f t="shared" si="12"/>
        <v>1681</v>
      </c>
      <c r="Q14" s="64">
        <f t="shared" si="12"/>
        <v>143671</v>
      </c>
      <c r="R14" s="416">
        <f t="shared" si="41"/>
        <v>0</v>
      </c>
      <c r="S14" s="52">
        <f t="shared" si="13"/>
        <v>0</v>
      </c>
      <c r="T14" s="68">
        <f t="shared" si="28"/>
        <v>0</v>
      </c>
      <c r="U14" s="423">
        <f t="shared" si="14"/>
        <v>0</v>
      </c>
      <c r="V14" s="62">
        <f t="shared" si="15"/>
        <v>0</v>
      </c>
      <c r="W14" s="421" t="e">
        <f t="shared" si="16"/>
        <v>#DIV/0!</v>
      </c>
      <c r="X14" s="64">
        <f t="shared" si="17"/>
        <v>2401</v>
      </c>
      <c r="Y14" s="52">
        <f t="shared" si="18"/>
        <v>0</v>
      </c>
      <c r="Z14" s="64">
        <f t="shared" si="17"/>
        <v>134951.9</v>
      </c>
      <c r="AA14" s="65">
        <f t="shared" si="7"/>
        <v>0</v>
      </c>
      <c r="AB14" s="295">
        <f t="shared" si="29"/>
        <v>0</v>
      </c>
      <c r="AC14" s="64">
        <f t="shared" si="19"/>
        <v>1801</v>
      </c>
      <c r="AD14" s="45">
        <f t="shared" si="8"/>
        <v>0</v>
      </c>
      <c r="AE14" s="64">
        <f t="shared" si="19"/>
        <v>357717.5</v>
      </c>
      <c r="AF14" s="322">
        <f t="shared" si="20"/>
        <v>0</v>
      </c>
      <c r="AG14" s="213">
        <f t="shared" si="30"/>
        <v>0</v>
      </c>
      <c r="AH14" s="62">
        <f t="shared" si="31"/>
        <v>0</v>
      </c>
      <c r="AI14" s="334">
        <f t="shared" si="21"/>
        <v>0</v>
      </c>
      <c r="AJ14" s="334">
        <f>-tanks!AW15</f>
        <v>0</v>
      </c>
      <c r="AK14" s="334">
        <f t="shared" si="22"/>
        <v>0</v>
      </c>
      <c r="AL14" s="334">
        <f t="shared" si="9"/>
        <v>0</v>
      </c>
      <c r="AM14" s="334">
        <f t="shared" si="23"/>
        <v>0</v>
      </c>
      <c r="AN14" s="64">
        <f t="shared" si="24"/>
        <v>71</v>
      </c>
      <c r="AO14" s="336">
        <f t="shared" si="25"/>
        <v>2130</v>
      </c>
      <c r="AP14" s="64">
        <f t="shared" si="24"/>
        <v>71</v>
      </c>
      <c r="AQ14" s="336">
        <f t="shared" si="26"/>
        <v>2130</v>
      </c>
      <c r="AR14" s="64">
        <f t="shared" si="24"/>
        <v>72</v>
      </c>
      <c r="AS14" s="336">
        <f t="shared" si="32"/>
        <v>2160</v>
      </c>
      <c r="AT14" s="336">
        <f t="shared" si="33"/>
        <v>6420</v>
      </c>
      <c r="AU14" s="336">
        <f t="shared" si="34"/>
        <v>0</v>
      </c>
      <c r="AV14" s="276"/>
      <c r="AW14" s="276"/>
      <c r="AX14" s="329">
        <f t="shared" si="27"/>
        <v>0.1</v>
      </c>
    </row>
    <row r="15" spans="1:50" ht="15" customHeight="1">
      <c r="A15" s="63">
        <f>ELEC!C13</f>
        <v>43901</v>
      </c>
      <c r="B15" s="64">
        <f t="shared" si="35"/>
        <v>213.3</v>
      </c>
      <c r="C15" s="64">
        <f t="shared" si="36"/>
        <v>219.2</v>
      </c>
      <c r="D15" s="45">
        <f t="shared" si="0"/>
        <v>0</v>
      </c>
      <c r="E15" s="45">
        <f t="shared" si="10"/>
        <v>0</v>
      </c>
      <c r="F15" s="64">
        <f t="shared" si="37"/>
        <v>1459</v>
      </c>
      <c r="G15" s="52">
        <f t="shared" si="1"/>
        <v>0</v>
      </c>
      <c r="H15" s="64">
        <f t="shared" si="38"/>
        <v>342878</v>
      </c>
      <c r="I15" s="417">
        <f t="shared" si="2"/>
        <v>0</v>
      </c>
      <c r="J15" s="66">
        <f t="shared" si="11"/>
        <v>0</v>
      </c>
      <c r="K15" s="64">
        <f t="shared" si="39"/>
        <v>1846</v>
      </c>
      <c r="L15" s="52">
        <f t="shared" si="3"/>
        <v>0</v>
      </c>
      <c r="M15" s="64">
        <f t="shared" si="40"/>
        <v>134906</v>
      </c>
      <c r="N15" s="417">
        <f t="shared" si="4"/>
        <v>0</v>
      </c>
      <c r="O15" s="67">
        <f t="shared" si="5"/>
        <v>0</v>
      </c>
      <c r="P15" s="64">
        <f t="shared" si="12"/>
        <v>1681</v>
      </c>
      <c r="Q15" s="64">
        <f t="shared" si="12"/>
        <v>143671</v>
      </c>
      <c r="R15" s="416">
        <f t="shared" si="41"/>
        <v>0</v>
      </c>
      <c r="S15" s="52">
        <f t="shared" si="13"/>
        <v>0</v>
      </c>
      <c r="T15" s="68">
        <f t="shared" si="28"/>
        <v>0</v>
      </c>
      <c r="U15" s="423">
        <f t="shared" si="14"/>
        <v>0</v>
      </c>
      <c r="V15" s="62">
        <f t="shared" si="15"/>
        <v>0</v>
      </c>
      <c r="W15" s="421" t="e">
        <f t="shared" si="16"/>
        <v>#DIV/0!</v>
      </c>
      <c r="X15" s="64">
        <f t="shared" si="17"/>
        <v>2401</v>
      </c>
      <c r="Y15" s="52">
        <f t="shared" si="18"/>
        <v>0</v>
      </c>
      <c r="Z15" s="64">
        <f t="shared" si="17"/>
        <v>134951.9</v>
      </c>
      <c r="AA15" s="65">
        <f t="shared" si="7"/>
        <v>0</v>
      </c>
      <c r="AB15" s="295">
        <f t="shared" si="29"/>
        <v>0</v>
      </c>
      <c r="AC15" s="64">
        <f t="shared" si="19"/>
        <v>1801</v>
      </c>
      <c r="AD15" s="45">
        <f t="shared" si="8"/>
        <v>0</v>
      </c>
      <c r="AE15" s="64">
        <f t="shared" si="19"/>
        <v>357717.5</v>
      </c>
      <c r="AF15" s="322">
        <f t="shared" si="20"/>
        <v>0</v>
      </c>
      <c r="AG15" s="213">
        <f t="shared" si="30"/>
        <v>0</v>
      </c>
      <c r="AH15" s="62">
        <f t="shared" si="31"/>
        <v>0</v>
      </c>
      <c r="AI15" s="334">
        <f t="shared" si="21"/>
        <v>0</v>
      </c>
      <c r="AJ15" s="334">
        <f>-tanks!AW16</f>
        <v>0</v>
      </c>
      <c r="AK15" s="334">
        <f t="shared" si="22"/>
        <v>0</v>
      </c>
      <c r="AL15" s="334">
        <f t="shared" si="9"/>
        <v>0</v>
      </c>
      <c r="AM15" s="334">
        <f t="shared" si="23"/>
        <v>0</v>
      </c>
      <c r="AN15" s="64">
        <f t="shared" si="24"/>
        <v>71</v>
      </c>
      <c r="AO15" s="336">
        <f t="shared" si="25"/>
        <v>2130</v>
      </c>
      <c r="AP15" s="64">
        <f t="shared" si="24"/>
        <v>71</v>
      </c>
      <c r="AQ15" s="336">
        <f t="shared" si="26"/>
        <v>2130</v>
      </c>
      <c r="AR15" s="64">
        <f t="shared" si="24"/>
        <v>72</v>
      </c>
      <c r="AS15" s="336">
        <f t="shared" si="32"/>
        <v>2160</v>
      </c>
      <c r="AT15" s="336">
        <f t="shared" si="33"/>
        <v>6420</v>
      </c>
      <c r="AU15" s="336">
        <f t="shared" si="34"/>
        <v>0</v>
      </c>
      <c r="AV15" s="276"/>
      <c r="AW15" s="276"/>
      <c r="AX15" s="329">
        <f t="shared" si="27"/>
        <v>0.1</v>
      </c>
    </row>
    <row r="16" spans="1:50">
      <c r="A16" s="63">
        <f>ELEC!C14</f>
        <v>43902</v>
      </c>
      <c r="B16" s="64">
        <f t="shared" si="35"/>
        <v>213.3</v>
      </c>
      <c r="C16" s="64">
        <f t="shared" si="36"/>
        <v>219.2</v>
      </c>
      <c r="D16" s="45">
        <f t="shared" si="0"/>
        <v>0</v>
      </c>
      <c r="E16" s="45">
        <f t="shared" si="10"/>
        <v>0</v>
      </c>
      <c r="F16" s="64">
        <f t="shared" si="37"/>
        <v>1459</v>
      </c>
      <c r="G16" s="52">
        <f t="shared" si="1"/>
        <v>0</v>
      </c>
      <c r="H16" s="64">
        <f t="shared" si="38"/>
        <v>342878</v>
      </c>
      <c r="I16" s="417">
        <f t="shared" si="2"/>
        <v>0</v>
      </c>
      <c r="J16" s="66">
        <f t="shared" si="11"/>
        <v>0</v>
      </c>
      <c r="K16" s="64">
        <f t="shared" si="39"/>
        <v>1846</v>
      </c>
      <c r="L16" s="52">
        <f t="shared" si="3"/>
        <v>0</v>
      </c>
      <c r="M16" s="64">
        <f t="shared" si="40"/>
        <v>134906</v>
      </c>
      <c r="N16" s="417">
        <f t="shared" si="4"/>
        <v>0</v>
      </c>
      <c r="O16" s="67">
        <f t="shared" si="5"/>
        <v>0</v>
      </c>
      <c r="P16" s="64">
        <f t="shared" si="12"/>
        <v>1681</v>
      </c>
      <c r="Q16" s="64">
        <f t="shared" si="12"/>
        <v>143671</v>
      </c>
      <c r="R16" s="416">
        <f t="shared" si="41"/>
        <v>0</v>
      </c>
      <c r="S16" s="52">
        <f t="shared" si="13"/>
        <v>0</v>
      </c>
      <c r="T16" s="68">
        <f t="shared" si="28"/>
        <v>0</v>
      </c>
      <c r="U16" s="423">
        <f t="shared" si="14"/>
        <v>0</v>
      </c>
      <c r="V16" s="62">
        <f t="shared" si="15"/>
        <v>0</v>
      </c>
      <c r="W16" s="421" t="e">
        <f t="shared" si="16"/>
        <v>#DIV/0!</v>
      </c>
      <c r="X16" s="64">
        <f t="shared" si="17"/>
        <v>2401</v>
      </c>
      <c r="Y16" s="52">
        <f t="shared" si="18"/>
        <v>0</v>
      </c>
      <c r="Z16" s="64">
        <f t="shared" si="17"/>
        <v>134951.9</v>
      </c>
      <c r="AA16" s="65">
        <f t="shared" si="7"/>
        <v>0</v>
      </c>
      <c r="AB16" s="295">
        <f t="shared" si="29"/>
        <v>0</v>
      </c>
      <c r="AC16" s="64">
        <f t="shared" si="19"/>
        <v>1801</v>
      </c>
      <c r="AD16" s="45">
        <f t="shared" si="8"/>
        <v>0</v>
      </c>
      <c r="AE16" s="64">
        <f t="shared" si="19"/>
        <v>357717.5</v>
      </c>
      <c r="AF16" s="322">
        <f t="shared" si="20"/>
        <v>0</v>
      </c>
      <c r="AG16" s="213">
        <f t="shared" si="30"/>
        <v>0</v>
      </c>
      <c r="AH16" s="62">
        <f t="shared" si="31"/>
        <v>0</v>
      </c>
      <c r="AI16" s="334">
        <f t="shared" si="21"/>
        <v>0</v>
      </c>
      <c r="AJ16" s="334">
        <f>-tanks!AW17</f>
        <v>0</v>
      </c>
      <c r="AK16" s="334">
        <f t="shared" si="22"/>
        <v>0</v>
      </c>
      <c r="AL16" s="334">
        <f t="shared" si="9"/>
        <v>0</v>
      </c>
      <c r="AM16" s="334">
        <f t="shared" si="23"/>
        <v>0</v>
      </c>
      <c r="AN16" s="64">
        <f t="shared" si="24"/>
        <v>71</v>
      </c>
      <c r="AO16" s="336">
        <f t="shared" si="25"/>
        <v>2130</v>
      </c>
      <c r="AP16" s="64">
        <f t="shared" si="24"/>
        <v>71</v>
      </c>
      <c r="AQ16" s="336">
        <f t="shared" si="26"/>
        <v>2130</v>
      </c>
      <c r="AR16" s="64">
        <f t="shared" si="24"/>
        <v>72</v>
      </c>
      <c r="AS16" s="336">
        <f t="shared" si="32"/>
        <v>2160</v>
      </c>
      <c r="AT16" s="336">
        <f t="shared" si="33"/>
        <v>6420</v>
      </c>
      <c r="AU16" s="336">
        <f t="shared" si="34"/>
        <v>0</v>
      </c>
      <c r="AV16" s="276"/>
      <c r="AW16" s="276"/>
      <c r="AX16" s="329">
        <f t="shared" si="27"/>
        <v>0.1</v>
      </c>
    </row>
    <row r="17" spans="1:50">
      <c r="A17" s="63">
        <f>ELEC!C15</f>
        <v>43903</v>
      </c>
      <c r="B17" s="64">
        <f t="shared" si="35"/>
        <v>213.3</v>
      </c>
      <c r="C17" s="64">
        <f t="shared" si="36"/>
        <v>219.2</v>
      </c>
      <c r="D17" s="45">
        <f t="shared" si="0"/>
        <v>0</v>
      </c>
      <c r="E17" s="45">
        <f t="shared" si="10"/>
        <v>0</v>
      </c>
      <c r="F17" s="64">
        <f t="shared" si="37"/>
        <v>1459</v>
      </c>
      <c r="G17" s="52">
        <f t="shared" si="1"/>
        <v>0</v>
      </c>
      <c r="H17" s="64">
        <f t="shared" si="38"/>
        <v>342878</v>
      </c>
      <c r="I17" s="417">
        <f t="shared" si="2"/>
        <v>0</v>
      </c>
      <c r="J17" s="66">
        <f t="shared" si="11"/>
        <v>0</v>
      </c>
      <c r="K17" s="64">
        <f t="shared" si="39"/>
        <v>1846</v>
      </c>
      <c r="L17" s="52">
        <f t="shared" si="3"/>
        <v>0</v>
      </c>
      <c r="M17" s="64">
        <f t="shared" si="40"/>
        <v>134906</v>
      </c>
      <c r="N17" s="417">
        <f t="shared" si="4"/>
        <v>0</v>
      </c>
      <c r="O17" s="67">
        <f t="shared" si="5"/>
        <v>0</v>
      </c>
      <c r="P17" s="64">
        <f t="shared" si="12"/>
        <v>1681</v>
      </c>
      <c r="Q17" s="64">
        <f t="shared" si="12"/>
        <v>143671</v>
      </c>
      <c r="R17" s="416">
        <f t="shared" si="41"/>
        <v>0</v>
      </c>
      <c r="S17" s="52">
        <f t="shared" si="13"/>
        <v>0</v>
      </c>
      <c r="T17" s="68">
        <f t="shared" si="28"/>
        <v>0</v>
      </c>
      <c r="U17" s="423">
        <f t="shared" si="14"/>
        <v>0</v>
      </c>
      <c r="V17" s="62">
        <f t="shared" si="15"/>
        <v>0</v>
      </c>
      <c r="W17" s="421"/>
      <c r="X17" s="64">
        <f t="shared" si="17"/>
        <v>2401</v>
      </c>
      <c r="Y17" s="52">
        <f t="shared" si="18"/>
        <v>0</v>
      </c>
      <c r="Z17" s="64">
        <f t="shared" si="17"/>
        <v>134951.9</v>
      </c>
      <c r="AA17" s="65">
        <f t="shared" si="7"/>
        <v>0</v>
      </c>
      <c r="AB17" s="295">
        <f t="shared" si="29"/>
        <v>0</v>
      </c>
      <c r="AC17" s="64">
        <f t="shared" si="19"/>
        <v>1801</v>
      </c>
      <c r="AD17" s="45">
        <f t="shared" si="8"/>
        <v>0</v>
      </c>
      <c r="AE17" s="64">
        <f t="shared" si="19"/>
        <v>357717.5</v>
      </c>
      <c r="AF17" s="322">
        <f t="shared" si="20"/>
        <v>0</v>
      </c>
      <c r="AG17" s="213">
        <f t="shared" si="30"/>
        <v>0</v>
      </c>
      <c r="AH17" s="62">
        <f t="shared" si="31"/>
        <v>0</v>
      </c>
      <c r="AI17" s="334">
        <f t="shared" si="21"/>
        <v>0</v>
      </c>
      <c r="AJ17" s="334">
        <f>-tanks!AW18</f>
        <v>0</v>
      </c>
      <c r="AK17" s="334">
        <f t="shared" si="22"/>
        <v>0</v>
      </c>
      <c r="AL17" s="334">
        <f t="shared" si="9"/>
        <v>0</v>
      </c>
      <c r="AM17" s="334">
        <f t="shared" si="23"/>
        <v>0</v>
      </c>
      <c r="AN17" s="64">
        <f t="shared" si="24"/>
        <v>71</v>
      </c>
      <c r="AO17" s="336">
        <f t="shared" si="25"/>
        <v>2130</v>
      </c>
      <c r="AP17" s="64">
        <f t="shared" si="24"/>
        <v>71</v>
      </c>
      <c r="AQ17" s="336">
        <f t="shared" si="26"/>
        <v>2130</v>
      </c>
      <c r="AR17" s="64">
        <f t="shared" si="24"/>
        <v>72</v>
      </c>
      <c r="AS17" s="336">
        <f t="shared" si="32"/>
        <v>2160</v>
      </c>
      <c r="AT17" s="336">
        <f t="shared" si="33"/>
        <v>6420</v>
      </c>
      <c r="AU17" s="336">
        <f t="shared" si="34"/>
        <v>0</v>
      </c>
      <c r="AV17" s="276"/>
      <c r="AW17" s="276"/>
      <c r="AX17" s="329">
        <f t="shared" si="27"/>
        <v>0.1</v>
      </c>
    </row>
    <row r="18" spans="1:50">
      <c r="A18" s="63">
        <f>ELEC!C16</f>
        <v>43904</v>
      </c>
      <c r="B18" s="64">
        <f t="shared" si="35"/>
        <v>213.3</v>
      </c>
      <c r="C18" s="64">
        <f t="shared" si="36"/>
        <v>219.2</v>
      </c>
      <c r="D18" s="45">
        <f t="shared" si="0"/>
        <v>0</v>
      </c>
      <c r="E18" s="45">
        <f t="shared" si="10"/>
        <v>0</v>
      </c>
      <c r="F18" s="64">
        <f t="shared" si="37"/>
        <v>1459</v>
      </c>
      <c r="G18" s="52">
        <f t="shared" si="1"/>
        <v>0</v>
      </c>
      <c r="H18" s="64">
        <f t="shared" si="38"/>
        <v>342878</v>
      </c>
      <c r="I18" s="417">
        <f t="shared" si="2"/>
        <v>0</v>
      </c>
      <c r="J18" s="66">
        <f t="shared" si="11"/>
        <v>0</v>
      </c>
      <c r="K18" s="64">
        <f t="shared" si="39"/>
        <v>1846</v>
      </c>
      <c r="L18" s="52">
        <f t="shared" si="3"/>
        <v>0</v>
      </c>
      <c r="M18" s="64">
        <f t="shared" si="40"/>
        <v>134906</v>
      </c>
      <c r="N18" s="417">
        <f t="shared" si="4"/>
        <v>0</v>
      </c>
      <c r="O18" s="67">
        <f t="shared" si="5"/>
        <v>0</v>
      </c>
      <c r="P18" s="64">
        <f t="shared" si="12"/>
        <v>1681</v>
      </c>
      <c r="Q18" s="64">
        <f t="shared" si="12"/>
        <v>143671</v>
      </c>
      <c r="R18" s="416">
        <f t="shared" si="41"/>
        <v>0</v>
      </c>
      <c r="S18" s="52">
        <f t="shared" si="13"/>
        <v>0</v>
      </c>
      <c r="T18" s="68">
        <f t="shared" si="28"/>
        <v>0</v>
      </c>
      <c r="U18" s="423">
        <f t="shared" si="14"/>
        <v>0</v>
      </c>
      <c r="V18" s="62">
        <f t="shared" si="15"/>
        <v>0</v>
      </c>
      <c r="W18" s="421"/>
      <c r="X18" s="64">
        <f t="shared" si="17"/>
        <v>2401</v>
      </c>
      <c r="Y18" s="52">
        <f t="shared" si="18"/>
        <v>0</v>
      </c>
      <c r="Z18" s="64">
        <f t="shared" si="17"/>
        <v>134951.9</v>
      </c>
      <c r="AA18" s="65">
        <f t="shared" si="7"/>
        <v>0</v>
      </c>
      <c r="AB18" s="295">
        <f t="shared" ref="AB18:AB23" si="42">SUM(Y18*$AB$2)</f>
        <v>0</v>
      </c>
      <c r="AC18" s="64">
        <f t="shared" si="19"/>
        <v>1801</v>
      </c>
      <c r="AD18" s="45">
        <f t="shared" si="8"/>
        <v>0</v>
      </c>
      <c r="AE18" s="64">
        <f t="shared" si="19"/>
        <v>357717.5</v>
      </c>
      <c r="AF18" s="322">
        <f t="shared" si="20"/>
        <v>0</v>
      </c>
      <c r="AG18" s="213">
        <f t="shared" si="30"/>
        <v>0</v>
      </c>
      <c r="AH18" s="62">
        <f t="shared" si="31"/>
        <v>0</v>
      </c>
      <c r="AI18" s="334">
        <f t="shared" si="21"/>
        <v>0</v>
      </c>
      <c r="AJ18" s="334">
        <f>-tanks!AW19</f>
        <v>0</v>
      </c>
      <c r="AK18" s="334">
        <f t="shared" si="22"/>
        <v>0</v>
      </c>
      <c r="AL18" s="334">
        <f t="shared" si="9"/>
        <v>0</v>
      </c>
      <c r="AM18" s="334">
        <f t="shared" si="23"/>
        <v>0</v>
      </c>
      <c r="AN18" s="64">
        <f t="shared" si="24"/>
        <v>71</v>
      </c>
      <c r="AO18" s="336">
        <f t="shared" si="25"/>
        <v>2130</v>
      </c>
      <c r="AP18" s="64">
        <f t="shared" si="24"/>
        <v>71</v>
      </c>
      <c r="AQ18" s="336">
        <f t="shared" si="26"/>
        <v>2130</v>
      </c>
      <c r="AR18" s="64">
        <f t="shared" si="24"/>
        <v>72</v>
      </c>
      <c r="AS18" s="336">
        <f t="shared" si="32"/>
        <v>2160</v>
      </c>
      <c r="AT18" s="336">
        <f t="shared" si="33"/>
        <v>6420</v>
      </c>
      <c r="AU18" s="336">
        <f t="shared" si="34"/>
        <v>0</v>
      </c>
      <c r="AV18" s="276"/>
      <c r="AW18" s="276"/>
      <c r="AX18" s="329">
        <f t="shared" si="27"/>
        <v>0.1</v>
      </c>
    </row>
    <row r="19" spans="1:50">
      <c r="A19" s="63">
        <f>ELEC!C17</f>
        <v>43905</v>
      </c>
      <c r="B19" s="64">
        <f t="shared" si="35"/>
        <v>213.3</v>
      </c>
      <c r="C19" s="64">
        <f t="shared" si="36"/>
        <v>219.2</v>
      </c>
      <c r="D19" s="45">
        <f t="shared" si="0"/>
        <v>0</v>
      </c>
      <c r="E19" s="45">
        <f t="shared" si="10"/>
        <v>0</v>
      </c>
      <c r="F19" s="64">
        <f t="shared" si="37"/>
        <v>1459</v>
      </c>
      <c r="G19" s="52">
        <f t="shared" si="1"/>
        <v>0</v>
      </c>
      <c r="H19" s="64">
        <f t="shared" si="38"/>
        <v>342878</v>
      </c>
      <c r="I19" s="417">
        <f t="shared" si="2"/>
        <v>0</v>
      </c>
      <c r="J19" s="66">
        <f t="shared" si="11"/>
        <v>0</v>
      </c>
      <c r="K19" s="64">
        <f t="shared" si="39"/>
        <v>1846</v>
      </c>
      <c r="L19" s="52">
        <f t="shared" si="3"/>
        <v>0</v>
      </c>
      <c r="M19" s="64">
        <f t="shared" si="40"/>
        <v>134906</v>
      </c>
      <c r="N19" s="417">
        <f t="shared" si="4"/>
        <v>0</v>
      </c>
      <c r="O19" s="67">
        <f t="shared" si="5"/>
        <v>0</v>
      </c>
      <c r="P19" s="64">
        <f t="shared" si="12"/>
        <v>1681</v>
      </c>
      <c r="Q19" s="64">
        <f t="shared" si="12"/>
        <v>143671</v>
      </c>
      <c r="R19" s="416">
        <f t="shared" si="41"/>
        <v>0</v>
      </c>
      <c r="S19" s="52">
        <f t="shared" si="13"/>
        <v>0</v>
      </c>
      <c r="T19" s="68">
        <f t="shared" si="28"/>
        <v>0</v>
      </c>
      <c r="U19" s="423">
        <f t="shared" si="14"/>
        <v>0</v>
      </c>
      <c r="V19" s="62">
        <f t="shared" si="15"/>
        <v>0</v>
      </c>
      <c r="W19" s="421"/>
      <c r="X19" s="64">
        <f t="shared" si="17"/>
        <v>2401</v>
      </c>
      <c r="Y19" s="52">
        <f t="shared" si="18"/>
        <v>0</v>
      </c>
      <c r="Z19" s="64">
        <f t="shared" si="17"/>
        <v>134951.9</v>
      </c>
      <c r="AA19" s="65">
        <f t="shared" si="7"/>
        <v>0</v>
      </c>
      <c r="AB19" s="295">
        <f t="shared" si="42"/>
        <v>0</v>
      </c>
      <c r="AC19" s="64">
        <f t="shared" si="19"/>
        <v>1801</v>
      </c>
      <c r="AD19" s="45">
        <f t="shared" si="8"/>
        <v>0</v>
      </c>
      <c r="AE19" s="64">
        <f t="shared" si="19"/>
        <v>357717.5</v>
      </c>
      <c r="AF19" s="322">
        <f t="shared" si="20"/>
        <v>0</v>
      </c>
      <c r="AG19" s="213">
        <f t="shared" si="30"/>
        <v>0</v>
      </c>
      <c r="AH19" s="62">
        <f t="shared" si="31"/>
        <v>0</v>
      </c>
      <c r="AI19" s="334">
        <f t="shared" si="21"/>
        <v>0</v>
      </c>
      <c r="AJ19" s="334">
        <f>-tanks!AW20</f>
        <v>0</v>
      </c>
      <c r="AK19" s="334">
        <f t="shared" si="22"/>
        <v>0</v>
      </c>
      <c r="AL19" s="334">
        <f>S19+L20+G19</f>
        <v>0</v>
      </c>
      <c r="AM19" s="334">
        <f t="shared" si="23"/>
        <v>0</v>
      </c>
      <c r="AN19" s="64">
        <f t="shared" si="24"/>
        <v>71</v>
      </c>
      <c r="AO19" s="336">
        <f t="shared" si="25"/>
        <v>2130</v>
      </c>
      <c r="AP19" s="64">
        <f t="shared" si="24"/>
        <v>71</v>
      </c>
      <c r="AQ19" s="336">
        <f t="shared" si="26"/>
        <v>2130</v>
      </c>
      <c r="AR19" s="64">
        <f t="shared" si="24"/>
        <v>72</v>
      </c>
      <c r="AS19" s="336">
        <f t="shared" si="32"/>
        <v>2160</v>
      </c>
      <c r="AT19" s="336">
        <f t="shared" si="33"/>
        <v>6420</v>
      </c>
      <c r="AU19" s="336">
        <f t="shared" si="34"/>
        <v>0</v>
      </c>
      <c r="AV19" s="276"/>
      <c r="AW19" s="276"/>
      <c r="AX19" s="329">
        <f t="shared" si="27"/>
        <v>0.1</v>
      </c>
    </row>
    <row r="20" spans="1:50">
      <c r="A20" s="63">
        <f>ELEC!C18</f>
        <v>43906</v>
      </c>
      <c r="B20" s="64">
        <f t="shared" si="35"/>
        <v>213.3</v>
      </c>
      <c r="C20" s="64">
        <f t="shared" si="36"/>
        <v>219.2</v>
      </c>
      <c r="D20" s="45">
        <f>C19-C20</f>
        <v>0</v>
      </c>
      <c r="E20" s="45">
        <f t="shared" si="10"/>
        <v>0</v>
      </c>
      <c r="F20" s="64">
        <f t="shared" si="37"/>
        <v>1459</v>
      </c>
      <c r="G20" s="52">
        <f t="shared" si="1"/>
        <v>0</v>
      </c>
      <c r="H20" s="64">
        <f t="shared" si="38"/>
        <v>342878</v>
      </c>
      <c r="I20" s="417">
        <f t="shared" si="2"/>
        <v>0</v>
      </c>
      <c r="J20" s="66">
        <f t="shared" si="11"/>
        <v>0</v>
      </c>
      <c r="K20" s="64">
        <f t="shared" si="39"/>
        <v>1846</v>
      </c>
      <c r="L20" s="52">
        <f t="shared" si="3"/>
        <v>0</v>
      </c>
      <c r="M20" s="64">
        <f t="shared" si="40"/>
        <v>134906</v>
      </c>
      <c r="N20" s="417">
        <f t="shared" si="4"/>
        <v>0</v>
      </c>
      <c r="O20" s="67">
        <f t="shared" si="5"/>
        <v>0</v>
      </c>
      <c r="P20" s="64">
        <f t="shared" si="12"/>
        <v>1681</v>
      </c>
      <c r="Q20" s="64">
        <f t="shared" si="12"/>
        <v>143671</v>
      </c>
      <c r="R20" s="416">
        <f t="shared" si="41"/>
        <v>0</v>
      </c>
      <c r="S20" s="52">
        <f t="shared" si="13"/>
        <v>0</v>
      </c>
      <c r="T20" s="68">
        <f t="shared" si="28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2401</v>
      </c>
      <c r="Y20" s="52">
        <f t="shared" si="18"/>
        <v>0</v>
      </c>
      <c r="Z20" s="64">
        <f t="shared" si="17"/>
        <v>134951.9</v>
      </c>
      <c r="AA20" s="65">
        <f t="shared" si="7"/>
        <v>0</v>
      </c>
      <c r="AB20" s="295">
        <f t="shared" si="42"/>
        <v>0</v>
      </c>
      <c r="AC20" s="64">
        <f t="shared" si="19"/>
        <v>1801</v>
      </c>
      <c r="AD20" s="45">
        <f t="shared" si="8"/>
        <v>0</v>
      </c>
      <c r="AE20" s="64">
        <f t="shared" si="19"/>
        <v>357717.5</v>
      </c>
      <c r="AF20" s="322">
        <f t="shared" si="20"/>
        <v>0</v>
      </c>
      <c r="AG20" s="213">
        <f t="shared" si="30"/>
        <v>0</v>
      </c>
      <c r="AH20" s="62">
        <f t="shared" si="31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24"/>
        <v>71</v>
      </c>
      <c r="AO20" s="336">
        <f t="shared" si="25"/>
        <v>2130</v>
      </c>
      <c r="AP20" s="64">
        <f t="shared" si="24"/>
        <v>71</v>
      </c>
      <c r="AQ20" s="336">
        <f t="shared" si="26"/>
        <v>2130</v>
      </c>
      <c r="AR20" s="64">
        <f t="shared" si="24"/>
        <v>72</v>
      </c>
      <c r="AS20" s="336">
        <f t="shared" si="32"/>
        <v>2160</v>
      </c>
      <c r="AT20" s="336">
        <f t="shared" si="33"/>
        <v>6420</v>
      </c>
      <c r="AU20" s="336">
        <f t="shared" si="34"/>
        <v>0</v>
      </c>
      <c r="AV20" s="276"/>
      <c r="AW20" s="276"/>
      <c r="AX20" s="329">
        <f t="shared" si="27"/>
        <v>0.1</v>
      </c>
    </row>
    <row r="21" spans="1:50">
      <c r="A21" s="63">
        <f>ELEC!C19</f>
        <v>43907</v>
      </c>
      <c r="B21" s="64">
        <f t="shared" si="35"/>
        <v>213.3</v>
      </c>
      <c r="C21" s="64">
        <f t="shared" si="36"/>
        <v>219.2</v>
      </c>
      <c r="D21" s="45">
        <f t="shared" si="0"/>
        <v>0</v>
      </c>
      <c r="E21" s="45">
        <f t="shared" si="10"/>
        <v>0</v>
      </c>
      <c r="F21" s="64">
        <f t="shared" si="37"/>
        <v>1459</v>
      </c>
      <c r="G21" s="52">
        <f t="shared" si="1"/>
        <v>0</v>
      </c>
      <c r="H21" s="64">
        <f t="shared" si="38"/>
        <v>342878</v>
      </c>
      <c r="I21" s="417">
        <f t="shared" si="2"/>
        <v>0</v>
      </c>
      <c r="J21" s="66">
        <f t="shared" si="11"/>
        <v>0</v>
      </c>
      <c r="K21" s="64">
        <f t="shared" si="39"/>
        <v>1846</v>
      </c>
      <c r="L21" s="52">
        <f t="shared" si="3"/>
        <v>0</v>
      </c>
      <c r="M21" s="64">
        <f t="shared" si="40"/>
        <v>134906</v>
      </c>
      <c r="N21" s="417">
        <f t="shared" si="4"/>
        <v>0</v>
      </c>
      <c r="O21" s="67">
        <f t="shared" si="5"/>
        <v>0</v>
      </c>
      <c r="P21" s="64">
        <f t="shared" si="12"/>
        <v>1681</v>
      </c>
      <c r="Q21" s="64">
        <f t="shared" si="12"/>
        <v>143671</v>
      </c>
      <c r="R21" s="416">
        <f t="shared" si="41"/>
        <v>0</v>
      </c>
      <c r="S21" s="52">
        <f t="shared" si="13"/>
        <v>0</v>
      </c>
      <c r="T21" s="68">
        <f t="shared" si="28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2401</v>
      </c>
      <c r="Y21" s="52">
        <f t="shared" si="18"/>
        <v>0</v>
      </c>
      <c r="Z21" s="64">
        <f t="shared" si="17"/>
        <v>134951.9</v>
      </c>
      <c r="AA21" s="65">
        <f t="shared" si="7"/>
        <v>0</v>
      </c>
      <c r="AB21" s="295">
        <f t="shared" si="42"/>
        <v>0</v>
      </c>
      <c r="AC21" s="64">
        <f t="shared" si="19"/>
        <v>1801</v>
      </c>
      <c r="AD21" s="45">
        <f t="shared" si="8"/>
        <v>0</v>
      </c>
      <c r="AE21" s="64">
        <f t="shared" si="19"/>
        <v>357717.5</v>
      </c>
      <c r="AF21" s="322">
        <f t="shared" si="20"/>
        <v>0</v>
      </c>
      <c r="AG21" s="213">
        <f t="shared" si="30"/>
        <v>0</v>
      </c>
      <c r="AH21" s="62">
        <f t="shared" si="31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3">S21+L21+G21</f>
        <v>0</v>
      </c>
      <c r="AM21" s="334">
        <f t="shared" si="23"/>
        <v>0</v>
      </c>
      <c r="AN21" s="64">
        <f t="shared" si="24"/>
        <v>71</v>
      </c>
      <c r="AO21" s="336">
        <f t="shared" si="25"/>
        <v>2130</v>
      </c>
      <c r="AP21" s="64">
        <f t="shared" si="24"/>
        <v>71</v>
      </c>
      <c r="AQ21" s="336">
        <f t="shared" si="26"/>
        <v>2130</v>
      </c>
      <c r="AR21" s="64">
        <f t="shared" si="24"/>
        <v>72</v>
      </c>
      <c r="AS21" s="336">
        <f t="shared" si="32"/>
        <v>2160</v>
      </c>
      <c r="AT21" s="336">
        <f t="shared" si="33"/>
        <v>6420</v>
      </c>
      <c r="AU21" s="336">
        <f t="shared" si="34"/>
        <v>0</v>
      </c>
      <c r="AV21" s="276"/>
      <c r="AW21" s="276"/>
      <c r="AX21" s="329">
        <f t="shared" si="27"/>
        <v>0.1</v>
      </c>
    </row>
    <row r="22" spans="1:50" ht="16.5" customHeight="1">
      <c r="A22" s="63">
        <f>ELEC!C20</f>
        <v>43908</v>
      </c>
      <c r="B22" s="64">
        <f t="shared" si="35"/>
        <v>213.3</v>
      </c>
      <c r="C22" s="64">
        <f t="shared" si="36"/>
        <v>219.2</v>
      </c>
      <c r="D22" s="45">
        <f t="shared" si="0"/>
        <v>0</v>
      </c>
      <c r="E22" s="45">
        <f t="shared" si="10"/>
        <v>0</v>
      </c>
      <c r="F22" s="64">
        <f t="shared" si="37"/>
        <v>1459</v>
      </c>
      <c r="G22" s="52">
        <f t="shared" si="1"/>
        <v>0</v>
      </c>
      <c r="H22" s="64">
        <f t="shared" si="38"/>
        <v>342878</v>
      </c>
      <c r="I22" s="417">
        <f t="shared" si="2"/>
        <v>0</v>
      </c>
      <c r="J22" s="66">
        <f t="shared" si="11"/>
        <v>0</v>
      </c>
      <c r="K22" s="64">
        <f t="shared" si="39"/>
        <v>1846</v>
      </c>
      <c r="L22" s="52">
        <f t="shared" si="3"/>
        <v>0</v>
      </c>
      <c r="M22" s="64">
        <f t="shared" si="40"/>
        <v>134906</v>
      </c>
      <c r="N22" s="417">
        <f t="shared" si="4"/>
        <v>0</v>
      </c>
      <c r="O22" s="67">
        <f t="shared" si="5"/>
        <v>0</v>
      </c>
      <c r="P22" s="64">
        <f t="shared" si="12"/>
        <v>1681</v>
      </c>
      <c r="Q22" s="64">
        <f t="shared" si="12"/>
        <v>143671</v>
      </c>
      <c r="R22" s="416">
        <f t="shared" si="41"/>
        <v>0</v>
      </c>
      <c r="S22" s="52">
        <f t="shared" si="13"/>
        <v>0</v>
      </c>
      <c r="T22" s="68">
        <f t="shared" si="28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2401</v>
      </c>
      <c r="Y22" s="52">
        <f t="shared" si="18"/>
        <v>0</v>
      </c>
      <c r="Z22" s="64">
        <f t="shared" si="17"/>
        <v>134951.9</v>
      </c>
      <c r="AA22" s="65">
        <f t="shared" si="7"/>
        <v>0</v>
      </c>
      <c r="AB22" s="295">
        <f t="shared" si="42"/>
        <v>0</v>
      </c>
      <c r="AC22" s="64">
        <f t="shared" si="19"/>
        <v>1801</v>
      </c>
      <c r="AD22" s="45">
        <f t="shared" si="8"/>
        <v>0</v>
      </c>
      <c r="AE22" s="64">
        <f t="shared" si="19"/>
        <v>357717.5</v>
      </c>
      <c r="AF22" s="322">
        <f t="shared" si="20"/>
        <v>0</v>
      </c>
      <c r="AG22" s="213">
        <f t="shared" si="30"/>
        <v>0</v>
      </c>
      <c r="AH22" s="62">
        <f t="shared" si="31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3"/>
        <v>0</v>
      </c>
      <c r="AM22" s="334">
        <f t="shared" si="23"/>
        <v>0</v>
      </c>
      <c r="AN22" s="64">
        <f t="shared" si="24"/>
        <v>71</v>
      </c>
      <c r="AO22" s="336">
        <f t="shared" si="25"/>
        <v>2130</v>
      </c>
      <c r="AP22" s="64">
        <f t="shared" si="24"/>
        <v>71</v>
      </c>
      <c r="AQ22" s="336">
        <f t="shared" si="26"/>
        <v>2130</v>
      </c>
      <c r="AR22" s="64">
        <f t="shared" si="24"/>
        <v>72</v>
      </c>
      <c r="AS22" s="336">
        <f t="shared" si="32"/>
        <v>2160</v>
      </c>
      <c r="AT22" s="336">
        <f t="shared" si="33"/>
        <v>6420</v>
      </c>
      <c r="AU22" s="336">
        <f t="shared" si="34"/>
        <v>0</v>
      </c>
      <c r="AV22" s="276"/>
      <c r="AW22" s="276"/>
      <c r="AX22" s="329">
        <f t="shared" si="27"/>
        <v>0.1</v>
      </c>
    </row>
    <row r="23" spans="1:50">
      <c r="A23" s="63">
        <f>ELEC!C21</f>
        <v>43909</v>
      </c>
      <c r="B23" s="64">
        <f t="shared" si="35"/>
        <v>213.3</v>
      </c>
      <c r="C23" s="64">
        <f t="shared" si="36"/>
        <v>219.2</v>
      </c>
      <c r="D23" s="45">
        <f t="shared" si="0"/>
        <v>0</v>
      </c>
      <c r="E23" s="45">
        <f t="shared" si="10"/>
        <v>0</v>
      </c>
      <c r="F23" s="64">
        <f t="shared" si="37"/>
        <v>1459</v>
      </c>
      <c r="G23" s="52">
        <f t="shared" si="1"/>
        <v>0</v>
      </c>
      <c r="H23" s="64">
        <f t="shared" si="38"/>
        <v>342878</v>
      </c>
      <c r="I23" s="417">
        <f t="shared" si="2"/>
        <v>0</v>
      </c>
      <c r="J23" s="66">
        <f t="shared" si="11"/>
        <v>0</v>
      </c>
      <c r="K23" s="64">
        <f t="shared" si="39"/>
        <v>1846</v>
      </c>
      <c r="L23" s="52">
        <f t="shared" si="3"/>
        <v>0</v>
      </c>
      <c r="M23" s="64">
        <f t="shared" si="40"/>
        <v>134906</v>
      </c>
      <c r="N23" s="417">
        <f t="shared" si="4"/>
        <v>0</v>
      </c>
      <c r="O23" s="67">
        <f t="shared" si="5"/>
        <v>0</v>
      </c>
      <c r="P23" s="64">
        <f t="shared" si="12"/>
        <v>1681</v>
      </c>
      <c r="Q23" s="64">
        <f t="shared" si="12"/>
        <v>143671</v>
      </c>
      <c r="R23" s="416">
        <f t="shared" si="41"/>
        <v>0</v>
      </c>
      <c r="S23" s="52">
        <f t="shared" si="13"/>
        <v>0</v>
      </c>
      <c r="T23" s="68">
        <f t="shared" si="28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2401</v>
      </c>
      <c r="Y23" s="52">
        <f t="shared" si="18"/>
        <v>0</v>
      </c>
      <c r="Z23" s="64">
        <f t="shared" si="17"/>
        <v>134951.9</v>
      </c>
      <c r="AA23" s="65">
        <f t="shared" si="7"/>
        <v>0</v>
      </c>
      <c r="AB23" s="295">
        <f t="shared" si="42"/>
        <v>0</v>
      </c>
      <c r="AC23" s="64">
        <f t="shared" si="19"/>
        <v>1801</v>
      </c>
      <c r="AD23" s="45">
        <f t="shared" si="8"/>
        <v>0</v>
      </c>
      <c r="AE23" s="64">
        <f t="shared" si="19"/>
        <v>357717.5</v>
      </c>
      <c r="AF23" s="322">
        <f t="shared" si="20"/>
        <v>0</v>
      </c>
      <c r="AG23" s="213">
        <f t="shared" si="30"/>
        <v>0</v>
      </c>
      <c r="AH23" s="62">
        <f t="shared" si="31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3"/>
        <v>0</v>
      </c>
      <c r="AM23" s="334">
        <f t="shared" si="23"/>
        <v>0</v>
      </c>
      <c r="AN23" s="64">
        <f t="shared" si="24"/>
        <v>71</v>
      </c>
      <c r="AO23" s="336">
        <f t="shared" si="25"/>
        <v>2130</v>
      </c>
      <c r="AP23" s="64">
        <f t="shared" si="24"/>
        <v>71</v>
      </c>
      <c r="AQ23" s="336">
        <f t="shared" si="26"/>
        <v>2130</v>
      </c>
      <c r="AR23" s="64">
        <f t="shared" si="24"/>
        <v>72</v>
      </c>
      <c r="AS23" s="336">
        <f t="shared" si="32"/>
        <v>2160</v>
      </c>
      <c r="AT23" s="336">
        <f t="shared" si="33"/>
        <v>6420</v>
      </c>
      <c r="AU23" s="336">
        <f t="shared" si="34"/>
        <v>0</v>
      </c>
      <c r="AV23" s="276"/>
      <c r="AW23" s="276"/>
      <c r="AX23" s="329">
        <f t="shared" si="27"/>
        <v>0.1</v>
      </c>
    </row>
    <row r="24" spans="1:50">
      <c r="A24" s="63">
        <f>ELEC!C22</f>
        <v>43910</v>
      </c>
      <c r="B24" s="64">
        <f t="shared" si="35"/>
        <v>213.3</v>
      </c>
      <c r="C24" s="64">
        <f t="shared" si="36"/>
        <v>219.2</v>
      </c>
      <c r="D24" s="45">
        <f t="shared" si="0"/>
        <v>0</v>
      </c>
      <c r="E24" s="45">
        <f t="shared" si="10"/>
        <v>0</v>
      </c>
      <c r="F24" s="64">
        <f t="shared" si="37"/>
        <v>1459</v>
      </c>
      <c r="G24" s="52">
        <f t="shared" si="1"/>
        <v>0</v>
      </c>
      <c r="H24" s="64">
        <f t="shared" si="38"/>
        <v>342878</v>
      </c>
      <c r="I24" s="417">
        <f t="shared" si="2"/>
        <v>0</v>
      </c>
      <c r="J24" s="66">
        <f t="shared" si="11"/>
        <v>0</v>
      </c>
      <c r="K24" s="64">
        <f t="shared" si="39"/>
        <v>1846</v>
      </c>
      <c r="L24" s="52">
        <f t="shared" si="3"/>
        <v>0</v>
      </c>
      <c r="M24" s="64">
        <f t="shared" si="40"/>
        <v>134906</v>
      </c>
      <c r="N24" s="417">
        <f t="shared" si="4"/>
        <v>0</v>
      </c>
      <c r="O24" s="67">
        <f t="shared" si="5"/>
        <v>0</v>
      </c>
      <c r="P24" s="64">
        <f t="shared" si="12"/>
        <v>1681</v>
      </c>
      <c r="Q24" s="64">
        <f t="shared" si="12"/>
        <v>143671</v>
      </c>
      <c r="R24" s="416">
        <f t="shared" si="41"/>
        <v>0</v>
      </c>
      <c r="S24" s="52">
        <f t="shared" ref="S24:S33" si="44">SUM(P24-P23)</f>
        <v>0</v>
      </c>
      <c r="T24" s="68">
        <f t="shared" si="28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2401</v>
      </c>
      <c r="Y24" s="52">
        <f t="shared" si="18"/>
        <v>0</v>
      </c>
      <c r="Z24" s="64">
        <f t="shared" si="17"/>
        <v>134951.9</v>
      </c>
      <c r="AA24" s="65">
        <f t="shared" si="7"/>
        <v>0</v>
      </c>
      <c r="AB24" s="295">
        <f t="shared" ref="AB24:AB34" si="45">SUM(Y24*$AB$2)</f>
        <v>0</v>
      </c>
      <c r="AC24" s="64">
        <f t="shared" si="19"/>
        <v>1801</v>
      </c>
      <c r="AD24" s="45">
        <f t="shared" si="8"/>
        <v>0</v>
      </c>
      <c r="AE24" s="64">
        <f t="shared" si="19"/>
        <v>357717.5</v>
      </c>
      <c r="AF24" s="322">
        <f t="shared" si="20"/>
        <v>0</v>
      </c>
      <c r="AG24" s="213">
        <f t="shared" si="30"/>
        <v>0</v>
      </c>
      <c r="AH24" s="62">
        <f t="shared" si="31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3"/>
        <v>0</v>
      </c>
      <c r="AM24" s="334">
        <f t="shared" si="23"/>
        <v>0</v>
      </c>
      <c r="AN24" s="64">
        <f t="shared" si="24"/>
        <v>71</v>
      </c>
      <c r="AO24" s="336">
        <f t="shared" si="25"/>
        <v>2130</v>
      </c>
      <c r="AP24" s="64">
        <f t="shared" si="24"/>
        <v>71</v>
      </c>
      <c r="AQ24" s="336">
        <f t="shared" si="26"/>
        <v>2130</v>
      </c>
      <c r="AR24" s="64">
        <f t="shared" si="24"/>
        <v>72</v>
      </c>
      <c r="AS24" s="336">
        <f t="shared" si="32"/>
        <v>2160</v>
      </c>
      <c r="AT24" s="336">
        <f t="shared" ref="AT24:AT34" si="46">SUM(AO24+AQ24+AS24)</f>
        <v>6420</v>
      </c>
      <c r="AU24" s="336">
        <f t="shared" si="34"/>
        <v>0</v>
      </c>
      <c r="AV24" s="276"/>
      <c r="AW24" s="276"/>
      <c r="AX24" s="329">
        <f t="shared" si="27"/>
        <v>0.1</v>
      </c>
    </row>
    <row r="25" spans="1:50" ht="13.5" customHeight="1">
      <c r="A25" s="63">
        <f>ELEC!C23</f>
        <v>43911</v>
      </c>
      <c r="B25" s="64">
        <f t="shared" si="35"/>
        <v>213.3</v>
      </c>
      <c r="C25" s="64">
        <f t="shared" si="36"/>
        <v>219.2</v>
      </c>
      <c r="D25" s="45">
        <f t="shared" si="0"/>
        <v>0</v>
      </c>
      <c r="E25" s="45">
        <f t="shared" si="10"/>
        <v>0</v>
      </c>
      <c r="F25" s="64">
        <f t="shared" si="37"/>
        <v>1459</v>
      </c>
      <c r="G25" s="52">
        <f t="shared" si="1"/>
        <v>0</v>
      </c>
      <c r="H25" s="64">
        <f t="shared" si="38"/>
        <v>342878</v>
      </c>
      <c r="I25" s="417">
        <f t="shared" si="2"/>
        <v>0</v>
      </c>
      <c r="J25" s="66">
        <f t="shared" si="11"/>
        <v>0</v>
      </c>
      <c r="K25" s="64">
        <f t="shared" si="39"/>
        <v>1846</v>
      </c>
      <c r="L25" s="52">
        <f t="shared" si="3"/>
        <v>0</v>
      </c>
      <c r="M25" s="64">
        <f t="shared" si="40"/>
        <v>134906</v>
      </c>
      <c r="N25" s="417">
        <f t="shared" si="4"/>
        <v>0</v>
      </c>
      <c r="O25" s="67">
        <f t="shared" si="5"/>
        <v>0</v>
      </c>
      <c r="P25" s="64">
        <f t="shared" si="12"/>
        <v>1681</v>
      </c>
      <c r="Q25" s="64">
        <f t="shared" si="12"/>
        <v>143671</v>
      </c>
      <c r="R25" s="416">
        <f t="shared" si="41"/>
        <v>0</v>
      </c>
      <c r="S25" s="52">
        <f t="shared" si="44"/>
        <v>0</v>
      </c>
      <c r="T25" s="68">
        <f t="shared" si="28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2401</v>
      </c>
      <c r="Y25" s="52">
        <f t="shared" si="18"/>
        <v>0</v>
      </c>
      <c r="Z25" s="64">
        <f t="shared" si="17"/>
        <v>134951.9</v>
      </c>
      <c r="AA25" s="65">
        <f t="shared" si="7"/>
        <v>0</v>
      </c>
      <c r="AB25" s="295">
        <f t="shared" si="45"/>
        <v>0</v>
      </c>
      <c r="AC25" s="64">
        <f t="shared" si="19"/>
        <v>1801</v>
      </c>
      <c r="AD25" s="45">
        <f t="shared" si="8"/>
        <v>0</v>
      </c>
      <c r="AE25" s="64">
        <f t="shared" si="19"/>
        <v>357717.5</v>
      </c>
      <c r="AF25" s="322">
        <f t="shared" si="20"/>
        <v>0</v>
      </c>
      <c r="AG25" s="213">
        <f t="shared" si="30"/>
        <v>0</v>
      </c>
      <c r="AH25" s="62">
        <f t="shared" si="31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3"/>
        <v>0</v>
      </c>
      <c r="AM25" s="334">
        <f t="shared" si="23"/>
        <v>0</v>
      </c>
      <c r="AN25" s="64">
        <f t="shared" si="24"/>
        <v>71</v>
      </c>
      <c r="AO25" s="336">
        <f t="shared" si="25"/>
        <v>2130</v>
      </c>
      <c r="AP25" s="64">
        <f t="shared" si="24"/>
        <v>71</v>
      </c>
      <c r="AQ25" s="336">
        <f t="shared" ref="AQ25:AQ34" si="47">(AP25/100)*3000</f>
        <v>2130</v>
      </c>
      <c r="AR25" s="64">
        <f t="shared" si="24"/>
        <v>72</v>
      </c>
      <c r="AS25" s="336">
        <f t="shared" si="32"/>
        <v>2160</v>
      </c>
      <c r="AT25" s="336">
        <f t="shared" si="46"/>
        <v>6420</v>
      </c>
      <c r="AU25" s="336">
        <f t="shared" si="34"/>
        <v>0</v>
      </c>
      <c r="AV25" s="276"/>
      <c r="AW25" s="276"/>
      <c r="AX25" s="329">
        <f t="shared" si="27"/>
        <v>0.1</v>
      </c>
    </row>
    <row r="26" spans="1:50" ht="14.25" customHeight="1">
      <c r="A26" s="63">
        <f>ELEC!C24</f>
        <v>43912</v>
      </c>
      <c r="B26" s="64">
        <f t="shared" si="35"/>
        <v>213.3</v>
      </c>
      <c r="C26" s="64">
        <f t="shared" si="36"/>
        <v>219.2</v>
      </c>
      <c r="D26" s="45">
        <f t="shared" si="0"/>
        <v>0</v>
      </c>
      <c r="E26" s="45">
        <f t="shared" si="10"/>
        <v>0</v>
      </c>
      <c r="F26" s="64">
        <f t="shared" si="37"/>
        <v>1459</v>
      </c>
      <c r="G26" s="52">
        <f t="shared" si="1"/>
        <v>0</v>
      </c>
      <c r="H26" s="64">
        <f t="shared" si="38"/>
        <v>342878</v>
      </c>
      <c r="I26" s="417">
        <f t="shared" si="2"/>
        <v>0</v>
      </c>
      <c r="J26" s="66">
        <f t="shared" si="11"/>
        <v>0</v>
      </c>
      <c r="K26" s="64">
        <f t="shared" si="39"/>
        <v>1846</v>
      </c>
      <c r="L26" s="52">
        <f t="shared" si="3"/>
        <v>0</v>
      </c>
      <c r="M26" s="64">
        <f t="shared" si="40"/>
        <v>134906</v>
      </c>
      <c r="N26" s="417">
        <f t="shared" si="4"/>
        <v>0</v>
      </c>
      <c r="O26" s="67">
        <f t="shared" si="5"/>
        <v>0</v>
      </c>
      <c r="P26" s="64">
        <f t="shared" si="12"/>
        <v>1681</v>
      </c>
      <c r="Q26" s="64">
        <f t="shared" si="12"/>
        <v>143671</v>
      </c>
      <c r="R26" s="416">
        <f t="shared" si="41"/>
        <v>0</v>
      </c>
      <c r="S26" s="52">
        <f t="shared" si="44"/>
        <v>0</v>
      </c>
      <c r="T26" s="68">
        <f t="shared" si="28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2401</v>
      </c>
      <c r="Y26" s="52">
        <f t="shared" si="18"/>
        <v>0</v>
      </c>
      <c r="Z26" s="64">
        <f t="shared" si="17"/>
        <v>134951.9</v>
      </c>
      <c r="AA26" s="65">
        <f t="shared" si="7"/>
        <v>0</v>
      </c>
      <c r="AB26" s="295">
        <f t="shared" si="45"/>
        <v>0</v>
      </c>
      <c r="AC26" s="64">
        <f t="shared" si="19"/>
        <v>1801</v>
      </c>
      <c r="AD26" s="45">
        <f t="shared" si="8"/>
        <v>0</v>
      </c>
      <c r="AE26" s="64">
        <f t="shared" si="19"/>
        <v>357717.5</v>
      </c>
      <c r="AF26" s="322">
        <f t="shared" si="20"/>
        <v>0</v>
      </c>
      <c r="AG26" s="213">
        <f t="shared" si="30"/>
        <v>0</v>
      </c>
      <c r="AH26" s="62">
        <f t="shared" si="31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3"/>
        <v>0</v>
      </c>
      <c r="AM26" s="334">
        <f t="shared" si="23"/>
        <v>0</v>
      </c>
      <c r="AN26" s="64">
        <f t="shared" si="24"/>
        <v>71</v>
      </c>
      <c r="AO26" s="336">
        <f t="shared" si="25"/>
        <v>2130</v>
      </c>
      <c r="AP26" s="64">
        <f t="shared" si="24"/>
        <v>71</v>
      </c>
      <c r="AQ26" s="336">
        <f t="shared" si="47"/>
        <v>2130</v>
      </c>
      <c r="AR26" s="64">
        <f t="shared" si="24"/>
        <v>72</v>
      </c>
      <c r="AS26" s="336">
        <f t="shared" si="32"/>
        <v>2160</v>
      </c>
      <c r="AT26" s="336">
        <f t="shared" si="46"/>
        <v>6420</v>
      </c>
      <c r="AU26" s="336">
        <f t="shared" si="34"/>
        <v>0</v>
      </c>
      <c r="AV26" s="276"/>
      <c r="AW26" s="276"/>
      <c r="AX26" s="329">
        <f t="shared" si="27"/>
        <v>0.1</v>
      </c>
    </row>
    <row r="27" spans="1:50">
      <c r="A27" s="63">
        <f>ELEC!C25</f>
        <v>43913</v>
      </c>
      <c r="B27" s="64">
        <f t="shared" si="35"/>
        <v>213.3</v>
      </c>
      <c r="C27" s="64">
        <f t="shared" si="36"/>
        <v>219.2</v>
      </c>
      <c r="D27" s="45">
        <f t="shared" si="0"/>
        <v>0</v>
      </c>
      <c r="E27" s="45">
        <f t="shared" si="10"/>
        <v>0</v>
      </c>
      <c r="F27" s="64">
        <f t="shared" si="37"/>
        <v>1459</v>
      </c>
      <c r="G27" s="52">
        <f t="shared" si="1"/>
        <v>0</v>
      </c>
      <c r="H27" s="64">
        <f t="shared" si="38"/>
        <v>342878</v>
      </c>
      <c r="I27" s="417">
        <f t="shared" si="2"/>
        <v>0</v>
      </c>
      <c r="J27" s="66">
        <f t="shared" si="11"/>
        <v>0</v>
      </c>
      <c r="K27" s="64">
        <f t="shared" si="39"/>
        <v>1846</v>
      </c>
      <c r="L27" s="52">
        <f t="shared" si="3"/>
        <v>0</v>
      </c>
      <c r="M27" s="64">
        <f t="shared" si="40"/>
        <v>134906</v>
      </c>
      <c r="N27" s="417">
        <f t="shared" si="4"/>
        <v>0</v>
      </c>
      <c r="O27" s="67">
        <f t="shared" si="5"/>
        <v>0</v>
      </c>
      <c r="P27" s="64">
        <f t="shared" si="12"/>
        <v>1681</v>
      </c>
      <c r="Q27" s="64">
        <f t="shared" si="12"/>
        <v>143671</v>
      </c>
      <c r="R27" s="416">
        <f t="shared" si="41"/>
        <v>0</v>
      </c>
      <c r="S27" s="52">
        <f t="shared" si="44"/>
        <v>0</v>
      </c>
      <c r="T27" s="68">
        <f t="shared" si="28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2401</v>
      </c>
      <c r="Y27" s="52">
        <f t="shared" si="18"/>
        <v>0</v>
      </c>
      <c r="Z27" s="64">
        <f t="shared" si="17"/>
        <v>134951.9</v>
      </c>
      <c r="AA27" s="65">
        <f t="shared" si="7"/>
        <v>0</v>
      </c>
      <c r="AB27" s="295">
        <f t="shared" si="45"/>
        <v>0</v>
      </c>
      <c r="AC27" s="64">
        <f t="shared" si="19"/>
        <v>1801</v>
      </c>
      <c r="AD27" s="45">
        <f t="shared" si="8"/>
        <v>0</v>
      </c>
      <c r="AE27" s="64">
        <f t="shared" si="19"/>
        <v>357717.5</v>
      </c>
      <c r="AF27" s="322">
        <f t="shared" si="20"/>
        <v>0</v>
      </c>
      <c r="AG27" s="213">
        <f t="shared" si="30"/>
        <v>0</v>
      </c>
      <c r="AH27" s="62">
        <f t="shared" si="31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3"/>
        <v>0</v>
      </c>
      <c r="AM27" s="334">
        <f t="shared" si="23"/>
        <v>0</v>
      </c>
      <c r="AN27" s="64">
        <f t="shared" si="24"/>
        <v>71</v>
      </c>
      <c r="AO27" s="336">
        <f>(AN27/100)*3000</f>
        <v>2130</v>
      </c>
      <c r="AP27" s="64">
        <f t="shared" si="24"/>
        <v>71</v>
      </c>
      <c r="AQ27" s="336">
        <f t="shared" si="47"/>
        <v>2130</v>
      </c>
      <c r="AR27" s="64">
        <f t="shared" si="24"/>
        <v>72</v>
      </c>
      <c r="AS27" s="336">
        <f t="shared" si="32"/>
        <v>2160</v>
      </c>
      <c r="AT27" s="336">
        <f t="shared" si="46"/>
        <v>6420</v>
      </c>
      <c r="AU27" s="336">
        <f t="shared" si="34"/>
        <v>0</v>
      </c>
      <c r="AV27" s="276"/>
      <c r="AW27" s="535"/>
      <c r="AX27" s="329">
        <f t="shared" si="27"/>
        <v>0.1</v>
      </c>
    </row>
    <row r="28" spans="1:50">
      <c r="A28" s="63">
        <f>ELEC!C26</f>
        <v>43914</v>
      </c>
      <c r="B28" s="64">
        <f t="shared" si="35"/>
        <v>213.3</v>
      </c>
      <c r="C28" s="64">
        <f t="shared" si="36"/>
        <v>219.2</v>
      </c>
      <c r="D28" s="45">
        <f t="shared" si="0"/>
        <v>0</v>
      </c>
      <c r="E28" s="45">
        <f t="shared" si="10"/>
        <v>0</v>
      </c>
      <c r="F28" s="64">
        <f t="shared" si="37"/>
        <v>1459</v>
      </c>
      <c r="G28" s="52">
        <f t="shared" si="1"/>
        <v>0</v>
      </c>
      <c r="H28" s="64">
        <f t="shared" si="38"/>
        <v>342878</v>
      </c>
      <c r="I28" s="417">
        <f t="shared" si="2"/>
        <v>0</v>
      </c>
      <c r="J28" s="66">
        <f t="shared" si="11"/>
        <v>0</v>
      </c>
      <c r="K28" s="64">
        <f t="shared" si="39"/>
        <v>1846</v>
      </c>
      <c r="L28" s="52">
        <f t="shared" si="3"/>
        <v>0</v>
      </c>
      <c r="M28" s="64">
        <f t="shared" si="40"/>
        <v>134906</v>
      </c>
      <c r="N28" s="417">
        <f t="shared" si="4"/>
        <v>0</v>
      </c>
      <c r="O28" s="67">
        <f t="shared" si="5"/>
        <v>0</v>
      </c>
      <c r="P28" s="64">
        <f t="shared" si="12"/>
        <v>1681</v>
      </c>
      <c r="Q28" s="64">
        <f t="shared" si="12"/>
        <v>143671</v>
      </c>
      <c r="R28" s="416">
        <f t="shared" si="41"/>
        <v>0</v>
      </c>
      <c r="S28" s="52">
        <f t="shared" si="44"/>
        <v>0</v>
      </c>
      <c r="T28" s="68">
        <f t="shared" si="28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2401</v>
      </c>
      <c r="Y28" s="52">
        <f t="shared" si="18"/>
        <v>0</v>
      </c>
      <c r="Z28" s="64">
        <f t="shared" si="17"/>
        <v>134951.9</v>
      </c>
      <c r="AA28" s="65">
        <f t="shared" si="7"/>
        <v>0</v>
      </c>
      <c r="AB28" s="295">
        <f t="shared" si="45"/>
        <v>0</v>
      </c>
      <c r="AC28" s="64">
        <f t="shared" si="19"/>
        <v>1801</v>
      </c>
      <c r="AD28" s="45">
        <f t="shared" si="8"/>
        <v>0</v>
      </c>
      <c r="AE28" s="64">
        <f t="shared" si="19"/>
        <v>357717.5</v>
      </c>
      <c r="AF28" s="322">
        <f t="shared" si="20"/>
        <v>0</v>
      </c>
      <c r="AG28" s="213">
        <f t="shared" si="30"/>
        <v>0</v>
      </c>
      <c r="AH28" s="62">
        <f t="shared" si="31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3"/>
        <v>0</v>
      </c>
      <c r="AM28" s="334">
        <f t="shared" si="23"/>
        <v>0</v>
      </c>
      <c r="AN28" s="64">
        <f t="shared" si="24"/>
        <v>71</v>
      </c>
      <c r="AO28" s="336">
        <f t="shared" ref="AO28:AO34" si="48">(AN28/100)*3000</f>
        <v>2130</v>
      </c>
      <c r="AP28" s="64">
        <f t="shared" si="24"/>
        <v>71</v>
      </c>
      <c r="AQ28" s="336">
        <f t="shared" si="47"/>
        <v>2130</v>
      </c>
      <c r="AR28" s="64">
        <f t="shared" si="24"/>
        <v>72</v>
      </c>
      <c r="AS28" s="336">
        <f t="shared" si="32"/>
        <v>2160</v>
      </c>
      <c r="AT28" s="336">
        <f t="shared" si="46"/>
        <v>6420</v>
      </c>
      <c r="AU28" s="336">
        <f t="shared" si="34"/>
        <v>0</v>
      </c>
      <c r="AV28" s="276"/>
      <c r="AW28" s="276"/>
      <c r="AX28" s="329">
        <f t="shared" si="27"/>
        <v>0.1</v>
      </c>
    </row>
    <row r="29" spans="1:50">
      <c r="A29" s="63">
        <f>ELEC!C27</f>
        <v>43915</v>
      </c>
      <c r="B29" s="64">
        <f t="shared" si="35"/>
        <v>213.3</v>
      </c>
      <c r="C29" s="64">
        <f t="shared" si="36"/>
        <v>219.2</v>
      </c>
      <c r="D29" s="45">
        <f t="shared" si="0"/>
        <v>0</v>
      </c>
      <c r="E29" s="45">
        <f t="shared" ref="E29:E34" si="49">D29*8.38</f>
        <v>0</v>
      </c>
      <c r="F29" s="64">
        <f t="shared" si="37"/>
        <v>1459</v>
      </c>
      <c r="G29" s="52">
        <f t="shared" si="1"/>
        <v>0</v>
      </c>
      <c r="H29" s="64">
        <f t="shared" si="38"/>
        <v>342878</v>
      </c>
      <c r="I29" s="417">
        <f t="shared" si="2"/>
        <v>0</v>
      </c>
      <c r="J29" s="66">
        <f t="shared" si="11"/>
        <v>0</v>
      </c>
      <c r="K29" s="64">
        <f t="shared" si="39"/>
        <v>1846</v>
      </c>
      <c r="L29" s="52">
        <f t="shared" si="3"/>
        <v>0</v>
      </c>
      <c r="M29" s="64">
        <f t="shared" si="40"/>
        <v>134906</v>
      </c>
      <c r="N29" s="417">
        <f t="shared" si="4"/>
        <v>0</v>
      </c>
      <c r="O29" s="67">
        <f t="shared" si="5"/>
        <v>0</v>
      </c>
      <c r="P29" s="64">
        <f t="shared" si="12"/>
        <v>1681</v>
      </c>
      <c r="Q29" s="64">
        <f t="shared" si="12"/>
        <v>143671</v>
      </c>
      <c r="R29" s="416">
        <f t="shared" si="41"/>
        <v>0</v>
      </c>
      <c r="S29" s="52">
        <f t="shared" si="44"/>
        <v>0</v>
      </c>
      <c r="T29" s="68">
        <f t="shared" si="28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2401</v>
      </c>
      <c r="Y29" s="52">
        <f t="shared" si="18"/>
        <v>0</v>
      </c>
      <c r="Z29" s="64">
        <f t="shared" si="17"/>
        <v>134951.9</v>
      </c>
      <c r="AA29" s="65">
        <f t="shared" si="7"/>
        <v>0</v>
      </c>
      <c r="AB29" s="295">
        <f t="shared" si="45"/>
        <v>0</v>
      </c>
      <c r="AC29" s="64">
        <f t="shared" si="19"/>
        <v>1801</v>
      </c>
      <c r="AD29" s="45">
        <f t="shared" si="8"/>
        <v>0</v>
      </c>
      <c r="AE29" s="64">
        <f t="shared" si="19"/>
        <v>357717.5</v>
      </c>
      <c r="AF29" s="322">
        <f t="shared" si="20"/>
        <v>0</v>
      </c>
      <c r="AG29" s="213">
        <f t="shared" si="30"/>
        <v>0</v>
      </c>
      <c r="AH29" s="62">
        <f t="shared" si="31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3"/>
        <v>0</v>
      </c>
      <c r="AM29" s="334">
        <f t="shared" si="23"/>
        <v>0</v>
      </c>
      <c r="AN29" s="64">
        <f t="shared" si="24"/>
        <v>71</v>
      </c>
      <c r="AO29" s="336">
        <f t="shared" si="48"/>
        <v>2130</v>
      </c>
      <c r="AP29" s="64">
        <f t="shared" si="24"/>
        <v>71</v>
      </c>
      <c r="AQ29" s="336">
        <f t="shared" si="47"/>
        <v>2130</v>
      </c>
      <c r="AR29" s="64">
        <f t="shared" si="24"/>
        <v>72</v>
      </c>
      <c r="AS29" s="336">
        <f t="shared" si="32"/>
        <v>2160</v>
      </c>
      <c r="AT29" s="336">
        <f>SUM(AO29+AQ29+AS29)</f>
        <v>6420</v>
      </c>
      <c r="AU29" s="336">
        <f>AT28-AT29+AV29</f>
        <v>0</v>
      </c>
      <c r="AV29" s="276"/>
      <c r="AW29" s="276"/>
      <c r="AX29" s="329">
        <f t="shared" si="27"/>
        <v>0.1</v>
      </c>
    </row>
    <row r="30" spans="1:50">
      <c r="A30" s="63">
        <f>ELEC!C28</f>
        <v>43916</v>
      </c>
      <c r="B30" s="64">
        <f t="shared" si="35"/>
        <v>213.3</v>
      </c>
      <c r="C30" s="64">
        <f t="shared" si="36"/>
        <v>219.2</v>
      </c>
      <c r="D30" s="45">
        <f t="shared" si="0"/>
        <v>0</v>
      </c>
      <c r="E30" s="45">
        <f t="shared" si="49"/>
        <v>0</v>
      </c>
      <c r="F30" s="64">
        <f t="shared" si="37"/>
        <v>1459</v>
      </c>
      <c r="G30" s="52">
        <f t="shared" si="1"/>
        <v>0</v>
      </c>
      <c r="H30" s="64">
        <f t="shared" si="38"/>
        <v>342878</v>
      </c>
      <c r="I30" s="417">
        <f t="shared" si="2"/>
        <v>0</v>
      </c>
      <c r="J30" s="66">
        <f t="shared" si="11"/>
        <v>0</v>
      </c>
      <c r="K30" s="64">
        <f t="shared" si="39"/>
        <v>1846</v>
      </c>
      <c r="L30" s="52">
        <f t="shared" si="3"/>
        <v>0</v>
      </c>
      <c r="M30" s="64">
        <f t="shared" si="40"/>
        <v>134906</v>
      </c>
      <c r="N30" s="417">
        <f t="shared" si="4"/>
        <v>0</v>
      </c>
      <c r="O30" s="67">
        <f t="shared" si="5"/>
        <v>0</v>
      </c>
      <c r="P30" s="64">
        <f t="shared" si="12"/>
        <v>1681</v>
      </c>
      <c r="Q30" s="64">
        <f t="shared" si="12"/>
        <v>143671</v>
      </c>
      <c r="R30" s="416">
        <f t="shared" si="41"/>
        <v>0</v>
      </c>
      <c r="S30" s="52">
        <f t="shared" si="44"/>
        <v>0</v>
      </c>
      <c r="T30" s="68">
        <f t="shared" si="28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2401</v>
      </c>
      <c r="Y30" s="52">
        <f t="shared" si="18"/>
        <v>0</v>
      </c>
      <c r="Z30" s="64">
        <f t="shared" si="17"/>
        <v>134951.9</v>
      </c>
      <c r="AA30" s="65">
        <f t="shared" si="7"/>
        <v>0</v>
      </c>
      <c r="AB30" s="295">
        <f t="shared" si="45"/>
        <v>0</v>
      </c>
      <c r="AC30" s="64">
        <f t="shared" si="19"/>
        <v>1801</v>
      </c>
      <c r="AD30" s="45">
        <f t="shared" si="8"/>
        <v>0</v>
      </c>
      <c r="AE30" s="64">
        <f t="shared" si="19"/>
        <v>357717.5</v>
      </c>
      <c r="AF30" s="322">
        <f t="shared" si="20"/>
        <v>0</v>
      </c>
      <c r="AG30" s="213">
        <f t="shared" si="30"/>
        <v>0</v>
      </c>
      <c r="AH30" s="62">
        <f t="shared" si="31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3"/>
        <v>0</v>
      </c>
      <c r="AM30" s="334">
        <f t="shared" si="23"/>
        <v>0</v>
      </c>
      <c r="AN30" s="64">
        <f t="shared" si="24"/>
        <v>71</v>
      </c>
      <c r="AO30" s="336">
        <f t="shared" si="48"/>
        <v>2130</v>
      </c>
      <c r="AP30" s="64">
        <f t="shared" si="24"/>
        <v>71</v>
      </c>
      <c r="AQ30" s="336">
        <f t="shared" si="47"/>
        <v>2130</v>
      </c>
      <c r="AR30" s="64">
        <f t="shared" si="24"/>
        <v>72</v>
      </c>
      <c r="AS30" s="336">
        <f t="shared" si="32"/>
        <v>2160</v>
      </c>
      <c r="AT30" s="336">
        <f t="shared" si="46"/>
        <v>6420</v>
      </c>
      <c r="AU30" s="336">
        <f t="shared" si="34"/>
        <v>0</v>
      </c>
      <c r="AV30" s="276"/>
      <c r="AW30" s="276"/>
      <c r="AX30" s="329">
        <f t="shared" si="27"/>
        <v>0.1</v>
      </c>
    </row>
    <row r="31" spans="1:50">
      <c r="A31" s="63">
        <f>ELEC!C29</f>
        <v>43917</v>
      </c>
      <c r="B31" s="64">
        <f t="shared" si="35"/>
        <v>213.3</v>
      </c>
      <c r="C31" s="64">
        <f t="shared" si="36"/>
        <v>219.2</v>
      </c>
      <c r="D31" s="45">
        <f t="shared" si="0"/>
        <v>0</v>
      </c>
      <c r="E31" s="45">
        <f t="shared" si="49"/>
        <v>0</v>
      </c>
      <c r="F31" s="64">
        <f t="shared" si="37"/>
        <v>1459</v>
      </c>
      <c r="G31" s="52">
        <f t="shared" si="1"/>
        <v>0</v>
      </c>
      <c r="H31" s="64">
        <f t="shared" si="38"/>
        <v>342878</v>
      </c>
      <c r="I31" s="417">
        <f t="shared" si="2"/>
        <v>0</v>
      </c>
      <c r="J31" s="66">
        <f t="shared" si="11"/>
        <v>0</v>
      </c>
      <c r="K31" s="64">
        <f t="shared" si="39"/>
        <v>1846</v>
      </c>
      <c r="L31" s="52">
        <f t="shared" si="3"/>
        <v>0</v>
      </c>
      <c r="M31" s="64">
        <f t="shared" si="40"/>
        <v>134906</v>
      </c>
      <c r="N31" s="417">
        <f>M31-M30</f>
        <v>0</v>
      </c>
      <c r="O31" s="67">
        <f t="shared" si="5"/>
        <v>0</v>
      </c>
      <c r="P31" s="64">
        <f t="shared" si="12"/>
        <v>1681</v>
      </c>
      <c r="Q31" s="64">
        <f t="shared" si="12"/>
        <v>143671</v>
      </c>
      <c r="R31" s="416">
        <f t="shared" si="41"/>
        <v>0</v>
      </c>
      <c r="S31" s="52">
        <f t="shared" si="44"/>
        <v>0</v>
      </c>
      <c r="T31" s="68">
        <f t="shared" si="28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2401</v>
      </c>
      <c r="Y31" s="52">
        <f t="shared" si="18"/>
        <v>0</v>
      </c>
      <c r="Z31" s="64">
        <f t="shared" si="17"/>
        <v>134951.9</v>
      </c>
      <c r="AA31" s="65">
        <f t="shared" si="7"/>
        <v>0</v>
      </c>
      <c r="AB31" s="295">
        <f t="shared" si="45"/>
        <v>0</v>
      </c>
      <c r="AC31" s="64">
        <f t="shared" si="19"/>
        <v>1801</v>
      </c>
      <c r="AD31" s="276">
        <f t="shared" si="8"/>
        <v>0</v>
      </c>
      <c r="AE31" s="64">
        <f t="shared" si="19"/>
        <v>357717.5</v>
      </c>
      <c r="AF31" s="322">
        <f t="shared" si="20"/>
        <v>0</v>
      </c>
      <c r="AG31" s="213">
        <f t="shared" si="30"/>
        <v>0</v>
      </c>
      <c r="AH31" s="62">
        <f t="shared" si="31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3"/>
        <v>0</v>
      </c>
      <c r="AM31" s="334">
        <f t="shared" si="23"/>
        <v>0</v>
      </c>
      <c r="AN31" s="64">
        <f t="shared" si="24"/>
        <v>71</v>
      </c>
      <c r="AO31" s="336">
        <f t="shared" si="48"/>
        <v>2130</v>
      </c>
      <c r="AP31" s="64">
        <f t="shared" si="24"/>
        <v>71</v>
      </c>
      <c r="AQ31" s="336">
        <f t="shared" si="47"/>
        <v>2130</v>
      </c>
      <c r="AR31" s="64">
        <f t="shared" si="24"/>
        <v>72</v>
      </c>
      <c r="AS31" s="336">
        <f t="shared" si="32"/>
        <v>2160</v>
      </c>
      <c r="AT31" s="336">
        <f t="shared" si="46"/>
        <v>6420</v>
      </c>
      <c r="AU31" s="336">
        <f t="shared" si="34"/>
        <v>0</v>
      </c>
      <c r="AV31" s="276"/>
      <c r="AW31" s="276"/>
      <c r="AX31" s="329">
        <f t="shared" si="27"/>
        <v>0.1</v>
      </c>
    </row>
    <row r="32" spans="1:50">
      <c r="A32" s="63">
        <f>ELEC!C30</f>
        <v>43918</v>
      </c>
      <c r="B32" s="64">
        <f t="shared" si="35"/>
        <v>213.3</v>
      </c>
      <c r="C32" s="64">
        <f t="shared" si="36"/>
        <v>219.2</v>
      </c>
      <c r="D32" s="45">
        <f t="shared" si="0"/>
        <v>0</v>
      </c>
      <c r="E32" s="45">
        <f t="shared" si="49"/>
        <v>0</v>
      </c>
      <c r="F32" s="64">
        <f t="shared" si="37"/>
        <v>1459</v>
      </c>
      <c r="G32" s="52">
        <f t="shared" si="1"/>
        <v>0</v>
      </c>
      <c r="H32" s="64">
        <f t="shared" si="38"/>
        <v>342878</v>
      </c>
      <c r="I32" s="417">
        <f t="shared" si="2"/>
        <v>0</v>
      </c>
      <c r="J32" s="66">
        <f t="shared" si="11"/>
        <v>0</v>
      </c>
      <c r="K32" s="64">
        <f t="shared" si="39"/>
        <v>1846</v>
      </c>
      <c r="L32" s="52">
        <f t="shared" si="3"/>
        <v>0</v>
      </c>
      <c r="M32" s="64">
        <f t="shared" si="40"/>
        <v>134906</v>
      </c>
      <c r="N32" s="417">
        <f>M32-M31</f>
        <v>0</v>
      </c>
      <c r="O32" s="67">
        <f t="shared" si="5"/>
        <v>0</v>
      </c>
      <c r="P32" s="64">
        <f t="shared" si="12"/>
        <v>1681</v>
      </c>
      <c r="Q32" s="64">
        <f t="shared" si="12"/>
        <v>143671</v>
      </c>
      <c r="R32" s="416">
        <f t="shared" si="41"/>
        <v>0</v>
      </c>
      <c r="S32" s="52">
        <f t="shared" si="44"/>
        <v>0</v>
      </c>
      <c r="T32" s="68">
        <f t="shared" si="28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2401</v>
      </c>
      <c r="Y32" s="52">
        <f t="shared" si="18"/>
        <v>0</v>
      </c>
      <c r="Z32" s="64">
        <f t="shared" si="17"/>
        <v>134951.9</v>
      </c>
      <c r="AA32" s="65">
        <f t="shared" si="7"/>
        <v>0</v>
      </c>
      <c r="AB32" s="295">
        <f t="shared" si="45"/>
        <v>0</v>
      </c>
      <c r="AC32" s="64">
        <f t="shared" si="19"/>
        <v>1801</v>
      </c>
      <c r="AD32" s="276">
        <f t="shared" si="8"/>
        <v>0</v>
      </c>
      <c r="AE32" s="64">
        <f t="shared" si="19"/>
        <v>357717.5</v>
      </c>
      <c r="AF32" s="322">
        <f t="shared" si="20"/>
        <v>0</v>
      </c>
      <c r="AG32" s="213">
        <f t="shared" si="30"/>
        <v>0</v>
      </c>
      <c r="AH32" s="62">
        <f t="shared" si="31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3"/>
        <v>0</v>
      </c>
      <c r="AM32" s="334">
        <f t="shared" si="23"/>
        <v>0</v>
      </c>
      <c r="AN32" s="64">
        <f t="shared" si="24"/>
        <v>71</v>
      </c>
      <c r="AO32" s="336">
        <f t="shared" si="48"/>
        <v>2130</v>
      </c>
      <c r="AP32" s="64">
        <f t="shared" si="24"/>
        <v>71</v>
      </c>
      <c r="AQ32" s="336">
        <f t="shared" si="47"/>
        <v>2130</v>
      </c>
      <c r="AR32" s="64">
        <f t="shared" si="24"/>
        <v>72</v>
      </c>
      <c r="AS32" s="336">
        <f t="shared" si="32"/>
        <v>2160</v>
      </c>
      <c r="AT32" s="336">
        <f t="shared" si="46"/>
        <v>6420</v>
      </c>
      <c r="AU32" s="336">
        <f t="shared" si="34"/>
        <v>0</v>
      </c>
      <c r="AV32" s="276"/>
      <c r="AW32" s="276"/>
      <c r="AX32" s="329">
        <f t="shared" si="27"/>
        <v>0.1</v>
      </c>
    </row>
    <row r="33" spans="1:50">
      <c r="A33" s="63">
        <f>ELEC!C31</f>
        <v>43919</v>
      </c>
      <c r="B33" s="64">
        <f t="shared" si="35"/>
        <v>213.3</v>
      </c>
      <c r="C33" s="64">
        <f t="shared" si="36"/>
        <v>219.2</v>
      </c>
      <c r="D33" s="45">
        <f t="shared" si="0"/>
        <v>0</v>
      </c>
      <c r="E33" s="45">
        <f t="shared" si="49"/>
        <v>0</v>
      </c>
      <c r="F33" s="64">
        <f t="shared" si="37"/>
        <v>1459</v>
      </c>
      <c r="G33" s="52">
        <f t="shared" si="1"/>
        <v>0</v>
      </c>
      <c r="H33" s="64">
        <f t="shared" si="38"/>
        <v>342878</v>
      </c>
      <c r="I33" s="417">
        <f t="shared" si="2"/>
        <v>0</v>
      </c>
      <c r="J33" s="66">
        <f t="shared" si="11"/>
        <v>0</v>
      </c>
      <c r="K33" s="64">
        <f t="shared" si="39"/>
        <v>1846</v>
      </c>
      <c r="L33" s="52">
        <f t="shared" si="3"/>
        <v>0</v>
      </c>
      <c r="M33" s="64">
        <f t="shared" si="40"/>
        <v>134906</v>
      </c>
      <c r="N33" s="417">
        <f>M33-M32</f>
        <v>0</v>
      </c>
      <c r="O33" s="67">
        <f t="shared" si="5"/>
        <v>0</v>
      </c>
      <c r="P33" s="64">
        <f t="shared" si="12"/>
        <v>1681</v>
      </c>
      <c r="Q33" s="64">
        <f t="shared" si="12"/>
        <v>143671</v>
      </c>
      <c r="R33" s="416">
        <f t="shared" si="41"/>
        <v>0</v>
      </c>
      <c r="S33" s="52">
        <f t="shared" si="44"/>
        <v>0</v>
      </c>
      <c r="T33" s="68">
        <f t="shared" si="28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2401</v>
      </c>
      <c r="Y33" s="52">
        <f t="shared" si="18"/>
        <v>0</v>
      </c>
      <c r="Z33" s="64">
        <f t="shared" si="17"/>
        <v>134951.9</v>
      </c>
      <c r="AA33" s="65">
        <f t="shared" si="7"/>
        <v>0</v>
      </c>
      <c r="AB33" s="295">
        <f t="shared" si="45"/>
        <v>0</v>
      </c>
      <c r="AC33" s="64">
        <f t="shared" si="19"/>
        <v>1801</v>
      </c>
      <c r="AD33" s="45">
        <f t="shared" si="8"/>
        <v>0</v>
      </c>
      <c r="AE33" s="64">
        <f t="shared" si="19"/>
        <v>357717.5</v>
      </c>
      <c r="AF33" s="322">
        <f t="shared" si="20"/>
        <v>0</v>
      </c>
      <c r="AG33" s="213">
        <f t="shared" si="30"/>
        <v>0</v>
      </c>
      <c r="AH33" s="62">
        <f t="shared" si="31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3"/>
        <v>0</v>
      </c>
      <c r="AM33" s="334">
        <f t="shared" si="23"/>
        <v>0</v>
      </c>
      <c r="AN33" s="64">
        <f t="shared" si="24"/>
        <v>71</v>
      </c>
      <c r="AO33" s="336">
        <f t="shared" si="48"/>
        <v>2130</v>
      </c>
      <c r="AP33" s="64">
        <f t="shared" si="24"/>
        <v>71</v>
      </c>
      <c r="AQ33" s="336">
        <f t="shared" si="47"/>
        <v>2130</v>
      </c>
      <c r="AR33" s="64">
        <f t="shared" si="24"/>
        <v>72</v>
      </c>
      <c r="AS33" s="336">
        <f t="shared" si="32"/>
        <v>2160</v>
      </c>
      <c r="AT33" s="336">
        <f t="shared" si="46"/>
        <v>6420</v>
      </c>
      <c r="AU33" s="336">
        <f t="shared" si="34"/>
        <v>0</v>
      </c>
      <c r="AV33" s="276"/>
      <c r="AW33" s="276"/>
      <c r="AX33" s="329">
        <f t="shared" si="27"/>
        <v>0.1</v>
      </c>
    </row>
    <row r="34" spans="1:50">
      <c r="A34" s="63">
        <f>ELEC!C32</f>
        <v>43920</v>
      </c>
      <c r="B34" s="64">
        <f t="shared" si="35"/>
        <v>213.3</v>
      </c>
      <c r="C34" s="64">
        <f t="shared" si="36"/>
        <v>219.2</v>
      </c>
      <c r="D34" s="45">
        <f t="shared" si="0"/>
        <v>0</v>
      </c>
      <c r="E34" s="45">
        <f t="shared" si="49"/>
        <v>0</v>
      </c>
      <c r="F34" s="64">
        <f t="shared" si="37"/>
        <v>1459</v>
      </c>
      <c r="G34" s="52">
        <f t="shared" si="1"/>
        <v>0</v>
      </c>
      <c r="H34" s="64">
        <f t="shared" si="38"/>
        <v>342878</v>
      </c>
      <c r="I34" s="417">
        <f t="shared" si="2"/>
        <v>0</v>
      </c>
      <c r="J34" s="66">
        <f t="shared" si="11"/>
        <v>0</v>
      </c>
      <c r="K34" s="64">
        <f t="shared" si="39"/>
        <v>1846</v>
      </c>
      <c r="L34" s="52">
        <f t="shared" si="3"/>
        <v>0</v>
      </c>
      <c r="M34" s="64">
        <f t="shared" si="40"/>
        <v>134906</v>
      </c>
      <c r="N34" s="417">
        <f>M34-M33</f>
        <v>0</v>
      </c>
      <c r="O34" s="67">
        <f t="shared" si="5"/>
        <v>0</v>
      </c>
      <c r="P34" s="64">
        <f t="shared" si="12"/>
        <v>1681</v>
      </c>
      <c r="Q34" s="64">
        <f t="shared" si="12"/>
        <v>143671</v>
      </c>
      <c r="R34" s="416">
        <f t="shared" si="41"/>
        <v>0</v>
      </c>
      <c r="S34" s="52">
        <f>SUM(P34-P33)</f>
        <v>0</v>
      </c>
      <c r="T34" s="68">
        <f t="shared" si="28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2401</v>
      </c>
      <c r="Y34" s="52">
        <f t="shared" si="18"/>
        <v>0</v>
      </c>
      <c r="Z34" s="64">
        <f t="shared" si="17"/>
        <v>134951.9</v>
      </c>
      <c r="AA34" s="65">
        <f t="shared" si="7"/>
        <v>0</v>
      </c>
      <c r="AB34" s="295">
        <f t="shared" si="45"/>
        <v>0</v>
      </c>
      <c r="AC34" s="64">
        <f t="shared" si="19"/>
        <v>1801</v>
      </c>
      <c r="AD34" s="45">
        <f t="shared" si="8"/>
        <v>0</v>
      </c>
      <c r="AE34" s="64">
        <f t="shared" si="19"/>
        <v>357717.5</v>
      </c>
      <c r="AF34" s="322">
        <f t="shared" si="20"/>
        <v>0</v>
      </c>
      <c r="AG34" s="213">
        <f t="shared" si="30"/>
        <v>0</v>
      </c>
      <c r="AH34" s="62">
        <f t="shared" si="31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3"/>
        <v>0</v>
      </c>
      <c r="AM34" s="334">
        <f>Y34+AD34</f>
        <v>0</v>
      </c>
      <c r="AN34" s="64">
        <f t="shared" si="24"/>
        <v>71</v>
      </c>
      <c r="AO34" s="336">
        <f t="shared" si="48"/>
        <v>2130</v>
      </c>
      <c r="AP34" s="64">
        <f t="shared" si="24"/>
        <v>71</v>
      </c>
      <c r="AQ34" s="336">
        <f t="shared" si="47"/>
        <v>2130</v>
      </c>
      <c r="AR34" s="64">
        <f t="shared" si="24"/>
        <v>72</v>
      </c>
      <c r="AS34" s="336">
        <f t="shared" si="32"/>
        <v>2160</v>
      </c>
      <c r="AT34" s="336">
        <f t="shared" si="46"/>
        <v>6420</v>
      </c>
      <c r="AU34" s="336">
        <f t="shared" si="34"/>
        <v>0</v>
      </c>
      <c r="AV34" s="276"/>
      <c r="AW34" s="276"/>
      <c r="AX34" s="329">
        <f t="shared" si="27"/>
        <v>0.1</v>
      </c>
    </row>
    <row r="35" spans="1:50">
      <c r="A35" s="63">
        <f>ELEC!C33</f>
        <v>43921</v>
      </c>
      <c r="B35" s="64">
        <f t="shared" si="35"/>
        <v>213.3</v>
      </c>
      <c r="C35" s="64">
        <f t="shared" si="36"/>
        <v>219.2</v>
      </c>
      <c r="D35" s="45">
        <f>C34-C35</f>
        <v>0</v>
      </c>
      <c r="E35" s="45">
        <f>D35*8.38</f>
        <v>0</v>
      </c>
      <c r="F35" s="64">
        <f t="shared" si="37"/>
        <v>1459</v>
      </c>
      <c r="G35" s="52">
        <f>F35-F34</f>
        <v>0</v>
      </c>
      <c r="H35" s="64">
        <f t="shared" si="38"/>
        <v>342878</v>
      </c>
      <c r="I35" s="417">
        <f>SUM(H35-H34)</f>
        <v>0</v>
      </c>
      <c r="J35" s="66">
        <f>IF(G35&gt;0,I35/G35,0)</f>
        <v>0</v>
      </c>
      <c r="K35" s="64">
        <f t="shared" si="39"/>
        <v>1846</v>
      </c>
      <c r="L35" s="52">
        <f>K35-K34</f>
        <v>0</v>
      </c>
      <c r="M35" s="64">
        <f t="shared" si="40"/>
        <v>134906</v>
      </c>
      <c r="N35" s="417">
        <f>M35-M34</f>
        <v>0</v>
      </c>
      <c r="O35" s="67">
        <f>SUM(L35*$J$1)</f>
        <v>0</v>
      </c>
      <c r="P35" s="64">
        <f t="shared" si="12"/>
        <v>1681</v>
      </c>
      <c r="Q35" s="64">
        <f t="shared" si="12"/>
        <v>143671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2401</v>
      </c>
      <c r="Y35" s="52">
        <f>X35-X34</f>
        <v>0</v>
      </c>
      <c r="Z35" s="64">
        <f t="shared" si="17"/>
        <v>134951.9</v>
      </c>
      <c r="AA35" s="65">
        <f>Z35-Z34</f>
        <v>0</v>
      </c>
      <c r="AB35" s="295">
        <f>SUM(Y35*$AB$2)</f>
        <v>0</v>
      </c>
      <c r="AC35" s="64">
        <f t="shared" si="19"/>
        <v>1801</v>
      </c>
      <c r="AD35" s="45">
        <f>AC35-AC34</f>
        <v>0</v>
      </c>
      <c r="AE35" s="64">
        <f t="shared" si="19"/>
        <v>357717.5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24"/>
        <v>71</v>
      </c>
      <c r="AO35" s="336">
        <f>(AN35/100)*3000</f>
        <v>2130</v>
      </c>
      <c r="AP35" s="64">
        <f t="shared" si="24"/>
        <v>71</v>
      </c>
      <c r="AQ35" s="336">
        <f>(AP35/100)*3000</f>
        <v>2130</v>
      </c>
      <c r="AR35" s="64">
        <f t="shared" si="24"/>
        <v>72</v>
      </c>
      <c r="AS35" s="336">
        <f>(AR35/100)*3000</f>
        <v>2160</v>
      </c>
      <c r="AT35" s="336">
        <f>SUM(AO35+AQ35+AS35)</f>
        <v>6420</v>
      </c>
      <c r="AU35" s="336">
        <f>AT34-AT35+AV35</f>
        <v>0</v>
      </c>
      <c r="AV35" s="276"/>
      <c r="AW35" s="276"/>
      <c r="AX35" s="329">
        <f>IF(AV35&gt;0,AW35,AX34)</f>
        <v>0.1</v>
      </c>
    </row>
    <row r="36" spans="1:50">
      <c r="J36" s="294">
        <f>SUM(J5:J34)/(COUNT(J5:J34)-COUNTIF(J5:J34,0))</f>
        <v>51.888888888888893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1</v>
      </c>
      <c r="AT36" s="329"/>
      <c r="AU36" s="329">
        <f>SUM(AU5:AU35)</f>
        <v>600.1</v>
      </c>
      <c r="AV36" s="72">
        <f>SUM(AV5:AV35)</f>
        <v>0.1</v>
      </c>
      <c r="AW36" s="329">
        <f>SUM(AW5:AW35)/AS36</f>
        <v>0.1</v>
      </c>
    </row>
    <row r="37" spans="1:50">
      <c r="AH37" s="62">
        <f>AF37+AA37</f>
        <v>0</v>
      </c>
      <c r="AI37" s="337">
        <f>SUM(AI5:AI35)</f>
        <v>2485.1000000000058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306.05100000000004</v>
      </c>
      <c r="AV38" s="329">
        <f>AV36/0.51</f>
        <v>0.19607843137254902</v>
      </c>
      <c r="AW38" s="329">
        <f>SUM(AW5:AW35)/AS36</f>
        <v>0.1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5.1000000000000004E-2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Normal="100" workbookViewId="0">
      <pane ySplit="3" topLeftCell="A4" activePane="bottomLeft" state="frozen"/>
      <selection pane="bottomLeft" activeCell="BF9" sqref="BF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4" customWidth="1"/>
    <col min="14" max="14" width="10.7109375" style="526" customWidth="1"/>
    <col min="15" max="15" width="11.140625" style="524" customWidth="1"/>
    <col min="16" max="16" width="11.140625" style="526" customWidth="1"/>
    <col min="17" max="17" width="17.28515625" style="524" customWidth="1"/>
    <col min="18" max="18" width="10.85546875" style="524" customWidth="1"/>
    <col min="19" max="19" width="10.7109375" style="524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8895720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7" t="s">
        <v>402</v>
      </c>
      <c r="N3" s="548"/>
      <c r="O3" s="549" t="s">
        <v>403</v>
      </c>
      <c r="P3" s="549"/>
      <c r="Q3" s="549" t="s">
        <v>399</v>
      </c>
      <c r="R3" s="549" t="s">
        <v>401</v>
      </c>
      <c r="S3" s="549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5" t="s">
        <v>126</v>
      </c>
      <c r="AO3" s="586"/>
      <c r="AP3" s="587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0"/>
      <c r="N4" s="550"/>
      <c r="O4" s="550"/>
      <c r="P4" s="550"/>
      <c r="Q4" s="550"/>
      <c r="R4" s="550"/>
      <c r="S4" s="550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43890</v>
      </c>
      <c r="B5" s="432">
        <f>[1]WATER!B34</f>
        <v>108473</v>
      </c>
      <c r="C5" s="432">
        <f>[1]WATER!C34</f>
        <v>0</v>
      </c>
      <c r="D5" s="432">
        <f>[1]WATER!D34</f>
        <v>0</v>
      </c>
      <c r="E5" s="432">
        <f>[1]WATER!E34</f>
        <v>258.62068965517244</v>
      </c>
      <c r="F5" s="432">
        <f>[1]WATER!F34</f>
        <v>0</v>
      </c>
      <c r="G5" s="432">
        <f>[1]WATER!G34</f>
        <v>592253</v>
      </c>
      <c r="H5" s="432">
        <f>[1]WATER!H34</f>
        <v>160</v>
      </c>
      <c r="I5" s="432">
        <f>[1]WATER!I34</f>
        <v>160</v>
      </c>
      <c r="J5" s="432">
        <f>[1]WATER!J34</f>
        <v>1.6163793103448278</v>
      </c>
      <c r="K5" s="432">
        <f>[1]WATER!K34</f>
        <v>5921</v>
      </c>
      <c r="L5" s="432">
        <f>[1]WATER!L34</f>
        <v>2</v>
      </c>
      <c r="M5" s="432">
        <f>[1]WATER!M34</f>
        <v>457.44</v>
      </c>
      <c r="N5" s="432">
        <f>[1]WATER!N34</f>
        <v>0</v>
      </c>
      <c r="O5" s="432">
        <f>[1]WATER!O34</f>
        <v>529.52</v>
      </c>
      <c r="P5" s="432">
        <f>[1]WATER!P34</f>
        <v>0</v>
      </c>
      <c r="Q5" s="432">
        <f>[1]WATER!Q34</f>
        <v>0</v>
      </c>
      <c r="R5" s="432">
        <f>[1]WATER!R34</f>
        <v>0</v>
      </c>
      <c r="S5" s="432">
        <f>[1]WATER!S34</f>
        <v>0</v>
      </c>
      <c r="T5" s="432">
        <f>[1]WATER!T34</f>
        <v>4664</v>
      </c>
      <c r="U5" s="432">
        <f>[1]WATER!U34</f>
        <v>5</v>
      </c>
      <c r="V5" s="432">
        <f>[1]WATER!V34</f>
        <v>392</v>
      </c>
      <c r="W5" s="432">
        <f>[1]WATER!W34</f>
        <v>1</v>
      </c>
      <c r="X5" s="432">
        <f>[1]WATER!X34</f>
        <v>141345</v>
      </c>
      <c r="Y5" s="432">
        <f>[1]WATER!Y34</f>
        <v>129</v>
      </c>
      <c r="Z5" s="432">
        <f>[1]WATER!Z34</f>
        <v>93009</v>
      </c>
      <c r="AA5" s="432">
        <f>[1]WATER!AA34</f>
        <v>56</v>
      </c>
      <c r="AB5" s="432">
        <f>[1]WATER!AB34</f>
        <v>261</v>
      </c>
      <c r="AC5" s="432">
        <f>[1]WATER!AC34</f>
        <v>671</v>
      </c>
      <c r="AD5" s="432">
        <f>[1]WATER!AD34</f>
        <v>0</v>
      </c>
      <c r="AE5" s="432">
        <f>[1]WATER!AE34</f>
        <v>124.74</v>
      </c>
      <c r="AF5" s="432">
        <f>[1]WATER!AF34</f>
        <v>3.1400000000000006</v>
      </c>
      <c r="AG5" s="432">
        <f>[1]WATER!AG34</f>
        <v>1443.46</v>
      </c>
      <c r="AH5" s="432">
        <f>[1]WATER!AH34</f>
        <v>0.30999999999994543</v>
      </c>
      <c r="AI5" s="432">
        <f>[1]WATER!AI34</f>
        <v>3.449999999999946</v>
      </c>
      <c r="AJ5" s="432">
        <f>[1]WATER!AJ34</f>
        <v>56</v>
      </c>
      <c r="AK5" s="432">
        <f>[1]WATER!AK34</f>
        <v>127</v>
      </c>
      <c r="AL5" s="432">
        <f>[1]WATER!AL34</f>
        <v>55</v>
      </c>
      <c r="AM5" s="432">
        <f>[1]WATER!AM34</f>
        <v>15.5</v>
      </c>
      <c r="AN5" s="432">
        <f>[1]WATER!AN34</f>
        <v>150</v>
      </c>
      <c r="AO5" s="432">
        <f>[1]WATER!AO34</f>
        <v>0</v>
      </c>
      <c r="AP5" s="432">
        <f>[1]WATER!AP34</f>
        <v>518</v>
      </c>
      <c r="AQ5" s="432">
        <f>[1]WATER!AQ34</f>
        <v>0</v>
      </c>
      <c r="AR5" s="286">
        <f t="shared" ref="AR5:AR35" si="0">A5</f>
        <v>43890</v>
      </c>
      <c r="AS5" s="432">
        <f>[1]WATER!AS34</f>
        <v>0.9</v>
      </c>
      <c r="AT5" s="432">
        <f>[1]WATER!AT34</f>
        <v>93</v>
      </c>
      <c r="AU5" s="432">
        <f>[1]WATER!AU34</f>
        <v>1.1000000000000001</v>
      </c>
      <c r="AV5" s="432">
        <f>[1]WATER!AV34</f>
        <v>95</v>
      </c>
      <c r="AW5" s="432">
        <f>[1]WATER!AW34</f>
        <v>2.9</v>
      </c>
      <c r="AX5" s="432">
        <f>[1]WATER!AX34</f>
        <v>68</v>
      </c>
      <c r="AY5" s="432">
        <f>[1]WATER!AY34</f>
        <v>83.7</v>
      </c>
      <c r="AZ5" s="432">
        <f>[1]WATER!AZ34</f>
        <v>104.50000000000001</v>
      </c>
      <c r="BA5" s="432">
        <f>[1]WATER!BA34</f>
        <v>197.2</v>
      </c>
      <c r="BB5" s="432">
        <f>[1]WATER!BB34</f>
        <v>26.1</v>
      </c>
      <c r="BC5" s="432">
        <f>[1]WATER!BC34</f>
        <v>-6.5999999999999943</v>
      </c>
      <c r="BD5" s="432">
        <f>[1]WATER!BD34</f>
        <v>49.299999999999983</v>
      </c>
      <c r="BE5" s="432">
        <f>[1]WATER!BE34</f>
        <v>68.799999999999983</v>
      </c>
      <c r="BF5" s="432">
        <f>[1]WATER!BF34</f>
        <v>91.200000000000017</v>
      </c>
      <c r="BG5" s="432">
        <f>[1]WATER!BG34</f>
        <v>68.799999999999983</v>
      </c>
    </row>
    <row r="6" spans="1:65" ht="15.75" thickBot="1">
      <c r="A6" s="6">
        <f>ELEC!C3</f>
        <v>43891</v>
      </c>
      <c r="B6" s="5"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v>592253</v>
      </c>
      <c r="H6" s="5">
        <f>G6-G5</f>
        <v>0</v>
      </c>
      <c r="I6" s="5">
        <f t="shared" ref="I6:I35" si="1">C6+H6</f>
        <v>0</v>
      </c>
      <c r="J6" s="350">
        <f t="shared" ref="J6:J35" si="2">IF(I6&gt;0,E6/I6,0)</f>
        <v>0</v>
      </c>
      <c r="K6" s="5">
        <f>'Swimming Pool quality check '!H6</f>
        <v>5921</v>
      </c>
      <c r="L6" s="84">
        <v>0</v>
      </c>
      <c r="M6" s="432">
        <f>M5</f>
        <v>457.44</v>
      </c>
      <c r="N6" s="550">
        <f t="shared" ref="N6:N13" si="3">SUM(M6-M5)</f>
        <v>0</v>
      </c>
      <c r="O6" s="432">
        <f>O5</f>
        <v>529.52</v>
      </c>
      <c r="P6" s="550">
        <f t="shared" ref="P6:P13" si="4">SUM(O6-O5)</f>
        <v>0</v>
      </c>
      <c r="Q6" s="551">
        <f>P6+N6</f>
        <v>0</v>
      </c>
      <c r="R6" s="550"/>
      <c r="S6" s="550"/>
      <c r="T6" s="5">
        <v>4668</v>
      </c>
      <c r="U6" s="5">
        <f t="shared" ref="U6:U35" si="5">SUM(T6-T5)</f>
        <v>4</v>
      </c>
      <c r="V6" s="5">
        <v>392</v>
      </c>
      <c r="W6" s="340">
        <f>+V6-V5</f>
        <v>0</v>
      </c>
      <c r="X6" s="5">
        <v>141371</v>
      </c>
      <c r="Y6" s="340">
        <f>SUM(X6-X5)</f>
        <v>26</v>
      </c>
      <c r="Z6" s="5">
        <v>93020</v>
      </c>
      <c r="AA6" s="84">
        <f>Z6-Z5</f>
        <v>11</v>
      </c>
      <c r="AB6" s="5">
        <v>249</v>
      </c>
      <c r="AC6" s="5">
        <f>AC5</f>
        <v>671</v>
      </c>
      <c r="AD6" s="84">
        <v>0</v>
      </c>
      <c r="AE6" s="5">
        <v>124.74</v>
      </c>
      <c r="AF6" s="84">
        <f>AE6-AE5</f>
        <v>0</v>
      </c>
      <c r="AG6" s="5">
        <v>1444.08</v>
      </c>
      <c r="AH6" s="84">
        <f>AG6-AG5</f>
        <v>0.61999999999989086</v>
      </c>
      <c r="AI6" s="84">
        <f>AF6+AH6</f>
        <v>0.61999999999989086</v>
      </c>
      <c r="AJ6" s="342">
        <f>+Z6-Z5</f>
        <v>11</v>
      </c>
      <c r="AK6" s="343">
        <f t="shared" ref="AK6:AK38" si="6">SUM(Y6-L6)</f>
        <v>26</v>
      </c>
      <c r="AL6" s="343">
        <f>SUM(AJ6-W6)</f>
        <v>11</v>
      </c>
      <c r="AM6" s="343">
        <f>'General information '!D6</f>
        <v>13.5</v>
      </c>
      <c r="AN6" s="85">
        <f>'General information '!H6</f>
        <v>248</v>
      </c>
      <c r="AO6" s="85"/>
      <c r="AP6" s="85">
        <f>'General information '!J6</f>
        <v>0</v>
      </c>
      <c r="AQ6" s="82"/>
      <c r="AR6" s="286">
        <f>A6</f>
        <v>43891</v>
      </c>
      <c r="AS6" s="446">
        <f t="shared" ref="AS6:AT21" si="7">AS5</f>
        <v>0.9</v>
      </c>
      <c r="AT6" s="205">
        <v>58</v>
      </c>
      <c r="AU6" s="447">
        <f>AU5</f>
        <v>1.1000000000000001</v>
      </c>
      <c r="AV6" s="205">
        <v>78</v>
      </c>
      <c r="AW6" s="5">
        <v>2.9</v>
      </c>
      <c r="AX6" s="205">
        <v>67</v>
      </c>
      <c r="AY6" s="450">
        <f t="shared" ref="AY6:AY35" si="8">AS6*AT6</f>
        <v>52.2</v>
      </c>
      <c r="AZ6" s="450">
        <f>AU6*AV6</f>
        <v>85.800000000000011</v>
      </c>
      <c r="BA6" s="450">
        <f>AW6*AX6</f>
        <v>194.29999999999998</v>
      </c>
      <c r="BB6" s="21">
        <f>AY6-AY5</f>
        <v>-31.5</v>
      </c>
      <c r="BC6" s="21">
        <f>AZ6-AZ5</f>
        <v>-18.700000000000003</v>
      </c>
      <c r="BD6" s="21">
        <f>BA6-BA5</f>
        <v>-2.9000000000000057</v>
      </c>
      <c r="BE6" s="24">
        <f>SUM(BB6:BD6)</f>
        <v>-53.100000000000009</v>
      </c>
      <c r="BF6" s="97">
        <f t="shared" ref="BF6:BF35" si="9">SUM(I6-BE6)</f>
        <v>53.100000000000009</v>
      </c>
      <c r="BG6" s="83">
        <f t="shared" ref="BG6:BG35" si="10">SUM(I6-BF6)</f>
        <v>-53.100000000000009</v>
      </c>
      <c r="BI6" s="17"/>
      <c r="BJ6" s="17"/>
      <c r="BK6" s="17"/>
      <c r="BL6" s="17"/>
      <c r="BM6" s="17"/>
    </row>
    <row r="7" spans="1:65" ht="15.75" thickBot="1">
      <c r="A7" s="6">
        <f>ELEC!C4</f>
        <v>43892</v>
      </c>
      <c r="B7" s="5">
        <f t="shared" ref="B7:B36" si="11">B6</f>
        <v>108473</v>
      </c>
      <c r="C7" s="5">
        <f t="shared" ref="C7:C35" si="12">B7-B6</f>
        <v>0</v>
      </c>
      <c r="D7" s="441">
        <f t="shared" ref="D7:D36" si="13">C7/27</f>
        <v>0</v>
      </c>
      <c r="E7" s="349">
        <f>SUM((C7*$E$4)+(7500/'EDl log'!$A$38))</f>
        <v>241.93548387096774</v>
      </c>
      <c r="F7" s="440"/>
      <c r="G7" s="5">
        <v>592707</v>
      </c>
      <c r="H7" s="5">
        <f t="shared" ref="H7:H35" si="14">G7-G6</f>
        <v>454</v>
      </c>
      <c r="I7" s="5">
        <f t="shared" si="1"/>
        <v>454</v>
      </c>
      <c r="J7" s="350">
        <f t="shared" si="2"/>
        <v>0.53289754156600821</v>
      </c>
      <c r="K7" s="5">
        <f>'Swimming Pool quality check '!H7</f>
        <v>5921</v>
      </c>
      <c r="L7" s="84">
        <f>K7-K6</f>
        <v>0</v>
      </c>
      <c r="M7" s="432">
        <f t="shared" ref="M7:M36" si="15">M6</f>
        <v>457.44</v>
      </c>
      <c r="N7" s="550">
        <f t="shared" si="3"/>
        <v>0</v>
      </c>
      <c r="O7" s="432">
        <f t="shared" ref="O7:O36" si="16">O6</f>
        <v>529.52</v>
      </c>
      <c r="P7" s="550">
        <f t="shared" si="4"/>
        <v>0</v>
      </c>
      <c r="Q7" s="551">
        <f>P7+N7</f>
        <v>0</v>
      </c>
      <c r="R7" s="550"/>
      <c r="S7" s="550"/>
      <c r="T7" s="5">
        <v>4673</v>
      </c>
      <c r="U7" s="5">
        <f t="shared" si="5"/>
        <v>5</v>
      </c>
      <c r="V7" s="5">
        <v>392</v>
      </c>
      <c r="W7" s="340">
        <f t="shared" ref="W7:W36" si="17">+V7-V6</f>
        <v>0</v>
      </c>
      <c r="X7" s="5">
        <v>141523</v>
      </c>
      <c r="Y7" s="340">
        <f t="shared" ref="Y7:Y35" si="18">SUM(X7-X6)</f>
        <v>152</v>
      </c>
      <c r="Z7" s="5">
        <v>93086</v>
      </c>
      <c r="AA7" s="84">
        <f t="shared" ref="AA7:AA35" si="19">Z7-Z6</f>
        <v>66</v>
      </c>
      <c r="AB7" s="5">
        <v>260</v>
      </c>
      <c r="AC7" s="5">
        <f t="shared" ref="AB7:AC36" si="20">AC6</f>
        <v>671</v>
      </c>
      <c r="AD7" s="84">
        <f>AC7-AC6</f>
        <v>0</v>
      </c>
      <c r="AE7" s="5">
        <v>124.74</v>
      </c>
      <c r="AF7" s="84">
        <f t="shared" ref="AF7:AF35" si="21">AE7-AE6</f>
        <v>0</v>
      </c>
      <c r="AG7" s="5">
        <v>1444.36</v>
      </c>
      <c r="AH7" s="84">
        <f t="shared" ref="AH7:AH36" si="22">AG7-AG6</f>
        <v>0.27999999999997272</v>
      </c>
      <c r="AI7" s="84">
        <f t="shared" ref="AI7:AI36" si="23">AF7+AH7</f>
        <v>0.27999999999997272</v>
      </c>
      <c r="AJ7" s="342">
        <f t="shared" ref="AJ7:AJ35" si="24">+Z7-Z6</f>
        <v>66</v>
      </c>
      <c r="AK7" s="343">
        <f t="shared" si="6"/>
        <v>152</v>
      </c>
      <c r="AL7" s="343">
        <f t="shared" ref="AL7:AL35" si="25">SUM(AJ7-W7)</f>
        <v>66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170</v>
      </c>
      <c r="AQ7" s="82"/>
      <c r="AR7" s="286">
        <f t="shared" si="0"/>
        <v>43892</v>
      </c>
      <c r="AS7" s="446">
        <f t="shared" si="7"/>
        <v>0.9</v>
      </c>
      <c r="AT7" s="205">
        <v>40</v>
      </c>
      <c r="AU7" s="447">
        <f>AU6</f>
        <v>1.1000000000000001</v>
      </c>
      <c r="AV7" s="205">
        <v>108</v>
      </c>
      <c r="AW7" s="5">
        <v>2.9</v>
      </c>
      <c r="AX7" s="205">
        <v>97</v>
      </c>
      <c r="AY7" s="450">
        <f t="shared" si="8"/>
        <v>36</v>
      </c>
      <c r="AZ7" s="450">
        <f t="shared" ref="AZ7:AZ35" si="26">AU7*AV7</f>
        <v>118.80000000000001</v>
      </c>
      <c r="BA7" s="450">
        <f t="shared" ref="BA7:BA36" si="27">AW7*AX7</f>
        <v>281.3</v>
      </c>
      <c r="BB7" s="21">
        <f t="shared" ref="BB7:BD35" si="28">AY7-AY6</f>
        <v>-16.200000000000003</v>
      </c>
      <c r="BC7" s="21">
        <f t="shared" ref="BC7:BD21" si="29">AZ7-AZ6</f>
        <v>33</v>
      </c>
      <c r="BD7" s="21">
        <f t="shared" si="29"/>
        <v>87.000000000000028</v>
      </c>
      <c r="BE7" s="24">
        <f t="shared" ref="BE7:BE35" si="30">SUM(BB7:BD7)</f>
        <v>103.80000000000003</v>
      </c>
      <c r="BF7" s="97">
        <f t="shared" si="9"/>
        <v>350.2</v>
      </c>
      <c r="BG7" s="83">
        <f t="shared" si="10"/>
        <v>103.80000000000001</v>
      </c>
      <c r="BI7" s="87"/>
      <c r="BJ7" s="17"/>
      <c r="BK7" s="17"/>
      <c r="BL7" s="17"/>
      <c r="BM7" s="17"/>
    </row>
    <row r="8" spans="1:65" ht="15.75" thickBot="1">
      <c r="A8" s="6">
        <f>ELEC!C5</f>
        <v>43893</v>
      </c>
      <c r="B8" s="5">
        <v>108473</v>
      </c>
      <c r="C8" s="5">
        <f>B8-B7</f>
        <v>0</v>
      </c>
      <c r="D8" s="441">
        <f t="shared" si="13"/>
        <v>0</v>
      </c>
      <c r="E8" s="349">
        <f>SUM((C8*$E$4)+(7500/'EDl log'!$A$38))</f>
        <v>241.93548387096774</v>
      </c>
      <c r="F8" s="440"/>
      <c r="G8" s="5">
        <v>592707</v>
      </c>
      <c r="H8" s="5">
        <f t="shared" si="14"/>
        <v>0</v>
      </c>
      <c r="I8" s="5">
        <f t="shared" si="1"/>
        <v>0</v>
      </c>
      <c r="J8" s="350">
        <f t="shared" si="2"/>
        <v>0</v>
      </c>
      <c r="K8" s="5">
        <f>'Swimming Pool quality check '!H8</f>
        <v>5921</v>
      </c>
      <c r="L8" s="84">
        <f>K8-K7</f>
        <v>0</v>
      </c>
      <c r="M8" s="432">
        <f t="shared" si="15"/>
        <v>457.44</v>
      </c>
      <c r="N8" s="550">
        <f t="shared" si="3"/>
        <v>0</v>
      </c>
      <c r="O8" s="432">
        <f t="shared" si="16"/>
        <v>529.52</v>
      </c>
      <c r="P8" s="550">
        <f t="shared" si="4"/>
        <v>0</v>
      </c>
      <c r="Q8" s="551">
        <f>P8+N8</f>
        <v>0</v>
      </c>
      <c r="R8" s="550"/>
      <c r="S8" s="550"/>
      <c r="T8" s="5">
        <v>4677</v>
      </c>
      <c r="U8" s="5">
        <f t="shared" si="5"/>
        <v>4</v>
      </c>
      <c r="V8" s="5">
        <v>393</v>
      </c>
      <c r="W8" s="340">
        <f t="shared" si="17"/>
        <v>1</v>
      </c>
      <c r="X8" s="5">
        <v>141523</v>
      </c>
      <c r="Y8" s="340">
        <f t="shared" si="18"/>
        <v>0</v>
      </c>
      <c r="Z8" s="5">
        <v>93086</v>
      </c>
      <c r="AA8" s="84">
        <f t="shared" si="19"/>
        <v>0</v>
      </c>
      <c r="AB8" s="5">
        <v>246</v>
      </c>
      <c r="AC8" s="5">
        <f t="shared" si="20"/>
        <v>671</v>
      </c>
      <c r="AD8" s="84">
        <f t="shared" ref="AD8:AD35" si="31">AC8-AC7</f>
        <v>0</v>
      </c>
      <c r="AE8" s="5">
        <v>129.91999999999999</v>
      </c>
      <c r="AF8" s="84">
        <f t="shared" si="21"/>
        <v>5.1799999999999926</v>
      </c>
      <c r="AG8" s="5">
        <v>1444.46</v>
      </c>
      <c r="AH8" s="84">
        <f t="shared" si="22"/>
        <v>0.10000000000013642</v>
      </c>
      <c r="AI8" s="84">
        <f t="shared" si="23"/>
        <v>5.280000000000129</v>
      </c>
      <c r="AJ8" s="342">
        <f t="shared" si="24"/>
        <v>0</v>
      </c>
      <c r="AK8" s="343">
        <f t="shared" si="6"/>
        <v>0</v>
      </c>
      <c r="AL8" s="343">
        <f t="shared" si="25"/>
        <v>-1</v>
      </c>
      <c r="AM8" s="343">
        <f>'General information '!D8</f>
        <v>15.5</v>
      </c>
      <c r="AN8" s="85">
        <f>'General information '!H8</f>
        <v>0</v>
      </c>
      <c r="AO8" s="85"/>
      <c r="AP8" s="85">
        <f>'General information '!J8</f>
        <v>168</v>
      </c>
      <c r="AQ8" s="82"/>
      <c r="AR8" s="286">
        <f t="shared" si="0"/>
        <v>43893</v>
      </c>
      <c r="AS8" s="446">
        <f t="shared" si="7"/>
        <v>0.9</v>
      </c>
      <c r="AT8" s="205">
        <v>52</v>
      </c>
      <c r="AU8" s="447">
        <v>1.1000000000000001</v>
      </c>
      <c r="AV8" s="205">
        <v>89</v>
      </c>
      <c r="AW8" s="5">
        <v>2.9</v>
      </c>
      <c r="AX8" s="205">
        <v>90</v>
      </c>
      <c r="AY8" s="450">
        <f t="shared" si="8"/>
        <v>46.800000000000004</v>
      </c>
      <c r="AZ8" s="450">
        <f t="shared" si="26"/>
        <v>97.9</v>
      </c>
      <c r="BA8" s="450">
        <f t="shared" si="27"/>
        <v>261</v>
      </c>
      <c r="BB8" s="21">
        <f t="shared" si="28"/>
        <v>10.800000000000004</v>
      </c>
      <c r="BC8" s="21">
        <f t="shared" si="29"/>
        <v>-20.900000000000006</v>
      </c>
      <c r="BD8" s="21">
        <f t="shared" si="29"/>
        <v>-20.300000000000011</v>
      </c>
      <c r="BE8" s="24">
        <f t="shared" si="30"/>
        <v>-30.400000000000013</v>
      </c>
      <c r="BF8" s="97">
        <f t="shared" si="9"/>
        <v>30.400000000000013</v>
      </c>
      <c r="BG8" s="83">
        <f t="shared" si="10"/>
        <v>-30.400000000000013</v>
      </c>
      <c r="BI8" s="87"/>
      <c r="BJ8" s="17"/>
      <c r="BK8" s="17"/>
    </row>
    <row r="9" spans="1:65" ht="15.75" thickBot="1">
      <c r="A9" s="6">
        <f>ELEC!C6</f>
        <v>43894</v>
      </c>
      <c r="B9" s="5">
        <v>108473</v>
      </c>
      <c r="C9" s="5">
        <f t="shared" si="12"/>
        <v>0</v>
      </c>
      <c r="D9" s="441">
        <f t="shared" si="13"/>
        <v>0</v>
      </c>
      <c r="E9" s="349">
        <f>SUM((C9*$E$4)+(7500/'EDl log'!$A$38))</f>
        <v>241.93548387096774</v>
      </c>
      <c r="F9" s="440"/>
      <c r="G9" s="5">
        <v>593048</v>
      </c>
      <c r="H9" s="5">
        <f t="shared" si="14"/>
        <v>341</v>
      </c>
      <c r="I9" s="5">
        <f t="shared" si="1"/>
        <v>341</v>
      </c>
      <c r="J9" s="350">
        <f t="shared" si="2"/>
        <v>0.70948822249550658</v>
      </c>
      <c r="K9" s="5">
        <f>'Swimming Pool quality check '!H9</f>
        <v>5921</v>
      </c>
      <c r="L9" s="84">
        <f t="shared" ref="L9:L35" si="32">K9-K8</f>
        <v>0</v>
      </c>
      <c r="M9" s="432">
        <f t="shared" si="15"/>
        <v>457.44</v>
      </c>
      <c r="N9" s="550">
        <f t="shared" si="3"/>
        <v>0</v>
      </c>
      <c r="O9" s="432">
        <f t="shared" si="16"/>
        <v>529.52</v>
      </c>
      <c r="P9" s="550">
        <f t="shared" si="4"/>
        <v>0</v>
      </c>
      <c r="Q9" s="551">
        <f>P9+N9</f>
        <v>0</v>
      </c>
      <c r="R9" s="550"/>
      <c r="S9" s="550"/>
      <c r="T9" s="5">
        <v>4679</v>
      </c>
      <c r="U9" s="5">
        <f t="shared" si="5"/>
        <v>2</v>
      </c>
      <c r="V9" s="5">
        <v>394</v>
      </c>
      <c r="W9" s="340">
        <f t="shared" si="17"/>
        <v>1</v>
      </c>
      <c r="X9" s="5">
        <v>141616</v>
      </c>
      <c r="Y9" s="340">
        <f t="shared" si="18"/>
        <v>93</v>
      </c>
      <c r="Z9" s="5">
        <v>93176</v>
      </c>
      <c r="AA9" s="84">
        <f t="shared" si="19"/>
        <v>90</v>
      </c>
      <c r="AB9" s="5">
        <v>246</v>
      </c>
      <c r="AC9" s="5">
        <f t="shared" si="20"/>
        <v>671</v>
      </c>
      <c r="AD9" s="84">
        <f t="shared" si="31"/>
        <v>0</v>
      </c>
      <c r="AE9" s="5">
        <v>131.84</v>
      </c>
      <c r="AF9" s="84">
        <f t="shared" si="21"/>
        <v>1.9200000000000159</v>
      </c>
      <c r="AG9" s="5">
        <v>1445.01</v>
      </c>
      <c r="AH9" s="84">
        <f t="shared" si="22"/>
        <v>0.54999999999995453</v>
      </c>
      <c r="AI9" s="84">
        <f t="shared" si="23"/>
        <v>2.4699999999999704</v>
      </c>
      <c r="AJ9" s="342">
        <f t="shared" si="24"/>
        <v>90</v>
      </c>
      <c r="AK9" s="343">
        <f t="shared" si="6"/>
        <v>93</v>
      </c>
      <c r="AL9" s="343">
        <f t="shared" si="25"/>
        <v>89</v>
      </c>
      <c r="AM9" s="343">
        <f>'General information '!D9</f>
        <v>15.5</v>
      </c>
      <c r="AN9" s="85">
        <f>'General information '!H9</f>
        <v>0</v>
      </c>
      <c r="AO9" s="85"/>
      <c r="AP9" s="85">
        <f>'General information '!J9</f>
        <v>189</v>
      </c>
      <c r="AQ9" s="82"/>
      <c r="AR9" s="286">
        <f t="shared" si="0"/>
        <v>43894</v>
      </c>
      <c r="AS9" s="446">
        <f t="shared" si="7"/>
        <v>0.9</v>
      </c>
      <c r="AT9" s="205">
        <v>80</v>
      </c>
      <c r="AU9" s="447">
        <f t="shared" ref="AU9:AU36" si="33">AU8</f>
        <v>1.1000000000000001</v>
      </c>
      <c r="AV9" s="205">
        <v>107</v>
      </c>
      <c r="AW9" s="5">
        <v>2.9</v>
      </c>
      <c r="AX9" s="205">
        <v>108</v>
      </c>
      <c r="AY9" s="450">
        <f t="shared" si="8"/>
        <v>72</v>
      </c>
      <c r="AZ9" s="450">
        <f t="shared" si="26"/>
        <v>117.7</v>
      </c>
      <c r="BA9" s="450">
        <f t="shared" si="27"/>
        <v>313.2</v>
      </c>
      <c r="BB9" s="21">
        <f t="shared" si="28"/>
        <v>25.199999999999996</v>
      </c>
      <c r="BC9" s="21">
        <f t="shared" si="29"/>
        <v>19.799999999999997</v>
      </c>
      <c r="BD9" s="21">
        <f t="shared" si="29"/>
        <v>52.199999999999989</v>
      </c>
      <c r="BE9" s="24">
        <f t="shared" si="30"/>
        <v>97.199999999999989</v>
      </c>
      <c r="BF9" s="365">
        <f t="shared" si="9"/>
        <v>243.8</v>
      </c>
      <c r="BG9" s="83">
        <f t="shared" si="10"/>
        <v>97.199999999999989</v>
      </c>
    </row>
    <row r="10" spans="1:65" ht="15.75" thickBot="1">
      <c r="A10" s="6">
        <f>ELEC!C7</f>
        <v>43895</v>
      </c>
      <c r="B10" s="5">
        <f t="shared" si="11"/>
        <v>108473</v>
      </c>
      <c r="C10" s="5">
        <f t="shared" si="12"/>
        <v>0</v>
      </c>
      <c r="D10" s="441">
        <f t="shared" si="13"/>
        <v>0</v>
      </c>
      <c r="E10" s="349">
        <f>SUM((C10*$E$4)+(7500/'EDl log'!$A$38))</f>
        <v>241.93548387096774</v>
      </c>
      <c r="F10" s="440"/>
      <c r="G10" s="5">
        <f t="shared" ref="G10:G36" si="34">G9</f>
        <v>593048</v>
      </c>
      <c r="H10" s="5">
        <f t="shared" si="14"/>
        <v>0</v>
      </c>
      <c r="I10" s="5">
        <f t="shared" si="1"/>
        <v>0</v>
      </c>
      <c r="J10" s="350">
        <f t="shared" si="2"/>
        <v>0</v>
      </c>
      <c r="K10" s="5">
        <f>'Swimming Pool quality check '!H10</f>
        <v>5921</v>
      </c>
      <c r="L10" s="84">
        <f>K10-K9</f>
        <v>0</v>
      </c>
      <c r="M10" s="432">
        <f t="shared" si="15"/>
        <v>457.44</v>
      </c>
      <c r="N10" s="550">
        <f t="shared" si="3"/>
        <v>0</v>
      </c>
      <c r="O10" s="432">
        <f t="shared" si="16"/>
        <v>529.52</v>
      </c>
      <c r="P10" s="550">
        <f t="shared" si="4"/>
        <v>0</v>
      </c>
      <c r="Q10" s="551">
        <f>P10+N10</f>
        <v>0</v>
      </c>
      <c r="R10" s="550"/>
      <c r="S10" s="550"/>
      <c r="T10" s="5">
        <f t="shared" ref="T10:T36" si="35">T9</f>
        <v>4679</v>
      </c>
      <c r="U10" s="5">
        <f t="shared" si="5"/>
        <v>0</v>
      </c>
      <c r="V10" s="5">
        <f t="shared" ref="V10:V36" si="36">V9</f>
        <v>394</v>
      </c>
      <c r="W10" s="340">
        <f t="shared" si="17"/>
        <v>0</v>
      </c>
      <c r="X10" s="5">
        <f t="shared" ref="X10:X36" si="37">X9</f>
        <v>141616</v>
      </c>
      <c r="Y10" s="340">
        <f t="shared" si="18"/>
        <v>0</v>
      </c>
      <c r="Z10" s="5">
        <f t="shared" ref="Z10:Z36" si="38">Z9</f>
        <v>93176</v>
      </c>
      <c r="AA10" s="84">
        <f t="shared" si="19"/>
        <v>0</v>
      </c>
      <c r="AB10" s="5">
        <v>246</v>
      </c>
      <c r="AC10" s="5">
        <f t="shared" si="20"/>
        <v>671</v>
      </c>
      <c r="AD10" s="84">
        <f t="shared" si="31"/>
        <v>0</v>
      </c>
      <c r="AE10" s="5">
        <f t="shared" ref="AE10:AE36" si="39">AE9</f>
        <v>131.84</v>
      </c>
      <c r="AF10" s="84">
        <f t="shared" si="21"/>
        <v>0</v>
      </c>
      <c r="AG10" s="5">
        <f t="shared" ref="AG10:AG36" si="40">AG9</f>
        <v>1445.01</v>
      </c>
      <c r="AH10" s="84">
        <f t="shared" si="22"/>
        <v>0</v>
      </c>
      <c r="AI10" s="84">
        <f t="shared" si="23"/>
        <v>0</v>
      </c>
      <c r="AJ10" s="342">
        <f t="shared" si="24"/>
        <v>0</v>
      </c>
      <c r="AK10" s="343">
        <f t="shared" si="6"/>
        <v>0</v>
      </c>
      <c r="AL10" s="343">
        <f t="shared" si="25"/>
        <v>0</v>
      </c>
      <c r="AM10" s="343">
        <f>'General information '!D10</f>
        <v>0</v>
      </c>
      <c r="AN10" s="85">
        <f>'General information '!H10</f>
        <v>0</v>
      </c>
      <c r="AO10" s="85"/>
      <c r="AP10" s="85">
        <f>'General information '!J10</f>
        <v>0</v>
      </c>
      <c r="AQ10" s="82"/>
      <c r="AR10" s="286">
        <f t="shared" si="0"/>
        <v>43895</v>
      </c>
      <c r="AS10" s="446">
        <f t="shared" si="7"/>
        <v>0.9</v>
      </c>
      <c r="AT10" s="205">
        <f t="shared" si="7"/>
        <v>80</v>
      </c>
      <c r="AU10" s="447">
        <f t="shared" si="33"/>
        <v>1.1000000000000001</v>
      </c>
      <c r="AV10" s="205">
        <f t="shared" ref="AV10:AV36" si="41">AV9</f>
        <v>107</v>
      </c>
      <c r="AW10" s="5">
        <v>2.9</v>
      </c>
      <c r="AX10" s="205">
        <f t="shared" ref="AX10:AX36" si="42">AX9</f>
        <v>108</v>
      </c>
      <c r="AY10" s="450">
        <f t="shared" si="8"/>
        <v>72</v>
      </c>
      <c r="AZ10" s="450">
        <f t="shared" si="26"/>
        <v>117.7</v>
      </c>
      <c r="BA10" s="450">
        <f t="shared" si="27"/>
        <v>313.2</v>
      </c>
      <c r="BB10" s="21">
        <f t="shared" si="28"/>
        <v>0</v>
      </c>
      <c r="BC10" s="21">
        <f t="shared" si="29"/>
        <v>0</v>
      </c>
      <c r="BD10" s="21">
        <f t="shared" si="29"/>
        <v>0</v>
      </c>
      <c r="BE10" s="24">
        <f t="shared" si="30"/>
        <v>0</v>
      </c>
      <c r="BF10" s="97">
        <f t="shared" si="9"/>
        <v>0</v>
      </c>
      <c r="BG10" s="83">
        <f t="shared" si="10"/>
        <v>0</v>
      </c>
    </row>
    <row r="11" spans="1:65" ht="15.75" thickBot="1">
      <c r="A11" s="6">
        <f>ELEC!C8</f>
        <v>43896</v>
      </c>
      <c r="B11" s="5">
        <f t="shared" si="11"/>
        <v>108473</v>
      </c>
      <c r="C11" s="5">
        <f t="shared" si="12"/>
        <v>0</v>
      </c>
      <c r="D11" s="441">
        <f t="shared" si="13"/>
        <v>0</v>
      </c>
      <c r="E11" s="349">
        <f>SUM((C11*$E$4)+(7500/'EDl log'!$A$38))</f>
        <v>241.93548387096774</v>
      </c>
      <c r="F11" s="440"/>
      <c r="G11" s="5">
        <f t="shared" si="34"/>
        <v>593048</v>
      </c>
      <c r="H11" s="5">
        <f t="shared" si="14"/>
        <v>0</v>
      </c>
      <c r="I11" s="5">
        <f t="shared" si="1"/>
        <v>0</v>
      </c>
      <c r="J11" s="350">
        <f t="shared" si="2"/>
        <v>0</v>
      </c>
      <c r="K11" s="5">
        <f>'Swimming Pool quality check '!H11</f>
        <v>5921</v>
      </c>
      <c r="L11" s="84">
        <f t="shared" si="32"/>
        <v>0</v>
      </c>
      <c r="M11" s="432">
        <f t="shared" si="15"/>
        <v>457.44</v>
      </c>
      <c r="N11" s="550">
        <f t="shared" si="3"/>
        <v>0</v>
      </c>
      <c r="O11" s="432">
        <f t="shared" si="16"/>
        <v>529.52</v>
      </c>
      <c r="P11" s="550">
        <f t="shared" si="4"/>
        <v>0</v>
      </c>
      <c r="Q11" s="550">
        <f>SUM(P11+N11)</f>
        <v>0</v>
      </c>
      <c r="R11" s="550"/>
      <c r="S11" s="550"/>
      <c r="T11" s="5">
        <f t="shared" si="35"/>
        <v>4679</v>
      </c>
      <c r="U11" s="5">
        <f t="shared" si="5"/>
        <v>0</v>
      </c>
      <c r="V11" s="5">
        <f t="shared" si="36"/>
        <v>394</v>
      </c>
      <c r="W11" s="340">
        <f t="shared" si="17"/>
        <v>0</v>
      </c>
      <c r="X11" s="5">
        <f t="shared" si="37"/>
        <v>141616</v>
      </c>
      <c r="Y11" s="340">
        <f t="shared" si="18"/>
        <v>0</v>
      </c>
      <c r="Z11" s="5">
        <f t="shared" si="38"/>
        <v>93176</v>
      </c>
      <c r="AA11" s="84">
        <f t="shared" si="19"/>
        <v>0</v>
      </c>
      <c r="AB11" s="5">
        <f t="shared" si="20"/>
        <v>246</v>
      </c>
      <c r="AC11" s="5">
        <f t="shared" si="20"/>
        <v>671</v>
      </c>
      <c r="AD11" s="84">
        <f t="shared" si="31"/>
        <v>0</v>
      </c>
      <c r="AE11" s="5">
        <f t="shared" si="39"/>
        <v>131.84</v>
      </c>
      <c r="AF11" s="84">
        <f t="shared" si="21"/>
        <v>0</v>
      </c>
      <c r="AG11" s="5">
        <f t="shared" si="40"/>
        <v>1445.01</v>
      </c>
      <c r="AH11" s="84">
        <f t="shared" si="22"/>
        <v>0</v>
      </c>
      <c r="AI11" s="84">
        <f t="shared" si="23"/>
        <v>0</v>
      </c>
      <c r="AJ11" s="342">
        <f t="shared" si="24"/>
        <v>0</v>
      </c>
      <c r="AK11" s="343">
        <f t="shared" si="6"/>
        <v>0</v>
      </c>
      <c r="AL11" s="343">
        <f t="shared" si="25"/>
        <v>0</v>
      </c>
      <c r="AM11" s="343">
        <f>'General information '!D11</f>
        <v>0</v>
      </c>
      <c r="AN11" s="85">
        <f>'General information '!H11</f>
        <v>0</v>
      </c>
      <c r="AO11" s="85"/>
      <c r="AP11" s="85">
        <f>'General information '!J11</f>
        <v>0</v>
      </c>
      <c r="AQ11" s="82"/>
      <c r="AR11" s="286">
        <f t="shared" si="0"/>
        <v>43896</v>
      </c>
      <c r="AS11" s="446">
        <f t="shared" si="7"/>
        <v>0.9</v>
      </c>
      <c r="AT11" s="205">
        <f t="shared" si="7"/>
        <v>80</v>
      </c>
      <c r="AU11" s="447">
        <f t="shared" si="33"/>
        <v>1.1000000000000001</v>
      </c>
      <c r="AV11" s="205">
        <f t="shared" si="41"/>
        <v>107</v>
      </c>
      <c r="AW11" s="5">
        <v>2.9</v>
      </c>
      <c r="AX11" s="205">
        <f t="shared" si="42"/>
        <v>108</v>
      </c>
      <c r="AY11" s="450">
        <f t="shared" si="8"/>
        <v>72</v>
      </c>
      <c r="AZ11" s="450">
        <f t="shared" si="26"/>
        <v>117.7</v>
      </c>
      <c r="BA11" s="450">
        <f t="shared" si="27"/>
        <v>313.2</v>
      </c>
      <c r="BB11" s="21">
        <f t="shared" si="28"/>
        <v>0</v>
      </c>
      <c r="BC11" s="21">
        <f t="shared" si="29"/>
        <v>0</v>
      </c>
      <c r="BD11" s="21">
        <f t="shared" si="29"/>
        <v>0</v>
      </c>
      <c r="BE11" s="24">
        <f t="shared" si="30"/>
        <v>0</v>
      </c>
      <c r="BF11" s="97">
        <f t="shared" si="9"/>
        <v>0</v>
      </c>
      <c r="BG11" s="83">
        <f t="shared" si="10"/>
        <v>0</v>
      </c>
    </row>
    <row r="12" spans="1:65" ht="15.75" thickBot="1">
      <c r="A12" s="6">
        <f>ELEC!C9</f>
        <v>43897</v>
      </c>
      <c r="B12" s="5">
        <f t="shared" si="11"/>
        <v>108473</v>
      </c>
      <c r="C12" s="5">
        <f>B12-B11</f>
        <v>0</v>
      </c>
      <c r="D12" s="441">
        <f t="shared" si="13"/>
        <v>0</v>
      </c>
      <c r="E12" s="349">
        <f>SUM((C12*$E$4)+(7500/'EDl log'!$A$38))</f>
        <v>241.93548387096774</v>
      </c>
      <c r="F12" s="440"/>
      <c r="G12" s="5">
        <f t="shared" si="34"/>
        <v>593048</v>
      </c>
      <c r="H12" s="5">
        <f t="shared" si="14"/>
        <v>0</v>
      </c>
      <c r="I12" s="5">
        <f t="shared" si="1"/>
        <v>0</v>
      </c>
      <c r="J12" s="350">
        <f t="shared" si="2"/>
        <v>0</v>
      </c>
      <c r="K12" s="5">
        <f>'Swimming Pool quality check '!H12</f>
        <v>5921</v>
      </c>
      <c r="L12" s="84">
        <f t="shared" si="32"/>
        <v>0</v>
      </c>
      <c r="M12" s="432">
        <f t="shared" si="15"/>
        <v>457.44</v>
      </c>
      <c r="N12" s="550">
        <f t="shared" si="3"/>
        <v>0</v>
      </c>
      <c r="O12" s="432">
        <f t="shared" si="16"/>
        <v>529.52</v>
      </c>
      <c r="P12" s="550">
        <f t="shared" si="4"/>
        <v>0</v>
      </c>
      <c r="Q12" s="550">
        <f>SUM(P12+N12)</f>
        <v>0</v>
      </c>
      <c r="R12" s="550"/>
      <c r="S12" s="550"/>
      <c r="T12" s="5">
        <f t="shared" si="35"/>
        <v>4679</v>
      </c>
      <c r="U12" s="5">
        <f t="shared" si="5"/>
        <v>0</v>
      </c>
      <c r="V12" s="5">
        <f t="shared" si="36"/>
        <v>394</v>
      </c>
      <c r="W12" s="340">
        <f t="shared" si="17"/>
        <v>0</v>
      </c>
      <c r="X12" s="5">
        <f t="shared" si="37"/>
        <v>141616</v>
      </c>
      <c r="Y12" s="340">
        <f t="shared" si="18"/>
        <v>0</v>
      </c>
      <c r="Z12" s="5">
        <f t="shared" si="38"/>
        <v>93176</v>
      </c>
      <c r="AA12" s="84">
        <f t="shared" si="19"/>
        <v>0</v>
      </c>
      <c r="AB12" s="5">
        <f t="shared" si="20"/>
        <v>246</v>
      </c>
      <c r="AC12" s="5">
        <f t="shared" si="20"/>
        <v>671</v>
      </c>
      <c r="AD12" s="84">
        <f t="shared" si="31"/>
        <v>0</v>
      </c>
      <c r="AE12" s="5">
        <f t="shared" si="39"/>
        <v>131.84</v>
      </c>
      <c r="AF12" s="84">
        <f t="shared" si="21"/>
        <v>0</v>
      </c>
      <c r="AG12" s="5">
        <f t="shared" si="40"/>
        <v>1445.01</v>
      </c>
      <c r="AH12" s="84">
        <f t="shared" si="22"/>
        <v>0</v>
      </c>
      <c r="AI12" s="84">
        <f t="shared" si="23"/>
        <v>0</v>
      </c>
      <c r="AJ12" s="342">
        <f t="shared" si="24"/>
        <v>0</v>
      </c>
      <c r="AK12" s="343">
        <f t="shared" si="6"/>
        <v>0</v>
      </c>
      <c r="AL12" s="343">
        <f t="shared" si="25"/>
        <v>0</v>
      </c>
      <c r="AM12" s="343">
        <f>'General information '!D12</f>
        <v>0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6">
        <f t="shared" si="0"/>
        <v>43897</v>
      </c>
      <c r="AS12" s="446">
        <f t="shared" si="7"/>
        <v>0.9</v>
      </c>
      <c r="AT12" s="205">
        <f t="shared" si="7"/>
        <v>80</v>
      </c>
      <c r="AU12" s="447">
        <f t="shared" si="33"/>
        <v>1.1000000000000001</v>
      </c>
      <c r="AV12" s="205">
        <f t="shared" si="41"/>
        <v>107</v>
      </c>
      <c r="AW12" s="5">
        <v>2.9</v>
      </c>
      <c r="AX12" s="205">
        <f t="shared" si="42"/>
        <v>108</v>
      </c>
      <c r="AY12" s="450">
        <f t="shared" si="8"/>
        <v>72</v>
      </c>
      <c r="AZ12" s="450">
        <f t="shared" si="26"/>
        <v>117.7</v>
      </c>
      <c r="BA12" s="450">
        <f t="shared" si="27"/>
        <v>313.2</v>
      </c>
      <c r="BB12" s="21">
        <f t="shared" si="28"/>
        <v>0</v>
      </c>
      <c r="BC12" s="21">
        <f t="shared" si="29"/>
        <v>0</v>
      </c>
      <c r="BD12" s="21">
        <f t="shared" si="29"/>
        <v>0</v>
      </c>
      <c r="BE12" s="24">
        <f t="shared" si="30"/>
        <v>0</v>
      </c>
      <c r="BF12" s="97">
        <f t="shared" si="9"/>
        <v>0</v>
      </c>
      <c r="BG12" s="83">
        <f t="shared" si="10"/>
        <v>0</v>
      </c>
    </row>
    <row r="13" spans="1:65" ht="15.75" thickBot="1">
      <c r="A13" s="6">
        <f>ELEC!C10</f>
        <v>43898</v>
      </c>
      <c r="B13" s="5">
        <f t="shared" si="11"/>
        <v>108473</v>
      </c>
      <c r="C13" s="5">
        <f t="shared" si="12"/>
        <v>0</v>
      </c>
      <c r="D13" s="441">
        <f t="shared" si="13"/>
        <v>0</v>
      </c>
      <c r="E13" s="349">
        <f>SUM((C13*$E$4)+(7500/'EDl log'!$A$38))</f>
        <v>241.93548387096774</v>
      </c>
      <c r="F13" s="440"/>
      <c r="G13" s="5">
        <f t="shared" si="34"/>
        <v>593048</v>
      </c>
      <c r="H13" s="5">
        <f t="shared" si="14"/>
        <v>0</v>
      </c>
      <c r="I13" s="5">
        <f t="shared" si="1"/>
        <v>0</v>
      </c>
      <c r="J13" s="350">
        <f t="shared" si="2"/>
        <v>0</v>
      </c>
      <c r="K13" s="5">
        <f>'Swimming Pool quality check '!H13</f>
        <v>5921</v>
      </c>
      <c r="L13" s="84">
        <f t="shared" si="32"/>
        <v>0</v>
      </c>
      <c r="M13" s="432">
        <f t="shared" si="15"/>
        <v>457.44</v>
      </c>
      <c r="N13" s="550">
        <f t="shared" si="3"/>
        <v>0</v>
      </c>
      <c r="O13" s="432">
        <f t="shared" si="16"/>
        <v>529.52</v>
      </c>
      <c r="P13" s="550">
        <f t="shared" si="4"/>
        <v>0</v>
      </c>
      <c r="Q13" s="550">
        <f>SUM(P13+N13)</f>
        <v>0</v>
      </c>
      <c r="R13" s="550"/>
      <c r="S13" s="550"/>
      <c r="T13" s="5">
        <f t="shared" si="35"/>
        <v>4679</v>
      </c>
      <c r="U13" s="5">
        <f t="shared" si="5"/>
        <v>0</v>
      </c>
      <c r="V13" s="5">
        <f t="shared" si="36"/>
        <v>394</v>
      </c>
      <c r="W13" s="340">
        <f t="shared" si="17"/>
        <v>0</v>
      </c>
      <c r="X13" s="5">
        <f t="shared" si="37"/>
        <v>141616</v>
      </c>
      <c r="Y13" s="340">
        <f t="shared" si="18"/>
        <v>0</v>
      </c>
      <c r="Z13" s="5">
        <f t="shared" si="38"/>
        <v>93176</v>
      </c>
      <c r="AA13" s="84">
        <f t="shared" si="19"/>
        <v>0</v>
      </c>
      <c r="AB13" s="5">
        <f t="shared" si="20"/>
        <v>246</v>
      </c>
      <c r="AC13" s="5">
        <f t="shared" si="20"/>
        <v>671</v>
      </c>
      <c r="AD13" s="84">
        <f t="shared" si="31"/>
        <v>0</v>
      </c>
      <c r="AE13" s="5">
        <f t="shared" si="39"/>
        <v>131.84</v>
      </c>
      <c r="AF13" s="84">
        <f t="shared" si="21"/>
        <v>0</v>
      </c>
      <c r="AG13" s="5">
        <f t="shared" si="40"/>
        <v>1445.01</v>
      </c>
      <c r="AH13" s="84">
        <f t="shared" si="22"/>
        <v>0</v>
      </c>
      <c r="AI13" s="84">
        <f t="shared" si="23"/>
        <v>0</v>
      </c>
      <c r="AJ13" s="342">
        <f t="shared" si="24"/>
        <v>0</v>
      </c>
      <c r="AK13" s="343">
        <f t="shared" si="6"/>
        <v>0</v>
      </c>
      <c r="AL13" s="343">
        <f t="shared" si="25"/>
        <v>0</v>
      </c>
      <c r="AM13" s="343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6">
        <f t="shared" si="0"/>
        <v>43898</v>
      </c>
      <c r="AS13" s="446">
        <f t="shared" si="7"/>
        <v>0.9</v>
      </c>
      <c r="AT13" s="205">
        <f t="shared" si="7"/>
        <v>80</v>
      </c>
      <c r="AU13" s="447">
        <f t="shared" si="33"/>
        <v>1.1000000000000001</v>
      </c>
      <c r="AV13" s="205">
        <f t="shared" si="41"/>
        <v>107</v>
      </c>
      <c r="AW13" s="5">
        <v>2.9</v>
      </c>
      <c r="AX13" s="205">
        <f t="shared" si="42"/>
        <v>108</v>
      </c>
      <c r="AY13" s="450">
        <f t="shared" si="8"/>
        <v>72</v>
      </c>
      <c r="AZ13" s="450">
        <f t="shared" si="26"/>
        <v>117.7</v>
      </c>
      <c r="BA13" s="450">
        <f t="shared" si="27"/>
        <v>313.2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7">
        <f t="shared" si="9"/>
        <v>0</v>
      </c>
      <c r="BG13" s="83">
        <f t="shared" si="10"/>
        <v>0</v>
      </c>
    </row>
    <row r="14" spans="1:65" ht="15.75" thickBot="1">
      <c r="A14" s="6">
        <f>ELEC!C11</f>
        <v>43899</v>
      </c>
      <c r="B14" s="5">
        <f t="shared" si="11"/>
        <v>108473</v>
      </c>
      <c r="C14" s="5">
        <f t="shared" si="12"/>
        <v>0</v>
      </c>
      <c r="D14" s="441">
        <f t="shared" si="13"/>
        <v>0</v>
      </c>
      <c r="E14" s="349">
        <f>SUM((C14*$E$4)+(7500/'EDl log'!$A$38))</f>
        <v>241.93548387096774</v>
      </c>
      <c r="F14" s="440"/>
      <c r="G14" s="5">
        <f t="shared" si="34"/>
        <v>593048</v>
      </c>
      <c r="H14" s="5">
        <f t="shared" si="14"/>
        <v>0</v>
      </c>
      <c r="I14" s="5">
        <f t="shared" si="1"/>
        <v>0</v>
      </c>
      <c r="J14" s="350">
        <f t="shared" si="2"/>
        <v>0</v>
      </c>
      <c r="K14" s="5">
        <f>'Swimming Pool quality check '!H14</f>
        <v>5921</v>
      </c>
      <c r="L14" s="84">
        <f t="shared" si="32"/>
        <v>0</v>
      </c>
      <c r="M14" s="432">
        <f t="shared" si="15"/>
        <v>457.44</v>
      </c>
      <c r="N14" s="550">
        <f t="shared" ref="N14:N36" si="43">SUM(M14-M13)</f>
        <v>0</v>
      </c>
      <c r="O14" s="432">
        <f t="shared" si="16"/>
        <v>529.52</v>
      </c>
      <c r="P14" s="550">
        <f t="shared" ref="P14:P36" si="44">SUM(O14-O13)</f>
        <v>0</v>
      </c>
      <c r="Q14" s="550">
        <f t="shared" ref="Q14:Q36" si="45">SUM(P14+N14)</f>
        <v>0</v>
      </c>
      <c r="R14" s="550"/>
      <c r="S14" s="550"/>
      <c r="T14" s="5">
        <f t="shared" si="35"/>
        <v>4679</v>
      </c>
      <c r="U14" s="5">
        <f t="shared" si="5"/>
        <v>0</v>
      </c>
      <c r="V14" s="5">
        <f t="shared" si="36"/>
        <v>394</v>
      </c>
      <c r="W14" s="340">
        <f t="shared" si="17"/>
        <v>0</v>
      </c>
      <c r="X14" s="5">
        <f t="shared" si="37"/>
        <v>141616</v>
      </c>
      <c r="Y14" s="340">
        <f t="shared" si="18"/>
        <v>0</v>
      </c>
      <c r="Z14" s="5">
        <f t="shared" si="38"/>
        <v>93176</v>
      </c>
      <c r="AA14" s="84">
        <f t="shared" si="19"/>
        <v>0</v>
      </c>
      <c r="AB14" s="5">
        <f t="shared" si="20"/>
        <v>246</v>
      </c>
      <c r="AC14" s="5">
        <f t="shared" si="20"/>
        <v>671</v>
      </c>
      <c r="AD14" s="84">
        <f t="shared" si="31"/>
        <v>0</v>
      </c>
      <c r="AE14" s="5">
        <f t="shared" si="39"/>
        <v>131.84</v>
      </c>
      <c r="AF14" s="84">
        <f t="shared" si="21"/>
        <v>0</v>
      </c>
      <c r="AG14" s="5">
        <f t="shared" si="40"/>
        <v>1445.01</v>
      </c>
      <c r="AH14" s="84">
        <f t="shared" si="22"/>
        <v>0</v>
      </c>
      <c r="AI14" s="84">
        <f t="shared" si="23"/>
        <v>0</v>
      </c>
      <c r="AJ14" s="342">
        <f t="shared" si="24"/>
        <v>0</v>
      </c>
      <c r="AK14" s="343">
        <f t="shared" si="6"/>
        <v>0</v>
      </c>
      <c r="AL14" s="343">
        <f t="shared" si="25"/>
        <v>0</v>
      </c>
      <c r="AM14" s="343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6">
        <f t="shared" si="0"/>
        <v>43899</v>
      </c>
      <c r="AS14" s="446">
        <f t="shared" si="7"/>
        <v>0.9</v>
      </c>
      <c r="AT14" s="205">
        <f t="shared" si="7"/>
        <v>80</v>
      </c>
      <c r="AU14" s="447">
        <f t="shared" si="33"/>
        <v>1.1000000000000001</v>
      </c>
      <c r="AV14" s="205">
        <f t="shared" si="41"/>
        <v>107</v>
      </c>
      <c r="AW14" s="5">
        <v>2.9</v>
      </c>
      <c r="AX14" s="205">
        <f t="shared" si="42"/>
        <v>108</v>
      </c>
      <c r="AY14" s="450">
        <f t="shared" si="8"/>
        <v>72</v>
      </c>
      <c r="AZ14" s="450">
        <f t="shared" si="26"/>
        <v>117.7</v>
      </c>
      <c r="BA14" s="450">
        <f t="shared" si="27"/>
        <v>313.2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7">
        <f t="shared" si="9"/>
        <v>0</v>
      </c>
      <c r="BG14" s="83">
        <f t="shared" si="10"/>
        <v>0</v>
      </c>
    </row>
    <row r="15" spans="1:65" ht="16.5" customHeight="1" thickBot="1">
      <c r="A15" s="6">
        <f>ELEC!C12</f>
        <v>43900</v>
      </c>
      <c r="B15" s="5">
        <f t="shared" si="11"/>
        <v>108473</v>
      </c>
      <c r="C15" s="5">
        <f t="shared" si="12"/>
        <v>0</v>
      </c>
      <c r="D15" s="441">
        <f t="shared" si="13"/>
        <v>0</v>
      </c>
      <c r="E15" s="349">
        <f>SUM((C15*$E$4)+(7500/'EDl log'!$A$38))</f>
        <v>241.93548387096774</v>
      </c>
      <c r="F15" s="440"/>
      <c r="G15" s="5">
        <f t="shared" si="34"/>
        <v>593048</v>
      </c>
      <c r="H15" s="5">
        <f t="shared" si="14"/>
        <v>0</v>
      </c>
      <c r="I15" s="5">
        <f t="shared" si="1"/>
        <v>0</v>
      </c>
      <c r="J15" s="350">
        <f t="shared" si="2"/>
        <v>0</v>
      </c>
      <c r="K15" s="5">
        <f>'Swimming Pool quality check '!H15</f>
        <v>5921</v>
      </c>
      <c r="L15" s="84">
        <f t="shared" si="32"/>
        <v>0</v>
      </c>
      <c r="M15" s="432">
        <f t="shared" si="15"/>
        <v>457.44</v>
      </c>
      <c r="N15" s="550">
        <f t="shared" si="43"/>
        <v>0</v>
      </c>
      <c r="O15" s="432">
        <f t="shared" si="16"/>
        <v>529.52</v>
      </c>
      <c r="P15" s="550">
        <f t="shared" si="44"/>
        <v>0</v>
      </c>
      <c r="Q15" s="550">
        <f t="shared" si="45"/>
        <v>0</v>
      </c>
      <c r="R15" s="550"/>
      <c r="S15" s="550"/>
      <c r="T15" s="5">
        <f t="shared" si="35"/>
        <v>4679</v>
      </c>
      <c r="U15" s="5">
        <f t="shared" si="5"/>
        <v>0</v>
      </c>
      <c r="V15" s="5">
        <f t="shared" si="36"/>
        <v>394</v>
      </c>
      <c r="W15" s="340">
        <f t="shared" si="17"/>
        <v>0</v>
      </c>
      <c r="X15" s="5">
        <f t="shared" si="37"/>
        <v>141616</v>
      </c>
      <c r="Y15" s="340">
        <f t="shared" si="18"/>
        <v>0</v>
      </c>
      <c r="Z15" s="5">
        <f t="shared" si="38"/>
        <v>93176</v>
      </c>
      <c r="AA15" s="84">
        <f t="shared" si="19"/>
        <v>0</v>
      </c>
      <c r="AB15" s="5">
        <f t="shared" si="20"/>
        <v>246</v>
      </c>
      <c r="AC15" s="5">
        <f t="shared" si="20"/>
        <v>671</v>
      </c>
      <c r="AD15" s="84">
        <f t="shared" si="31"/>
        <v>0</v>
      </c>
      <c r="AE15" s="5">
        <f t="shared" si="39"/>
        <v>131.84</v>
      </c>
      <c r="AF15" s="84">
        <f t="shared" si="21"/>
        <v>0</v>
      </c>
      <c r="AG15" s="5">
        <f t="shared" si="40"/>
        <v>1445.01</v>
      </c>
      <c r="AH15" s="84">
        <f t="shared" si="22"/>
        <v>0</v>
      </c>
      <c r="AI15" s="84">
        <f t="shared" si="23"/>
        <v>0</v>
      </c>
      <c r="AJ15" s="342">
        <f t="shared" si="24"/>
        <v>0</v>
      </c>
      <c r="AK15" s="343">
        <f t="shared" si="6"/>
        <v>0</v>
      </c>
      <c r="AL15" s="343">
        <f t="shared" si="25"/>
        <v>0</v>
      </c>
      <c r="AM15" s="343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6">
        <f t="shared" si="0"/>
        <v>43900</v>
      </c>
      <c r="AS15" s="446">
        <f t="shared" si="7"/>
        <v>0.9</v>
      </c>
      <c r="AT15" s="205">
        <f t="shared" si="7"/>
        <v>80</v>
      </c>
      <c r="AU15" s="447">
        <f t="shared" si="33"/>
        <v>1.1000000000000001</v>
      </c>
      <c r="AV15" s="205">
        <f t="shared" si="41"/>
        <v>107</v>
      </c>
      <c r="AW15" s="5">
        <v>2.9</v>
      </c>
      <c r="AX15" s="205">
        <f t="shared" si="42"/>
        <v>108</v>
      </c>
      <c r="AY15" s="450">
        <f t="shared" si="8"/>
        <v>72</v>
      </c>
      <c r="AZ15" s="450">
        <f t="shared" si="26"/>
        <v>117.7</v>
      </c>
      <c r="BA15" s="450">
        <f t="shared" si="27"/>
        <v>313.2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7">
        <f t="shared" si="9"/>
        <v>0</v>
      </c>
      <c r="BG15" s="83">
        <f t="shared" si="10"/>
        <v>0</v>
      </c>
    </row>
    <row r="16" spans="1:65" ht="15.75" thickBot="1">
      <c r="A16" s="6">
        <f>ELEC!C13</f>
        <v>43901</v>
      </c>
      <c r="B16" s="5">
        <f t="shared" si="11"/>
        <v>108473</v>
      </c>
      <c r="C16" s="5">
        <f t="shared" si="12"/>
        <v>0</v>
      </c>
      <c r="D16" s="441">
        <f t="shared" si="13"/>
        <v>0</v>
      </c>
      <c r="E16" s="349">
        <f>SUM((C16*$E$4)+(7500/'EDl log'!$A$38))</f>
        <v>241.93548387096774</v>
      </c>
      <c r="F16" s="440"/>
      <c r="G16" s="5">
        <f t="shared" si="34"/>
        <v>593048</v>
      </c>
      <c r="H16" s="5">
        <f t="shared" si="14"/>
        <v>0</v>
      </c>
      <c r="I16" s="5">
        <f t="shared" si="1"/>
        <v>0</v>
      </c>
      <c r="J16" s="350">
        <f t="shared" si="2"/>
        <v>0</v>
      </c>
      <c r="K16" s="5">
        <f>'Swimming Pool quality check '!H16</f>
        <v>5921</v>
      </c>
      <c r="L16" s="282">
        <f t="shared" si="32"/>
        <v>0</v>
      </c>
      <c r="M16" s="432">
        <f t="shared" si="15"/>
        <v>457.44</v>
      </c>
      <c r="N16" s="550">
        <f t="shared" si="43"/>
        <v>0</v>
      </c>
      <c r="O16" s="432">
        <f t="shared" si="16"/>
        <v>529.52</v>
      </c>
      <c r="P16" s="550">
        <f t="shared" si="44"/>
        <v>0</v>
      </c>
      <c r="Q16" s="550">
        <f t="shared" si="45"/>
        <v>0</v>
      </c>
      <c r="R16" s="552"/>
      <c r="S16" s="552"/>
      <c r="T16" s="5">
        <f t="shared" si="35"/>
        <v>4679</v>
      </c>
      <c r="U16" s="5">
        <f t="shared" si="5"/>
        <v>0</v>
      </c>
      <c r="V16" s="5">
        <f t="shared" si="36"/>
        <v>394</v>
      </c>
      <c r="W16" s="340">
        <f t="shared" si="17"/>
        <v>0</v>
      </c>
      <c r="X16" s="5">
        <f t="shared" si="37"/>
        <v>141616</v>
      </c>
      <c r="Y16" s="340">
        <f t="shared" si="18"/>
        <v>0</v>
      </c>
      <c r="Z16" s="5">
        <f t="shared" si="38"/>
        <v>93176</v>
      </c>
      <c r="AA16" s="84">
        <f t="shared" si="19"/>
        <v>0</v>
      </c>
      <c r="AB16" s="5">
        <v>244</v>
      </c>
      <c r="AC16" s="5">
        <f t="shared" si="20"/>
        <v>671</v>
      </c>
      <c r="AD16" s="84">
        <f t="shared" si="31"/>
        <v>0</v>
      </c>
      <c r="AE16" s="5">
        <f t="shared" si="39"/>
        <v>131.84</v>
      </c>
      <c r="AF16" s="84">
        <f t="shared" si="21"/>
        <v>0</v>
      </c>
      <c r="AG16" s="5">
        <f t="shared" si="40"/>
        <v>1445.01</v>
      </c>
      <c r="AH16" s="84">
        <f t="shared" si="22"/>
        <v>0</v>
      </c>
      <c r="AI16" s="84">
        <f t="shared" si="23"/>
        <v>0</v>
      </c>
      <c r="AJ16" s="342">
        <f t="shared" si="24"/>
        <v>0</v>
      </c>
      <c r="AK16" s="343">
        <f t="shared" si="6"/>
        <v>0</v>
      </c>
      <c r="AL16" s="343">
        <f t="shared" si="25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6">
        <f t="shared" si="0"/>
        <v>43901</v>
      </c>
      <c r="AS16" s="446">
        <f t="shared" si="7"/>
        <v>0.9</v>
      </c>
      <c r="AT16" s="205">
        <f t="shared" si="7"/>
        <v>80</v>
      </c>
      <c r="AU16" s="447">
        <f t="shared" si="33"/>
        <v>1.1000000000000001</v>
      </c>
      <c r="AV16" s="205">
        <f t="shared" si="41"/>
        <v>107</v>
      </c>
      <c r="AW16" s="5">
        <v>2.9</v>
      </c>
      <c r="AX16" s="205">
        <f t="shared" si="42"/>
        <v>108</v>
      </c>
      <c r="AY16" s="450">
        <f t="shared" si="8"/>
        <v>72</v>
      </c>
      <c r="AZ16" s="450">
        <f t="shared" si="26"/>
        <v>117.7</v>
      </c>
      <c r="BA16" s="450">
        <f t="shared" si="27"/>
        <v>313.2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7">
        <f t="shared" si="9"/>
        <v>0</v>
      </c>
      <c r="BG16" s="83">
        <f t="shared" si="10"/>
        <v>0</v>
      </c>
    </row>
    <row r="17" spans="1:61" ht="15.75" thickBot="1">
      <c r="A17" s="6">
        <f>ELEC!C14</f>
        <v>43902</v>
      </c>
      <c r="B17" s="5">
        <f t="shared" si="11"/>
        <v>108473</v>
      </c>
      <c r="C17" s="5">
        <f t="shared" si="12"/>
        <v>0</v>
      </c>
      <c r="D17" s="441">
        <f t="shared" si="13"/>
        <v>0</v>
      </c>
      <c r="E17" s="349">
        <f>SUM((C17*$E$4)+(7500/'EDl log'!$A$38))</f>
        <v>241.93548387096774</v>
      </c>
      <c r="F17" s="440"/>
      <c r="G17" s="5">
        <f t="shared" si="34"/>
        <v>593048</v>
      </c>
      <c r="H17" s="5">
        <f t="shared" si="14"/>
        <v>0</v>
      </c>
      <c r="I17" s="5">
        <f t="shared" si="1"/>
        <v>0</v>
      </c>
      <c r="J17" s="350">
        <f t="shared" si="2"/>
        <v>0</v>
      </c>
      <c r="K17" s="5">
        <f>'Swimming Pool quality check '!H17</f>
        <v>5921</v>
      </c>
      <c r="L17" s="84">
        <f t="shared" si="32"/>
        <v>0</v>
      </c>
      <c r="M17" s="432">
        <f t="shared" si="15"/>
        <v>457.44</v>
      </c>
      <c r="N17" s="550">
        <f t="shared" si="43"/>
        <v>0</v>
      </c>
      <c r="O17" s="432">
        <f t="shared" si="16"/>
        <v>529.52</v>
      </c>
      <c r="P17" s="550">
        <f t="shared" si="44"/>
        <v>0</v>
      </c>
      <c r="Q17" s="550">
        <f t="shared" si="45"/>
        <v>0</v>
      </c>
      <c r="R17" s="550"/>
      <c r="S17" s="550"/>
      <c r="T17" s="5">
        <f t="shared" si="35"/>
        <v>4679</v>
      </c>
      <c r="U17" s="5">
        <f t="shared" si="5"/>
        <v>0</v>
      </c>
      <c r="V17" s="5">
        <f t="shared" si="36"/>
        <v>394</v>
      </c>
      <c r="W17" s="340">
        <f t="shared" si="17"/>
        <v>0</v>
      </c>
      <c r="X17" s="5">
        <f t="shared" si="37"/>
        <v>141616</v>
      </c>
      <c r="Y17" s="340">
        <f t="shared" si="18"/>
        <v>0</v>
      </c>
      <c r="Z17" s="5">
        <f t="shared" si="38"/>
        <v>93176</v>
      </c>
      <c r="AA17" s="84">
        <f t="shared" si="19"/>
        <v>0</v>
      </c>
      <c r="AB17" s="5">
        <f t="shared" si="20"/>
        <v>244</v>
      </c>
      <c r="AC17" s="5">
        <f t="shared" si="20"/>
        <v>671</v>
      </c>
      <c r="AD17" s="84">
        <f t="shared" si="31"/>
        <v>0</v>
      </c>
      <c r="AE17" s="5">
        <f t="shared" si="39"/>
        <v>131.84</v>
      </c>
      <c r="AF17" s="84">
        <f t="shared" si="21"/>
        <v>0</v>
      </c>
      <c r="AG17" s="5">
        <f t="shared" si="40"/>
        <v>1445.01</v>
      </c>
      <c r="AH17" s="84">
        <f t="shared" si="22"/>
        <v>0</v>
      </c>
      <c r="AI17" s="84">
        <f t="shared" si="23"/>
        <v>0</v>
      </c>
      <c r="AJ17" s="342">
        <f t="shared" si="24"/>
        <v>0</v>
      </c>
      <c r="AK17" s="343">
        <f t="shared" si="6"/>
        <v>0</v>
      </c>
      <c r="AL17" s="343">
        <f t="shared" si="25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6">
        <f t="shared" si="0"/>
        <v>43902</v>
      </c>
      <c r="AS17" s="446">
        <f t="shared" si="7"/>
        <v>0.9</v>
      </c>
      <c r="AT17" s="205">
        <f t="shared" si="7"/>
        <v>80</v>
      </c>
      <c r="AU17" s="447">
        <f t="shared" si="33"/>
        <v>1.1000000000000001</v>
      </c>
      <c r="AV17" s="205">
        <f t="shared" si="41"/>
        <v>107</v>
      </c>
      <c r="AW17" s="5">
        <v>2.9</v>
      </c>
      <c r="AX17" s="205">
        <f t="shared" si="42"/>
        <v>108</v>
      </c>
      <c r="AY17" s="450">
        <f t="shared" si="8"/>
        <v>72</v>
      </c>
      <c r="AZ17" s="450">
        <f t="shared" si="26"/>
        <v>117.7</v>
      </c>
      <c r="BA17" s="450">
        <f t="shared" si="27"/>
        <v>313.2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7">
        <f t="shared" si="9"/>
        <v>0</v>
      </c>
      <c r="BG17" s="83">
        <f t="shared" si="10"/>
        <v>0</v>
      </c>
    </row>
    <row r="18" spans="1:61" ht="15.75" thickBot="1">
      <c r="A18" s="6">
        <f>ELEC!C15</f>
        <v>43903</v>
      </c>
      <c r="B18" s="5">
        <f t="shared" si="11"/>
        <v>108473</v>
      </c>
      <c r="C18" s="5">
        <f t="shared" si="12"/>
        <v>0</v>
      </c>
      <c r="D18" s="441">
        <f t="shared" si="13"/>
        <v>0</v>
      </c>
      <c r="E18" s="349">
        <f>SUM((C18*$E$4)+(7500/'EDl log'!$A$38))</f>
        <v>241.93548387096774</v>
      </c>
      <c r="F18" s="440"/>
      <c r="G18" s="5">
        <f t="shared" si="34"/>
        <v>593048</v>
      </c>
      <c r="H18" s="5">
        <f t="shared" si="14"/>
        <v>0</v>
      </c>
      <c r="I18" s="5">
        <f t="shared" si="1"/>
        <v>0</v>
      </c>
      <c r="J18" s="350">
        <f t="shared" si="2"/>
        <v>0</v>
      </c>
      <c r="K18" s="5">
        <f>'Swimming Pool quality check '!H18</f>
        <v>5921</v>
      </c>
      <c r="L18" s="84">
        <f t="shared" si="32"/>
        <v>0</v>
      </c>
      <c r="M18" s="432">
        <f t="shared" si="15"/>
        <v>457.44</v>
      </c>
      <c r="N18" s="550">
        <f t="shared" si="43"/>
        <v>0</v>
      </c>
      <c r="O18" s="432">
        <f t="shared" si="16"/>
        <v>529.52</v>
      </c>
      <c r="P18" s="550">
        <f t="shared" si="44"/>
        <v>0</v>
      </c>
      <c r="Q18" s="550">
        <f t="shared" si="45"/>
        <v>0</v>
      </c>
      <c r="R18" s="550"/>
      <c r="S18" s="550"/>
      <c r="T18" s="5">
        <f t="shared" si="35"/>
        <v>4679</v>
      </c>
      <c r="U18" s="5">
        <f t="shared" si="5"/>
        <v>0</v>
      </c>
      <c r="V18" s="5">
        <f t="shared" si="36"/>
        <v>394</v>
      </c>
      <c r="W18" s="340">
        <f t="shared" si="17"/>
        <v>0</v>
      </c>
      <c r="X18" s="5">
        <f t="shared" si="37"/>
        <v>141616</v>
      </c>
      <c r="Y18" s="340">
        <f t="shared" si="18"/>
        <v>0</v>
      </c>
      <c r="Z18" s="5">
        <f t="shared" si="38"/>
        <v>93176</v>
      </c>
      <c r="AA18" s="84">
        <f t="shared" si="19"/>
        <v>0</v>
      </c>
      <c r="AB18" s="5">
        <v>244</v>
      </c>
      <c r="AC18" s="5">
        <f t="shared" si="20"/>
        <v>671</v>
      </c>
      <c r="AD18" s="84">
        <f t="shared" si="31"/>
        <v>0</v>
      </c>
      <c r="AE18" s="5">
        <f t="shared" si="39"/>
        <v>131.84</v>
      </c>
      <c r="AF18" s="84">
        <f t="shared" si="21"/>
        <v>0</v>
      </c>
      <c r="AG18" s="5">
        <f t="shared" si="40"/>
        <v>1445.01</v>
      </c>
      <c r="AH18" s="84">
        <f t="shared" si="22"/>
        <v>0</v>
      </c>
      <c r="AI18" s="84">
        <f t="shared" si="23"/>
        <v>0</v>
      </c>
      <c r="AJ18" s="342">
        <f t="shared" si="24"/>
        <v>0</v>
      </c>
      <c r="AK18" s="343">
        <f t="shared" si="6"/>
        <v>0</v>
      </c>
      <c r="AL18" s="343">
        <f t="shared" si="25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6">
        <f t="shared" si="0"/>
        <v>43903</v>
      </c>
      <c r="AS18" s="446">
        <f t="shared" si="7"/>
        <v>0.9</v>
      </c>
      <c r="AT18" s="205">
        <f t="shared" si="7"/>
        <v>80</v>
      </c>
      <c r="AU18" s="447">
        <f t="shared" si="33"/>
        <v>1.1000000000000001</v>
      </c>
      <c r="AV18" s="205">
        <f t="shared" si="41"/>
        <v>107</v>
      </c>
      <c r="AW18" s="5">
        <v>2.9</v>
      </c>
      <c r="AX18" s="205">
        <f t="shared" si="42"/>
        <v>108</v>
      </c>
      <c r="AY18" s="450">
        <f t="shared" si="8"/>
        <v>72</v>
      </c>
      <c r="AZ18" s="450">
        <f t="shared" si="26"/>
        <v>117.7</v>
      </c>
      <c r="BA18" s="450">
        <f t="shared" si="27"/>
        <v>313.2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7">
        <f t="shared" si="9"/>
        <v>0</v>
      </c>
      <c r="BG18" s="83">
        <f t="shared" si="10"/>
        <v>0</v>
      </c>
    </row>
    <row r="19" spans="1:61" ht="15.75" thickBot="1">
      <c r="A19" s="6">
        <f>ELEC!C16</f>
        <v>43904</v>
      </c>
      <c r="B19" s="5">
        <f t="shared" si="11"/>
        <v>108473</v>
      </c>
      <c r="C19" s="5">
        <f t="shared" si="12"/>
        <v>0</v>
      </c>
      <c r="D19" s="441">
        <f t="shared" si="13"/>
        <v>0</v>
      </c>
      <c r="E19" s="349">
        <f>SUM((C19*$E$4)+(7500/'EDl log'!$A$38))</f>
        <v>241.93548387096774</v>
      </c>
      <c r="F19" s="440"/>
      <c r="G19" s="5">
        <f t="shared" si="34"/>
        <v>593048</v>
      </c>
      <c r="H19" s="5">
        <f t="shared" si="14"/>
        <v>0</v>
      </c>
      <c r="I19" s="5">
        <f t="shared" si="1"/>
        <v>0</v>
      </c>
      <c r="J19" s="350">
        <f t="shared" si="2"/>
        <v>0</v>
      </c>
      <c r="K19" s="5">
        <f>'Swimming Pool quality check '!H19</f>
        <v>5921</v>
      </c>
      <c r="L19" s="84">
        <f t="shared" si="32"/>
        <v>0</v>
      </c>
      <c r="M19" s="432">
        <f t="shared" si="15"/>
        <v>457.44</v>
      </c>
      <c r="N19" s="550">
        <f t="shared" si="43"/>
        <v>0</v>
      </c>
      <c r="O19" s="432">
        <f t="shared" si="16"/>
        <v>529.52</v>
      </c>
      <c r="P19" s="550">
        <f t="shared" si="44"/>
        <v>0</v>
      </c>
      <c r="Q19" s="550">
        <f t="shared" si="45"/>
        <v>0</v>
      </c>
      <c r="R19" s="550"/>
      <c r="S19" s="550"/>
      <c r="T19" s="5">
        <f t="shared" si="35"/>
        <v>4679</v>
      </c>
      <c r="U19" s="5">
        <f t="shared" si="5"/>
        <v>0</v>
      </c>
      <c r="V19" s="5">
        <f t="shared" si="36"/>
        <v>394</v>
      </c>
      <c r="W19" s="340">
        <f t="shared" si="17"/>
        <v>0</v>
      </c>
      <c r="X19" s="5">
        <f t="shared" si="37"/>
        <v>141616</v>
      </c>
      <c r="Y19" s="340">
        <f t="shared" si="18"/>
        <v>0</v>
      </c>
      <c r="Z19" s="5">
        <f t="shared" si="38"/>
        <v>93176</v>
      </c>
      <c r="AA19" s="84">
        <f t="shared" si="19"/>
        <v>0</v>
      </c>
      <c r="AB19" s="5">
        <f t="shared" si="20"/>
        <v>244</v>
      </c>
      <c r="AC19" s="5">
        <f t="shared" si="20"/>
        <v>671</v>
      </c>
      <c r="AD19" s="84">
        <f t="shared" si="31"/>
        <v>0</v>
      </c>
      <c r="AE19" s="5">
        <f t="shared" si="39"/>
        <v>131.84</v>
      </c>
      <c r="AF19" s="84">
        <f t="shared" si="21"/>
        <v>0</v>
      </c>
      <c r="AG19" s="5">
        <f t="shared" si="40"/>
        <v>1445.01</v>
      </c>
      <c r="AH19" s="84">
        <f t="shared" si="22"/>
        <v>0</v>
      </c>
      <c r="AI19" s="84">
        <f t="shared" si="23"/>
        <v>0</v>
      </c>
      <c r="AJ19" s="342">
        <f t="shared" si="24"/>
        <v>0</v>
      </c>
      <c r="AK19" s="343">
        <f t="shared" si="6"/>
        <v>0</v>
      </c>
      <c r="AL19" s="343">
        <f t="shared" si="25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0"/>
        <v>43904</v>
      </c>
      <c r="AS19" s="446">
        <f t="shared" si="7"/>
        <v>0.9</v>
      </c>
      <c r="AT19" s="205">
        <f t="shared" si="7"/>
        <v>80</v>
      </c>
      <c r="AU19" s="447">
        <f t="shared" si="33"/>
        <v>1.1000000000000001</v>
      </c>
      <c r="AV19" s="205">
        <f t="shared" si="41"/>
        <v>107</v>
      </c>
      <c r="AW19" s="5">
        <v>2.9</v>
      </c>
      <c r="AX19" s="205">
        <f t="shared" si="42"/>
        <v>108</v>
      </c>
      <c r="AY19" s="450">
        <f t="shared" si="8"/>
        <v>72</v>
      </c>
      <c r="AZ19" s="450">
        <f t="shared" si="26"/>
        <v>117.7</v>
      </c>
      <c r="BA19" s="450">
        <f t="shared" si="27"/>
        <v>313.2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7">
        <f t="shared" si="9"/>
        <v>0</v>
      </c>
      <c r="BG19" s="83">
        <f t="shared" si="10"/>
        <v>0</v>
      </c>
    </row>
    <row r="20" spans="1:61" ht="15.75" thickBot="1">
      <c r="A20" s="6">
        <f>ELEC!C17</f>
        <v>43905</v>
      </c>
      <c r="B20" s="5">
        <f t="shared" si="11"/>
        <v>108473</v>
      </c>
      <c r="C20" s="5">
        <f t="shared" si="12"/>
        <v>0</v>
      </c>
      <c r="D20" s="441">
        <f t="shared" si="13"/>
        <v>0</v>
      </c>
      <c r="E20" s="349">
        <f>SUM((C20*$E$4)+(7500/'EDl log'!$A$38))</f>
        <v>241.93548387096774</v>
      </c>
      <c r="F20" s="440"/>
      <c r="G20" s="5">
        <f t="shared" si="34"/>
        <v>593048</v>
      </c>
      <c r="H20" s="5">
        <f t="shared" si="14"/>
        <v>0</v>
      </c>
      <c r="I20" s="5">
        <f t="shared" si="1"/>
        <v>0</v>
      </c>
      <c r="J20" s="350">
        <f t="shared" si="2"/>
        <v>0</v>
      </c>
      <c r="K20" s="5">
        <f>'Swimming Pool quality check '!H20</f>
        <v>5921</v>
      </c>
      <c r="L20" s="84">
        <f t="shared" si="32"/>
        <v>0</v>
      </c>
      <c r="M20" s="432">
        <f t="shared" si="15"/>
        <v>457.44</v>
      </c>
      <c r="N20" s="550">
        <f t="shared" si="43"/>
        <v>0</v>
      </c>
      <c r="O20" s="432">
        <f t="shared" si="16"/>
        <v>529.52</v>
      </c>
      <c r="P20" s="550">
        <f t="shared" si="44"/>
        <v>0</v>
      </c>
      <c r="Q20" s="550">
        <f t="shared" si="45"/>
        <v>0</v>
      </c>
      <c r="R20" s="550"/>
      <c r="S20" s="550"/>
      <c r="T20" s="5">
        <f t="shared" si="35"/>
        <v>4679</v>
      </c>
      <c r="U20" s="5">
        <f t="shared" si="5"/>
        <v>0</v>
      </c>
      <c r="V20" s="5">
        <f t="shared" si="36"/>
        <v>394</v>
      </c>
      <c r="W20" s="340">
        <f t="shared" si="17"/>
        <v>0</v>
      </c>
      <c r="X20" s="5">
        <f t="shared" si="37"/>
        <v>141616</v>
      </c>
      <c r="Y20" s="340">
        <f t="shared" si="18"/>
        <v>0</v>
      </c>
      <c r="Z20" s="5">
        <f t="shared" si="38"/>
        <v>93176</v>
      </c>
      <c r="AA20" s="84">
        <f t="shared" si="19"/>
        <v>0</v>
      </c>
      <c r="AB20" s="5">
        <v>262</v>
      </c>
      <c r="AC20" s="5">
        <f t="shared" si="20"/>
        <v>671</v>
      </c>
      <c r="AD20" s="84">
        <f t="shared" si="31"/>
        <v>0</v>
      </c>
      <c r="AE20" s="5">
        <f t="shared" si="39"/>
        <v>131.84</v>
      </c>
      <c r="AF20" s="84">
        <f t="shared" si="21"/>
        <v>0</v>
      </c>
      <c r="AG20" s="5">
        <f t="shared" si="40"/>
        <v>1445.01</v>
      </c>
      <c r="AH20" s="84">
        <f t="shared" si="22"/>
        <v>0</v>
      </c>
      <c r="AI20" s="84">
        <f t="shared" si="23"/>
        <v>0</v>
      </c>
      <c r="AJ20" s="342">
        <f t="shared" si="24"/>
        <v>0</v>
      </c>
      <c r="AK20" s="343">
        <f t="shared" si="6"/>
        <v>0</v>
      </c>
      <c r="AL20" s="343">
        <f t="shared" si="25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0"/>
        <v>43905</v>
      </c>
      <c r="AS20" s="446">
        <f t="shared" si="7"/>
        <v>0.9</v>
      </c>
      <c r="AT20" s="205">
        <f t="shared" si="7"/>
        <v>80</v>
      </c>
      <c r="AU20" s="447">
        <f t="shared" si="33"/>
        <v>1.1000000000000001</v>
      </c>
      <c r="AV20" s="205">
        <f t="shared" si="41"/>
        <v>107</v>
      </c>
      <c r="AW20" s="5">
        <v>2.9</v>
      </c>
      <c r="AX20" s="205">
        <f t="shared" si="42"/>
        <v>108</v>
      </c>
      <c r="AY20" s="450">
        <f t="shared" si="8"/>
        <v>72</v>
      </c>
      <c r="AZ20" s="450">
        <f t="shared" si="26"/>
        <v>117.7</v>
      </c>
      <c r="BA20" s="450">
        <f t="shared" si="27"/>
        <v>313.2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7">
        <f t="shared" si="9"/>
        <v>0</v>
      </c>
      <c r="BG20" s="83">
        <f t="shared" si="10"/>
        <v>0</v>
      </c>
    </row>
    <row r="21" spans="1:61" ht="15.75" thickBot="1">
      <c r="A21" s="6">
        <f>ELEC!C18</f>
        <v>43906</v>
      </c>
      <c r="B21" s="5">
        <f t="shared" si="11"/>
        <v>108473</v>
      </c>
      <c r="C21" s="5">
        <f t="shared" si="12"/>
        <v>0</v>
      </c>
      <c r="D21" s="441">
        <f t="shared" si="13"/>
        <v>0</v>
      </c>
      <c r="E21" s="349">
        <f>SUM((C21*$E$4)+(7500/'EDl log'!$A$38))</f>
        <v>241.93548387096774</v>
      </c>
      <c r="F21" s="343"/>
      <c r="G21" s="5">
        <f t="shared" si="34"/>
        <v>593048</v>
      </c>
      <c r="H21" s="5">
        <f t="shared" si="14"/>
        <v>0</v>
      </c>
      <c r="I21" s="5">
        <f t="shared" si="1"/>
        <v>0</v>
      </c>
      <c r="J21" s="350">
        <f t="shared" si="2"/>
        <v>0</v>
      </c>
      <c r="K21" s="5">
        <f>'Swimming Pool quality check '!H21</f>
        <v>5921</v>
      </c>
      <c r="L21" s="84">
        <f t="shared" si="32"/>
        <v>0</v>
      </c>
      <c r="M21" s="432">
        <f t="shared" si="15"/>
        <v>457.44</v>
      </c>
      <c r="N21" s="550">
        <f t="shared" si="43"/>
        <v>0</v>
      </c>
      <c r="O21" s="432">
        <f t="shared" si="16"/>
        <v>529.52</v>
      </c>
      <c r="P21" s="550">
        <f t="shared" si="44"/>
        <v>0</v>
      </c>
      <c r="Q21" s="550">
        <f t="shared" si="45"/>
        <v>0</v>
      </c>
      <c r="R21" s="550"/>
      <c r="S21" s="550"/>
      <c r="T21" s="5">
        <f t="shared" si="35"/>
        <v>4679</v>
      </c>
      <c r="U21" s="5">
        <f t="shared" si="5"/>
        <v>0</v>
      </c>
      <c r="V21" s="5">
        <f t="shared" si="36"/>
        <v>394</v>
      </c>
      <c r="W21" s="340">
        <f t="shared" si="17"/>
        <v>0</v>
      </c>
      <c r="X21" s="5">
        <f t="shared" si="37"/>
        <v>141616</v>
      </c>
      <c r="Y21" s="340">
        <f>SUM(X21-X20)</f>
        <v>0</v>
      </c>
      <c r="Z21" s="5">
        <f t="shared" si="38"/>
        <v>93176</v>
      </c>
      <c r="AA21" s="84">
        <f t="shared" si="19"/>
        <v>0</v>
      </c>
      <c r="AB21" s="5">
        <v>262</v>
      </c>
      <c r="AC21" s="5">
        <f t="shared" si="20"/>
        <v>671</v>
      </c>
      <c r="AD21" s="84">
        <f t="shared" si="31"/>
        <v>0</v>
      </c>
      <c r="AE21" s="5">
        <f t="shared" si="39"/>
        <v>131.84</v>
      </c>
      <c r="AF21" s="84">
        <f t="shared" si="21"/>
        <v>0</v>
      </c>
      <c r="AG21" s="5">
        <f t="shared" si="40"/>
        <v>1445.01</v>
      </c>
      <c r="AH21" s="84">
        <f t="shared" si="22"/>
        <v>0</v>
      </c>
      <c r="AI21" s="84">
        <f t="shared" si="23"/>
        <v>0</v>
      </c>
      <c r="AJ21" s="342">
        <f t="shared" si="24"/>
        <v>0</v>
      </c>
      <c r="AK21" s="343">
        <f t="shared" si="6"/>
        <v>0</v>
      </c>
      <c r="AL21" s="343">
        <f t="shared" si="25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0"/>
        <v>43906</v>
      </c>
      <c r="AS21" s="446">
        <f t="shared" si="7"/>
        <v>0.9</v>
      </c>
      <c r="AT21" s="205">
        <f t="shared" si="7"/>
        <v>80</v>
      </c>
      <c r="AU21" s="447">
        <f t="shared" si="33"/>
        <v>1.1000000000000001</v>
      </c>
      <c r="AV21" s="205">
        <f t="shared" si="41"/>
        <v>107</v>
      </c>
      <c r="AW21" s="5">
        <v>2.9</v>
      </c>
      <c r="AX21" s="205">
        <f t="shared" si="42"/>
        <v>108</v>
      </c>
      <c r="AY21" s="450">
        <f t="shared" si="8"/>
        <v>72</v>
      </c>
      <c r="AZ21" s="450">
        <f t="shared" si="26"/>
        <v>117.7</v>
      </c>
      <c r="BA21" s="450">
        <f t="shared" si="27"/>
        <v>313.2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9"/>
        <v>0</v>
      </c>
      <c r="BG21" s="83">
        <f t="shared" si="10"/>
        <v>0</v>
      </c>
    </row>
    <row r="22" spans="1:61" ht="15.75" thickBot="1">
      <c r="A22" s="6">
        <f>ELEC!C19</f>
        <v>43907</v>
      </c>
      <c r="B22" s="5">
        <f t="shared" si="11"/>
        <v>108473</v>
      </c>
      <c r="C22" s="5">
        <f t="shared" si="12"/>
        <v>0</v>
      </c>
      <c r="D22" s="441">
        <f t="shared" si="13"/>
        <v>0</v>
      </c>
      <c r="E22" s="349">
        <f>SUM((C22*$E$4)+(7500/'EDl log'!$A$38))</f>
        <v>241.93548387096774</v>
      </c>
      <c r="F22" s="343"/>
      <c r="G22" s="5">
        <f t="shared" si="34"/>
        <v>593048</v>
      </c>
      <c r="H22" s="5">
        <f t="shared" si="14"/>
        <v>0</v>
      </c>
      <c r="I22" s="5">
        <f t="shared" si="1"/>
        <v>0</v>
      </c>
      <c r="J22" s="350">
        <f t="shared" si="2"/>
        <v>0</v>
      </c>
      <c r="K22" s="5">
        <f>'Swimming Pool quality check '!H22</f>
        <v>5921</v>
      </c>
      <c r="L22" s="84">
        <f t="shared" si="32"/>
        <v>0</v>
      </c>
      <c r="M22" s="432">
        <f t="shared" si="15"/>
        <v>457.44</v>
      </c>
      <c r="N22" s="550">
        <f t="shared" si="43"/>
        <v>0</v>
      </c>
      <c r="O22" s="432">
        <f t="shared" si="16"/>
        <v>529.52</v>
      </c>
      <c r="P22" s="550">
        <f t="shared" si="44"/>
        <v>0</v>
      </c>
      <c r="Q22" s="550">
        <f t="shared" si="45"/>
        <v>0</v>
      </c>
      <c r="R22" s="550"/>
      <c r="S22" s="550"/>
      <c r="T22" s="5">
        <f t="shared" si="35"/>
        <v>4679</v>
      </c>
      <c r="U22" s="5">
        <f t="shared" si="5"/>
        <v>0</v>
      </c>
      <c r="V22" s="5">
        <f t="shared" si="36"/>
        <v>394</v>
      </c>
      <c r="W22" s="340">
        <f t="shared" si="17"/>
        <v>0</v>
      </c>
      <c r="X22" s="5">
        <f t="shared" si="37"/>
        <v>141616</v>
      </c>
      <c r="Y22" s="340">
        <f t="shared" si="18"/>
        <v>0</v>
      </c>
      <c r="Z22" s="5">
        <f t="shared" si="38"/>
        <v>93176</v>
      </c>
      <c r="AA22" s="84">
        <f t="shared" si="19"/>
        <v>0</v>
      </c>
      <c r="AB22" s="5">
        <v>262</v>
      </c>
      <c r="AC22" s="5">
        <f t="shared" si="20"/>
        <v>671</v>
      </c>
      <c r="AD22" s="84">
        <f t="shared" si="31"/>
        <v>0</v>
      </c>
      <c r="AE22" s="5">
        <f t="shared" si="39"/>
        <v>131.84</v>
      </c>
      <c r="AF22" s="84">
        <f t="shared" si="21"/>
        <v>0</v>
      </c>
      <c r="AG22" s="5">
        <f t="shared" si="40"/>
        <v>1445.01</v>
      </c>
      <c r="AH22" s="84">
        <f t="shared" si="22"/>
        <v>0</v>
      </c>
      <c r="AI22" s="84">
        <f t="shared" si="23"/>
        <v>0</v>
      </c>
      <c r="AJ22" s="342">
        <f t="shared" si="24"/>
        <v>0</v>
      </c>
      <c r="AK22" s="343">
        <f t="shared" si="6"/>
        <v>0</v>
      </c>
      <c r="AL22" s="343">
        <f t="shared" si="25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0"/>
        <v>43907</v>
      </c>
      <c r="AS22" s="446">
        <f t="shared" ref="AS22:AT37" si="46">AS21</f>
        <v>0.9</v>
      </c>
      <c r="AT22" s="205">
        <f t="shared" si="46"/>
        <v>80</v>
      </c>
      <c r="AU22" s="447">
        <f t="shared" si="33"/>
        <v>1.1000000000000001</v>
      </c>
      <c r="AV22" s="205">
        <f t="shared" si="41"/>
        <v>107</v>
      </c>
      <c r="AW22" s="5">
        <v>2.9</v>
      </c>
      <c r="AX22" s="205">
        <f t="shared" si="42"/>
        <v>108</v>
      </c>
      <c r="AY22" s="450">
        <f t="shared" si="8"/>
        <v>72</v>
      </c>
      <c r="AZ22" s="450">
        <f t="shared" si="26"/>
        <v>117.7</v>
      </c>
      <c r="BA22" s="450">
        <f t="shared" si="27"/>
        <v>313.2</v>
      </c>
      <c r="BB22" s="21">
        <f t="shared" si="28"/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9"/>
        <v>0</v>
      </c>
      <c r="BG22" s="83">
        <f t="shared" si="10"/>
        <v>0</v>
      </c>
    </row>
    <row r="23" spans="1:61" ht="15.75" thickBot="1">
      <c r="A23" s="6">
        <f>ELEC!C20</f>
        <v>43908</v>
      </c>
      <c r="B23" s="5">
        <f t="shared" si="11"/>
        <v>108473</v>
      </c>
      <c r="C23" s="5">
        <f t="shared" si="12"/>
        <v>0</v>
      </c>
      <c r="D23" s="441">
        <f t="shared" si="13"/>
        <v>0</v>
      </c>
      <c r="E23" s="349">
        <f>SUM((C23*$E$4)+(7500/'EDl log'!$A$38))</f>
        <v>241.93548387096774</v>
      </c>
      <c r="F23" s="343"/>
      <c r="G23" s="5">
        <f t="shared" si="34"/>
        <v>593048</v>
      </c>
      <c r="H23" s="5">
        <f t="shared" si="14"/>
        <v>0</v>
      </c>
      <c r="I23" s="5">
        <f t="shared" si="1"/>
        <v>0</v>
      </c>
      <c r="J23" s="350">
        <f t="shared" si="2"/>
        <v>0</v>
      </c>
      <c r="K23" s="5">
        <f>'Swimming Pool quality check '!H23</f>
        <v>5921</v>
      </c>
      <c r="L23" s="282">
        <f t="shared" si="32"/>
        <v>0</v>
      </c>
      <c r="M23" s="432">
        <f t="shared" si="15"/>
        <v>457.44</v>
      </c>
      <c r="N23" s="550">
        <f t="shared" si="43"/>
        <v>0</v>
      </c>
      <c r="O23" s="432">
        <f t="shared" si="16"/>
        <v>529.52</v>
      </c>
      <c r="P23" s="550">
        <f t="shared" si="44"/>
        <v>0</v>
      </c>
      <c r="Q23" s="550">
        <f t="shared" si="45"/>
        <v>0</v>
      </c>
      <c r="R23" s="552"/>
      <c r="S23" s="552"/>
      <c r="T23" s="5">
        <f t="shared" si="35"/>
        <v>4679</v>
      </c>
      <c r="U23" s="5">
        <f t="shared" si="5"/>
        <v>0</v>
      </c>
      <c r="V23" s="5">
        <f t="shared" si="36"/>
        <v>394</v>
      </c>
      <c r="W23" s="340">
        <f t="shared" si="17"/>
        <v>0</v>
      </c>
      <c r="X23" s="5">
        <f t="shared" si="37"/>
        <v>141616</v>
      </c>
      <c r="Y23" s="340">
        <f t="shared" si="18"/>
        <v>0</v>
      </c>
      <c r="Z23" s="5">
        <f t="shared" si="38"/>
        <v>93176</v>
      </c>
      <c r="AA23" s="84">
        <f t="shared" si="19"/>
        <v>0</v>
      </c>
      <c r="AB23" s="5">
        <v>262</v>
      </c>
      <c r="AC23" s="5">
        <v>671</v>
      </c>
      <c r="AD23" s="84">
        <f t="shared" si="31"/>
        <v>0</v>
      </c>
      <c r="AE23" s="5">
        <f t="shared" si="39"/>
        <v>131.84</v>
      </c>
      <c r="AF23" s="84">
        <f t="shared" si="21"/>
        <v>0</v>
      </c>
      <c r="AG23" s="5">
        <f t="shared" si="40"/>
        <v>1445.01</v>
      </c>
      <c r="AH23" s="84">
        <f t="shared" si="22"/>
        <v>0</v>
      </c>
      <c r="AI23" s="84">
        <f t="shared" si="23"/>
        <v>0</v>
      </c>
      <c r="AJ23" s="342">
        <f t="shared" si="24"/>
        <v>0</v>
      </c>
      <c r="AK23" s="343">
        <f t="shared" si="6"/>
        <v>0</v>
      </c>
      <c r="AL23" s="343">
        <f t="shared" si="25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0"/>
        <v>43908</v>
      </c>
      <c r="AS23" s="446">
        <f t="shared" si="46"/>
        <v>0.9</v>
      </c>
      <c r="AT23" s="205">
        <f t="shared" si="46"/>
        <v>80</v>
      </c>
      <c r="AU23" s="447">
        <f t="shared" si="33"/>
        <v>1.1000000000000001</v>
      </c>
      <c r="AV23" s="205">
        <f t="shared" si="41"/>
        <v>107</v>
      </c>
      <c r="AW23" s="5">
        <v>2.9</v>
      </c>
      <c r="AX23" s="205">
        <f t="shared" si="42"/>
        <v>108</v>
      </c>
      <c r="AY23" s="450">
        <f t="shared" si="8"/>
        <v>72</v>
      </c>
      <c r="AZ23" s="450">
        <f t="shared" si="26"/>
        <v>117.7</v>
      </c>
      <c r="BA23" s="450">
        <f t="shared" si="27"/>
        <v>313.2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9"/>
        <v>0</v>
      </c>
      <c r="BG23" s="83">
        <f t="shared" si="10"/>
        <v>0</v>
      </c>
    </row>
    <row r="24" spans="1:61" ht="15.75" thickBot="1">
      <c r="A24" s="6">
        <f>ELEC!C21</f>
        <v>43909</v>
      </c>
      <c r="B24" s="5">
        <f t="shared" si="11"/>
        <v>108473</v>
      </c>
      <c r="C24" s="5">
        <f t="shared" si="12"/>
        <v>0</v>
      </c>
      <c r="D24" s="441">
        <f t="shared" si="13"/>
        <v>0</v>
      </c>
      <c r="E24" s="349">
        <f>SUM((C24*$E$4)+(7500/'EDl log'!$A$38))</f>
        <v>241.93548387096774</v>
      </c>
      <c r="F24" s="343"/>
      <c r="G24" s="5">
        <f t="shared" si="34"/>
        <v>593048</v>
      </c>
      <c r="H24" s="5">
        <f t="shared" si="14"/>
        <v>0</v>
      </c>
      <c r="I24" s="5">
        <f t="shared" si="1"/>
        <v>0</v>
      </c>
      <c r="J24" s="350">
        <f t="shared" si="2"/>
        <v>0</v>
      </c>
      <c r="K24" s="5">
        <f>'Swimming Pool quality check '!H24</f>
        <v>5921</v>
      </c>
      <c r="L24" s="282">
        <f t="shared" si="32"/>
        <v>0</v>
      </c>
      <c r="M24" s="432">
        <f t="shared" si="15"/>
        <v>457.44</v>
      </c>
      <c r="N24" s="550">
        <f t="shared" si="43"/>
        <v>0</v>
      </c>
      <c r="O24" s="432">
        <f t="shared" si="16"/>
        <v>529.52</v>
      </c>
      <c r="P24" s="550">
        <f t="shared" si="44"/>
        <v>0</v>
      </c>
      <c r="Q24" s="550">
        <f t="shared" si="45"/>
        <v>0</v>
      </c>
      <c r="R24" s="552"/>
      <c r="S24" s="552"/>
      <c r="T24" s="5">
        <f t="shared" si="35"/>
        <v>4679</v>
      </c>
      <c r="U24" s="5">
        <f t="shared" si="5"/>
        <v>0</v>
      </c>
      <c r="V24" s="5">
        <f t="shared" si="36"/>
        <v>394</v>
      </c>
      <c r="W24" s="340">
        <f t="shared" si="17"/>
        <v>0</v>
      </c>
      <c r="X24" s="5">
        <f t="shared" si="37"/>
        <v>141616</v>
      </c>
      <c r="Y24" s="340">
        <f t="shared" si="18"/>
        <v>0</v>
      </c>
      <c r="Z24" s="5">
        <f t="shared" si="38"/>
        <v>93176</v>
      </c>
      <c r="AA24" s="84">
        <f t="shared" si="19"/>
        <v>0</v>
      </c>
      <c r="AB24" s="5">
        <f t="shared" si="20"/>
        <v>262</v>
      </c>
      <c r="AC24" s="5">
        <f t="shared" si="20"/>
        <v>671</v>
      </c>
      <c r="AD24" s="84">
        <f t="shared" si="31"/>
        <v>0</v>
      </c>
      <c r="AE24" s="5">
        <f t="shared" si="39"/>
        <v>131.84</v>
      </c>
      <c r="AF24" s="84">
        <f t="shared" si="21"/>
        <v>0</v>
      </c>
      <c r="AG24" s="5">
        <f t="shared" si="40"/>
        <v>1445.01</v>
      </c>
      <c r="AH24" s="84">
        <f t="shared" si="22"/>
        <v>0</v>
      </c>
      <c r="AI24" s="84">
        <f t="shared" si="23"/>
        <v>0</v>
      </c>
      <c r="AJ24" s="342">
        <f t="shared" si="24"/>
        <v>0</v>
      </c>
      <c r="AK24" s="343">
        <f t="shared" si="6"/>
        <v>0</v>
      </c>
      <c r="AL24" s="343">
        <f t="shared" si="25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0"/>
        <v>43909</v>
      </c>
      <c r="AS24" s="446">
        <f t="shared" si="46"/>
        <v>0.9</v>
      </c>
      <c r="AT24" s="205">
        <f t="shared" si="46"/>
        <v>80</v>
      </c>
      <c r="AU24" s="447">
        <f t="shared" si="33"/>
        <v>1.1000000000000001</v>
      </c>
      <c r="AV24" s="205">
        <f t="shared" si="41"/>
        <v>107</v>
      </c>
      <c r="AW24" s="5">
        <v>2.9</v>
      </c>
      <c r="AX24" s="205">
        <f t="shared" si="42"/>
        <v>108</v>
      </c>
      <c r="AY24" s="450">
        <f t="shared" si="8"/>
        <v>72</v>
      </c>
      <c r="AZ24" s="450">
        <f t="shared" si="26"/>
        <v>117.7</v>
      </c>
      <c r="BA24" s="450">
        <f t="shared" si="27"/>
        <v>313.2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9"/>
        <v>0</v>
      </c>
      <c r="BG24" s="83">
        <f t="shared" si="10"/>
        <v>0</v>
      </c>
      <c r="BI24" s="83"/>
    </row>
    <row r="25" spans="1:61" ht="15.75" thickBot="1">
      <c r="A25" s="6">
        <f>ELEC!C22</f>
        <v>43910</v>
      </c>
      <c r="B25" s="5">
        <f t="shared" si="11"/>
        <v>108473</v>
      </c>
      <c r="C25" s="5">
        <f t="shared" si="12"/>
        <v>0</v>
      </c>
      <c r="D25" s="441">
        <f t="shared" si="13"/>
        <v>0</v>
      </c>
      <c r="E25" s="349">
        <f>SUM((C25*$E$4)+(7500/'EDl log'!$A$38))</f>
        <v>241.93548387096774</v>
      </c>
      <c r="F25" s="343"/>
      <c r="G25" s="5">
        <f t="shared" si="34"/>
        <v>593048</v>
      </c>
      <c r="H25" s="5">
        <f t="shared" si="14"/>
        <v>0</v>
      </c>
      <c r="I25" s="5">
        <f t="shared" si="1"/>
        <v>0</v>
      </c>
      <c r="J25" s="350">
        <f t="shared" si="2"/>
        <v>0</v>
      </c>
      <c r="K25" s="5">
        <f>'Swimming Pool quality check '!H25</f>
        <v>5921</v>
      </c>
      <c r="L25" s="282">
        <f t="shared" si="32"/>
        <v>0</v>
      </c>
      <c r="M25" s="432">
        <f t="shared" si="15"/>
        <v>457.44</v>
      </c>
      <c r="N25" s="550">
        <f t="shared" si="43"/>
        <v>0</v>
      </c>
      <c r="O25" s="432">
        <f t="shared" si="16"/>
        <v>529.52</v>
      </c>
      <c r="P25" s="550">
        <f t="shared" si="44"/>
        <v>0</v>
      </c>
      <c r="Q25" s="550">
        <f t="shared" si="45"/>
        <v>0</v>
      </c>
      <c r="R25" s="552"/>
      <c r="S25" s="552"/>
      <c r="T25" s="5">
        <f t="shared" si="35"/>
        <v>4679</v>
      </c>
      <c r="U25" s="5">
        <f t="shared" si="5"/>
        <v>0</v>
      </c>
      <c r="V25" s="5">
        <f t="shared" si="36"/>
        <v>394</v>
      </c>
      <c r="W25" s="340">
        <f t="shared" si="17"/>
        <v>0</v>
      </c>
      <c r="X25" s="5">
        <f t="shared" si="37"/>
        <v>141616</v>
      </c>
      <c r="Y25" s="340">
        <f t="shared" si="18"/>
        <v>0</v>
      </c>
      <c r="Z25" s="5">
        <f t="shared" si="38"/>
        <v>93176</v>
      </c>
      <c r="AA25" s="84">
        <f t="shared" si="19"/>
        <v>0</v>
      </c>
      <c r="AB25" s="5">
        <f t="shared" si="20"/>
        <v>262</v>
      </c>
      <c r="AC25" s="5">
        <f t="shared" si="20"/>
        <v>671</v>
      </c>
      <c r="AD25" s="84">
        <f t="shared" si="31"/>
        <v>0</v>
      </c>
      <c r="AE25" s="5">
        <f t="shared" si="39"/>
        <v>131.84</v>
      </c>
      <c r="AF25" s="84">
        <f t="shared" si="21"/>
        <v>0</v>
      </c>
      <c r="AG25" s="5">
        <f t="shared" si="40"/>
        <v>1445.01</v>
      </c>
      <c r="AH25" s="84">
        <f t="shared" si="22"/>
        <v>0</v>
      </c>
      <c r="AI25" s="84">
        <f t="shared" si="23"/>
        <v>0</v>
      </c>
      <c r="AJ25" s="342">
        <f t="shared" si="24"/>
        <v>0</v>
      </c>
      <c r="AK25" s="343">
        <f t="shared" si="6"/>
        <v>0</v>
      </c>
      <c r="AL25" s="343">
        <f t="shared" si="25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0"/>
        <v>43910</v>
      </c>
      <c r="AS25" s="446">
        <f t="shared" si="46"/>
        <v>0.9</v>
      </c>
      <c r="AT25" s="205">
        <f t="shared" si="46"/>
        <v>80</v>
      </c>
      <c r="AU25" s="447">
        <f t="shared" si="33"/>
        <v>1.1000000000000001</v>
      </c>
      <c r="AV25" s="205">
        <f t="shared" si="41"/>
        <v>107</v>
      </c>
      <c r="AW25" s="5">
        <v>2.9</v>
      </c>
      <c r="AX25" s="205">
        <f t="shared" si="42"/>
        <v>108</v>
      </c>
      <c r="AY25" s="450">
        <f t="shared" si="8"/>
        <v>72</v>
      </c>
      <c r="AZ25" s="450">
        <f t="shared" si="26"/>
        <v>117.7</v>
      </c>
      <c r="BA25" s="450">
        <f t="shared" si="27"/>
        <v>313.2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9"/>
        <v>0</v>
      </c>
      <c r="BG25" s="83">
        <f t="shared" si="10"/>
        <v>0</v>
      </c>
    </row>
    <row r="26" spans="1:61" ht="15.75" thickBot="1">
      <c r="A26" s="6">
        <f>ELEC!C23</f>
        <v>43911</v>
      </c>
      <c r="B26" s="5">
        <f t="shared" si="11"/>
        <v>108473</v>
      </c>
      <c r="C26" s="5">
        <f t="shared" si="12"/>
        <v>0</v>
      </c>
      <c r="D26" s="441">
        <f t="shared" si="13"/>
        <v>0</v>
      </c>
      <c r="E26" s="349">
        <f>SUM((C26*$E$4)+(7500/'EDl log'!$A$38))</f>
        <v>241.93548387096774</v>
      </c>
      <c r="F26" s="343"/>
      <c r="G26" s="5">
        <f t="shared" si="34"/>
        <v>593048</v>
      </c>
      <c r="H26" s="5">
        <f>G26-G25</f>
        <v>0</v>
      </c>
      <c r="I26" s="5">
        <f t="shared" si="1"/>
        <v>0</v>
      </c>
      <c r="J26" s="350">
        <f t="shared" si="2"/>
        <v>0</v>
      </c>
      <c r="K26" s="5">
        <f>'Swimming Pool quality check '!H26</f>
        <v>5921</v>
      </c>
      <c r="L26" s="282">
        <f t="shared" si="32"/>
        <v>0</v>
      </c>
      <c r="M26" s="432">
        <f t="shared" si="15"/>
        <v>457.44</v>
      </c>
      <c r="N26" s="550">
        <f t="shared" si="43"/>
        <v>0</v>
      </c>
      <c r="O26" s="432">
        <f t="shared" si="16"/>
        <v>529.52</v>
      </c>
      <c r="P26" s="550">
        <f t="shared" si="44"/>
        <v>0</v>
      </c>
      <c r="Q26" s="550">
        <f t="shared" si="45"/>
        <v>0</v>
      </c>
      <c r="R26" s="552"/>
      <c r="S26" s="552"/>
      <c r="T26" s="5">
        <f t="shared" si="35"/>
        <v>4679</v>
      </c>
      <c r="U26" s="5">
        <f t="shared" si="5"/>
        <v>0</v>
      </c>
      <c r="V26" s="5">
        <f t="shared" si="36"/>
        <v>394</v>
      </c>
      <c r="W26" s="340">
        <f t="shared" si="17"/>
        <v>0</v>
      </c>
      <c r="X26" s="5">
        <f t="shared" si="37"/>
        <v>141616</v>
      </c>
      <c r="Y26" s="340">
        <f t="shared" si="18"/>
        <v>0</v>
      </c>
      <c r="Z26" s="5">
        <f t="shared" si="38"/>
        <v>93176</v>
      </c>
      <c r="AA26" s="84">
        <f t="shared" si="19"/>
        <v>0</v>
      </c>
      <c r="AB26" s="5">
        <f t="shared" si="20"/>
        <v>262</v>
      </c>
      <c r="AC26" s="5">
        <f t="shared" si="20"/>
        <v>671</v>
      </c>
      <c r="AD26" s="84">
        <f t="shared" si="31"/>
        <v>0</v>
      </c>
      <c r="AE26" s="5">
        <f t="shared" si="39"/>
        <v>131.84</v>
      </c>
      <c r="AF26" s="84">
        <f t="shared" si="21"/>
        <v>0</v>
      </c>
      <c r="AG26" s="5">
        <f t="shared" si="40"/>
        <v>1445.01</v>
      </c>
      <c r="AH26" s="84">
        <f t="shared" si="22"/>
        <v>0</v>
      </c>
      <c r="AI26" s="84">
        <f t="shared" si="23"/>
        <v>0</v>
      </c>
      <c r="AJ26" s="342">
        <f t="shared" si="24"/>
        <v>0</v>
      </c>
      <c r="AK26" s="343">
        <f t="shared" si="6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0"/>
        <v>43911</v>
      </c>
      <c r="AS26" s="446">
        <f t="shared" si="46"/>
        <v>0.9</v>
      </c>
      <c r="AT26" s="205">
        <f t="shared" si="46"/>
        <v>80</v>
      </c>
      <c r="AU26" s="447">
        <f t="shared" si="33"/>
        <v>1.1000000000000001</v>
      </c>
      <c r="AV26" s="205">
        <f t="shared" si="41"/>
        <v>107</v>
      </c>
      <c r="AW26" s="5">
        <v>2.9</v>
      </c>
      <c r="AX26" s="205">
        <f t="shared" si="42"/>
        <v>108</v>
      </c>
      <c r="AY26" s="450">
        <f t="shared" si="8"/>
        <v>72</v>
      </c>
      <c r="AZ26" s="450">
        <f t="shared" si="26"/>
        <v>117.7</v>
      </c>
      <c r="BA26" s="450">
        <f t="shared" si="27"/>
        <v>313.2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9"/>
        <v>0</v>
      </c>
      <c r="BG26" s="83">
        <f t="shared" si="10"/>
        <v>0</v>
      </c>
    </row>
    <row r="27" spans="1:61" ht="15.75" thickBot="1">
      <c r="A27" s="6">
        <f>ELEC!C24</f>
        <v>43912</v>
      </c>
      <c r="B27" s="5">
        <f t="shared" si="11"/>
        <v>108473</v>
      </c>
      <c r="C27" s="5">
        <f t="shared" si="12"/>
        <v>0</v>
      </c>
      <c r="D27" s="441">
        <f t="shared" si="13"/>
        <v>0</v>
      </c>
      <c r="E27" s="349">
        <f>SUM((C27*$E$4)+(7500/'EDl log'!$A$38))</f>
        <v>241.93548387096774</v>
      </c>
      <c r="F27" s="343"/>
      <c r="G27" s="5">
        <f t="shared" si="34"/>
        <v>593048</v>
      </c>
      <c r="H27" s="5">
        <f t="shared" si="14"/>
        <v>0</v>
      </c>
      <c r="I27" s="5">
        <f t="shared" si="1"/>
        <v>0</v>
      </c>
      <c r="J27" s="350">
        <f t="shared" si="2"/>
        <v>0</v>
      </c>
      <c r="K27" s="5">
        <f>'Swimming Pool quality check '!H27</f>
        <v>5921</v>
      </c>
      <c r="L27" s="282">
        <f t="shared" si="32"/>
        <v>0</v>
      </c>
      <c r="M27" s="432">
        <f t="shared" si="15"/>
        <v>457.44</v>
      </c>
      <c r="N27" s="550">
        <f t="shared" si="43"/>
        <v>0</v>
      </c>
      <c r="O27" s="432">
        <f t="shared" si="16"/>
        <v>529.52</v>
      </c>
      <c r="P27" s="550">
        <f t="shared" si="44"/>
        <v>0</v>
      </c>
      <c r="Q27" s="550">
        <f t="shared" si="45"/>
        <v>0</v>
      </c>
      <c r="R27" s="552"/>
      <c r="S27" s="552"/>
      <c r="T27" s="5">
        <f t="shared" si="35"/>
        <v>4679</v>
      </c>
      <c r="U27" s="5">
        <f t="shared" si="5"/>
        <v>0</v>
      </c>
      <c r="V27" s="5">
        <f t="shared" si="36"/>
        <v>394</v>
      </c>
      <c r="W27" s="340">
        <f t="shared" si="17"/>
        <v>0</v>
      </c>
      <c r="X27" s="5">
        <f t="shared" si="37"/>
        <v>141616</v>
      </c>
      <c r="Y27" s="340">
        <f>SUM(X27-X26)</f>
        <v>0</v>
      </c>
      <c r="Z27" s="5">
        <f t="shared" si="38"/>
        <v>93176</v>
      </c>
      <c r="AA27" s="84">
        <f t="shared" si="19"/>
        <v>0</v>
      </c>
      <c r="AB27" s="5">
        <f t="shared" si="20"/>
        <v>262</v>
      </c>
      <c r="AC27" s="5">
        <f t="shared" si="20"/>
        <v>671</v>
      </c>
      <c r="AD27" s="84">
        <f t="shared" si="31"/>
        <v>0</v>
      </c>
      <c r="AE27" s="5">
        <f t="shared" si="39"/>
        <v>131.84</v>
      </c>
      <c r="AF27" s="84">
        <f t="shared" si="21"/>
        <v>0</v>
      </c>
      <c r="AG27" s="5">
        <f t="shared" si="40"/>
        <v>1445.01</v>
      </c>
      <c r="AH27" s="84">
        <f t="shared" si="22"/>
        <v>0</v>
      </c>
      <c r="AI27" s="84">
        <f t="shared" si="23"/>
        <v>0</v>
      </c>
      <c r="AJ27" s="342">
        <f t="shared" si="24"/>
        <v>0</v>
      </c>
      <c r="AK27" s="343">
        <f t="shared" si="6"/>
        <v>0</v>
      </c>
      <c r="AL27" s="343">
        <f t="shared" si="25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0"/>
        <v>43912</v>
      </c>
      <c r="AS27" s="446">
        <f t="shared" si="46"/>
        <v>0.9</v>
      </c>
      <c r="AT27" s="205">
        <f t="shared" si="46"/>
        <v>80</v>
      </c>
      <c r="AU27" s="447">
        <f t="shared" si="33"/>
        <v>1.1000000000000001</v>
      </c>
      <c r="AV27" s="205">
        <f t="shared" si="41"/>
        <v>107</v>
      </c>
      <c r="AW27" s="5">
        <v>2.9</v>
      </c>
      <c r="AX27" s="205">
        <f t="shared" si="42"/>
        <v>108</v>
      </c>
      <c r="AY27" s="450">
        <f t="shared" si="8"/>
        <v>72</v>
      </c>
      <c r="AZ27" s="450">
        <f t="shared" si="26"/>
        <v>117.7</v>
      </c>
      <c r="BA27" s="450">
        <f t="shared" si="27"/>
        <v>313.2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9"/>
        <v>0</v>
      </c>
      <c r="BG27" s="83">
        <f t="shared" si="10"/>
        <v>0</v>
      </c>
    </row>
    <row r="28" spans="1:61" ht="15.75" thickBot="1">
      <c r="A28" s="6">
        <f>ELEC!C25</f>
        <v>43913</v>
      </c>
      <c r="B28" s="5">
        <f t="shared" si="11"/>
        <v>108473</v>
      </c>
      <c r="C28" s="5">
        <f t="shared" si="12"/>
        <v>0</v>
      </c>
      <c r="D28" s="441">
        <f t="shared" si="13"/>
        <v>0</v>
      </c>
      <c r="E28" s="349">
        <f>SUM((C28*$E$4)+(7500/'EDl log'!$A$38))</f>
        <v>241.93548387096774</v>
      </c>
      <c r="F28" s="343"/>
      <c r="G28" s="5">
        <f t="shared" si="34"/>
        <v>593048</v>
      </c>
      <c r="H28" s="5">
        <f t="shared" si="14"/>
        <v>0</v>
      </c>
      <c r="I28" s="5">
        <f t="shared" si="1"/>
        <v>0</v>
      </c>
      <c r="J28" s="350">
        <f t="shared" si="2"/>
        <v>0</v>
      </c>
      <c r="K28" s="5">
        <f>'Swimming Pool quality check '!H28</f>
        <v>5921</v>
      </c>
      <c r="L28" s="282">
        <f t="shared" si="32"/>
        <v>0</v>
      </c>
      <c r="M28" s="432">
        <f t="shared" si="15"/>
        <v>457.44</v>
      </c>
      <c r="N28" s="550">
        <f t="shared" si="43"/>
        <v>0</v>
      </c>
      <c r="O28" s="432">
        <f t="shared" si="16"/>
        <v>529.52</v>
      </c>
      <c r="P28" s="550">
        <f t="shared" si="44"/>
        <v>0</v>
      </c>
      <c r="Q28" s="550">
        <f t="shared" si="45"/>
        <v>0</v>
      </c>
      <c r="R28" s="552"/>
      <c r="S28" s="552"/>
      <c r="T28" s="5">
        <f t="shared" si="35"/>
        <v>4679</v>
      </c>
      <c r="U28" s="5">
        <f t="shared" si="5"/>
        <v>0</v>
      </c>
      <c r="V28" s="5">
        <f t="shared" si="36"/>
        <v>394</v>
      </c>
      <c r="W28" s="340">
        <f t="shared" si="17"/>
        <v>0</v>
      </c>
      <c r="X28" s="5">
        <f t="shared" si="37"/>
        <v>141616</v>
      </c>
      <c r="Y28" s="340">
        <f t="shared" si="18"/>
        <v>0</v>
      </c>
      <c r="Z28" s="5">
        <f t="shared" si="38"/>
        <v>93176</v>
      </c>
      <c r="AA28" s="84">
        <f t="shared" si="19"/>
        <v>0</v>
      </c>
      <c r="AB28" s="5">
        <f t="shared" si="20"/>
        <v>262</v>
      </c>
      <c r="AC28" s="5">
        <f t="shared" si="20"/>
        <v>671</v>
      </c>
      <c r="AD28" s="84">
        <f t="shared" si="31"/>
        <v>0</v>
      </c>
      <c r="AE28" s="5">
        <f t="shared" si="39"/>
        <v>131.84</v>
      </c>
      <c r="AF28" s="84">
        <f t="shared" si="21"/>
        <v>0</v>
      </c>
      <c r="AG28" s="5">
        <f t="shared" si="40"/>
        <v>1445.01</v>
      </c>
      <c r="AH28" s="84">
        <f t="shared" si="22"/>
        <v>0</v>
      </c>
      <c r="AI28" s="84">
        <f t="shared" si="23"/>
        <v>0</v>
      </c>
      <c r="AJ28" s="342">
        <f t="shared" si="24"/>
        <v>0</v>
      </c>
      <c r="AK28" s="343">
        <f t="shared" si="6"/>
        <v>0</v>
      </c>
      <c r="AL28" s="343">
        <f t="shared" si="25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0"/>
        <v>43913</v>
      </c>
      <c r="AS28" s="446">
        <f t="shared" si="46"/>
        <v>0.9</v>
      </c>
      <c r="AT28" s="205">
        <f t="shared" si="46"/>
        <v>80</v>
      </c>
      <c r="AU28" s="447">
        <f t="shared" si="33"/>
        <v>1.1000000000000001</v>
      </c>
      <c r="AV28" s="205">
        <f t="shared" si="41"/>
        <v>107</v>
      </c>
      <c r="AW28" s="5">
        <v>2.9</v>
      </c>
      <c r="AX28" s="205">
        <f t="shared" si="42"/>
        <v>108</v>
      </c>
      <c r="AY28" s="450">
        <f t="shared" si="8"/>
        <v>72</v>
      </c>
      <c r="AZ28" s="450">
        <f t="shared" si="26"/>
        <v>117.7</v>
      </c>
      <c r="BA28" s="450">
        <f t="shared" si="27"/>
        <v>313.2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9"/>
        <v>0</v>
      </c>
      <c r="BG28" s="83">
        <f t="shared" si="10"/>
        <v>0</v>
      </c>
    </row>
    <row r="29" spans="1:61" ht="15.75" thickBot="1">
      <c r="A29" s="6">
        <f>ELEC!C26</f>
        <v>43914</v>
      </c>
      <c r="B29" s="5">
        <f t="shared" si="11"/>
        <v>108473</v>
      </c>
      <c r="C29" s="5">
        <f t="shared" si="12"/>
        <v>0</v>
      </c>
      <c r="D29" s="441">
        <f t="shared" si="13"/>
        <v>0</v>
      </c>
      <c r="E29" s="349">
        <f>SUM((C29*$E$4)+(7500/'EDl log'!$A$38))</f>
        <v>241.93548387096774</v>
      </c>
      <c r="F29" s="343"/>
      <c r="G29" s="5">
        <f t="shared" si="34"/>
        <v>593048</v>
      </c>
      <c r="H29" s="5">
        <f t="shared" si="14"/>
        <v>0</v>
      </c>
      <c r="I29" s="5">
        <f t="shared" si="1"/>
        <v>0</v>
      </c>
      <c r="J29" s="350">
        <f t="shared" si="2"/>
        <v>0</v>
      </c>
      <c r="K29" s="5">
        <f>'Swimming Pool quality check '!H29</f>
        <v>5921</v>
      </c>
      <c r="L29" s="282">
        <f t="shared" si="32"/>
        <v>0</v>
      </c>
      <c r="M29" s="432">
        <f t="shared" si="15"/>
        <v>457.44</v>
      </c>
      <c r="N29" s="550">
        <f t="shared" si="43"/>
        <v>0</v>
      </c>
      <c r="O29" s="432">
        <f t="shared" si="16"/>
        <v>529.52</v>
      </c>
      <c r="P29" s="550">
        <f t="shared" si="44"/>
        <v>0</v>
      </c>
      <c r="Q29" s="550">
        <f t="shared" si="45"/>
        <v>0</v>
      </c>
      <c r="R29" s="552"/>
      <c r="S29" s="552"/>
      <c r="T29" s="5">
        <f t="shared" si="35"/>
        <v>4679</v>
      </c>
      <c r="U29" s="5">
        <f t="shared" si="5"/>
        <v>0</v>
      </c>
      <c r="V29" s="5">
        <f t="shared" si="36"/>
        <v>394</v>
      </c>
      <c r="W29" s="340">
        <f t="shared" si="17"/>
        <v>0</v>
      </c>
      <c r="X29" s="5">
        <f t="shared" si="37"/>
        <v>141616</v>
      </c>
      <c r="Y29" s="340">
        <f t="shared" si="18"/>
        <v>0</v>
      </c>
      <c r="Z29" s="5">
        <f t="shared" si="38"/>
        <v>93176</v>
      </c>
      <c r="AA29" s="84">
        <f t="shared" si="19"/>
        <v>0</v>
      </c>
      <c r="AB29" s="5">
        <f t="shared" si="20"/>
        <v>262</v>
      </c>
      <c r="AC29" s="5">
        <f t="shared" si="20"/>
        <v>671</v>
      </c>
      <c r="AD29" s="84">
        <f t="shared" si="31"/>
        <v>0</v>
      </c>
      <c r="AE29" s="5">
        <f t="shared" si="39"/>
        <v>131.84</v>
      </c>
      <c r="AF29" s="84">
        <f t="shared" si="21"/>
        <v>0</v>
      </c>
      <c r="AG29" s="5">
        <f t="shared" si="40"/>
        <v>1445.01</v>
      </c>
      <c r="AH29" s="84">
        <f t="shared" si="22"/>
        <v>0</v>
      </c>
      <c r="AI29" s="84">
        <f t="shared" si="23"/>
        <v>0</v>
      </c>
      <c r="AJ29" s="342">
        <f t="shared" si="24"/>
        <v>0</v>
      </c>
      <c r="AK29" s="343">
        <f t="shared" si="6"/>
        <v>0</v>
      </c>
      <c r="AL29" s="343">
        <f t="shared" si="25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0"/>
        <v>43914</v>
      </c>
      <c r="AS29" s="446">
        <f t="shared" si="46"/>
        <v>0.9</v>
      </c>
      <c r="AT29" s="205">
        <f t="shared" si="46"/>
        <v>80</v>
      </c>
      <c r="AU29" s="447">
        <f t="shared" si="33"/>
        <v>1.1000000000000001</v>
      </c>
      <c r="AV29" s="205">
        <f t="shared" si="41"/>
        <v>107</v>
      </c>
      <c r="AW29" s="5">
        <v>2.9</v>
      </c>
      <c r="AX29" s="205">
        <f t="shared" si="42"/>
        <v>108</v>
      </c>
      <c r="AY29" s="450">
        <f t="shared" si="8"/>
        <v>72</v>
      </c>
      <c r="AZ29" s="450">
        <f t="shared" si="26"/>
        <v>117.7</v>
      </c>
      <c r="BA29" s="450">
        <f t="shared" si="27"/>
        <v>313.2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9"/>
        <v>0</v>
      </c>
      <c r="BG29" s="83">
        <f t="shared" si="10"/>
        <v>0</v>
      </c>
    </row>
    <row r="30" spans="1:61" ht="15.75" thickBot="1">
      <c r="A30" s="6">
        <f>ELEC!C27</f>
        <v>43915</v>
      </c>
      <c r="B30" s="5">
        <f t="shared" si="11"/>
        <v>108473</v>
      </c>
      <c r="C30" s="5">
        <f t="shared" si="12"/>
        <v>0</v>
      </c>
      <c r="D30" s="441">
        <f t="shared" si="13"/>
        <v>0</v>
      </c>
      <c r="E30" s="349">
        <f>SUM((C30*$E$4)+(7500/'EDl log'!$A$38))</f>
        <v>241.93548387096774</v>
      </c>
      <c r="F30" s="343"/>
      <c r="G30" s="5">
        <f t="shared" si="34"/>
        <v>593048</v>
      </c>
      <c r="H30" s="5">
        <f t="shared" si="14"/>
        <v>0</v>
      </c>
      <c r="I30" s="5">
        <f t="shared" si="1"/>
        <v>0</v>
      </c>
      <c r="J30" s="350">
        <f t="shared" si="2"/>
        <v>0</v>
      </c>
      <c r="K30" s="5">
        <f>'Swimming Pool quality check '!H30</f>
        <v>5921</v>
      </c>
      <c r="L30" s="282">
        <f t="shared" si="32"/>
        <v>0</v>
      </c>
      <c r="M30" s="432">
        <f t="shared" si="15"/>
        <v>457.44</v>
      </c>
      <c r="N30" s="550">
        <f t="shared" si="43"/>
        <v>0</v>
      </c>
      <c r="O30" s="432">
        <f t="shared" si="16"/>
        <v>529.52</v>
      </c>
      <c r="P30" s="550">
        <f t="shared" si="44"/>
        <v>0</v>
      </c>
      <c r="Q30" s="550">
        <f t="shared" si="45"/>
        <v>0</v>
      </c>
      <c r="R30" s="552"/>
      <c r="S30" s="552"/>
      <c r="T30" s="5">
        <f t="shared" si="35"/>
        <v>4679</v>
      </c>
      <c r="U30" s="5">
        <f t="shared" si="5"/>
        <v>0</v>
      </c>
      <c r="V30" s="5">
        <f t="shared" si="36"/>
        <v>394</v>
      </c>
      <c r="W30" s="340">
        <f t="shared" si="17"/>
        <v>0</v>
      </c>
      <c r="X30" s="5">
        <f t="shared" si="37"/>
        <v>141616</v>
      </c>
      <c r="Y30" s="340">
        <f t="shared" si="18"/>
        <v>0</v>
      </c>
      <c r="Z30" s="5">
        <f t="shared" si="38"/>
        <v>93176</v>
      </c>
      <c r="AA30" s="84">
        <f t="shared" si="19"/>
        <v>0</v>
      </c>
      <c r="AB30" s="5">
        <f t="shared" si="20"/>
        <v>262</v>
      </c>
      <c r="AC30" s="5">
        <f t="shared" si="20"/>
        <v>671</v>
      </c>
      <c r="AD30" s="84">
        <f t="shared" si="31"/>
        <v>0</v>
      </c>
      <c r="AE30" s="5">
        <f t="shared" si="39"/>
        <v>131.84</v>
      </c>
      <c r="AF30" s="84">
        <f t="shared" si="21"/>
        <v>0</v>
      </c>
      <c r="AG30" s="5">
        <f t="shared" si="40"/>
        <v>1445.01</v>
      </c>
      <c r="AH30" s="84">
        <f t="shared" si="22"/>
        <v>0</v>
      </c>
      <c r="AI30" s="84">
        <f t="shared" si="23"/>
        <v>0</v>
      </c>
      <c r="AJ30" s="342">
        <f t="shared" si="24"/>
        <v>0</v>
      </c>
      <c r="AK30" s="343">
        <f t="shared" si="6"/>
        <v>0</v>
      </c>
      <c r="AL30" s="343">
        <f t="shared" si="25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0"/>
        <v>43915</v>
      </c>
      <c r="AS30" s="446">
        <f t="shared" si="46"/>
        <v>0.9</v>
      </c>
      <c r="AT30" s="205">
        <f t="shared" si="46"/>
        <v>80</v>
      </c>
      <c r="AU30" s="447">
        <f t="shared" si="33"/>
        <v>1.1000000000000001</v>
      </c>
      <c r="AV30" s="205">
        <f t="shared" si="41"/>
        <v>107</v>
      </c>
      <c r="AW30" s="5">
        <v>2.9</v>
      </c>
      <c r="AX30" s="205">
        <f t="shared" si="42"/>
        <v>108</v>
      </c>
      <c r="AY30" s="450">
        <f t="shared" si="8"/>
        <v>72</v>
      </c>
      <c r="AZ30" s="450">
        <f t="shared" si="26"/>
        <v>117.7</v>
      </c>
      <c r="BA30" s="450">
        <f t="shared" si="27"/>
        <v>313.2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9"/>
        <v>0</v>
      </c>
      <c r="BG30" s="83">
        <f t="shared" si="10"/>
        <v>0</v>
      </c>
    </row>
    <row r="31" spans="1:61" ht="15.75" thickBot="1">
      <c r="A31" s="6">
        <f>ELEC!C28</f>
        <v>43916</v>
      </c>
      <c r="B31" s="5">
        <f t="shared" si="11"/>
        <v>108473</v>
      </c>
      <c r="C31" s="5">
        <f t="shared" si="12"/>
        <v>0</v>
      </c>
      <c r="D31" s="441">
        <f t="shared" si="13"/>
        <v>0</v>
      </c>
      <c r="E31" s="349">
        <f>SUM((C31*$E$4)+(7500/'EDl log'!$A$38))</f>
        <v>241.93548387096774</v>
      </c>
      <c r="F31" s="343"/>
      <c r="G31" s="5">
        <f t="shared" si="34"/>
        <v>593048</v>
      </c>
      <c r="H31" s="5">
        <f t="shared" si="14"/>
        <v>0</v>
      </c>
      <c r="I31" s="5">
        <f t="shared" si="1"/>
        <v>0</v>
      </c>
      <c r="J31" s="350">
        <f t="shared" si="2"/>
        <v>0</v>
      </c>
      <c r="K31" s="5">
        <f>'Swimming Pool quality check '!H31</f>
        <v>5921</v>
      </c>
      <c r="L31" s="282">
        <f t="shared" si="32"/>
        <v>0</v>
      </c>
      <c r="M31" s="432">
        <f t="shared" si="15"/>
        <v>457.44</v>
      </c>
      <c r="N31" s="550">
        <f t="shared" si="43"/>
        <v>0</v>
      </c>
      <c r="O31" s="432">
        <f t="shared" si="16"/>
        <v>529.52</v>
      </c>
      <c r="P31" s="550">
        <f t="shared" si="44"/>
        <v>0</v>
      </c>
      <c r="Q31" s="550">
        <f t="shared" si="45"/>
        <v>0</v>
      </c>
      <c r="R31" s="552"/>
      <c r="S31" s="552"/>
      <c r="T31" s="5">
        <f t="shared" si="35"/>
        <v>4679</v>
      </c>
      <c r="U31" s="5">
        <f t="shared" si="5"/>
        <v>0</v>
      </c>
      <c r="V31" s="5">
        <f t="shared" si="36"/>
        <v>394</v>
      </c>
      <c r="W31" s="340">
        <f t="shared" si="17"/>
        <v>0</v>
      </c>
      <c r="X31" s="5">
        <f t="shared" si="37"/>
        <v>141616</v>
      </c>
      <c r="Y31" s="340">
        <f t="shared" si="18"/>
        <v>0</v>
      </c>
      <c r="Z31" s="5">
        <f t="shared" si="38"/>
        <v>93176</v>
      </c>
      <c r="AA31" s="84">
        <f t="shared" si="19"/>
        <v>0</v>
      </c>
      <c r="AB31" s="5">
        <f t="shared" si="20"/>
        <v>262</v>
      </c>
      <c r="AC31" s="5">
        <f t="shared" si="20"/>
        <v>671</v>
      </c>
      <c r="AD31" s="84">
        <f t="shared" si="31"/>
        <v>0</v>
      </c>
      <c r="AE31" s="5">
        <f t="shared" si="39"/>
        <v>131.84</v>
      </c>
      <c r="AF31" s="84">
        <f t="shared" si="21"/>
        <v>0</v>
      </c>
      <c r="AG31" s="5">
        <f t="shared" si="40"/>
        <v>1445.01</v>
      </c>
      <c r="AH31" s="84">
        <f t="shared" si="22"/>
        <v>0</v>
      </c>
      <c r="AI31" s="84">
        <f t="shared" si="23"/>
        <v>0</v>
      </c>
      <c r="AJ31" s="342">
        <f t="shared" si="24"/>
        <v>0</v>
      </c>
      <c r="AK31" s="343">
        <f t="shared" si="6"/>
        <v>0</v>
      </c>
      <c r="AL31" s="343">
        <f t="shared" si="25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0"/>
        <v>43916</v>
      </c>
      <c r="AS31" s="446">
        <f t="shared" si="46"/>
        <v>0.9</v>
      </c>
      <c r="AT31" s="205">
        <f t="shared" si="46"/>
        <v>80</v>
      </c>
      <c r="AU31" s="447">
        <f t="shared" si="33"/>
        <v>1.1000000000000001</v>
      </c>
      <c r="AV31" s="205">
        <f t="shared" si="41"/>
        <v>107</v>
      </c>
      <c r="AW31" s="5">
        <v>2.9</v>
      </c>
      <c r="AX31" s="205">
        <f t="shared" si="42"/>
        <v>108</v>
      </c>
      <c r="AY31" s="450">
        <f t="shared" si="8"/>
        <v>72</v>
      </c>
      <c r="AZ31" s="450">
        <f t="shared" si="26"/>
        <v>117.7</v>
      </c>
      <c r="BA31" s="450">
        <f t="shared" si="27"/>
        <v>313.2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9"/>
        <v>0</v>
      </c>
      <c r="BG31" s="83">
        <f t="shared" si="10"/>
        <v>0</v>
      </c>
    </row>
    <row r="32" spans="1:61" ht="15.75" thickBot="1">
      <c r="A32" s="6">
        <f>ELEC!C29</f>
        <v>43917</v>
      </c>
      <c r="B32" s="5">
        <f t="shared" si="11"/>
        <v>108473</v>
      </c>
      <c r="C32" s="5">
        <f t="shared" si="12"/>
        <v>0</v>
      </c>
      <c r="D32" s="441">
        <f t="shared" si="13"/>
        <v>0</v>
      </c>
      <c r="E32" s="349">
        <f>SUM((C32*$E$4)+(7500/'EDl log'!$A$38))</f>
        <v>241.93548387096774</v>
      </c>
      <c r="F32" s="343"/>
      <c r="G32" s="5">
        <f t="shared" si="34"/>
        <v>593048</v>
      </c>
      <c r="H32" s="5">
        <f t="shared" si="14"/>
        <v>0</v>
      </c>
      <c r="I32" s="5">
        <f t="shared" si="1"/>
        <v>0</v>
      </c>
      <c r="J32" s="350">
        <f t="shared" si="2"/>
        <v>0</v>
      </c>
      <c r="K32" s="5">
        <f>'Swimming Pool quality check '!H32</f>
        <v>5921</v>
      </c>
      <c r="L32" s="282">
        <f t="shared" si="32"/>
        <v>0</v>
      </c>
      <c r="M32" s="432">
        <f t="shared" si="15"/>
        <v>457.44</v>
      </c>
      <c r="N32" s="550">
        <f t="shared" si="43"/>
        <v>0</v>
      </c>
      <c r="O32" s="432">
        <f t="shared" si="16"/>
        <v>529.52</v>
      </c>
      <c r="P32" s="550">
        <f t="shared" si="44"/>
        <v>0</v>
      </c>
      <c r="Q32" s="550">
        <f t="shared" si="45"/>
        <v>0</v>
      </c>
      <c r="R32" s="552"/>
      <c r="S32" s="552"/>
      <c r="T32" s="5">
        <f t="shared" si="35"/>
        <v>4679</v>
      </c>
      <c r="U32" s="5">
        <f t="shared" si="5"/>
        <v>0</v>
      </c>
      <c r="V32" s="5">
        <f t="shared" si="36"/>
        <v>394</v>
      </c>
      <c r="W32" s="340">
        <f t="shared" si="17"/>
        <v>0</v>
      </c>
      <c r="X32" s="5">
        <f t="shared" si="37"/>
        <v>141616</v>
      </c>
      <c r="Y32" s="340">
        <f t="shared" si="18"/>
        <v>0</v>
      </c>
      <c r="Z32" s="5">
        <f t="shared" si="38"/>
        <v>93176</v>
      </c>
      <c r="AA32" s="84">
        <f t="shared" si="19"/>
        <v>0</v>
      </c>
      <c r="AB32" s="5">
        <f t="shared" si="20"/>
        <v>262</v>
      </c>
      <c r="AC32" s="5">
        <f t="shared" si="20"/>
        <v>671</v>
      </c>
      <c r="AD32" s="84">
        <f t="shared" si="31"/>
        <v>0</v>
      </c>
      <c r="AE32" s="5">
        <f t="shared" si="39"/>
        <v>131.84</v>
      </c>
      <c r="AF32" s="84">
        <f t="shared" si="21"/>
        <v>0</v>
      </c>
      <c r="AG32" s="5">
        <f t="shared" si="40"/>
        <v>1445.01</v>
      </c>
      <c r="AH32" s="84">
        <f t="shared" si="22"/>
        <v>0</v>
      </c>
      <c r="AI32" s="84">
        <f t="shared" si="23"/>
        <v>0</v>
      </c>
      <c r="AJ32" s="342">
        <f t="shared" si="24"/>
        <v>0</v>
      </c>
      <c r="AK32" s="343">
        <f t="shared" si="6"/>
        <v>0</v>
      </c>
      <c r="AL32" s="343">
        <f t="shared" si="25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0"/>
        <v>43917</v>
      </c>
      <c r="AS32" s="446">
        <f t="shared" si="46"/>
        <v>0.9</v>
      </c>
      <c r="AT32" s="205">
        <f t="shared" si="46"/>
        <v>80</v>
      </c>
      <c r="AU32" s="447">
        <f t="shared" si="33"/>
        <v>1.1000000000000001</v>
      </c>
      <c r="AV32" s="205">
        <f t="shared" si="41"/>
        <v>107</v>
      </c>
      <c r="AW32" s="5">
        <v>2.9</v>
      </c>
      <c r="AX32" s="205">
        <f t="shared" si="42"/>
        <v>108</v>
      </c>
      <c r="AY32" s="450">
        <f t="shared" si="8"/>
        <v>72</v>
      </c>
      <c r="AZ32" s="450">
        <f t="shared" si="26"/>
        <v>117.7</v>
      </c>
      <c r="BA32" s="450">
        <f t="shared" si="27"/>
        <v>313.2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9"/>
        <v>0</v>
      </c>
      <c r="BG32" s="83">
        <f t="shared" si="10"/>
        <v>0</v>
      </c>
    </row>
    <row r="33" spans="1:59" ht="15.75" thickBot="1">
      <c r="A33" s="6">
        <f>ELEC!C30</f>
        <v>43918</v>
      </c>
      <c r="B33" s="5">
        <f t="shared" si="11"/>
        <v>108473</v>
      </c>
      <c r="C33" s="5">
        <f t="shared" si="12"/>
        <v>0</v>
      </c>
      <c r="D33" s="441">
        <f t="shared" si="13"/>
        <v>0</v>
      </c>
      <c r="E33" s="349">
        <f>SUM((C33*$E$4)+(7500/'EDl log'!$A$38))</f>
        <v>241.93548387096774</v>
      </c>
      <c r="F33" s="343"/>
      <c r="G33" s="5">
        <f t="shared" si="34"/>
        <v>593048</v>
      </c>
      <c r="H33" s="5">
        <f t="shared" si="14"/>
        <v>0</v>
      </c>
      <c r="I33" s="5">
        <f t="shared" si="1"/>
        <v>0</v>
      </c>
      <c r="J33" s="350">
        <f t="shared" si="2"/>
        <v>0</v>
      </c>
      <c r="K33" s="5">
        <f>'Swimming Pool quality check '!H33</f>
        <v>5921</v>
      </c>
      <c r="L33" s="282">
        <f t="shared" si="32"/>
        <v>0</v>
      </c>
      <c r="M33" s="432">
        <f t="shared" si="15"/>
        <v>457.44</v>
      </c>
      <c r="N33" s="550">
        <f t="shared" si="43"/>
        <v>0</v>
      </c>
      <c r="O33" s="432">
        <f t="shared" si="16"/>
        <v>529.52</v>
      </c>
      <c r="P33" s="550">
        <f t="shared" si="44"/>
        <v>0</v>
      </c>
      <c r="Q33" s="550">
        <f t="shared" si="45"/>
        <v>0</v>
      </c>
      <c r="R33" s="552"/>
      <c r="S33" s="552"/>
      <c r="T33" s="5">
        <f t="shared" si="35"/>
        <v>4679</v>
      </c>
      <c r="U33" s="5">
        <f t="shared" si="5"/>
        <v>0</v>
      </c>
      <c r="V33" s="5">
        <f t="shared" si="36"/>
        <v>394</v>
      </c>
      <c r="W33" s="340">
        <f t="shared" si="17"/>
        <v>0</v>
      </c>
      <c r="X33" s="5">
        <f t="shared" si="37"/>
        <v>141616</v>
      </c>
      <c r="Y33" s="340">
        <f t="shared" si="18"/>
        <v>0</v>
      </c>
      <c r="Z33" s="5">
        <f t="shared" si="38"/>
        <v>93176</v>
      </c>
      <c r="AA33" s="84">
        <f t="shared" si="19"/>
        <v>0</v>
      </c>
      <c r="AB33" s="5">
        <f t="shared" si="20"/>
        <v>262</v>
      </c>
      <c r="AC33" s="5">
        <f t="shared" si="20"/>
        <v>671</v>
      </c>
      <c r="AD33" s="84">
        <f t="shared" si="31"/>
        <v>0</v>
      </c>
      <c r="AE33" s="5">
        <f t="shared" si="39"/>
        <v>131.84</v>
      </c>
      <c r="AF33" s="84">
        <f>AE33-AE32</f>
        <v>0</v>
      </c>
      <c r="AG33" s="5">
        <f t="shared" si="40"/>
        <v>1445.01</v>
      </c>
      <c r="AH33" s="84">
        <f t="shared" si="22"/>
        <v>0</v>
      </c>
      <c r="AI33" s="84">
        <f t="shared" si="23"/>
        <v>0</v>
      </c>
      <c r="AJ33" s="342">
        <f t="shared" si="24"/>
        <v>0</v>
      </c>
      <c r="AK33" s="343">
        <f t="shared" si="6"/>
        <v>0</v>
      </c>
      <c r="AL33" s="343">
        <f t="shared" si="25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0"/>
        <v>43918</v>
      </c>
      <c r="AS33" s="446">
        <f t="shared" si="46"/>
        <v>0.9</v>
      </c>
      <c r="AT33" s="205">
        <f t="shared" si="46"/>
        <v>80</v>
      </c>
      <c r="AU33" s="447">
        <f t="shared" si="33"/>
        <v>1.1000000000000001</v>
      </c>
      <c r="AV33" s="205">
        <f t="shared" si="41"/>
        <v>107</v>
      </c>
      <c r="AW33" s="5">
        <v>2.9</v>
      </c>
      <c r="AX33" s="205">
        <f t="shared" si="42"/>
        <v>108</v>
      </c>
      <c r="AY33" s="450">
        <f t="shared" si="8"/>
        <v>72</v>
      </c>
      <c r="AZ33" s="450">
        <f t="shared" si="26"/>
        <v>117.7</v>
      </c>
      <c r="BA33" s="450">
        <f t="shared" si="27"/>
        <v>313.2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9"/>
        <v>0</v>
      </c>
      <c r="BG33" s="83">
        <f t="shared" si="10"/>
        <v>0</v>
      </c>
    </row>
    <row r="34" spans="1:59" ht="15.75" thickBot="1">
      <c r="A34" s="6">
        <f>ELEC!C31</f>
        <v>43919</v>
      </c>
      <c r="B34" s="5">
        <f t="shared" si="11"/>
        <v>108473</v>
      </c>
      <c r="C34" s="5">
        <f t="shared" si="12"/>
        <v>0</v>
      </c>
      <c r="D34" s="441">
        <f t="shared" si="13"/>
        <v>0</v>
      </c>
      <c r="E34" s="349">
        <f>SUM((C34*$E$4)+(7500/'EDl log'!$A$38))</f>
        <v>241.93548387096774</v>
      </c>
      <c r="F34" s="343"/>
      <c r="G34" s="5">
        <f t="shared" si="34"/>
        <v>593048</v>
      </c>
      <c r="H34" s="5">
        <f t="shared" si="14"/>
        <v>0</v>
      </c>
      <c r="I34" s="5">
        <f t="shared" si="1"/>
        <v>0</v>
      </c>
      <c r="J34" s="350">
        <f t="shared" si="2"/>
        <v>0</v>
      </c>
      <c r="K34" s="5">
        <f>'Swimming Pool quality check '!H34</f>
        <v>5921</v>
      </c>
      <c r="L34" s="282">
        <f t="shared" si="32"/>
        <v>0</v>
      </c>
      <c r="M34" s="432">
        <f t="shared" si="15"/>
        <v>457.44</v>
      </c>
      <c r="N34" s="550">
        <f t="shared" si="43"/>
        <v>0</v>
      </c>
      <c r="O34" s="432">
        <f t="shared" si="16"/>
        <v>529.52</v>
      </c>
      <c r="P34" s="550">
        <f t="shared" si="44"/>
        <v>0</v>
      </c>
      <c r="Q34" s="550">
        <f t="shared" si="45"/>
        <v>0</v>
      </c>
      <c r="R34" s="552"/>
      <c r="S34" s="552"/>
      <c r="T34" s="5">
        <f t="shared" si="35"/>
        <v>4679</v>
      </c>
      <c r="U34" s="5">
        <f t="shared" si="5"/>
        <v>0</v>
      </c>
      <c r="V34" s="5">
        <f t="shared" si="36"/>
        <v>394</v>
      </c>
      <c r="W34" s="340">
        <f t="shared" si="17"/>
        <v>0</v>
      </c>
      <c r="X34" s="5">
        <f t="shared" si="37"/>
        <v>141616</v>
      </c>
      <c r="Y34" s="340">
        <f t="shared" si="18"/>
        <v>0</v>
      </c>
      <c r="Z34" s="5">
        <f t="shared" si="38"/>
        <v>93176</v>
      </c>
      <c r="AA34" s="84">
        <f t="shared" si="19"/>
        <v>0</v>
      </c>
      <c r="AB34" s="5">
        <f t="shared" si="20"/>
        <v>262</v>
      </c>
      <c r="AC34" s="5">
        <f t="shared" si="20"/>
        <v>671</v>
      </c>
      <c r="AD34" s="84">
        <f t="shared" si="31"/>
        <v>0</v>
      </c>
      <c r="AE34" s="5">
        <f t="shared" si="39"/>
        <v>131.84</v>
      </c>
      <c r="AF34" s="84">
        <f t="shared" si="21"/>
        <v>0</v>
      </c>
      <c r="AG34" s="5">
        <f t="shared" si="40"/>
        <v>1445.01</v>
      </c>
      <c r="AH34" s="84">
        <f t="shared" si="22"/>
        <v>0</v>
      </c>
      <c r="AI34" s="84">
        <f t="shared" si="23"/>
        <v>0</v>
      </c>
      <c r="AJ34" s="342">
        <f t="shared" si="24"/>
        <v>0</v>
      </c>
      <c r="AK34" s="343">
        <f t="shared" si="6"/>
        <v>0</v>
      </c>
      <c r="AL34" s="343">
        <f t="shared" si="25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0"/>
        <v>43919</v>
      </c>
      <c r="AS34" s="446">
        <f t="shared" si="46"/>
        <v>0.9</v>
      </c>
      <c r="AT34" s="205">
        <f t="shared" si="46"/>
        <v>80</v>
      </c>
      <c r="AU34" s="448">
        <f t="shared" si="33"/>
        <v>1.1000000000000001</v>
      </c>
      <c r="AV34" s="205">
        <f t="shared" si="41"/>
        <v>107</v>
      </c>
      <c r="AW34" s="5">
        <v>2.9</v>
      </c>
      <c r="AX34" s="205">
        <f t="shared" si="42"/>
        <v>108</v>
      </c>
      <c r="AY34" s="450">
        <f t="shared" si="8"/>
        <v>72</v>
      </c>
      <c r="AZ34" s="450">
        <f t="shared" si="26"/>
        <v>117.7</v>
      </c>
      <c r="BA34" s="450">
        <f t="shared" si="27"/>
        <v>313.2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9"/>
        <v>0</v>
      </c>
      <c r="BG34" s="83">
        <f t="shared" si="10"/>
        <v>0</v>
      </c>
    </row>
    <row r="35" spans="1:59" ht="15.75" thickBot="1">
      <c r="A35" s="6">
        <f>ELEC!C32</f>
        <v>43920</v>
      </c>
      <c r="B35" s="5">
        <f t="shared" si="11"/>
        <v>108473</v>
      </c>
      <c r="C35" s="5">
        <f t="shared" si="12"/>
        <v>0</v>
      </c>
      <c r="D35" s="441">
        <f t="shared" si="13"/>
        <v>0</v>
      </c>
      <c r="E35" s="349">
        <f>SUM((C35*$E$4)+(7500/'EDl log'!$A$38))</f>
        <v>241.93548387096774</v>
      </c>
      <c r="F35" s="343"/>
      <c r="G35" s="5">
        <f t="shared" si="34"/>
        <v>593048</v>
      </c>
      <c r="H35" s="5">
        <f t="shared" si="14"/>
        <v>0</v>
      </c>
      <c r="I35" s="5">
        <f t="shared" si="1"/>
        <v>0</v>
      </c>
      <c r="J35" s="350">
        <f t="shared" si="2"/>
        <v>0</v>
      </c>
      <c r="K35" s="5">
        <f>'Swimming Pool quality check '!H35</f>
        <v>5921</v>
      </c>
      <c r="L35" s="84">
        <f t="shared" si="32"/>
        <v>0</v>
      </c>
      <c r="M35" s="432">
        <f t="shared" si="15"/>
        <v>457.44</v>
      </c>
      <c r="N35" s="550">
        <f t="shared" si="43"/>
        <v>0</v>
      </c>
      <c r="O35" s="432">
        <f t="shared" si="16"/>
        <v>529.52</v>
      </c>
      <c r="P35" s="550">
        <f t="shared" si="44"/>
        <v>0</v>
      </c>
      <c r="Q35" s="550">
        <f t="shared" si="45"/>
        <v>0</v>
      </c>
      <c r="R35" s="550"/>
      <c r="S35" s="550"/>
      <c r="T35" s="5">
        <f t="shared" si="35"/>
        <v>4679</v>
      </c>
      <c r="U35" s="5">
        <f t="shared" si="5"/>
        <v>0</v>
      </c>
      <c r="V35" s="5">
        <f t="shared" si="36"/>
        <v>394</v>
      </c>
      <c r="W35" s="340">
        <f t="shared" si="17"/>
        <v>0</v>
      </c>
      <c r="X35" s="5">
        <f t="shared" si="37"/>
        <v>141616</v>
      </c>
      <c r="Y35" s="340">
        <f t="shared" si="18"/>
        <v>0</v>
      </c>
      <c r="Z35" s="5">
        <f t="shared" si="38"/>
        <v>93176</v>
      </c>
      <c r="AA35" s="84">
        <f t="shared" si="19"/>
        <v>0</v>
      </c>
      <c r="AB35" s="5">
        <v>261</v>
      </c>
      <c r="AC35" s="5">
        <f t="shared" si="20"/>
        <v>671</v>
      </c>
      <c r="AD35" s="84">
        <f t="shared" si="31"/>
        <v>0</v>
      </c>
      <c r="AE35" s="5">
        <f t="shared" si="39"/>
        <v>131.84</v>
      </c>
      <c r="AF35" s="84">
        <f t="shared" si="21"/>
        <v>0</v>
      </c>
      <c r="AG35" s="5">
        <f t="shared" si="40"/>
        <v>1445.01</v>
      </c>
      <c r="AH35" s="84">
        <f t="shared" si="22"/>
        <v>0</v>
      </c>
      <c r="AI35" s="84">
        <f t="shared" si="23"/>
        <v>0</v>
      </c>
      <c r="AJ35" s="342">
        <f t="shared" si="24"/>
        <v>0</v>
      </c>
      <c r="AK35" s="343">
        <f t="shared" si="6"/>
        <v>0</v>
      </c>
      <c r="AL35" s="343">
        <f t="shared" si="25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0"/>
        <v>43920</v>
      </c>
      <c r="AS35" s="446">
        <f t="shared" si="46"/>
        <v>0.9</v>
      </c>
      <c r="AT35" s="205">
        <f t="shared" si="46"/>
        <v>80</v>
      </c>
      <c r="AU35" s="449">
        <f t="shared" si="33"/>
        <v>1.1000000000000001</v>
      </c>
      <c r="AV35" s="205">
        <f t="shared" si="41"/>
        <v>107</v>
      </c>
      <c r="AW35" s="5">
        <v>2.9</v>
      </c>
      <c r="AX35" s="205">
        <f t="shared" si="42"/>
        <v>108</v>
      </c>
      <c r="AY35" s="450">
        <f t="shared" si="8"/>
        <v>72</v>
      </c>
      <c r="AZ35" s="450">
        <f t="shared" si="26"/>
        <v>117.7</v>
      </c>
      <c r="BA35" s="450">
        <f t="shared" si="27"/>
        <v>313.2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9"/>
        <v>0</v>
      </c>
      <c r="BG35" s="83">
        <f t="shared" si="10"/>
        <v>0</v>
      </c>
    </row>
    <row r="36" spans="1:59" ht="15.75" thickBot="1">
      <c r="A36" s="6">
        <f>ELEC!C33</f>
        <v>43921</v>
      </c>
      <c r="B36" s="5">
        <f t="shared" si="11"/>
        <v>108473</v>
      </c>
      <c r="C36" s="5">
        <f>B36-B35</f>
        <v>0</v>
      </c>
      <c r="D36" s="441">
        <f t="shared" si="13"/>
        <v>0</v>
      </c>
      <c r="E36" s="349">
        <f>SUM((C36*$E$4)+(7500/'EDl log'!$A$38))</f>
        <v>241.93548387096774</v>
      </c>
      <c r="F36" s="343"/>
      <c r="G36" s="5">
        <f t="shared" si="34"/>
        <v>593048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5921</v>
      </c>
      <c r="L36" s="84">
        <f>K36-K35</f>
        <v>0</v>
      </c>
      <c r="M36" s="432">
        <f t="shared" si="15"/>
        <v>457.44</v>
      </c>
      <c r="N36" s="550">
        <f t="shared" si="43"/>
        <v>0</v>
      </c>
      <c r="O36" s="432">
        <f t="shared" si="16"/>
        <v>529.52</v>
      </c>
      <c r="P36" s="550">
        <f t="shared" si="44"/>
        <v>0</v>
      </c>
      <c r="Q36" s="550">
        <f t="shared" si="45"/>
        <v>0</v>
      </c>
      <c r="R36" s="550"/>
      <c r="S36" s="550"/>
      <c r="T36" s="5">
        <f t="shared" si="35"/>
        <v>4679</v>
      </c>
      <c r="U36" s="5">
        <f>SUM(T36-T35)</f>
        <v>0</v>
      </c>
      <c r="V36" s="5">
        <f t="shared" si="36"/>
        <v>394</v>
      </c>
      <c r="W36" s="340">
        <f t="shared" si="17"/>
        <v>0</v>
      </c>
      <c r="X36" s="5">
        <f t="shared" si="37"/>
        <v>141616</v>
      </c>
      <c r="Y36" s="340">
        <f>SUM(X36-X35)</f>
        <v>0</v>
      </c>
      <c r="Z36" s="5">
        <f t="shared" si="38"/>
        <v>93176</v>
      </c>
      <c r="AA36" s="84">
        <f>Z36-Z35</f>
        <v>0</v>
      </c>
      <c r="AB36" s="5">
        <f t="shared" si="20"/>
        <v>261</v>
      </c>
      <c r="AC36" s="5">
        <f t="shared" si="20"/>
        <v>671</v>
      </c>
      <c r="AD36" s="84">
        <f>AC36-AC35</f>
        <v>0</v>
      </c>
      <c r="AE36" s="5">
        <f t="shared" si="39"/>
        <v>131.84</v>
      </c>
      <c r="AF36" s="84">
        <f>AE36-AE35</f>
        <v>0</v>
      </c>
      <c r="AG36" s="5">
        <f t="shared" si="40"/>
        <v>1445.01</v>
      </c>
      <c r="AH36" s="84">
        <f t="shared" si="22"/>
        <v>0</v>
      </c>
      <c r="AI36" s="84">
        <f t="shared" si="23"/>
        <v>0</v>
      </c>
      <c r="AJ36" s="342">
        <f>+Z36-Z35</f>
        <v>0</v>
      </c>
      <c r="AK36" s="343">
        <f t="shared" si="6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43921</v>
      </c>
      <c r="AS36" s="446">
        <f t="shared" si="46"/>
        <v>0.9</v>
      </c>
      <c r="AT36" s="205">
        <f t="shared" si="46"/>
        <v>80</v>
      </c>
      <c r="AU36" s="449">
        <f t="shared" si="33"/>
        <v>1.1000000000000001</v>
      </c>
      <c r="AV36" s="205">
        <f t="shared" si="41"/>
        <v>107</v>
      </c>
      <c r="AW36" s="5">
        <v>2.9</v>
      </c>
      <c r="AX36" s="205">
        <f t="shared" si="42"/>
        <v>108</v>
      </c>
      <c r="AY36" s="450">
        <f>AS36*AT36</f>
        <v>72</v>
      </c>
      <c r="AZ36" s="450">
        <f>AU36*AV36</f>
        <v>117.7</v>
      </c>
      <c r="BA36" s="450">
        <f t="shared" si="27"/>
        <v>313.2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795</v>
      </c>
      <c r="I37" s="434">
        <f>SUM(I6:I36)</f>
        <v>795</v>
      </c>
      <c r="L37" s="275">
        <f>SUM(L7:L36)</f>
        <v>0</v>
      </c>
      <c r="Q37" s="527">
        <f>SUM(Q5:Q35)</f>
        <v>0</v>
      </c>
      <c r="U37" s="431">
        <f>SUM(U6:U36)</f>
        <v>15</v>
      </c>
      <c r="X37" s="339"/>
      <c r="Y37" s="338">
        <f>SUM(Y35,Y33,Y31,Y29,Y27,Y25,Y23,Y21,Y19,Y17,Y15,Y13,Y11,Y9,Y7+Y36)</f>
        <v>245</v>
      </c>
      <c r="AJ37" s="338">
        <f>SUM(AJ6:AJ36)</f>
        <v>167</v>
      </c>
      <c r="AK37" s="343">
        <f t="shared" si="6"/>
        <v>245</v>
      </c>
      <c r="AL37" s="338">
        <f>SUM(AL6:AL36)</f>
        <v>165</v>
      </c>
      <c r="AP37" s="17"/>
      <c r="AQ37" s="17"/>
      <c r="AR37" s="17"/>
      <c r="AS37" s="230"/>
      <c r="AT37" s="5">
        <f t="shared" si="46"/>
        <v>80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0.14841509433962263</v>
      </c>
      <c r="L38" s="158"/>
      <c r="O38" s="524">
        <f>SUM(Q37+I37)</f>
        <v>795</v>
      </c>
      <c r="Z38" s="338">
        <f>SUM(Y37:AJ37)</f>
        <v>412</v>
      </c>
      <c r="AK38" s="343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795</v>
      </c>
      <c r="H39" s="1">
        <f>SUM(H38+C38)</f>
        <v>7500</v>
      </c>
      <c r="K39" s="1">
        <f>SUM(H39/G39)</f>
        <v>9.433962264150944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J10" sqref="J10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6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43890</v>
      </c>
      <c r="B5" s="376">
        <f>'[1]General information '!B34</f>
        <v>18</v>
      </c>
      <c r="C5" s="376">
        <f>'[1]General information '!C34</f>
        <v>13</v>
      </c>
      <c r="D5" s="376">
        <f>'[1]General information '!D34</f>
        <v>15.5</v>
      </c>
      <c r="E5" s="569">
        <f>'[1]General information '!E34</f>
        <v>0.65</v>
      </c>
      <c r="F5" s="569">
        <f>'[1]General information '!F34</f>
        <v>0.18260000000000001</v>
      </c>
      <c r="G5" s="376">
        <f>'[1]General information '!G34</f>
        <v>41.998000000000005</v>
      </c>
      <c r="H5" s="376">
        <f>'[1]General information '!H34</f>
        <v>150</v>
      </c>
      <c r="I5" s="376">
        <f>'[1]General information '!I34</f>
        <v>0</v>
      </c>
      <c r="J5" s="376">
        <f>'[1]General information '!J34</f>
        <v>518</v>
      </c>
      <c r="K5" s="376">
        <f>'[1]General information '!K34</f>
        <v>668</v>
      </c>
      <c r="L5" s="376">
        <f>'[1]General information '!L34</f>
        <v>0</v>
      </c>
      <c r="M5" s="376">
        <f>'[1]General information '!M34</f>
        <v>0</v>
      </c>
      <c r="N5" s="376">
        <f>'[1]General information '!N34</f>
        <v>0</v>
      </c>
      <c r="O5" s="376">
        <f>'[1]General information '!O34</f>
        <v>0</v>
      </c>
    </row>
    <row r="6" spans="1:15">
      <c r="A6" s="509">
        <f>ELEC!C3</f>
        <v>43891</v>
      </c>
      <c r="B6" s="37">
        <v>17</v>
      </c>
      <c r="C6" s="37">
        <v>10</v>
      </c>
      <c r="D6" s="26">
        <f t="shared" ref="D6:D12" si="0">(C6+B6)/2</f>
        <v>13.5</v>
      </c>
      <c r="E6" s="357">
        <v>0.65</v>
      </c>
      <c r="F6" s="363">
        <v>0.1522</v>
      </c>
      <c r="G6" s="246">
        <f t="shared" ref="G6:G12" si="1">F6*230</f>
        <v>35.006</v>
      </c>
      <c r="H6" s="3">
        <v>248</v>
      </c>
      <c r="I6" s="3"/>
      <c r="J6" s="37"/>
      <c r="K6" s="270">
        <f t="shared" ref="K6:K26" si="2">+J6+H6</f>
        <v>248</v>
      </c>
      <c r="L6" s="3"/>
      <c r="M6" s="3"/>
      <c r="N6" s="156"/>
      <c r="O6" s="3"/>
    </row>
    <row r="7" spans="1:15">
      <c r="A7" s="509">
        <f>ELEC!C4</f>
        <v>43892</v>
      </c>
      <c r="B7" s="37">
        <v>18</v>
      </c>
      <c r="C7" s="37">
        <v>11</v>
      </c>
      <c r="D7" s="26">
        <f t="shared" si="0"/>
        <v>14.5</v>
      </c>
      <c r="E7" s="357">
        <v>0.66</v>
      </c>
      <c r="F7" s="363">
        <v>0.113</v>
      </c>
      <c r="G7" s="246">
        <f t="shared" si="1"/>
        <v>25.990000000000002</v>
      </c>
      <c r="H7" s="3">
        <v>0</v>
      </c>
      <c r="I7" s="3">
        <v>0</v>
      </c>
      <c r="J7" s="37">
        <v>170</v>
      </c>
      <c r="K7" s="270">
        <f t="shared" si="2"/>
        <v>170</v>
      </c>
      <c r="L7" s="3"/>
      <c r="M7" s="3"/>
      <c r="N7" s="156"/>
      <c r="O7" s="3"/>
    </row>
    <row r="8" spans="1:15">
      <c r="A8" s="509">
        <f>ELEC!C5</f>
        <v>43893</v>
      </c>
      <c r="B8" s="37">
        <v>19</v>
      </c>
      <c r="C8" s="37">
        <v>12</v>
      </c>
      <c r="D8" s="26">
        <f t="shared" si="0"/>
        <v>15.5</v>
      </c>
      <c r="E8" s="357">
        <v>0.65</v>
      </c>
      <c r="F8" s="357">
        <v>0.1217</v>
      </c>
      <c r="G8" s="246">
        <f t="shared" si="1"/>
        <v>27.991</v>
      </c>
      <c r="H8" s="3"/>
      <c r="I8" s="3"/>
      <c r="J8" s="37">
        <v>168</v>
      </c>
      <c r="K8" s="270">
        <f t="shared" si="2"/>
        <v>168</v>
      </c>
      <c r="L8" s="3"/>
      <c r="M8" s="171"/>
      <c r="N8" s="156"/>
      <c r="O8" s="3"/>
    </row>
    <row r="9" spans="1:15">
      <c r="A9" s="509">
        <f>ELEC!C6</f>
        <v>43894</v>
      </c>
      <c r="B9" s="37">
        <v>19</v>
      </c>
      <c r="C9" s="37">
        <v>12</v>
      </c>
      <c r="D9" s="26">
        <f>(C9+B9)/2</f>
        <v>15.5</v>
      </c>
      <c r="E9" s="415">
        <v>0.6</v>
      </c>
      <c r="F9" s="415">
        <v>0.12609999999999999</v>
      </c>
      <c r="G9" s="246">
        <f>F9*230</f>
        <v>29.002999999999997</v>
      </c>
      <c r="H9" s="3"/>
      <c r="I9" s="3"/>
      <c r="J9" s="37">
        <v>189</v>
      </c>
      <c r="K9" s="270">
        <f>+J9+H9</f>
        <v>189</v>
      </c>
      <c r="L9" s="3"/>
      <c r="M9" s="3"/>
      <c r="N9" s="156"/>
      <c r="O9" s="3"/>
    </row>
    <row r="10" spans="1:15">
      <c r="A10" s="509">
        <f>ELEC!C7</f>
        <v>43895</v>
      </c>
      <c r="B10" s="37"/>
      <c r="C10" s="37"/>
      <c r="D10" s="26">
        <f t="shared" si="0"/>
        <v>0</v>
      </c>
      <c r="E10" s="374"/>
      <c r="F10" s="357"/>
      <c r="G10" s="246">
        <f t="shared" si="1"/>
        <v>0</v>
      </c>
      <c r="H10" s="3"/>
      <c r="I10" s="3"/>
      <c r="J10" s="37"/>
      <c r="K10" s="270">
        <f t="shared" si="2"/>
        <v>0</v>
      </c>
      <c r="L10" s="3"/>
      <c r="M10" s="3"/>
      <c r="N10" s="156"/>
      <c r="O10" s="3"/>
    </row>
    <row r="11" spans="1:15">
      <c r="A11" s="509">
        <f>ELEC!C8</f>
        <v>43896</v>
      </c>
      <c r="B11" s="37"/>
      <c r="C11" s="37"/>
      <c r="D11" s="26">
        <f t="shared" si="0"/>
        <v>0</v>
      </c>
      <c r="E11" s="415"/>
      <c r="F11" s="357"/>
      <c r="G11" s="246">
        <f t="shared" si="1"/>
        <v>0</v>
      </c>
      <c r="H11" s="3"/>
      <c r="I11" s="3"/>
      <c r="J11" s="37"/>
      <c r="K11" s="270">
        <f>+J11+H11</f>
        <v>0</v>
      </c>
      <c r="L11" s="3"/>
      <c r="M11" s="3"/>
      <c r="N11" s="156"/>
      <c r="O11" s="3"/>
    </row>
    <row r="12" spans="1:15">
      <c r="A12" s="509">
        <f>ELEC!C9</f>
        <v>43897</v>
      </c>
      <c r="B12" s="37"/>
      <c r="C12" s="37"/>
      <c r="D12" s="26">
        <f t="shared" si="0"/>
        <v>0</v>
      </c>
      <c r="E12" s="415"/>
      <c r="F12" s="415"/>
      <c r="G12" s="246">
        <f t="shared" si="1"/>
        <v>0</v>
      </c>
      <c r="H12" s="3"/>
      <c r="I12" s="3"/>
      <c r="J12" s="37"/>
      <c r="K12" s="270">
        <f t="shared" si="2"/>
        <v>0</v>
      </c>
      <c r="L12" s="3"/>
      <c r="M12" s="3"/>
      <c r="N12" s="156"/>
      <c r="O12" s="3"/>
    </row>
    <row r="13" spans="1:15">
      <c r="A13" s="509">
        <f>ELEC!C10</f>
        <v>43898</v>
      </c>
      <c r="B13" s="37"/>
      <c r="C13" s="37"/>
      <c r="D13" s="26">
        <f>(C13+B13)/2</f>
        <v>0</v>
      </c>
      <c r="E13" s="374"/>
      <c r="F13" s="374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09">
        <f>ELEC!C11</f>
        <v>43899</v>
      </c>
      <c r="B14" s="37"/>
      <c r="C14" s="37"/>
      <c r="D14" s="26">
        <f t="shared" ref="D14:D35" si="3">(C14+B14)/2</f>
        <v>0</v>
      </c>
      <c r="E14" s="357"/>
      <c r="F14" s="357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09">
        <f>ELEC!C12</f>
        <v>43900</v>
      </c>
      <c r="B15" s="37"/>
      <c r="C15" s="37"/>
      <c r="D15" s="26">
        <f t="shared" si="3"/>
        <v>0</v>
      </c>
      <c r="E15" s="357"/>
      <c r="F15" s="357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09">
        <f>ELEC!C13</f>
        <v>43901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09">
        <f>ELEC!C14</f>
        <v>43902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37"/>
      <c r="K17" s="270">
        <f t="shared" si="2"/>
        <v>0</v>
      </c>
      <c r="L17" s="3"/>
      <c r="M17" s="3"/>
      <c r="N17" s="156"/>
      <c r="O17" s="3"/>
    </row>
    <row r="18" spans="1:15">
      <c r="A18" s="509">
        <f>ELEC!C15</f>
        <v>43903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7"/>
      <c r="K18" s="270">
        <f t="shared" si="2"/>
        <v>0</v>
      </c>
      <c r="L18" s="3"/>
      <c r="M18" s="3"/>
      <c r="N18" s="156"/>
      <c r="O18" s="3"/>
    </row>
    <row r="19" spans="1:15">
      <c r="A19" s="509">
        <f>ELEC!C16</f>
        <v>43904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9">
        <f>ELEC!C17</f>
        <v>43905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9">
        <f>ELEC!C18</f>
        <v>43906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43907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43908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43909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43910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43911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43912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43913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43914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43915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43916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43917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43918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43919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43920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43921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8">
        <f>AVERAGE(F6:F36)</f>
        <v>0.12825</v>
      </c>
      <c r="G37" s="207">
        <f>SUM(G6:G35)</f>
        <v>117.99</v>
      </c>
    </row>
    <row r="38" spans="1:15">
      <c r="D38" s="268">
        <f>SUM(D6:D36)/'EDl log'!A36</f>
        <v>14.75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K1" activePane="topRight" state="frozen"/>
      <selection pane="topRight" activeCell="AX9" sqref="AX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43890</v>
      </c>
      <c r="B5" s="207">
        <f>[1]tanks!B34</f>
        <v>233.3</v>
      </c>
      <c r="C5" s="207">
        <f>[1]tanks!C34</f>
        <v>5019.7129032258063</v>
      </c>
      <c r="D5" s="207">
        <f>[1]tanks!D34</f>
        <v>233.3</v>
      </c>
      <c r="E5" s="207">
        <f>[1]tanks!E34</f>
        <v>5019.7129032258063</v>
      </c>
      <c r="F5" s="207">
        <f>[1]tanks!F34</f>
        <v>233.3</v>
      </c>
      <c r="G5" s="207">
        <f>[1]tanks!G34</f>
        <v>5019.7129032258063</v>
      </c>
      <c r="H5" s="207">
        <f>[1]tanks!H34</f>
        <v>233.3</v>
      </c>
      <c r="I5" s="207">
        <f>[1]tanks!I34</f>
        <v>5019.7129032258063</v>
      </c>
      <c r="J5" s="207">
        <f>[1]tanks!J34</f>
        <v>233.3</v>
      </c>
      <c r="K5" s="207">
        <f>[1]tanks!K34</f>
        <v>5019.7129032258063</v>
      </c>
      <c r="L5" s="207">
        <f>[1]tanks!L34</f>
        <v>233.3</v>
      </c>
      <c r="M5" s="207">
        <f>[1]tanks!M34</f>
        <v>5019.7129032258063</v>
      </c>
      <c r="N5" s="207">
        <f>[1]tanks!N34</f>
        <v>233.3</v>
      </c>
      <c r="O5" s="207">
        <f>[1]tanks!O34</f>
        <v>5019.7129032258063</v>
      </c>
      <c r="P5" s="207">
        <f>[1]tanks!P34</f>
        <v>233.3</v>
      </c>
      <c r="Q5" s="207">
        <f>[1]tanks!Q34</f>
        <v>5019.7129032258063</v>
      </c>
      <c r="R5" s="207">
        <f>[1]tanks!R34</f>
        <v>233.3</v>
      </c>
      <c r="S5" s="207">
        <f>[1]tanks!S34</f>
        <v>5019.7129032258063</v>
      </c>
      <c r="T5" s="207">
        <f>[1]tanks!T34</f>
        <v>233.3</v>
      </c>
      <c r="U5" s="207">
        <f>[1]tanks!U34</f>
        <v>5019.7129032258063</v>
      </c>
      <c r="V5" s="207">
        <f>[1]tanks!V34</f>
        <v>233.3</v>
      </c>
      <c r="W5" s="207">
        <f>[1]tanks!W34</f>
        <v>5019.7129032258063</v>
      </c>
      <c r="X5" s="207">
        <f>[1]tanks!X34</f>
        <v>0.75258064516129042</v>
      </c>
      <c r="Y5" s="207">
        <f>[1]tanks!Y34</f>
        <v>55216.841935483877</v>
      </c>
      <c r="Z5" s="207">
        <f>[1]tanks!Z34</f>
        <v>239.1</v>
      </c>
      <c r="AA5" s="207">
        <f>[1]tanks!AA34</f>
        <v>2391</v>
      </c>
      <c r="AB5" s="207">
        <f>[1]tanks!AB34</f>
        <v>239.1</v>
      </c>
      <c r="AC5" s="207">
        <f>[1]tanks!AC34</f>
        <v>2391</v>
      </c>
      <c r="AD5" s="207">
        <f>[1]tanks!AD34</f>
        <v>239.1</v>
      </c>
      <c r="AE5" s="207">
        <f>[1]tanks!AE34</f>
        <v>2391</v>
      </c>
      <c r="AF5" s="207">
        <f>[1]tanks!AF34</f>
        <v>239.1</v>
      </c>
      <c r="AG5" s="207">
        <f>[1]tanks!AG34</f>
        <v>2391</v>
      </c>
      <c r="AH5" s="207">
        <f>[1]tanks!AH34</f>
        <v>239.1</v>
      </c>
      <c r="AI5" s="207">
        <f>[1]tanks!AI34</f>
        <v>2391</v>
      </c>
      <c r="AJ5" s="207">
        <f>[1]tanks!AJ34</f>
        <v>239.1</v>
      </c>
      <c r="AK5" s="207">
        <f>[1]tanks!AK34</f>
        <v>2391</v>
      </c>
      <c r="AL5" s="207">
        <f>[1]tanks!AL34</f>
        <v>239.1</v>
      </c>
      <c r="AM5" s="207">
        <f>[1]tanks!AM34</f>
        <v>2391</v>
      </c>
      <c r="AN5" s="538">
        <f>[1]tanks!AN34</f>
        <v>0.85392857142857148</v>
      </c>
      <c r="AO5" s="207">
        <f>[1]tanks!AO34</f>
        <v>16737</v>
      </c>
      <c r="AP5" s="207">
        <f>[1]tanks!AP34</f>
        <v>0</v>
      </c>
      <c r="AQ5" s="538">
        <f>[1]tanks!AQ34</f>
        <v>0.77394688539834233</v>
      </c>
      <c r="AR5" s="207">
        <f>[1]tanks!AR34</f>
        <v>71953.841935483884</v>
      </c>
      <c r="AS5" s="207">
        <f>[1]tanks!AS34</f>
        <v>-2682.0935483870853</v>
      </c>
      <c r="AT5" s="207">
        <f>[1]tanks!AT34</f>
        <v>0</v>
      </c>
      <c r="AU5" s="207">
        <f>[1]tanks!AU34</f>
        <v>0</v>
      </c>
      <c r="AV5" s="207">
        <f>[1]tanks!AV34</f>
        <v>0.49349999999999999</v>
      </c>
      <c r="AW5" s="207">
        <f>[1]tanks!AW34</f>
        <v>-647.29999999998836</v>
      </c>
      <c r="AX5" s="207">
        <f>[1]tanks!AX34</f>
        <v>-2034.793548387097</v>
      </c>
      <c r="AY5" s="207">
        <f>[1]tanks!AY34</f>
        <v>-2682.0935483870853</v>
      </c>
      <c r="AZ5" s="207">
        <f>[1]tanks!AZ34</f>
        <v>0.18260000000000001</v>
      </c>
      <c r="BA5" s="207">
        <f>[1]tanks!BA34</f>
        <v>15.5</v>
      </c>
      <c r="BB5" s="538">
        <f>[1]tanks!BB34</f>
        <v>0.65</v>
      </c>
      <c r="BC5" s="207">
        <f>[1]tanks!BC34</f>
        <v>0</v>
      </c>
      <c r="BD5" s="207">
        <f>[1]tanks!BD34</f>
        <v>19222</v>
      </c>
      <c r="BE5" s="207" t="e">
        <f>[1]tanks!BE34</f>
        <v>#REF!</v>
      </c>
      <c r="BF5" s="207">
        <f>[1]tanks!BF34</f>
        <v>0</v>
      </c>
      <c r="BG5" s="207" t="e">
        <f>[1]tanks!BG34</f>
        <v>#REF!</v>
      </c>
      <c r="BH5" s="207">
        <f>[1]tanks!BH34</f>
        <v>0</v>
      </c>
      <c r="BI5" s="207"/>
    </row>
    <row r="6" spans="1:61">
      <c r="A6" s="468">
        <f>ELEC!C3</f>
        <v>43891</v>
      </c>
      <c r="B6">
        <f>'B5'!B5</f>
        <v>229</v>
      </c>
      <c r="C6" s="207">
        <f>B6*$B$4</f>
        <v>4927.1935483870966</v>
      </c>
      <c r="D6">
        <f>SUM(B6)</f>
        <v>229</v>
      </c>
      <c r="E6" s="207">
        <f>D6*$B$4</f>
        <v>4927.1935483870966</v>
      </c>
      <c r="F6">
        <f>SUM(D6)</f>
        <v>229</v>
      </c>
      <c r="G6" s="207">
        <f t="shared" ref="G6:G35" si="1">F6*$B$4</f>
        <v>4927.1935483870966</v>
      </c>
      <c r="H6" s="207">
        <f>SUM(F6)</f>
        <v>229</v>
      </c>
      <c r="I6" s="207">
        <f t="shared" ref="I6:I35" si="2">H6*$B$4</f>
        <v>4927.1935483870966</v>
      </c>
      <c r="J6" s="207">
        <f>SUM(H6)</f>
        <v>229</v>
      </c>
      <c r="K6" s="207">
        <f t="shared" ref="K6:K35" si="3">J6*$B$4</f>
        <v>4927.1935483870966</v>
      </c>
      <c r="L6" s="207">
        <f>SUM(J6)</f>
        <v>229</v>
      </c>
      <c r="M6" s="207">
        <f t="shared" ref="M6:M35" si="4">L6*$B$4</f>
        <v>4927.1935483870966</v>
      </c>
      <c r="N6" s="207">
        <f>SUM(L6)</f>
        <v>229</v>
      </c>
      <c r="O6" s="207">
        <f t="shared" ref="O6:O35" si="5">N6*$B$4</f>
        <v>4927.1935483870966</v>
      </c>
      <c r="P6" s="207">
        <f>SUM(N6)</f>
        <v>229</v>
      </c>
      <c r="Q6" s="207">
        <f t="shared" ref="Q6:Q35" si="6">P6*$B$4</f>
        <v>4927.1935483870966</v>
      </c>
      <c r="R6" s="207">
        <f>SUM(P6)</f>
        <v>229</v>
      </c>
      <c r="S6" s="207">
        <f t="shared" ref="S6:S35" si="7">R6*$B$4</f>
        <v>4927.1935483870966</v>
      </c>
      <c r="T6" s="207">
        <f>SUM(R6)</f>
        <v>229</v>
      </c>
      <c r="U6" s="207">
        <f t="shared" ref="U6:U35" si="8">T6*$B$4</f>
        <v>4927.1935483870966</v>
      </c>
      <c r="V6" s="207">
        <f>SUM(T6)</f>
        <v>229</v>
      </c>
      <c r="W6" s="207">
        <f t="shared" ref="W6:W35" si="9">V6*$B$4</f>
        <v>4927.1935483870966</v>
      </c>
      <c r="X6" s="35">
        <f t="shared" ref="X6:X29" si="10">SUM(Y6/73370)</f>
        <v>0.738709677419355</v>
      </c>
      <c r="Y6" s="36">
        <f>SUM(C6+E6+G6+I6+K6+M6+O6+Q6+S6+U6+W6)</f>
        <v>54199.129032258075</v>
      </c>
      <c r="Z6" s="207">
        <f>'B5'!C5</f>
        <v>234.4</v>
      </c>
      <c r="AA6" s="207">
        <f>SUM(Z6*$Z$4)</f>
        <v>2344</v>
      </c>
      <c r="AB6" s="207">
        <f>SUM(Z6)</f>
        <v>234.4</v>
      </c>
      <c r="AC6" s="207">
        <f>SUM(AB6*$Z$4)</f>
        <v>2344</v>
      </c>
      <c r="AD6" s="207">
        <f>SUM(AB6)</f>
        <v>234.4</v>
      </c>
      <c r="AE6" s="207">
        <f t="shared" ref="AE6:AE35" si="11">SUM(AD6*$Z$4)</f>
        <v>2344</v>
      </c>
      <c r="AF6" s="207">
        <f>SUM(AD6)</f>
        <v>234.4</v>
      </c>
      <c r="AG6" s="207">
        <f t="shared" ref="AG6:AG35" si="12">SUM(AF6*$Z$4)</f>
        <v>2344</v>
      </c>
      <c r="AH6" s="207">
        <f>SUM(AF6)</f>
        <v>234.4</v>
      </c>
      <c r="AI6" s="207">
        <f t="shared" ref="AI6:AI35" si="13">SUM(AH6*$Z$4)</f>
        <v>2344</v>
      </c>
      <c r="AJ6" s="207">
        <f>SUM(AH6)</f>
        <v>234.4</v>
      </c>
      <c r="AK6" s="207">
        <f t="shared" ref="AK6:AK35" si="14">SUM(AJ6*$Z$4)</f>
        <v>2344</v>
      </c>
      <c r="AL6" s="207">
        <f>SUM(AJ6)</f>
        <v>234.4</v>
      </c>
      <c r="AM6" s="207">
        <f t="shared" ref="AM6:AM35" si="15">SUM(AL6*$Z$4)</f>
        <v>2344</v>
      </c>
      <c r="AN6" s="35">
        <f t="shared" ref="AN6:AN29" si="16">SUM(AO6/19600)</f>
        <v>0.83714285714285719</v>
      </c>
      <c r="AO6" s="36">
        <f t="shared" ref="AO6:AO29" si="17">SUM(AA6+AC6+AE6+AG6+AI6+AK6+AM6)</f>
        <v>16408</v>
      </c>
      <c r="AQ6" s="227">
        <f>SUM(AR6/92970)</f>
        <v>0.7594614287647421</v>
      </c>
      <c r="AR6" s="38">
        <f>SUM(AO6+Y6)</f>
        <v>70607.129032258075</v>
      </c>
      <c r="AS6" s="201">
        <f>SUM(AR6-AR5-AT6)</f>
        <v>-1346.8129032258089</v>
      </c>
      <c r="AT6" s="375">
        <v>0.1</v>
      </c>
      <c r="AU6" s="460">
        <v>0.1</v>
      </c>
      <c r="AV6" s="555">
        <f>IF(AT6&gt;0,AU6,AV5)</f>
        <v>0.1</v>
      </c>
      <c r="AW6" s="301">
        <f>-SUM('B5'!AI5)</f>
        <v>-580</v>
      </c>
      <c r="AX6" s="301">
        <f>-SUM(AW6-AS6)</f>
        <v>-766.8129032258089</v>
      </c>
      <c r="AY6" s="37">
        <f>SUM(AX6+AW6)</f>
        <v>-1346.8129032258089</v>
      </c>
      <c r="AZ6" s="101">
        <f>ELEC!A3</f>
        <v>0.1522</v>
      </c>
      <c r="BA6" s="119">
        <f>'General information '!D6</f>
        <v>13.5</v>
      </c>
      <c r="BB6" s="291">
        <f>SUM('General information '!E6)</f>
        <v>0.65</v>
      </c>
      <c r="BC6" s="3">
        <f>IF(AR3&gt;=AR6,0,1)</f>
        <v>0</v>
      </c>
      <c r="BD6" s="103">
        <v>19222</v>
      </c>
      <c r="BE6" s="14">
        <f>(305/1185)*ELEC!Q4</f>
        <v>218.51898734181336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43892</v>
      </c>
      <c r="B7">
        <f>'B5'!B6</f>
        <v>224</v>
      </c>
      <c r="C7" s="207">
        <f t="shared" ref="C7:E35" si="18">B7*$B$4</f>
        <v>4819.6129032258068</v>
      </c>
      <c r="D7">
        <f t="shared" ref="D7:D29" si="19">SUM(B7)</f>
        <v>224</v>
      </c>
      <c r="E7" s="207">
        <f t="shared" si="18"/>
        <v>4819.6129032258068</v>
      </c>
      <c r="F7">
        <f t="shared" ref="F7:F29" si="20">SUM(D7)</f>
        <v>224</v>
      </c>
      <c r="G7" s="207">
        <f t="shared" si="1"/>
        <v>4819.6129032258068</v>
      </c>
      <c r="H7" s="207">
        <f t="shared" ref="H7:H29" si="21">SUM(F7)</f>
        <v>224</v>
      </c>
      <c r="I7" s="207">
        <f t="shared" si="2"/>
        <v>4819.6129032258068</v>
      </c>
      <c r="J7" s="207">
        <f t="shared" ref="J7:J29" si="22">SUM(H7)</f>
        <v>224</v>
      </c>
      <c r="K7" s="207">
        <f t="shared" si="3"/>
        <v>4819.6129032258068</v>
      </c>
      <c r="L7" s="207">
        <f t="shared" ref="L7:L29" si="23">SUM(J7)</f>
        <v>224</v>
      </c>
      <c r="M7" s="207">
        <f t="shared" si="4"/>
        <v>4819.6129032258068</v>
      </c>
      <c r="N7" s="207">
        <f t="shared" ref="N7:N29" si="24">SUM(L7)</f>
        <v>224</v>
      </c>
      <c r="O7" s="207">
        <f t="shared" si="5"/>
        <v>4819.6129032258068</v>
      </c>
      <c r="P7" s="207">
        <f t="shared" ref="P7:P29" si="25">SUM(N7)</f>
        <v>224</v>
      </c>
      <c r="Q7" s="207">
        <f t="shared" si="6"/>
        <v>4819.6129032258068</v>
      </c>
      <c r="R7" s="207">
        <f t="shared" ref="R7:R29" si="26">SUM(P7)</f>
        <v>224</v>
      </c>
      <c r="S7" s="207">
        <f t="shared" si="7"/>
        <v>4819.6129032258068</v>
      </c>
      <c r="T7" s="207">
        <f t="shared" ref="T7:T29" si="27">SUM(R7)</f>
        <v>224</v>
      </c>
      <c r="U7" s="207">
        <f t="shared" si="8"/>
        <v>4819.6129032258068</v>
      </c>
      <c r="V7" s="207">
        <f t="shared" ref="V7:V29" si="28">SUM(T7)</f>
        <v>224</v>
      </c>
      <c r="W7" s="207">
        <f t="shared" si="9"/>
        <v>4819.6129032258068</v>
      </c>
      <c r="X7" s="35">
        <f t="shared" si="10"/>
        <v>0.72258064516129028</v>
      </c>
      <c r="Y7" s="36">
        <f t="shared" ref="Y7:Y29" si="29">SUM(C7+E7+G7+I7+K7+M7+O7+Q7+S7+U7+W7)</f>
        <v>53015.741935483864</v>
      </c>
      <c r="Z7" s="207">
        <f>'B5'!C6</f>
        <v>230</v>
      </c>
      <c r="AA7" s="207">
        <f t="shared" ref="AA7:AC35" si="30">SUM(Z7*$Z$4)</f>
        <v>2300</v>
      </c>
      <c r="AB7" s="207">
        <f t="shared" ref="AB7:AB29" si="31">SUM(Z7)</f>
        <v>230</v>
      </c>
      <c r="AC7" s="207">
        <f t="shared" si="30"/>
        <v>2300</v>
      </c>
      <c r="AD7" s="207">
        <f t="shared" ref="AD7:AD29" si="32">SUM(AB7)</f>
        <v>230</v>
      </c>
      <c r="AE7" s="207">
        <f t="shared" si="11"/>
        <v>2300</v>
      </c>
      <c r="AF7" s="207">
        <f t="shared" ref="AF7:AF29" si="33">SUM(AD7)</f>
        <v>230</v>
      </c>
      <c r="AG7" s="207">
        <f t="shared" si="12"/>
        <v>2300</v>
      </c>
      <c r="AH7" s="207">
        <f t="shared" ref="AH7:AH29" si="34">SUM(AF7)</f>
        <v>230</v>
      </c>
      <c r="AI7" s="207">
        <f t="shared" si="13"/>
        <v>2300</v>
      </c>
      <c r="AJ7" s="207">
        <f t="shared" ref="AJ7:AJ29" si="35">SUM(AH7)</f>
        <v>230</v>
      </c>
      <c r="AK7" s="207">
        <f t="shared" si="14"/>
        <v>2300</v>
      </c>
      <c r="AL7" s="207">
        <f t="shared" ref="AL7:AL29" si="36">SUM(AJ7)</f>
        <v>230</v>
      </c>
      <c r="AM7" s="207">
        <f t="shared" si="15"/>
        <v>2300</v>
      </c>
      <c r="AN7" s="35">
        <f t="shared" si="16"/>
        <v>0.8214285714285714</v>
      </c>
      <c r="AO7" s="36">
        <f t="shared" si="17"/>
        <v>16100</v>
      </c>
      <c r="AQ7" s="227">
        <f t="shared" ref="AQ7:AQ33" si="37">SUM(AR7/92970)</f>
        <v>0.74341983366122255</v>
      </c>
      <c r="AR7" s="38">
        <f>SUM(AO7+Y7)</f>
        <v>69115.741935483864</v>
      </c>
      <c r="AS7" s="201">
        <f t="shared" ref="AS7:AS35" si="38">SUM(AR7-AR6-AT7)</f>
        <v>-1491.3870967742114</v>
      </c>
      <c r="AT7" s="278"/>
      <c r="AU7" s="523"/>
      <c r="AV7" s="555">
        <f>IF(AT7&gt;0,AU7,AV6)</f>
        <v>0.1</v>
      </c>
      <c r="AW7" s="301">
        <f>-SUM('B5'!AI6)</f>
        <v>-567</v>
      </c>
      <c r="AX7" s="301">
        <f t="shared" ref="AX7:AX35" si="39">-SUM(AW7-AS7)</f>
        <v>-924.38709677421139</v>
      </c>
      <c r="AY7" s="37">
        <f t="shared" ref="AY7:AY35" si="40">SUM(AX7+AW7)</f>
        <v>-1491.3870967742114</v>
      </c>
      <c r="AZ7" s="101">
        <f>ELEC!A4</f>
        <v>0.113</v>
      </c>
      <c r="BA7" s="119">
        <f>'General information '!D7</f>
        <v>14.5</v>
      </c>
      <c r="BB7" s="415">
        <f>SUM('General information '!E7)</f>
        <v>0.66</v>
      </c>
      <c r="BC7" s="3">
        <v>0</v>
      </c>
      <c r="BD7" s="103">
        <v>19222</v>
      </c>
      <c r="BE7" s="14">
        <f>(305/1185)*ELEC!Q5</f>
        <v>480.27848101265454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43893</v>
      </c>
      <c r="B8">
        <f>'B5'!B7</f>
        <v>220</v>
      </c>
      <c r="C8" s="207">
        <f t="shared" si="18"/>
        <v>4733.5483870967737</v>
      </c>
      <c r="D8">
        <f t="shared" si="19"/>
        <v>220</v>
      </c>
      <c r="E8" s="207">
        <f t="shared" si="18"/>
        <v>4733.5483870967737</v>
      </c>
      <c r="F8">
        <f t="shared" si="20"/>
        <v>220</v>
      </c>
      <c r="G8" s="207">
        <f t="shared" si="1"/>
        <v>4733.5483870967737</v>
      </c>
      <c r="H8" s="207">
        <f t="shared" si="21"/>
        <v>220</v>
      </c>
      <c r="I8" s="207">
        <f t="shared" si="2"/>
        <v>4733.5483870967737</v>
      </c>
      <c r="J8" s="207">
        <f t="shared" si="22"/>
        <v>220</v>
      </c>
      <c r="K8" s="207">
        <f t="shared" si="3"/>
        <v>4733.5483870967737</v>
      </c>
      <c r="L8" s="207">
        <f t="shared" si="23"/>
        <v>220</v>
      </c>
      <c r="M8" s="207">
        <f t="shared" si="4"/>
        <v>4733.5483870967737</v>
      </c>
      <c r="N8" s="207">
        <f t="shared" si="24"/>
        <v>220</v>
      </c>
      <c r="O8" s="207">
        <f t="shared" si="5"/>
        <v>4733.5483870967737</v>
      </c>
      <c r="P8" s="207">
        <f t="shared" si="25"/>
        <v>220</v>
      </c>
      <c r="Q8" s="207">
        <f t="shared" si="6"/>
        <v>4733.5483870967737</v>
      </c>
      <c r="R8" s="207">
        <f t="shared" si="26"/>
        <v>220</v>
      </c>
      <c r="S8" s="207">
        <f t="shared" si="7"/>
        <v>4733.5483870967737</v>
      </c>
      <c r="T8" s="207">
        <f t="shared" si="27"/>
        <v>220</v>
      </c>
      <c r="U8" s="207">
        <f t="shared" si="8"/>
        <v>4733.5483870967737</v>
      </c>
      <c r="V8" s="207">
        <f t="shared" si="28"/>
        <v>220</v>
      </c>
      <c r="W8" s="207">
        <f t="shared" si="9"/>
        <v>4733.5483870967737</v>
      </c>
      <c r="X8" s="35">
        <f t="shared" si="10"/>
        <v>0.70967741935483863</v>
      </c>
      <c r="Y8" s="36">
        <f t="shared" si="29"/>
        <v>52069.032258064508</v>
      </c>
      <c r="Z8" s="207">
        <f>'B5'!C7</f>
        <v>225.4</v>
      </c>
      <c r="AA8" s="207">
        <f t="shared" si="30"/>
        <v>2254</v>
      </c>
      <c r="AB8" s="207">
        <f t="shared" si="31"/>
        <v>225.4</v>
      </c>
      <c r="AC8" s="207">
        <f t="shared" si="30"/>
        <v>2254</v>
      </c>
      <c r="AD8" s="207">
        <f t="shared" si="32"/>
        <v>225.4</v>
      </c>
      <c r="AE8" s="207">
        <f t="shared" si="11"/>
        <v>2254</v>
      </c>
      <c r="AF8" s="207">
        <f t="shared" si="33"/>
        <v>225.4</v>
      </c>
      <c r="AG8" s="207">
        <f t="shared" si="12"/>
        <v>2254</v>
      </c>
      <c r="AH8" s="207">
        <f t="shared" si="34"/>
        <v>225.4</v>
      </c>
      <c r="AI8" s="207">
        <f t="shared" si="13"/>
        <v>2254</v>
      </c>
      <c r="AJ8" s="207">
        <f t="shared" si="35"/>
        <v>225.4</v>
      </c>
      <c r="AK8" s="207">
        <f t="shared" si="14"/>
        <v>2254</v>
      </c>
      <c r="AL8" s="207">
        <f t="shared" si="36"/>
        <v>225.4</v>
      </c>
      <c r="AM8" s="207">
        <f t="shared" si="15"/>
        <v>2254</v>
      </c>
      <c r="AN8" s="35">
        <f t="shared" si="16"/>
        <v>0.80500000000000005</v>
      </c>
      <c r="AO8" s="36">
        <f t="shared" si="17"/>
        <v>15778</v>
      </c>
      <c r="AQ8" s="227">
        <f t="shared" si="37"/>
        <v>0.72977339204113711</v>
      </c>
      <c r="AR8" s="38">
        <f>SUM(AO8+Y8)</f>
        <v>67847.032258064515</v>
      </c>
      <c r="AS8" s="201">
        <f t="shared" si="38"/>
        <v>-1268.7096774193487</v>
      </c>
      <c r="AT8" s="375"/>
      <c r="AU8" s="460"/>
      <c r="AV8" s="555">
        <f t="shared" ref="AV8:AV34" si="41">IF(AT8&gt;0,AU8,AV7)</f>
        <v>0.1</v>
      </c>
      <c r="AW8" s="301">
        <f>-SUM('B5'!AI7)</f>
        <v>-1061.4000000000233</v>
      </c>
      <c r="AX8" s="301">
        <f t="shared" si="39"/>
        <v>-207.30967741932545</v>
      </c>
      <c r="AY8" s="37">
        <f t="shared" si="40"/>
        <v>-1268.7096774193487</v>
      </c>
      <c r="AZ8" s="101">
        <f>ELEC!A5</f>
        <v>0.1217</v>
      </c>
      <c r="BA8" s="119">
        <f>'General information '!D8</f>
        <v>15.5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620.55274261604882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43894</v>
      </c>
      <c r="B9">
        <f>'B5'!B8</f>
        <v>213.3</v>
      </c>
      <c r="C9" s="207">
        <f t="shared" si="18"/>
        <v>4589.3903225806453</v>
      </c>
      <c r="D9">
        <f t="shared" si="19"/>
        <v>213.3</v>
      </c>
      <c r="E9" s="207">
        <f t="shared" si="18"/>
        <v>4589.3903225806453</v>
      </c>
      <c r="F9">
        <f t="shared" si="20"/>
        <v>213.3</v>
      </c>
      <c r="G9" s="207">
        <f t="shared" si="1"/>
        <v>4589.3903225806453</v>
      </c>
      <c r="H9" s="207">
        <f t="shared" si="21"/>
        <v>213.3</v>
      </c>
      <c r="I9" s="207">
        <f t="shared" si="2"/>
        <v>4589.3903225806453</v>
      </c>
      <c r="J9" s="207">
        <f t="shared" si="22"/>
        <v>213.3</v>
      </c>
      <c r="K9" s="207">
        <f t="shared" si="3"/>
        <v>4589.3903225806453</v>
      </c>
      <c r="L9" s="207">
        <f t="shared" si="23"/>
        <v>213.3</v>
      </c>
      <c r="M9" s="207">
        <f t="shared" si="4"/>
        <v>4589.3903225806453</v>
      </c>
      <c r="N9" s="207">
        <f t="shared" si="24"/>
        <v>213.3</v>
      </c>
      <c r="O9" s="207">
        <f t="shared" si="5"/>
        <v>4589.3903225806453</v>
      </c>
      <c r="P9" s="207">
        <f t="shared" si="25"/>
        <v>213.3</v>
      </c>
      <c r="Q9" s="207">
        <f t="shared" si="6"/>
        <v>4589.3903225806453</v>
      </c>
      <c r="R9" s="207">
        <f t="shared" si="26"/>
        <v>213.3</v>
      </c>
      <c r="S9" s="207">
        <f t="shared" si="7"/>
        <v>4589.3903225806453</v>
      </c>
      <c r="T9" s="207">
        <f t="shared" si="27"/>
        <v>213.3</v>
      </c>
      <c r="U9" s="207">
        <f t="shared" si="8"/>
        <v>4589.3903225806453</v>
      </c>
      <c r="V9" s="207">
        <f t="shared" si="28"/>
        <v>213.3</v>
      </c>
      <c r="W9" s="207">
        <f t="shared" si="9"/>
        <v>4589.3903225806453</v>
      </c>
      <c r="X9" s="35">
        <f t="shared" si="10"/>
        <v>0.68806451612903219</v>
      </c>
      <c r="Y9" s="36">
        <f t="shared" si="29"/>
        <v>50483.29354838709</v>
      </c>
      <c r="Z9" s="207">
        <f>'B5'!C8</f>
        <v>219.2</v>
      </c>
      <c r="AA9" s="207">
        <f t="shared" si="30"/>
        <v>2192</v>
      </c>
      <c r="AB9" s="207">
        <f t="shared" si="31"/>
        <v>219.2</v>
      </c>
      <c r="AC9" s="207">
        <f t="shared" si="30"/>
        <v>2192</v>
      </c>
      <c r="AD9" s="207">
        <f t="shared" si="32"/>
        <v>219.2</v>
      </c>
      <c r="AE9" s="207">
        <f t="shared" si="11"/>
        <v>2192</v>
      </c>
      <c r="AF9" s="207">
        <f t="shared" si="33"/>
        <v>219.2</v>
      </c>
      <c r="AG9" s="207">
        <f t="shared" si="12"/>
        <v>2192</v>
      </c>
      <c r="AH9" s="207">
        <f t="shared" si="34"/>
        <v>219.2</v>
      </c>
      <c r="AI9" s="207">
        <f t="shared" si="13"/>
        <v>2192</v>
      </c>
      <c r="AJ9" s="207">
        <f t="shared" si="35"/>
        <v>219.2</v>
      </c>
      <c r="AK9" s="207">
        <f t="shared" si="14"/>
        <v>2192</v>
      </c>
      <c r="AL9" s="207">
        <f t="shared" si="36"/>
        <v>219.2</v>
      </c>
      <c r="AM9" s="207">
        <f t="shared" si="15"/>
        <v>2192</v>
      </c>
      <c r="AN9" s="35">
        <f t="shared" si="16"/>
        <v>0.78285714285714281</v>
      </c>
      <c r="AO9" s="36">
        <f>SUM(AA9+AC9+AE9+AG9+AI9+AK9+AM9)</f>
        <v>15344</v>
      </c>
      <c r="AQ9" s="227">
        <f t="shared" si="37"/>
        <v>0.70804876356230073</v>
      </c>
      <c r="AR9" s="38">
        <f>SUM(AO9+Y9)</f>
        <v>65827.293548387097</v>
      </c>
      <c r="AS9" s="201">
        <f t="shared" si="38"/>
        <v>-2019.7387096774182</v>
      </c>
      <c r="AT9" s="375"/>
      <c r="AU9" s="460"/>
      <c r="AV9" s="555">
        <f t="shared" si="41"/>
        <v>0.1</v>
      </c>
      <c r="AW9" s="301">
        <f>-SUM('B5'!AI8)</f>
        <v>-276.69999999998254</v>
      </c>
      <c r="AX9" s="301">
        <f>-SUM(AW9-AS9)</f>
        <v>-1743.0387096774357</v>
      </c>
      <c r="AY9" s="37">
        <f t="shared" si="40"/>
        <v>-2019.7387096774182</v>
      </c>
      <c r="AZ9" s="101">
        <f>ELEC!A6</f>
        <v>0.12609999999999999</v>
      </c>
      <c r="BA9" s="119">
        <f>'General information '!D9</f>
        <v>15.5</v>
      </c>
      <c r="BB9" s="415">
        <f>SUM('General information '!E9)</f>
        <v>0.6</v>
      </c>
      <c r="BC9" s="3">
        <f t="shared" si="42"/>
        <v>0</v>
      </c>
      <c r="BD9" s="103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43895</v>
      </c>
      <c r="B10">
        <f>'B5'!B9</f>
        <v>213.3</v>
      </c>
      <c r="C10" s="207">
        <f t="shared" si="18"/>
        <v>4589.3903225806453</v>
      </c>
      <c r="D10">
        <f t="shared" si="19"/>
        <v>213.3</v>
      </c>
      <c r="E10" s="207">
        <f t="shared" si="18"/>
        <v>4589.3903225806453</v>
      </c>
      <c r="F10">
        <f t="shared" si="20"/>
        <v>213.3</v>
      </c>
      <c r="G10" s="207">
        <f t="shared" si="1"/>
        <v>4589.3903225806453</v>
      </c>
      <c r="H10" s="207">
        <f t="shared" si="21"/>
        <v>213.3</v>
      </c>
      <c r="I10" s="207">
        <f t="shared" si="2"/>
        <v>4589.3903225806453</v>
      </c>
      <c r="J10" s="207">
        <f t="shared" si="22"/>
        <v>213.3</v>
      </c>
      <c r="K10" s="207">
        <f t="shared" si="3"/>
        <v>4589.3903225806453</v>
      </c>
      <c r="L10" s="207">
        <f t="shared" si="23"/>
        <v>213.3</v>
      </c>
      <c r="M10" s="207">
        <f t="shared" si="4"/>
        <v>4589.3903225806453</v>
      </c>
      <c r="N10" s="207">
        <f t="shared" si="24"/>
        <v>213.3</v>
      </c>
      <c r="O10" s="207">
        <f t="shared" si="5"/>
        <v>4589.3903225806453</v>
      </c>
      <c r="P10" s="207">
        <f t="shared" si="25"/>
        <v>213.3</v>
      </c>
      <c r="Q10" s="207">
        <f t="shared" si="6"/>
        <v>4589.3903225806453</v>
      </c>
      <c r="R10" s="207">
        <f t="shared" si="26"/>
        <v>213.3</v>
      </c>
      <c r="S10" s="207">
        <f t="shared" si="7"/>
        <v>4589.3903225806453</v>
      </c>
      <c r="T10" s="207">
        <f t="shared" si="27"/>
        <v>213.3</v>
      </c>
      <c r="U10" s="207">
        <f t="shared" si="8"/>
        <v>4589.3903225806453</v>
      </c>
      <c r="V10" s="207">
        <f t="shared" si="28"/>
        <v>213.3</v>
      </c>
      <c r="W10" s="207">
        <f t="shared" si="9"/>
        <v>4589.3903225806453</v>
      </c>
      <c r="X10" s="35">
        <f t="shared" si="10"/>
        <v>0.68806451612903219</v>
      </c>
      <c r="Y10" s="36">
        <f t="shared" si="29"/>
        <v>50483.29354838709</v>
      </c>
      <c r="Z10" s="207">
        <f>'B5'!C9</f>
        <v>219.2</v>
      </c>
      <c r="AA10" s="207">
        <f t="shared" si="30"/>
        <v>2192</v>
      </c>
      <c r="AB10" s="207">
        <f t="shared" si="31"/>
        <v>219.2</v>
      </c>
      <c r="AC10" s="207">
        <f t="shared" si="30"/>
        <v>2192</v>
      </c>
      <c r="AD10" s="207">
        <f t="shared" si="32"/>
        <v>219.2</v>
      </c>
      <c r="AE10" s="207">
        <f t="shared" si="11"/>
        <v>2192</v>
      </c>
      <c r="AF10" s="207">
        <f t="shared" si="33"/>
        <v>219.2</v>
      </c>
      <c r="AG10" s="207">
        <f t="shared" si="12"/>
        <v>2192</v>
      </c>
      <c r="AH10" s="207">
        <f t="shared" si="34"/>
        <v>219.2</v>
      </c>
      <c r="AI10" s="207">
        <f t="shared" si="13"/>
        <v>2192</v>
      </c>
      <c r="AJ10" s="207">
        <f t="shared" si="35"/>
        <v>219.2</v>
      </c>
      <c r="AK10" s="207">
        <f t="shared" si="14"/>
        <v>2192</v>
      </c>
      <c r="AL10" s="207">
        <f t="shared" si="36"/>
        <v>219.2</v>
      </c>
      <c r="AM10" s="207">
        <f t="shared" si="15"/>
        <v>2192</v>
      </c>
      <c r="AN10" s="35">
        <f t="shared" si="16"/>
        <v>0.78285714285714281</v>
      </c>
      <c r="AO10" s="36">
        <f t="shared" si="17"/>
        <v>15344</v>
      </c>
      <c r="AQ10" s="227">
        <f t="shared" si="37"/>
        <v>0.70804876356230073</v>
      </c>
      <c r="AR10" s="38">
        <f t="shared" ref="AR10:AR28" si="43">SUM(AO10+Y10)</f>
        <v>65827.293548387097</v>
      </c>
      <c r="AS10" s="201">
        <f>SUM(AR10-AR9-AT10)</f>
        <v>0</v>
      </c>
      <c r="AT10" s="375"/>
      <c r="AU10" s="460"/>
      <c r="AV10" s="555">
        <f>IF(AT10&gt;0,AU10,AV9)</f>
        <v>0.1</v>
      </c>
      <c r="AW10" s="301">
        <f>-SUM('B5'!AI9)</f>
        <v>0</v>
      </c>
      <c r="AX10" s="301">
        <f>-SUM(AW10-AS10)</f>
        <v>0</v>
      </c>
      <c r="AY10" s="37">
        <f t="shared" si="40"/>
        <v>0</v>
      </c>
      <c r="AZ10" s="101">
        <f>ELEC!A7</f>
        <v>0</v>
      </c>
      <c r="BA10" s="119">
        <f>'General information '!D10</f>
        <v>0</v>
      </c>
      <c r="BB10" s="415">
        <f>SUM('General information '!E10)</f>
        <v>0</v>
      </c>
      <c r="BC10" s="3">
        <f t="shared" si="42"/>
        <v>0</v>
      </c>
      <c r="BD10" s="103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43896</v>
      </c>
      <c r="B11">
        <f>'B5'!B10</f>
        <v>213.3</v>
      </c>
      <c r="C11" s="207">
        <f t="shared" si="18"/>
        <v>4589.3903225806453</v>
      </c>
      <c r="D11">
        <f>SUM(B11)</f>
        <v>213.3</v>
      </c>
      <c r="E11" s="207">
        <f t="shared" si="18"/>
        <v>4589.3903225806453</v>
      </c>
      <c r="F11">
        <f>SUM(D11)</f>
        <v>213.3</v>
      </c>
      <c r="G11" s="207">
        <f t="shared" si="1"/>
        <v>4589.3903225806453</v>
      </c>
      <c r="H11" s="207">
        <f>SUM(F11)</f>
        <v>213.3</v>
      </c>
      <c r="I11" s="207">
        <f t="shared" si="2"/>
        <v>4589.3903225806453</v>
      </c>
      <c r="J11" s="207">
        <f>SUM(H11)</f>
        <v>213.3</v>
      </c>
      <c r="K11" s="207">
        <f t="shared" si="3"/>
        <v>4589.3903225806453</v>
      </c>
      <c r="L11" s="207">
        <f>SUM(J11)</f>
        <v>213.3</v>
      </c>
      <c r="M11" s="207">
        <f t="shared" si="4"/>
        <v>4589.3903225806453</v>
      </c>
      <c r="N11" s="207">
        <f>SUM(L11)</f>
        <v>213.3</v>
      </c>
      <c r="O11" s="207">
        <f t="shared" si="5"/>
        <v>4589.3903225806453</v>
      </c>
      <c r="P11" s="207">
        <f>SUM(N11)</f>
        <v>213.3</v>
      </c>
      <c r="Q11" s="207">
        <f t="shared" si="6"/>
        <v>4589.3903225806453</v>
      </c>
      <c r="R11" s="207">
        <f>SUM(P11)</f>
        <v>213.3</v>
      </c>
      <c r="S11" s="207">
        <f t="shared" si="7"/>
        <v>4589.3903225806453</v>
      </c>
      <c r="T11" s="207">
        <f>SUM(R11)</f>
        <v>213.3</v>
      </c>
      <c r="U11" s="207">
        <f t="shared" si="8"/>
        <v>4589.3903225806453</v>
      </c>
      <c r="V11" s="207">
        <f>SUM(T11)</f>
        <v>213.3</v>
      </c>
      <c r="W11" s="207">
        <f t="shared" si="9"/>
        <v>4589.3903225806453</v>
      </c>
      <c r="X11" s="35">
        <f>SUM(Y11/73370)</f>
        <v>0.68806451612903219</v>
      </c>
      <c r="Y11" s="36">
        <f>SUM(C11+E11+G11+I11+K11+M11+O11+Q11+S11+U11+W11)</f>
        <v>50483.29354838709</v>
      </c>
      <c r="Z11" s="207">
        <f>'B5'!C10</f>
        <v>219.2</v>
      </c>
      <c r="AA11" s="207">
        <f t="shared" si="30"/>
        <v>2192</v>
      </c>
      <c r="AB11" s="207">
        <f>SUM(Z11)</f>
        <v>219.2</v>
      </c>
      <c r="AC11" s="207">
        <f t="shared" si="30"/>
        <v>2192</v>
      </c>
      <c r="AD11" s="207">
        <f>SUM(AB11)</f>
        <v>219.2</v>
      </c>
      <c r="AE11" s="207">
        <f t="shared" si="11"/>
        <v>2192</v>
      </c>
      <c r="AF11" s="207">
        <f>SUM(AD11)</f>
        <v>219.2</v>
      </c>
      <c r="AG11" s="207">
        <f t="shared" si="12"/>
        <v>2192</v>
      </c>
      <c r="AH11" s="207">
        <f>SUM(AF11)</f>
        <v>219.2</v>
      </c>
      <c r="AI11" s="207">
        <f t="shared" si="13"/>
        <v>2192</v>
      </c>
      <c r="AJ11" s="207">
        <f>SUM(AH11)</f>
        <v>219.2</v>
      </c>
      <c r="AK11" s="207">
        <f t="shared" si="14"/>
        <v>2192</v>
      </c>
      <c r="AL11" s="207">
        <f>SUM(AJ11)</f>
        <v>219.2</v>
      </c>
      <c r="AM11" s="207">
        <f t="shared" si="15"/>
        <v>2192</v>
      </c>
      <c r="AN11" s="35">
        <f>SUM(AO11/19600)</f>
        <v>0.78285714285714281</v>
      </c>
      <c r="AO11" s="36">
        <f t="shared" si="17"/>
        <v>15344</v>
      </c>
      <c r="AQ11" s="227">
        <f t="shared" si="37"/>
        <v>0.70804876356230073</v>
      </c>
      <c r="AR11" s="38">
        <f t="shared" si="43"/>
        <v>65827.293548387097</v>
      </c>
      <c r="AS11" s="201">
        <f>SUM(AR11-AR10-AT11)</f>
        <v>0</v>
      </c>
      <c r="AT11" s="375"/>
      <c r="AU11" s="460"/>
      <c r="AV11" s="555">
        <f>IF(AT11&gt;0,AU11,AV10)</f>
        <v>0.1</v>
      </c>
      <c r="AW11" s="301">
        <f>-SUM('B5'!AI10)</f>
        <v>0</v>
      </c>
      <c r="AX11" s="301">
        <f>-SUM(AW11-AS11)</f>
        <v>0</v>
      </c>
      <c r="AY11" s="37">
        <f t="shared" si="40"/>
        <v>0</v>
      </c>
      <c r="AZ11" s="101">
        <f>ELEC!A8</f>
        <v>0</v>
      </c>
      <c r="BA11" s="119">
        <f>'General information '!D11</f>
        <v>0</v>
      </c>
      <c r="BB11" s="415">
        <f>SUM('General information '!E11)</f>
        <v>0</v>
      </c>
      <c r="BC11" s="3">
        <f t="shared" si="42"/>
        <v>0</v>
      </c>
      <c r="BD11" s="103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43897</v>
      </c>
      <c r="B12">
        <f>'B5'!B11</f>
        <v>213.3</v>
      </c>
      <c r="C12" s="207">
        <f t="shared" si="18"/>
        <v>4589.3903225806453</v>
      </c>
      <c r="D12">
        <f t="shared" si="19"/>
        <v>213.3</v>
      </c>
      <c r="E12" s="207">
        <f t="shared" si="18"/>
        <v>4589.3903225806453</v>
      </c>
      <c r="F12">
        <f t="shared" si="20"/>
        <v>213.3</v>
      </c>
      <c r="G12" s="207">
        <f t="shared" si="1"/>
        <v>4589.3903225806453</v>
      </c>
      <c r="H12" s="207">
        <f t="shared" si="21"/>
        <v>213.3</v>
      </c>
      <c r="I12" s="207">
        <f t="shared" si="2"/>
        <v>4589.3903225806453</v>
      </c>
      <c r="J12" s="207">
        <f t="shared" si="22"/>
        <v>213.3</v>
      </c>
      <c r="K12" s="207">
        <f t="shared" si="3"/>
        <v>4589.3903225806453</v>
      </c>
      <c r="L12" s="207">
        <f t="shared" si="23"/>
        <v>213.3</v>
      </c>
      <c r="M12" s="207">
        <f t="shared" si="4"/>
        <v>4589.3903225806453</v>
      </c>
      <c r="N12" s="207">
        <f t="shared" si="24"/>
        <v>213.3</v>
      </c>
      <c r="O12" s="207">
        <f t="shared" si="5"/>
        <v>4589.3903225806453</v>
      </c>
      <c r="P12" s="207">
        <f t="shared" si="25"/>
        <v>213.3</v>
      </c>
      <c r="Q12" s="207">
        <f t="shared" si="6"/>
        <v>4589.3903225806453</v>
      </c>
      <c r="R12" s="207">
        <f t="shared" si="26"/>
        <v>213.3</v>
      </c>
      <c r="S12" s="207">
        <f t="shared" si="7"/>
        <v>4589.3903225806453</v>
      </c>
      <c r="T12" s="207">
        <f t="shared" si="27"/>
        <v>213.3</v>
      </c>
      <c r="U12" s="207">
        <f t="shared" si="8"/>
        <v>4589.3903225806453</v>
      </c>
      <c r="V12" s="207">
        <f t="shared" si="28"/>
        <v>213.3</v>
      </c>
      <c r="W12" s="207">
        <f t="shared" si="9"/>
        <v>4589.3903225806453</v>
      </c>
      <c r="X12" s="35">
        <f t="shared" si="10"/>
        <v>0.68806451612903219</v>
      </c>
      <c r="Y12" s="36">
        <f t="shared" si="29"/>
        <v>50483.29354838709</v>
      </c>
      <c r="Z12" s="207">
        <f>'B5'!C11</f>
        <v>219.2</v>
      </c>
      <c r="AA12" s="207">
        <f t="shared" si="30"/>
        <v>2192</v>
      </c>
      <c r="AB12" s="207">
        <f t="shared" si="31"/>
        <v>219.2</v>
      </c>
      <c r="AC12" s="207">
        <f t="shared" si="30"/>
        <v>2192</v>
      </c>
      <c r="AD12" s="207">
        <f t="shared" si="32"/>
        <v>219.2</v>
      </c>
      <c r="AE12" s="207">
        <f t="shared" si="11"/>
        <v>2192</v>
      </c>
      <c r="AF12" s="207">
        <f t="shared" si="33"/>
        <v>219.2</v>
      </c>
      <c r="AG12" s="207">
        <f t="shared" si="12"/>
        <v>2192</v>
      </c>
      <c r="AH12" s="207">
        <f t="shared" si="34"/>
        <v>219.2</v>
      </c>
      <c r="AI12" s="207">
        <f t="shared" si="13"/>
        <v>2192</v>
      </c>
      <c r="AJ12" s="207">
        <f t="shared" si="35"/>
        <v>219.2</v>
      </c>
      <c r="AK12" s="207">
        <f t="shared" si="14"/>
        <v>2192</v>
      </c>
      <c r="AL12" s="207">
        <f t="shared" si="36"/>
        <v>219.2</v>
      </c>
      <c r="AM12" s="207">
        <f t="shared" si="15"/>
        <v>2192</v>
      </c>
      <c r="AN12" s="35">
        <f t="shared" si="16"/>
        <v>0.78285714285714281</v>
      </c>
      <c r="AO12" s="36">
        <f t="shared" si="17"/>
        <v>15344</v>
      </c>
      <c r="AQ12" s="227">
        <f t="shared" si="37"/>
        <v>0.70804876356230073</v>
      </c>
      <c r="AR12" s="38">
        <f t="shared" si="43"/>
        <v>65827.293548387097</v>
      </c>
      <c r="AS12" s="201">
        <f t="shared" si="38"/>
        <v>0</v>
      </c>
      <c r="AT12" s="278"/>
      <c r="AU12" s="504"/>
      <c r="AV12" s="555">
        <f t="shared" si="41"/>
        <v>0.1</v>
      </c>
      <c r="AW12" s="301">
        <f>-SUM('B5'!AI11)</f>
        <v>0</v>
      </c>
      <c r="AX12" s="301">
        <f t="shared" si="39"/>
        <v>0</v>
      </c>
      <c r="AY12" s="37">
        <f t="shared" si="40"/>
        <v>0</v>
      </c>
      <c r="AZ12" s="101">
        <f>ELEC!A9</f>
        <v>0</v>
      </c>
      <c r="BA12" s="119">
        <f>'General information '!D12</f>
        <v>0</v>
      </c>
      <c r="BB12" s="415">
        <f>SUM('General information '!E12)</f>
        <v>0</v>
      </c>
      <c r="BC12" s="3">
        <f t="shared" si="42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43898</v>
      </c>
      <c r="B13">
        <f>'B5'!B12</f>
        <v>213.3</v>
      </c>
      <c r="C13" s="207">
        <f t="shared" si="18"/>
        <v>4589.3903225806453</v>
      </c>
      <c r="D13">
        <f t="shared" si="19"/>
        <v>213.3</v>
      </c>
      <c r="E13" s="207">
        <f t="shared" si="18"/>
        <v>4589.3903225806453</v>
      </c>
      <c r="F13">
        <f t="shared" si="20"/>
        <v>213.3</v>
      </c>
      <c r="G13" s="207">
        <f t="shared" si="1"/>
        <v>4589.3903225806453</v>
      </c>
      <c r="H13" s="207">
        <f t="shared" si="21"/>
        <v>213.3</v>
      </c>
      <c r="I13" s="207">
        <f t="shared" si="2"/>
        <v>4589.3903225806453</v>
      </c>
      <c r="J13" s="207">
        <f t="shared" si="22"/>
        <v>213.3</v>
      </c>
      <c r="K13" s="207">
        <f t="shared" si="3"/>
        <v>4589.3903225806453</v>
      </c>
      <c r="L13" s="207">
        <f t="shared" si="23"/>
        <v>213.3</v>
      </c>
      <c r="M13" s="207">
        <f t="shared" si="4"/>
        <v>4589.3903225806453</v>
      </c>
      <c r="N13" s="207">
        <f t="shared" si="24"/>
        <v>213.3</v>
      </c>
      <c r="O13" s="207">
        <f t="shared" si="5"/>
        <v>4589.3903225806453</v>
      </c>
      <c r="P13" s="207">
        <f t="shared" si="25"/>
        <v>213.3</v>
      </c>
      <c r="Q13" s="207">
        <f t="shared" si="6"/>
        <v>4589.3903225806453</v>
      </c>
      <c r="R13" s="207">
        <f t="shared" si="26"/>
        <v>213.3</v>
      </c>
      <c r="S13" s="207">
        <f t="shared" si="7"/>
        <v>4589.3903225806453</v>
      </c>
      <c r="T13" s="207">
        <f t="shared" si="27"/>
        <v>213.3</v>
      </c>
      <c r="U13" s="207">
        <f t="shared" si="8"/>
        <v>4589.3903225806453</v>
      </c>
      <c r="V13" s="207">
        <f t="shared" si="28"/>
        <v>213.3</v>
      </c>
      <c r="W13" s="207">
        <f t="shared" si="9"/>
        <v>4589.3903225806453</v>
      </c>
      <c r="X13" s="35">
        <f t="shared" si="10"/>
        <v>0.68806451612903219</v>
      </c>
      <c r="Y13" s="36">
        <f t="shared" si="29"/>
        <v>50483.29354838709</v>
      </c>
      <c r="Z13" s="207">
        <f>'B5'!C12</f>
        <v>219.2</v>
      </c>
      <c r="AA13" s="207">
        <f t="shared" si="30"/>
        <v>2192</v>
      </c>
      <c r="AB13" s="207">
        <f t="shared" si="31"/>
        <v>219.2</v>
      </c>
      <c r="AC13" s="207">
        <f t="shared" si="30"/>
        <v>2192</v>
      </c>
      <c r="AD13" s="207">
        <f t="shared" si="32"/>
        <v>219.2</v>
      </c>
      <c r="AE13" s="207">
        <f t="shared" si="11"/>
        <v>2192</v>
      </c>
      <c r="AF13" s="207">
        <f t="shared" si="33"/>
        <v>219.2</v>
      </c>
      <c r="AG13" s="207">
        <f t="shared" si="12"/>
        <v>2192</v>
      </c>
      <c r="AH13" s="207">
        <f t="shared" si="34"/>
        <v>219.2</v>
      </c>
      <c r="AI13" s="207">
        <f t="shared" si="13"/>
        <v>2192</v>
      </c>
      <c r="AJ13" s="207">
        <f t="shared" si="35"/>
        <v>219.2</v>
      </c>
      <c r="AK13" s="207">
        <f t="shared" si="14"/>
        <v>2192</v>
      </c>
      <c r="AL13" s="207">
        <f t="shared" si="36"/>
        <v>219.2</v>
      </c>
      <c r="AM13" s="207">
        <f t="shared" si="15"/>
        <v>2192</v>
      </c>
      <c r="AN13" s="35">
        <f t="shared" si="16"/>
        <v>0.78285714285714281</v>
      </c>
      <c r="AO13" s="36">
        <f t="shared" si="17"/>
        <v>15344</v>
      </c>
      <c r="AQ13" s="227">
        <f t="shared" si="37"/>
        <v>0.70804876356230073</v>
      </c>
      <c r="AR13" s="38">
        <f t="shared" si="43"/>
        <v>65827.293548387097</v>
      </c>
      <c r="AS13" s="201">
        <f t="shared" si="38"/>
        <v>0</v>
      </c>
      <c r="AT13" s="278"/>
      <c r="AU13" s="460"/>
      <c r="AV13" s="555">
        <f t="shared" si="41"/>
        <v>0.1</v>
      </c>
      <c r="AW13" s="301">
        <f>-SUM('B5'!AI12)</f>
        <v>0</v>
      </c>
      <c r="AX13" s="301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15">
        <f>SUM('General information '!E13)</f>
        <v>0</v>
      </c>
      <c r="BC13" s="3">
        <f t="shared" si="42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68">
        <f>ELEC!C11</f>
        <v>43899</v>
      </c>
      <c r="B14">
        <f>'B5'!B13</f>
        <v>213.3</v>
      </c>
      <c r="C14" s="207">
        <f t="shared" si="18"/>
        <v>4589.3903225806453</v>
      </c>
      <c r="D14">
        <f t="shared" si="19"/>
        <v>213.3</v>
      </c>
      <c r="E14" s="207">
        <f t="shared" si="18"/>
        <v>4589.3903225806453</v>
      </c>
      <c r="F14">
        <f t="shared" si="20"/>
        <v>213.3</v>
      </c>
      <c r="G14" s="207">
        <f t="shared" si="1"/>
        <v>4589.3903225806453</v>
      </c>
      <c r="H14" s="207">
        <f t="shared" si="21"/>
        <v>213.3</v>
      </c>
      <c r="I14" s="207">
        <f t="shared" si="2"/>
        <v>4589.3903225806453</v>
      </c>
      <c r="J14" s="207">
        <f t="shared" si="22"/>
        <v>213.3</v>
      </c>
      <c r="K14" s="207">
        <f t="shared" si="3"/>
        <v>4589.3903225806453</v>
      </c>
      <c r="L14" s="207">
        <f t="shared" si="23"/>
        <v>213.3</v>
      </c>
      <c r="M14" s="207">
        <f t="shared" si="4"/>
        <v>4589.3903225806453</v>
      </c>
      <c r="N14" s="207">
        <f t="shared" si="24"/>
        <v>213.3</v>
      </c>
      <c r="O14" s="207">
        <f t="shared" si="5"/>
        <v>4589.3903225806453</v>
      </c>
      <c r="P14" s="207">
        <f t="shared" si="25"/>
        <v>213.3</v>
      </c>
      <c r="Q14" s="207">
        <f t="shared" si="6"/>
        <v>4589.3903225806453</v>
      </c>
      <c r="R14" s="207">
        <f t="shared" si="26"/>
        <v>213.3</v>
      </c>
      <c r="S14" s="207">
        <f t="shared" si="7"/>
        <v>4589.3903225806453</v>
      </c>
      <c r="T14" s="207">
        <f t="shared" si="27"/>
        <v>213.3</v>
      </c>
      <c r="U14" s="207">
        <f t="shared" si="8"/>
        <v>4589.3903225806453</v>
      </c>
      <c r="V14" s="207">
        <f t="shared" si="28"/>
        <v>213.3</v>
      </c>
      <c r="W14" s="207">
        <f t="shared" si="9"/>
        <v>4589.3903225806453</v>
      </c>
      <c r="X14" s="35">
        <f t="shared" si="10"/>
        <v>0.68806451612903219</v>
      </c>
      <c r="Y14" s="36">
        <f t="shared" si="29"/>
        <v>50483.29354838709</v>
      </c>
      <c r="Z14" s="207">
        <f>'B5'!C13</f>
        <v>219.2</v>
      </c>
      <c r="AA14" s="207">
        <f t="shared" si="30"/>
        <v>2192</v>
      </c>
      <c r="AB14" s="207">
        <f t="shared" si="31"/>
        <v>219.2</v>
      </c>
      <c r="AC14" s="207">
        <f t="shared" si="30"/>
        <v>2192</v>
      </c>
      <c r="AD14" s="207">
        <f t="shared" si="32"/>
        <v>219.2</v>
      </c>
      <c r="AE14" s="207">
        <f t="shared" si="11"/>
        <v>2192</v>
      </c>
      <c r="AF14" s="207">
        <f t="shared" si="33"/>
        <v>219.2</v>
      </c>
      <c r="AG14" s="207">
        <f t="shared" si="12"/>
        <v>2192</v>
      </c>
      <c r="AH14" s="207">
        <f t="shared" si="34"/>
        <v>219.2</v>
      </c>
      <c r="AI14" s="207">
        <f t="shared" si="13"/>
        <v>2192</v>
      </c>
      <c r="AJ14" s="207">
        <f t="shared" si="35"/>
        <v>219.2</v>
      </c>
      <c r="AK14" s="207">
        <f t="shared" si="14"/>
        <v>2192</v>
      </c>
      <c r="AL14" s="207">
        <f t="shared" si="36"/>
        <v>219.2</v>
      </c>
      <c r="AM14" s="207">
        <f t="shared" si="15"/>
        <v>2192</v>
      </c>
      <c r="AN14" s="35">
        <f t="shared" si="16"/>
        <v>0.78285714285714281</v>
      </c>
      <c r="AO14" s="36">
        <f t="shared" si="17"/>
        <v>15344</v>
      </c>
      <c r="AQ14" s="227">
        <f t="shared" si="37"/>
        <v>0.70804876356230073</v>
      </c>
      <c r="AR14" s="38">
        <f t="shared" si="43"/>
        <v>65827.293548387097</v>
      </c>
      <c r="AS14" s="201">
        <f t="shared" si="38"/>
        <v>0</v>
      </c>
      <c r="AT14" s="278"/>
      <c r="AU14" s="504"/>
      <c r="AV14" s="555">
        <f t="shared" si="41"/>
        <v>0.1</v>
      </c>
      <c r="AW14" s="301">
        <f>-SUM('B5'!AI13)</f>
        <v>0</v>
      </c>
      <c r="AX14" s="301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15">
        <f>SUM('General information '!E14)</f>
        <v>0</v>
      </c>
      <c r="BC14" s="3">
        <f t="shared" si="42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43900</v>
      </c>
      <c r="B15">
        <f>'B5'!B14</f>
        <v>213.3</v>
      </c>
      <c r="C15" s="207">
        <f t="shared" si="18"/>
        <v>4589.3903225806453</v>
      </c>
      <c r="D15">
        <f t="shared" si="19"/>
        <v>213.3</v>
      </c>
      <c r="E15" s="207">
        <f t="shared" si="18"/>
        <v>4589.3903225806453</v>
      </c>
      <c r="F15">
        <f t="shared" si="20"/>
        <v>213.3</v>
      </c>
      <c r="G15" s="207">
        <f t="shared" si="1"/>
        <v>4589.3903225806453</v>
      </c>
      <c r="H15" s="207">
        <f t="shared" si="21"/>
        <v>213.3</v>
      </c>
      <c r="I15" s="207">
        <f t="shared" si="2"/>
        <v>4589.3903225806453</v>
      </c>
      <c r="J15" s="207">
        <f t="shared" si="22"/>
        <v>213.3</v>
      </c>
      <c r="K15" s="207">
        <f t="shared" si="3"/>
        <v>4589.3903225806453</v>
      </c>
      <c r="L15" s="207">
        <f t="shared" si="23"/>
        <v>213.3</v>
      </c>
      <c r="M15" s="207">
        <f t="shared" si="4"/>
        <v>4589.3903225806453</v>
      </c>
      <c r="N15" s="207">
        <f t="shared" si="24"/>
        <v>213.3</v>
      </c>
      <c r="O15" s="207">
        <f t="shared" si="5"/>
        <v>4589.3903225806453</v>
      </c>
      <c r="P15" s="207">
        <f t="shared" si="25"/>
        <v>213.3</v>
      </c>
      <c r="Q15" s="207">
        <f t="shared" si="6"/>
        <v>4589.3903225806453</v>
      </c>
      <c r="R15" s="207">
        <f t="shared" si="26"/>
        <v>213.3</v>
      </c>
      <c r="S15" s="207">
        <f t="shared" si="7"/>
        <v>4589.3903225806453</v>
      </c>
      <c r="T15" s="207">
        <f t="shared" si="27"/>
        <v>213.3</v>
      </c>
      <c r="U15" s="207">
        <f t="shared" si="8"/>
        <v>4589.3903225806453</v>
      </c>
      <c r="V15" s="207">
        <f t="shared" si="28"/>
        <v>213.3</v>
      </c>
      <c r="W15" s="207">
        <f t="shared" si="9"/>
        <v>4589.3903225806453</v>
      </c>
      <c r="X15" s="35">
        <f t="shared" si="10"/>
        <v>0.68806451612903219</v>
      </c>
      <c r="Y15" s="36">
        <f t="shared" si="29"/>
        <v>50483.29354838709</v>
      </c>
      <c r="Z15" s="207">
        <f>'B5'!C14</f>
        <v>219.2</v>
      </c>
      <c r="AA15" s="207">
        <f t="shared" si="30"/>
        <v>2192</v>
      </c>
      <c r="AB15" s="207">
        <f t="shared" si="31"/>
        <v>219.2</v>
      </c>
      <c r="AC15" s="207">
        <f t="shared" si="30"/>
        <v>2192</v>
      </c>
      <c r="AD15" s="207">
        <f t="shared" si="32"/>
        <v>219.2</v>
      </c>
      <c r="AE15" s="207">
        <f t="shared" si="11"/>
        <v>2192</v>
      </c>
      <c r="AF15" s="207">
        <f t="shared" si="33"/>
        <v>219.2</v>
      </c>
      <c r="AG15" s="207">
        <f t="shared" si="12"/>
        <v>2192</v>
      </c>
      <c r="AH15" s="207">
        <f t="shared" si="34"/>
        <v>219.2</v>
      </c>
      <c r="AI15" s="207">
        <f t="shared" si="13"/>
        <v>2192</v>
      </c>
      <c r="AJ15" s="207">
        <f t="shared" si="35"/>
        <v>219.2</v>
      </c>
      <c r="AK15" s="207">
        <f t="shared" si="14"/>
        <v>2192</v>
      </c>
      <c r="AL15" s="207">
        <f t="shared" si="36"/>
        <v>219.2</v>
      </c>
      <c r="AM15" s="207">
        <f t="shared" si="15"/>
        <v>2192</v>
      </c>
      <c r="AN15" s="35">
        <f t="shared" si="16"/>
        <v>0.78285714285714281</v>
      </c>
      <c r="AO15" s="36">
        <f t="shared" si="17"/>
        <v>15344</v>
      </c>
      <c r="AQ15" s="227">
        <f t="shared" si="37"/>
        <v>0.70804876356230073</v>
      </c>
      <c r="AR15" s="38">
        <f t="shared" si="43"/>
        <v>65827.293548387097</v>
      </c>
      <c r="AS15" s="201">
        <f>SUM(AR15-AR14-AT15)</f>
        <v>0</v>
      </c>
      <c r="AT15" s="278"/>
      <c r="AU15" s="460"/>
      <c r="AV15" s="555">
        <f>IF(AT15&gt;0,AU15,AV14)</f>
        <v>0.1</v>
      </c>
      <c r="AW15" s="301">
        <f>-SUM('B5'!AI14)</f>
        <v>0</v>
      </c>
      <c r="AX15" s="301">
        <f t="shared" si="39"/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15">
        <f>SUM('General information '!E15)</f>
        <v>0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68">
        <f>ELEC!C13</f>
        <v>43901</v>
      </c>
      <c r="B16">
        <f>'B5'!B15</f>
        <v>213.3</v>
      </c>
      <c r="C16" s="207">
        <f t="shared" si="18"/>
        <v>4589.3903225806453</v>
      </c>
      <c r="D16">
        <f t="shared" si="19"/>
        <v>213.3</v>
      </c>
      <c r="E16" s="207">
        <f t="shared" si="18"/>
        <v>4589.3903225806453</v>
      </c>
      <c r="F16">
        <f t="shared" si="20"/>
        <v>213.3</v>
      </c>
      <c r="G16" s="207">
        <f t="shared" si="1"/>
        <v>4589.3903225806453</v>
      </c>
      <c r="H16" s="207">
        <f t="shared" si="21"/>
        <v>213.3</v>
      </c>
      <c r="I16" s="207">
        <f t="shared" si="2"/>
        <v>4589.3903225806453</v>
      </c>
      <c r="J16" s="207">
        <f t="shared" si="22"/>
        <v>213.3</v>
      </c>
      <c r="K16" s="207">
        <f t="shared" si="3"/>
        <v>4589.3903225806453</v>
      </c>
      <c r="L16" s="207">
        <f t="shared" si="23"/>
        <v>213.3</v>
      </c>
      <c r="M16" s="207">
        <f t="shared" si="4"/>
        <v>4589.3903225806453</v>
      </c>
      <c r="N16" s="207">
        <f t="shared" si="24"/>
        <v>213.3</v>
      </c>
      <c r="O16" s="207">
        <f t="shared" si="5"/>
        <v>4589.3903225806453</v>
      </c>
      <c r="P16" s="207">
        <f t="shared" si="25"/>
        <v>213.3</v>
      </c>
      <c r="Q16" s="207">
        <f t="shared" si="6"/>
        <v>4589.3903225806453</v>
      </c>
      <c r="R16" s="207">
        <f t="shared" si="26"/>
        <v>213.3</v>
      </c>
      <c r="S16" s="207">
        <f t="shared" si="7"/>
        <v>4589.3903225806453</v>
      </c>
      <c r="T16" s="207">
        <f t="shared" si="27"/>
        <v>213.3</v>
      </c>
      <c r="U16" s="207">
        <f t="shared" si="8"/>
        <v>4589.3903225806453</v>
      </c>
      <c r="V16" s="207">
        <f t="shared" si="28"/>
        <v>213.3</v>
      </c>
      <c r="W16" s="207">
        <f t="shared" si="9"/>
        <v>4589.3903225806453</v>
      </c>
      <c r="X16" s="35">
        <f t="shared" si="10"/>
        <v>0.68806451612903219</v>
      </c>
      <c r="Y16" s="36">
        <f t="shared" si="29"/>
        <v>50483.29354838709</v>
      </c>
      <c r="Z16" s="207">
        <f>'B5'!C15</f>
        <v>219.2</v>
      </c>
      <c r="AA16" s="207">
        <f t="shared" si="30"/>
        <v>2192</v>
      </c>
      <c r="AB16" s="207">
        <f t="shared" si="31"/>
        <v>219.2</v>
      </c>
      <c r="AC16" s="207">
        <f t="shared" si="30"/>
        <v>2192</v>
      </c>
      <c r="AD16" s="207">
        <f t="shared" si="32"/>
        <v>219.2</v>
      </c>
      <c r="AE16" s="207">
        <f t="shared" si="11"/>
        <v>2192</v>
      </c>
      <c r="AF16" s="207">
        <f t="shared" si="33"/>
        <v>219.2</v>
      </c>
      <c r="AG16" s="207">
        <f t="shared" si="12"/>
        <v>2192</v>
      </c>
      <c r="AH16" s="207">
        <f t="shared" si="34"/>
        <v>219.2</v>
      </c>
      <c r="AI16" s="207">
        <f t="shared" si="13"/>
        <v>2192</v>
      </c>
      <c r="AJ16" s="207">
        <f t="shared" si="35"/>
        <v>219.2</v>
      </c>
      <c r="AK16" s="207">
        <f t="shared" si="14"/>
        <v>2192</v>
      </c>
      <c r="AL16" s="207">
        <f t="shared" si="36"/>
        <v>219.2</v>
      </c>
      <c r="AM16" s="207">
        <f t="shared" si="15"/>
        <v>2192</v>
      </c>
      <c r="AN16" s="35">
        <f t="shared" si="16"/>
        <v>0.78285714285714281</v>
      </c>
      <c r="AO16" s="36">
        <f t="shared" si="17"/>
        <v>15344</v>
      </c>
      <c r="AQ16" s="227">
        <f t="shared" si="37"/>
        <v>0.70804876356230073</v>
      </c>
      <c r="AR16" s="38">
        <f t="shared" si="43"/>
        <v>65827.293548387097</v>
      </c>
      <c r="AS16" s="201">
        <f>SUM(AR16-AR15-AT16)</f>
        <v>0</v>
      </c>
      <c r="AT16" s="278"/>
      <c r="AU16" s="460"/>
      <c r="AV16" s="555">
        <f>IF(AT16&gt;0,AU16,AV15)</f>
        <v>0.1</v>
      </c>
      <c r="AW16" s="301">
        <f>-SUM('B5'!AI15)</f>
        <v>0</v>
      </c>
      <c r="AX16" s="301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68">
        <f>ELEC!C14</f>
        <v>43902</v>
      </c>
      <c r="B17">
        <f>'B5'!B16</f>
        <v>213.3</v>
      </c>
      <c r="C17" s="207">
        <f t="shared" si="18"/>
        <v>4589.3903225806453</v>
      </c>
      <c r="D17">
        <f t="shared" si="19"/>
        <v>213.3</v>
      </c>
      <c r="E17" s="207">
        <f t="shared" si="18"/>
        <v>4589.3903225806453</v>
      </c>
      <c r="F17">
        <f t="shared" si="20"/>
        <v>213.3</v>
      </c>
      <c r="G17" s="207">
        <f t="shared" si="1"/>
        <v>4589.3903225806453</v>
      </c>
      <c r="H17" s="207">
        <f t="shared" si="21"/>
        <v>213.3</v>
      </c>
      <c r="I17" s="207">
        <f t="shared" si="2"/>
        <v>4589.3903225806453</v>
      </c>
      <c r="J17" s="207">
        <f t="shared" si="22"/>
        <v>213.3</v>
      </c>
      <c r="K17" s="207">
        <f t="shared" si="3"/>
        <v>4589.3903225806453</v>
      </c>
      <c r="L17" s="207">
        <f t="shared" si="23"/>
        <v>213.3</v>
      </c>
      <c r="M17" s="207">
        <f t="shared" si="4"/>
        <v>4589.3903225806453</v>
      </c>
      <c r="N17" s="207">
        <f t="shared" si="24"/>
        <v>213.3</v>
      </c>
      <c r="O17" s="207">
        <f t="shared" si="5"/>
        <v>4589.3903225806453</v>
      </c>
      <c r="P17" s="207">
        <f t="shared" si="25"/>
        <v>213.3</v>
      </c>
      <c r="Q17" s="207">
        <f t="shared" si="6"/>
        <v>4589.3903225806453</v>
      </c>
      <c r="R17" s="207">
        <f t="shared" si="26"/>
        <v>213.3</v>
      </c>
      <c r="S17" s="207">
        <f t="shared" si="7"/>
        <v>4589.3903225806453</v>
      </c>
      <c r="T17" s="207">
        <f t="shared" si="27"/>
        <v>213.3</v>
      </c>
      <c r="U17" s="207">
        <f t="shared" si="8"/>
        <v>4589.3903225806453</v>
      </c>
      <c r="V17" s="207">
        <f t="shared" si="28"/>
        <v>213.3</v>
      </c>
      <c r="W17" s="207">
        <f t="shared" si="9"/>
        <v>4589.3903225806453</v>
      </c>
      <c r="X17" s="35">
        <f t="shared" si="10"/>
        <v>0.68806451612903219</v>
      </c>
      <c r="Y17" s="36">
        <f t="shared" si="29"/>
        <v>50483.29354838709</v>
      </c>
      <c r="Z17" s="207">
        <f>'B5'!C16</f>
        <v>219.2</v>
      </c>
      <c r="AA17" s="207">
        <f t="shared" si="30"/>
        <v>2192</v>
      </c>
      <c r="AB17" s="207">
        <f t="shared" si="31"/>
        <v>219.2</v>
      </c>
      <c r="AC17" s="207">
        <f t="shared" si="30"/>
        <v>2192</v>
      </c>
      <c r="AD17" s="207">
        <f t="shared" si="32"/>
        <v>219.2</v>
      </c>
      <c r="AE17" s="207">
        <f t="shared" si="11"/>
        <v>2192</v>
      </c>
      <c r="AF17" s="207">
        <f t="shared" si="33"/>
        <v>219.2</v>
      </c>
      <c r="AG17" s="207">
        <f t="shared" si="12"/>
        <v>2192</v>
      </c>
      <c r="AH17" s="207">
        <f t="shared" si="34"/>
        <v>219.2</v>
      </c>
      <c r="AI17" s="207">
        <f t="shared" si="13"/>
        <v>2192</v>
      </c>
      <c r="AJ17" s="207">
        <f t="shared" si="35"/>
        <v>219.2</v>
      </c>
      <c r="AK17" s="207">
        <f t="shared" si="14"/>
        <v>2192</v>
      </c>
      <c r="AL17" s="207">
        <f t="shared" si="36"/>
        <v>219.2</v>
      </c>
      <c r="AM17" s="207">
        <f t="shared" si="15"/>
        <v>2192</v>
      </c>
      <c r="AN17" s="35">
        <f t="shared" si="16"/>
        <v>0.78285714285714281</v>
      </c>
      <c r="AO17" s="36">
        <f>SUM(AA17+AC17+AE17+AG17+AI17+AK17+AM17)</f>
        <v>15344</v>
      </c>
      <c r="AQ17" s="227">
        <f t="shared" si="37"/>
        <v>0.70804876356230073</v>
      </c>
      <c r="AR17" s="38">
        <f t="shared" si="43"/>
        <v>65827.293548387097</v>
      </c>
      <c r="AS17" s="201">
        <f t="shared" si="38"/>
        <v>0</v>
      </c>
      <c r="AT17" s="375"/>
      <c r="AU17" s="504"/>
      <c r="AV17" s="555">
        <f t="shared" si="41"/>
        <v>0.1</v>
      </c>
      <c r="AW17" s="301">
        <f>-SUM('B5'!AI16)</f>
        <v>0</v>
      </c>
      <c r="AX17" s="301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8">
        <f>ELEC!C15</f>
        <v>43903</v>
      </c>
      <c r="B18">
        <f>'B5'!B17</f>
        <v>213.3</v>
      </c>
      <c r="C18" s="207">
        <f t="shared" si="18"/>
        <v>4589.3903225806453</v>
      </c>
      <c r="D18">
        <f t="shared" si="19"/>
        <v>213.3</v>
      </c>
      <c r="E18" s="207">
        <f t="shared" si="18"/>
        <v>4589.3903225806453</v>
      </c>
      <c r="F18">
        <f t="shared" si="20"/>
        <v>213.3</v>
      </c>
      <c r="G18" s="207">
        <f t="shared" si="1"/>
        <v>4589.3903225806453</v>
      </c>
      <c r="H18" s="207">
        <f t="shared" si="21"/>
        <v>213.3</v>
      </c>
      <c r="I18" s="207">
        <f t="shared" si="2"/>
        <v>4589.3903225806453</v>
      </c>
      <c r="J18" s="207">
        <f t="shared" si="22"/>
        <v>213.3</v>
      </c>
      <c r="K18" s="207">
        <f t="shared" si="3"/>
        <v>4589.3903225806453</v>
      </c>
      <c r="L18" s="207">
        <f t="shared" si="23"/>
        <v>213.3</v>
      </c>
      <c r="M18" s="207">
        <f t="shared" si="4"/>
        <v>4589.3903225806453</v>
      </c>
      <c r="N18" s="207">
        <f t="shared" si="24"/>
        <v>213.3</v>
      </c>
      <c r="O18" s="207">
        <f t="shared" si="5"/>
        <v>4589.3903225806453</v>
      </c>
      <c r="P18" s="207">
        <f t="shared" si="25"/>
        <v>213.3</v>
      </c>
      <c r="Q18" s="207">
        <f t="shared" si="6"/>
        <v>4589.3903225806453</v>
      </c>
      <c r="R18" s="207">
        <f t="shared" si="26"/>
        <v>213.3</v>
      </c>
      <c r="S18" s="207">
        <f t="shared" si="7"/>
        <v>4589.3903225806453</v>
      </c>
      <c r="T18" s="207">
        <f t="shared" si="27"/>
        <v>213.3</v>
      </c>
      <c r="U18" s="207">
        <f t="shared" si="8"/>
        <v>4589.3903225806453</v>
      </c>
      <c r="V18" s="207">
        <f t="shared" si="28"/>
        <v>213.3</v>
      </c>
      <c r="W18" s="207">
        <f t="shared" si="9"/>
        <v>4589.3903225806453</v>
      </c>
      <c r="X18" s="35">
        <f t="shared" si="10"/>
        <v>0.68806451612903219</v>
      </c>
      <c r="Y18" s="36">
        <f t="shared" si="29"/>
        <v>50483.29354838709</v>
      </c>
      <c r="Z18" s="207">
        <f>'B5'!C17</f>
        <v>219.2</v>
      </c>
      <c r="AA18" s="207">
        <f t="shared" si="30"/>
        <v>2192</v>
      </c>
      <c r="AB18" s="207">
        <f t="shared" si="31"/>
        <v>219.2</v>
      </c>
      <c r="AC18" s="207">
        <f t="shared" si="30"/>
        <v>2192</v>
      </c>
      <c r="AD18" s="207">
        <f t="shared" si="32"/>
        <v>219.2</v>
      </c>
      <c r="AE18" s="207">
        <f t="shared" si="11"/>
        <v>2192</v>
      </c>
      <c r="AF18" s="207">
        <f t="shared" si="33"/>
        <v>219.2</v>
      </c>
      <c r="AG18" s="207">
        <f t="shared" si="12"/>
        <v>2192</v>
      </c>
      <c r="AH18" s="207">
        <f t="shared" si="34"/>
        <v>219.2</v>
      </c>
      <c r="AI18" s="207">
        <f t="shared" si="13"/>
        <v>2192</v>
      </c>
      <c r="AJ18" s="207">
        <f t="shared" si="35"/>
        <v>219.2</v>
      </c>
      <c r="AK18" s="207">
        <f t="shared" si="14"/>
        <v>2192</v>
      </c>
      <c r="AL18" s="207">
        <f t="shared" si="36"/>
        <v>219.2</v>
      </c>
      <c r="AM18" s="207">
        <f t="shared" si="15"/>
        <v>2192</v>
      </c>
      <c r="AN18" s="35">
        <f t="shared" si="16"/>
        <v>0.78285714285714281</v>
      </c>
      <c r="AO18" s="36">
        <f t="shared" si="17"/>
        <v>15344</v>
      </c>
      <c r="AQ18" s="227">
        <f t="shared" si="37"/>
        <v>0.70804876356230073</v>
      </c>
      <c r="AR18" s="38">
        <f t="shared" si="43"/>
        <v>65827.293548387097</v>
      </c>
      <c r="AS18" s="201">
        <f t="shared" si="38"/>
        <v>0</v>
      </c>
      <c r="AT18" s="278"/>
      <c r="AU18" s="460"/>
      <c r="AV18" s="555">
        <f>IF(AT18&gt;0,AU18,AV17)</f>
        <v>0.1</v>
      </c>
      <c r="AW18" s="301">
        <f>-SUM('B5'!AI17)</f>
        <v>0</v>
      </c>
      <c r="AX18" s="301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8">
        <f>ELEC!C16</f>
        <v>43904</v>
      </c>
      <c r="B19">
        <f>'B5'!B18</f>
        <v>213.3</v>
      </c>
      <c r="C19" s="207">
        <f t="shared" si="18"/>
        <v>4589.3903225806453</v>
      </c>
      <c r="D19">
        <f t="shared" si="19"/>
        <v>213.3</v>
      </c>
      <c r="E19" s="207">
        <f t="shared" si="18"/>
        <v>4589.3903225806453</v>
      </c>
      <c r="F19">
        <f t="shared" si="20"/>
        <v>213.3</v>
      </c>
      <c r="G19" s="207">
        <f t="shared" si="1"/>
        <v>4589.3903225806453</v>
      </c>
      <c r="H19" s="207">
        <f t="shared" si="21"/>
        <v>213.3</v>
      </c>
      <c r="I19" s="207">
        <f t="shared" si="2"/>
        <v>4589.3903225806453</v>
      </c>
      <c r="J19" s="207">
        <f t="shared" si="22"/>
        <v>213.3</v>
      </c>
      <c r="K19" s="207">
        <f t="shared" si="3"/>
        <v>4589.3903225806453</v>
      </c>
      <c r="L19" s="207">
        <f t="shared" si="23"/>
        <v>213.3</v>
      </c>
      <c r="M19" s="207">
        <f t="shared" si="4"/>
        <v>4589.3903225806453</v>
      </c>
      <c r="N19" s="207">
        <f t="shared" si="24"/>
        <v>213.3</v>
      </c>
      <c r="O19" s="207">
        <f t="shared" si="5"/>
        <v>4589.3903225806453</v>
      </c>
      <c r="P19" s="207">
        <f t="shared" si="25"/>
        <v>213.3</v>
      </c>
      <c r="Q19" s="207">
        <f t="shared" si="6"/>
        <v>4589.3903225806453</v>
      </c>
      <c r="R19" s="207">
        <f t="shared" si="26"/>
        <v>213.3</v>
      </c>
      <c r="S19" s="207">
        <f t="shared" si="7"/>
        <v>4589.3903225806453</v>
      </c>
      <c r="T19" s="207">
        <f t="shared" si="27"/>
        <v>213.3</v>
      </c>
      <c r="U19" s="207">
        <f t="shared" si="8"/>
        <v>4589.3903225806453</v>
      </c>
      <c r="V19" s="207">
        <f t="shared" si="28"/>
        <v>213.3</v>
      </c>
      <c r="W19" s="207">
        <f t="shared" si="9"/>
        <v>4589.3903225806453</v>
      </c>
      <c r="X19" s="35">
        <f t="shared" si="10"/>
        <v>0.68806451612903219</v>
      </c>
      <c r="Y19" s="36">
        <f t="shared" si="29"/>
        <v>50483.29354838709</v>
      </c>
      <c r="Z19" s="207">
        <f>'B5'!C18</f>
        <v>219.2</v>
      </c>
      <c r="AA19" s="207">
        <f t="shared" si="30"/>
        <v>2192</v>
      </c>
      <c r="AB19" s="207">
        <f t="shared" si="31"/>
        <v>219.2</v>
      </c>
      <c r="AC19" s="207">
        <f t="shared" si="30"/>
        <v>2192</v>
      </c>
      <c r="AD19" s="207">
        <f t="shared" si="32"/>
        <v>219.2</v>
      </c>
      <c r="AE19" s="207">
        <f t="shared" si="11"/>
        <v>2192</v>
      </c>
      <c r="AF19" s="207">
        <f t="shared" si="33"/>
        <v>219.2</v>
      </c>
      <c r="AG19" s="207">
        <f t="shared" si="12"/>
        <v>2192</v>
      </c>
      <c r="AH19" s="207">
        <f t="shared" si="34"/>
        <v>219.2</v>
      </c>
      <c r="AI19" s="207">
        <f t="shared" si="13"/>
        <v>2192</v>
      </c>
      <c r="AJ19" s="207">
        <f t="shared" si="35"/>
        <v>219.2</v>
      </c>
      <c r="AK19" s="207">
        <f t="shared" si="14"/>
        <v>2192</v>
      </c>
      <c r="AL19" s="207">
        <f t="shared" si="36"/>
        <v>219.2</v>
      </c>
      <c r="AM19" s="207">
        <f t="shared" si="15"/>
        <v>2192</v>
      </c>
      <c r="AN19" s="35">
        <f t="shared" si="16"/>
        <v>0.78285714285714281</v>
      </c>
      <c r="AO19" s="36">
        <f t="shared" si="17"/>
        <v>15344</v>
      </c>
      <c r="AQ19" s="227">
        <f t="shared" si="37"/>
        <v>0.70804876356230073</v>
      </c>
      <c r="AR19" s="38">
        <f t="shared" si="43"/>
        <v>65827.293548387097</v>
      </c>
      <c r="AS19" s="201">
        <f t="shared" si="38"/>
        <v>0</v>
      </c>
      <c r="AT19" s="278"/>
      <c r="AU19" s="504"/>
      <c r="AV19" s="555">
        <f t="shared" si="41"/>
        <v>0.1</v>
      </c>
      <c r="AW19" s="301">
        <f>-SUM('B5'!AI18)</f>
        <v>0</v>
      </c>
      <c r="AX19" s="301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8">
        <f>ELEC!C17</f>
        <v>43905</v>
      </c>
      <c r="B20">
        <f>'B5'!B19</f>
        <v>213.3</v>
      </c>
      <c r="C20" s="207">
        <f t="shared" si="18"/>
        <v>4589.3903225806453</v>
      </c>
      <c r="D20">
        <f t="shared" si="19"/>
        <v>213.3</v>
      </c>
      <c r="E20" s="207">
        <f t="shared" si="18"/>
        <v>4589.3903225806453</v>
      </c>
      <c r="F20">
        <f t="shared" si="20"/>
        <v>213.3</v>
      </c>
      <c r="G20" s="207">
        <f t="shared" si="1"/>
        <v>4589.3903225806453</v>
      </c>
      <c r="H20" s="207">
        <f t="shared" si="21"/>
        <v>213.3</v>
      </c>
      <c r="I20" s="207">
        <f t="shared" si="2"/>
        <v>4589.3903225806453</v>
      </c>
      <c r="J20" s="207">
        <f t="shared" si="22"/>
        <v>213.3</v>
      </c>
      <c r="K20" s="207">
        <f t="shared" si="3"/>
        <v>4589.3903225806453</v>
      </c>
      <c r="L20" s="207">
        <f t="shared" si="23"/>
        <v>213.3</v>
      </c>
      <c r="M20" s="207">
        <f t="shared" si="4"/>
        <v>4589.3903225806453</v>
      </c>
      <c r="N20" s="207">
        <f t="shared" si="24"/>
        <v>213.3</v>
      </c>
      <c r="O20" s="207">
        <f t="shared" si="5"/>
        <v>4589.3903225806453</v>
      </c>
      <c r="P20" s="207">
        <f t="shared" si="25"/>
        <v>213.3</v>
      </c>
      <c r="Q20" s="207">
        <f t="shared" si="6"/>
        <v>4589.3903225806453</v>
      </c>
      <c r="R20" s="207">
        <f t="shared" si="26"/>
        <v>213.3</v>
      </c>
      <c r="S20" s="207">
        <f t="shared" si="7"/>
        <v>4589.3903225806453</v>
      </c>
      <c r="T20" s="207">
        <f t="shared" si="27"/>
        <v>213.3</v>
      </c>
      <c r="U20" s="207">
        <f t="shared" si="8"/>
        <v>4589.3903225806453</v>
      </c>
      <c r="V20" s="207">
        <f t="shared" si="28"/>
        <v>213.3</v>
      </c>
      <c r="W20" s="207">
        <f t="shared" si="9"/>
        <v>4589.3903225806453</v>
      </c>
      <c r="X20" s="35">
        <f t="shared" si="10"/>
        <v>0.68806451612903219</v>
      </c>
      <c r="Y20" s="36">
        <f t="shared" si="29"/>
        <v>50483.29354838709</v>
      </c>
      <c r="Z20" s="207">
        <f>'B5'!C19</f>
        <v>219.2</v>
      </c>
      <c r="AA20" s="207">
        <f t="shared" si="30"/>
        <v>2192</v>
      </c>
      <c r="AB20" s="207">
        <f t="shared" si="31"/>
        <v>219.2</v>
      </c>
      <c r="AC20" s="207">
        <f t="shared" si="30"/>
        <v>2192</v>
      </c>
      <c r="AD20" s="207">
        <f t="shared" si="32"/>
        <v>219.2</v>
      </c>
      <c r="AE20" s="207">
        <f t="shared" si="11"/>
        <v>2192</v>
      </c>
      <c r="AF20" s="207">
        <f t="shared" si="33"/>
        <v>219.2</v>
      </c>
      <c r="AG20" s="207">
        <f t="shared" si="12"/>
        <v>2192</v>
      </c>
      <c r="AH20" s="207">
        <f t="shared" si="34"/>
        <v>219.2</v>
      </c>
      <c r="AI20" s="207">
        <f t="shared" si="13"/>
        <v>2192</v>
      </c>
      <c r="AJ20" s="207">
        <f t="shared" si="35"/>
        <v>219.2</v>
      </c>
      <c r="AK20" s="207">
        <f t="shared" si="14"/>
        <v>2192</v>
      </c>
      <c r="AL20" s="207">
        <f t="shared" si="36"/>
        <v>219.2</v>
      </c>
      <c r="AM20" s="207">
        <f t="shared" si="15"/>
        <v>2192</v>
      </c>
      <c r="AN20" s="35">
        <f t="shared" si="16"/>
        <v>0.78285714285714281</v>
      </c>
      <c r="AO20" s="36">
        <f t="shared" si="17"/>
        <v>15344</v>
      </c>
      <c r="AQ20" s="227">
        <f t="shared" si="37"/>
        <v>0.70804876356230073</v>
      </c>
      <c r="AR20" s="38">
        <f t="shared" si="43"/>
        <v>65827.293548387097</v>
      </c>
      <c r="AS20" s="201">
        <f t="shared" si="38"/>
        <v>0</v>
      </c>
      <c r="AT20" s="278"/>
      <c r="AU20" s="460"/>
      <c r="AV20" s="555">
        <f t="shared" si="41"/>
        <v>0.1</v>
      </c>
      <c r="AW20" s="301">
        <f>-SUM('B5'!AI19)</f>
        <v>0</v>
      </c>
      <c r="AX20" s="301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43906</v>
      </c>
      <c r="B21">
        <f>'B5'!B20</f>
        <v>213.3</v>
      </c>
      <c r="C21" s="207">
        <f t="shared" si="18"/>
        <v>4589.3903225806453</v>
      </c>
      <c r="D21">
        <f t="shared" si="19"/>
        <v>213.3</v>
      </c>
      <c r="E21" s="207">
        <f t="shared" si="18"/>
        <v>4589.3903225806453</v>
      </c>
      <c r="F21">
        <f t="shared" si="20"/>
        <v>213.3</v>
      </c>
      <c r="G21" s="207">
        <f t="shared" si="1"/>
        <v>4589.3903225806453</v>
      </c>
      <c r="H21" s="207">
        <f t="shared" si="21"/>
        <v>213.3</v>
      </c>
      <c r="I21" s="207">
        <f t="shared" si="2"/>
        <v>4589.3903225806453</v>
      </c>
      <c r="J21" s="207">
        <f t="shared" si="22"/>
        <v>213.3</v>
      </c>
      <c r="K21" s="207">
        <f t="shared" si="3"/>
        <v>4589.3903225806453</v>
      </c>
      <c r="L21" s="207">
        <f t="shared" si="23"/>
        <v>213.3</v>
      </c>
      <c r="M21" s="207">
        <f t="shared" si="4"/>
        <v>4589.3903225806453</v>
      </c>
      <c r="N21" s="207">
        <f t="shared" si="24"/>
        <v>213.3</v>
      </c>
      <c r="O21" s="207">
        <f t="shared" si="5"/>
        <v>4589.3903225806453</v>
      </c>
      <c r="P21" s="207">
        <f t="shared" si="25"/>
        <v>213.3</v>
      </c>
      <c r="Q21" s="207">
        <f t="shared" si="6"/>
        <v>4589.3903225806453</v>
      </c>
      <c r="R21" s="207">
        <f t="shared" si="26"/>
        <v>213.3</v>
      </c>
      <c r="S21" s="207">
        <f t="shared" si="7"/>
        <v>4589.3903225806453</v>
      </c>
      <c r="T21" s="207">
        <f t="shared" si="27"/>
        <v>213.3</v>
      </c>
      <c r="U21" s="207">
        <f t="shared" si="8"/>
        <v>4589.3903225806453</v>
      </c>
      <c r="V21" s="207">
        <f t="shared" si="28"/>
        <v>213.3</v>
      </c>
      <c r="W21" s="207">
        <f t="shared" si="9"/>
        <v>4589.3903225806453</v>
      </c>
      <c r="X21" s="35">
        <f t="shared" si="10"/>
        <v>0.68806451612903219</v>
      </c>
      <c r="Y21" s="36">
        <f t="shared" si="29"/>
        <v>50483.29354838709</v>
      </c>
      <c r="Z21" s="207">
        <f>'B5'!C20</f>
        <v>219.2</v>
      </c>
      <c r="AA21" s="207">
        <f t="shared" si="30"/>
        <v>2192</v>
      </c>
      <c r="AB21" s="207">
        <f t="shared" si="31"/>
        <v>219.2</v>
      </c>
      <c r="AC21" s="207">
        <f t="shared" si="30"/>
        <v>2192</v>
      </c>
      <c r="AD21" s="207">
        <f t="shared" si="32"/>
        <v>219.2</v>
      </c>
      <c r="AE21" s="207">
        <f t="shared" si="11"/>
        <v>2192</v>
      </c>
      <c r="AF21" s="207">
        <f t="shared" si="33"/>
        <v>219.2</v>
      </c>
      <c r="AG21" s="207">
        <f t="shared" si="12"/>
        <v>2192</v>
      </c>
      <c r="AH21" s="207">
        <f t="shared" si="34"/>
        <v>219.2</v>
      </c>
      <c r="AI21" s="207">
        <f t="shared" si="13"/>
        <v>2192</v>
      </c>
      <c r="AJ21" s="207">
        <f t="shared" si="35"/>
        <v>219.2</v>
      </c>
      <c r="AK21" s="207">
        <f t="shared" si="14"/>
        <v>2192</v>
      </c>
      <c r="AL21" s="207">
        <f t="shared" si="36"/>
        <v>219.2</v>
      </c>
      <c r="AM21" s="207">
        <f t="shared" si="15"/>
        <v>2192</v>
      </c>
      <c r="AN21" s="35">
        <f t="shared" si="16"/>
        <v>0.78285714285714281</v>
      </c>
      <c r="AO21" s="36">
        <f t="shared" si="17"/>
        <v>15344</v>
      </c>
      <c r="AQ21" s="227">
        <f t="shared" si="37"/>
        <v>0.70804876356230073</v>
      </c>
      <c r="AR21" s="38">
        <f>SUM(AO21+Y21)</f>
        <v>65827.293548387097</v>
      </c>
      <c r="AS21" s="201">
        <f>SUM(AR21-AR20-AT21)</f>
        <v>0</v>
      </c>
      <c r="AT21" s="278"/>
      <c r="AU21" s="460"/>
      <c r="AV21" s="555">
        <f t="shared" si="41"/>
        <v>0.1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43907</v>
      </c>
      <c r="B22">
        <f>'B5'!B21</f>
        <v>213.3</v>
      </c>
      <c r="C22" s="207">
        <f t="shared" si="18"/>
        <v>4589.3903225806453</v>
      </c>
      <c r="D22">
        <f t="shared" si="19"/>
        <v>213.3</v>
      </c>
      <c r="E22" s="207">
        <f t="shared" si="18"/>
        <v>4589.3903225806453</v>
      </c>
      <c r="F22">
        <f t="shared" si="20"/>
        <v>213.3</v>
      </c>
      <c r="G22" s="207">
        <f t="shared" si="1"/>
        <v>4589.3903225806453</v>
      </c>
      <c r="H22" s="207">
        <f t="shared" si="21"/>
        <v>213.3</v>
      </c>
      <c r="I22" s="207">
        <f t="shared" si="2"/>
        <v>4589.3903225806453</v>
      </c>
      <c r="J22" s="207">
        <f t="shared" si="22"/>
        <v>213.3</v>
      </c>
      <c r="K22" s="207">
        <f t="shared" si="3"/>
        <v>4589.3903225806453</v>
      </c>
      <c r="L22" s="207">
        <f t="shared" si="23"/>
        <v>213.3</v>
      </c>
      <c r="M22" s="207">
        <f t="shared" si="4"/>
        <v>4589.3903225806453</v>
      </c>
      <c r="N22" s="207">
        <f t="shared" si="24"/>
        <v>213.3</v>
      </c>
      <c r="O22" s="207">
        <f t="shared" si="5"/>
        <v>4589.3903225806453</v>
      </c>
      <c r="P22" s="207">
        <f t="shared" si="25"/>
        <v>213.3</v>
      </c>
      <c r="Q22" s="207">
        <f t="shared" si="6"/>
        <v>4589.3903225806453</v>
      </c>
      <c r="R22" s="207">
        <f t="shared" si="26"/>
        <v>213.3</v>
      </c>
      <c r="S22" s="207">
        <f t="shared" si="7"/>
        <v>4589.3903225806453</v>
      </c>
      <c r="T22" s="207">
        <f t="shared" si="27"/>
        <v>213.3</v>
      </c>
      <c r="U22" s="207">
        <f t="shared" si="8"/>
        <v>4589.3903225806453</v>
      </c>
      <c r="V22" s="207">
        <f t="shared" si="28"/>
        <v>213.3</v>
      </c>
      <c r="W22" s="207">
        <f t="shared" si="9"/>
        <v>4589.3903225806453</v>
      </c>
      <c r="X22" s="35">
        <f t="shared" si="10"/>
        <v>0.68806451612903219</v>
      </c>
      <c r="Y22" s="36">
        <f t="shared" si="29"/>
        <v>50483.29354838709</v>
      </c>
      <c r="Z22" s="207">
        <f>'B5'!C21</f>
        <v>219.2</v>
      </c>
      <c r="AA22" s="207">
        <f t="shared" si="30"/>
        <v>2192</v>
      </c>
      <c r="AB22" s="207">
        <f t="shared" si="31"/>
        <v>219.2</v>
      </c>
      <c r="AC22" s="207">
        <f t="shared" si="30"/>
        <v>2192</v>
      </c>
      <c r="AD22" s="207">
        <f t="shared" si="32"/>
        <v>219.2</v>
      </c>
      <c r="AE22" s="207">
        <f t="shared" si="11"/>
        <v>2192</v>
      </c>
      <c r="AF22" s="207">
        <f t="shared" si="33"/>
        <v>219.2</v>
      </c>
      <c r="AG22" s="207">
        <f t="shared" si="12"/>
        <v>2192</v>
      </c>
      <c r="AH22" s="207">
        <f t="shared" si="34"/>
        <v>219.2</v>
      </c>
      <c r="AI22" s="207">
        <f t="shared" si="13"/>
        <v>2192</v>
      </c>
      <c r="AJ22" s="207">
        <f t="shared" si="35"/>
        <v>219.2</v>
      </c>
      <c r="AK22" s="207">
        <f t="shared" si="14"/>
        <v>2192</v>
      </c>
      <c r="AL22" s="207">
        <f t="shared" si="36"/>
        <v>219.2</v>
      </c>
      <c r="AM22" s="207">
        <f t="shared" si="15"/>
        <v>2192</v>
      </c>
      <c r="AN22" s="35">
        <f t="shared" si="16"/>
        <v>0.78285714285714281</v>
      </c>
      <c r="AO22" s="36">
        <f t="shared" si="17"/>
        <v>15344</v>
      </c>
      <c r="AQ22" s="227">
        <f t="shared" si="37"/>
        <v>0.70804876356230073</v>
      </c>
      <c r="AR22" s="38">
        <f t="shared" si="43"/>
        <v>65827.293548387097</v>
      </c>
      <c r="AS22" s="201">
        <f t="shared" si="38"/>
        <v>0</v>
      </c>
      <c r="AT22" s="278"/>
      <c r="AU22" s="460"/>
      <c r="AV22" s="555">
        <f t="shared" si="41"/>
        <v>0.1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43908</v>
      </c>
      <c r="B23">
        <f>'B5'!B22</f>
        <v>213.3</v>
      </c>
      <c r="C23" s="207">
        <f t="shared" si="18"/>
        <v>4589.3903225806453</v>
      </c>
      <c r="D23">
        <f t="shared" si="19"/>
        <v>213.3</v>
      </c>
      <c r="E23" s="207">
        <f t="shared" si="18"/>
        <v>4589.3903225806453</v>
      </c>
      <c r="F23">
        <f t="shared" si="20"/>
        <v>213.3</v>
      </c>
      <c r="G23" s="207">
        <f t="shared" si="1"/>
        <v>4589.3903225806453</v>
      </c>
      <c r="H23" s="207">
        <f t="shared" si="21"/>
        <v>213.3</v>
      </c>
      <c r="I23" s="207">
        <f t="shared" si="2"/>
        <v>4589.3903225806453</v>
      </c>
      <c r="J23" s="207">
        <f t="shared" si="22"/>
        <v>213.3</v>
      </c>
      <c r="K23" s="207">
        <f t="shared" si="3"/>
        <v>4589.3903225806453</v>
      </c>
      <c r="L23" s="207">
        <f t="shared" si="23"/>
        <v>213.3</v>
      </c>
      <c r="M23" s="207">
        <f t="shared" si="4"/>
        <v>4589.3903225806453</v>
      </c>
      <c r="N23" s="207">
        <f t="shared" si="24"/>
        <v>213.3</v>
      </c>
      <c r="O23" s="207">
        <f t="shared" si="5"/>
        <v>4589.3903225806453</v>
      </c>
      <c r="P23" s="207">
        <f t="shared" si="25"/>
        <v>213.3</v>
      </c>
      <c r="Q23" s="207">
        <f t="shared" si="6"/>
        <v>4589.3903225806453</v>
      </c>
      <c r="R23" s="207">
        <f t="shared" si="26"/>
        <v>213.3</v>
      </c>
      <c r="S23" s="207">
        <f t="shared" si="7"/>
        <v>4589.3903225806453</v>
      </c>
      <c r="T23" s="207">
        <f t="shared" si="27"/>
        <v>213.3</v>
      </c>
      <c r="U23" s="207">
        <f t="shared" si="8"/>
        <v>4589.3903225806453</v>
      </c>
      <c r="V23" s="207">
        <f t="shared" si="28"/>
        <v>213.3</v>
      </c>
      <c r="W23" s="207">
        <f t="shared" si="9"/>
        <v>4589.3903225806453</v>
      </c>
      <c r="X23" s="35">
        <f t="shared" si="10"/>
        <v>0.68806451612903219</v>
      </c>
      <c r="Y23" s="36">
        <f t="shared" si="29"/>
        <v>50483.29354838709</v>
      </c>
      <c r="Z23" s="207">
        <f>'B5'!C22</f>
        <v>219.2</v>
      </c>
      <c r="AA23" s="207">
        <f t="shared" si="30"/>
        <v>2192</v>
      </c>
      <c r="AB23" s="207">
        <f t="shared" si="31"/>
        <v>219.2</v>
      </c>
      <c r="AC23" s="207">
        <f t="shared" si="30"/>
        <v>2192</v>
      </c>
      <c r="AD23" s="207">
        <f t="shared" si="32"/>
        <v>219.2</v>
      </c>
      <c r="AE23" s="207">
        <f t="shared" si="11"/>
        <v>2192</v>
      </c>
      <c r="AF23" s="207">
        <f t="shared" si="33"/>
        <v>219.2</v>
      </c>
      <c r="AG23" s="207">
        <f t="shared" si="12"/>
        <v>2192</v>
      </c>
      <c r="AH23" s="207">
        <f t="shared" si="34"/>
        <v>219.2</v>
      </c>
      <c r="AI23" s="207">
        <f t="shared" si="13"/>
        <v>2192</v>
      </c>
      <c r="AJ23" s="207">
        <f t="shared" si="35"/>
        <v>219.2</v>
      </c>
      <c r="AK23" s="207">
        <f t="shared" si="14"/>
        <v>2192</v>
      </c>
      <c r="AL23" s="207">
        <f t="shared" si="36"/>
        <v>219.2</v>
      </c>
      <c r="AM23" s="207">
        <f t="shared" si="15"/>
        <v>2192</v>
      </c>
      <c r="AN23" s="35">
        <f t="shared" si="16"/>
        <v>0.78285714285714281</v>
      </c>
      <c r="AO23" s="36">
        <f t="shared" si="17"/>
        <v>15344</v>
      </c>
      <c r="AQ23" s="227">
        <f t="shared" si="37"/>
        <v>0.70804876356230073</v>
      </c>
      <c r="AR23" s="38">
        <f t="shared" si="43"/>
        <v>65827.293548387097</v>
      </c>
      <c r="AS23" s="201">
        <f t="shared" si="38"/>
        <v>0</v>
      </c>
      <c r="AT23" s="278"/>
      <c r="AU23" s="460"/>
      <c r="AV23" s="555">
        <f t="shared" si="41"/>
        <v>0.1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43909</v>
      </c>
      <c r="B24">
        <f>'B5'!B23</f>
        <v>213.3</v>
      </c>
      <c r="C24" s="207">
        <f t="shared" si="18"/>
        <v>4589.3903225806453</v>
      </c>
      <c r="D24">
        <f t="shared" si="19"/>
        <v>213.3</v>
      </c>
      <c r="E24" s="207">
        <f t="shared" si="18"/>
        <v>4589.3903225806453</v>
      </c>
      <c r="F24">
        <f t="shared" si="20"/>
        <v>213.3</v>
      </c>
      <c r="G24" s="207">
        <f t="shared" si="1"/>
        <v>4589.3903225806453</v>
      </c>
      <c r="H24" s="207">
        <f t="shared" si="21"/>
        <v>213.3</v>
      </c>
      <c r="I24" s="207">
        <f t="shared" si="2"/>
        <v>4589.3903225806453</v>
      </c>
      <c r="J24" s="207">
        <f t="shared" si="22"/>
        <v>213.3</v>
      </c>
      <c r="K24" s="207">
        <f t="shared" si="3"/>
        <v>4589.3903225806453</v>
      </c>
      <c r="L24" s="207">
        <f t="shared" si="23"/>
        <v>213.3</v>
      </c>
      <c r="M24" s="207">
        <f t="shared" si="4"/>
        <v>4589.3903225806453</v>
      </c>
      <c r="N24" s="207">
        <f t="shared" si="24"/>
        <v>213.3</v>
      </c>
      <c r="O24" s="207">
        <f t="shared" si="5"/>
        <v>4589.3903225806453</v>
      </c>
      <c r="P24" s="207">
        <f t="shared" si="25"/>
        <v>213.3</v>
      </c>
      <c r="Q24" s="207">
        <f t="shared" si="6"/>
        <v>4589.3903225806453</v>
      </c>
      <c r="R24" s="207">
        <f t="shared" si="26"/>
        <v>213.3</v>
      </c>
      <c r="S24" s="207">
        <f t="shared" si="7"/>
        <v>4589.3903225806453</v>
      </c>
      <c r="T24" s="207">
        <f t="shared" si="27"/>
        <v>213.3</v>
      </c>
      <c r="U24" s="207">
        <f t="shared" si="8"/>
        <v>4589.3903225806453</v>
      </c>
      <c r="V24" s="207">
        <f t="shared" si="28"/>
        <v>213.3</v>
      </c>
      <c r="W24" s="207">
        <f t="shared" si="9"/>
        <v>4589.3903225806453</v>
      </c>
      <c r="X24" s="35">
        <f t="shared" si="10"/>
        <v>0.68806451612903219</v>
      </c>
      <c r="Y24" s="36">
        <f t="shared" si="29"/>
        <v>50483.29354838709</v>
      </c>
      <c r="Z24" s="207">
        <f>'B5'!C23</f>
        <v>219.2</v>
      </c>
      <c r="AA24" s="207">
        <f t="shared" si="30"/>
        <v>2192</v>
      </c>
      <c r="AB24" s="207">
        <f t="shared" si="31"/>
        <v>219.2</v>
      </c>
      <c r="AC24" s="207">
        <f t="shared" si="30"/>
        <v>2192</v>
      </c>
      <c r="AD24" s="207">
        <f t="shared" si="32"/>
        <v>219.2</v>
      </c>
      <c r="AE24" s="207">
        <f t="shared" si="11"/>
        <v>2192</v>
      </c>
      <c r="AF24" s="207">
        <f t="shared" si="33"/>
        <v>219.2</v>
      </c>
      <c r="AG24" s="207">
        <f t="shared" si="12"/>
        <v>2192</v>
      </c>
      <c r="AH24" s="207">
        <f t="shared" si="34"/>
        <v>219.2</v>
      </c>
      <c r="AI24" s="207">
        <f t="shared" si="13"/>
        <v>2192</v>
      </c>
      <c r="AJ24" s="207">
        <f t="shared" si="35"/>
        <v>219.2</v>
      </c>
      <c r="AK24" s="207">
        <f t="shared" si="14"/>
        <v>2192</v>
      </c>
      <c r="AL24" s="207">
        <f t="shared" si="36"/>
        <v>219.2</v>
      </c>
      <c r="AM24" s="207">
        <f t="shared" si="15"/>
        <v>2192</v>
      </c>
      <c r="AN24" s="35">
        <f t="shared" si="16"/>
        <v>0.78285714285714281</v>
      </c>
      <c r="AO24" s="36">
        <f t="shared" si="17"/>
        <v>15344</v>
      </c>
      <c r="AQ24" s="227">
        <f t="shared" si="37"/>
        <v>0.70804876356230073</v>
      </c>
      <c r="AR24" s="38">
        <f t="shared" si="43"/>
        <v>65827.293548387097</v>
      </c>
      <c r="AS24" s="201">
        <f t="shared" si="38"/>
        <v>0</v>
      </c>
      <c r="AT24" s="278"/>
      <c r="AU24" s="460"/>
      <c r="AV24" s="555">
        <f t="shared" si="41"/>
        <v>0.1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43910</v>
      </c>
      <c r="B25">
        <f>'B5'!B24</f>
        <v>213.3</v>
      </c>
      <c r="C25" s="207">
        <f t="shared" si="18"/>
        <v>4589.3903225806453</v>
      </c>
      <c r="D25">
        <f t="shared" si="19"/>
        <v>213.3</v>
      </c>
      <c r="E25" s="207">
        <f t="shared" si="18"/>
        <v>4589.3903225806453</v>
      </c>
      <c r="F25">
        <f t="shared" si="20"/>
        <v>213.3</v>
      </c>
      <c r="G25" s="207">
        <f t="shared" si="1"/>
        <v>4589.3903225806453</v>
      </c>
      <c r="H25" s="207">
        <f t="shared" si="21"/>
        <v>213.3</v>
      </c>
      <c r="I25" s="207">
        <f t="shared" si="2"/>
        <v>4589.3903225806453</v>
      </c>
      <c r="J25" s="207">
        <f t="shared" si="22"/>
        <v>213.3</v>
      </c>
      <c r="K25" s="207">
        <f t="shared" si="3"/>
        <v>4589.3903225806453</v>
      </c>
      <c r="L25" s="207">
        <f t="shared" si="23"/>
        <v>213.3</v>
      </c>
      <c r="M25" s="207">
        <f t="shared" si="4"/>
        <v>4589.3903225806453</v>
      </c>
      <c r="N25" s="207">
        <f t="shared" si="24"/>
        <v>213.3</v>
      </c>
      <c r="O25" s="207">
        <f t="shared" si="5"/>
        <v>4589.3903225806453</v>
      </c>
      <c r="P25" s="207">
        <f t="shared" si="25"/>
        <v>213.3</v>
      </c>
      <c r="Q25" s="207">
        <f t="shared" si="6"/>
        <v>4589.3903225806453</v>
      </c>
      <c r="R25" s="207">
        <f t="shared" si="26"/>
        <v>213.3</v>
      </c>
      <c r="S25" s="207">
        <f t="shared" si="7"/>
        <v>4589.3903225806453</v>
      </c>
      <c r="T25" s="207">
        <f t="shared" si="27"/>
        <v>213.3</v>
      </c>
      <c r="U25" s="207">
        <f t="shared" si="8"/>
        <v>4589.3903225806453</v>
      </c>
      <c r="V25" s="207">
        <f t="shared" si="28"/>
        <v>213.3</v>
      </c>
      <c r="W25" s="207">
        <f t="shared" si="9"/>
        <v>4589.3903225806453</v>
      </c>
      <c r="X25" s="35">
        <f t="shared" si="10"/>
        <v>0.68806451612903219</v>
      </c>
      <c r="Y25" s="36">
        <f t="shared" si="29"/>
        <v>50483.29354838709</v>
      </c>
      <c r="Z25" s="207">
        <f>'B5'!C24</f>
        <v>219.2</v>
      </c>
      <c r="AA25" s="207">
        <f t="shared" si="30"/>
        <v>2192</v>
      </c>
      <c r="AB25" s="207">
        <f t="shared" si="31"/>
        <v>219.2</v>
      </c>
      <c r="AC25" s="207">
        <f t="shared" si="30"/>
        <v>2192</v>
      </c>
      <c r="AD25" s="207">
        <f t="shared" si="32"/>
        <v>219.2</v>
      </c>
      <c r="AE25" s="207">
        <f t="shared" si="11"/>
        <v>2192</v>
      </c>
      <c r="AF25" s="207">
        <f t="shared" si="33"/>
        <v>219.2</v>
      </c>
      <c r="AG25" s="207">
        <f t="shared" si="12"/>
        <v>2192</v>
      </c>
      <c r="AH25" s="207">
        <f t="shared" si="34"/>
        <v>219.2</v>
      </c>
      <c r="AI25" s="207">
        <f t="shared" si="13"/>
        <v>2192</v>
      </c>
      <c r="AJ25" s="207">
        <f t="shared" si="35"/>
        <v>219.2</v>
      </c>
      <c r="AK25" s="207">
        <f t="shared" si="14"/>
        <v>2192</v>
      </c>
      <c r="AL25" s="207">
        <f t="shared" si="36"/>
        <v>219.2</v>
      </c>
      <c r="AM25" s="207">
        <f t="shared" si="15"/>
        <v>2192</v>
      </c>
      <c r="AN25" s="35">
        <f t="shared" si="16"/>
        <v>0.78285714285714281</v>
      </c>
      <c r="AO25" s="36">
        <f t="shared" si="17"/>
        <v>15344</v>
      </c>
      <c r="AQ25" s="227">
        <f t="shared" si="37"/>
        <v>0.70804876356230073</v>
      </c>
      <c r="AR25" s="38">
        <f t="shared" si="43"/>
        <v>65827.293548387097</v>
      </c>
      <c r="AS25" s="201">
        <f t="shared" si="38"/>
        <v>0</v>
      </c>
      <c r="AT25" s="278"/>
      <c r="AU25" s="460"/>
      <c r="AV25" s="555">
        <f t="shared" si="41"/>
        <v>0.1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43911</v>
      </c>
      <c r="B26">
        <f>'B5'!B25</f>
        <v>213.3</v>
      </c>
      <c r="C26" s="207">
        <f t="shared" si="18"/>
        <v>4589.3903225806453</v>
      </c>
      <c r="D26">
        <f t="shared" si="19"/>
        <v>213.3</v>
      </c>
      <c r="E26" s="207">
        <f t="shared" si="18"/>
        <v>4589.3903225806453</v>
      </c>
      <c r="F26">
        <f t="shared" si="20"/>
        <v>213.3</v>
      </c>
      <c r="G26" s="207">
        <f t="shared" si="1"/>
        <v>4589.3903225806453</v>
      </c>
      <c r="H26" s="207">
        <f t="shared" si="21"/>
        <v>213.3</v>
      </c>
      <c r="I26" s="207">
        <f t="shared" si="2"/>
        <v>4589.3903225806453</v>
      </c>
      <c r="J26" s="207">
        <f t="shared" si="22"/>
        <v>213.3</v>
      </c>
      <c r="K26" s="207">
        <f t="shared" si="3"/>
        <v>4589.3903225806453</v>
      </c>
      <c r="L26" s="207">
        <f t="shared" si="23"/>
        <v>213.3</v>
      </c>
      <c r="M26" s="207">
        <f t="shared" si="4"/>
        <v>4589.3903225806453</v>
      </c>
      <c r="N26" s="207">
        <f t="shared" si="24"/>
        <v>213.3</v>
      </c>
      <c r="O26" s="207">
        <f t="shared" si="5"/>
        <v>4589.3903225806453</v>
      </c>
      <c r="P26" s="207">
        <f t="shared" si="25"/>
        <v>213.3</v>
      </c>
      <c r="Q26" s="207">
        <f t="shared" si="6"/>
        <v>4589.3903225806453</v>
      </c>
      <c r="R26" s="207">
        <f t="shared" si="26"/>
        <v>213.3</v>
      </c>
      <c r="S26" s="207">
        <f t="shared" si="7"/>
        <v>4589.3903225806453</v>
      </c>
      <c r="T26" s="207">
        <f t="shared" si="27"/>
        <v>213.3</v>
      </c>
      <c r="U26" s="207">
        <f t="shared" si="8"/>
        <v>4589.3903225806453</v>
      </c>
      <c r="V26" s="207">
        <f t="shared" si="28"/>
        <v>213.3</v>
      </c>
      <c r="W26" s="207">
        <f t="shared" si="9"/>
        <v>4589.3903225806453</v>
      </c>
      <c r="X26" s="35">
        <f t="shared" si="10"/>
        <v>0.68806451612903219</v>
      </c>
      <c r="Y26" s="36">
        <f t="shared" si="29"/>
        <v>50483.29354838709</v>
      </c>
      <c r="Z26" s="207">
        <f>'B5'!C25</f>
        <v>219.2</v>
      </c>
      <c r="AA26" s="207">
        <f t="shared" si="30"/>
        <v>2192</v>
      </c>
      <c r="AB26" s="207">
        <f t="shared" si="31"/>
        <v>219.2</v>
      </c>
      <c r="AC26" s="207">
        <f t="shared" si="30"/>
        <v>2192</v>
      </c>
      <c r="AD26" s="207">
        <f t="shared" si="32"/>
        <v>219.2</v>
      </c>
      <c r="AE26" s="207">
        <f t="shared" si="11"/>
        <v>2192</v>
      </c>
      <c r="AF26" s="207">
        <f t="shared" si="33"/>
        <v>219.2</v>
      </c>
      <c r="AG26" s="207">
        <f t="shared" si="12"/>
        <v>2192</v>
      </c>
      <c r="AH26" s="207">
        <f t="shared" si="34"/>
        <v>219.2</v>
      </c>
      <c r="AI26" s="207">
        <f t="shared" si="13"/>
        <v>2192</v>
      </c>
      <c r="AJ26" s="207">
        <f t="shared" si="35"/>
        <v>219.2</v>
      </c>
      <c r="AK26" s="207">
        <f t="shared" si="14"/>
        <v>2192</v>
      </c>
      <c r="AL26" s="207">
        <f t="shared" si="36"/>
        <v>219.2</v>
      </c>
      <c r="AM26" s="207">
        <f t="shared" si="15"/>
        <v>2192</v>
      </c>
      <c r="AN26" s="35">
        <f t="shared" si="16"/>
        <v>0.78285714285714281</v>
      </c>
      <c r="AO26" s="36">
        <f t="shared" si="17"/>
        <v>15344</v>
      </c>
      <c r="AQ26" s="227">
        <f t="shared" si="37"/>
        <v>0.70804876356230073</v>
      </c>
      <c r="AR26" s="38">
        <f t="shared" si="43"/>
        <v>65827.293548387097</v>
      </c>
      <c r="AS26" s="201">
        <f t="shared" si="38"/>
        <v>0</v>
      </c>
      <c r="AT26" s="278"/>
      <c r="AU26" s="460"/>
      <c r="AV26" s="555">
        <f t="shared" si="41"/>
        <v>0.1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43912</v>
      </c>
      <c r="B27">
        <f>'B5'!B26</f>
        <v>213.3</v>
      </c>
      <c r="C27" s="207">
        <f t="shared" si="18"/>
        <v>4589.3903225806453</v>
      </c>
      <c r="D27">
        <f t="shared" si="19"/>
        <v>213.3</v>
      </c>
      <c r="E27" s="207">
        <f t="shared" si="18"/>
        <v>4589.3903225806453</v>
      </c>
      <c r="F27">
        <f t="shared" si="20"/>
        <v>213.3</v>
      </c>
      <c r="G27" s="207">
        <f t="shared" si="1"/>
        <v>4589.3903225806453</v>
      </c>
      <c r="H27" s="207">
        <f t="shared" si="21"/>
        <v>213.3</v>
      </c>
      <c r="I27" s="207">
        <f t="shared" si="2"/>
        <v>4589.3903225806453</v>
      </c>
      <c r="J27" s="207">
        <f t="shared" si="22"/>
        <v>213.3</v>
      </c>
      <c r="K27" s="207">
        <f t="shared" si="3"/>
        <v>4589.3903225806453</v>
      </c>
      <c r="L27" s="207">
        <f t="shared" si="23"/>
        <v>213.3</v>
      </c>
      <c r="M27" s="207">
        <f t="shared" si="4"/>
        <v>4589.3903225806453</v>
      </c>
      <c r="N27" s="207">
        <f t="shared" si="24"/>
        <v>213.3</v>
      </c>
      <c r="O27" s="207">
        <f t="shared" si="5"/>
        <v>4589.3903225806453</v>
      </c>
      <c r="P27" s="207">
        <f t="shared" si="25"/>
        <v>213.3</v>
      </c>
      <c r="Q27" s="207">
        <f t="shared" si="6"/>
        <v>4589.3903225806453</v>
      </c>
      <c r="R27" s="207">
        <f t="shared" si="26"/>
        <v>213.3</v>
      </c>
      <c r="S27" s="207">
        <f t="shared" si="7"/>
        <v>4589.3903225806453</v>
      </c>
      <c r="T27" s="207">
        <f t="shared" si="27"/>
        <v>213.3</v>
      </c>
      <c r="U27" s="207">
        <f t="shared" si="8"/>
        <v>4589.3903225806453</v>
      </c>
      <c r="V27" s="207">
        <f t="shared" si="28"/>
        <v>213.3</v>
      </c>
      <c r="W27" s="207">
        <f t="shared" si="9"/>
        <v>4589.3903225806453</v>
      </c>
      <c r="X27" s="35">
        <f t="shared" si="10"/>
        <v>0.68806451612903219</v>
      </c>
      <c r="Y27" s="36">
        <f t="shared" si="29"/>
        <v>50483.29354838709</v>
      </c>
      <c r="Z27" s="207">
        <f>'B5'!C26</f>
        <v>219.2</v>
      </c>
      <c r="AA27" s="207">
        <f t="shared" si="30"/>
        <v>2192</v>
      </c>
      <c r="AB27" s="207">
        <f t="shared" si="31"/>
        <v>219.2</v>
      </c>
      <c r="AC27" s="207">
        <f t="shared" si="30"/>
        <v>2192</v>
      </c>
      <c r="AD27" s="207">
        <f t="shared" si="32"/>
        <v>219.2</v>
      </c>
      <c r="AE27" s="207">
        <f t="shared" si="11"/>
        <v>2192</v>
      </c>
      <c r="AF27" s="207">
        <f t="shared" si="33"/>
        <v>219.2</v>
      </c>
      <c r="AG27" s="207">
        <f t="shared" si="12"/>
        <v>2192</v>
      </c>
      <c r="AH27" s="207">
        <f t="shared" si="34"/>
        <v>219.2</v>
      </c>
      <c r="AI27" s="207">
        <f t="shared" si="13"/>
        <v>2192</v>
      </c>
      <c r="AJ27" s="207">
        <f t="shared" si="35"/>
        <v>219.2</v>
      </c>
      <c r="AK27" s="207">
        <f t="shared" si="14"/>
        <v>2192</v>
      </c>
      <c r="AL27" s="207">
        <f t="shared" si="36"/>
        <v>219.2</v>
      </c>
      <c r="AM27" s="207">
        <f t="shared" si="15"/>
        <v>2192</v>
      </c>
      <c r="AN27" s="35">
        <f t="shared" si="16"/>
        <v>0.78285714285714281</v>
      </c>
      <c r="AO27" s="36">
        <f t="shared" si="17"/>
        <v>15344</v>
      </c>
      <c r="AQ27" s="227">
        <f t="shared" si="37"/>
        <v>0.70804876356230073</v>
      </c>
      <c r="AR27" s="38">
        <f t="shared" si="43"/>
        <v>65827.293548387097</v>
      </c>
      <c r="AS27" s="201">
        <f t="shared" si="38"/>
        <v>0</v>
      </c>
      <c r="AT27" s="278"/>
      <c r="AU27" s="460"/>
      <c r="AV27" s="555">
        <f t="shared" si="41"/>
        <v>0.1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43913</v>
      </c>
      <c r="B28">
        <f>'B5'!B27</f>
        <v>213.3</v>
      </c>
      <c r="C28" s="207">
        <f t="shared" si="18"/>
        <v>4589.3903225806453</v>
      </c>
      <c r="D28">
        <f t="shared" si="19"/>
        <v>213.3</v>
      </c>
      <c r="E28" s="207">
        <f t="shared" si="18"/>
        <v>4589.3903225806453</v>
      </c>
      <c r="F28">
        <f t="shared" si="20"/>
        <v>213.3</v>
      </c>
      <c r="G28" s="207">
        <f t="shared" si="1"/>
        <v>4589.3903225806453</v>
      </c>
      <c r="H28" s="207">
        <f t="shared" si="21"/>
        <v>213.3</v>
      </c>
      <c r="I28" s="207">
        <f t="shared" si="2"/>
        <v>4589.3903225806453</v>
      </c>
      <c r="J28" s="207">
        <f t="shared" si="22"/>
        <v>213.3</v>
      </c>
      <c r="K28" s="207">
        <f t="shared" si="3"/>
        <v>4589.3903225806453</v>
      </c>
      <c r="L28" s="207">
        <f t="shared" si="23"/>
        <v>213.3</v>
      </c>
      <c r="M28" s="207">
        <f t="shared" si="4"/>
        <v>4589.3903225806453</v>
      </c>
      <c r="N28" s="207">
        <f t="shared" si="24"/>
        <v>213.3</v>
      </c>
      <c r="O28" s="207">
        <f t="shared" si="5"/>
        <v>4589.3903225806453</v>
      </c>
      <c r="P28" s="207">
        <f t="shared" si="25"/>
        <v>213.3</v>
      </c>
      <c r="Q28" s="207">
        <f t="shared" si="6"/>
        <v>4589.3903225806453</v>
      </c>
      <c r="R28" s="207">
        <f t="shared" si="26"/>
        <v>213.3</v>
      </c>
      <c r="S28" s="207">
        <f t="shared" si="7"/>
        <v>4589.3903225806453</v>
      </c>
      <c r="T28" s="207">
        <f t="shared" si="27"/>
        <v>213.3</v>
      </c>
      <c r="U28" s="207">
        <f t="shared" si="8"/>
        <v>4589.3903225806453</v>
      </c>
      <c r="V28" s="207">
        <f t="shared" si="28"/>
        <v>213.3</v>
      </c>
      <c r="W28" s="207">
        <f t="shared" si="9"/>
        <v>4589.3903225806453</v>
      </c>
      <c r="X28" s="35">
        <f t="shared" si="10"/>
        <v>0.68806451612903219</v>
      </c>
      <c r="Y28" s="36">
        <f t="shared" si="29"/>
        <v>50483.29354838709</v>
      </c>
      <c r="Z28" s="207">
        <f>'B5'!C27</f>
        <v>219.2</v>
      </c>
      <c r="AA28" s="207">
        <f t="shared" si="30"/>
        <v>2192</v>
      </c>
      <c r="AB28" s="207">
        <f t="shared" si="31"/>
        <v>219.2</v>
      </c>
      <c r="AC28" s="207">
        <f t="shared" si="30"/>
        <v>2192</v>
      </c>
      <c r="AD28" s="207">
        <f t="shared" si="32"/>
        <v>219.2</v>
      </c>
      <c r="AE28" s="207">
        <f t="shared" si="11"/>
        <v>2192</v>
      </c>
      <c r="AF28" s="207">
        <f t="shared" si="33"/>
        <v>219.2</v>
      </c>
      <c r="AG28" s="207">
        <f t="shared" si="12"/>
        <v>2192</v>
      </c>
      <c r="AH28" s="207">
        <f t="shared" si="34"/>
        <v>219.2</v>
      </c>
      <c r="AI28" s="207">
        <f t="shared" si="13"/>
        <v>2192</v>
      </c>
      <c r="AJ28" s="207">
        <f t="shared" si="35"/>
        <v>219.2</v>
      </c>
      <c r="AK28" s="207">
        <f t="shared" si="14"/>
        <v>2192</v>
      </c>
      <c r="AL28" s="207">
        <f t="shared" si="36"/>
        <v>219.2</v>
      </c>
      <c r="AM28" s="207">
        <f t="shared" si="15"/>
        <v>2192</v>
      </c>
      <c r="AN28" s="35">
        <f t="shared" si="16"/>
        <v>0.78285714285714281</v>
      </c>
      <c r="AO28" s="36">
        <f t="shared" si="17"/>
        <v>15344</v>
      </c>
      <c r="AQ28" s="227">
        <f t="shared" si="37"/>
        <v>0.70804876356230073</v>
      </c>
      <c r="AR28" s="38">
        <f t="shared" si="43"/>
        <v>65827.293548387097</v>
      </c>
      <c r="AS28" s="201">
        <f t="shared" si="38"/>
        <v>0</v>
      </c>
      <c r="AT28" s="375"/>
      <c r="AU28" s="460"/>
      <c r="AV28" s="555">
        <f t="shared" si="41"/>
        <v>0.1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43914</v>
      </c>
      <c r="B29">
        <f>'B5'!B28</f>
        <v>213.3</v>
      </c>
      <c r="C29" s="207">
        <f t="shared" si="18"/>
        <v>4589.3903225806453</v>
      </c>
      <c r="D29">
        <f t="shared" si="19"/>
        <v>213.3</v>
      </c>
      <c r="E29" s="207">
        <f t="shared" si="18"/>
        <v>4589.3903225806453</v>
      </c>
      <c r="F29">
        <f t="shared" si="20"/>
        <v>213.3</v>
      </c>
      <c r="G29" s="207">
        <f t="shared" si="1"/>
        <v>4589.3903225806453</v>
      </c>
      <c r="H29" s="207">
        <f t="shared" si="21"/>
        <v>213.3</v>
      </c>
      <c r="I29" s="207">
        <f t="shared" si="2"/>
        <v>4589.3903225806453</v>
      </c>
      <c r="J29" s="207">
        <f t="shared" si="22"/>
        <v>213.3</v>
      </c>
      <c r="K29" s="207">
        <f t="shared" si="3"/>
        <v>4589.3903225806453</v>
      </c>
      <c r="L29" s="207">
        <f t="shared" si="23"/>
        <v>213.3</v>
      </c>
      <c r="M29" s="207">
        <f t="shared" si="4"/>
        <v>4589.3903225806453</v>
      </c>
      <c r="N29" s="207">
        <f t="shared" si="24"/>
        <v>213.3</v>
      </c>
      <c r="O29" s="207">
        <f t="shared" si="5"/>
        <v>4589.3903225806453</v>
      </c>
      <c r="P29" s="207">
        <f t="shared" si="25"/>
        <v>213.3</v>
      </c>
      <c r="Q29" s="207">
        <f t="shared" si="6"/>
        <v>4589.3903225806453</v>
      </c>
      <c r="R29" s="207">
        <f t="shared" si="26"/>
        <v>213.3</v>
      </c>
      <c r="S29" s="207">
        <f t="shared" si="7"/>
        <v>4589.3903225806453</v>
      </c>
      <c r="T29" s="207">
        <f t="shared" si="27"/>
        <v>213.3</v>
      </c>
      <c r="U29" s="207">
        <f t="shared" si="8"/>
        <v>4589.3903225806453</v>
      </c>
      <c r="V29" s="207">
        <f t="shared" si="28"/>
        <v>213.3</v>
      </c>
      <c r="W29" s="207">
        <f t="shared" si="9"/>
        <v>4589.3903225806453</v>
      </c>
      <c r="X29" s="35">
        <f t="shared" si="10"/>
        <v>0.68806451612903219</v>
      </c>
      <c r="Y29" s="36">
        <f t="shared" si="29"/>
        <v>50483.29354838709</v>
      </c>
      <c r="Z29" s="207">
        <f>'B5'!C28</f>
        <v>219.2</v>
      </c>
      <c r="AA29" s="207">
        <f t="shared" si="30"/>
        <v>2192</v>
      </c>
      <c r="AB29" s="207">
        <f t="shared" si="31"/>
        <v>219.2</v>
      </c>
      <c r="AC29" s="207">
        <f t="shared" si="30"/>
        <v>2192</v>
      </c>
      <c r="AD29" s="207">
        <f t="shared" si="32"/>
        <v>219.2</v>
      </c>
      <c r="AE29" s="207">
        <f t="shared" si="11"/>
        <v>2192</v>
      </c>
      <c r="AF29" s="207">
        <f t="shared" si="33"/>
        <v>219.2</v>
      </c>
      <c r="AG29" s="207">
        <f t="shared" si="12"/>
        <v>2192</v>
      </c>
      <c r="AH29" s="207">
        <f t="shared" si="34"/>
        <v>219.2</v>
      </c>
      <c r="AI29" s="207">
        <f t="shared" si="13"/>
        <v>2192</v>
      </c>
      <c r="AJ29" s="207">
        <f t="shared" si="35"/>
        <v>219.2</v>
      </c>
      <c r="AK29" s="207">
        <f t="shared" si="14"/>
        <v>2192</v>
      </c>
      <c r="AL29" s="207">
        <f t="shared" si="36"/>
        <v>219.2</v>
      </c>
      <c r="AM29" s="207">
        <f t="shared" si="15"/>
        <v>2192</v>
      </c>
      <c r="AN29" s="35">
        <f t="shared" si="16"/>
        <v>0.78285714285714281</v>
      </c>
      <c r="AO29" s="36">
        <f t="shared" si="17"/>
        <v>15344</v>
      </c>
      <c r="AQ29" s="227">
        <f t="shared" si="37"/>
        <v>0.70804876356230073</v>
      </c>
      <c r="AR29" s="38">
        <f t="shared" ref="AR29:AR35" si="44">SUM(AO29+Y29)</f>
        <v>65827.293548387097</v>
      </c>
      <c r="AS29" s="201">
        <f t="shared" si="38"/>
        <v>0</v>
      </c>
      <c r="AT29" s="375"/>
      <c r="AU29" s="460"/>
      <c r="AV29" s="555">
        <f t="shared" si="41"/>
        <v>0.1</v>
      </c>
      <c r="AW29" s="301">
        <f>-SUM('B5'!AI28)</f>
        <v>0</v>
      </c>
      <c r="AX29" s="301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43915</v>
      </c>
      <c r="B30">
        <f>'B5'!B29</f>
        <v>213.3</v>
      </c>
      <c r="C30" s="207">
        <f t="shared" si="18"/>
        <v>4589.3903225806453</v>
      </c>
      <c r="D30">
        <f t="shared" ref="D30:D35" si="45">SUM(B30)</f>
        <v>213.3</v>
      </c>
      <c r="E30" s="207">
        <f t="shared" si="18"/>
        <v>4589.3903225806453</v>
      </c>
      <c r="F30">
        <f t="shared" ref="F30:F35" si="46">SUM(D30)</f>
        <v>213.3</v>
      </c>
      <c r="G30" s="207">
        <f t="shared" si="1"/>
        <v>4589.3903225806453</v>
      </c>
      <c r="H30" s="207">
        <f t="shared" ref="H30:H35" si="47">SUM(F30)</f>
        <v>213.3</v>
      </c>
      <c r="I30" s="207">
        <f t="shared" si="2"/>
        <v>4589.3903225806453</v>
      </c>
      <c r="J30" s="207">
        <f t="shared" ref="J30:J35" si="48">SUM(H30)</f>
        <v>213.3</v>
      </c>
      <c r="K30" s="207">
        <f t="shared" si="3"/>
        <v>4589.3903225806453</v>
      </c>
      <c r="L30" s="207">
        <f t="shared" ref="L30:L35" si="49">SUM(J30)</f>
        <v>213.3</v>
      </c>
      <c r="M30" s="207">
        <f t="shared" si="4"/>
        <v>4589.3903225806453</v>
      </c>
      <c r="N30" s="207">
        <f t="shared" ref="N30:N35" si="50">SUM(L30)</f>
        <v>213.3</v>
      </c>
      <c r="O30" s="207">
        <f t="shared" si="5"/>
        <v>4589.3903225806453</v>
      </c>
      <c r="P30" s="207">
        <f t="shared" ref="P30:P35" si="51">SUM(N30)</f>
        <v>213.3</v>
      </c>
      <c r="Q30" s="207">
        <f t="shared" si="6"/>
        <v>4589.3903225806453</v>
      </c>
      <c r="R30" s="207">
        <f t="shared" ref="R30:R35" si="52">SUM(P30)</f>
        <v>213.3</v>
      </c>
      <c r="S30" s="207">
        <f t="shared" si="7"/>
        <v>4589.3903225806453</v>
      </c>
      <c r="T30" s="207">
        <f t="shared" ref="T30:T35" si="53">SUM(R30)</f>
        <v>213.3</v>
      </c>
      <c r="U30" s="207">
        <f t="shared" si="8"/>
        <v>4589.3903225806453</v>
      </c>
      <c r="V30" s="207">
        <f t="shared" ref="V30:V35" si="54">SUM(T30)</f>
        <v>213.3</v>
      </c>
      <c r="W30" s="207">
        <f t="shared" si="9"/>
        <v>4589.3903225806453</v>
      </c>
      <c r="X30" s="35">
        <f t="shared" ref="X30:X35" si="55">SUM(Y30/73370)</f>
        <v>0.68806451612903219</v>
      </c>
      <c r="Y30" s="36">
        <f t="shared" ref="Y30:Y35" si="56">SUM(C30+E30+G30+I30+K30+M30+O30+Q30+S30+U30+W30)</f>
        <v>50483.29354838709</v>
      </c>
      <c r="Z30" s="207">
        <f>'B5'!C29</f>
        <v>219.2</v>
      </c>
      <c r="AA30" s="207">
        <f t="shared" si="30"/>
        <v>2192</v>
      </c>
      <c r="AB30" s="207">
        <f t="shared" ref="AB30:AB35" si="57">SUM(Z30)</f>
        <v>219.2</v>
      </c>
      <c r="AC30" s="207">
        <f t="shared" si="30"/>
        <v>2192</v>
      </c>
      <c r="AD30" s="207">
        <f t="shared" ref="AD30:AD35" si="58">SUM(AB30)</f>
        <v>219.2</v>
      </c>
      <c r="AE30" s="207">
        <f t="shared" si="11"/>
        <v>2192</v>
      </c>
      <c r="AF30" s="207">
        <f t="shared" ref="AF30:AF35" si="59">SUM(AD30)</f>
        <v>219.2</v>
      </c>
      <c r="AG30" s="207">
        <f t="shared" si="12"/>
        <v>2192</v>
      </c>
      <c r="AH30" s="207">
        <f t="shared" ref="AH30:AH35" si="60">SUM(AF30)</f>
        <v>219.2</v>
      </c>
      <c r="AI30" s="207">
        <f t="shared" si="13"/>
        <v>2192</v>
      </c>
      <c r="AJ30" s="207">
        <f t="shared" ref="AJ30:AJ35" si="61">SUM(AH30)</f>
        <v>219.2</v>
      </c>
      <c r="AK30" s="207">
        <f t="shared" si="14"/>
        <v>2192</v>
      </c>
      <c r="AL30" s="207">
        <f t="shared" ref="AL30:AL35" si="62">SUM(AJ30)</f>
        <v>219.2</v>
      </c>
      <c r="AM30" s="207">
        <f t="shared" si="15"/>
        <v>2192</v>
      </c>
      <c r="AN30" s="35">
        <f t="shared" ref="AN30:AN35" si="63">SUM(AO30/19600)</f>
        <v>0.78285714285714281</v>
      </c>
      <c r="AO30" s="36">
        <f t="shared" ref="AO30:AO35" si="64">SUM(AA30+AC30+AE30+AG30+AI30+AK30+AM30)</f>
        <v>15344</v>
      </c>
      <c r="AQ30" s="227">
        <f t="shared" si="37"/>
        <v>0.70804876356230073</v>
      </c>
      <c r="AR30" s="38">
        <f t="shared" si="44"/>
        <v>65827.293548387097</v>
      </c>
      <c r="AS30" s="201">
        <f t="shared" si="38"/>
        <v>0</v>
      </c>
      <c r="AT30" s="375"/>
      <c r="AU30" s="460"/>
      <c r="AV30" s="555">
        <f t="shared" si="41"/>
        <v>0.1</v>
      </c>
      <c r="AW30" s="301">
        <f>-SUM('B5'!AI29)</f>
        <v>0</v>
      </c>
      <c r="AX30" s="301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43916</v>
      </c>
      <c r="B31">
        <f>'B5'!B30</f>
        <v>213.3</v>
      </c>
      <c r="C31" s="207">
        <f t="shared" si="18"/>
        <v>4589.3903225806453</v>
      </c>
      <c r="D31">
        <f t="shared" si="45"/>
        <v>213.3</v>
      </c>
      <c r="E31" s="207">
        <f t="shared" si="18"/>
        <v>4589.3903225806453</v>
      </c>
      <c r="F31">
        <f t="shared" si="46"/>
        <v>213.3</v>
      </c>
      <c r="G31" s="207">
        <f t="shared" si="1"/>
        <v>4589.3903225806453</v>
      </c>
      <c r="H31" s="207">
        <f t="shared" si="47"/>
        <v>213.3</v>
      </c>
      <c r="I31" s="207">
        <f t="shared" si="2"/>
        <v>4589.3903225806453</v>
      </c>
      <c r="J31" s="207">
        <f t="shared" si="48"/>
        <v>213.3</v>
      </c>
      <c r="K31" s="207">
        <f t="shared" si="3"/>
        <v>4589.3903225806453</v>
      </c>
      <c r="L31" s="207">
        <f t="shared" si="49"/>
        <v>213.3</v>
      </c>
      <c r="M31" s="207">
        <f t="shared" si="4"/>
        <v>4589.3903225806453</v>
      </c>
      <c r="N31" s="207">
        <f t="shared" si="50"/>
        <v>213.3</v>
      </c>
      <c r="O31" s="207">
        <f t="shared" si="5"/>
        <v>4589.3903225806453</v>
      </c>
      <c r="P31" s="207">
        <f t="shared" si="51"/>
        <v>213.3</v>
      </c>
      <c r="Q31" s="207">
        <f t="shared" si="6"/>
        <v>4589.3903225806453</v>
      </c>
      <c r="R31" s="207">
        <f t="shared" si="52"/>
        <v>213.3</v>
      </c>
      <c r="S31" s="207">
        <f t="shared" si="7"/>
        <v>4589.3903225806453</v>
      </c>
      <c r="T31" s="207">
        <f t="shared" si="53"/>
        <v>213.3</v>
      </c>
      <c r="U31" s="207">
        <f t="shared" si="8"/>
        <v>4589.3903225806453</v>
      </c>
      <c r="V31" s="207">
        <f t="shared" si="54"/>
        <v>213.3</v>
      </c>
      <c r="W31" s="207">
        <f t="shared" si="9"/>
        <v>4589.3903225806453</v>
      </c>
      <c r="X31" s="35">
        <f t="shared" si="55"/>
        <v>0.68806451612903219</v>
      </c>
      <c r="Y31" s="36">
        <f t="shared" si="56"/>
        <v>50483.29354838709</v>
      </c>
      <c r="Z31" s="207">
        <f>'B5'!C30</f>
        <v>219.2</v>
      </c>
      <c r="AA31" s="207">
        <f t="shared" si="30"/>
        <v>2192</v>
      </c>
      <c r="AB31" s="207">
        <f t="shared" si="57"/>
        <v>219.2</v>
      </c>
      <c r="AC31" s="207">
        <f t="shared" si="30"/>
        <v>2192</v>
      </c>
      <c r="AD31" s="207">
        <f t="shared" si="58"/>
        <v>219.2</v>
      </c>
      <c r="AE31" s="207">
        <f t="shared" si="11"/>
        <v>2192</v>
      </c>
      <c r="AF31" s="207">
        <f t="shared" si="59"/>
        <v>219.2</v>
      </c>
      <c r="AG31" s="207">
        <f t="shared" si="12"/>
        <v>2192</v>
      </c>
      <c r="AH31" s="207">
        <f t="shared" si="60"/>
        <v>219.2</v>
      </c>
      <c r="AI31" s="207">
        <f t="shared" si="13"/>
        <v>2192</v>
      </c>
      <c r="AJ31" s="207">
        <f t="shared" si="61"/>
        <v>219.2</v>
      </c>
      <c r="AK31" s="207">
        <f t="shared" si="14"/>
        <v>2192</v>
      </c>
      <c r="AL31" s="207">
        <f t="shared" si="62"/>
        <v>219.2</v>
      </c>
      <c r="AM31" s="207">
        <f t="shared" si="15"/>
        <v>2192</v>
      </c>
      <c r="AN31" s="35">
        <f t="shared" si="63"/>
        <v>0.78285714285714281</v>
      </c>
      <c r="AO31" s="36">
        <f t="shared" si="64"/>
        <v>15344</v>
      </c>
      <c r="AQ31" s="227">
        <f t="shared" si="37"/>
        <v>0.70804876356230073</v>
      </c>
      <c r="AR31" s="38">
        <f t="shared" si="44"/>
        <v>65827.293548387097</v>
      </c>
      <c r="AS31" s="201">
        <f>SUM(AR31-AR30-AT31)</f>
        <v>0</v>
      </c>
      <c r="AT31" s="375"/>
      <c r="AU31" s="460"/>
      <c r="AV31" s="555">
        <f t="shared" si="41"/>
        <v>0.1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43917</v>
      </c>
      <c r="B32">
        <f>'B5'!B31</f>
        <v>213.3</v>
      </c>
      <c r="C32" s="207">
        <f t="shared" si="18"/>
        <v>4589.3903225806453</v>
      </c>
      <c r="D32">
        <f t="shared" si="45"/>
        <v>213.3</v>
      </c>
      <c r="E32" s="207">
        <f t="shared" si="18"/>
        <v>4589.3903225806453</v>
      </c>
      <c r="F32">
        <f t="shared" si="46"/>
        <v>213.3</v>
      </c>
      <c r="G32" s="207">
        <f t="shared" si="1"/>
        <v>4589.3903225806453</v>
      </c>
      <c r="H32" s="207">
        <f t="shared" si="47"/>
        <v>213.3</v>
      </c>
      <c r="I32" s="207">
        <f t="shared" si="2"/>
        <v>4589.3903225806453</v>
      </c>
      <c r="J32" s="207">
        <f t="shared" si="48"/>
        <v>213.3</v>
      </c>
      <c r="K32" s="207">
        <f t="shared" si="3"/>
        <v>4589.3903225806453</v>
      </c>
      <c r="L32" s="207">
        <f t="shared" si="49"/>
        <v>213.3</v>
      </c>
      <c r="M32" s="207">
        <f t="shared" si="4"/>
        <v>4589.3903225806453</v>
      </c>
      <c r="N32" s="207">
        <f t="shared" si="50"/>
        <v>213.3</v>
      </c>
      <c r="O32" s="207">
        <f t="shared" si="5"/>
        <v>4589.3903225806453</v>
      </c>
      <c r="P32" s="207">
        <f t="shared" si="51"/>
        <v>213.3</v>
      </c>
      <c r="Q32" s="207">
        <f t="shared" si="6"/>
        <v>4589.3903225806453</v>
      </c>
      <c r="R32" s="207">
        <f t="shared" si="52"/>
        <v>213.3</v>
      </c>
      <c r="S32" s="207">
        <f t="shared" si="7"/>
        <v>4589.3903225806453</v>
      </c>
      <c r="T32" s="207">
        <f t="shared" si="53"/>
        <v>213.3</v>
      </c>
      <c r="U32" s="207">
        <f t="shared" si="8"/>
        <v>4589.3903225806453</v>
      </c>
      <c r="V32" s="207">
        <f t="shared" si="54"/>
        <v>213.3</v>
      </c>
      <c r="W32" s="207">
        <f t="shared" si="9"/>
        <v>4589.3903225806453</v>
      </c>
      <c r="X32" s="35">
        <f t="shared" si="55"/>
        <v>0.68806451612903219</v>
      </c>
      <c r="Y32" s="36">
        <f t="shared" si="56"/>
        <v>50483.29354838709</v>
      </c>
      <c r="Z32" s="207">
        <f>'B5'!C31</f>
        <v>219.2</v>
      </c>
      <c r="AA32" s="207">
        <f t="shared" si="30"/>
        <v>2192</v>
      </c>
      <c r="AB32" s="207">
        <f t="shared" si="57"/>
        <v>219.2</v>
      </c>
      <c r="AC32" s="207">
        <f t="shared" si="30"/>
        <v>2192</v>
      </c>
      <c r="AD32" s="207">
        <f t="shared" si="58"/>
        <v>219.2</v>
      </c>
      <c r="AE32" s="207">
        <f t="shared" si="11"/>
        <v>2192</v>
      </c>
      <c r="AF32" s="207">
        <f t="shared" si="59"/>
        <v>219.2</v>
      </c>
      <c r="AG32" s="207">
        <f t="shared" si="12"/>
        <v>2192</v>
      </c>
      <c r="AH32" s="207">
        <f t="shared" si="60"/>
        <v>219.2</v>
      </c>
      <c r="AI32" s="207">
        <f t="shared" si="13"/>
        <v>2192</v>
      </c>
      <c r="AJ32" s="207">
        <f t="shared" si="61"/>
        <v>219.2</v>
      </c>
      <c r="AK32" s="207">
        <f t="shared" si="14"/>
        <v>2192</v>
      </c>
      <c r="AL32" s="207">
        <f t="shared" si="62"/>
        <v>219.2</v>
      </c>
      <c r="AM32" s="207">
        <f t="shared" si="15"/>
        <v>2192</v>
      </c>
      <c r="AN32" s="35">
        <f t="shared" si="63"/>
        <v>0.78285714285714281</v>
      </c>
      <c r="AO32" s="36">
        <f t="shared" si="64"/>
        <v>15344</v>
      </c>
      <c r="AQ32" s="227">
        <f t="shared" si="37"/>
        <v>0.70804876356230073</v>
      </c>
      <c r="AR32" s="38">
        <f t="shared" si="44"/>
        <v>65827.293548387097</v>
      </c>
      <c r="AS32" s="201">
        <f t="shared" si="38"/>
        <v>0</v>
      </c>
      <c r="AT32" s="375"/>
      <c r="AU32" s="460"/>
      <c r="AV32" s="555">
        <f>IF(AT32&gt;0,AU32,AV31)</f>
        <v>0.1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43918</v>
      </c>
      <c r="B33">
        <f>'B5'!B32</f>
        <v>213.3</v>
      </c>
      <c r="C33" s="207">
        <f t="shared" si="18"/>
        <v>4589.3903225806453</v>
      </c>
      <c r="D33">
        <f t="shared" si="45"/>
        <v>213.3</v>
      </c>
      <c r="E33" s="207">
        <f t="shared" si="18"/>
        <v>4589.3903225806453</v>
      </c>
      <c r="F33">
        <f t="shared" si="46"/>
        <v>213.3</v>
      </c>
      <c r="G33" s="207">
        <f t="shared" si="1"/>
        <v>4589.3903225806453</v>
      </c>
      <c r="H33" s="207">
        <f t="shared" si="47"/>
        <v>213.3</v>
      </c>
      <c r="I33" s="207">
        <f t="shared" si="2"/>
        <v>4589.3903225806453</v>
      </c>
      <c r="J33" s="207">
        <f t="shared" si="48"/>
        <v>213.3</v>
      </c>
      <c r="K33" s="207">
        <f t="shared" si="3"/>
        <v>4589.3903225806453</v>
      </c>
      <c r="L33" s="207">
        <f t="shared" si="49"/>
        <v>213.3</v>
      </c>
      <c r="M33" s="207">
        <f t="shared" si="4"/>
        <v>4589.3903225806453</v>
      </c>
      <c r="N33" s="207">
        <f t="shared" si="50"/>
        <v>213.3</v>
      </c>
      <c r="O33" s="207">
        <f t="shared" si="5"/>
        <v>4589.3903225806453</v>
      </c>
      <c r="P33" s="207">
        <f t="shared" si="51"/>
        <v>213.3</v>
      </c>
      <c r="Q33" s="207">
        <f t="shared" si="6"/>
        <v>4589.3903225806453</v>
      </c>
      <c r="R33" s="207">
        <f t="shared" si="52"/>
        <v>213.3</v>
      </c>
      <c r="S33" s="207">
        <f t="shared" si="7"/>
        <v>4589.3903225806453</v>
      </c>
      <c r="T33" s="207">
        <f t="shared" si="53"/>
        <v>213.3</v>
      </c>
      <c r="U33" s="207">
        <f t="shared" si="8"/>
        <v>4589.3903225806453</v>
      </c>
      <c r="V33" s="207">
        <f t="shared" si="54"/>
        <v>213.3</v>
      </c>
      <c r="W33" s="207">
        <f t="shared" si="9"/>
        <v>4589.3903225806453</v>
      </c>
      <c r="X33" s="35">
        <f t="shared" si="55"/>
        <v>0.68806451612903219</v>
      </c>
      <c r="Y33" s="36">
        <f t="shared" si="56"/>
        <v>50483.29354838709</v>
      </c>
      <c r="Z33" s="207">
        <f>'B5'!C32</f>
        <v>219.2</v>
      </c>
      <c r="AA33" s="207">
        <f t="shared" si="30"/>
        <v>2192</v>
      </c>
      <c r="AB33" s="207">
        <f t="shared" si="57"/>
        <v>219.2</v>
      </c>
      <c r="AC33" s="207">
        <f t="shared" si="30"/>
        <v>2192</v>
      </c>
      <c r="AD33" s="207">
        <f t="shared" si="58"/>
        <v>219.2</v>
      </c>
      <c r="AE33" s="207">
        <f t="shared" si="11"/>
        <v>2192</v>
      </c>
      <c r="AF33" s="207">
        <f t="shared" si="59"/>
        <v>219.2</v>
      </c>
      <c r="AG33" s="207">
        <f t="shared" si="12"/>
        <v>2192</v>
      </c>
      <c r="AH33" s="207">
        <f t="shared" si="60"/>
        <v>219.2</v>
      </c>
      <c r="AI33" s="207">
        <f t="shared" si="13"/>
        <v>2192</v>
      </c>
      <c r="AJ33" s="207">
        <f t="shared" si="61"/>
        <v>219.2</v>
      </c>
      <c r="AK33" s="207">
        <f t="shared" si="14"/>
        <v>2192</v>
      </c>
      <c r="AL33" s="207">
        <f t="shared" si="62"/>
        <v>219.2</v>
      </c>
      <c r="AM33" s="207">
        <f t="shared" si="15"/>
        <v>2192</v>
      </c>
      <c r="AN33" s="35">
        <f t="shared" si="63"/>
        <v>0.78285714285714281</v>
      </c>
      <c r="AO33" s="36">
        <f t="shared" si="64"/>
        <v>15344</v>
      </c>
      <c r="AQ33" s="227">
        <f t="shared" si="37"/>
        <v>0.70804876356230073</v>
      </c>
      <c r="AR33" s="38">
        <f t="shared" si="44"/>
        <v>65827.293548387097</v>
      </c>
      <c r="AS33" s="201">
        <f t="shared" si="38"/>
        <v>0</v>
      </c>
      <c r="AT33" s="375"/>
      <c r="AU33" s="460"/>
      <c r="AV33" s="555">
        <f>IF(AT33&gt;0,AU33,AV32)</f>
        <v>0.1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43919</v>
      </c>
      <c r="B34">
        <f>'B5'!B33</f>
        <v>213.3</v>
      </c>
      <c r="C34" s="207">
        <f t="shared" si="18"/>
        <v>4589.3903225806453</v>
      </c>
      <c r="D34">
        <f t="shared" si="45"/>
        <v>213.3</v>
      </c>
      <c r="E34" s="207">
        <f t="shared" si="18"/>
        <v>4589.3903225806453</v>
      </c>
      <c r="F34">
        <f t="shared" si="46"/>
        <v>213.3</v>
      </c>
      <c r="G34" s="207">
        <f t="shared" si="1"/>
        <v>4589.3903225806453</v>
      </c>
      <c r="H34" s="207">
        <f t="shared" si="47"/>
        <v>213.3</v>
      </c>
      <c r="I34" s="207">
        <f t="shared" si="2"/>
        <v>4589.3903225806453</v>
      </c>
      <c r="J34" s="207">
        <f t="shared" si="48"/>
        <v>213.3</v>
      </c>
      <c r="K34" s="207">
        <f t="shared" si="3"/>
        <v>4589.3903225806453</v>
      </c>
      <c r="L34" s="207">
        <f t="shared" si="49"/>
        <v>213.3</v>
      </c>
      <c r="M34" s="207">
        <f t="shared" si="4"/>
        <v>4589.3903225806453</v>
      </c>
      <c r="N34" s="207">
        <f t="shared" si="50"/>
        <v>213.3</v>
      </c>
      <c r="O34" s="207">
        <f t="shared" si="5"/>
        <v>4589.3903225806453</v>
      </c>
      <c r="P34" s="207">
        <f t="shared" si="51"/>
        <v>213.3</v>
      </c>
      <c r="Q34" s="207">
        <f t="shared" si="6"/>
        <v>4589.3903225806453</v>
      </c>
      <c r="R34" s="207">
        <f t="shared" si="52"/>
        <v>213.3</v>
      </c>
      <c r="S34" s="207">
        <f t="shared" si="7"/>
        <v>4589.3903225806453</v>
      </c>
      <c r="T34" s="207">
        <f t="shared" si="53"/>
        <v>213.3</v>
      </c>
      <c r="U34" s="207">
        <f t="shared" si="8"/>
        <v>4589.3903225806453</v>
      </c>
      <c r="V34" s="207">
        <f t="shared" si="54"/>
        <v>213.3</v>
      </c>
      <c r="W34" s="207">
        <f t="shared" si="9"/>
        <v>4589.3903225806453</v>
      </c>
      <c r="X34" s="35">
        <f t="shared" si="55"/>
        <v>0.68806451612903219</v>
      </c>
      <c r="Y34" s="36">
        <f t="shared" si="56"/>
        <v>50483.29354838709</v>
      </c>
      <c r="Z34" s="207">
        <f>'B5'!C33</f>
        <v>219.2</v>
      </c>
      <c r="AA34" s="207">
        <f t="shared" si="30"/>
        <v>2192</v>
      </c>
      <c r="AB34" s="207">
        <f t="shared" si="57"/>
        <v>219.2</v>
      </c>
      <c r="AC34" s="207">
        <f t="shared" si="30"/>
        <v>2192</v>
      </c>
      <c r="AD34" s="207">
        <f t="shared" si="58"/>
        <v>219.2</v>
      </c>
      <c r="AE34" s="207">
        <f t="shared" si="11"/>
        <v>2192</v>
      </c>
      <c r="AF34" s="207">
        <f t="shared" si="59"/>
        <v>219.2</v>
      </c>
      <c r="AG34" s="207">
        <f t="shared" si="12"/>
        <v>2192</v>
      </c>
      <c r="AH34" s="207">
        <f t="shared" si="60"/>
        <v>219.2</v>
      </c>
      <c r="AI34" s="207">
        <f t="shared" si="13"/>
        <v>2192</v>
      </c>
      <c r="AJ34" s="207">
        <f t="shared" si="61"/>
        <v>219.2</v>
      </c>
      <c r="AK34" s="207">
        <f t="shared" si="14"/>
        <v>2192</v>
      </c>
      <c r="AL34" s="207">
        <f t="shared" si="62"/>
        <v>219.2</v>
      </c>
      <c r="AM34" s="207">
        <f t="shared" si="15"/>
        <v>2192</v>
      </c>
      <c r="AN34" s="35">
        <f t="shared" si="63"/>
        <v>0.78285714285714281</v>
      </c>
      <c r="AO34" s="36">
        <f t="shared" si="64"/>
        <v>15344</v>
      </c>
      <c r="AQ34" s="227">
        <f>SUM(AR34/92970)</f>
        <v>0.70804876356230073</v>
      </c>
      <c r="AR34" s="38">
        <f t="shared" si="44"/>
        <v>65827.293548387097</v>
      </c>
      <c r="AS34" s="201">
        <f t="shared" si="38"/>
        <v>0</v>
      </c>
      <c r="AT34" s="375"/>
      <c r="AU34" s="460"/>
      <c r="AV34" s="555">
        <f t="shared" si="41"/>
        <v>0.1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43920</v>
      </c>
      <c r="B35">
        <f>'B5'!B34</f>
        <v>213.3</v>
      </c>
      <c r="C35" s="207">
        <f t="shared" si="18"/>
        <v>4589.3903225806453</v>
      </c>
      <c r="D35">
        <f t="shared" si="45"/>
        <v>213.3</v>
      </c>
      <c r="E35" s="207">
        <f t="shared" si="18"/>
        <v>4589.3903225806453</v>
      </c>
      <c r="F35">
        <f t="shared" si="46"/>
        <v>213.3</v>
      </c>
      <c r="G35" s="207">
        <f t="shared" si="1"/>
        <v>4589.3903225806453</v>
      </c>
      <c r="H35" s="207">
        <f t="shared" si="47"/>
        <v>213.3</v>
      </c>
      <c r="I35" s="207">
        <f t="shared" si="2"/>
        <v>4589.3903225806453</v>
      </c>
      <c r="J35" s="207">
        <f t="shared" si="48"/>
        <v>213.3</v>
      </c>
      <c r="K35" s="207">
        <f t="shared" si="3"/>
        <v>4589.3903225806453</v>
      </c>
      <c r="L35" s="207">
        <f t="shared" si="49"/>
        <v>213.3</v>
      </c>
      <c r="M35" s="207">
        <f t="shared" si="4"/>
        <v>4589.3903225806453</v>
      </c>
      <c r="N35" s="207">
        <f t="shared" si="50"/>
        <v>213.3</v>
      </c>
      <c r="O35" s="207">
        <f t="shared" si="5"/>
        <v>4589.3903225806453</v>
      </c>
      <c r="P35" s="207">
        <f t="shared" si="51"/>
        <v>213.3</v>
      </c>
      <c r="Q35" s="207">
        <f t="shared" si="6"/>
        <v>4589.3903225806453</v>
      </c>
      <c r="R35" s="207">
        <f t="shared" si="52"/>
        <v>213.3</v>
      </c>
      <c r="S35" s="207">
        <f t="shared" si="7"/>
        <v>4589.3903225806453</v>
      </c>
      <c r="T35" s="207">
        <f t="shared" si="53"/>
        <v>213.3</v>
      </c>
      <c r="U35" s="207">
        <f t="shared" si="8"/>
        <v>4589.3903225806453</v>
      </c>
      <c r="V35" s="207">
        <f t="shared" si="54"/>
        <v>213.3</v>
      </c>
      <c r="W35" s="207">
        <f t="shared" si="9"/>
        <v>4589.3903225806453</v>
      </c>
      <c r="X35" s="35">
        <f t="shared" si="55"/>
        <v>0.68806451612903219</v>
      </c>
      <c r="Y35" s="36">
        <f t="shared" si="56"/>
        <v>50483.29354838709</v>
      </c>
      <c r="Z35" s="207">
        <f>'B5'!C34</f>
        <v>219.2</v>
      </c>
      <c r="AA35" s="207">
        <f t="shared" si="30"/>
        <v>2192</v>
      </c>
      <c r="AB35" s="207">
        <f t="shared" si="57"/>
        <v>219.2</v>
      </c>
      <c r="AC35" s="207">
        <f t="shared" si="30"/>
        <v>2192</v>
      </c>
      <c r="AD35" s="207">
        <f t="shared" si="58"/>
        <v>219.2</v>
      </c>
      <c r="AE35" s="207">
        <f t="shared" si="11"/>
        <v>2192</v>
      </c>
      <c r="AF35" s="207">
        <f t="shared" si="59"/>
        <v>219.2</v>
      </c>
      <c r="AG35" s="207">
        <f t="shared" si="12"/>
        <v>2192</v>
      </c>
      <c r="AH35" s="207">
        <f t="shared" si="60"/>
        <v>219.2</v>
      </c>
      <c r="AI35" s="207">
        <f t="shared" si="13"/>
        <v>2192</v>
      </c>
      <c r="AJ35" s="207">
        <f t="shared" si="61"/>
        <v>219.2</v>
      </c>
      <c r="AK35" s="207">
        <f t="shared" si="14"/>
        <v>2192</v>
      </c>
      <c r="AL35" s="207">
        <f t="shared" si="62"/>
        <v>219.2</v>
      </c>
      <c r="AM35" s="207">
        <f t="shared" si="15"/>
        <v>2192</v>
      </c>
      <c r="AN35" s="35">
        <f t="shared" si="63"/>
        <v>0.78285714285714281</v>
      </c>
      <c r="AO35" s="36">
        <f t="shared" si="64"/>
        <v>15344</v>
      </c>
      <c r="AQ35" s="227">
        <f>SUM(AR35/92970)</f>
        <v>0.70804876356230073</v>
      </c>
      <c r="AR35" s="38">
        <f t="shared" si="44"/>
        <v>65827.293548387097</v>
      </c>
      <c r="AS35" s="201">
        <f t="shared" si="38"/>
        <v>0</v>
      </c>
      <c r="AT35" s="375"/>
      <c r="AU35" s="460"/>
      <c r="AV35" s="555">
        <f>IF(AT35&gt;0,AU35,AV34)</f>
        <v>0.1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43921</v>
      </c>
      <c r="B36">
        <f>'B5'!B35</f>
        <v>213.3</v>
      </c>
      <c r="C36" s="207">
        <f>B36*$B$4</f>
        <v>4589.3903225806453</v>
      </c>
      <c r="D36">
        <f>SUM(B36)</f>
        <v>213.3</v>
      </c>
      <c r="E36" s="207">
        <f>D36*$B$4</f>
        <v>4589.3903225806453</v>
      </c>
      <c r="F36">
        <f>SUM(D36)</f>
        <v>213.3</v>
      </c>
      <c r="G36" s="207">
        <f>F36*$B$4</f>
        <v>4589.3903225806453</v>
      </c>
      <c r="H36" s="207">
        <f>SUM(F36)</f>
        <v>213.3</v>
      </c>
      <c r="I36" s="207">
        <f>H36*$B$4</f>
        <v>4589.3903225806453</v>
      </c>
      <c r="J36" s="207">
        <f>SUM(H36)</f>
        <v>213.3</v>
      </c>
      <c r="K36" s="207">
        <f>J36*$B$4</f>
        <v>4589.3903225806453</v>
      </c>
      <c r="L36" s="207">
        <f>SUM(J36)</f>
        <v>213.3</v>
      </c>
      <c r="M36" s="207">
        <f>L36*$B$4</f>
        <v>4589.3903225806453</v>
      </c>
      <c r="N36" s="207">
        <f>SUM(L36)</f>
        <v>213.3</v>
      </c>
      <c r="O36" s="207">
        <f>N36*$B$4</f>
        <v>4589.3903225806453</v>
      </c>
      <c r="P36" s="207">
        <f>SUM(N36)</f>
        <v>213.3</v>
      </c>
      <c r="Q36" s="207">
        <f>P36*$B$4</f>
        <v>4589.3903225806453</v>
      </c>
      <c r="R36" s="207">
        <f>SUM(P36)</f>
        <v>213.3</v>
      </c>
      <c r="S36" s="207">
        <f>R36*$B$4</f>
        <v>4589.3903225806453</v>
      </c>
      <c r="T36" s="207">
        <f>SUM(R36)</f>
        <v>213.3</v>
      </c>
      <c r="U36" s="207">
        <f>T36*$B$4</f>
        <v>4589.3903225806453</v>
      </c>
      <c r="V36" s="207">
        <f>SUM(T36)</f>
        <v>213.3</v>
      </c>
      <c r="W36" s="207">
        <f>V36*$B$4</f>
        <v>4589.3903225806453</v>
      </c>
      <c r="X36" s="35">
        <f>SUM(Y36/73370)</f>
        <v>0.68806451612903219</v>
      </c>
      <c r="Y36" s="36">
        <f>SUM(C36+E36+G36+I36+K36+M36+O36+Q36+S36+U36+W36)</f>
        <v>50483.29354838709</v>
      </c>
      <c r="Z36" s="207">
        <f>'B5'!C35</f>
        <v>219.2</v>
      </c>
      <c r="AA36" s="207">
        <f>SUM(Z36*$Z$4)</f>
        <v>2192</v>
      </c>
      <c r="AB36" s="207">
        <f>SUM(Z36)</f>
        <v>219.2</v>
      </c>
      <c r="AC36" s="207">
        <f>SUM(AB36*$Z$4)</f>
        <v>2192</v>
      </c>
      <c r="AD36" s="207">
        <f>SUM(AB36)</f>
        <v>219.2</v>
      </c>
      <c r="AE36" s="207">
        <f>SUM(AD36*$Z$4)</f>
        <v>2192</v>
      </c>
      <c r="AF36" s="207">
        <f>SUM(AD36)</f>
        <v>219.2</v>
      </c>
      <c r="AG36" s="207">
        <f>SUM(AF36*$Z$4)</f>
        <v>2192</v>
      </c>
      <c r="AH36" s="207">
        <f>SUM(AF36)</f>
        <v>219.2</v>
      </c>
      <c r="AI36" s="207">
        <f>SUM(AH36*$Z$4)</f>
        <v>2192</v>
      </c>
      <c r="AJ36" s="207">
        <f>SUM(AH36)</f>
        <v>219.2</v>
      </c>
      <c r="AK36" s="207">
        <f>SUM(AJ36*$Z$4)</f>
        <v>2192</v>
      </c>
      <c r="AL36" s="207">
        <f>SUM(AJ36)</f>
        <v>219.2</v>
      </c>
      <c r="AM36" s="207">
        <f>SUM(AL36*$Z$4)</f>
        <v>2192</v>
      </c>
      <c r="AN36" s="35">
        <f>SUM(AO36/19600)</f>
        <v>0.78285714285714281</v>
      </c>
      <c r="AO36" s="36">
        <f>SUM(AA36+AC36+AE36+AG36+AI36+AK36+AM36)</f>
        <v>15344</v>
      </c>
      <c r="AP36" s="259"/>
      <c r="AQ36" s="227">
        <f>SUM(AR36/92970)</f>
        <v>0.70804876356230073</v>
      </c>
      <c r="AR36" s="38">
        <f>SUM(AO36+Y36)</f>
        <v>65827.293548387097</v>
      </c>
      <c r="AS36" s="201">
        <f>SUM(AR36-AR35-AT36)</f>
        <v>0</v>
      </c>
      <c r="AT36" s="375"/>
      <c r="AU36" s="460"/>
      <c r="AV36" s="555">
        <f>IF(AT36&gt;0,AU36,AV35)</f>
        <v>0.1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0.1</v>
      </c>
      <c r="AU37">
        <f>SUM(AU6:AU36)/AS37</f>
        <v>0.1</v>
      </c>
      <c r="AX37" s="207">
        <f>SUM(AX6:AX36)</f>
        <v>-3641.5483870967814</v>
      </c>
      <c r="AY37" s="207">
        <f>SUM(AY6:AY36)</f>
        <v>-6126.6483870967877</v>
      </c>
    </row>
    <row r="38" spans="1:60">
      <c r="AS38" s="210"/>
      <c r="AT38">
        <f>+AT37*AU37</f>
        <v>1.0000000000000002E-2</v>
      </c>
    </row>
    <row r="40" spans="1:60">
      <c r="AS40" s="166">
        <f>SUM(AS6:AS36)/'EDl log'!A36</f>
        <v>-1531.6620967741969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N1" zoomScaleNormal="100" workbookViewId="0">
      <pane ySplit="1" topLeftCell="A2" activePane="bottomLeft" state="frozen"/>
      <selection pane="bottomLeft" activeCell="AH6" sqref="AH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43890</v>
      </c>
      <c r="B2" s="277">
        <f>[1]GEN!B31</f>
        <v>8543</v>
      </c>
      <c r="C2" s="277">
        <f>[1]GEN!C31</f>
        <v>6</v>
      </c>
      <c r="D2" s="277">
        <f>[1]GEN!D31</f>
        <v>129830.6</v>
      </c>
      <c r="E2" s="277">
        <f>[1]GEN!E31</f>
        <v>1004.7000000000116</v>
      </c>
      <c r="F2" s="277">
        <f>[1]GEN!F31</f>
        <v>167.45000000000195</v>
      </c>
      <c r="G2" s="277">
        <f>[1]GEN!G31</f>
        <v>0</v>
      </c>
      <c r="H2" s="277">
        <f>[1]GEN!H31</f>
        <v>8497</v>
      </c>
      <c r="I2" s="277" t="str">
        <f>[1]GEN!I31</f>
        <v>oil change</v>
      </c>
      <c r="J2" s="277">
        <f>[1]GEN!J31</f>
        <v>10689</v>
      </c>
      <c r="K2" s="277">
        <f>[1]GEN!K31</f>
        <v>0</v>
      </c>
      <c r="L2" s="277">
        <f>[1]GEN!L31</f>
        <v>237069.5</v>
      </c>
      <c r="M2" s="277">
        <f>[1]GEN!M31</f>
        <v>0</v>
      </c>
      <c r="N2" s="277">
        <f>[1]GEN!N31</f>
        <v>0</v>
      </c>
      <c r="O2" s="277">
        <f>[1]GEN!O31</f>
        <v>0</v>
      </c>
      <c r="P2" s="277">
        <f>[1]GEN!P31</f>
        <v>10873</v>
      </c>
      <c r="Q2" s="277" t="str">
        <f>[1]GEN!Q31</f>
        <v>ok</v>
      </c>
      <c r="R2" s="277">
        <f>[1]GEN!R31</f>
        <v>10992</v>
      </c>
      <c r="S2" s="277">
        <f>[1]GEN!S31</f>
        <v>0</v>
      </c>
      <c r="T2" s="277">
        <f>[1]GEN!T31</f>
        <v>201286.1</v>
      </c>
      <c r="U2" s="277">
        <f>[1]GEN!U31</f>
        <v>0.10000000000582077</v>
      </c>
      <c r="V2" s="277">
        <f>[1]GEN!V31</f>
        <v>0</v>
      </c>
      <c r="W2" s="277">
        <f>[1]GEN!W31</f>
        <v>0</v>
      </c>
      <c r="X2" s="277">
        <f>[1]GEN!X31</f>
        <v>11349</v>
      </c>
      <c r="Y2" s="277" t="str">
        <f>[1]GEN!Y31</f>
        <v>ok</v>
      </c>
      <c r="Z2" s="277">
        <f>[1]GEN!Z31</f>
        <v>6</v>
      </c>
      <c r="AA2" s="277">
        <f>[1]GEN!AA31</f>
        <v>1004.8000000000175</v>
      </c>
      <c r="AB2" s="277">
        <f>[1]GEN!AB31</f>
        <v>167.45000000000195</v>
      </c>
      <c r="AC2" s="277">
        <f>[1]GEN!AC31</f>
        <v>167.46666666666957</v>
      </c>
      <c r="AD2" s="277">
        <f>[1]GEN!AD31</f>
        <v>4899.9999999996362</v>
      </c>
      <c r="AE2" s="277">
        <f>[1]GEN!AE31</f>
        <v>816.66666666660603</v>
      </c>
      <c r="AF2" s="277">
        <f>[1]GEN!AF31</f>
        <v>0.51041666666662877</v>
      </c>
      <c r="AG2" s="277">
        <f>[1]GEN!AG31</f>
        <v>163.33333333332121</v>
      </c>
      <c r="AH2" s="277">
        <f>[1]GEN!AH31</f>
        <v>4.1333333333483608</v>
      </c>
      <c r="AI2" s="277">
        <f>[1]GEN!AI31</f>
        <v>1261.1814345990626</v>
      </c>
      <c r="AJ2" s="277">
        <f>[1]GEN!AJ31</f>
        <v>0.25738396624472576</v>
      </c>
      <c r="AK2" s="277">
        <f>[1]GEN!AK31</f>
        <v>210.19690576651044</v>
      </c>
    </row>
    <row r="3" spans="1:37">
      <c r="A3" s="4">
        <f>ELEC!C3</f>
        <v>43891</v>
      </c>
      <c r="B3" s="277">
        <v>8547.09</v>
      </c>
      <c r="C3" s="298">
        <f>B3-B2</f>
        <v>4.0900000000001455</v>
      </c>
      <c r="D3" s="277">
        <v>130317.1</v>
      </c>
      <c r="E3" s="298">
        <f>SUM(D3-D2)</f>
        <v>486.5</v>
      </c>
      <c r="F3" s="298">
        <f t="shared" ref="F3:F32" si="0">IF(C3&gt;0,E3/C3,0)</f>
        <v>118.94865525671949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oil change</v>
      </c>
      <c r="J3" s="277">
        <v>10689.42</v>
      </c>
      <c r="K3" s="298">
        <f t="shared" ref="K3:K31" si="2">J3-J2</f>
        <v>0.42000000000007276</v>
      </c>
      <c r="L3" s="277">
        <v>237069.6</v>
      </c>
      <c r="M3" s="298">
        <f t="shared" ref="M3:M33" si="3">SUM(L3-L2)</f>
        <v>0.10000000000582077</v>
      </c>
      <c r="N3" s="298">
        <f>IF(K3&gt;0,M3/K3,0)</f>
        <v>0.23809523810905581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10992.51</v>
      </c>
      <c r="S3" s="298">
        <f t="shared" ref="S3:S32" si="5">R3-R2</f>
        <v>0.51000000000021828</v>
      </c>
      <c r="T3" s="277">
        <v>201286.1</v>
      </c>
      <c r="U3" s="298">
        <f t="shared" ref="U3:U19" si="6">SUM(T3-T2)</f>
        <v>0</v>
      </c>
      <c r="V3" s="298">
        <f>IF(S3&gt;0,U3/S3,0)</f>
        <v>0</v>
      </c>
      <c r="W3" s="277">
        <f>[2]GEN!W32</f>
        <v>0</v>
      </c>
      <c r="X3" s="299">
        <f>X2</f>
        <v>11349</v>
      </c>
      <c r="Y3" s="298" t="str">
        <f t="shared" ref="Y3:Y20" si="7">IF(R3-X3&lt;=0,"ok","oil change")</f>
        <v>ok</v>
      </c>
      <c r="Z3" s="298">
        <f t="shared" ref="Z3:Z32" si="8">C3+K3+S3</f>
        <v>5.0200000000004366</v>
      </c>
      <c r="AA3" s="298">
        <f>U3+M3+E3</f>
        <v>486.60000000000582</v>
      </c>
      <c r="AB3" s="298">
        <f>V3+N3+F3</f>
        <v>119.18675049482854</v>
      </c>
      <c r="AC3" s="298">
        <f>IF(Z3&gt;0,AA3/Z3,0)</f>
        <v>96.932270916327397</v>
      </c>
      <c r="AD3" s="74">
        <f>ELEC!Q3</f>
        <v>4100.0000000003638</v>
      </c>
      <c r="AE3" s="74">
        <f>SUM(AD3/Z3)</f>
        <v>816.73306772908506</v>
      </c>
      <c r="AF3" s="424">
        <f>SUM(AE3/1600)</f>
        <v>0.51045816733067817</v>
      </c>
      <c r="AG3" s="425">
        <f>SUM(360*AF3)</f>
        <v>183.76494023904414</v>
      </c>
      <c r="AH3" s="425">
        <f>SUM(AC3-AG3)</f>
        <v>-86.83266932271674</v>
      </c>
      <c r="AI3" s="74">
        <f>AD3*AJ3</f>
        <v>1055.2742616034693</v>
      </c>
      <c r="AJ3" s="300">
        <f t="shared" ref="AJ3:AJ32" si="9">305/1185</f>
        <v>0.25738396624472576</v>
      </c>
      <c r="AK3" s="300">
        <f t="shared" ref="AK3:AK8" si="10">AI3/Z3</f>
        <v>210.21399633533417</v>
      </c>
    </row>
    <row r="4" spans="1:37">
      <c r="A4" s="4">
        <f>ELEC!C4</f>
        <v>43892</v>
      </c>
      <c r="B4" s="277">
        <v>8550</v>
      </c>
      <c r="C4" s="298">
        <f t="shared" ref="C4:C32" si="11">B4-B3</f>
        <v>2.9099999999998545</v>
      </c>
      <c r="D4" s="277">
        <v>131218.9</v>
      </c>
      <c r="E4" s="298">
        <f t="shared" ref="E4:E32" si="12">SUM(D4-D3)</f>
        <v>901.79999999998836</v>
      </c>
      <c r="F4" s="298">
        <f t="shared" si="0"/>
        <v>309.89690721650635</v>
      </c>
      <c r="G4" s="200"/>
      <c r="H4" s="299">
        <f t="shared" ref="H4:H33" si="13">H3</f>
        <v>8497</v>
      </c>
      <c r="I4" s="298" t="str">
        <f t="shared" si="1"/>
        <v>oil change</v>
      </c>
      <c r="J4" s="277">
        <v>10689</v>
      </c>
      <c r="K4" s="298">
        <f t="shared" si="2"/>
        <v>-0.42000000000007276</v>
      </c>
      <c r="L4" s="277">
        <v>237069.6</v>
      </c>
      <c r="M4" s="298">
        <f t="shared" si="3"/>
        <v>0</v>
      </c>
      <c r="N4" s="298">
        <f t="shared" ref="N4:N32" si="14">IF(K4&gt;0,M4/K4,0)</f>
        <v>0</v>
      </c>
      <c r="O4" s="200"/>
      <c r="P4" s="299">
        <f t="shared" ref="P4:P33" si="15">P3</f>
        <v>10873</v>
      </c>
      <c r="Q4" s="298" t="str">
        <f t="shared" si="4"/>
        <v>ok</v>
      </c>
      <c r="R4" s="277">
        <v>10992</v>
      </c>
      <c r="S4" s="298">
        <f t="shared" si="5"/>
        <v>-0.51000000000021828</v>
      </c>
      <c r="T4" s="277">
        <v>201286.1</v>
      </c>
      <c r="U4" s="298">
        <f t="shared" si="6"/>
        <v>0</v>
      </c>
      <c r="V4" s="298">
        <f t="shared" ref="V4:V32" si="16">IF(S4&gt;0,U4/S4,0)</f>
        <v>0</v>
      </c>
      <c r="W4" s="200"/>
      <c r="X4" s="299">
        <f t="shared" ref="X4:X33" si="17">X3</f>
        <v>11349</v>
      </c>
      <c r="Y4" s="298" t="str">
        <f t="shared" si="7"/>
        <v>ok</v>
      </c>
      <c r="Z4" s="298">
        <f>C4+K4+S4</f>
        <v>1.9799999999995634</v>
      </c>
      <c r="AA4" s="298">
        <f t="shared" ref="AA4:AA32" si="18">U4+M4+E4</f>
        <v>901.79999999998836</v>
      </c>
      <c r="AB4" s="298">
        <f t="shared" ref="AB4:AB32" si="19">V4+N4+F4</f>
        <v>309.89690721650635</v>
      </c>
      <c r="AC4" s="298">
        <f t="shared" ref="AC4:AC32" si="20">IF(Z4&gt;0,AA4/Z4,0)</f>
        <v>455.45454545463997</v>
      </c>
      <c r="AD4" s="74">
        <f>ELEC!Q4</f>
        <v>849.00000000016007</v>
      </c>
      <c r="AE4" s="74">
        <f>SUM(AD4/Z4)</f>
        <v>428.78787878805417</v>
      </c>
      <c r="AF4" s="424">
        <f>SUM(AE4/1600)</f>
        <v>0.26799242424253383</v>
      </c>
      <c r="AG4" s="425">
        <f>SUM(360*AF4)</f>
        <v>96.477272727312183</v>
      </c>
      <c r="AH4" s="425">
        <f t="shared" ref="AH4:AH32" si="21">SUM(AC4-AG4)</f>
        <v>358.97727272732777</v>
      </c>
      <c r="AI4" s="74">
        <f>AD4*AJ4</f>
        <v>218.51898734181336</v>
      </c>
      <c r="AJ4" s="300">
        <f t="shared" si="9"/>
        <v>0.25738396624472576</v>
      </c>
      <c r="AK4" s="300">
        <f t="shared" si="10"/>
        <v>110.36312492013209</v>
      </c>
    </row>
    <row r="5" spans="1:37">
      <c r="A5" s="4">
        <f>ELEC!C5</f>
        <v>43893</v>
      </c>
      <c r="B5" s="277">
        <v>8553.4500000000007</v>
      </c>
      <c r="C5" s="298">
        <f t="shared" si="11"/>
        <v>3.4500000000007276</v>
      </c>
      <c r="D5" s="277">
        <v>131421</v>
      </c>
      <c r="E5" s="298">
        <f t="shared" si="12"/>
        <v>202.10000000000582</v>
      </c>
      <c r="F5" s="298">
        <f t="shared" si="0"/>
        <v>58.579710144916866</v>
      </c>
      <c r="G5" s="296"/>
      <c r="H5" s="299">
        <v>8497</v>
      </c>
      <c r="I5" s="298" t="str">
        <f t="shared" si="1"/>
        <v>oil change</v>
      </c>
      <c r="J5" s="277">
        <f>J4</f>
        <v>10689</v>
      </c>
      <c r="K5" s="298">
        <f t="shared" si="2"/>
        <v>0</v>
      </c>
      <c r="L5" s="277">
        <f>L4</f>
        <v>237069.6</v>
      </c>
      <c r="M5" s="298">
        <f t="shared" si="3"/>
        <v>0</v>
      </c>
      <c r="N5" s="298">
        <f t="shared" si="14"/>
        <v>0</v>
      </c>
      <c r="O5" s="200"/>
      <c r="P5" s="299">
        <f>P4</f>
        <v>10873</v>
      </c>
      <c r="Q5" s="298" t="str">
        <f t="shared" si="4"/>
        <v>ok</v>
      </c>
      <c r="R5" s="277">
        <f t="shared" ref="R5:R33" si="22">R4</f>
        <v>10992</v>
      </c>
      <c r="S5" s="298">
        <f t="shared" si="5"/>
        <v>0</v>
      </c>
      <c r="T5" s="277">
        <f t="shared" ref="T5:T33" si="23">T4</f>
        <v>201286.1</v>
      </c>
      <c r="U5" s="298">
        <f t="shared" si="6"/>
        <v>0</v>
      </c>
      <c r="V5" s="298">
        <f>IF(S5&gt;0,U5/S5,0)</f>
        <v>0</v>
      </c>
      <c r="W5" s="200"/>
      <c r="X5" s="299">
        <f t="shared" si="17"/>
        <v>11349</v>
      </c>
      <c r="Y5" s="298" t="str">
        <f t="shared" si="7"/>
        <v>ok</v>
      </c>
      <c r="Z5" s="298">
        <f t="shared" si="8"/>
        <v>3.4500000000007276</v>
      </c>
      <c r="AA5" s="298">
        <f t="shared" si="18"/>
        <v>202.10000000000582</v>
      </c>
      <c r="AB5" s="298">
        <f t="shared" si="19"/>
        <v>58.579710144916866</v>
      </c>
      <c r="AC5" s="298">
        <f t="shared" si="20"/>
        <v>58.579710144916866</v>
      </c>
      <c r="AD5" s="74">
        <f>ELEC!Q5</f>
        <v>1865.9999999999854</v>
      </c>
      <c r="AE5" s="74">
        <f t="shared" ref="AE5:AE32" si="24">SUM(AD5/Z5)</f>
        <v>540.86956521727302</v>
      </c>
      <c r="AF5" s="424">
        <f t="shared" ref="AF5:AF32" si="25">SUM(AE5/1600)</f>
        <v>0.33804347826079562</v>
      </c>
      <c r="AG5" s="425">
        <f t="shared" ref="AG5:AG32" si="26">SUM(320*AF5)</f>
        <v>108.1739130434546</v>
      </c>
      <c r="AH5" s="425">
        <f t="shared" si="21"/>
        <v>-49.594202898537738</v>
      </c>
      <c r="AI5" s="74">
        <f t="shared" ref="AI5:AI32" si="27">AD5*AJ5</f>
        <v>480.27848101265454</v>
      </c>
      <c r="AJ5" s="300">
        <f t="shared" si="9"/>
        <v>0.25738396624472576</v>
      </c>
      <c r="AK5" s="300">
        <f t="shared" si="10"/>
        <v>139.21115391668209</v>
      </c>
    </row>
    <row r="6" spans="1:37">
      <c r="A6" s="4">
        <f>ELEC!C6</f>
        <v>43894</v>
      </c>
      <c r="B6" s="277">
        <v>8556.5499999999993</v>
      </c>
      <c r="C6" s="298">
        <f t="shared" si="11"/>
        <v>3.0999999999985448</v>
      </c>
      <c r="D6" s="277">
        <v>131971.29999999999</v>
      </c>
      <c r="E6" s="298">
        <f t="shared" si="12"/>
        <v>550.29999999998836</v>
      </c>
      <c r="F6" s="298">
        <f t="shared" si="0"/>
        <v>177.51612903233763</v>
      </c>
      <c r="G6" s="200"/>
      <c r="H6" s="299">
        <f t="shared" si="13"/>
        <v>8497</v>
      </c>
      <c r="I6" s="298" t="str">
        <f t="shared" si="1"/>
        <v>oil change</v>
      </c>
      <c r="J6" s="277">
        <v>10689.42</v>
      </c>
      <c r="K6" s="298">
        <f t="shared" si="2"/>
        <v>0.42000000000007276</v>
      </c>
      <c r="L6" s="277">
        <v>237071</v>
      </c>
      <c r="M6" s="298">
        <f t="shared" si="3"/>
        <v>1.3999999999941792</v>
      </c>
      <c r="N6" s="298">
        <f t="shared" si="14"/>
        <v>3.333333333318897</v>
      </c>
      <c r="O6" s="323"/>
      <c r="P6" s="299">
        <f t="shared" si="15"/>
        <v>10873</v>
      </c>
      <c r="Q6" s="298" t="str">
        <f t="shared" si="4"/>
        <v>ok</v>
      </c>
      <c r="R6" s="277">
        <v>10992.51</v>
      </c>
      <c r="S6" s="298">
        <f t="shared" si="5"/>
        <v>0.51000000000021828</v>
      </c>
      <c r="T6" s="277">
        <f t="shared" si="23"/>
        <v>201286.1</v>
      </c>
      <c r="U6" s="298">
        <f t="shared" si="6"/>
        <v>0</v>
      </c>
      <c r="V6" s="298">
        <f t="shared" si="16"/>
        <v>0</v>
      </c>
      <c r="W6" s="323"/>
      <c r="X6" s="299">
        <f t="shared" si="17"/>
        <v>11349</v>
      </c>
      <c r="Y6" s="298" t="str">
        <f t="shared" si="7"/>
        <v>ok</v>
      </c>
      <c r="Z6" s="298">
        <f t="shared" si="8"/>
        <v>4.0299999999988358</v>
      </c>
      <c r="AA6" s="298">
        <f t="shared" si="18"/>
        <v>551.69999999998254</v>
      </c>
      <c r="AB6" s="298">
        <f t="shared" si="19"/>
        <v>180.84946236565654</v>
      </c>
      <c r="AC6" s="298">
        <f t="shared" si="20"/>
        <v>136.8982630273305</v>
      </c>
      <c r="AD6" s="74">
        <f>ELEC!Q6</f>
        <v>2411.0000000000582</v>
      </c>
      <c r="AE6" s="74">
        <f>SUM(AD6/Z6)</f>
        <v>598.26302729547263</v>
      </c>
      <c r="AF6" s="424">
        <f t="shared" si="25"/>
        <v>0.37391439205967036</v>
      </c>
      <c r="AG6" s="425">
        <f>SUM(320*AF6)</f>
        <v>119.65260545909452</v>
      </c>
      <c r="AH6" s="425">
        <f t="shared" si="21"/>
        <v>17.245657568235984</v>
      </c>
      <c r="AI6" s="74">
        <f t="shared" si="27"/>
        <v>620.55274261604882</v>
      </c>
      <c r="AJ6" s="300">
        <f t="shared" si="9"/>
        <v>0.25738396624472576</v>
      </c>
      <c r="AK6" s="300">
        <f t="shared" si="10"/>
        <v>153.98331082288539</v>
      </c>
    </row>
    <row r="7" spans="1:37">
      <c r="A7" s="4">
        <f>ELEC!C7</f>
        <v>43895</v>
      </c>
      <c r="B7" s="277">
        <f t="shared" ref="B7:B33" si="28">B6</f>
        <v>8556.5499999999993</v>
      </c>
      <c r="C7" s="298">
        <f t="shared" si="11"/>
        <v>0</v>
      </c>
      <c r="D7" s="277">
        <f t="shared" ref="D7:D33" si="29">D6</f>
        <v>131971.29999999999</v>
      </c>
      <c r="E7" s="298">
        <f t="shared" si="12"/>
        <v>0</v>
      </c>
      <c r="F7" s="298">
        <f t="shared" si="0"/>
        <v>0</v>
      </c>
      <c r="G7" s="200"/>
      <c r="H7" s="299">
        <f t="shared" si="13"/>
        <v>8497</v>
      </c>
      <c r="I7" s="298" t="str">
        <f t="shared" si="1"/>
        <v>oil change</v>
      </c>
      <c r="J7" s="277">
        <f t="shared" ref="J7:J33" si="30">J6</f>
        <v>10689.42</v>
      </c>
      <c r="K7" s="298">
        <f t="shared" si="2"/>
        <v>0</v>
      </c>
      <c r="L7" s="277">
        <f t="shared" ref="L7:L33" si="31">L6</f>
        <v>237071</v>
      </c>
      <c r="M7" s="298">
        <f t="shared" si="3"/>
        <v>0</v>
      </c>
      <c r="N7" s="298">
        <f t="shared" si="14"/>
        <v>0</v>
      </c>
      <c r="O7" s="323"/>
      <c r="P7" s="299">
        <f t="shared" si="15"/>
        <v>10873</v>
      </c>
      <c r="Q7" s="298" t="str">
        <f t="shared" si="4"/>
        <v>ok</v>
      </c>
      <c r="R7" s="277">
        <f t="shared" si="22"/>
        <v>10992.51</v>
      </c>
      <c r="S7" s="298">
        <f t="shared" si="5"/>
        <v>0</v>
      </c>
      <c r="T7" s="277">
        <f t="shared" si="23"/>
        <v>201286.1</v>
      </c>
      <c r="U7" s="298">
        <f t="shared" si="6"/>
        <v>0</v>
      </c>
      <c r="V7" s="298">
        <f t="shared" si="16"/>
        <v>0</v>
      </c>
      <c r="W7" s="200"/>
      <c r="X7" s="299">
        <f t="shared" si="17"/>
        <v>11349</v>
      </c>
      <c r="Y7" s="298" t="str">
        <f t="shared" si="7"/>
        <v>ok</v>
      </c>
      <c r="Z7" s="298">
        <f t="shared" si="8"/>
        <v>0</v>
      </c>
      <c r="AA7" s="298">
        <f>U7+M7+E7</f>
        <v>0</v>
      </c>
      <c r="AB7" s="298">
        <f t="shared" si="19"/>
        <v>0</v>
      </c>
      <c r="AC7" s="298">
        <f t="shared" si="20"/>
        <v>0</v>
      </c>
      <c r="AD7" s="74">
        <f>ELEC!Q7</f>
        <v>0</v>
      </c>
      <c r="AE7" s="74" t="e">
        <f t="shared" si="24"/>
        <v>#DIV/0!</v>
      </c>
      <c r="AF7" s="424" t="e">
        <f t="shared" si="25"/>
        <v>#DIV/0!</v>
      </c>
      <c r="AG7" s="537" t="s">
        <v>406</v>
      </c>
      <c r="AH7" s="425" t="e">
        <f t="shared" si="21"/>
        <v>#VALUE!</v>
      </c>
      <c r="AI7" s="74">
        <f t="shared" si="27"/>
        <v>0</v>
      </c>
      <c r="AJ7" s="300">
        <f t="shared" si="9"/>
        <v>0.25738396624472576</v>
      </c>
      <c r="AK7" s="300" t="e">
        <f t="shared" si="10"/>
        <v>#DIV/0!</v>
      </c>
    </row>
    <row r="8" spans="1:37">
      <c r="A8" s="4">
        <f>ELEC!C8</f>
        <v>43896</v>
      </c>
      <c r="B8" s="277">
        <f t="shared" si="28"/>
        <v>8556.5499999999993</v>
      </c>
      <c r="C8" s="298">
        <f t="shared" si="11"/>
        <v>0</v>
      </c>
      <c r="D8" s="277">
        <f t="shared" si="29"/>
        <v>131971.29999999999</v>
      </c>
      <c r="E8" s="298">
        <f t="shared" si="12"/>
        <v>0</v>
      </c>
      <c r="F8" s="298">
        <f t="shared" si="0"/>
        <v>0</v>
      </c>
      <c r="G8" s="200"/>
      <c r="H8" s="299">
        <f t="shared" si="13"/>
        <v>8497</v>
      </c>
      <c r="I8" s="298" t="str">
        <f t="shared" si="1"/>
        <v>oil change</v>
      </c>
      <c r="J8" s="277">
        <f t="shared" si="30"/>
        <v>10689.42</v>
      </c>
      <c r="K8" s="298">
        <f t="shared" si="2"/>
        <v>0</v>
      </c>
      <c r="L8" s="277">
        <f t="shared" si="31"/>
        <v>237071</v>
      </c>
      <c r="M8" s="298">
        <f t="shared" si="3"/>
        <v>0</v>
      </c>
      <c r="N8" s="298">
        <f t="shared" si="14"/>
        <v>0</v>
      </c>
      <c r="O8" s="200"/>
      <c r="P8" s="299">
        <f t="shared" si="15"/>
        <v>10873</v>
      </c>
      <c r="Q8" s="298" t="str">
        <f t="shared" si="4"/>
        <v>ok</v>
      </c>
      <c r="R8" s="277">
        <f t="shared" si="22"/>
        <v>10992.51</v>
      </c>
      <c r="S8" s="298">
        <f t="shared" si="5"/>
        <v>0</v>
      </c>
      <c r="T8" s="277">
        <f t="shared" si="23"/>
        <v>201286.1</v>
      </c>
      <c r="U8" s="298">
        <f t="shared" si="6"/>
        <v>0</v>
      </c>
      <c r="V8" s="298">
        <f t="shared" si="16"/>
        <v>0</v>
      </c>
      <c r="W8" s="200"/>
      <c r="X8" s="299">
        <f t="shared" si="17"/>
        <v>11349</v>
      </c>
      <c r="Y8" s="298" t="str">
        <f t="shared" si="7"/>
        <v>ok</v>
      </c>
      <c r="Z8" s="298">
        <f t="shared" si="8"/>
        <v>0</v>
      </c>
      <c r="AA8" s="298">
        <f t="shared" si="18"/>
        <v>0</v>
      </c>
      <c r="AB8" s="298">
        <f t="shared" si="19"/>
        <v>0</v>
      </c>
      <c r="AC8" s="298">
        <f t="shared" si="20"/>
        <v>0</v>
      </c>
      <c r="AD8" s="74">
        <f>ELEC!Q8</f>
        <v>0</v>
      </c>
      <c r="AE8" s="74" t="e">
        <f t="shared" si="24"/>
        <v>#DIV/0!</v>
      </c>
      <c r="AF8" s="424" t="e">
        <f t="shared" si="25"/>
        <v>#DIV/0!</v>
      </c>
      <c r="AG8" s="425" t="e">
        <f t="shared" si="26"/>
        <v>#DIV/0!</v>
      </c>
      <c r="AH8" s="425" t="e">
        <f t="shared" si="21"/>
        <v>#DIV/0!</v>
      </c>
      <c r="AI8" s="74">
        <f t="shared" si="27"/>
        <v>0</v>
      </c>
      <c r="AJ8" s="300">
        <f t="shared" si="9"/>
        <v>0.25738396624472576</v>
      </c>
      <c r="AK8" s="300" t="e">
        <f t="shared" si="10"/>
        <v>#DIV/0!</v>
      </c>
    </row>
    <row r="9" spans="1:37">
      <c r="A9" s="4">
        <f>ELEC!C9</f>
        <v>43897</v>
      </c>
      <c r="B9" s="277">
        <f t="shared" si="28"/>
        <v>8556.5499999999993</v>
      </c>
      <c r="C9" s="298">
        <f t="shared" si="11"/>
        <v>0</v>
      </c>
      <c r="D9" s="277">
        <f t="shared" si="29"/>
        <v>131971.29999999999</v>
      </c>
      <c r="E9" s="298">
        <f t="shared" si="12"/>
        <v>0</v>
      </c>
      <c r="F9" s="298">
        <f t="shared" si="0"/>
        <v>0</v>
      </c>
      <c r="G9" s="200"/>
      <c r="H9" s="299">
        <f t="shared" si="13"/>
        <v>8497</v>
      </c>
      <c r="I9" s="298" t="str">
        <f t="shared" si="1"/>
        <v>oil change</v>
      </c>
      <c r="J9" s="277">
        <f t="shared" si="30"/>
        <v>10689.42</v>
      </c>
      <c r="K9" s="298">
        <f t="shared" si="2"/>
        <v>0</v>
      </c>
      <c r="L9" s="277">
        <f t="shared" si="31"/>
        <v>237071</v>
      </c>
      <c r="M9" s="298">
        <f t="shared" si="3"/>
        <v>0</v>
      </c>
      <c r="N9" s="298">
        <f t="shared" si="14"/>
        <v>0</v>
      </c>
      <c r="O9" s="200"/>
      <c r="P9" s="299">
        <f t="shared" si="15"/>
        <v>10873</v>
      </c>
      <c r="Q9" s="298" t="str">
        <f t="shared" si="4"/>
        <v>ok</v>
      </c>
      <c r="R9" s="277">
        <f t="shared" si="22"/>
        <v>10992.51</v>
      </c>
      <c r="S9" s="298">
        <f t="shared" si="5"/>
        <v>0</v>
      </c>
      <c r="T9" s="277">
        <f t="shared" si="23"/>
        <v>201286.1</v>
      </c>
      <c r="U9" s="298">
        <f t="shared" si="6"/>
        <v>0</v>
      </c>
      <c r="V9" s="298">
        <f t="shared" si="16"/>
        <v>0</v>
      </c>
      <c r="W9" s="200"/>
      <c r="X9" s="299">
        <f t="shared" si="17"/>
        <v>11349</v>
      </c>
      <c r="Y9" s="298" t="str">
        <f t="shared" si="7"/>
        <v>ok</v>
      </c>
      <c r="Z9" s="298">
        <f t="shared" si="8"/>
        <v>0</v>
      </c>
      <c r="AA9" s="298">
        <f t="shared" si="18"/>
        <v>0</v>
      </c>
      <c r="AB9" s="298">
        <f t="shared" si="19"/>
        <v>0</v>
      </c>
      <c r="AC9" s="298">
        <f t="shared" si="20"/>
        <v>0</v>
      </c>
      <c r="AD9" s="74">
        <f>ELEC!Q9</f>
        <v>0</v>
      </c>
      <c r="AE9" s="74" t="e">
        <f t="shared" si="24"/>
        <v>#DIV/0!</v>
      </c>
      <c r="AF9" s="424" t="e">
        <f t="shared" si="25"/>
        <v>#DIV/0!</v>
      </c>
      <c r="AG9" s="425" t="e">
        <f t="shared" si="26"/>
        <v>#DIV/0!</v>
      </c>
      <c r="AH9" s="425" t="e">
        <f t="shared" si="21"/>
        <v>#DIV/0!</v>
      </c>
      <c r="AI9" s="74">
        <f t="shared" si="27"/>
        <v>0</v>
      </c>
      <c r="AJ9" s="300">
        <v>0.25738396624472576</v>
      </c>
      <c r="AK9" s="300">
        <f t="shared" ref="AK9:AK16" si="32">IF(Z9&gt;0,AI9/Z9,0)</f>
        <v>0</v>
      </c>
    </row>
    <row r="10" spans="1:37">
      <c r="A10" s="4">
        <f>ELEC!C10</f>
        <v>43898</v>
      </c>
      <c r="B10" s="277">
        <f t="shared" si="28"/>
        <v>8556.5499999999993</v>
      </c>
      <c r="C10" s="298">
        <f t="shared" si="11"/>
        <v>0</v>
      </c>
      <c r="D10" s="277">
        <f t="shared" si="29"/>
        <v>131971.29999999999</v>
      </c>
      <c r="E10" s="298">
        <f t="shared" si="12"/>
        <v>0</v>
      </c>
      <c r="F10" s="298">
        <f t="shared" si="0"/>
        <v>0</v>
      </c>
      <c r="G10" s="200"/>
      <c r="H10" s="299">
        <f t="shared" si="13"/>
        <v>8497</v>
      </c>
      <c r="I10" s="298" t="str">
        <f t="shared" si="1"/>
        <v>oil change</v>
      </c>
      <c r="J10" s="277">
        <f t="shared" si="30"/>
        <v>10689.42</v>
      </c>
      <c r="K10" s="298">
        <f t="shared" si="2"/>
        <v>0</v>
      </c>
      <c r="L10" s="277">
        <f t="shared" si="31"/>
        <v>237071</v>
      </c>
      <c r="M10" s="298">
        <f t="shared" si="3"/>
        <v>0</v>
      </c>
      <c r="N10" s="298">
        <f t="shared" si="14"/>
        <v>0</v>
      </c>
      <c r="O10" s="200"/>
      <c r="P10" s="299">
        <v>10873</v>
      </c>
      <c r="Q10" s="298" t="str">
        <f t="shared" si="4"/>
        <v>ok</v>
      </c>
      <c r="R10" s="277">
        <f t="shared" si="22"/>
        <v>10992.51</v>
      </c>
      <c r="S10" s="298">
        <f t="shared" si="5"/>
        <v>0</v>
      </c>
      <c r="T10" s="277">
        <f t="shared" si="23"/>
        <v>201286.1</v>
      </c>
      <c r="U10" s="298">
        <f t="shared" si="6"/>
        <v>0</v>
      </c>
      <c r="V10" s="298">
        <f t="shared" si="16"/>
        <v>0</v>
      </c>
      <c r="W10" s="200"/>
      <c r="X10" s="299">
        <f t="shared" si="17"/>
        <v>11349</v>
      </c>
      <c r="Y10" s="298" t="str">
        <f t="shared" si="7"/>
        <v>ok</v>
      </c>
      <c r="Z10" s="298">
        <f t="shared" si="8"/>
        <v>0</v>
      </c>
      <c r="AA10" s="298">
        <f t="shared" si="18"/>
        <v>0</v>
      </c>
      <c r="AB10" s="298">
        <f t="shared" si="19"/>
        <v>0</v>
      </c>
      <c r="AC10" s="298">
        <f t="shared" si="20"/>
        <v>0</v>
      </c>
      <c r="AD10" s="74">
        <f>ELEC!Q10</f>
        <v>0</v>
      </c>
      <c r="AE10" s="74" t="e">
        <f t="shared" si="24"/>
        <v>#DIV/0!</v>
      </c>
      <c r="AF10" s="424" t="e">
        <f t="shared" si="25"/>
        <v>#DIV/0!</v>
      </c>
      <c r="AG10" s="425" t="e">
        <f t="shared" si="26"/>
        <v>#DIV/0!</v>
      </c>
      <c r="AH10" s="425" t="e">
        <f t="shared" si="21"/>
        <v>#DIV/0!</v>
      </c>
      <c r="AI10" s="74">
        <f t="shared" si="27"/>
        <v>0</v>
      </c>
      <c r="AJ10" s="300">
        <f t="shared" si="9"/>
        <v>0.25738396624472576</v>
      </c>
      <c r="AK10" s="300">
        <f t="shared" si="32"/>
        <v>0</v>
      </c>
    </row>
    <row r="11" spans="1:37">
      <c r="A11" s="4">
        <f>ELEC!C11</f>
        <v>43899</v>
      </c>
      <c r="B11" s="277">
        <f t="shared" si="28"/>
        <v>8556.5499999999993</v>
      </c>
      <c r="C11" s="298">
        <f t="shared" si="11"/>
        <v>0</v>
      </c>
      <c r="D11" s="277">
        <f t="shared" si="29"/>
        <v>131971.29999999999</v>
      </c>
      <c r="E11" s="298">
        <f t="shared" si="12"/>
        <v>0</v>
      </c>
      <c r="F11" s="298">
        <f t="shared" si="0"/>
        <v>0</v>
      </c>
      <c r="G11" s="200"/>
      <c r="H11" s="299">
        <f t="shared" si="13"/>
        <v>8497</v>
      </c>
      <c r="I11" s="298" t="str">
        <f t="shared" si="1"/>
        <v>oil change</v>
      </c>
      <c r="J11" s="277">
        <f t="shared" si="30"/>
        <v>10689.42</v>
      </c>
      <c r="K11" s="298">
        <f t="shared" si="2"/>
        <v>0</v>
      </c>
      <c r="L11" s="277">
        <f t="shared" si="31"/>
        <v>237071</v>
      </c>
      <c r="M11" s="298">
        <f t="shared" si="3"/>
        <v>0</v>
      </c>
      <c r="N11" s="298">
        <f t="shared" si="14"/>
        <v>0</v>
      </c>
      <c r="O11" s="200"/>
      <c r="P11" s="299">
        <f t="shared" si="15"/>
        <v>10873</v>
      </c>
      <c r="Q11" s="298" t="str">
        <f t="shared" si="4"/>
        <v>ok</v>
      </c>
      <c r="R11" s="277">
        <f t="shared" si="22"/>
        <v>10992.51</v>
      </c>
      <c r="S11" s="298">
        <f t="shared" si="5"/>
        <v>0</v>
      </c>
      <c r="T11" s="277">
        <f t="shared" si="23"/>
        <v>201286.1</v>
      </c>
      <c r="U11" s="298">
        <f t="shared" si="6"/>
        <v>0</v>
      </c>
      <c r="V11" s="298">
        <f t="shared" si="16"/>
        <v>0</v>
      </c>
      <c r="W11" s="200"/>
      <c r="X11" s="299">
        <f t="shared" si="17"/>
        <v>11349</v>
      </c>
      <c r="Y11" s="298" t="str">
        <f t="shared" si="7"/>
        <v>ok</v>
      </c>
      <c r="Z11" s="298">
        <f t="shared" si="8"/>
        <v>0</v>
      </c>
      <c r="AA11" s="298">
        <f t="shared" si="18"/>
        <v>0</v>
      </c>
      <c r="AB11" s="298">
        <f t="shared" si="19"/>
        <v>0</v>
      </c>
      <c r="AC11" s="298">
        <f t="shared" si="20"/>
        <v>0</v>
      </c>
      <c r="AD11" s="74">
        <f>ELEC!Q11</f>
        <v>0</v>
      </c>
      <c r="AE11" s="74" t="e">
        <f t="shared" si="24"/>
        <v>#DIV/0!</v>
      </c>
      <c r="AF11" s="424" t="e">
        <f t="shared" si="25"/>
        <v>#DIV/0!</v>
      </c>
      <c r="AG11" s="425" t="e">
        <f t="shared" si="26"/>
        <v>#DIV/0!</v>
      </c>
      <c r="AH11" s="425" t="e">
        <f t="shared" si="21"/>
        <v>#DIV/0!</v>
      </c>
      <c r="AI11" s="74">
        <f t="shared" si="27"/>
        <v>0</v>
      </c>
      <c r="AJ11" s="300">
        <f t="shared" si="9"/>
        <v>0.25738396624472576</v>
      </c>
      <c r="AK11" s="300">
        <f t="shared" si="32"/>
        <v>0</v>
      </c>
    </row>
    <row r="12" spans="1:37">
      <c r="A12" s="4">
        <f>ELEC!C12</f>
        <v>43900</v>
      </c>
      <c r="B12" s="277">
        <f t="shared" si="28"/>
        <v>8556.5499999999993</v>
      </c>
      <c r="C12" s="298">
        <f t="shared" si="11"/>
        <v>0</v>
      </c>
      <c r="D12" s="277">
        <f t="shared" si="29"/>
        <v>131971.29999999999</v>
      </c>
      <c r="E12" s="298">
        <f t="shared" si="12"/>
        <v>0</v>
      </c>
      <c r="F12" s="298">
        <f t="shared" si="0"/>
        <v>0</v>
      </c>
      <c r="G12" s="200"/>
      <c r="H12" s="299">
        <f t="shared" si="13"/>
        <v>8497</v>
      </c>
      <c r="I12" s="298" t="str">
        <f t="shared" si="1"/>
        <v>oil change</v>
      </c>
      <c r="J12" s="277">
        <f t="shared" si="30"/>
        <v>10689.42</v>
      </c>
      <c r="K12" s="298">
        <f t="shared" si="2"/>
        <v>0</v>
      </c>
      <c r="L12" s="277">
        <f t="shared" si="31"/>
        <v>237071</v>
      </c>
      <c r="M12" s="298">
        <f t="shared" si="3"/>
        <v>0</v>
      </c>
      <c r="N12" s="298">
        <f t="shared" si="14"/>
        <v>0</v>
      </c>
      <c r="O12" s="200"/>
      <c r="P12" s="299">
        <f t="shared" si="15"/>
        <v>10873</v>
      </c>
      <c r="Q12" s="298" t="str">
        <f t="shared" si="4"/>
        <v>ok</v>
      </c>
      <c r="R12" s="277">
        <f t="shared" si="22"/>
        <v>10992.51</v>
      </c>
      <c r="S12" s="298">
        <f t="shared" si="5"/>
        <v>0</v>
      </c>
      <c r="T12" s="277">
        <f t="shared" si="23"/>
        <v>201286.1</v>
      </c>
      <c r="U12" s="298">
        <f t="shared" si="6"/>
        <v>0</v>
      </c>
      <c r="V12" s="298">
        <f t="shared" si="16"/>
        <v>0</v>
      </c>
      <c r="W12" s="200"/>
      <c r="X12" s="299">
        <f t="shared" si="17"/>
        <v>11349</v>
      </c>
      <c r="Y12" s="298" t="str">
        <f t="shared" si="7"/>
        <v>ok</v>
      </c>
      <c r="Z12" s="298">
        <f t="shared" si="8"/>
        <v>0</v>
      </c>
      <c r="AA12" s="298">
        <f t="shared" si="18"/>
        <v>0</v>
      </c>
      <c r="AB12" s="298">
        <f t="shared" si="19"/>
        <v>0</v>
      </c>
      <c r="AC12" s="298">
        <f t="shared" si="20"/>
        <v>0</v>
      </c>
      <c r="AD12" s="74">
        <f>ELEC!Q12</f>
        <v>0</v>
      </c>
      <c r="AE12" s="74" t="e">
        <f t="shared" si="24"/>
        <v>#DIV/0!</v>
      </c>
      <c r="AF12" s="424" t="e">
        <f t="shared" si="25"/>
        <v>#DIV/0!</v>
      </c>
      <c r="AG12" s="425" t="e">
        <f t="shared" si="26"/>
        <v>#DIV/0!</v>
      </c>
      <c r="AH12" s="425" t="e">
        <f t="shared" si="21"/>
        <v>#DIV/0!</v>
      </c>
      <c r="AI12" s="74">
        <f t="shared" si="27"/>
        <v>0</v>
      </c>
      <c r="AJ12" s="300">
        <f t="shared" si="9"/>
        <v>0.25738396624472576</v>
      </c>
      <c r="AK12" s="300">
        <f t="shared" si="32"/>
        <v>0</v>
      </c>
    </row>
    <row r="13" spans="1:37">
      <c r="A13" s="4">
        <f>ELEC!C13</f>
        <v>43901</v>
      </c>
      <c r="B13" s="277">
        <f t="shared" si="28"/>
        <v>8556.5499999999993</v>
      </c>
      <c r="C13" s="298">
        <f t="shared" si="11"/>
        <v>0</v>
      </c>
      <c r="D13" s="277">
        <f t="shared" si="29"/>
        <v>131971.29999999999</v>
      </c>
      <c r="E13" s="298">
        <f t="shared" si="12"/>
        <v>0</v>
      </c>
      <c r="F13" s="298">
        <f t="shared" si="0"/>
        <v>0</v>
      </c>
      <c r="G13" s="200"/>
      <c r="H13" s="299">
        <f t="shared" si="13"/>
        <v>8497</v>
      </c>
      <c r="I13" s="298" t="str">
        <f t="shared" si="1"/>
        <v>oil change</v>
      </c>
      <c r="J13" s="277">
        <f t="shared" si="30"/>
        <v>10689.42</v>
      </c>
      <c r="K13" s="298">
        <f t="shared" si="2"/>
        <v>0</v>
      </c>
      <c r="L13" s="277">
        <f t="shared" si="31"/>
        <v>237071</v>
      </c>
      <c r="M13" s="298">
        <f t="shared" si="3"/>
        <v>0</v>
      </c>
      <c r="N13" s="298">
        <f t="shared" si="14"/>
        <v>0</v>
      </c>
      <c r="O13" s="200"/>
      <c r="P13" s="299">
        <f t="shared" si="15"/>
        <v>10873</v>
      </c>
      <c r="Q13" s="298" t="str">
        <f t="shared" si="4"/>
        <v>ok</v>
      </c>
      <c r="R13" s="277">
        <f t="shared" si="22"/>
        <v>10992.51</v>
      </c>
      <c r="S13" s="298">
        <f t="shared" si="5"/>
        <v>0</v>
      </c>
      <c r="T13" s="277">
        <f t="shared" si="23"/>
        <v>201286.1</v>
      </c>
      <c r="U13" s="298">
        <f t="shared" si="6"/>
        <v>0</v>
      </c>
      <c r="V13" s="298">
        <f t="shared" si="16"/>
        <v>0</v>
      </c>
      <c r="W13" s="200"/>
      <c r="X13" s="299">
        <f>X12+180</f>
        <v>11529</v>
      </c>
      <c r="Y13" s="298" t="str">
        <f t="shared" si="7"/>
        <v>ok</v>
      </c>
      <c r="Z13" s="298">
        <f t="shared" si="8"/>
        <v>0</v>
      </c>
      <c r="AA13" s="298">
        <f t="shared" si="18"/>
        <v>0</v>
      </c>
      <c r="AB13" s="298">
        <f t="shared" si="19"/>
        <v>0</v>
      </c>
      <c r="AC13" s="298">
        <f t="shared" si="20"/>
        <v>0</v>
      </c>
      <c r="AD13" s="74">
        <f>ELEC!Q13</f>
        <v>0</v>
      </c>
      <c r="AE13" s="74" t="e">
        <f t="shared" si="24"/>
        <v>#DIV/0!</v>
      </c>
      <c r="AF13" s="424" t="e">
        <f t="shared" si="25"/>
        <v>#DIV/0!</v>
      </c>
      <c r="AG13" s="425" t="e">
        <f t="shared" si="26"/>
        <v>#DIV/0!</v>
      </c>
      <c r="AH13" s="425" t="e">
        <f t="shared" si="21"/>
        <v>#DIV/0!</v>
      </c>
      <c r="AI13" s="74">
        <f t="shared" si="27"/>
        <v>0</v>
      </c>
      <c r="AJ13" s="300">
        <f t="shared" si="9"/>
        <v>0.25738396624472576</v>
      </c>
      <c r="AK13" s="300">
        <f t="shared" si="32"/>
        <v>0</v>
      </c>
    </row>
    <row r="14" spans="1:37">
      <c r="A14" s="4">
        <f>ELEC!C14</f>
        <v>43902</v>
      </c>
      <c r="B14" s="277">
        <f t="shared" si="28"/>
        <v>8556.5499999999993</v>
      </c>
      <c r="C14" s="298">
        <f t="shared" si="11"/>
        <v>0</v>
      </c>
      <c r="D14" s="277">
        <f t="shared" si="29"/>
        <v>131971.29999999999</v>
      </c>
      <c r="E14" s="298">
        <f t="shared" si="12"/>
        <v>0</v>
      </c>
      <c r="F14" s="298">
        <f t="shared" si="0"/>
        <v>0</v>
      </c>
      <c r="G14" s="200"/>
      <c r="H14" s="299">
        <f t="shared" si="13"/>
        <v>8497</v>
      </c>
      <c r="I14" s="298" t="str">
        <f t="shared" si="1"/>
        <v>oil change</v>
      </c>
      <c r="J14" s="277">
        <f t="shared" si="30"/>
        <v>10689.42</v>
      </c>
      <c r="K14" s="298">
        <f t="shared" si="2"/>
        <v>0</v>
      </c>
      <c r="L14" s="277">
        <f t="shared" si="31"/>
        <v>237071</v>
      </c>
      <c r="M14" s="298">
        <f t="shared" si="3"/>
        <v>0</v>
      </c>
      <c r="N14" s="298">
        <f t="shared" si="14"/>
        <v>0</v>
      </c>
      <c r="O14" s="200"/>
      <c r="P14" s="299">
        <f t="shared" si="15"/>
        <v>10873</v>
      </c>
      <c r="Q14" s="298" t="str">
        <f t="shared" si="4"/>
        <v>ok</v>
      </c>
      <c r="R14" s="277">
        <f t="shared" si="22"/>
        <v>10992.51</v>
      </c>
      <c r="S14" s="298">
        <f t="shared" si="5"/>
        <v>0</v>
      </c>
      <c r="T14" s="277">
        <f t="shared" si="23"/>
        <v>201286.1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11529</v>
      </c>
      <c r="Y14" s="298" t="str">
        <f t="shared" si="7"/>
        <v>ok</v>
      </c>
      <c r="Z14" s="298">
        <f t="shared" si="8"/>
        <v>0</v>
      </c>
      <c r="AA14" s="298">
        <f t="shared" si="18"/>
        <v>0</v>
      </c>
      <c r="AB14" s="298">
        <f t="shared" si="19"/>
        <v>0</v>
      </c>
      <c r="AC14" s="298">
        <f t="shared" si="20"/>
        <v>0</v>
      </c>
      <c r="AD14" s="74">
        <f>ELEC!Q14</f>
        <v>0</v>
      </c>
      <c r="AE14" s="74" t="e">
        <f t="shared" si="24"/>
        <v>#DIV/0!</v>
      </c>
      <c r="AF14" s="424" t="e">
        <f t="shared" si="25"/>
        <v>#DIV/0!</v>
      </c>
      <c r="AG14" s="425" t="e">
        <f t="shared" si="26"/>
        <v>#DIV/0!</v>
      </c>
      <c r="AH14" s="425" t="e">
        <f t="shared" si="21"/>
        <v>#DIV/0!</v>
      </c>
      <c r="AI14" s="74">
        <f t="shared" si="27"/>
        <v>0</v>
      </c>
      <c r="AJ14" s="300">
        <f t="shared" si="9"/>
        <v>0.25738396624472576</v>
      </c>
      <c r="AK14" s="300">
        <f t="shared" si="32"/>
        <v>0</v>
      </c>
    </row>
    <row r="15" spans="1:37">
      <c r="A15" s="4">
        <f>ELEC!C15</f>
        <v>43903</v>
      </c>
      <c r="B15" s="277">
        <f t="shared" si="28"/>
        <v>8556.5499999999993</v>
      </c>
      <c r="C15" s="298">
        <f t="shared" si="11"/>
        <v>0</v>
      </c>
      <c r="D15" s="277">
        <f t="shared" si="29"/>
        <v>131971.29999999999</v>
      </c>
      <c r="E15" s="298">
        <f t="shared" si="12"/>
        <v>0</v>
      </c>
      <c r="F15" s="298">
        <f t="shared" si="0"/>
        <v>0</v>
      </c>
      <c r="G15" s="200"/>
      <c r="H15" s="299">
        <f t="shared" si="13"/>
        <v>8497</v>
      </c>
      <c r="I15" s="298" t="str">
        <f t="shared" si="1"/>
        <v>oil change</v>
      </c>
      <c r="J15" s="277">
        <f t="shared" si="30"/>
        <v>10689.42</v>
      </c>
      <c r="K15" s="298">
        <f t="shared" si="2"/>
        <v>0</v>
      </c>
      <c r="L15" s="277">
        <f t="shared" si="31"/>
        <v>237071</v>
      </c>
      <c r="M15" s="298">
        <f t="shared" si="3"/>
        <v>0</v>
      </c>
      <c r="N15" s="298">
        <f t="shared" si="14"/>
        <v>0</v>
      </c>
      <c r="O15" s="200"/>
      <c r="P15" s="299">
        <f t="shared" si="15"/>
        <v>10873</v>
      </c>
      <c r="Q15" s="298" t="str">
        <f t="shared" si="4"/>
        <v>ok</v>
      </c>
      <c r="R15" s="277">
        <f t="shared" si="22"/>
        <v>10992.51</v>
      </c>
      <c r="S15" s="298">
        <f t="shared" si="5"/>
        <v>0</v>
      </c>
      <c r="T15" s="277">
        <f t="shared" si="23"/>
        <v>201286.1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11529</v>
      </c>
      <c r="Y15" s="298" t="str">
        <f t="shared" si="7"/>
        <v>ok</v>
      </c>
      <c r="Z15" s="298">
        <f t="shared" si="8"/>
        <v>0</v>
      </c>
      <c r="AA15" s="298">
        <f t="shared" si="18"/>
        <v>0</v>
      </c>
      <c r="AB15" s="298">
        <f t="shared" si="19"/>
        <v>0</v>
      </c>
      <c r="AC15" s="298">
        <f t="shared" si="20"/>
        <v>0</v>
      </c>
      <c r="AD15" s="74">
        <f>ELEC!Q15</f>
        <v>0</v>
      </c>
      <c r="AE15" s="74" t="e">
        <f t="shared" si="24"/>
        <v>#DIV/0!</v>
      </c>
      <c r="AF15" s="424" t="e">
        <f t="shared" si="25"/>
        <v>#DIV/0!</v>
      </c>
      <c r="AG15" s="425" t="e">
        <f t="shared" si="26"/>
        <v>#DIV/0!</v>
      </c>
      <c r="AH15" s="425" t="e">
        <f t="shared" si="21"/>
        <v>#DIV/0!</v>
      </c>
      <c r="AI15" s="74">
        <f t="shared" si="27"/>
        <v>0</v>
      </c>
      <c r="AJ15" s="300">
        <f t="shared" si="9"/>
        <v>0.25738396624472576</v>
      </c>
      <c r="AK15" s="300">
        <f t="shared" si="32"/>
        <v>0</v>
      </c>
    </row>
    <row r="16" spans="1:37">
      <c r="A16" s="4">
        <f>ELEC!C16</f>
        <v>43904</v>
      </c>
      <c r="B16" s="277">
        <f t="shared" si="28"/>
        <v>8556.5499999999993</v>
      </c>
      <c r="C16" s="298">
        <f t="shared" si="11"/>
        <v>0</v>
      </c>
      <c r="D16" s="277">
        <f t="shared" si="29"/>
        <v>131971.29999999999</v>
      </c>
      <c r="E16" s="298">
        <f t="shared" si="12"/>
        <v>0</v>
      </c>
      <c r="F16" s="298">
        <f t="shared" si="0"/>
        <v>0</v>
      </c>
      <c r="G16" s="200"/>
      <c r="H16" s="299">
        <f t="shared" si="13"/>
        <v>8497</v>
      </c>
      <c r="I16" s="298" t="str">
        <f t="shared" si="1"/>
        <v>oil change</v>
      </c>
      <c r="J16" s="277">
        <f t="shared" si="30"/>
        <v>10689.42</v>
      </c>
      <c r="K16" s="298">
        <f t="shared" si="2"/>
        <v>0</v>
      </c>
      <c r="L16" s="277">
        <f t="shared" si="31"/>
        <v>237071</v>
      </c>
      <c r="M16" s="298">
        <f t="shared" si="3"/>
        <v>0</v>
      </c>
      <c r="N16" s="298">
        <f t="shared" si="14"/>
        <v>0</v>
      </c>
      <c r="O16" s="200"/>
      <c r="P16" s="299">
        <f t="shared" si="15"/>
        <v>10873</v>
      </c>
      <c r="Q16" s="298" t="str">
        <f t="shared" si="4"/>
        <v>ok</v>
      </c>
      <c r="R16" s="277">
        <f t="shared" si="22"/>
        <v>10992.51</v>
      </c>
      <c r="S16" s="545">
        <f t="shared" si="5"/>
        <v>0</v>
      </c>
      <c r="T16" s="277">
        <f t="shared" si="23"/>
        <v>201286.1</v>
      </c>
      <c r="U16" s="298">
        <f t="shared" si="6"/>
        <v>0</v>
      </c>
      <c r="V16" s="298">
        <f t="shared" si="16"/>
        <v>0</v>
      </c>
      <c r="W16" s="200"/>
      <c r="X16" s="299">
        <f t="shared" si="17"/>
        <v>11529</v>
      </c>
      <c r="Y16" s="298" t="str">
        <f t="shared" si="7"/>
        <v>ok</v>
      </c>
      <c r="Z16" s="298">
        <f t="shared" si="8"/>
        <v>0</v>
      </c>
      <c r="AA16" s="298">
        <f t="shared" si="18"/>
        <v>0</v>
      </c>
      <c r="AB16" s="298">
        <f t="shared" si="19"/>
        <v>0</v>
      </c>
      <c r="AC16" s="298">
        <f t="shared" si="20"/>
        <v>0</v>
      </c>
      <c r="AD16" s="74">
        <f>ELEC!Q16</f>
        <v>0</v>
      </c>
      <c r="AE16" s="74" t="e">
        <f t="shared" si="24"/>
        <v>#DIV/0!</v>
      </c>
      <c r="AF16" s="424" t="e">
        <f t="shared" si="25"/>
        <v>#DIV/0!</v>
      </c>
      <c r="AG16" s="425" t="e">
        <f t="shared" si="26"/>
        <v>#DIV/0!</v>
      </c>
      <c r="AH16" s="425" t="e">
        <f t="shared" si="21"/>
        <v>#DIV/0!</v>
      </c>
      <c r="AI16" s="74">
        <f t="shared" si="27"/>
        <v>0</v>
      </c>
      <c r="AJ16" s="300">
        <f t="shared" si="9"/>
        <v>0.25738396624472576</v>
      </c>
      <c r="AK16" s="300">
        <f t="shared" si="32"/>
        <v>0</v>
      </c>
    </row>
    <row r="17" spans="1:37">
      <c r="A17" s="4">
        <f>ELEC!C17</f>
        <v>43905</v>
      </c>
      <c r="B17" s="277">
        <f t="shared" si="28"/>
        <v>8556.5499999999993</v>
      </c>
      <c r="C17" s="298">
        <f t="shared" si="11"/>
        <v>0</v>
      </c>
      <c r="D17" s="277">
        <f t="shared" si="29"/>
        <v>131971.29999999999</v>
      </c>
      <c r="E17" s="298">
        <f t="shared" si="12"/>
        <v>0</v>
      </c>
      <c r="F17" s="298">
        <f t="shared" si="0"/>
        <v>0</v>
      </c>
      <c r="G17" s="200"/>
      <c r="H17" s="299">
        <f t="shared" si="13"/>
        <v>8497</v>
      </c>
      <c r="I17" s="298" t="str">
        <f t="shared" si="1"/>
        <v>oil change</v>
      </c>
      <c r="J17" s="277">
        <f t="shared" si="30"/>
        <v>10689.42</v>
      </c>
      <c r="K17" s="298">
        <f t="shared" si="2"/>
        <v>0</v>
      </c>
      <c r="L17" s="277">
        <f t="shared" si="31"/>
        <v>237071</v>
      </c>
      <c r="M17" s="298">
        <f t="shared" si="3"/>
        <v>0</v>
      </c>
      <c r="N17" s="298">
        <f t="shared" si="14"/>
        <v>0</v>
      </c>
      <c r="O17" s="200"/>
      <c r="P17" s="299">
        <f t="shared" si="15"/>
        <v>10873</v>
      </c>
      <c r="Q17" s="298" t="str">
        <f t="shared" si="4"/>
        <v>ok</v>
      </c>
      <c r="R17" s="277">
        <f t="shared" si="22"/>
        <v>10992.51</v>
      </c>
      <c r="S17" s="546">
        <f t="shared" si="5"/>
        <v>0</v>
      </c>
      <c r="T17" s="277">
        <f t="shared" si="23"/>
        <v>201286.1</v>
      </c>
      <c r="U17" s="298">
        <f t="shared" si="6"/>
        <v>0</v>
      </c>
      <c r="V17" s="298">
        <f t="shared" si="16"/>
        <v>0</v>
      </c>
      <c r="W17" s="200"/>
      <c r="X17" s="299">
        <f t="shared" si="17"/>
        <v>11529</v>
      </c>
      <c r="Y17" s="298" t="str">
        <f t="shared" si="7"/>
        <v>ok</v>
      </c>
      <c r="Z17" s="298">
        <f t="shared" si="8"/>
        <v>0</v>
      </c>
      <c r="AA17" s="298">
        <f t="shared" si="18"/>
        <v>0</v>
      </c>
      <c r="AB17" s="298">
        <f t="shared" si="19"/>
        <v>0</v>
      </c>
      <c r="AC17" s="298">
        <f t="shared" si="20"/>
        <v>0</v>
      </c>
      <c r="AD17" s="74">
        <f>ELEC!Q17</f>
        <v>0</v>
      </c>
      <c r="AE17" s="74" t="e">
        <f t="shared" si="24"/>
        <v>#DIV/0!</v>
      </c>
      <c r="AF17" s="424" t="e">
        <f t="shared" si="25"/>
        <v>#DIV/0!</v>
      </c>
      <c r="AG17" s="425" t="e">
        <f t="shared" si="26"/>
        <v>#DIV/0!</v>
      </c>
      <c r="AH17" s="425" t="e">
        <f t="shared" si="21"/>
        <v>#DIV/0!</v>
      </c>
      <c r="AI17" s="74">
        <f t="shared" si="27"/>
        <v>0</v>
      </c>
      <c r="AJ17" s="300">
        <f t="shared" si="9"/>
        <v>0.25738396624472576</v>
      </c>
      <c r="AK17" s="300">
        <f t="shared" ref="AK17:AK32" si="33">IF(Z17&gt;0,AI17/Z17,0)</f>
        <v>0</v>
      </c>
    </row>
    <row r="18" spans="1:37">
      <c r="A18" s="4">
        <f>ELEC!C18</f>
        <v>43906</v>
      </c>
      <c r="B18" s="277">
        <f t="shared" si="28"/>
        <v>8556.5499999999993</v>
      </c>
      <c r="C18" s="298">
        <f t="shared" si="11"/>
        <v>0</v>
      </c>
      <c r="D18" s="277">
        <f t="shared" si="29"/>
        <v>131971.29999999999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oil change</v>
      </c>
      <c r="J18" s="277">
        <f t="shared" si="30"/>
        <v>10689.42</v>
      </c>
      <c r="K18" s="298">
        <f t="shared" si="2"/>
        <v>0</v>
      </c>
      <c r="L18" s="277">
        <f t="shared" si="31"/>
        <v>237071</v>
      </c>
      <c r="M18" s="298">
        <f t="shared" si="3"/>
        <v>0</v>
      </c>
      <c r="N18" s="298">
        <f t="shared" si="14"/>
        <v>0</v>
      </c>
      <c r="O18" s="200"/>
      <c r="P18" s="299">
        <f t="shared" si="15"/>
        <v>10873</v>
      </c>
      <c r="Q18" s="298" t="str">
        <f>IF(J18-P14&lt;=0,"ok","oil change")</f>
        <v>ok</v>
      </c>
      <c r="R18" s="277">
        <f t="shared" si="22"/>
        <v>10992.51</v>
      </c>
      <c r="S18" s="298">
        <f t="shared" si="5"/>
        <v>0</v>
      </c>
      <c r="T18" s="277">
        <f t="shared" si="23"/>
        <v>201286.1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11529</v>
      </c>
      <c r="Y18" s="298" t="str">
        <f t="shared" si="7"/>
        <v>ok</v>
      </c>
      <c r="Z18" s="298">
        <f t="shared" si="8"/>
        <v>0</v>
      </c>
      <c r="AA18" s="298">
        <f t="shared" si="18"/>
        <v>0</v>
      </c>
      <c r="AB18" s="298">
        <f t="shared" si="19"/>
        <v>0</v>
      </c>
      <c r="AC18" s="298">
        <f t="shared" si="20"/>
        <v>0</v>
      </c>
      <c r="AD18" s="74">
        <f>ELEC!Q18</f>
        <v>0</v>
      </c>
      <c r="AE18" s="74" t="e">
        <f t="shared" si="24"/>
        <v>#DIV/0!</v>
      </c>
      <c r="AF18" s="424" t="e">
        <f t="shared" si="25"/>
        <v>#DIV/0!</v>
      </c>
      <c r="AG18" s="425" t="e">
        <f t="shared" si="26"/>
        <v>#DIV/0!</v>
      </c>
      <c r="AH18" s="425" t="e">
        <f t="shared" si="21"/>
        <v>#DIV/0!</v>
      </c>
      <c r="AI18" s="74">
        <f t="shared" si="27"/>
        <v>0</v>
      </c>
      <c r="AJ18" s="300">
        <f t="shared" si="9"/>
        <v>0.25738396624472576</v>
      </c>
      <c r="AK18" s="300">
        <f t="shared" si="33"/>
        <v>0</v>
      </c>
    </row>
    <row r="19" spans="1:37">
      <c r="A19" s="4">
        <f>ELEC!C19</f>
        <v>43907</v>
      </c>
      <c r="B19" s="277">
        <f t="shared" si="28"/>
        <v>8556.5499999999993</v>
      </c>
      <c r="C19" s="298">
        <f t="shared" si="11"/>
        <v>0</v>
      </c>
      <c r="D19" s="277">
        <f t="shared" si="29"/>
        <v>131971.29999999999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oil change</v>
      </c>
      <c r="J19" s="277">
        <f t="shared" si="30"/>
        <v>10689.42</v>
      </c>
      <c r="K19" s="298">
        <f t="shared" si="2"/>
        <v>0</v>
      </c>
      <c r="L19" s="277">
        <f t="shared" si="31"/>
        <v>237071</v>
      </c>
      <c r="M19" s="298">
        <f t="shared" si="3"/>
        <v>0</v>
      </c>
      <c r="N19" s="298">
        <f t="shared" si="14"/>
        <v>0</v>
      </c>
      <c r="O19" s="200"/>
      <c r="P19" s="299">
        <f t="shared" si="15"/>
        <v>10873</v>
      </c>
      <c r="Q19" s="298" t="str">
        <f t="shared" ref="Q19:Q32" si="34">IF(J19-P19&lt;=0,"ok","oil change")</f>
        <v>ok</v>
      </c>
      <c r="R19" s="277">
        <f t="shared" si="22"/>
        <v>10992.51</v>
      </c>
      <c r="S19" s="298">
        <f t="shared" si="5"/>
        <v>0</v>
      </c>
      <c r="T19" s="277">
        <f t="shared" si="23"/>
        <v>201286.1</v>
      </c>
      <c r="U19" s="298">
        <f t="shared" si="6"/>
        <v>0</v>
      </c>
      <c r="V19" s="298">
        <f t="shared" si="16"/>
        <v>0</v>
      </c>
      <c r="W19" s="200"/>
      <c r="X19" s="299">
        <f t="shared" si="17"/>
        <v>11529</v>
      </c>
      <c r="Y19" s="298" t="str">
        <f t="shared" si="7"/>
        <v>ok</v>
      </c>
      <c r="Z19" s="298">
        <f t="shared" si="8"/>
        <v>0</v>
      </c>
      <c r="AA19" s="298">
        <f t="shared" si="18"/>
        <v>0</v>
      </c>
      <c r="AB19" s="298">
        <f t="shared" si="19"/>
        <v>0</v>
      </c>
      <c r="AC19" s="298">
        <f t="shared" si="20"/>
        <v>0</v>
      </c>
      <c r="AD19" s="74">
        <f>ELEC!Q19</f>
        <v>0</v>
      </c>
      <c r="AE19" s="74" t="e">
        <f t="shared" si="24"/>
        <v>#DIV/0!</v>
      </c>
      <c r="AF19" s="424" t="e">
        <f t="shared" si="25"/>
        <v>#DIV/0!</v>
      </c>
      <c r="AG19" s="425" t="e">
        <f t="shared" si="26"/>
        <v>#DIV/0!</v>
      </c>
      <c r="AH19" s="425" t="e">
        <f t="shared" si="21"/>
        <v>#DIV/0!</v>
      </c>
      <c r="AI19" s="74">
        <f t="shared" si="27"/>
        <v>0</v>
      </c>
      <c r="AJ19" s="300">
        <f t="shared" si="9"/>
        <v>0.25738396624472576</v>
      </c>
      <c r="AK19" s="300">
        <f t="shared" si="33"/>
        <v>0</v>
      </c>
    </row>
    <row r="20" spans="1:37">
      <c r="A20" s="4">
        <f>ELEC!C20</f>
        <v>43908</v>
      </c>
      <c r="B20" s="277">
        <f t="shared" si="28"/>
        <v>8556.5499999999993</v>
      </c>
      <c r="C20" s="298">
        <f>B20-B19</f>
        <v>0</v>
      </c>
      <c r="D20" s="277">
        <f t="shared" si="29"/>
        <v>131971.29999999999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oil change</v>
      </c>
      <c r="J20" s="277">
        <f t="shared" si="30"/>
        <v>10689.42</v>
      </c>
      <c r="K20" s="298">
        <f t="shared" si="2"/>
        <v>0</v>
      </c>
      <c r="L20" s="277">
        <f t="shared" si="31"/>
        <v>237071</v>
      </c>
      <c r="M20" s="298">
        <f t="shared" si="3"/>
        <v>0</v>
      </c>
      <c r="N20" s="298">
        <f t="shared" si="14"/>
        <v>0</v>
      </c>
      <c r="O20" s="200"/>
      <c r="P20" s="299">
        <f t="shared" si="15"/>
        <v>10873</v>
      </c>
      <c r="Q20" s="298" t="str">
        <f t="shared" si="34"/>
        <v>ok</v>
      </c>
      <c r="R20" s="277">
        <f t="shared" si="22"/>
        <v>10992.51</v>
      </c>
      <c r="S20" s="298">
        <f t="shared" si="5"/>
        <v>0</v>
      </c>
      <c r="T20" s="277">
        <f t="shared" si="23"/>
        <v>201286.1</v>
      </c>
      <c r="U20" s="298">
        <f t="shared" ref="U20:U32" si="35">SUM(T20-T19)</f>
        <v>0</v>
      </c>
      <c r="V20" s="298">
        <f t="shared" si="16"/>
        <v>0</v>
      </c>
      <c r="W20" s="200"/>
      <c r="X20" s="299">
        <f t="shared" si="17"/>
        <v>11529</v>
      </c>
      <c r="Y20" s="298" t="str">
        <f t="shared" si="7"/>
        <v>ok</v>
      </c>
      <c r="Z20" s="298">
        <f t="shared" si="8"/>
        <v>0</v>
      </c>
      <c r="AA20" s="298">
        <f t="shared" si="18"/>
        <v>0</v>
      </c>
      <c r="AB20" s="298">
        <f t="shared" si="19"/>
        <v>0</v>
      </c>
      <c r="AC20" s="298">
        <f t="shared" si="20"/>
        <v>0</v>
      </c>
      <c r="AD20" s="74">
        <f>ELEC!Q20</f>
        <v>0</v>
      </c>
      <c r="AE20" s="74" t="e">
        <f t="shared" si="24"/>
        <v>#DIV/0!</v>
      </c>
      <c r="AF20" s="424" t="e">
        <f t="shared" si="25"/>
        <v>#DIV/0!</v>
      </c>
      <c r="AG20" s="425" t="e">
        <f t="shared" si="26"/>
        <v>#DIV/0!</v>
      </c>
      <c r="AH20" s="425" t="e">
        <f t="shared" si="21"/>
        <v>#DIV/0!</v>
      </c>
      <c r="AI20" s="74">
        <f>AD20*AJ20</f>
        <v>0</v>
      </c>
      <c r="AJ20" s="300">
        <f t="shared" si="9"/>
        <v>0.25738396624472576</v>
      </c>
      <c r="AK20" s="300">
        <f t="shared" si="33"/>
        <v>0</v>
      </c>
    </row>
    <row r="21" spans="1:37">
      <c r="A21" s="4">
        <f>ELEC!C21</f>
        <v>43909</v>
      </c>
      <c r="B21" s="277">
        <f t="shared" si="28"/>
        <v>8556.5499999999993</v>
      </c>
      <c r="C21" s="298">
        <f t="shared" si="11"/>
        <v>0</v>
      </c>
      <c r="D21" s="277">
        <f t="shared" si="29"/>
        <v>131971.29999999999</v>
      </c>
      <c r="E21" s="298">
        <f t="shared" si="12"/>
        <v>0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oil change</v>
      </c>
      <c r="J21" s="277">
        <f t="shared" si="30"/>
        <v>10689.42</v>
      </c>
      <c r="K21" s="298">
        <f t="shared" si="2"/>
        <v>0</v>
      </c>
      <c r="L21" s="277">
        <f t="shared" si="31"/>
        <v>237071</v>
      </c>
      <c r="M21" s="298">
        <f t="shared" si="3"/>
        <v>0</v>
      </c>
      <c r="N21" s="298">
        <f t="shared" si="14"/>
        <v>0</v>
      </c>
      <c r="O21" s="200"/>
      <c r="P21" s="299">
        <f t="shared" si="15"/>
        <v>10873</v>
      </c>
      <c r="Q21" s="298" t="str">
        <f t="shared" si="34"/>
        <v>ok</v>
      </c>
      <c r="R21" s="277">
        <f t="shared" si="22"/>
        <v>10992.51</v>
      </c>
      <c r="S21" s="298">
        <f t="shared" si="5"/>
        <v>0</v>
      </c>
      <c r="T21" s="277">
        <f t="shared" si="23"/>
        <v>201286.1</v>
      </c>
      <c r="U21" s="298">
        <f t="shared" si="35"/>
        <v>0</v>
      </c>
      <c r="V21" s="298">
        <f t="shared" si="16"/>
        <v>0</v>
      </c>
      <c r="W21" s="200"/>
      <c r="X21" s="299">
        <f t="shared" si="17"/>
        <v>11529</v>
      </c>
      <c r="Y21" s="298" t="str">
        <f>Y20</f>
        <v>ok</v>
      </c>
      <c r="Z21" s="298">
        <f t="shared" si="8"/>
        <v>0</v>
      </c>
      <c r="AA21" s="298">
        <f t="shared" si="18"/>
        <v>0</v>
      </c>
      <c r="AB21" s="298">
        <f t="shared" si="19"/>
        <v>0</v>
      </c>
      <c r="AC21" s="298">
        <f t="shared" si="20"/>
        <v>0</v>
      </c>
      <c r="AD21" s="74">
        <f>ELEC!Q21</f>
        <v>0</v>
      </c>
      <c r="AE21" s="74" t="e">
        <f t="shared" si="24"/>
        <v>#DIV/0!</v>
      </c>
      <c r="AF21" s="424" t="e">
        <f t="shared" si="25"/>
        <v>#DIV/0!</v>
      </c>
      <c r="AG21" s="425" t="e">
        <f t="shared" si="26"/>
        <v>#DIV/0!</v>
      </c>
      <c r="AH21" s="425" t="e">
        <f t="shared" si="21"/>
        <v>#DIV/0!</v>
      </c>
      <c r="AI21" s="74">
        <f t="shared" si="27"/>
        <v>0</v>
      </c>
      <c r="AJ21" s="300">
        <f t="shared" si="9"/>
        <v>0.25738396624472576</v>
      </c>
      <c r="AK21" s="300">
        <f t="shared" si="33"/>
        <v>0</v>
      </c>
    </row>
    <row r="22" spans="1:37">
      <c r="A22" s="4">
        <f>ELEC!C22</f>
        <v>43910</v>
      </c>
      <c r="B22" s="277">
        <f t="shared" si="28"/>
        <v>8556.5499999999993</v>
      </c>
      <c r="C22" s="298">
        <f t="shared" si="11"/>
        <v>0</v>
      </c>
      <c r="D22" s="277">
        <f t="shared" si="29"/>
        <v>131971.29999999999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oil change</v>
      </c>
      <c r="J22" s="277">
        <f t="shared" si="30"/>
        <v>10689.42</v>
      </c>
      <c r="K22" s="298">
        <f t="shared" si="2"/>
        <v>0</v>
      </c>
      <c r="L22" s="277">
        <f t="shared" si="31"/>
        <v>237071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4"/>
        <v>ok</v>
      </c>
      <c r="R22" s="277">
        <f t="shared" si="22"/>
        <v>10992.51</v>
      </c>
      <c r="S22" s="298">
        <f t="shared" si="5"/>
        <v>0</v>
      </c>
      <c r="T22" s="277">
        <f t="shared" si="23"/>
        <v>201286.1</v>
      </c>
      <c r="U22" s="298">
        <f t="shared" si="35"/>
        <v>0</v>
      </c>
      <c r="V22" s="298">
        <f t="shared" si="16"/>
        <v>0</v>
      </c>
      <c r="W22" s="200"/>
      <c r="X22" s="299">
        <f t="shared" si="17"/>
        <v>11529</v>
      </c>
      <c r="Y22" s="298" t="str">
        <f t="shared" ref="Y22:Y32" si="36">IF(R22-X22&lt;=0,"ok","oil change")</f>
        <v>ok</v>
      </c>
      <c r="Z22" s="298">
        <f t="shared" si="8"/>
        <v>0</v>
      </c>
      <c r="AA22" s="298">
        <f t="shared" si="18"/>
        <v>0</v>
      </c>
      <c r="AB22" s="298">
        <f t="shared" si="19"/>
        <v>0</v>
      </c>
      <c r="AC22" s="298">
        <f t="shared" si="20"/>
        <v>0</v>
      </c>
      <c r="AD22" s="74">
        <f>ELEC!Q22</f>
        <v>0</v>
      </c>
      <c r="AE22" s="74" t="e">
        <f t="shared" si="24"/>
        <v>#DIV/0!</v>
      </c>
      <c r="AF22" s="424" t="e">
        <f t="shared" si="25"/>
        <v>#DIV/0!</v>
      </c>
      <c r="AG22" s="425" t="e">
        <f t="shared" si="26"/>
        <v>#DIV/0!</v>
      </c>
      <c r="AH22" s="425" t="e">
        <f t="shared" si="21"/>
        <v>#DIV/0!</v>
      </c>
      <c r="AI22" s="74">
        <f t="shared" si="27"/>
        <v>0</v>
      </c>
      <c r="AJ22" s="300">
        <f t="shared" si="9"/>
        <v>0.25738396624472576</v>
      </c>
      <c r="AK22" s="300">
        <f t="shared" si="33"/>
        <v>0</v>
      </c>
    </row>
    <row r="23" spans="1:37">
      <c r="A23" s="4">
        <f>ELEC!C23</f>
        <v>43911</v>
      </c>
      <c r="B23" s="277">
        <f t="shared" si="28"/>
        <v>8556.5499999999993</v>
      </c>
      <c r="C23" s="298">
        <f t="shared" si="11"/>
        <v>0</v>
      </c>
      <c r="D23" s="277">
        <f t="shared" si="29"/>
        <v>131971.29999999999</v>
      </c>
      <c r="E23" s="298">
        <f t="shared" si="12"/>
        <v>0</v>
      </c>
      <c r="F23" s="298">
        <f t="shared" si="0"/>
        <v>0</v>
      </c>
      <c r="G23" s="200"/>
      <c r="H23" s="299">
        <f t="shared" si="13"/>
        <v>8497</v>
      </c>
      <c r="I23" s="298" t="str">
        <f t="shared" si="1"/>
        <v>oil change</v>
      </c>
      <c r="J23" s="277">
        <f t="shared" si="30"/>
        <v>10689.42</v>
      </c>
      <c r="K23" s="298">
        <f t="shared" si="2"/>
        <v>0</v>
      </c>
      <c r="L23" s="277">
        <f t="shared" si="31"/>
        <v>237071</v>
      </c>
      <c r="M23" s="298">
        <f t="shared" si="3"/>
        <v>0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4"/>
        <v>ok</v>
      </c>
      <c r="R23" s="277">
        <f t="shared" si="22"/>
        <v>10992.51</v>
      </c>
      <c r="S23" s="298">
        <f t="shared" si="5"/>
        <v>0</v>
      </c>
      <c r="T23" s="277">
        <f t="shared" si="23"/>
        <v>201286.1</v>
      </c>
      <c r="U23" s="298">
        <f t="shared" si="35"/>
        <v>0</v>
      </c>
      <c r="V23" s="298">
        <f t="shared" si="16"/>
        <v>0</v>
      </c>
      <c r="W23" s="200"/>
      <c r="X23" s="299">
        <f t="shared" si="17"/>
        <v>11529</v>
      </c>
      <c r="Y23" s="298" t="str">
        <f t="shared" si="36"/>
        <v>ok</v>
      </c>
      <c r="Z23" s="298">
        <f t="shared" si="8"/>
        <v>0</v>
      </c>
      <c r="AA23" s="298">
        <f t="shared" si="18"/>
        <v>0</v>
      </c>
      <c r="AB23" s="298">
        <f t="shared" si="19"/>
        <v>0</v>
      </c>
      <c r="AC23" s="298">
        <f t="shared" si="20"/>
        <v>0</v>
      </c>
      <c r="AD23" s="74">
        <f>ELEC!Q23</f>
        <v>0</v>
      </c>
      <c r="AE23" s="74" t="e">
        <f t="shared" si="24"/>
        <v>#DIV/0!</v>
      </c>
      <c r="AF23" s="424" t="e">
        <f t="shared" si="25"/>
        <v>#DIV/0!</v>
      </c>
      <c r="AG23" s="425" t="e">
        <f t="shared" si="26"/>
        <v>#DIV/0!</v>
      </c>
      <c r="AH23" s="425" t="e">
        <f t="shared" si="21"/>
        <v>#DIV/0!</v>
      </c>
      <c r="AI23" s="74">
        <f t="shared" si="27"/>
        <v>0</v>
      </c>
      <c r="AJ23" s="300">
        <f t="shared" si="9"/>
        <v>0.25738396624472576</v>
      </c>
      <c r="AK23" s="300">
        <f t="shared" si="33"/>
        <v>0</v>
      </c>
    </row>
    <row r="24" spans="1:37">
      <c r="A24" s="4">
        <f>ELEC!C24</f>
        <v>43912</v>
      </c>
      <c r="B24" s="277">
        <f t="shared" si="28"/>
        <v>8556.5499999999993</v>
      </c>
      <c r="C24" s="298">
        <f t="shared" si="11"/>
        <v>0</v>
      </c>
      <c r="D24" s="277">
        <f t="shared" si="29"/>
        <v>131971.29999999999</v>
      </c>
      <c r="E24" s="298">
        <f t="shared" si="12"/>
        <v>0</v>
      </c>
      <c r="F24" s="298">
        <f t="shared" si="0"/>
        <v>0</v>
      </c>
      <c r="G24" s="200"/>
      <c r="H24" s="299">
        <f t="shared" si="13"/>
        <v>8497</v>
      </c>
      <c r="I24" s="298" t="str">
        <f t="shared" si="1"/>
        <v>oil change</v>
      </c>
      <c r="J24" s="277">
        <f t="shared" si="30"/>
        <v>10689.42</v>
      </c>
      <c r="K24" s="298">
        <f t="shared" si="2"/>
        <v>0</v>
      </c>
      <c r="L24" s="277">
        <f t="shared" si="31"/>
        <v>237071</v>
      </c>
      <c r="M24" s="298">
        <f t="shared" si="3"/>
        <v>0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4"/>
        <v>ok</v>
      </c>
      <c r="R24" s="277">
        <f t="shared" si="22"/>
        <v>10992.51</v>
      </c>
      <c r="S24" s="298">
        <f t="shared" si="5"/>
        <v>0</v>
      </c>
      <c r="T24" s="277">
        <f t="shared" si="23"/>
        <v>201286.1</v>
      </c>
      <c r="U24" s="298">
        <f t="shared" si="35"/>
        <v>0</v>
      </c>
      <c r="V24" s="298">
        <f t="shared" si="16"/>
        <v>0</v>
      </c>
      <c r="W24" s="200"/>
      <c r="X24" s="299">
        <f t="shared" si="17"/>
        <v>11529</v>
      </c>
      <c r="Y24" s="298" t="str">
        <f t="shared" si="36"/>
        <v>ok</v>
      </c>
      <c r="Z24" s="298">
        <f t="shared" si="8"/>
        <v>0</v>
      </c>
      <c r="AA24" s="298">
        <f t="shared" si="18"/>
        <v>0</v>
      </c>
      <c r="AB24" s="298">
        <f t="shared" si="19"/>
        <v>0</v>
      </c>
      <c r="AC24" s="298">
        <f t="shared" si="20"/>
        <v>0</v>
      </c>
      <c r="AD24" s="74">
        <f>ELEC!Q24</f>
        <v>0</v>
      </c>
      <c r="AE24" s="74" t="e">
        <f t="shared" si="24"/>
        <v>#DIV/0!</v>
      </c>
      <c r="AF24" s="424" t="e">
        <f t="shared" si="25"/>
        <v>#DIV/0!</v>
      </c>
      <c r="AG24" s="425" t="e">
        <f t="shared" si="26"/>
        <v>#DIV/0!</v>
      </c>
      <c r="AH24" s="425" t="e">
        <f t="shared" si="21"/>
        <v>#DIV/0!</v>
      </c>
      <c r="AI24" s="74">
        <f t="shared" si="27"/>
        <v>0</v>
      </c>
      <c r="AJ24" s="300">
        <f t="shared" si="9"/>
        <v>0.25738396624472576</v>
      </c>
      <c r="AK24" s="300">
        <f t="shared" si="33"/>
        <v>0</v>
      </c>
    </row>
    <row r="25" spans="1:37">
      <c r="A25" s="4">
        <f>ELEC!C25</f>
        <v>43913</v>
      </c>
      <c r="B25" s="277">
        <f t="shared" si="28"/>
        <v>8556.5499999999993</v>
      </c>
      <c r="C25" s="298">
        <f t="shared" si="11"/>
        <v>0</v>
      </c>
      <c r="D25" s="277">
        <f t="shared" si="29"/>
        <v>131971.29999999999</v>
      </c>
      <c r="E25" s="298">
        <f t="shared" si="12"/>
        <v>0</v>
      </c>
      <c r="F25" s="298">
        <f t="shared" si="0"/>
        <v>0</v>
      </c>
      <c r="G25" s="200"/>
      <c r="H25" s="299">
        <f t="shared" si="13"/>
        <v>8497</v>
      </c>
      <c r="I25" s="298" t="str">
        <f t="shared" si="1"/>
        <v>oil change</v>
      </c>
      <c r="J25" s="277">
        <f t="shared" si="30"/>
        <v>10689.42</v>
      </c>
      <c r="K25" s="298">
        <f t="shared" si="2"/>
        <v>0</v>
      </c>
      <c r="L25" s="277">
        <f t="shared" si="31"/>
        <v>237071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4"/>
        <v>ok</v>
      </c>
      <c r="R25" s="277">
        <f t="shared" si="22"/>
        <v>10992.51</v>
      </c>
      <c r="S25" s="298">
        <f t="shared" si="5"/>
        <v>0</v>
      </c>
      <c r="T25" s="277">
        <f t="shared" si="23"/>
        <v>201286.1</v>
      </c>
      <c r="U25" s="298">
        <f t="shared" si="35"/>
        <v>0</v>
      </c>
      <c r="V25" s="298">
        <f t="shared" si="16"/>
        <v>0</v>
      </c>
      <c r="W25" s="200"/>
      <c r="X25" s="299">
        <f t="shared" si="17"/>
        <v>11529</v>
      </c>
      <c r="Y25" s="298" t="str">
        <f t="shared" si="36"/>
        <v>ok</v>
      </c>
      <c r="Z25" s="298">
        <f t="shared" si="8"/>
        <v>0</v>
      </c>
      <c r="AA25" s="298">
        <f t="shared" si="18"/>
        <v>0</v>
      </c>
      <c r="AB25" s="298">
        <f t="shared" si="19"/>
        <v>0</v>
      </c>
      <c r="AC25" s="298">
        <f t="shared" si="20"/>
        <v>0</v>
      </c>
      <c r="AD25" s="74">
        <f>ELEC!Q25</f>
        <v>0</v>
      </c>
      <c r="AE25" s="74" t="e">
        <f t="shared" si="24"/>
        <v>#DIV/0!</v>
      </c>
      <c r="AF25" s="424" t="e">
        <f t="shared" si="25"/>
        <v>#DIV/0!</v>
      </c>
      <c r="AG25" s="425" t="e">
        <f t="shared" si="26"/>
        <v>#DIV/0!</v>
      </c>
      <c r="AH25" s="425" t="e">
        <f t="shared" si="21"/>
        <v>#DIV/0!</v>
      </c>
      <c r="AI25" s="74">
        <f t="shared" si="27"/>
        <v>0</v>
      </c>
      <c r="AJ25" s="300">
        <f t="shared" si="9"/>
        <v>0.25738396624472576</v>
      </c>
      <c r="AK25" s="300">
        <f t="shared" si="33"/>
        <v>0</v>
      </c>
    </row>
    <row r="26" spans="1:37">
      <c r="A26" s="4">
        <f>ELEC!C26</f>
        <v>43914</v>
      </c>
      <c r="B26" s="277">
        <f t="shared" si="28"/>
        <v>8556.5499999999993</v>
      </c>
      <c r="C26" s="298">
        <f t="shared" si="11"/>
        <v>0</v>
      </c>
      <c r="D26" s="277">
        <f t="shared" si="29"/>
        <v>131971.29999999999</v>
      </c>
      <c r="E26" s="298">
        <f t="shared" si="12"/>
        <v>0</v>
      </c>
      <c r="F26" s="298">
        <f t="shared" si="0"/>
        <v>0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0"/>
        <v>10689.42</v>
      </c>
      <c r="K26" s="298">
        <f t="shared" si="2"/>
        <v>0</v>
      </c>
      <c r="L26" s="277">
        <f t="shared" si="31"/>
        <v>237071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4"/>
        <v>ok</v>
      </c>
      <c r="R26" s="277">
        <f t="shared" si="22"/>
        <v>10992.51</v>
      </c>
      <c r="S26" s="298">
        <f t="shared" si="5"/>
        <v>0</v>
      </c>
      <c r="T26" s="277">
        <f t="shared" si="23"/>
        <v>201286.1</v>
      </c>
      <c r="U26" s="298">
        <f t="shared" si="35"/>
        <v>0</v>
      </c>
      <c r="V26" s="298">
        <f t="shared" si="16"/>
        <v>0</v>
      </c>
      <c r="W26" s="200"/>
      <c r="X26" s="299">
        <f t="shared" si="17"/>
        <v>11529</v>
      </c>
      <c r="Y26" s="298" t="str">
        <f t="shared" si="36"/>
        <v>ok</v>
      </c>
      <c r="Z26" s="298">
        <f t="shared" si="8"/>
        <v>0</v>
      </c>
      <c r="AA26" s="298">
        <f t="shared" si="18"/>
        <v>0</v>
      </c>
      <c r="AB26" s="298">
        <f t="shared" si="19"/>
        <v>0</v>
      </c>
      <c r="AC26" s="298">
        <f t="shared" si="20"/>
        <v>0</v>
      </c>
      <c r="AD26" s="74">
        <f>ELEC!Q26</f>
        <v>0</v>
      </c>
      <c r="AE26" s="74" t="e">
        <f t="shared" si="24"/>
        <v>#DIV/0!</v>
      </c>
      <c r="AF26" s="424" t="e">
        <f t="shared" si="25"/>
        <v>#DIV/0!</v>
      </c>
      <c r="AG26" s="425" t="e">
        <f t="shared" si="26"/>
        <v>#DIV/0!</v>
      </c>
      <c r="AH26" s="425" t="e">
        <f t="shared" si="21"/>
        <v>#DIV/0!</v>
      </c>
      <c r="AI26" s="74">
        <f t="shared" si="27"/>
        <v>0</v>
      </c>
      <c r="AJ26" s="300">
        <f t="shared" si="9"/>
        <v>0.25738396624472576</v>
      </c>
      <c r="AK26" s="300">
        <f t="shared" si="33"/>
        <v>0</v>
      </c>
    </row>
    <row r="27" spans="1:37">
      <c r="A27" s="4">
        <f>ELEC!C27</f>
        <v>43915</v>
      </c>
      <c r="B27" s="277">
        <f t="shared" si="28"/>
        <v>8556.5499999999993</v>
      </c>
      <c r="C27" s="298">
        <f t="shared" si="11"/>
        <v>0</v>
      </c>
      <c r="D27" s="277">
        <f t="shared" si="29"/>
        <v>131971.29999999999</v>
      </c>
      <c r="E27" s="298">
        <f t="shared" si="12"/>
        <v>0</v>
      </c>
      <c r="F27" s="298">
        <f t="shared" si="0"/>
        <v>0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30"/>
        <v>10689.42</v>
      </c>
      <c r="K27" s="298">
        <f t="shared" si="2"/>
        <v>0</v>
      </c>
      <c r="L27" s="277">
        <f t="shared" si="31"/>
        <v>237071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4"/>
        <v>ok</v>
      </c>
      <c r="R27" s="277">
        <f t="shared" si="22"/>
        <v>10992.51</v>
      </c>
      <c r="S27" s="298">
        <f t="shared" si="5"/>
        <v>0</v>
      </c>
      <c r="T27" s="277">
        <f t="shared" si="23"/>
        <v>201286.1</v>
      </c>
      <c r="U27" s="298">
        <f t="shared" si="35"/>
        <v>0</v>
      </c>
      <c r="V27" s="298">
        <f t="shared" si="16"/>
        <v>0</v>
      </c>
      <c r="W27" s="200"/>
      <c r="X27" s="299">
        <f t="shared" si="17"/>
        <v>11529</v>
      </c>
      <c r="Y27" s="298" t="str">
        <f t="shared" si="36"/>
        <v>ok</v>
      </c>
      <c r="Z27" s="298">
        <f t="shared" si="8"/>
        <v>0</v>
      </c>
      <c r="AA27" s="298">
        <f t="shared" si="18"/>
        <v>0</v>
      </c>
      <c r="AB27" s="298">
        <f t="shared" si="19"/>
        <v>0</v>
      </c>
      <c r="AC27" s="298">
        <f t="shared" si="20"/>
        <v>0</v>
      </c>
      <c r="AD27" s="74">
        <f>ELEC!Q27</f>
        <v>0</v>
      </c>
      <c r="AE27" s="74" t="e">
        <f t="shared" si="24"/>
        <v>#DIV/0!</v>
      </c>
      <c r="AF27" s="424" t="e">
        <f t="shared" si="25"/>
        <v>#DIV/0!</v>
      </c>
      <c r="AG27" s="425" t="e">
        <f t="shared" si="26"/>
        <v>#DIV/0!</v>
      </c>
      <c r="AH27" s="425" t="e">
        <f t="shared" si="21"/>
        <v>#DIV/0!</v>
      </c>
      <c r="AI27" s="74">
        <f t="shared" si="27"/>
        <v>0</v>
      </c>
      <c r="AJ27" s="300">
        <f t="shared" si="9"/>
        <v>0.25738396624472576</v>
      </c>
      <c r="AK27" s="300">
        <f t="shared" si="33"/>
        <v>0</v>
      </c>
    </row>
    <row r="28" spans="1:37">
      <c r="A28" s="4">
        <f>ELEC!C28</f>
        <v>43916</v>
      </c>
      <c r="B28" s="277">
        <f t="shared" si="28"/>
        <v>8556.5499999999993</v>
      </c>
      <c r="C28" s="298">
        <f t="shared" si="11"/>
        <v>0</v>
      </c>
      <c r="D28" s="277">
        <f t="shared" si="29"/>
        <v>131971.29999999999</v>
      </c>
      <c r="E28" s="298">
        <f t="shared" si="12"/>
        <v>0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0"/>
        <v>10689.42</v>
      </c>
      <c r="K28" s="298">
        <f t="shared" si="2"/>
        <v>0</v>
      </c>
      <c r="L28" s="277">
        <f t="shared" si="31"/>
        <v>237071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4"/>
        <v>ok</v>
      </c>
      <c r="R28" s="277">
        <f t="shared" si="22"/>
        <v>10992.51</v>
      </c>
      <c r="S28" s="298">
        <f t="shared" si="5"/>
        <v>0</v>
      </c>
      <c r="T28" s="277">
        <f t="shared" si="23"/>
        <v>201286.1</v>
      </c>
      <c r="U28" s="298">
        <f t="shared" si="35"/>
        <v>0</v>
      </c>
      <c r="V28" s="298">
        <f t="shared" si="16"/>
        <v>0</v>
      </c>
      <c r="W28" s="200"/>
      <c r="X28" s="299">
        <f t="shared" si="17"/>
        <v>11529</v>
      </c>
      <c r="Y28" s="298" t="str">
        <f t="shared" si="36"/>
        <v>ok</v>
      </c>
      <c r="Z28" s="298">
        <f t="shared" si="8"/>
        <v>0</v>
      </c>
      <c r="AA28" s="298">
        <f t="shared" si="18"/>
        <v>0</v>
      </c>
      <c r="AB28" s="298">
        <f t="shared" si="19"/>
        <v>0</v>
      </c>
      <c r="AC28" s="298">
        <f t="shared" si="20"/>
        <v>0</v>
      </c>
      <c r="AD28" s="74">
        <f>ELEC!Q28</f>
        <v>0</v>
      </c>
      <c r="AE28" s="74" t="e">
        <f t="shared" si="24"/>
        <v>#DIV/0!</v>
      </c>
      <c r="AF28" s="424" t="e">
        <f t="shared" si="25"/>
        <v>#DIV/0!</v>
      </c>
      <c r="AG28" s="425" t="e">
        <f t="shared" si="26"/>
        <v>#DIV/0!</v>
      </c>
      <c r="AH28" s="425" t="e">
        <f t="shared" si="21"/>
        <v>#DIV/0!</v>
      </c>
      <c r="AI28" s="74">
        <f t="shared" si="27"/>
        <v>0</v>
      </c>
      <c r="AJ28" s="300">
        <f t="shared" si="9"/>
        <v>0.25738396624472576</v>
      </c>
      <c r="AK28" s="300">
        <f t="shared" si="33"/>
        <v>0</v>
      </c>
    </row>
    <row r="29" spans="1:37">
      <c r="A29" s="4">
        <f>ELEC!C29</f>
        <v>43917</v>
      </c>
      <c r="B29" s="277">
        <f t="shared" si="28"/>
        <v>8556.5499999999993</v>
      </c>
      <c r="C29" s="298">
        <f t="shared" si="11"/>
        <v>0</v>
      </c>
      <c r="D29" s="277">
        <f t="shared" si="29"/>
        <v>131971.29999999999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0"/>
        <v>10689.42</v>
      </c>
      <c r="K29" s="298">
        <f t="shared" si="2"/>
        <v>0</v>
      </c>
      <c r="L29" s="277">
        <f t="shared" si="31"/>
        <v>237071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4"/>
        <v>ok</v>
      </c>
      <c r="R29" s="277">
        <f t="shared" si="22"/>
        <v>10992.51</v>
      </c>
      <c r="S29" s="298">
        <f t="shared" si="5"/>
        <v>0</v>
      </c>
      <c r="T29" s="277">
        <f t="shared" si="23"/>
        <v>201286.1</v>
      </c>
      <c r="U29" s="298">
        <f t="shared" si="35"/>
        <v>0</v>
      </c>
      <c r="V29" s="298">
        <f t="shared" si="16"/>
        <v>0</v>
      </c>
      <c r="W29" s="200"/>
      <c r="X29" s="299">
        <f t="shared" si="17"/>
        <v>11529</v>
      </c>
      <c r="Y29" s="298" t="str">
        <f t="shared" si="36"/>
        <v>ok</v>
      </c>
      <c r="Z29" s="298">
        <f t="shared" si="8"/>
        <v>0</v>
      </c>
      <c r="AA29" s="298">
        <f t="shared" si="18"/>
        <v>0</v>
      </c>
      <c r="AB29" s="298">
        <f t="shared" si="19"/>
        <v>0</v>
      </c>
      <c r="AC29" s="298">
        <f t="shared" si="20"/>
        <v>0</v>
      </c>
      <c r="AD29" s="74">
        <f>ELEC!Q29</f>
        <v>0</v>
      </c>
      <c r="AE29" s="74" t="e">
        <f t="shared" si="24"/>
        <v>#DIV/0!</v>
      </c>
      <c r="AF29" s="424" t="e">
        <f t="shared" si="25"/>
        <v>#DIV/0!</v>
      </c>
      <c r="AG29" s="425" t="e">
        <f t="shared" si="26"/>
        <v>#DIV/0!</v>
      </c>
      <c r="AH29" s="425" t="e">
        <f t="shared" si="21"/>
        <v>#DIV/0!</v>
      </c>
      <c r="AI29" s="74">
        <f t="shared" si="27"/>
        <v>0</v>
      </c>
      <c r="AJ29" s="300">
        <f t="shared" si="9"/>
        <v>0.25738396624472576</v>
      </c>
      <c r="AK29" s="300">
        <f t="shared" si="33"/>
        <v>0</v>
      </c>
    </row>
    <row r="30" spans="1:37">
      <c r="A30" s="4">
        <f>ELEC!C30</f>
        <v>43918</v>
      </c>
      <c r="B30" s="277">
        <f t="shared" si="28"/>
        <v>8556.5499999999993</v>
      </c>
      <c r="C30" s="298">
        <f t="shared" si="11"/>
        <v>0</v>
      </c>
      <c r="D30" s="277">
        <f t="shared" si="29"/>
        <v>131971.29999999999</v>
      </c>
      <c r="E30" s="298">
        <f t="shared" si="12"/>
        <v>0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f t="shared" si="30"/>
        <v>10689.42</v>
      </c>
      <c r="K30" s="298">
        <f t="shared" si="2"/>
        <v>0</v>
      </c>
      <c r="L30" s="277">
        <f t="shared" si="31"/>
        <v>237071</v>
      </c>
      <c r="M30" s="298">
        <f t="shared" si="3"/>
        <v>0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4"/>
        <v>ok</v>
      </c>
      <c r="R30" s="277">
        <f t="shared" si="22"/>
        <v>10992.51</v>
      </c>
      <c r="S30" s="298">
        <f t="shared" si="5"/>
        <v>0</v>
      </c>
      <c r="T30" s="277">
        <f t="shared" si="23"/>
        <v>201286.1</v>
      </c>
      <c r="U30" s="298">
        <f t="shared" si="35"/>
        <v>0</v>
      </c>
      <c r="V30" s="298">
        <f t="shared" si="16"/>
        <v>0</v>
      </c>
      <c r="W30" s="296"/>
      <c r="X30" s="299">
        <f t="shared" si="17"/>
        <v>11529</v>
      </c>
      <c r="Y30" s="298" t="str">
        <f t="shared" si="36"/>
        <v>ok</v>
      </c>
      <c r="Z30" s="298">
        <f t="shared" si="8"/>
        <v>0</v>
      </c>
      <c r="AA30" s="298">
        <f t="shared" si="18"/>
        <v>0</v>
      </c>
      <c r="AB30" s="298">
        <f t="shared" si="19"/>
        <v>0</v>
      </c>
      <c r="AC30" s="298">
        <f t="shared" si="20"/>
        <v>0</v>
      </c>
      <c r="AD30" s="74">
        <f>ELEC!Q30</f>
        <v>0</v>
      </c>
      <c r="AE30" s="74" t="e">
        <f t="shared" si="24"/>
        <v>#DIV/0!</v>
      </c>
      <c r="AF30" s="424" t="e">
        <f t="shared" si="25"/>
        <v>#DIV/0!</v>
      </c>
      <c r="AG30" s="425" t="e">
        <f t="shared" si="26"/>
        <v>#DIV/0!</v>
      </c>
      <c r="AH30" s="425" t="e">
        <f t="shared" si="21"/>
        <v>#DIV/0!</v>
      </c>
      <c r="AI30" s="74">
        <f t="shared" si="27"/>
        <v>0</v>
      </c>
      <c r="AJ30" s="300">
        <f t="shared" si="9"/>
        <v>0.25738396624472576</v>
      </c>
      <c r="AK30" s="300">
        <f t="shared" si="33"/>
        <v>0</v>
      </c>
    </row>
    <row r="31" spans="1:37">
      <c r="A31" s="4">
        <f>ELEC!C31</f>
        <v>43919</v>
      </c>
      <c r="B31" s="277">
        <f t="shared" si="28"/>
        <v>8556.5499999999993</v>
      </c>
      <c r="C31" s="298">
        <f t="shared" si="11"/>
        <v>0</v>
      </c>
      <c r="D31" s="277">
        <f t="shared" si="29"/>
        <v>131971.29999999999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f t="shared" si="30"/>
        <v>10689.42</v>
      </c>
      <c r="K31" s="298">
        <f t="shared" si="2"/>
        <v>0</v>
      </c>
      <c r="L31" s="277">
        <f t="shared" si="31"/>
        <v>237071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4"/>
        <v>ok</v>
      </c>
      <c r="R31" s="277">
        <f t="shared" si="22"/>
        <v>10992.51</v>
      </c>
      <c r="S31" s="298">
        <f t="shared" si="5"/>
        <v>0</v>
      </c>
      <c r="T31" s="277">
        <f t="shared" si="23"/>
        <v>201286.1</v>
      </c>
      <c r="U31" s="298">
        <f t="shared" si="35"/>
        <v>0</v>
      </c>
      <c r="V31" s="298">
        <f t="shared" si="16"/>
        <v>0</v>
      </c>
      <c r="W31" s="200"/>
      <c r="X31" s="299">
        <f t="shared" si="17"/>
        <v>11529</v>
      </c>
      <c r="Y31" s="298" t="str">
        <f t="shared" si="36"/>
        <v>ok</v>
      </c>
      <c r="Z31" s="298">
        <f t="shared" si="8"/>
        <v>0</v>
      </c>
      <c r="AA31" s="298">
        <f t="shared" si="18"/>
        <v>0</v>
      </c>
      <c r="AB31" s="298">
        <f t="shared" si="19"/>
        <v>0</v>
      </c>
      <c r="AC31" s="298">
        <f t="shared" si="20"/>
        <v>0</v>
      </c>
      <c r="AD31" s="74">
        <f>ELEC!Q31</f>
        <v>0</v>
      </c>
      <c r="AE31" s="74" t="e">
        <f t="shared" si="24"/>
        <v>#DIV/0!</v>
      </c>
      <c r="AF31" s="424" t="e">
        <f t="shared" si="25"/>
        <v>#DIV/0!</v>
      </c>
      <c r="AG31" s="425" t="e">
        <f t="shared" si="26"/>
        <v>#DIV/0!</v>
      </c>
      <c r="AH31" s="425" t="e">
        <f t="shared" si="21"/>
        <v>#DIV/0!</v>
      </c>
      <c r="AI31" s="74">
        <f t="shared" si="27"/>
        <v>0</v>
      </c>
      <c r="AJ31" s="300">
        <f t="shared" si="9"/>
        <v>0.25738396624472576</v>
      </c>
      <c r="AK31" s="300">
        <f t="shared" si="33"/>
        <v>0</v>
      </c>
    </row>
    <row r="32" spans="1:37">
      <c r="A32" s="4">
        <f>ELEC!C32</f>
        <v>43920</v>
      </c>
      <c r="B32" s="277">
        <f t="shared" si="28"/>
        <v>8556.5499999999993</v>
      </c>
      <c r="C32" s="298">
        <f t="shared" si="11"/>
        <v>0</v>
      </c>
      <c r="D32" s="277">
        <f t="shared" si="29"/>
        <v>131971.29999999999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0"/>
        <v>10689.42</v>
      </c>
      <c r="K32" s="298">
        <f>J32-J31</f>
        <v>0</v>
      </c>
      <c r="L32" s="277">
        <f t="shared" si="31"/>
        <v>237071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4"/>
        <v>ok</v>
      </c>
      <c r="R32" s="277">
        <f t="shared" si="22"/>
        <v>10992.51</v>
      </c>
      <c r="S32" s="298">
        <f t="shared" si="5"/>
        <v>0</v>
      </c>
      <c r="T32" s="277">
        <f t="shared" si="23"/>
        <v>201286.1</v>
      </c>
      <c r="U32" s="298">
        <f t="shared" si="35"/>
        <v>0</v>
      </c>
      <c r="V32" s="298">
        <f t="shared" si="16"/>
        <v>0</v>
      </c>
      <c r="W32" s="200"/>
      <c r="X32" s="299">
        <f t="shared" si="17"/>
        <v>11529</v>
      </c>
      <c r="Y32" s="298" t="str">
        <f t="shared" si="36"/>
        <v>ok</v>
      </c>
      <c r="Z32" s="298">
        <f t="shared" si="8"/>
        <v>0</v>
      </c>
      <c r="AA32" s="298">
        <f t="shared" si="18"/>
        <v>0</v>
      </c>
      <c r="AB32" s="298">
        <f t="shared" si="19"/>
        <v>0</v>
      </c>
      <c r="AC32" s="298">
        <f t="shared" si="20"/>
        <v>0</v>
      </c>
      <c r="AD32" s="74">
        <f>ELEC!Q32</f>
        <v>0</v>
      </c>
      <c r="AE32" s="74" t="e">
        <f t="shared" si="24"/>
        <v>#DIV/0!</v>
      </c>
      <c r="AF32" s="424" t="e">
        <f t="shared" si="25"/>
        <v>#DIV/0!</v>
      </c>
      <c r="AG32" s="425" t="e">
        <f t="shared" si="26"/>
        <v>#DIV/0!</v>
      </c>
      <c r="AH32" s="425" t="e">
        <f t="shared" si="21"/>
        <v>#DIV/0!</v>
      </c>
      <c r="AI32" s="74">
        <f t="shared" si="27"/>
        <v>0</v>
      </c>
      <c r="AJ32" s="300">
        <f t="shared" si="9"/>
        <v>0.25738396624472576</v>
      </c>
      <c r="AK32" s="300">
        <f t="shared" si="33"/>
        <v>0</v>
      </c>
    </row>
    <row r="33" spans="1:37">
      <c r="A33" s="4">
        <f>ELEC!C33</f>
        <v>43921</v>
      </c>
      <c r="B33" s="277">
        <f t="shared" si="28"/>
        <v>8556.5499999999993</v>
      </c>
      <c r="C33" s="298">
        <f>B33-B32</f>
        <v>0</v>
      </c>
      <c r="D33" s="277">
        <f t="shared" si="29"/>
        <v>131971.29999999999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0"/>
        <v>10689.42</v>
      </c>
      <c r="K33" s="298">
        <f>J33-J32</f>
        <v>0</v>
      </c>
      <c r="L33" s="277">
        <f t="shared" si="31"/>
        <v>237071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277">
        <f t="shared" si="22"/>
        <v>10992.51</v>
      </c>
      <c r="S33" s="298">
        <f>R33-R32</f>
        <v>0</v>
      </c>
      <c r="T33" s="277">
        <f t="shared" si="23"/>
        <v>201286.1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11529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14.479999999999563</v>
      </c>
      <c r="V34" s="40"/>
      <c r="X34">
        <v>341</v>
      </c>
      <c r="Z34" s="443">
        <f>SUM(Z3:Z33)</f>
        <v>14.479999999999563</v>
      </c>
    </row>
    <row r="35" spans="1:37">
      <c r="C35" s="40">
        <f>SUM(C3:C33)</f>
        <v>13.549999999999272</v>
      </c>
      <c r="K35" s="40">
        <f>SUM(K3:K33)</f>
        <v>0.42000000000007276</v>
      </c>
      <c r="S35" s="40">
        <f>SUM(S3:S33)</f>
        <v>0.51000000000021828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681</v>
      </c>
      <c r="C2" s="3">
        <f>ELEC!N3</f>
        <v>10658</v>
      </c>
      <c r="D2" s="3">
        <f>C2-E2</f>
        <v>6557.9999999996362</v>
      </c>
      <c r="E2" s="3">
        <f>ELEC!Q3</f>
        <v>4100.0000000003638</v>
      </c>
      <c r="F2" s="3">
        <f>GEN!Z2</f>
        <v>6</v>
      </c>
      <c r="G2" s="3">
        <f>WATER!C5+WATER!H5</f>
        <v>160</v>
      </c>
      <c r="H2" s="3">
        <f>WATER!L5</f>
        <v>2</v>
      </c>
      <c r="I2" s="15">
        <f>WATER!BC5+WATER!BD5+WATER!BE6-Sheet1!G2</f>
        <v>-170.40000000000003</v>
      </c>
      <c r="J2" s="9">
        <f>'B5'!A4</f>
        <v>43890</v>
      </c>
    </row>
    <row r="3" spans="1:10">
      <c r="A3" s="3">
        <f>ELEC!T4+ELEC!X2+ELEC!AB4</f>
        <v>3</v>
      </c>
      <c r="B3" s="3">
        <f>ELEC!AF4</f>
        <v>587</v>
      </c>
      <c r="C3" s="3">
        <f>ELEC!N4</f>
        <v>12173</v>
      </c>
      <c r="D3" s="3">
        <f t="shared" ref="D3:D30" si="0">C3-E3</f>
        <v>11323.99999999984</v>
      </c>
      <c r="E3" s="3">
        <f>ELEC!Q4</f>
        <v>849.00000000016007</v>
      </c>
      <c r="F3" s="3">
        <f>GEN!Z3</f>
        <v>5.0200000000004366</v>
      </c>
      <c r="G3" s="3">
        <f>WATER!C6+WATER!H6</f>
        <v>0</v>
      </c>
      <c r="H3" s="3">
        <f>WATER!L6</f>
        <v>0</v>
      </c>
      <c r="I3" s="15">
        <f>WATER!BC6+WATER!BD6+WATER!BE7-Sheet1!G3</f>
        <v>82.200000000000017</v>
      </c>
      <c r="J3" s="9">
        <f>'B5'!A5</f>
        <v>43891</v>
      </c>
    </row>
    <row r="4" spans="1:10">
      <c r="A4" s="3">
        <f>ELEC!T5+ELEC!X5+ELEC!AB5</f>
        <v>4</v>
      </c>
      <c r="B4" s="3">
        <f>ELEC!AF5</f>
        <v>788</v>
      </c>
      <c r="C4" s="3">
        <f>ELEC!N5</f>
        <v>11827.600000000093</v>
      </c>
      <c r="D4" s="3">
        <f t="shared" si="0"/>
        <v>9961.6000000001077</v>
      </c>
      <c r="E4" s="3">
        <f>ELEC!Q5</f>
        <v>1865.9999999999854</v>
      </c>
      <c r="F4" s="3">
        <f>GEN!Z4</f>
        <v>1.9799999999995634</v>
      </c>
      <c r="G4" s="3">
        <f>WATER!C7+WATER!H7</f>
        <v>454</v>
      </c>
      <c r="H4" s="3">
        <f>WATER!L7</f>
        <v>0</v>
      </c>
      <c r="I4" s="15">
        <f>WATER!BC7+WATER!BD7+WATER!BE8-Sheet1!G4</f>
        <v>-364.4</v>
      </c>
      <c r="J4" s="9">
        <f>'B5'!A6</f>
        <v>43892</v>
      </c>
    </row>
    <row r="5" spans="1:10">
      <c r="A5" s="3">
        <f>ELEC!T6+ELEC!X6+ELEC!AB6</f>
        <v>4</v>
      </c>
      <c r="B5" s="3">
        <f>ELEC!AF6</f>
        <v>802</v>
      </c>
      <c r="C5" s="3">
        <f>ELEC!N6</f>
        <v>12688.799999999814</v>
      </c>
      <c r="D5" s="3">
        <f t="shared" si="0"/>
        <v>10277.799999999756</v>
      </c>
      <c r="E5" s="3">
        <f>ELEC!Q6</f>
        <v>2411.0000000000582</v>
      </c>
      <c r="F5" s="3">
        <f>GEN!Z5</f>
        <v>3.4500000000007276</v>
      </c>
      <c r="G5" s="3">
        <f>WATER!C8+WATER!H8</f>
        <v>0</v>
      </c>
      <c r="H5" s="3">
        <f>WATER!L8</f>
        <v>0</v>
      </c>
      <c r="I5" s="15">
        <f>WATER!BC8+WATER!BD8+WATER!BE9-Sheet1!G5</f>
        <v>55.999999999999972</v>
      </c>
      <c r="J5" s="9">
        <f>'B5'!A7</f>
        <v>43893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4.0299999999988358</v>
      </c>
      <c r="G6" s="3">
        <f>WATER!C9+WATER!H9</f>
        <v>341</v>
      </c>
      <c r="H6" s="3">
        <f>WATER!L9</f>
        <v>0</v>
      </c>
      <c r="I6" s="15">
        <f>WATER!BC9+WATER!BD9+WATER!BE10-Sheet1!G6</f>
        <v>-269</v>
      </c>
      <c r="J6" s="9">
        <f>'B5'!A8</f>
        <v>43894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43895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43896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43897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43898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43899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43900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43901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43902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43903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43904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43905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43906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43907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43908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43909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43910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43911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43912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43913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43914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43915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43916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43917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43918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43919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4"/>
      <c r="B1" s="601" t="s">
        <v>119</v>
      </c>
      <c r="C1" s="601" t="s">
        <v>118</v>
      </c>
      <c r="D1" s="606" t="s">
        <v>113</v>
      </c>
      <c r="E1" s="606" t="s">
        <v>114</v>
      </c>
      <c r="F1" s="607" t="s">
        <v>120</v>
      </c>
      <c r="G1" s="608" t="s">
        <v>75</v>
      </c>
      <c r="H1" s="609" t="s">
        <v>115</v>
      </c>
      <c r="I1" s="610" t="s">
        <v>116</v>
      </c>
      <c r="J1" s="609" t="s">
        <v>117</v>
      </c>
      <c r="K1" s="603" t="s">
        <v>121</v>
      </c>
      <c r="L1" s="603" t="s">
        <v>122</v>
      </c>
      <c r="M1" s="603" t="s">
        <v>123</v>
      </c>
      <c r="N1" s="603" t="s">
        <v>124</v>
      </c>
    </row>
    <row r="2" spans="1:14">
      <c r="A2" s="605"/>
      <c r="B2" s="602"/>
      <c r="C2" s="602"/>
      <c r="D2" s="606"/>
      <c r="E2" s="606"/>
      <c r="F2" s="607"/>
      <c r="G2" s="608"/>
      <c r="H2" s="609"/>
      <c r="I2" s="611"/>
      <c r="J2" s="609"/>
      <c r="K2" s="603"/>
      <c r="L2" s="603"/>
      <c r="M2" s="603"/>
      <c r="N2" s="60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43891</v>
      </c>
      <c r="B5" s="77">
        <f>'B5'!V5</f>
        <v>580</v>
      </c>
      <c r="C5" s="77">
        <f>'B5'!AH5</f>
        <v>0</v>
      </c>
      <c r="D5" s="77">
        <f>GEN!AI3</f>
        <v>1055.2742616034693</v>
      </c>
      <c r="E5" s="248">
        <f t="shared" ref="E5:E33" si="0">B5+C5+D5</f>
        <v>1635.2742616034693</v>
      </c>
      <c r="F5" s="76">
        <f>WATER!L5</f>
        <v>2</v>
      </c>
      <c r="G5" s="79">
        <f>WATER!BG5</f>
        <v>68.799999999999983</v>
      </c>
      <c r="H5" s="80">
        <f>ELEC!AF3</f>
        <v>681</v>
      </c>
      <c r="I5" s="80">
        <f>ELEC!Q3</f>
        <v>4100.0000000003638</v>
      </c>
      <c r="J5" s="80">
        <f>ELEC!R3</f>
        <v>6557.9999999996362</v>
      </c>
      <c r="K5" s="81"/>
      <c r="L5" s="3"/>
      <c r="M5" s="3"/>
      <c r="N5" s="3"/>
    </row>
    <row r="6" spans="1:14">
      <c r="A6" s="63">
        <f>'B5'!A6</f>
        <v>43892</v>
      </c>
      <c r="B6" s="77">
        <f>'B5'!V6</f>
        <v>567</v>
      </c>
      <c r="C6" s="77">
        <f>'B5'!AH6</f>
        <v>0</v>
      </c>
      <c r="D6" s="77">
        <f>GEN!AI4</f>
        <v>218.51898734181336</v>
      </c>
      <c r="E6" s="248">
        <f t="shared" si="0"/>
        <v>785.51898734181339</v>
      </c>
      <c r="F6" s="76">
        <f>WATER!L6</f>
        <v>0</v>
      </c>
      <c r="G6" s="79">
        <f>WATER!BG6</f>
        <v>-53.100000000000009</v>
      </c>
      <c r="H6" s="80">
        <f>ELEC!AF4</f>
        <v>587</v>
      </c>
      <c r="I6" s="80">
        <f>ELEC!Q4</f>
        <v>849.00000000016007</v>
      </c>
      <c r="J6" s="80">
        <f>ELEC!R4</f>
        <v>11323.99999999984</v>
      </c>
      <c r="K6" s="3"/>
      <c r="L6" s="3"/>
      <c r="M6" s="3"/>
      <c r="N6" s="3"/>
    </row>
    <row r="7" spans="1:14">
      <c r="A7" s="63">
        <f>'B5'!A7</f>
        <v>43893</v>
      </c>
      <c r="B7" s="77">
        <f>'B5'!V7</f>
        <v>553</v>
      </c>
      <c r="C7" s="77">
        <f>'B5'!AH7</f>
        <v>508.40000000002328</v>
      </c>
      <c r="D7" s="77">
        <f>GEN!AI5</f>
        <v>480.27848101265454</v>
      </c>
      <c r="E7" s="248">
        <f t="shared" si="0"/>
        <v>1541.6784810126778</v>
      </c>
      <c r="F7" s="76">
        <f>WATER!L7</f>
        <v>0</v>
      </c>
      <c r="G7" s="79">
        <f>WATER!BG7</f>
        <v>103.80000000000001</v>
      </c>
      <c r="H7" s="80">
        <f>ELEC!AF5</f>
        <v>788</v>
      </c>
      <c r="I7" s="80">
        <f>ELEC!Q5</f>
        <v>1865.9999999999854</v>
      </c>
      <c r="J7" s="80">
        <f>ELEC!R5</f>
        <v>9961.6000000001077</v>
      </c>
      <c r="K7" s="3"/>
      <c r="L7" s="3"/>
      <c r="M7" s="3"/>
      <c r="N7" s="3"/>
    </row>
    <row r="8" spans="1:14">
      <c r="A8" s="63">
        <f>'B5'!A8</f>
        <v>43894</v>
      </c>
      <c r="B8" s="77">
        <f>'B5'!V8</f>
        <v>240</v>
      </c>
      <c r="C8" s="77">
        <f>'B5'!AH8</f>
        <v>36.699999999982538</v>
      </c>
      <c r="D8" s="77">
        <f>GEN!AI6</f>
        <v>620.55274261604882</v>
      </c>
      <c r="E8" s="248">
        <f t="shared" si="0"/>
        <v>897.25274261603136</v>
      </c>
      <c r="F8" s="76">
        <f>WATER!L8</f>
        <v>0</v>
      </c>
      <c r="G8" s="79">
        <f>WATER!BG8</f>
        <v>-30.400000000000013</v>
      </c>
      <c r="H8" s="80">
        <f>ELEC!AF6</f>
        <v>802</v>
      </c>
      <c r="I8" s="80">
        <f>ELEC!Q6</f>
        <v>2411.0000000000582</v>
      </c>
      <c r="J8" s="80">
        <f>ELEC!R6</f>
        <v>10277.799999999756</v>
      </c>
      <c r="K8" s="3"/>
      <c r="L8" s="3"/>
      <c r="M8" s="3"/>
      <c r="N8" s="3"/>
    </row>
    <row r="9" spans="1:14">
      <c r="A9" s="63">
        <f>'B5'!A9</f>
        <v>43895</v>
      </c>
      <c r="B9" s="77">
        <f>'B5'!V9</f>
        <v>0</v>
      </c>
      <c r="C9" s="77">
        <f>'B5'!AH9</f>
        <v>0</v>
      </c>
      <c r="D9" s="77">
        <f>GEN!AI7</f>
        <v>0</v>
      </c>
      <c r="E9" s="248">
        <f t="shared" si="0"/>
        <v>0</v>
      </c>
      <c r="F9" s="76">
        <f>WATER!L9</f>
        <v>0</v>
      </c>
      <c r="G9" s="79">
        <f>WATER!BG9</f>
        <v>97.199999999999989</v>
      </c>
      <c r="H9" s="80">
        <f>ELEC!AF7</f>
        <v>0</v>
      </c>
      <c r="I9" s="80">
        <f>ELEC!Q7</f>
        <v>0</v>
      </c>
      <c r="J9" s="80">
        <f>ELEC!R7</f>
        <v>0</v>
      </c>
      <c r="K9" s="3"/>
      <c r="L9" s="3"/>
      <c r="M9" s="3"/>
      <c r="N9" s="3"/>
    </row>
    <row r="10" spans="1:14">
      <c r="A10" s="63">
        <f>'B5'!A10</f>
        <v>43896</v>
      </c>
      <c r="B10" s="77">
        <f>'B5'!V10</f>
        <v>0</v>
      </c>
      <c r="C10" s="77">
        <f>'B5'!AH10</f>
        <v>0</v>
      </c>
      <c r="D10" s="77">
        <f>GEN!AI8</f>
        <v>0</v>
      </c>
      <c r="E10" s="248">
        <f t="shared" si="0"/>
        <v>0</v>
      </c>
      <c r="F10" s="76">
        <f>WATER!L10</f>
        <v>0</v>
      </c>
      <c r="G10" s="79">
        <f>WATER!BG10</f>
        <v>0</v>
      </c>
      <c r="H10" s="80">
        <f>ELEC!AF8</f>
        <v>0</v>
      </c>
      <c r="I10" s="80">
        <f>ELEC!Q8</f>
        <v>0</v>
      </c>
      <c r="J10" s="80">
        <f>ELEC!R8</f>
        <v>0</v>
      </c>
      <c r="K10" s="3"/>
      <c r="L10" s="3"/>
      <c r="M10" s="3"/>
      <c r="N10" s="3"/>
    </row>
    <row r="11" spans="1:14">
      <c r="A11" s="63">
        <f>'B5'!A11</f>
        <v>43897</v>
      </c>
      <c r="B11" s="77">
        <f>'B5'!V11</f>
        <v>0</v>
      </c>
      <c r="C11" s="77">
        <f>'B5'!AH11</f>
        <v>0</v>
      </c>
      <c r="D11" s="77">
        <f>GEN!AI9</f>
        <v>0</v>
      </c>
      <c r="E11" s="248">
        <f t="shared" si="0"/>
        <v>0</v>
      </c>
      <c r="F11" s="76">
        <f>WATER!L11</f>
        <v>0</v>
      </c>
      <c r="G11" s="79">
        <f>WATER!BG11</f>
        <v>0</v>
      </c>
      <c r="H11" s="80">
        <f>ELEC!AF9</f>
        <v>0</v>
      </c>
      <c r="I11" s="80">
        <f>ELEC!Q9</f>
        <v>0</v>
      </c>
      <c r="J11" s="80">
        <f>ELEC!R9</f>
        <v>0</v>
      </c>
      <c r="K11" s="3"/>
      <c r="L11" s="3"/>
      <c r="M11" s="3"/>
      <c r="N11" s="3"/>
    </row>
    <row r="12" spans="1:14">
      <c r="A12" s="63">
        <f>'B5'!A12</f>
        <v>43898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0</v>
      </c>
      <c r="G12" s="79">
        <f>WATER!BG12</f>
        <v>0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43899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43900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43901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43902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43903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43904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43905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43906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43907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43908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43909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43910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43911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43912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43913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43914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43915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43916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43917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43918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43919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43920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9</v>
      </c>
      <c r="E5">
        <f t="shared" ref="E5:E37" si="0">D5*90</f>
        <v>810</v>
      </c>
      <c r="F5">
        <f>'B5'!AM4</f>
        <v>1</v>
      </c>
      <c r="G5">
        <f t="shared" ref="G5:G37" si="1">F5*107</f>
        <v>107</v>
      </c>
      <c r="H5">
        <f>GEN!Z3</f>
        <v>5.0200000000004366</v>
      </c>
    </row>
    <row r="6" spans="3:21">
      <c r="C6" s="100">
        <v>42430</v>
      </c>
      <c r="D6">
        <f>'B5'!AL5</f>
        <v>8</v>
      </c>
      <c r="E6">
        <f t="shared" si="0"/>
        <v>720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8</v>
      </c>
      <c r="G8">
        <f t="shared" si="1"/>
        <v>856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100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L1" zoomScale="80" zoomScaleNormal="80" workbookViewId="0">
      <selection activeCell="X7" sqref="X7:Z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43890</v>
      </c>
      <c r="B3" s="271">
        <f>'[1]EDl log'!B32</f>
        <v>49582042</v>
      </c>
      <c r="C3" s="271">
        <f>'[1]EDl log'!C32</f>
        <v>5344</v>
      </c>
      <c r="D3" s="271">
        <f>'[1]EDl log'!D32</f>
        <v>5342</v>
      </c>
      <c r="E3" s="271">
        <f>'[1]EDl log'!E32</f>
        <v>49582040</v>
      </c>
      <c r="F3" s="271">
        <f>'[1]EDl log'!F32</f>
        <v>7969132</v>
      </c>
      <c r="G3" s="271">
        <f>'[1]EDl log'!G32</f>
        <v>830</v>
      </c>
      <c r="H3" s="271">
        <f>'[1]EDl log'!H32</f>
        <v>24415638</v>
      </c>
      <c r="I3" s="271">
        <f>'[1]EDl log'!I32</f>
        <v>2199</v>
      </c>
      <c r="J3" s="271">
        <f>'[1]EDl log'!J32</f>
        <v>17197272</v>
      </c>
      <c r="K3" s="271">
        <f>'[1]EDl log'!K32</f>
        <v>2313</v>
      </c>
      <c r="L3" s="271">
        <f>'[1]EDl log'!L32</f>
        <v>176.18573797678275</v>
      </c>
      <c r="M3" s="271">
        <f>'[1]EDl log'!M32</f>
        <v>163.37512437810946</v>
      </c>
      <c r="N3" s="271">
        <f>'[1]EDl log'!N32</f>
        <v>122.74626865671642</v>
      </c>
      <c r="O3" s="271">
        <f>'[1]EDl log'!O32</f>
        <v>165.47911019614571</v>
      </c>
      <c r="P3" s="271">
        <f>'[1]EDl log'!P32</f>
        <v>627.7862412077543</v>
      </c>
      <c r="Q3" s="271">
        <f>'[1]EDl log'!Q32</f>
        <v>1051.3100000000002</v>
      </c>
      <c r="R3" s="271">
        <f>'[1]EDl log'!R32</f>
        <v>1679.0962412077545</v>
      </c>
      <c r="S3" s="271">
        <f>'[1]EDl log'!S32</f>
        <v>14138</v>
      </c>
      <c r="T3" s="271">
        <f>'[1]EDl log'!T32</f>
        <v>0.1187647645499897</v>
      </c>
      <c r="Z3" t="s">
        <v>214</v>
      </c>
      <c r="AA3">
        <v>0.1</v>
      </c>
    </row>
    <row r="4" spans="1:30">
      <c r="A4" s="164">
        <f>ELEC!C3</f>
        <v>43891</v>
      </c>
      <c r="B4" s="412">
        <v>49586412</v>
      </c>
      <c r="C4" s="280">
        <f>SUM(B4-B3)</f>
        <v>4370</v>
      </c>
      <c r="D4" s="324">
        <f>SUM(G4+I4+K4)</f>
        <v>4372</v>
      </c>
      <c r="E4" s="324">
        <f>B3+D4</f>
        <v>49586414</v>
      </c>
      <c r="F4" s="567">
        <v>7970021</v>
      </c>
      <c r="G4" s="161">
        <f t="shared" ref="G4:G32" si="0">F4-F3</f>
        <v>889</v>
      </c>
      <c r="H4" s="567">
        <v>24417607</v>
      </c>
      <c r="I4" s="162">
        <f t="shared" ref="I4:I33" si="1">H4-H3</f>
        <v>1969</v>
      </c>
      <c r="J4" s="567">
        <v>17198786</v>
      </c>
      <c r="K4" s="163">
        <f t="shared" ref="K4:K33" si="2">J4-J3</f>
        <v>1514</v>
      </c>
      <c r="L4" s="311">
        <f>SUM(G4*$Y$28)/1507.5</f>
        <v>188.70978441127696</v>
      </c>
      <c r="M4" s="311">
        <f>SUM(I4*$Y$27)/1507.5</f>
        <v>146.28723051409619</v>
      </c>
      <c r="N4" s="311">
        <f>SUM(K4*$Y$26)/1507.5</f>
        <v>80.344941956882252</v>
      </c>
      <c r="O4" s="311">
        <f>($AC$31/$A$38)/1507.5</f>
        <v>19.974585622011347</v>
      </c>
      <c r="P4" s="312">
        <f>SUM(L4:O4)</f>
        <v>435.31654250426675</v>
      </c>
      <c r="Q4" s="312">
        <f>SUM(-tanks!AX6*tanks!$AU$37)</f>
        <v>76.681290322580892</v>
      </c>
      <c r="R4" s="312">
        <f>SUM(P4:Q4)</f>
        <v>511.99783282684763</v>
      </c>
      <c r="S4" s="315">
        <f>SUM(ELEC!N3)</f>
        <v>10658</v>
      </c>
      <c r="T4" s="352">
        <f>IF(S4&gt;0,R4/S4,0)</f>
        <v>4.8038828375572121E-2</v>
      </c>
      <c r="U4" s="256"/>
      <c r="V4" s="257" t="str">
        <f>'[3]EDl log'!V21</f>
        <v xml:space="preserve">EDL </v>
      </c>
      <c r="W4" s="168">
        <v>43881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43892</v>
      </c>
      <c r="B5" s="567">
        <v>49591340</v>
      </c>
      <c r="C5" s="271">
        <f t="shared" ref="C5:C33" si="3">SUM(B5-B4)</f>
        <v>4928</v>
      </c>
      <c r="D5" s="324">
        <f t="shared" ref="D5:D33" si="4">SUM(G5+I5+K5)</f>
        <v>4927</v>
      </c>
      <c r="E5" s="324">
        <f>B4+D5</f>
        <v>49591339</v>
      </c>
      <c r="F5" s="567">
        <v>7971060</v>
      </c>
      <c r="G5" s="161">
        <f t="shared" si="0"/>
        <v>1039</v>
      </c>
      <c r="H5" s="567">
        <v>24419808</v>
      </c>
      <c r="I5" s="162">
        <f t="shared" si="1"/>
        <v>2201</v>
      </c>
      <c r="J5" s="567">
        <v>17200473</v>
      </c>
      <c r="K5" s="163">
        <f t="shared" si="2"/>
        <v>1687</v>
      </c>
      <c r="L5" s="311">
        <f t="shared" ref="L5:L32" si="5">SUM(G5*$Y$28)/1507.5</f>
        <v>220.55058043117745</v>
      </c>
      <c r="M5" s="311">
        <f t="shared" ref="M5:M33" si="6">SUM(I5*$Y$27)/1507.5</f>
        <v>163.52371475953566</v>
      </c>
      <c r="N5" s="311">
        <f t="shared" ref="N5:N33" si="7">SUM(K5*$Y$26)/1507.5</f>
        <v>89.525704809286893</v>
      </c>
      <c r="O5" s="311">
        <f t="shared" ref="O5:O34" si="8">($AC$31/$A$38)/1507.5</f>
        <v>19.974585622011347</v>
      </c>
      <c r="P5" s="312">
        <f t="shared" ref="P5:P32" si="9">SUM(L5:O5)</f>
        <v>493.57458562201134</v>
      </c>
      <c r="Q5" s="312">
        <f>SUM(-tanks!AX7*tanks!$AU$37)</f>
        <v>92.438709677421144</v>
      </c>
      <c r="R5" s="312">
        <f t="shared" ref="R5:R32" si="10">SUM(P5:Q5)</f>
        <v>586.01329529943246</v>
      </c>
      <c r="S5" s="315">
        <f>SUM(ELEC!N4)</f>
        <v>12173</v>
      </c>
      <c r="T5" s="352">
        <f>IF(S5&gt;0,R5/S5,0)</f>
        <v>4.8140416930866049E-2</v>
      </c>
      <c r="U5" s="256"/>
      <c r="V5" s="617"/>
      <c r="W5" s="618"/>
      <c r="X5" s="618"/>
      <c r="Y5" s="619"/>
      <c r="Z5" s="26" t="s">
        <v>203</v>
      </c>
      <c r="AA5" s="271">
        <f>'[4]EDl log'!AA5</f>
        <v>5000</v>
      </c>
      <c r="AB5" s="625"/>
      <c r="AC5" s="626"/>
    </row>
    <row r="6" spans="1:30">
      <c r="A6" s="164">
        <f>ELEC!C5</f>
        <v>43893</v>
      </c>
      <c r="B6" s="567">
        <v>49596500</v>
      </c>
      <c r="C6" s="271">
        <f t="shared" si="3"/>
        <v>5160</v>
      </c>
      <c r="D6" s="324">
        <f t="shared" si="4"/>
        <v>5160</v>
      </c>
      <c r="E6" s="324">
        <f t="shared" ref="E6:E33" si="11">B5+D6</f>
        <v>49596500</v>
      </c>
      <c r="F6" s="567">
        <v>7972051</v>
      </c>
      <c r="G6" s="161">
        <f t="shared" si="0"/>
        <v>991</v>
      </c>
      <c r="H6" s="567">
        <v>24422516</v>
      </c>
      <c r="I6" s="162">
        <f t="shared" si="1"/>
        <v>2708</v>
      </c>
      <c r="J6" s="567">
        <v>17201934</v>
      </c>
      <c r="K6" s="163">
        <f t="shared" si="2"/>
        <v>1461</v>
      </c>
      <c r="L6" s="311">
        <f t="shared" si="5"/>
        <v>210.36152570480928</v>
      </c>
      <c r="M6" s="311">
        <f t="shared" si="6"/>
        <v>201.19137645107796</v>
      </c>
      <c r="N6" s="311">
        <f t="shared" si="7"/>
        <v>77.53233830845771</v>
      </c>
      <c r="O6" s="311">
        <f t="shared" si="8"/>
        <v>19.974585622011347</v>
      </c>
      <c r="P6" s="312">
        <f t="shared" si="9"/>
        <v>509.05982608635634</v>
      </c>
      <c r="Q6" s="312">
        <f>SUM(-tanks!AX8*tanks!$AU$37)</f>
        <v>20.730967741932545</v>
      </c>
      <c r="R6" s="312">
        <f t="shared" si="10"/>
        <v>529.79079382828888</v>
      </c>
      <c r="S6" s="315">
        <f>SUM(ELEC!N5)</f>
        <v>11827.600000000093</v>
      </c>
      <c r="T6" s="352">
        <f t="shared" ref="T6:T32" si="12">IF(S6&gt;0,R6/S6,0)</f>
        <v>4.4792755405009023E-2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43894</v>
      </c>
      <c r="B7" s="567">
        <v>49601831</v>
      </c>
      <c r="C7" s="271">
        <f t="shared" si="3"/>
        <v>5331</v>
      </c>
      <c r="D7" s="324">
        <f t="shared" si="4"/>
        <v>5331</v>
      </c>
      <c r="E7" s="324">
        <f t="shared" si="11"/>
        <v>49601831</v>
      </c>
      <c r="F7" s="567">
        <v>7972695</v>
      </c>
      <c r="G7" s="161">
        <f t="shared" si="0"/>
        <v>644</v>
      </c>
      <c r="H7" s="567">
        <v>24425226</v>
      </c>
      <c r="I7" s="162">
        <f t="shared" si="1"/>
        <v>2710</v>
      </c>
      <c r="J7" s="567">
        <v>17203911</v>
      </c>
      <c r="K7" s="163">
        <f t="shared" si="2"/>
        <v>1977</v>
      </c>
      <c r="L7" s="311">
        <f t="shared" si="5"/>
        <v>136.70315091210614</v>
      </c>
      <c r="M7" s="311">
        <f t="shared" si="6"/>
        <v>201.33996683250413</v>
      </c>
      <c r="N7" s="311">
        <f t="shared" si="7"/>
        <v>104.91542288557214</v>
      </c>
      <c r="O7" s="311">
        <f t="shared" si="8"/>
        <v>19.974585622011347</v>
      </c>
      <c r="P7" s="312">
        <f t="shared" si="9"/>
        <v>462.9331262521938</v>
      </c>
      <c r="Q7" s="312">
        <f>SUM(-tanks!AX9*tanks!$AU$37)</f>
        <v>174.30387096774359</v>
      </c>
      <c r="R7" s="312">
        <f t="shared" si="10"/>
        <v>637.23699721993739</v>
      </c>
      <c r="S7" s="315">
        <f>SUM(ELEC!N6)</f>
        <v>12688.799999999814</v>
      </c>
      <c r="T7" s="352">
        <f t="shared" si="12"/>
        <v>5.0220430396881247E-2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43895</v>
      </c>
      <c r="B8" s="567">
        <f t="shared" ref="B8:B34" si="13">B7</f>
        <v>49601831</v>
      </c>
      <c r="C8" s="271">
        <f t="shared" si="3"/>
        <v>0</v>
      </c>
      <c r="D8" s="324">
        <f t="shared" si="4"/>
        <v>0</v>
      </c>
      <c r="E8" s="324">
        <f t="shared" si="11"/>
        <v>49601831</v>
      </c>
      <c r="F8" s="567">
        <f t="shared" ref="F8:J34" si="14">F7</f>
        <v>7972695</v>
      </c>
      <c r="G8" s="161">
        <f t="shared" si="0"/>
        <v>0</v>
      </c>
      <c r="H8" s="567">
        <f t="shared" si="14"/>
        <v>24425226</v>
      </c>
      <c r="I8" s="162">
        <f t="shared" si="1"/>
        <v>0</v>
      </c>
      <c r="J8" s="567">
        <f t="shared" si="14"/>
        <v>17203911</v>
      </c>
      <c r="K8" s="163">
        <f>J8-J7</f>
        <v>0</v>
      </c>
      <c r="L8" s="311">
        <f>SUM(G8*$Y$28)/1507.5</f>
        <v>0</v>
      </c>
      <c r="M8" s="311">
        <f>SUM(I8*$Y$27)/1507.5</f>
        <v>0</v>
      </c>
      <c r="N8" s="311">
        <f>SUM(K8*$Y$26)/1507.5</f>
        <v>0</v>
      </c>
      <c r="O8" s="311">
        <f t="shared" si="8"/>
        <v>19.974585622011347</v>
      </c>
      <c r="P8" s="312">
        <f t="shared" si="9"/>
        <v>19.974585622011347</v>
      </c>
      <c r="Q8" s="312">
        <f>SUM(-tanks!AX10*tanks!$AU$37)</f>
        <v>0</v>
      </c>
      <c r="R8" s="312">
        <f t="shared" si="10"/>
        <v>19.974585622011347</v>
      </c>
      <c r="S8" s="315">
        <f>SUM(ELEC!N7)</f>
        <v>0</v>
      </c>
      <c r="T8" s="352">
        <f>IF(S8&gt;0,R8/S8,0)</f>
        <v>0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43896</v>
      </c>
      <c r="B9" s="567">
        <f t="shared" si="13"/>
        <v>49601831</v>
      </c>
      <c r="C9" s="271">
        <f t="shared" si="3"/>
        <v>0</v>
      </c>
      <c r="D9" s="324">
        <f t="shared" si="4"/>
        <v>0</v>
      </c>
      <c r="E9" s="324">
        <f t="shared" si="11"/>
        <v>49601831</v>
      </c>
      <c r="F9" s="567">
        <f t="shared" si="14"/>
        <v>7972695</v>
      </c>
      <c r="G9" s="161">
        <f t="shared" si="0"/>
        <v>0</v>
      </c>
      <c r="H9" s="567">
        <f t="shared" si="14"/>
        <v>24425226</v>
      </c>
      <c r="I9" s="162">
        <f t="shared" si="1"/>
        <v>0</v>
      </c>
      <c r="J9" s="567">
        <f t="shared" si="14"/>
        <v>17203911</v>
      </c>
      <c r="K9" s="163">
        <f>J9-J8</f>
        <v>0</v>
      </c>
      <c r="L9" s="311">
        <f>SUM(G9*$Y$28)/1507.5</f>
        <v>0</v>
      </c>
      <c r="M9" s="311">
        <f>SUM(I9*$Y$27)/1507.5</f>
        <v>0</v>
      </c>
      <c r="N9" s="311">
        <f>SUM(K9*$Y$26)/1507.5</f>
        <v>0</v>
      </c>
      <c r="O9" s="311">
        <f t="shared" si="8"/>
        <v>19.974585622011347</v>
      </c>
      <c r="P9" s="312">
        <f t="shared" si="9"/>
        <v>19.974585622011347</v>
      </c>
      <c r="Q9" s="312">
        <f>SUM(-tanks!AX11*tanks!$AU$37)</f>
        <v>0</v>
      </c>
      <c r="R9" s="312">
        <f>SUM(P9:Q9)</f>
        <v>19.974585622011347</v>
      </c>
      <c r="S9" s="315">
        <f>SUM(ELEC!N8)</f>
        <v>0</v>
      </c>
      <c r="T9" s="352">
        <f t="shared" si="12"/>
        <v>0</v>
      </c>
      <c r="V9" s="271">
        <f>'[1]EDl log'!V26</f>
        <v>17141733</v>
      </c>
      <c r="W9" s="271">
        <f>'[1]EDl log'!W26</f>
        <v>17197272</v>
      </c>
      <c r="X9" s="271" t="str">
        <f>'[5]EDl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55539</v>
      </c>
      <c r="AB9" s="271">
        <f>'[1]EDl log'!AB26</f>
        <v>4443120</v>
      </c>
      <c r="AC9" s="271">
        <f>'[1]EDl log'!AC26</f>
        <v>1033333</v>
      </c>
      <c r="AD9" s="540">
        <f>'[1]EDl log'!AD26</f>
        <v>0.35885325131810192</v>
      </c>
    </row>
    <row r="10" spans="1:30">
      <c r="A10" s="164">
        <f>ELEC!C9</f>
        <v>43897</v>
      </c>
      <c r="B10" s="567">
        <f t="shared" si="13"/>
        <v>49601831</v>
      </c>
      <c r="C10" s="271">
        <f t="shared" si="3"/>
        <v>0</v>
      </c>
      <c r="D10" s="324">
        <f t="shared" si="4"/>
        <v>0</v>
      </c>
      <c r="E10" s="324">
        <f t="shared" si="11"/>
        <v>49601831</v>
      </c>
      <c r="F10" s="567">
        <f t="shared" si="14"/>
        <v>7972695</v>
      </c>
      <c r="G10" s="161">
        <f t="shared" si="0"/>
        <v>0</v>
      </c>
      <c r="H10" s="567">
        <f t="shared" si="14"/>
        <v>24425226</v>
      </c>
      <c r="I10" s="162">
        <f t="shared" si="1"/>
        <v>0</v>
      </c>
      <c r="J10" s="567">
        <f t="shared" si="14"/>
        <v>17203911</v>
      </c>
      <c r="K10" s="163">
        <f t="shared" si="2"/>
        <v>0</v>
      </c>
      <c r="L10" s="311">
        <f t="shared" si="5"/>
        <v>0</v>
      </c>
      <c r="M10" s="311">
        <f t="shared" si="6"/>
        <v>0</v>
      </c>
      <c r="N10" s="311">
        <f t="shared" si="7"/>
        <v>0</v>
      </c>
      <c r="O10" s="311">
        <f t="shared" si="8"/>
        <v>19.974585622011347</v>
      </c>
      <c r="P10" s="312">
        <f t="shared" si="9"/>
        <v>19.974585622011347</v>
      </c>
      <c r="Q10" s="312">
        <f>SUM(-tanks!AX12*tanks!$AU$37)</f>
        <v>0</v>
      </c>
      <c r="R10" s="312">
        <f t="shared" si="10"/>
        <v>19.974585622011347</v>
      </c>
      <c r="S10" s="315">
        <f>SUM(ELEC!N9)</f>
        <v>0</v>
      </c>
      <c r="T10" s="352">
        <f t="shared" si="12"/>
        <v>0</v>
      </c>
      <c r="V10" s="271">
        <f>'[1]EDl log'!V27</f>
        <v>24340859</v>
      </c>
      <c r="W10" s="271">
        <f>'[1]EDl log'!W27</f>
        <v>24415638</v>
      </c>
      <c r="X10" s="271" t="str">
        <f>'[5]EDl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74779</v>
      </c>
      <c r="AB10" s="271">
        <f>'[1]EDl log'!AB27</f>
        <v>8375248</v>
      </c>
      <c r="AC10" s="271">
        <f>'[1]EDl log'!AC27</f>
        <v>6200000</v>
      </c>
      <c r="AD10" s="540">
        <f>'[1]EDl log'!AD27</f>
        <v>0.48316835521554841</v>
      </c>
    </row>
    <row r="11" spans="1:30">
      <c r="A11" s="164">
        <f>ELEC!C10</f>
        <v>43898</v>
      </c>
      <c r="B11" s="567">
        <f t="shared" si="13"/>
        <v>49601831</v>
      </c>
      <c r="C11" s="271">
        <f t="shared" si="3"/>
        <v>0</v>
      </c>
      <c r="D11" s="324">
        <f>SUM(G11+I11+K11)</f>
        <v>0</v>
      </c>
      <c r="E11" s="324">
        <f t="shared" si="11"/>
        <v>49601831</v>
      </c>
      <c r="F11" s="567">
        <f t="shared" si="14"/>
        <v>7972695</v>
      </c>
      <c r="G11" s="161">
        <f t="shared" si="0"/>
        <v>0</v>
      </c>
      <c r="H11" s="567">
        <f t="shared" si="14"/>
        <v>24425226</v>
      </c>
      <c r="I11" s="162">
        <f t="shared" si="1"/>
        <v>0</v>
      </c>
      <c r="J11" s="567">
        <f t="shared" si="14"/>
        <v>17203911</v>
      </c>
      <c r="K11" s="163">
        <f t="shared" si="2"/>
        <v>0</v>
      </c>
      <c r="L11" s="311">
        <f t="shared" si="5"/>
        <v>0</v>
      </c>
      <c r="M11" s="311">
        <f t="shared" si="6"/>
        <v>0</v>
      </c>
      <c r="N11" s="311">
        <f t="shared" si="7"/>
        <v>0</v>
      </c>
      <c r="O11" s="311">
        <f t="shared" si="8"/>
        <v>19.974585622011347</v>
      </c>
      <c r="P11" s="312">
        <f t="shared" si="9"/>
        <v>19.974585622011347</v>
      </c>
      <c r="Q11" s="312">
        <f>SUM(-tanks!AX13*tanks!$AU$37)</f>
        <v>0</v>
      </c>
      <c r="R11" s="312">
        <f t="shared" si="10"/>
        <v>19.974585622011347</v>
      </c>
      <c r="S11" s="315">
        <f>SUM(ELEC!N10)</f>
        <v>0</v>
      </c>
      <c r="T11" s="352">
        <f t="shared" si="12"/>
        <v>0</v>
      </c>
      <c r="V11" s="271">
        <f>'[1]EDl log'!V28</f>
        <v>7944681</v>
      </c>
      <c r="W11" s="271">
        <f>'[1]EDl log'!W28</f>
        <v>7969132</v>
      </c>
      <c r="X11" s="271" t="str">
        <f>'[5]EDl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24451</v>
      </c>
      <c r="AB11" s="271">
        <f>'[1]EDl log'!AB28</f>
        <v>7824320</v>
      </c>
      <c r="AC11" s="271">
        <f>'[1]EDl log'!AC28</f>
        <v>1000</v>
      </c>
      <c r="AD11" s="540">
        <f>'[1]EDl log'!AD28</f>
        <v>0.157984854750336</v>
      </c>
    </row>
    <row r="12" spans="1:30">
      <c r="A12" s="164">
        <f>ELEC!C11</f>
        <v>43899</v>
      </c>
      <c r="B12" s="567">
        <f t="shared" si="13"/>
        <v>49601831</v>
      </c>
      <c r="C12" s="271">
        <f t="shared" si="3"/>
        <v>0</v>
      </c>
      <c r="D12" s="324">
        <f t="shared" si="4"/>
        <v>0</v>
      </c>
      <c r="E12" s="324">
        <f t="shared" si="11"/>
        <v>49601831</v>
      </c>
      <c r="F12" s="567">
        <f t="shared" si="14"/>
        <v>7972695</v>
      </c>
      <c r="G12" s="161">
        <f t="shared" si="0"/>
        <v>0</v>
      </c>
      <c r="H12" s="567">
        <f t="shared" si="14"/>
        <v>24425226</v>
      </c>
      <c r="I12" s="162">
        <f t="shared" si="1"/>
        <v>0</v>
      </c>
      <c r="J12" s="567">
        <f t="shared" si="14"/>
        <v>17203911</v>
      </c>
      <c r="K12" s="163">
        <f t="shared" si="2"/>
        <v>0</v>
      </c>
      <c r="L12" s="311">
        <f t="shared" si="5"/>
        <v>0</v>
      </c>
      <c r="M12" s="311">
        <f t="shared" si="6"/>
        <v>0</v>
      </c>
      <c r="N12" s="311">
        <f t="shared" si="7"/>
        <v>0</v>
      </c>
      <c r="O12" s="311">
        <f t="shared" si="8"/>
        <v>19.974585622011347</v>
      </c>
      <c r="P12" s="312">
        <f t="shared" si="9"/>
        <v>19.974585622011347</v>
      </c>
      <c r="Q12" s="312">
        <f>SUM(-tanks!AX14*tanks!$AU$37)</f>
        <v>0</v>
      </c>
      <c r="R12" s="312">
        <f t="shared" si="10"/>
        <v>19.974585622011347</v>
      </c>
      <c r="S12" s="315">
        <f>SUM(ELEC!N11)</f>
        <v>0</v>
      </c>
      <c r="T12" s="352">
        <f t="shared" si="12"/>
        <v>0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154769</v>
      </c>
      <c r="AB12" s="271" t="e">
        <f>'[5]EDl log'!AB29</f>
        <v>#REF!</v>
      </c>
      <c r="AC12" s="271">
        <f>'[6]EDl log'!AC29</f>
        <v>0</v>
      </c>
    </row>
    <row r="13" spans="1:30">
      <c r="A13" s="164">
        <f>ELEC!C12</f>
        <v>43900</v>
      </c>
      <c r="B13" s="567">
        <f t="shared" si="13"/>
        <v>49601831</v>
      </c>
      <c r="C13" s="271">
        <f t="shared" si="3"/>
        <v>0</v>
      </c>
      <c r="D13" s="324">
        <f t="shared" si="4"/>
        <v>0</v>
      </c>
      <c r="E13" s="324">
        <f t="shared" si="11"/>
        <v>49601831</v>
      </c>
      <c r="F13" s="567">
        <f t="shared" si="14"/>
        <v>7972695</v>
      </c>
      <c r="G13" s="161">
        <f t="shared" si="0"/>
        <v>0</v>
      </c>
      <c r="H13" s="567">
        <f t="shared" si="14"/>
        <v>24425226</v>
      </c>
      <c r="I13" s="162">
        <f t="shared" si="1"/>
        <v>0</v>
      </c>
      <c r="J13" s="567">
        <f t="shared" si="14"/>
        <v>17203911</v>
      </c>
      <c r="K13" s="163">
        <f t="shared" si="2"/>
        <v>0</v>
      </c>
      <c r="L13" s="311">
        <f t="shared" si="5"/>
        <v>0</v>
      </c>
      <c r="M13" s="311">
        <f t="shared" si="6"/>
        <v>0</v>
      </c>
      <c r="N13" s="311">
        <f t="shared" si="7"/>
        <v>0</v>
      </c>
      <c r="O13" s="311">
        <f t="shared" si="8"/>
        <v>19.974585622011347</v>
      </c>
      <c r="P13" s="312">
        <f t="shared" si="9"/>
        <v>19.974585622011347</v>
      </c>
      <c r="Q13" s="312">
        <f>SUM(-tanks!AX15*tanks!$AU$37)</f>
        <v>0</v>
      </c>
      <c r="R13" s="312">
        <f t="shared" si="10"/>
        <v>19.974585622011347</v>
      </c>
      <c r="S13" s="315">
        <f>SUM(ELEC!N12)</f>
        <v>0</v>
      </c>
      <c r="T13" s="352">
        <f t="shared" si="12"/>
        <v>0</v>
      </c>
      <c r="V13" s="271" t="str">
        <f>'[5]EDl log'!V30</f>
        <v>Occ %</v>
      </c>
      <c r="W13" s="540">
        <f>'[1]EDl log'!W30</f>
        <v>0.20819655172413792</v>
      </c>
      <c r="X13" s="271">
        <f>'[8]EDl log'!X30</f>
        <v>0</v>
      </c>
      <c r="Y13" s="271" t="str">
        <f>'[8]EDl log'!Y30</f>
        <v>Per G</v>
      </c>
      <c r="Z13" s="3"/>
      <c r="AA13" s="3"/>
      <c r="AB13" s="271">
        <f>'[1]EDl log'!AB30</f>
        <v>20642688</v>
      </c>
      <c r="AC13" s="271">
        <f>'[1]EDl log'!AC30</f>
        <v>7234333</v>
      </c>
    </row>
    <row r="14" spans="1:30">
      <c r="A14" s="164">
        <f>ELEC!C13</f>
        <v>43901</v>
      </c>
      <c r="B14" s="567">
        <f t="shared" si="13"/>
        <v>49601831</v>
      </c>
      <c r="C14" s="271">
        <f t="shared" si="3"/>
        <v>0</v>
      </c>
      <c r="D14" s="324">
        <f t="shared" si="4"/>
        <v>0</v>
      </c>
      <c r="E14" s="324">
        <f t="shared" si="11"/>
        <v>49601831</v>
      </c>
      <c r="F14" s="567">
        <f t="shared" si="14"/>
        <v>7972695</v>
      </c>
      <c r="G14" s="161">
        <f t="shared" si="0"/>
        <v>0</v>
      </c>
      <c r="H14" s="567">
        <f t="shared" si="14"/>
        <v>24425226</v>
      </c>
      <c r="I14" s="162">
        <f t="shared" si="1"/>
        <v>0</v>
      </c>
      <c r="J14" s="567">
        <f t="shared" si="14"/>
        <v>17203911</v>
      </c>
      <c r="K14" s="163">
        <f t="shared" si="2"/>
        <v>0</v>
      </c>
      <c r="L14" s="311">
        <f t="shared" si="5"/>
        <v>0</v>
      </c>
      <c r="M14" s="311">
        <f t="shared" si="6"/>
        <v>0</v>
      </c>
      <c r="N14" s="311">
        <f t="shared" si="7"/>
        <v>0</v>
      </c>
      <c r="O14" s="311">
        <f t="shared" si="8"/>
        <v>19.974585622011347</v>
      </c>
      <c r="P14" s="312">
        <f t="shared" si="9"/>
        <v>19.974585622011347</v>
      </c>
      <c r="Q14" s="312">
        <f>SUM(-tanks!AX16*tanks!$AU$37)</f>
        <v>0</v>
      </c>
      <c r="R14" s="312">
        <f>SUM(P14:Q14)</f>
        <v>19.974585622011347</v>
      </c>
      <c r="S14" s="315">
        <f>SUM(ELEC!N13)</f>
        <v>0</v>
      </c>
      <c r="T14" s="352">
        <f t="shared" si="12"/>
        <v>0</v>
      </c>
      <c r="V14" s="271" t="str">
        <f>'[5]EDl log'!V31</f>
        <v>Gen RH</v>
      </c>
      <c r="W14" s="271">
        <f>'[1]EDl log'!W31</f>
        <v>115.42000000000007</v>
      </c>
      <c r="X14" s="271">
        <f>'[1]EDl log'!X31</f>
        <v>3.9800000000000026</v>
      </c>
      <c r="Y14" s="271">
        <f>'[1]EDl log'!Y31</f>
        <v>1.9900000000000013</v>
      </c>
      <c r="Z14" s="3"/>
      <c r="AA14" s="3"/>
      <c r="AB14" s="271">
        <f>'[1]EDl log'!AB31</f>
        <v>27877021</v>
      </c>
      <c r="AC14" s="271">
        <f>'[1]EDl log'!AC31</f>
        <v>7234333</v>
      </c>
    </row>
    <row r="15" spans="1:30">
      <c r="A15" s="164">
        <f>ELEC!C14</f>
        <v>43902</v>
      </c>
      <c r="B15" s="567">
        <f t="shared" si="13"/>
        <v>49601831</v>
      </c>
      <c r="C15" s="271">
        <f t="shared" si="3"/>
        <v>0</v>
      </c>
      <c r="D15" s="324">
        <f t="shared" si="4"/>
        <v>0</v>
      </c>
      <c r="E15" s="324">
        <f t="shared" si="11"/>
        <v>49601831</v>
      </c>
      <c r="F15" s="567">
        <f t="shared" si="14"/>
        <v>7972695</v>
      </c>
      <c r="G15" s="161">
        <f t="shared" si="0"/>
        <v>0</v>
      </c>
      <c r="H15" s="567">
        <f t="shared" si="14"/>
        <v>24425226</v>
      </c>
      <c r="I15" s="162">
        <f t="shared" si="1"/>
        <v>0</v>
      </c>
      <c r="J15" s="567">
        <f t="shared" si="14"/>
        <v>17203911</v>
      </c>
      <c r="K15" s="163">
        <f t="shared" si="2"/>
        <v>0</v>
      </c>
      <c r="L15" s="311">
        <f t="shared" si="5"/>
        <v>0</v>
      </c>
      <c r="M15" s="311">
        <f t="shared" si="6"/>
        <v>0</v>
      </c>
      <c r="N15" s="311">
        <f t="shared" si="7"/>
        <v>0</v>
      </c>
      <c r="O15" s="311">
        <f t="shared" si="8"/>
        <v>19.974585622011347</v>
      </c>
      <c r="P15" s="312">
        <f t="shared" si="9"/>
        <v>19.974585622011347</v>
      </c>
      <c r="Q15" s="312">
        <f>SUM(-tanks!AX17*tanks!$AU$37)</f>
        <v>0</v>
      </c>
      <c r="R15" s="312">
        <f t="shared" si="10"/>
        <v>19.974585622011347</v>
      </c>
      <c r="S15" s="315">
        <f>SUM(ELEC!N14)</f>
        <v>0</v>
      </c>
      <c r="T15" s="352">
        <f t="shared" si="12"/>
        <v>0</v>
      </c>
      <c r="V15" s="271" t="str">
        <f>'[5]EDl log'!V32</f>
        <v>H Deg</v>
      </c>
      <c r="W15" s="271">
        <f>'[1]EDl log'!W32</f>
        <v>-549.00000000000011</v>
      </c>
      <c r="X15" s="271">
        <f>'[7]EDl log'!X32</f>
        <v>0</v>
      </c>
      <c r="Y15" s="271">
        <f>'[7]EDl log'!Y32</f>
        <v>0</v>
      </c>
      <c r="Z15" s="3"/>
      <c r="AA15" s="3"/>
      <c r="AB15" s="271">
        <f>'[6]EDl log'!AB32</f>
        <v>0</v>
      </c>
      <c r="AC15" s="271" t="e">
        <f>'[5]EDl log'!AC32</f>
        <v>#REF!</v>
      </c>
    </row>
    <row r="16" spans="1:30">
      <c r="A16" s="164">
        <f>ELEC!C15</f>
        <v>43903</v>
      </c>
      <c r="B16" s="567">
        <f t="shared" si="13"/>
        <v>49601831</v>
      </c>
      <c r="C16" s="271">
        <f t="shared" si="3"/>
        <v>0</v>
      </c>
      <c r="D16" s="324">
        <f t="shared" si="4"/>
        <v>0</v>
      </c>
      <c r="E16" s="324">
        <f t="shared" si="11"/>
        <v>49601831</v>
      </c>
      <c r="F16" s="567">
        <f t="shared" si="14"/>
        <v>7972695</v>
      </c>
      <c r="G16" s="161">
        <f t="shared" si="0"/>
        <v>0</v>
      </c>
      <c r="H16" s="567">
        <f t="shared" si="14"/>
        <v>24425226</v>
      </c>
      <c r="I16" s="162">
        <f t="shared" si="1"/>
        <v>0</v>
      </c>
      <c r="J16" s="567">
        <f t="shared" si="14"/>
        <v>17203911</v>
      </c>
      <c r="K16" s="163">
        <f t="shared" si="2"/>
        <v>0</v>
      </c>
      <c r="L16" s="311">
        <f t="shared" si="5"/>
        <v>0</v>
      </c>
      <c r="M16" s="311">
        <f t="shared" si="6"/>
        <v>0</v>
      </c>
      <c r="N16" s="311">
        <f t="shared" si="7"/>
        <v>0</v>
      </c>
      <c r="O16" s="311">
        <f t="shared" si="8"/>
        <v>19.974585622011347</v>
      </c>
      <c r="P16" s="312">
        <f t="shared" si="9"/>
        <v>19.974585622011347</v>
      </c>
      <c r="Q16" s="312">
        <f>SUM(-tanks!AX18*tanks!$AU$37)</f>
        <v>0</v>
      </c>
      <c r="R16" s="312">
        <f t="shared" si="10"/>
        <v>19.974585622011347</v>
      </c>
      <c r="S16" s="315">
        <f>SUM(ELEC!N15)</f>
        <v>0</v>
      </c>
      <c r="T16" s="352">
        <f t="shared" si="12"/>
        <v>0</v>
      </c>
      <c r="V16" s="271" t="str">
        <f>'[5]EDl log'!V33</f>
        <v>C Deg</v>
      </c>
      <c r="W16" s="271">
        <f>'[1]EDl log'!W33</f>
        <v>2.2999999999999972</v>
      </c>
      <c r="X16" s="271">
        <f>'[7]EDl log'!X33</f>
        <v>0</v>
      </c>
      <c r="Y16" s="271">
        <f>'[7]EDl log'!Y33</f>
        <v>0</v>
      </c>
      <c r="Z16" s="3"/>
      <c r="AA16" s="3"/>
      <c r="AB16" s="271">
        <f>'[6]EDl log'!AB33</f>
        <v>0</v>
      </c>
      <c r="AC16" s="271">
        <f>'[6]EDl log'!AC33</f>
        <v>0</v>
      </c>
    </row>
    <row r="17" spans="1:32">
      <c r="A17" s="164">
        <f>ELEC!C16</f>
        <v>43904</v>
      </c>
      <c r="B17" s="567">
        <f t="shared" si="13"/>
        <v>49601831</v>
      </c>
      <c r="C17" s="271">
        <f t="shared" si="3"/>
        <v>0</v>
      </c>
      <c r="D17" s="324">
        <f t="shared" si="4"/>
        <v>0</v>
      </c>
      <c r="E17" s="324">
        <f t="shared" si="11"/>
        <v>49601831</v>
      </c>
      <c r="F17" s="567">
        <f t="shared" si="14"/>
        <v>7972695</v>
      </c>
      <c r="G17" s="161">
        <f t="shared" si="0"/>
        <v>0</v>
      </c>
      <c r="H17" s="567">
        <f t="shared" si="14"/>
        <v>24425226</v>
      </c>
      <c r="I17" s="162">
        <f t="shared" si="1"/>
        <v>0</v>
      </c>
      <c r="J17" s="567">
        <f t="shared" si="14"/>
        <v>17203911</v>
      </c>
      <c r="K17" s="163">
        <f t="shared" si="2"/>
        <v>0</v>
      </c>
      <c r="L17" s="311">
        <f t="shared" si="5"/>
        <v>0</v>
      </c>
      <c r="M17" s="311">
        <f t="shared" si="6"/>
        <v>0</v>
      </c>
      <c r="N17" s="311">
        <f t="shared" si="7"/>
        <v>0</v>
      </c>
      <c r="O17" s="311">
        <f t="shared" si="8"/>
        <v>19.974585622011347</v>
      </c>
      <c r="P17" s="312">
        <f t="shared" si="9"/>
        <v>19.974585622011347</v>
      </c>
      <c r="Q17" s="312">
        <f>SUM(-tanks!AX19*tanks!$AU$37)</f>
        <v>0</v>
      </c>
      <c r="R17" s="312">
        <f t="shared" si="10"/>
        <v>19.974585622011347</v>
      </c>
      <c r="S17" s="315">
        <f>SUM(ELEC!N16)</f>
        <v>0</v>
      </c>
      <c r="T17" s="352">
        <f t="shared" si="12"/>
        <v>0</v>
      </c>
      <c r="V17" s="259"/>
      <c r="W17" s="271">
        <f>'[7]EDl log'!W34</f>
        <v>0</v>
      </c>
      <c r="X17" s="17"/>
      <c r="Y17" s="454"/>
      <c r="Z17" s="454" t="str">
        <f>'[9]EDl log'!Z34</f>
        <v xml:space="preserve">VAT </v>
      </c>
      <c r="AA17" s="539">
        <f>'[6]EDl log'!$AA$35</f>
        <v>0.11</v>
      </c>
      <c r="AB17" s="271">
        <f>'[1]EDl log'!AB34</f>
        <v>30943493.309999999</v>
      </c>
      <c r="AC17" s="271" t="e">
        <f>'[5]EDl log'!AC34</f>
        <v>#REF!</v>
      </c>
    </row>
    <row r="18" spans="1:32" ht="15.75" thickBot="1">
      <c r="A18" s="164">
        <f>ELEC!C17</f>
        <v>43905</v>
      </c>
      <c r="B18" s="567">
        <f t="shared" si="13"/>
        <v>49601831</v>
      </c>
      <c r="C18" s="271">
        <f t="shared" si="3"/>
        <v>0</v>
      </c>
      <c r="D18" s="324">
        <f t="shared" si="4"/>
        <v>0</v>
      </c>
      <c r="E18" s="324">
        <f t="shared" si="11"/>
        <v>49601831</v>
      </c>
      <c r="F18" s="567">
        <f t="shared" si="14"/>
        <v>7972695</v>
      </c>
      <c r="G18" s="161">
        <f t="shared" si="0"/>
        <v>0</v>
      </c>
      <c r="H18" s="567">
        <f t="shared" si="14"/>
        <v>24425226</v>
      </c>
      <c r="I18" s="162">
        <f t="shared" si="1"/>
        <v>0</v>
      </c>
      <c r="J18" s="567">
        <f t="shared" si="14"/>
        <v>17203911</v>
      </c>
      <c r="K18" s="163">
        <f t="shared" si="2"/>
        <v>0</v>
      </c>
      <c r="L18" s="311">
        <f t="shared" si="5"/>
        <v>0</v>
      </c>
      <c r="M18" s="311">
        <f t="shared" si="6"/>
        <v>0</v>
      </c>
      <c r="N18" s="311">
        <f t="shared" si="7"/>
        <v>0</v>
      </c>
      <c r="O18" s="311">
        <f t="shared" si="8"/>
        <v>19.974585622011347</v>
      </c>
      <c r="P18" s="312">
        <f t="shared" si="9"/>
        <v>19.974585622011347</v>
      </c>
      <c r="Q18" s="312">
        <f>SUM(-tanks!AX20*tanks!$AU$37)</f>
        <v>0</v>
      </c>
      <c r="R18" s="312">
        <f t="shared" si="10"/>
        <v>19.974585622011347</v>
      </c>
      <c r="S18" s="315">
        <f>SUM(ELEC!N17)</f>
        <v>0</v>
      </c>
      <c r="T18" s="352">
        <f t="shared" si="12"/>
        <v>0</v>
      </c>
      <c r="V18" s="233"/>
      <c r="W18" s="234"/>
      <c r="X18" s="234"/>
      <c r="Y18" s="454"/>
      <c r="Z18" s="454"/>
      <c r="AA18" s="45"/>
      <c r="AB18" s="271">
        <f>'[1]EDl log'!AB35</f>
        <v>18492.219568822555</v>
      </c>
      <c r="AC18" s="271" t="e">
        <f>'[5]EDl log'!AC35</f>
        <v>#REF!</v>
      </c>
    </row>
    <row r="19" spans="1:32" ht="15.75" thickBot="1">
      <c r="A19" s="164">
        <f>ELEC!C18</f>
        <v>43906</v>
      </c>
      <c r="B19" s="567">
        <f t="shared" si="13"/>
        <v>49601831</v>
      </c>
      <c r="C19" s="271">
        <f t="shared" si="3"/>
        <v>0</v>
      </c>
      <c r="D19" s="324">
        <f t="shared" si="4"/>
        <v>0</v>
      </c>
      <c r="E19" s="324">
        <f t="shared" si="11"/>
        <v>49601831</v>
      </c>
      <c r="F19" s="567">
        <f t="shared" si="14"/>
        <v>7972695</v>
      </c>
      <c r="G19" s="161">
        <f>F19-F18</f>
        <v>0</v>
      </c>
      <c r="H19" s="567">
        <f t="shared" si="14"/>
        <v>24425226</v>
      </c>
      <c r="I19" s="162">
        <f t="shared" si="1"/>
        <v>0</v>
      </c>
      <c r="J19" s="567">
        <f t="shared" si="14"/>
        <v>17203911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19.974585622011347</v>
      </c>
      <c r="P19" s="312">
        <f t="shared" si="9"/>
        <v>19.974585622011347</v>
      </c>
      <c r="Q19" s="312">
        <f>SUM(-tanks!AX21*tanks!$AU$37)</f>
        <v>0</v>
      </c>
      <c r="R19" s="312">
        <f t="shared" si="10"/>
        <v>19.974585622011347</v>
      </c>
      <c r="S19" s="315">
        <f>SUM(ELEC!N18)</f>
        <v>0</v>
      </c>
      <c r="T19" s="352">
        <f t="shared" si="12"/>
        <v>0</v>
      </c>
      <c r="V19" s="233"/>
      <c r="W19" s="234"/>
      <c r="X19" s="234"/>
      <c r="Y19" s="454"/>
      <c r="Z19" s="454"/>
      <c r="AA19" s="234" t="s">
        <v>215</v>
      </c>
      <c r="AB19" s="271">
        <f>'[5]EDl log'!AB36</f>
        <v>0</v>
      </c>
      <c r="AC19" s="271">
        <f>'[5]EDl log'!AC36</f>
        <v>0</v>
      </c>
    </row>
    <row r="20" spans="1:32" ht="15.75" thickBot="1">
      <c r="A20" s="164">
        <f>ELEC!C19</f>
        <v>43907</v>
      </c>
      <c r="B20" s="567">
        <f t="shared" si="13"/>
        <v>49601831</v>
      </c>
      <c r="C20" s="271">
        <f t="shared" si="3"/>
        <v>0</v>
      </c>
      <c r="D20" s="324">
        <f t="shared" si="4"/>
        <v>0</v>
      </c>
      <c r="E20" s="324">
        <f t="shared" si="11"/>
        <v>49601831</v>
      </c>
      <c r="F20" s="567">
        <f t="shared" si="14"/>
        <v>7972695</v>
      </c>
      <c r="G20" s="161">
        <f t="shared" si="0"/>
        <v>0</v>
      </c>
      <c r="H20" s="567">
        <f t="shared" si="14"/>
        <v>24425226</v>
      </c>
      <c r="I20" s="162">
        <f t="shared" si="1"/>
        <v>0</v>
      </c>
      <c r="J20" s="567">
        <f t="shared" si="14"/>
        <v>17203911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19.974585622011347</v>
      </c>
      <c r="P20" s="312">
        <f t="shared" si="9"/>
        <v>19.974585622011347</v>
      </c>
      <c r="Q20" s="312">
        <f>SUM(-tanks!AX22*tanks!$AU$37)</f>
        <v>0</v>
      </c>
      <c r="R20" s="312">
        <f t="shared" si="10"/>
        <v>19.974585622011347</v>
      </c>
      <c r="S20" s="315">
        <f>SUM(ELEC!N19)</f>
        <v>0</v>
      </c>
      <c r="T20" s="352">
        <f t="shared" si="12"/>
        <v>0</v>
      </c>
      <c r="AB20" s="271"/>
    </row>
    <row r="21" spans="1:32">
      <c r="A21" s="164">
        <f>ELEC!C20</f>
        <v>43908</v>
      </c>
      <c r="B21" s="567">
        <f t="shared" si="13"/>
        <v>49601831</v>
      </c>
      <c r="C21" s="271">
        <f t="shared" si="3"/>
        <v>0</v>
      </c>
      <c r="D21" s="324">
        <f t="shared" si="4"/>
        <v>0</v>
      </c>
      <c r="E21" s="324">
        <f t="shared" si="11"/>
        <v>49601831</v>
      </c>
      <c r="F21" s="567">
        <f t="shared" si="14"/>
        <v>7972695</v>
      </c>
      <c r="G21" s="161">
        <f t="shared" si="0"/>
        <v>0</v>
      </c>
      <c r="H21" s="567">
        <f t="shared" si="14"/>
        <v>24425226</v>
      </c>
      <c r="I21" s="162">
        <f t="shared" si="1"/>
        <v>0</v>
      </c>
      <c r="J21" s="567">
        <f t="shared" si="14"/>
        <v>17203911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19.974585622011347</v>
      </c>
      <c r="P21" s="312">
        <f t="shared" si="9"/>
        <v>19.974585622011347</v>
      </c>
      <c r="Q21" s="312">
        <f>SUM(-tanks!AX23*tanks!$AU$37)</f>
        <v>0</v>
      </c>
      <c r="R21" s="312">
        <f t="shared" si="10"/>
        <v>19.974585622011347</v>
      </c>
      <c r="S21" s="315">
        <f>SUM(ELEC!N20)</f>
        <v>0</v>
      </c>
      <c r="T21" s="352">
        <f t="shared" si="12"/>
        <v>0</v>
      </c>
      <c r="V21" s="167" t="s">
        <v>201</v>
      </c>
      <c r="W21" s="168">
        <v>43910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43909</v>
      </c>
      <c r="B22" s="567">
        <f t="shared" si="13"/>
        <v>49601831</v>
      </c>
      <c r="C22" s="271">
        <f t="shared" si="3"/>
        <v>0</v>
      </c>
      <c r="D22" s="324">
        <f t="shared" si="4"/>
        <v>0</v>
      </c>
      <c r="E22" s="324">
        <f t="shared" si="11"/>
        <v>49601831</v>
      </c>
      <c r="F22" s="567">
        <f t="shared" si="14"/>
        <v>7972695</v>
      </c>
      <c r="G22" s="161">
        <f t="shared" si="0"/>
        <v>0</v>
      </c>
      <c r="H22" s="567">
        <f t="shared" si="14"/>
        <v>24425226</v>
      </c>
      <c r="I22" s="162">
        <f t="shared" si="1"/>
        <v>0</v>
      </c>
      <c r="J22" s="567">
        <f t="shared" si="14"/>
        <v>17203911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19.974585622011347</v>
      </c>
      <c r="P22" s="312">
        <f t="shared" si="9"/>
        <v>19.974585622011347</v>
      </c>
      <c r="Q22" s="312">
        <f>SUM(-tanks!AX24*tanks!$AU$37)</f>
        <v>0</v>
      </c>
      <c r="R22" s="312">
        <f t="shared" si="10"/>
        <v>19.974585622011347</v>
      </c>
      <c r="S22" s="315">
        <f>SUM(ELEC!N21)</f>
        <v>0</v>
      </c>
      <c r="T22" s="352">
        <f t="shared" si="12"/>
        <v>0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43910</v>
      </c>
      <c r="B23" s="567">
        <f t="shared" si="13"/>
        <v>49601831</v>
      </c>
      <c r="C23" s="271">
        <f t="shared" si="3"/>
        <v>0</v>
      </c>
      <c r="D23" s="324">
        <f t="shared" si="4"/>
        <v>0</v>
      </c>
      <c r="E23" s="324">
        <f t="shared" si="11"/>
        <v>49601831</v>
      </c>
      <c r="F23" s="567">
        <f t="shared" si="14"/>
        <v>7972695</v>
      </c>
      <c r="G23" s="161">
        <f t="shared" si="0"/>
        <v>0</v>
      </c>
      <c r="H23" s="567">
        <f t="shared" si="14"/>
        <v>24425226</v>
      </c>
      <c r="I23" s="162">
        <f t="shared" si="1"/>
        <v>0</v>
      </c>
      <c r="J23" s="567">
        <f t="shared" si="14"/>
        <v>17203911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19.974585622011347</v>
      </c>
      <c r="P23" s="312">
        <f t="shared" si="9"/>
        <v>19.974585622011347</v>
      </c>
      <c r="Q23" s="312">
        <f>SUM(-tanks!AX25*tanks!$AU$37)</f>
        <v>0</v>
      </c>
      <c r="R23" s="312">
        <f t="shared" si="10"/>
        <v>19.974585622011347</v>
      </c>
      <c r="S23" s="315">
        <f>SUM(ELEC!N22)</f>
        <v>0</v>
      </c>
      <c r="T23" s="352">
        <f t="shared" si="12"/>
        <v>0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43911</v>
      </c>
      <c r="B24" s="567">
        <f t="shared" si="13"/>
        <v>49601831</v>
      </c>
      <c r="C24" s="271">
        <f t="shared" si="3"/>
        <v>0</v>
      </c>
      <c r="D24" s="324">
        <f t="shared" si="4"/>
        <v>0</v>
      </c>
      <c r="E24" s="324">
        <f t="shared" si="11"/>
        <v>49601831</v>
      </c>
      <c r="F24" s="567">
        <f t="shared" si="14"/>
        <v>7972695</v>
      </c>
      <c r="G24" s="161">
        <f t="shared" si="0"/>
        <v>0</v>
      </c>
      <c r="H24" s="567">
        <f t="shared" si="14"/>
        <v>24425226</v>
      </c>
      <c r="I24" s="162">
        <f t="shared" si="1"/>
        <v>0</v>
      </c>
      <c r="J24" s="567">
        <f t="shared" si="14"/>
        <v>17203911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19.974585622011347</v>
      </c>
      <c r="P24" s="312">
        <f t="shared" si="9"/>
        <v>19.974585622011347</v>
      </c>
      <c r="Q24" s="312">
        <f>SUM(-tanks!AX26*tanks!$AU$37)</f>
        <v>0</v>
      </c>
      <c r="R24" s="312">
        <f t="shared" si="10"/>
        <v>19.974585622011347</v>
      </c>
      <c r="S24" s="315">
        <f>SUM(ELEC!N23)</f>
        <v>0</v>
      </c>
      <c r="T24" s="352">
        <f t="shared" si="12"/>
        <v>0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43912</v>
      </c>
      <c r="B25" s="567">
        <f t="shared" si="13"/>
        <v>49601831</v>
      </c>
      <c r="C25" s="271">
        <f t="shared" si="3"/>
        <v>0</v>
      </c>
      <c r="D25" s="324">
        <f t="shared" si="4"/>
        <v>0</v>
      </c>
      <c r="E25" s="324">
        <f t="shared" si="11"/>
        <v>49601831</v>
      </c>
      <c r="F25" s="567">
        <f t="shared" si="14"/>
        <v>7972695</v>
      </c>
      <c r="G25" s="161">
        <f t="shared" si="0"/>
        <v>0</v>
      </c>
      <c r="H25" s="567">
        <f t="shared" si="14"/>
        <v>24425226</v>
      </c>
      <c r="I25" s="162">
        <f t="shared" si="1"/>
        <v>0</v>
      </c>
      <c r="J25" s="567">
        <f t="shared" si="14"/>
        <v>17203911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19.974585622011347</v>
      </c>
      <c r="P25" s="312">
        <f t="shared" si="9"/>
        <v>19.974585622011347</v>
      </c>
      <c r="Q25" s="312">
        <f>SUM(-tanks!AX27*tanks!$AU$37)</f>
        <v>0</v>
      </c>
      <c r="R25" s="312">
        <f t="shared" si="10"/>
        <v>19.974585622011347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43913</v>
      </c>
      <c r="B26" s="567">
        <f t="shared" si="13"/>
        <v>49601831</v>
      </c>
      <c r="C26" s="271">
        <f t="shared" si="3"/>
        <v>0</v>
      </c>
      <c r="D26" s="324">
        <f t="shared" si="4"/>
        <v>0</v>
      </c>
      <c r="E26" s="324">
        <f t="shared" si="11"/>
        <v>49601831</v>
      </c>
      <c r="F26" s="567">
        <f t="shared" si="14"/>
        <v>7972695</v>
      </c>
      <c r="G26" s="161">
        <f t="shared" si="0"/>
        <v>0</v>
      </c>
      <c r="H26" s="567">
        <f t="shared" si="14"/>
        <v>24425226</v>
      </c>
      <c r="I26" s="162">
        <f t="shared" si="1"/>
        <v>0</v>
      </c>
      <c r="J26" s="567">
        <f t="shared" si="14"/>
        <v>17203911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19.974585622011347</v>
      </c>
      <c r="P26" s="312">
        <f t="shared" si="9"/>
        <v>19.974585622011347</v>
      </c>
      <c r="Q26" s="312">
        <f>SUM(-tanks!AX28*tanks!$AU$37)</f>
        <v>0</v>
      </c>
      <c r="R26" s="312">
        <f t="shared" si="10"/>
        <v>19.974585622011347</v>
      </c>
      <c r="S26" s="315">
        <f>SUM(ELEC!N25)</f>
        <v>0</v>
      </c>
      <c r="T26" s="352">
        <f t="shared" si="12"/>
        <v>0</v>
      </c>
      <c r="V26" s="260">
        <f>W9</f>
        <v>17197272</v>
      </c>
      <c r="W26" s="171">
        <f>J34</f>
        <v>17203911</v>
      </c>
      <c r="X26" s="173" t="s">
        <v>199</v>
      </c>
      <c r="Y26" s="173">
        <v>80</v>
      </c>
      <c r="Z26" s="173">
        <v>1</v>
      </c>
      <c r="AA26" s="200">
        <f>(W26-V26)*Z26</f>
        <v>6639</v>
      </c>
      <c r="AB26" s="200">
        <f>AA26*Y26</f>
        <v>531120</v>
      </c>
      <c r="AC26" s="255">
        <f>AC9</f>
        <v>1033333</v>
      </c>
      <c r="AD26" s="216">
        <f>SUM(K37)</f>
        <v>0.33548941331042498</v>
      </c>
    </row>
    <row r="27" spans="1:32">
      <c r="A27" s="164">
        <f>ELEC!C26</f>
        <v>43914</v>
      </c>
      <c r="B27" s="567">
        <f t="shared" si="13"/>
        <v>49601831</v>
      </c>
      <c r="C27" s="271">
        <f t="shared" si="3"/>
        <v>0</v>
      </c>
      <c r="D27" s="324">
        <f t="shared" si="4"/>
        <v>0</v>
      </c>
      <c r="E27" s="324">
        <f t="shared" si="11"/>
        <v>49601831</v>
      </c>
      <c r="F27" s="567">
        <f t="shared" si="14"/>
        <v>7972695</v>
      </c>
      <c r="G27" s="161">
        <f t="shared" si="0"/>
        <v>0</v>
      </c>
      <c r="H27" s="567">
        <f t="shared" si="14"/>
        <v>24425226</v>
      </c>
      <c r="I27" s="162">
        <f t="shared" si="1"/>
        <v>0</v>
      </c>
      <c r="J27" s="567">
        <f t="shared" si="14"/>
        <v>17203911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19.974585622011347</v>
      </c>
      <c r="P27" s="312">
        <f t="shared" si="9"/>
        <v>19.974585622011347</v>
      </c>
      <c r="Q27" s="312">
        <f>SUM(-tanks!AX29*tanks!$AU$37)</f>
        <v>0</v>
      </c>
      <c r="R27" s="312">
        <f t="shared" si="10"/>
        <v>19.974585622011347</v>
      </c>
      <c r="S27" s="315">
        <f>SUM(ELEC!N26)</f>
        <v>0</v>
      </c>
      <c r="T27" s="352">
        <f t="shared" si="12"/>
        <v>0</v>
      </c>
      <c r="V27" s="260">
        <f>W10</f>
        <v>24415638</v>
      </c>
      <c r="W27" s="171">
        <f>H34</f>
        <v>24425226</v>
      </c>
      <c r="X27" s="173" t="s">
        <v>213</v>
      </c>
      <c r="Y27" s="173">
        <v>112</v>
      </c>
      <c r="Z27" s="173">
        <v>1</v>
      </c>
      <c r="AA27" s="200">
        <f>(W27-V27)*Z27</f>
        <v>9588</v>
      </c>
      <c r="AB27" s="200">
        <f>SUM(AA27*Y27)</f>
        <v>1073856</v>
      </c>
      <c r="AC27" s="255">
        <f>AC10</f>
        <v>6200000</v>
      </c>
      <c r="AD27" s="216">
        <f>SUM(I37)</f>
        <v>0.48451159735206428</v>
      </c>
    </row>
    <row r="28" spans="1:32">
      <c r="A28" s="164">
        <f>ELEC!C27</f>
        <v>43915</v>
      </c>
      <c r="B28" s="567">
        <f t="shared" si="13"/>
        <v>49601831</v>
      </c>
      <c r="C28" s="271">
        <f t="shared" si="3"/>
        <v>0</v>
      </c>
      <c r="D28" s="324">
        <f t="shared" si="4"/>
        <v>0</v>
      </c>
      <c r="E28" s="324">
        <f t="shared" si="11"/>
        <v>49601831</v>
      </c>
      <c r="F28" s="567">
        <f t="shared" si="14"/>
        <v>7972695</v>
      </c>
      <c r="G28" s="161">
        <f t="shared" si="0"/>
        <v>0</v>
      </c>
      <c r="H28" s="567">
        <f t="shared" si="14"/>
        <v>24425226</v>
      </c>
      <c r="I28" s="162">
        <f t="shared" si="1"/>
        <v>0</v>
      </c>
      <c r="J28" s="567">
        <f t="shared" si="14"/>
        <v>17203911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19.974585622011347</v>
      </c>
      <c r="P28" s="312">
        <f t="shared" si="9"/>
        <v>19.974585622011347</v>
      </c>
      <c r="Q28" s="312">
        <f>SUM(-tanks!AX30*tanks!$AU$37)</f>
        <v>0</v>
      </c>
      <c r="R28" s="312">
        <f t="shared" si="10"/>
        <v>19.974585622011347</v>
      </c>
      <c r="S28" s="315">
        <f>SUM(ELEC!N27)</f>
        <v>0</v>
      </c>
      <c r="T28" s="352">
        <f t="shared" si="12"/>
        <v>0</v>
      </c>
      <c r="V28" s="260">
        <f>W11</f>
        <v>7969132</v>
      </c>
      <c r="W28" s="171">
        <f>F34</f>
        <v>7972695</v>
      </c>
      <c r="X28" s="173" t="s">
        <v>197</v>
      </c>
      <c r="Y28" s="173">
        <v>320</v>
      </c>
      <c r="Z28" s="173">
        <v>1</v>
      </c>
      <c r="AA28" s="200">
        <f>(W28-V28)*Z28</f>
        <v>3563</v>
      </c>
      <c r="AB28" s="200">
        <f>SUM(AA28*Y28)</f>
        <v>1140160</v>
      </c>
      <c r="AC28" s="255">
        <f>AC11</f>
        <v>1000</v>
      </c>
      <c r="AD28" s="216">
        <f>SUM(G37)</f>
        <v>0.18004952246197384</v>
      </c>
      <c r="AE28" s="40">
        <f>SUM(AB28*5%)</f>
        <v>57008</v>
      </c>
      <c r="AF28" s="83">
        <f>SUM(AE28/7)*31</f>
        <v>252464</v>
      </c>
    </row>
    <row r="29" spans="1:32">
      <c r="A29" s="164">
        <f>ELEC!C28</f>
        <v>43916</v>
      </c>
      <c r="B29" s="567">
        <f t="shared" si="13"/>
        <v>49601831</v>
      </c>
      <c r="C29" s="271">
        <f t="shared" si="3"/>
        <v>0</v>
      </c>
      <c r="D29" s="324">
        <f t="shared" si="4"/>
        <v>0</v>
      </c>
      <c r="E29" s="324">
        <f t="shared" si="11"/>
        <v>49601831</v>
      </c>
      <c r="F29" s="567">
        <f t="shared" si="14"/>
        <v>7972695</v>
      </c>
      <c r="G29" s="161">
        <f t="shared" si="0"/>
        <v>0</v>
      </c>
      <c r="H29" s="567">
        <f t="shared" si="14"/>
        <v>24425226</v>
      </c>
      <c r="I29" s="162">
        <f t="shared" si="1"/>
        <v>0</v>
      </c>
      <c r="J29" s="567">
        <f t="shared" si="14"/>
        <v>17203911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19.974585622011347</v>
      </c>
      <c r="P29" s="312">
        <f t="shared" si="9"/>
        <v>19.974585622011347</v>
      </c>
      <c r="Q29" s="312">
        <f>SUM(-tanks!AX31*tanks!$AU$37)</f>
        <v>0</v>
      </c>
      <c r="R29" s="312">
        <f t="shared" si="10"/>
        <v>19.974585622011347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19790</v>
      </c>
      <c r="AB29" s="200"/>
      <c r="AC29" s="255"/>
    </row>
    <row r="30" spans="1:32" ht="14.25" customHeight="1">
      <c r="A30" s="164">
        <f>ELEC!C29</f>
        <v>43917</v>
      </c>
      <c r="B30" s="567">
        <f t="shared" si="13"/>
        <v>49601831</v>
      </c>
      <c r="C30" s="271">
        <f t="shared" si="3"/>
        <v>0</v>
      </c>
      <c r="D30" s="324">
        <f t="shared" si="4"/>
        <v>0</v>
      </c>
      <c r="E30" s="324">
        <f t="shared" si="11"/>
        <v>49601831</v>
      </c>
      <c r="F30" s="567">
        <f t="shared" si="14"/>
        <v>7972695</v>
      </c>
      <c r="G30" s="161">
        <f t="shared" si="0"/>
        <v>0</v>
      </c>
      <c r="H30" s="567">
        <f t="shared" si="14"/>
        <v>24425226</v>
      </c>
      <c r="I30" s="162">
        <f t="shared" si="1"/>
        <v>0</v>
      </c>
      <c r="J30" s="567">
        <f t="shared" si="14"/>
        <v>17203911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19.974585622011347</v>
      </c>
      <c r="P30" s="312">
        <f t="shared" si="9"/>
        <v>19.974585622011347</v>
      </c>
      <c r="Q30" s="312">
        <f>SUM(-tanks!AX32*tanks!$AU$37)</f>
        <v>0</v>
      </c>
      <c r="R30" s="312">
        <f t="shared" si="10"/>
        <v>19.974585622011347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0.12825</v>
      </c>
      <c r="X30" s="221"/>
      <c r="Y30" s="222" t="s">
        <v>333</v>
      </c>
      <c r="Z30" s="3"/>
      <c r="AA30" s="296"/>
      <c r="AB30" s="200">
        <f>SUM(AB26:AB29)</f>
        <v>2745136</v>
      </c>
      <c r="AC30" s="255">
        <f>SUM(AC26:AC29)/A38*A36</f>
        <v>933462.32258064521</v>
      </c>
    </row>
    <row r="31" spans="1:32">
      <c r="A31" s="164">
        <f>ELEC!C30</f>
        <v>43918</v>
      </c>
      <c r="B31" s="567">
        <f t="shared" si="13"/>
        <v>49601831</v>
      </c>
      <c r="C31" s="271">
        <f t="shared" si="3"/>
        <v>0</v>
      </c>
      <c r="D31" s="324">
        <f t="shared" si="4"/>
        <v>0</v>
      </c>
      <c r="E31" s="324">
        <f t="shared" si="11"/>
        <v>49601831</v>
      </c>
      <c r="F31" s="567">
        <f t="shared" si="14"/>
        <v>7972695</v>
      </c>
      <c r="G31" s="161">
        <f t="shared" si="0"/>
        <v>0</v>
      </c>
      <c r="H31" s="567">
        <f t="shared" si="14"/>
        <v>24425226</v>
      </c>
      <c r="I31" s="162">
        <f t="shared" si="1"/>
        <v>0</v>
      </c>
      <c r="J31" s="567">
        <f t="shared" si="14"/>
        <v>17203911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19.974585622011347</v>
      </c>
      <c r="P31" s="312">
        <f t="shared" si="9"/>
        <v>19.974585622011347</v>
      </c>
      <c r="Q31" s="312">
        <f>SUM(-tanks!AX33*tanks!$AU$37)</f>
        <v>0</v>
      </c>
      <c r="R31" s="312">
        <f t="shared" si="10"/>
        <v>19.974585622011347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14.479999999999563</v>
      </c>
      <c r="X31" s="226">
        <f>SUM(W31/A36)</f>
        <v>3.6199999999998909</v>
      </c>
      <c r="Y31" s="267">
        <f>SUM(X31/2)</f>
        <v>1.8099999999999454</v>
      </c>
      <c r="Z31" s="3"/>
      <c r="AA31" s="3"/>
      <c r="AB31" s="200">
        <f>SUM(AB30+AC31)</f>
        <v>3678598.3225806453</v>
      </c>
      <c r="AC31" s="255">
        <f>SUM(AC30)</f>
        <v>933462.32258064521</v>
      </c>
    </row>
    <row r="32" spans="1:32">
      <c r="A32" s="164">
        <f>ELEC!C31</f>
        <v>43919</v>
      </c>
      <c r="B32" s="567">
        <f t="shared" si="13"/>
        <v>49601831</v>
      </c>
      <c r="C32" s="271">
        <f t="shared" si="3"/>
        <v>0</v>
      </c>
      <c r="D32" s="324">
        <f t="shared" si="4"/>
        <v>0</v>
      </c>
      <c r="E32" s="324">
        <f t="shared" si="11"/>
        <v>49601831</v>
      </c>
      <c r="F32" s="567">
        <f t="shared" si="14"/>
        <v>7972695</v>
      </c>
      <c r="G32" s="161">
        <f t="shared" si="0"/>
        <v>0</v>
      </c>
      <c r="H32" s="567">
        <f t="shared" si="14"/>
        <v>24425226</v>
      </c>
      <c r="I32" s="162">
        <f t="shared" si="1"/>
        <v>0</v>
      </c>
      <c r="J32" s="567">
        <f t="shared" si="14"/>
        <v>17203911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19.974585622011347</v>
      </c>
      <c r="P32" s="312">
        <f t="shared" si="9"/>
        <v>19.974585622011347</v>
      </c>
      <c r="Q32" s="312">
        <f>SUM(-tanks!AX34*tanks!$AU$37)</f>
        <v>0</v>
      </c>
      <c r="R32" s="312">
        <f t="shared" si="10"/>
        <v>19.974585622011347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43920</v>
      </c>
      <c r="B33" s="567">
        <f t="shared" si="13"/>
        <v>49601831</v>
      </c>
      <c r="C33" s="271">
        <f t="shared" si="3"/>
        <v>0</v>
      </c>
      <c r="D33" s="324">
        <f t="shared" si="4"/>
        <v>0</v>
      </c>
      <c r="E33" s="324">
        <f t="shared" si="11"/>
        <v>49601831</v>
      </c>
      <c r="F33" s="567">
        <f t="shared" si="14"/>
        <v>7972695</v>
      </c>
      <c r="G33" s="161">
        <f>F33-F32</f>
        <v>0</v>
      </c>
      <c r="H33" s="567">
        <f t="shared" si="14"/>
        <v>24425226</v>
      </c>
      <c r="I33" s="162">
        <f t="shared" si="1"/>
        <v>0</v>
      </c>
      <c r="J33" s="567">
        <f t="shared" si="14"/>
        <v>17203911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19.974585622011347</v>
      </c>
      <c r="P33" s="312">
        <f>SUM(L33:O33)</f>
        <v>19.974585622011347</v>
      </c>
      <c r="Q33" s="312">
        <f>SUM(-tanks!AX35*tanks!$AU$37)</f>
        <v>0</v>
      </c>
      <c r="R33" s="312">
        <f>SUM(P33:Q33)</f>
        <v>19.974585622011347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43921</v>
      </c>
      <c r="B34" s="567">
        <f t="shared" si="13"/>
        <v>49601831</v>
      </c>
      <c r="C34" s="271">
        <f>SUM(B34-B33)</f>
        <v>0</v>
      </c>
      <c r="D34" s="324">
        <f>SUM(G34+I34+K34)</f>
        <v>0</v>
      </c>
      <c r="E34" s="324">
        <f>B33+D34</f>
        <v>49601831</v>
      </c>
      <c r="F34" s="567">
        <f t="shared" si="14"/>
        <v>7972695</v>
      </c>
      <c r="G34" s="161">
        <f>F34-F33</f>
        <v>0</v>
      </c>
      <c r="H34" s="567">
        <f t="shared" si="14"/>
        <v>24425226</v>
      </c>
      <c r="I34" s="162">
        <f>H34-H33</f>
        <v>0</v>
      </c>
      <c r="J34" s="567">
        <f t="shared" si="14"/>
        <v>17203911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19.974585622011347</v>
      </c>
      <c r="P34" s="312">
        <f>SUM(L34:O34)</f>
        <v>19.974585622011347</v>
      </c>
      <c r="Q34" s="312">
        <f>SUM(-tanks!AX36*tanks!$AU$37)</f>
        <v>0</v>
      </c>
      <c r="R34" s="312">
        <f>SUM(P34:Q34)</f>
        <v>19.974585622011347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1659.75</v>
      </c>
      <c r="L35" s="313">
        <f t="shared" ref="L35:S35" si="15">SUM(L4:L34)</f>
        <v>756.3250414593698</v>
      </c>
      <c r="M35" s="313">
        <f t="shared" si="15"/>
        <v>712.34228855721403</v>
      </c>
      <c r="N35" s="313">
        <f t="shared" si="15"/>
        <v>352.31840796019901</v>
      </c>
      <c r="O35" s="313">
        <f t="shared" si="15"/>
        <v>619.21215428235121</v>
      </c>
      <c r="P35" s="316">
        <f t="shared" si="15"/>
        <v>2440.1978922591379</v>
      </c>
      <c r="Q35" s="316">
        <f t="shared" si="15"/>
        <v>364.15483870967819</v>
      </c>
      <c r="R35" s="316">
        <f t="shared" si="15"/>
        <v>2804.3527309688179</v>
      </c>
      <c r="S35" s="316">
        <f t="shared" si="15"/>
        <v>47347.399999999907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404645.81548387097</v>
      </c>
      <c r="AC35" s="289"/>
    </row>
    <row r="36" spans="1:29" ht="15.75" thickBot="1">
      <c r="A36" s="284">
        <f>A38-COUNTIF(C4:C34,0)</f>
        <v>4</v>
      </c>
      <c r="C36" s="177">
        <f>SUM(C4:C34)/A36</f>
        <v>4947.25</v>
      </c>
      <c r="D36" s="177"/>
      <c r="E36" s="177"/>
      <c r="G36" s="177">
        <f>SUM(G4:G34)/A36</f>
        <v>890.75</v>
      </c>
      <c r="I36" s="177">
        <f>SUM(I4:I34)/A36</f>
        <v>2397</v>
      </c>
      <c r="K36" s="177"/>
      <c r="L36" s="177">
        <f>SUM(L35*1507.5)</f>
        <v>1140160</v>
      </c>
      <c r="M36" s="177">
        <f>SUM(M35*1507.5)</f>
        <v>1073856.0000000002</v>
      </c>
      <c r="N36" s="177">
        <f>SUM(N35*1507.5)</f>
        <v>531120</v>
      </c>
      <c r="O36" s="177">
        <f>SUM(O35*1507.5)</f>
        <v>933462.3225806444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4083244.1380645162</v>
      </c>
      <c r="AC36" s="289"/>
    </row>
    <row r="37" spans="1:29" ht="15.75" thickBot="1">
      <c r="A37" s="214"/>
      <c r="C37" s="216">
        <f>SUM(G37:K37)</f>
        <v>1.0000505331244631</v>
      </c>
      <c r="G37" s="229">
        <f>IF(C36&gt;0,G36/C36,0)</f>
        <v>0.18004952246197384</v>
      </c>
      <c r="H37" s="216"/>
      <c r="I37" s="229">
        <f>SUM(I36/C36)</f>
        <v>0.48451159735206428</v>
      </c>
      <c r="J37" s="216"/>
      <c r="K37" s="229">
        <f>SUM(K35/C36)</f>
        <v>0.33548941331042498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2440.1978922591347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622.30821505376343</v>
      </c>
      <c r="Z39" s="40"/>
      <c r="AA39" s="303" t="s">
        <v>215</v>
      </c>
      <c r="AB39" s="304">
        <f>SUM(AB37)</f>
        <v>2440.1978922591347</v>
      </c>
    </row>
    <row r="40" spans="1:29">
      <c r="V40" s="221"/>
      <c r="W40" s="83">
        <f>AB30/1500</f>
        <v>1830.0906666666667</v>
      </c>
      <c r="Z40" s="309">
        <f>SUM(AB39)</f>
        <v>2440.1978922591347</v>
      </c>
      <c r="AA40" s="304"/>
      <c r="AB40" s="304"/>
    </row>
    <row r="41" spans="1:29">
      <c r="V41" s="17"/>
      <c r="W41" s="83">
        <f>SUM(W39:W40)</f>
        <v>2452.3988817204299</v>
      </c>
      <c r="Y41" s="83"/>
      <c r="Z41" s="309">
        <f>SUM(-tanks!AX37)*tanks!AU37</f>
        <v>364.15483870967819</v>
      </c>
      <c r="AA41" s="102">
        <f>SUM(AB31/A36)</f>
        <v>919649.58064516133</v>
      </c>
      <c r="AB41" s="368">
        <f>SUM(AA41*A38)</f>
        <v>28509137</v>
      </c>
    </row>
    <row r="42" spans="1:29" ht="18.75">
      <c r="W42" s="83">
        <f>AB30/1500</f>
        <v>1830.0906666666667</v>
      </c>
      <c r="Z42" s="285">
        <f>SUM(Z40:Z41)</f>
        <v>2804.3527309688129</v>
      </c>
      <c r="AA42" s="304">
        <f>SUM(AA41/1507.5)</f>
        <v>610.04947306478368</v>
      </c>
      <c r="AB42" s="367">
        <f>SUM(AB41/1507.5)</f>
        <v>18911.533665008294</v>
      </c>
    </row>
    <row r="43" spans="1:29">
      <c r="D43" s="556"/>
      <c r="E43" s="556"/>
      <c r="F43" s="556"/>
      <c r="W43" s="83">
        <f>SUM(W41:W42)</f>
        <v>4282.4895483870969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Z23" sqref="Z23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2" t="s">
        <v>161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</row>
    <row r="2" spans="1:28" ht="19.5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</row>
    <row r="3" spans="1:28" ht="19.5">
      <c r="A3" s="643" t="s">
        <v>162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  <c r="W3" s="643"/>
      <c r="X3" s="64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3" t="s">
        <v>412</v>
      </c>
      <c r="B5" s="643"/>
      <c r="C5" s="643"/>
      <c r="D5" s="643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</row>
    <row r="6" spans="1:28" ht="15.75" thickBot="1">
      <c r="A6" s="644"/>
      <c r="B6" s="644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  <c r="O6" s="644"/>
      <c r="P6" s="644"/>
      <c r="Q6" s="644"/>
      <c r="R6" s="644"/>
      <c r="S6" s="644"/>
      <c r="T6" s="644"/>
      <c r="U6" s="644"/>
      <c r="V6" s="644"/>
      <c r="W6" s="644"/>
      <c r="X6" s="644"/>
    </row>
    <row r="7" spans="1:28" ht="15.75" thickBot="1">
      <c r="A7" s="646" t="s">
        <v>163</v>
      </c>
      <c r="B7" s="647"/>
      <c r="C7" s="648" t="s">
        <v>164</v>
      </c>
      <c r="D7" s="649"/>
      <c r="E7" s="649"/>
      <c r="F7" s="649"/>
      <c r="G7" s="649"/>
      <c r="H7" s="649"/>
      <c r="I7" s="649"/>
      <c r="J7" s="649"/>
      <c r="K7" s="65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'[1]Degree Days 2020'!B10</f>
        <v>16</v>
      </c>
      <c r="C10" s="279">
        <f>'[1]Degree Days 2020'!C10</f>
        <v>11</v>
      </c>
      <c r="D10" s="279">
        <f>'[1]Degree Days 2020'!D10</f>
        <v>-4.8000000000000007</v>
      </c>
      <c r="E10" s="570">
        <v>1</v>
      </c>
      <c r="F10" s="279">
        <f>'[1]Degree Days 2020'!F10</f>
        <v>17</v>
      </c>
      <c r="G10" s="279">
        <f>'[1]Degree Days 2020'!G10</f>
        <v>12</v>
      </c>
      <c r="H10" s="279">
        <f>'[1]Degree Days 2020'!H10</f>
        <v>-3.8000000000000007</v>
      </c>
      <c r="I10" s="570">
        <v>1</v>
      </c>
      <c r="J10" s="279">
        <f>'General information '!B6</f>
        <v>17</v>
      </c>
      <c r="K10" s="279">
        <f>'General information '!C6</f>
        <v>10</v>
      </c>
      <c r="L10" s="120">
        <f t="shared" ref="L10:L40" si="0">(J10+K10)/2-18.3</f>
        <v>-4.8000000000000007</v>
      </c>
      <c r="M10" s="570">
        <v>1</v>
      </c>
      <c r="N10" s="279"/>
      <c r="O10" s="279"/>
      <c r="P10" s="120">
        <f t="shared" ref="P10:P40" si="1">(N10+O10)/2-18.3</f>
        <v>-18.3</v>
      </c>
      <c r="Q10" s="570">
        <v>1</v>
      </c>
      <c r="R10" s="279"/>
      <c r="S10" s="279"/>
      <c r="T10" s="279"/>
      <c r="U10" s="570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'[1]Degree Days 2020'!B11</f>
        <v>17</v>
      </c>
      <c r="C11" s="279">
        <f>'[1]Degree Days 2020'!C11</f>
        <v>12</v>
      </c>
      <c r="D11" s="279">
        <f>'[1]Degree Days 2020'!D11</f>
        <v>-3.8000000000000007</v>
      </c>
      <c r="E11" s="570">
        <v>2</v>
      </c>
      <c r="F11" s="279">
        <f>'[1]Degree Days 2020'!F11</f>
        <v>17</v>
      </c>
      <c r="G11" s="279">
        <f>'[1]Degree Days 2020'!G11</f>
        <v>11</v>
      </c>
      <c r="H11" s="279">
        <f>'[1]Degree Days 2020'!H11</f>
        <v>-4.3000000000000007</v>
      </c>
      <c r="I11" s="570">
        <v>2</v>
      </c>
      <c r="J11" s="279">
        <f>'General information '!B7</f>
        <v>18</v>
      </c>
      <c r="K11" s="279">
        <f>'General information '!C7</f>
        <v>11</v>
      </c>
      <c r="L11" s="120">
        <f t="shared" si="0"/>
        <v>-3.8000000000000007</v>
      </c>
      <c r="M11" s="570">
        <v>2</v>
      </c>
      <c r="N11" s="279"/>
      <c r="O11" s="279"/>
      <c r="P11" s="120">
        <f t="shared" si="1"/>
        <v>-18.3</v>
      </c>
      <c r="Q11" s="570">
        <v>2</v>
      </c>
      <c r="R11" s="279"/>
      <c r="S11" s="279"/>
      <c r="T11" s="279"/>
      <c r="U11" s="570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'[1]Degree Days 2020'!B12</f>
        <v>16</v>
      </c>
      <c r="C12" s="279">
        <f>'[1]Degree Days 2020'!C12</f>
        <v>12</v>
      </c>
      <c r="D12" s="279">
        <f>'[1]Degree Days 2020'!D12</f>
        <v>-4.3000000000000007</v>
      </c>
      <c r="E12" s="570">
        <v>3</v>
      </c>
      <c r="F12" s="279">
        <f>'[1]Degree Days 2020'!F12</f>
        <v>16</v>
      </c>
      <c r="G12" s="279">
        <f>'[1]Degree Days 2020'!G12</f>
        <v>10</v>
      </c>
      <c r="H12" s="279">
        <f>'[1]Degree Days 2020'!H12</f>
        <v>-5.3000000000000007</v>
      </c>
      <c r="I12" s="570">
        <v>3</v>
      </c>
      <c r="J12" s="279">
        <f>'General information '!B8</f>
        <v>19</v>
      </c>
      <c r="K12" s="279">
        <f>'General information '!C8</f>
        <v>12</v>
      </c>
      <c r="L12" s="120">
        <f t="shared" si="0"/>
        <v>-2.8000000000000007</v>
      </c>
      <c r="M12" s="570">
        <v>3</v>
      </c>
      <c r="N12" s="279"/>
      <c r="O12" s="279"/>
      <c r="P12" s="120">
        <f t="shared" si="1"/>
        <v>-18.3</v>
      </c>
      <c r="Q12" s="570">
        <v>3</v>
      </c>
      <c r="R12" s="279"/>
      <c r="S12" s="279"/>
      <c r="T12" s="279"/>
      <c r="U12" s="570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'[1]Degree Days 2020'!B13</f>
        <v>15</v>
      </c>
      <c r="C13" s="279">
        <f>'[1]Degree Days 2020'!C13</f>
        <v>11</v>
      </c>
      <c r="D13" s="279">
        <f>'[1]Degree Days 2020'!D13</f>
        <v>-5.3000000000000007</v>
      </c>
      <c r="E13" s="570">
        <v>4</v>
      </c>
      <c r="F13" s="279">
        <f>'[1]Degree Days 2020'!F13</f>
        <v>17</v>
      </c>
      <c r="G13" s="279">
        <f>'[1]Degree Days 2020'!G13</f>
        <v>13</v>
      </c>
      <c r="H13" s="279">
        <f>'[1]Degree Days 2020'!H13</f>
        <v>-3.3000000000000007</v>
      </c>
      <c r="I13" s="570">
        <v>4</v>
      </c>
      <c r="J13" s="279">
        <f>'General information '!B9</f>
        <v>19</v>
      </c>
      <c r="K13" s="279">
        <f>'General information '!C9</f>
        <v>12</v>
      </c>
      <c r="L13" s="120">
        <f t="shared" si="0"/>
        <v>-2.8000000000000007</v>
      </c>
      <c r="M13" s="570">
        <v>4</v>
      </c>
      <c r="N13" s="279"/>
      <c r="O13" s="279"/>
      <c r="P13" s="120">
        <f t="shared" si="1"/>
        <v>-18.3</v>
      </c>
      <c r="Q13" s="570">
        <v>4</v>
      </c>
      <c r="R13" s="279"/>
      <c r="S13" s="279"/>
      <c r="T13" s="279"/>
      <c r="U13" s="570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'[1]Degree Days 2020'!B14</f>
        <v>15</v>
      </c>
      <c r="C14" s="279">
        <f>'[1]Degree Days 2020'!C14</f>
        <v>11</v>
      </c>
      <c r="D14" s="279">
        <f>'[1]Degree Days 2020'!D14</f>
        <v>-5.3000000000000007</v>
      </c>
      <c r="E14" s="570">
        <v>5</v>
      </c>
      <c r="F14" s="279">
        <f>'[1]Degree Days 2020'!F14</f>
        <v>20</v>
      </c>
      <c r="G14" s="279">
        <f>'[1]Degree Days 2020'!G14</f>
        <v>15</v>
      </c>
      <c r="H14" s="279">
        <f>'[1]Degree Days 2020'!H14</f>
        <v>-0.80000000000000071</v>
      </c>
      <c r="I14" s="570">
        <v>5</v>
      </c>
      <c r="J14" s="279">
        <f>'General information '!B10</f>
        <v>0</v>
      </c>
      <c r="K14" s="279">
        <f>'General information '!C10</f>
        <v>0</v>
      </c>
      <c r="L14" s="120">
        <f t="shared" si="0"/>
        <v>-18.3</v>
      </c>
      <c r="M14" s="570">
        <v>5</v>
      </c>
      <c r="N14" s="279"/>
      <c r="O14" s="279"/>
      <c r="P14" s="120">
        <f t="shared" si="1"/>
        <v>-18.3</v>
      </c>
      <c r="Q14" s="570">
        <v>5</v>
      </c>
      <c r="R14" s="279"/>
      <c r="S14" s="279"/>
      <c r="T14" s="279"/>
      <c r="U14" s="570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'[1]Degree Days 2020'!B15</f>
        <v>16</v>
      </c>
      <c r="C15" s="279">
        <f>'[1]Degree Days 2020'!C15</f>
        <v>12</v>
      </c>
      <c r="D15" s="279">
        <f>'[1]Degree Days 2020'!D15</f>
        <v>-4.3000000000000007</v>
      </c>
      <c r="E15" s="570">
        <v>6</v>
      </c>
      <c r="F15" s="279">
        <f>'[1]Degree Days 2020'!F15</f>
        <v>22</v>
      </c>
      <c r="G15" s="279">
        <f>'[1]Degree Days 2020'!G15</f>
        <v>16</v>
      </c>
      <c r="H15" s="279">
        <f>'[1]Degree Days 2020'!H15</f>
        <v>0.69999999999999929</v>
      </c>
      <c r="I15" s="570">
        <v>6</v>
      </c>
      <c r="J15" s="279">
        <f>'General information '!B11</f>
        <v>0</v>
      </c>
      <c r="K15" s="279">
        <f>'General information '!C11</f>
        <v>0</v>
      </c>
      <c r="L15" s="120">
        <f t="shared" si="0"/>
        <v>-18.3</v>
      </c>
      <c r="M15" s="570">
        <v>6</v>
      </c>
      <c r="N15" s="279"/>
      <c r="O15" s="279"/>
      <c r="P15" s="120">
        <f t="shared" si="1"/>
        <v>-18.3</v>
      </c>
      <c r="Q15" s="570">
        <v>6</v>
      </c>
      <c r="R15" s="279"/>
      <c r="S15" s="279"/>
      <c r="T15" s="279"/>
      <c r="U15" s="570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'[1]Degree Days 2020'!B16</f>
        <v>16</v>
      </c>
      <c r="C16" s="279">
        <f>'[1]Degree Days 2020'!C16</f>
        <v>12</v>
      </c>
      <c r="D16" s="279">
        <f>'[1]Degree Days 2020'!D16</f>
        <v>-4.3000000000000007</v>
      </c>
      <c r="E16" s="570">
        <v>7</v>
      </c>
      <c r="F16" s="279">
        <f>'[1]Degree Days 2020'!F16</f>
        <v>16</v>
      </c>
      <c r="G16" s="279">
        <f>'[1]Degree Days 2020'!G16</f>
        <v>10</v>
      </c>
      <c r="H16" s="279">
        <f>'[1]Degree Days 2020'!H16</f>
        <v>-5.3000000000000007</v>
      </c>
      <c r="I16" s="570">
        <v>7</v>
      </c>
      <c r="J16" s="279">
        <f>'General information '!B12</f>
        <v>0</v>
      </c>
      <c r="K16" s="279">
        <f>'General information '!C12</f>
        <v>0</v>
      </c>
      <c r="L16" s="120">
        <f t="shared" si="0"/>
        <v>-18.3</v>
      </c>
      <c r="M16" s="570">
        <v>7</v>
      </c>
      <c r="N16" s="279"/>
      <c r="O16" s="279"/>
      <c r="P16" s="120">
        <f t="shared" si="1"/>
        <v>-18.3</v>
      </c>
      <c r="Q16" s="570">
        <v>7</v>
      </c>
      <c r="R16" s="279"/>
      <c r="S16" s="279"/>
      <c r="T16" s="279"/>
      <c r="U16" s="570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'[1]Degree Days 2020'!B17</f>
        <v>14</v>
      </c>
      <c r="C17" s="279">
        <f>'[1]Degree Days 2020'!C17</f>
        <v>11</v>
      </c>
      <c r="D17" s="279">
        <f>'[1]Degree Days 2020'!D17</f>
        <v>-5.8000000000000007</v>
      </c>
      <c r="E17" s="570">
        <v>8</v>
      </c>
      <c r="F17" s="279">
        <f>'[1]Degree Days 2020'!F17</f>
        <v>14</v>
      </c>
      <c r="G17" s="279">
        <f>'[1]Degree Days 2020'!G17</f>
        <v>9</v>
      </c>
      <c r="H17" s="279">
        <f>'[1]Degree Days 2020'!H17</f>
        <v>-6.8000000000000007</v>
      </c>
      <c r="I17" s="570">
        <v>8</v>
      </c>
      <c r="J17" s="279">
        <f>'General information '!B13</f>
        <v>0</v>
      </c>
      <c r="K17" s="279">
        <f>'General information '!C13</f>
        <v>0</v>
      </c>
      <c r="L17" s="120">
        <f t="shared" si="0"/>
        <v>-18.3</v>
      </c>
      <c r="M17" s="570">
        <v>8</v>
      </c>
      <c r="N17" s="279"/>
      <c r="O17" s="279"/>
      <c r="P17" s="120">
        <f t="shared" si="1"/>
        <v>-18.3</v>
      </c>
      <c r="Q17" s="570">
        <v>8</v>
      </c>
      <c r="R17" s="279"/>
      <c r="S17" s="279"/>
      <c r="T17" s="279"/>
      <c r="U17" s="570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'[1]Degree Days 2020'!B18</f>
        <v>14</v>
      </c>
      <c r="C18" s="279">
        <f>'[1]Degree Days 2020'!C18</f>
        <v>11</v>
      </c>
      <c r="D18" s="279">
        <f>'[1]Degree Days 2020'!D18</f>
        <v>-5.8000000000000007</v>
      </c>
      <c r="E18" s="570">
        <v>9</v>
      </c>
      <c r="F18" s="279">
        <f>'[1]Degree Days 2020'!F18</f>
        <v>9</v>
      </c>
      <c r="G18" s="279">
        <f>'[1]Degree Days 2020'!G18</f>
        <v>8</v>
      </c>
      <c r="H18" s="279">
        <f>'[1]Degree Days 2020'!H18</f>
        <v>-9.8000000000000007</v>
      </c>
      <c r="I18" s="570">
        <v>9</v>
      </c>
      <c r="J18" s="279">
        <f>'General information '!B14</f>
        <v>0</v>
      </c>
      <c r="K18" s="279">
        <f>'General information '!C14</f>
        <v>0</v>
      </c>
      <c r="L18" s="120">
        <f t="shared" si="0"/>
        <v>-18.3</v>
      </c>
      <c r="M18" s="570">
        <v>9</v>
      </c>
      <c r="N18" s="279"/>
      <c r="O18" s="279"/>
      <c r="P18" s="120">
        <f t="shared" si="1"/>
        <v>-18.3</v>
      </c>
      <c r="Q18" s="570">
        <v>9</v>
      </c>
      <c r="R18" s="279"/>
      <c r="S18" s="279"/>
      <c r="T18" s="279"/>
      <c r="U18" s="570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'[1]Degree Days 2020'!B19</f>
        <v>17</v>
      </c>
      <c r="C19" s="279">
        <f>'[1]Degree Days 2020'!C19</f>
        <v>12</v>
      </c>
      <c r="D19" s="279">
        <f>'[1]Degree Days 2020'!D19</f>
        <v>-3.8000000000000007</v>
      </c>
      <c r="E19" s="570">
        <v>10</v>
      </c>
      <c r="F19" s="279">
        <f>'[1]Degree Days 2020'!F19</f>
        <v>10</v>
      </c>
      <c r="G19" s="279">
        <f>'[1]Degree Days 2020'!G19</f>
        <v>7</v>
      </c>
      <c r="H19" s="279">
        <f>'[1]Degree Days 2020'!H19</f>
        <v>-9.8000000000000007</v>
      </c>
      <c r="I19" s="570">
        <v>10</v>
      </c>
      <c r="J19" s="279">
        <f>'General information '!B15</f>
        <v>0</v>
      </c>
      <c r="K19" s="279">
        <f>'General information '!C15</f>
        <v>0</v>
      </c>
      <c r="L19" s="120">
        <f t="shared" si="0"/>
        <v>-18.3</v>
      </c>
      <c r="M19" s="570">
        <v>10</v>
      </c>
      <c r="N19" s="279"/>
      <c r="O19" s="279"/>
      <c r="P19" s="120">
        <f t="shared" si="1"/>
        <v>-18.3</v>
      </c>
      <c r="Q19" s="570">
        <v>10</v>
      </c>
      <c r="R19" s="279"/>
      <c r="S19" s="279"/>
      <c r="T19" s="279"/>
      <c r="U19" s="570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'[1]Degree Days 2020'!B20</f>
        <v>17</v>
      </c>
      <c r="C20" s="279">
        <f>'[1]Degree Days 2020'!C20</f>
        <v>13</v>
      </c>
      <c r="D20" s="279">
        <f>'[1]Degree Days 2020'!D20</f>
        <v>-3.3000000000000007</v>
      </c>
      <c r="E20" s="570">
        <v>11</v>
      </c>
      <c r="F20" s="279">
        <f>'[1]Degree Days 2020'!F20</f>
        <v>14</v>
      </c>
      <c r="G20" s="279">
        <f>'[1]Degree Days 2020'!G20</f>
        <v>8</v>
      </c>
      <c r="H20" s="279">
        <f>'[1]Degree Days 2020'!H20</f>
        <v>-7.3000000000000007</v>
      </c>
      <c r="I20" s="570">
        <v>11</v>
      </c>
      <c r="J20" s="279">
        <f>'General information '!B16</f>
        <v>0</v>
      </c>
      <c r="K20" s="279">
        <f>'General information '!C16</f>
        <v>0</v>
      </c>
      <c r="L20" s="120">
        <f t="shared" si="0"/>
        <v>-18.3</v>
      </c>
      <c r="M20" s="570">
        <v>11</v>
      </c>
      <c r="N20" s="279"/>
      <c r="O20" s="279"/>
      <c r="P20" s="120">
        <f t="shared" si="1"/>
        <v>-18.3</v>
      </c>
      <c r="Q20" s="570">
        <v>11</v>
      </c>
      <c r="R20" s="279"/>
      <c r="S20" s="279"/>
      <c r="T20" s="279"/>
      <c r="U20" s="570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'[1]Degree Days 2020'!B21</f>
        <v>16</v>
      </c>
      <c r="C21" s="279">
        <f>'[1]Degree Days 2020'!C21</f>
        <v>12</v>
      </c>
      <c r="D21" s="279">
        <f>'[1]Degree Days 2020'!D21</f>
        <v>-4.3000000000000007</v>
      </c>
      <c r="E21" s="570">
        <v>12</v>
      </c>
      <c r="F21" s="279">
        <f>'[1]Degree Days 2020'!F21</f>
        <v>16</v>
      </c>
      <c r="G21" s="279">
        <f>'[1]Degree Days 2020'!G21</f>
        <v>13</v>
      </c>
      <c r="H21" s="279">
        <f>'[1]Degree Days 2020'!H21</f>
        <v>-3.8000000000000007</v>
      </c>
      <c r="I21" s="570">
        <v>12</v>
      </c>
      <c r="J21" s="279">
        <f>'General information '!B17</f>
        <v>0</v>
      </c>
      <c r="K21" s="279">
        <f>'General information '!C17</f>
        <v>0</v>
      </c>
      <c r="L21" s="120">
        <f t="shared" si="0"/>
        <v>-18.3</v>
      </c>
      <c r="M21" s="570">
        <v>12</v>
      </c>
      <c r="N21" s="279"/>
      <c r="O21" s="279"/>
      <c r="P21" s="120">
        <f t="shared" si="1"/>
        <v>-18.3</v>
      </c>
      <c r="Q21" s="570">
        <v>12</v>
      </c>
      <c r="R21" s="279"/>
      <c r="S21" s="279"/>
      <c r="T21" s="279"/>
      <c r="U21" s="570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'[1]Degree Days 2020'!B22</f>
        <v>17</v>
      </c>
      <c r="C22" s="279">
        <f>'[1]Degree Days 2020'!C22</f>
        <v>13</v>
      </c>
      <c r="D22" s="279">
        <f>'[1]Degree Days 2020'!D22</f>
        <v>-3.3000000000000007</v>
      </c>
      <c r="E22" s="570">
        <v>13</v>
      </c>
      <c r="F22" s="279">
        <f>'[1]Degree Days 2020'!F22</f>
        <v>17</v>
      </c>
      <c r="G22" s="279">
        <f>'[1]Degree Days 2020'!G22</f>
        <v>14</v>
      </c>
      <c r="H22" s="279">
        <f>'[1]Degree Days 2020'!H22</f>
        <v>-2.8000000000000007</v>
      </c>
      <c r="I22" s="570">
        <v>13</v>
      </c>
      <c r="J22" s="279">
        <f>'General information '!B18</f>
        <v>0</v>
      </c>
      <c r="K22" s="279">
        <f>'General information '!C18</f>
        <v>0</v>
      </c>
      <c r="L22" s="120">
        <f t="shared" si="0"/>
        <v>-18.3</v>
      </c>
      <c r="M22" s="570">
        <v>13</v>
      </c>
      <c r="N22" s="279"/>
      <c r="O22" s="279"/>
      <c r="P22" s="120">
        <f t="shared" si="1"/>
        <v>-18.3</v>
      </c>
      <c r="Q22" s="570">
        <v>13</v>
      </c>
      <c r="R22" s="279"/>
      <c r="S22" s="279"/>
      <c r="T22" s="279"/>
      <c r="U22" s="570">
        <v>13</v>
      </c>
      <c r="V22" s="279"/>
      <c r="W22" s="279"/>
      <c r="X22" s="279"/>
    </row>
    <row r="23" spans="1:28">
      <c r="A23" s="118">
        <v>14</v>
      </c>
      <c r="B23" s="279">
        <f>'[1]Degree Days 2020'!B23</f>
        <v>16</v>
      </c>
      <c r="C23" s="279">
        <f>'[1]Degree Days 2020'!C23</f>
        <v>12</v>
      </c>
      <c r="D23" s="279">
        <f>'[1]Degree Days 2020'!D23</f>
        <v>-4.3000000000000007</v>
      </c>
      <c r="E23" s="570">
        <v>14</v>
      </c>
      <c r="F23" s="279">
        <f>'[1]Degree Days 2020'!F23</f>
        <v>17</v>
      </c>
      <c r="G23" s="279">
        <f>'[1]Degree Days 2020'!G23</f>
        <v>11</v>
      </c>
      <c r="H23" s="279">
        <f>'[1]Degree Days 2020'!H23</f>
        <v>-4.3000000000000007</v>
      </c>
      <c r="I23" s="570">
        <v>14</v>
      </c>
      <c r="J23" s="279">
        <f>'General information '!B19</f>
        <v>0</v>
      </c>
      <c r="K23" s="279">
        <f>'General information '!C19</f>
        <v>0</v>
      </c>
      <c r="L23" s="120">
        <f t="shared" si="0"/>
        <v>-18.3</v>
      </c>
      <c r="M23" s="570">
        <v>14</v>
      </c>
      <c r="N23" s="279"/>
      <c r="O23" s="279"/>
      <c r="P23" s="120">
        <f t="shared" si="1"/>
        <v>-18.3</v>
      </c>
      <c r="Q23" s="570">
        <v>14</v>
      </c>
      <c r="R23" s="279"/>
      <c r="S23" s="279"/>
      <c r="T23" s="279"/>
      <c r="U23" s="570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'[1]Degree Days 2020'!B24</f>
        <v>17</v>
      </c>
      <c r="C24" s="279">
        <f>'[1]Degree Days 2020'!C24</f>
        <v>13</v>
      </c>
      <c r="D24" s="279">
        <f>'[1]Degree Days 2020'!D24</f>
        <v>-3.3000000000000007</v>
      </c>
      <c r="E24" s="570">
        <v>15</v>
      </c>
      <c r="F24" s="279">
        <f>'[1]Degree Days 2020'!F24</f>
        <v>17</v>
      </c>
      <c r="G24" s="279">
        <f>'[1]Degree Days 2020'!G24</f>
        <v>12</v>
      </c>
      <c r="H24" s="279">
        <f>'[1]Degree Days 2020'!H24</f>
        <v>-3.8000000000000007</v>
      </c>
      <c r="I24" s="570">
        <v>15</v>
      </c>
      <c r="J24" s="279">
        <f>'General information '!B20</f>
        <v>0</v>
      </c>
      <c r="K24" s="279">
        <f>'General information '!C20</f>
        <v>0</v>
      </c>
      <c r="L24" s="120">
        <f t="shared" si="0"/>
        <v>-18.3</v>
      </c>
      <c r="M24" s="570">
        <v>15</v>
      </c>
      <c r="N24" s="279"/>
      <c r="O24" s="279"/>
      <c r="P24" s="120">
        <f t="shared" si="1"/>
        <v>-18.3</v>
      </c>
      <c r="Q24" s="570">
        <v>15</v>
      </c>
      <c r="R24" s="279"/>
      <c r="S24" s="279"/>
      <c r="T24" s="279"/>
      <c r="U24" s="570">
        <v>15</v>
      </c>
      <c r="V24" s="279"/>
      <c r="W24" s="279"/>
      <c r="X24" s="279"/>
    </row>
    <row r="25" spans="1:28">
      <c r="A25" s="118">
        <v>16</v>
      </c>
      <c r="B25" s="279">
        <f>'[1]Degree Days 2020'!B25</f>
        <v>19</v>
      </c>
      <c r="C25" s="279">
        <f>'[1]Degree Days 2020'!C25</f>
        <v>13</v>
      </c>
      <c r="D25" s="279">
        <f>'[1]Degree Days 2020'!D25</f>
        <v>-2.3000000000000007</v>
      </c>
      <c r="E25" s="570">
        <v>16</v>
      </c>
      <c r="F25" s="279">
        <f>'[1]Degree Days 2020'!F25</f>
        <v>17</v>
      </c>
      <c r="G25" s="279">
        <f>'[1]Degree Days 2020'!G25</f>
        <v>11</v>
      </c>
      <c r="H25" s="279">
        <f>'[1]Degree Days 2020'!H25</f>
        <v>-4.3000000000000007</v>
      </c>
      <c r="I25" s="570">
        <v>16</v>
      </c>
      <c r="J25" s="279">
        <f>'General information '!B21</f>
        <v>0</v>
      </c>
      <c r="K25" s="279">
        <f>'General information '!C21</f>
        <v>0</v>
      </c>
      <c r="L25" s="120">
        <f t="shared" si="0"/>
        <v>-18.3</v>
      </c>
      <c r="M25" s="570">
        <v>16</v>
      </c>
      <c r="N25" s="279"/>
      <c r="O25" s="279"/>
      <c r="P25" s="120">
        <f t="shared" si="1"/>
        <v>-18.3</v>
      </c>
      <c r="Q25" s="570">
        <v>16</v>
      </c>
      <c r="R25" s="279"/>
      <c r="S25" s="279"/>
      <c r="T25" s="279"/>
      <c r="U25" s="570">
        <v>16</v>
      </c>
      <c r="V25" s="279"/>
      <c r="W25" s="279"/>
      <c r="X25" s="279"/>
    </row>
    <row r="26" spans="1:28">
      <c r="A26" s="118">
        <v>17</v>
      </c>
      <c r="B26" s="279">
        <f>'[1]Degree Days 2020'!B26</f>
        <v>20</v>
      </c>
      <c r="C26" s="279">
        <f>'[1]Degree Days 2020'!C26</f>
        <v>13</v>
      </c>
      <c r="D26" s="279">
        <f>'[1]Degree Days 2020'!D26</f>
        <v>-1.8000000000000007</v>
      </c>
      <c r="E26" s="570">
        <v>17</v>
      </c>
      <c r="F26" s="279">
        <f>'[1]Degree Days 2020'!F26</f>
        <v>16</v>
      </c>
      <c r="G26" s="279">
        <f>'[1]Degree Days 2020'!G26</f>
        <v>12</v>
      </c>
      <c r="H26" s="279">
        <f>'[1]Degree Days 2020'!H26</f>
        <v>-4.3000000000000007</v>
      </c>
      <c r="I26" s="570">
        <v>17</v>
      </c>
      <c r="J26" s="279">
        <f>'General information '!B22</f>
        <v>0</v>
      </c>
      <c r="K26" s="279">
        <f>'General information '!C22</f>
        <v>0</v>
      </c>
      <c r="L26" s="120">
        <f t="shared" si="0"/>
        <v>-18.3</v>
      </c>
      <c r="M26" s="570">
        <v>17</v>
      </c>
      <c r="N26" s="279"/>
      <c r="O26" s="279"/>
      <c r="P26" s="120">
        <f t="shared" si="1"/>
        <v>-18.3</v>
      </c>
      <c r="Q26" s="570">
        <v>17</v>
      </c>
      <c r="R26" s="279"/>
      <c r="S26" s="279"/>
      <c r="T26" s="279"/>
      <c r="U26" s="570">
        <v>17</v>
      </c>
      <c r="V26" s="279"/>
      <c r="W26" s="279"/>
      <c r="X26" s="279"/>
    </row>
    <row r="27" spans="1:28">
      <c r="A27" s="118">
        <v>18</v>
      </c>
      <c r="B27" s="279">
        <f>'[1]Degree Days 2020'!B27</f>
        <v>14</v>
      </c>
      <c r="C27" s="279">
        <f>'[1]Degree Days 2020'!C27</f>
        <v>13</v>
      </c>
      <c r="D27" s="279">
        <f>'[1]Degree Days 2020'!D27</f>
        <v>-4.8000000000000007</v>
      </c>
      <c r="E27" s="570">
        <v>18</v>
      </c>
      <c r="F27" s="279">
        <f>'[1]Degree Days 2020'!F27</f>
        <v>17</v>
      </c>
      <c r="G27" s="279">
        <f>'[1]Degree Days 2020'!G27</f>
        <v>11</v>
      </c>
      <c r="H27" s="279">
        <f>'[1]Degree Days 2020'!H27</f>
        <v>-4.3000000000000007</v>
      </c>
      <c r="I27" s="570">
        <v>18</v>
      </c>
      <c r="J27" s="279">
        <f>'General information '!B23</f>
        <v>0</v>
      </c>
      <c r="K27" s="279">
        <f>'General information '!C23</f>
        <v>0</v>
      </c>
      <c r="L27" s="120">
        <f t="shared" si="0"/>
        <v>-18.3</v>
      </c>
      <c r="M27" s="570">
        <v>18</v>
      </c>
      <c r="N27" s="279"/>
      <c r="O27" s="279"/>
      <c r="P27" s="120">
        <f t="shared" si="1"/>
        <v>-18.3</v>
      </c>
      <c r="Q27" s="570">
        <v>18</v>
      </c>
      <c r="R27" s="279"/>
      <c r="S27" s="279"/>
      <c r="T27" s="279"/>
      <c r="U27" s="570">
        <v>18</v>
      </c>
      <c r="V27" s="279"/>
      <c r="W27" s="279"/>
      <c r="X27" s="279"/>
    </row>
    <row r="28" spans="1:28">
      <c r="A28" s="118">
        <v>19</v>
      </c>
      <c r="B28" s="279">
        <f>'[1]Degree Days 2020'!B28</f>
        <v>15</v>
      </c>
      <c r="C28" s="279">
        <f>'[1]Degree Days 2020'!C28</f>
        <v>13</v>
      </c>
      <c r="D28" s="279">
        <f>'[1]Degree Days 2020'!D28</f>
        <v>-4.3000000000000007</v>
      </c>
      <c r="E28" s="570">
        <v>19</v>
      </c>
      <c r="F28" s="279">
        <f>'[1]Degree Days 2020'!F28</f>
        <v>17</v>
      </c>
      <c r="G28" s="279">
        <f>'[1]Degree Days 2020'!G28</f>
        <v>14</v>
      </c>
      <c r="H28" s="279">
        <f>'[1]Degree Days 2020'!H28</f>
        <v>-2.8000000000000007</v>
      </c>
      <c r="I28" s="570">
        <v>19</v>
      </c>
      <c r="J28" s="279">
        <f>'General information '!B24</f>
        <v>0</v>
      </c>
      <c r="K28" s="279">
        <f>'General information '!C24</f>
        <v>0</v>
      </c>
      <c r="L28" s="120">
        <f t="shared" si="0"/>
        <v>-18.3</v>
      </c>
      <c r="M28" s="570">
        <v>19</v>
      </c>
      <c r="N28" s="279"/>
      <c r="O28" s="279"/>
      <c r="P28" s="120">
        <f t="shared" si="1"/>
        <v>-18.3</v>
      </c>
      <c r="Q28" s="570">
        <v>19</v>
      </c>
      <c r="R28" s="279"/>
      <c r="S28" s="279"/>
      <c r="T28" s="279"/>
      <c r="U28" s="570">
        <v>19</v>
      </c>
      <c r="V28" s="279"/>
      <c r="W28" s="279"/>
      <c r="X28" s="279"/>
    </row>
    <row r="29" spans="1:28">
      <c r="A29" s="118">
        <v>20</v>
      </c>
      <c r="B29" s="279">
        <f>'[1]Degree Days 2020'!B29</f>
        <v>15</v>
      </c>
      <c r="C29" s="279">
        <f>'[1]Degree Days 2020'!C29</f>
        <v>10</v>
      </c>
      <c r="D29" s="279">
        <f>'[1]Degree Days 2020'!D29</f>
        <v>-5.8000000000000007</v>
      </c>
      <c r="E29" s="570">
        <v>20</v>
      </c>
      <c r="F29" s="279">
        <f>'[1]Degree Days 2020'!F29</f>
        <v>17</v>
      </c>
      <c r="G29" s="279">
        <f>'[1]Degree Days 2020'!G29</f>
        <v>14</v>
      </c>
      <c r="H29" s="279">
        <f>'[1]Degree Days 2020'!H29</f>
        <v>-2.8000000000000007</v>
      </c>
      <c r="I29" s="570">
        <v>20</v>
      </c>
      <c r="J29" s="279">
        <f>'General information '!B25</f>
        <v>0</v>
      </c>
      <c r="K29" s="279">
        <f>'General information '!C25</f>
        <v>0</v>
      </c>
      <c r="L29" s="120">
        <f t="shared" si="0"/>
        <v>-18.3</v>
      </c>
      <c r="M29" s="570">
        <v>20</v>
      </c>
      <c r="N29" s="279"/>
      <c r="O29" s="279"/>
      <c r="P29" s="120">
        <f t="shared" si="1"/>
        <v>-18.3</v>
      </c>
      <c r="Q29" s="570">
        <v>20</v>
      </c>
      <c r="R29" s="279"/>
      <c r="S29" s="279"/>
      <c r="T29" s="279"/>
      <c r="U29" s="570">
        <v>20</v>
      </c>
      <c r="V29" s="279"/>
      <c r="W29" s="279"/>
      <c r="X29" s="279"/>
    </row>
    <row r="30" spans="1:28">
      <c r="A30" s="118">
        <v>21</v>
      </c>
      <c r="B30" s="279">
        <f>'[1]Degree Days 2020'!B30</f>
        <v>13</v>
      </c>
      <c r="C30" s="279">
        <f>'[1]Degree Days 2020'!C30</f>
        <v>9</v>
      </c>
      <c r="D30" s="279">
        <f>'[1]Degree Days 2020'!D30</f>
        <v>-7.3000000000000007</v>
      </c>
      <c r="E30" s="570">
        <v>21</v>
      </c>
      <c r="F30" s="279">
        <f>'[1]Degree Days 2020'!F30</f>
        <v>16</v>
      </c>
      <c r="G30" s="279">
        <f>'[1]Degree Days 2020'!G30</f>
        <v>12</v>
      </c>
      <c r="H30" s="279">
        <f>'[1]Degree Days 2020'!H30</f>
        <v>-4.3000000000000007</v>
      </c>
      <c r="I30" s="570">
        <v>21</v>
      </c>
      <c r="J30" s="279">
        <f>'General information '!B26</f>
        <v>0</v>
      </c>
      <c r="K30" s="279">
        <f>'General information '!C26</f>
        <v>0</v>
      </c>
      <c r="L30" s="120">
        <f t="shared" si="0"/>
        <v>-18.3</v>
      </c>
      <c r="M30" s="570">
        <v>21</v>
      </c>
      <c r="N30" s="279"/>
      <c r="O30" s="279"/>
      <c r="P30" s="120">
        <f t="shared" si="1"/>
        <v>-18.3</v>
      </c>
      <c r="Q30" s="570">
        <v>21</v>
      </c>
      <c r="R30" s="279"/>
      <c r="S30" s="279"/>
      <c r="T30" s="279"/>
      <c r="U30" s="570">
        <v>21</v>
      </c>
      <c r="V30" s="279"/>
      <c r="W30" s="279"/>
      <c r="X30" s="279"/>
    </row>
    <row r="31" spans="1:28">
      <c r="A31" s="118">
        <v>22</v>
      </c>
      <c r="B31" s="279">
        <f>'[1]Degree Days 2020'!B31</f>
        <v>14</v>
      </c>
      <c r="C31" s="279">
        <f>'[1]Degree Days 2020'!C31</f>
        <v>10</v>
      </c>
      <c r="D31" s="279">
        <f>'[1]Degree Days 2020'!D31</f>
        <v>-6.3000000000000007</v>
      </c>
      <c r="E31" s="570">
        <v>22</v>
      </c>
      <c r="F31" s="279">
        <f>'[1]Degree Days 2020'!F31</f>
        <v>17</v>
      </c>
      <c r="G31" s="279">
        <f>'[1]Degree Days 2020'!G31</f>
        <v>12</v>
      </c>
      <c r="H31" s="279">
        <f>'[1]Degree Days 2020'!H31</f>
        <v>-3.8000000000000007</v>
      </c>
      <c r="I31" s="570">
        <v>22</v>
      </c>
      <c r="J31" s="279">
        <f>'General information '!B27</f>
        <v>0</v>
      </c>
      <c r="K31" s="279">
        <f>'General information '!C27</f>
        <v>0</v>
      </c>
      <c r="L31" s="120">
        <f t="shared" si="0"/>
        <v>-18.3</v>
      </c>
      <c r="M31" s="570">
        <v>22</v>
      </c>
      <c r="N31" s="279"/>
      <c r="O31" s="279"/>
      <c r="P31" s="120">
        <f t="shared" si="1"/>
        <v>-18.3</v>
      </c>
      <c r="Q31" s="570">
        <v>22</v>
      </c>
      <c r="R31" s="279"/>
      <c r="S31" s="279"/>
      <c r="T31" s="279"/>
      <c r="U31" s="570">
        <v>22</v>
      </c>
      <c r="V31" s="279"/>
      <c r="W31" s="279"/>
      <c r="X31" s="279"/>
    </row>
    <row r="32" spans="1:28">
      <c r="A32" s="118">
        <v>23</v>
      </c>
      <c r="B32" s="279">
        <f>'[1]Degree Days 2020'!B32</f>
        <v>13</v>
      </c>
      <c r="C32" s="279">
        <f>'[1]Degree Days 2020'!C32</f>
        <v>7</v>
      </c>
      <c r="D32" s="279">
        <f>'[1]Degree Days 2020'!D32</f>
        <v>-8.3000000000000007</v>
      </c>
      <c r="E32" s="570">
        <v>23</v>
      </c>
      <c r="F32" s="279">
        <f>'[1]Degree Days 2020'!F32</f>
        <v>16</v>
      </c>
      <c r="G32" s="279">
        <f>'[1]Degree Days 2020'!G32</f>
        <v>14</v>
      </c>
      <c r="H32" s="279">
        <f>'[1]Degree Days 2020'!H32</f>
        <v>-3.3000000000000007</v>
      </c>
      <c r="I32" s="570">
        <v>23</v>
      </c>
      <c r="J32" s="279">
        <f>'General information '!B28</f>
        <v>0</v>
      </c>
      <c r="K32" s="279">
        <f>'General information '!C28</f>
        <v>0</v>
      </c>
      <c r="L32" s="120">
        <f t="shared" si="0"/>
        <v>-18.3</v>
      </c>
      <c r="M32" s="570">
        <v>23</v>
      </c>
      <c r="N32" s="279"/>
      <c r="O32" s="279"/>
      <c r="P32" s="120">
        <f t="shared" si="1"/>
        <v>-18.3</v>
      </c>
      <c r="Q32" s="570">
        <v>23</v>
      </c>
      <c r="R32" s="279"/>
      <c r="S32" s="279"/>
      <c r="T32" s="279"/>
      <c r="U32" s="570">
        <v>23</v>
      </c>
      <c r="V32" s="279"/>
      <c r="W32" s="279"/>
      <c r="X32" s="279"/>
    </row>
    <row r="33" spans="1:24">
      <c r="A33" s="118">
        <v>24</v>
      </c>
      <c r="B33" s="279">
        <f>'[1]Degree Days 2020'!B33</f>
        <v>14</v>
      </c>
      <c r="C33" s="279">
        <f>'[1]Degree Days 2020'!C33</f>
        <v>8</v>
      </c>
      <c r="D33" s="279">
        <f>'[1]Degree Days 2020'!D33</f>
        <v>-7.3000000000000007</v>
      </c>
      <c r="E33" s="570">
        <v>24</v>
      </c>
      <c r="F33" s="279">
        <f>'[1]Degree Days 2020'!F33</f>
        <v>17</v>
      </c>
      <c r="G33" s="279">
        <f>'[1]Degree Days 2020'!G33</f>
        <v>13</v>
      </c>
      <c r="H33" s="279">
        <f>'[1]Degree Days 2020'!H33</f>
        <v>-3.3000000000000007</v>
      </c>
      <c r="I33" s="570">
        <v>24</v>
      </c>
      <c r="J33" s="279">
        <f>'General information '!B29</f>
        <v>0</v>
      </c>
      <c r="K33" s="279">
        <f>'General information '!C29</f>
        <v>0</v>
      </c>
      <c r="L33" s="120">
        <f t="shared" si="0"/>
        <v>-18.3</v>
      </c>
      <c r="M33" s="570">
        <v>24</v>
      </c>
      <c r="N33" s="279"/>
      <c r="O33" s="279"/>
      <c r="P33" s="120">
        <f t="shared" si="1"/>
        <v>-18.3</v>
      </c>
      <c r="Q33" s="570">
        <v>24</v>
      </c>
      <c r="R33" s="279"/>
      <c r="S33" s="279"/>
      <c r="T33" s="279"/>
      <c r="U33" s="570">
        <v>24</v>
      </c>
      <c r="V33" s="279"/>
      <c r="W33" s="279"/>
      <c r="X33" s="279"/>
    </row>
    <row r="34" spans="1:24">
      <c r="A34" s="118">
        <v>25</v>
      </c>
      <c r="B34" s="279">
        <f>'[1]Degree Days 2020'!B34</f>
        <v>16</v>
      </c>
      <c r="C34" s="279">
        <f>'[1]Degree Days 2020'!C34</f>
        <v>10</v>
      </c>
      <c r="D34" s="279">
        <f>'[1]Degree Days 2020'!D34</f>
        <v>-5.3000000000000007</v>
      </c>
      <c r="E34" s="570">
        <v>25</v>
      </c>
      <c r="F34" s="279">
        <f>'[1]Degree Days 2020'!F34</f>
        <v>17</v>
      </c>
      <c r="G34" s="279">
        <f>'[1]Degree Days 2020'!G34</f>
        <v>13</v>
      </c>
      <c r="H34" s="279">
        <f>'[1]Degree Days 2020'!H34</f>
        <v>-3.3000000000000007</v>
      </c>
      <c r="I34" s="570">
        <v>25</v>
      </c>
      <c r="J34" s="279">
        <f>'General information '!B30</f>
        <v>0</v>
      </c>
      <c r="K34" s="279">
        <f>'General information '!C30</f>
        <v>0</v>
      </c>
      <c r="L34" s="120">
        <f t="shared" si="0"/>
        <v>-18.3</v>
      </c>
      <c r="M34" s="570">
        <v>25</v>
      </c>
      <c r="N34" s="279"/>
      <c r="O34" s="279"/>
      <c r="P34" s="120">
        <f t="shared" si="1"/>
        <v>-18.3</v>
      </c>
      <c r="Q34" s="570">
        <v>25</v>
      </c>
      <c r="R34" s="279"/>
      <c r="S34" s="279"/>
      <c r="T34" s="279"/>
      <c r="U34" s="570">
        <v>25</v>
      </c>
      <c r="V34" s="279"/>
      <c r="W34" s="279"/>
      <c r="X34" s="279"/>
    </row>
    <row r="35" spans="1:24">
      <c r="A35" s="118">
        <v>26</v>
      </c>
      <c r="B35" s="279">
        <f>'[1]Degree Days 2020'!B35</f>
        <v>15</v>
      </c>
      <c r="C35" s="279">
        <f>'[1]Degree Days 2020'!C35</f>
        <v>9</v>
      </c>
      <c r="D35" s="279">
        <f>'[1]Degree Days 2020'!D35</f>
        <v>-6.3000000000000007</v>
      </c>
      <c r="E35" s="570">
        <v>26</v>
      </c>
      <c r="F35" s="279">
        <f>'[1]Degree Days 2020'!F35</f>
        <v>18</v>
      </c>
      <c r="G35" s="279">
        <f>'[1]Degree Days 2020'!G35</f>
        <v>14</v>
      </c>
      <c r="H35" s="279">
        <f>'[1]Degree Days 2020'!H35</f>
        <v>-2.3000000000000007</v>
      </c>
      <c r="I35" s="570">
        <v>26</v>
      </c>
      <c r="J35" s="279">
        <f>'General information '!B31</f>
        <v>0</v>
      </c>
      <c r="K35" s="279">
        <f>'General information '!C31</f>
        <v>0</v>
      </c>
      <c r="L35" s="120">
        <f t="shared" si="0"/>
        <v>-18.3</v>
      </c>
      <c r="M35" s="570">
        <v>26</v>
      </c>
      <c r="N35" s="279"/>
      <c r="O35" s="279"/>
      <c r="P35" s="120">
        <f t="shared" si="1"/>
        <v>-18.3</v>
      </c>
      <c r="Q35" s="570">
        <v>26</v>
      </c>
      <c r="R35" s="279"/>
      <c r="S35" s="279"/>
      <c r="T35" s="279"/>
      <c r="U35" s="570">
        <v>26</v>
      </c>
      <c r="V35" s="279"/>
      <c r="W35" s="279"/>
      <c r="X35" s="279"/>
    </row>
    <row r="36" spans="1:24">
      <c r="A36" s="118">
        <v>27</v>
      </c>
      <c r="B36" s="279">
        <f>'[1]Degree Days 2020'!B36</f>
        <v>17</v>
      </c>
      <c r="C36" s="279">
        <f>'[1]Degree Days 2020'!C36</f>
        <v>11</v>
      </c>
      <c r="D36" s="279">
        <f>'[1]Degree Days 2020'!D36</f>
        <v>-4.3000000000000007</v>
      </c>
      <c r="E36" s="570">
        <v>27</v>
      </c>
      <c r="F36" s="279">
        <f>'[1]Degree Days 2020'!F36</f>
        <v>19</v>
      </c>
      <c r="G36" s="279">
        <f>'[1]Degree Days 2020'!G36</f>
        <v>13</v>
      </c>
      <c r="H36" s="279">
        <f>'[1]Degree Days 2020'!H36</f>
        <v>-2.3000000000000007</v>
      </c>
      <c r="I36" s="570">
        <v>27</v>
      </c>
      <c r="J36" s="279">
        <f>'General information '!B32</f>
        <v>0</v>
      </c>
      <c r="K36" s="279">
        <f>'General information '!C32</f>
        <v>0</v>
      </c>
      <c r="L36" s="120">
        <f t="shared" si="0"/>
        <v>-18.3</v>
      </c>
      <c r="M36" s="570">
        <v>27</v>
      </c>
      <c r="N36" s="279"/>
      <c r="O36" s="279"/>
      <c r="P36" s="120">
        <f t="shared" si="1"/>
        <v>-18.3</v>
      </c>
      <c r="Q36" s="570">
        <v>27</v>
      </c>
      <c r="R36" s="279"/>
      <c r="S36" s="279"/>
      <c r="T36" s="279"/>
      <c r="U36" s="570">
        <v>27</v>
      </c>
      <c r="V36" s="279"/>
      <c r="W36" s="279"/>
      <c r="X36" s="279"/>
    </row>
    <row r="37" spans="1:24">
      <c r="A37" s="118">
        <v>28</v>
      </c>
      <c r="B37" s="279">
        <f>'[1]Degree Days 2020'!B37</f>
        <v>16</v>
      </c>
      <c r="C37" s="279">
        <f>'[1]Degree Days 2020'!C37</f>
        <v>10</v>
      </c>
      <c r="D37" s="279">
        <f>'[1]Degree Days 2020'!D37</f>
        <v>-5.3000000000000007</v>
      </c>
      <c r="E37" s="570">
        <v>28</v>
      </c>
      <c r="F37" s="279">
        <f>'[1]Degree Days 2020'!F37</f>
        <v>19</v>
      </c>
      <c r="G37" s="279">
        <f>'[1]Degree Days 2020'!G37</f>
        <v>14</v>
      </c>
      <c r="H37" s="279">
        <f>'[1]Degree Days 2020'!H37</f>
        <v>-1.8000000000000007</v>
      </c>
      <c r="I37" s="570">
        <v>28</v>
      </c>
      <c r="J37" s="279">
        <f>'General information '!B33</f>
        <v>0</v>
      </c>
      <c r="K37" s="279">
        <f>'General information '!C33</f>
        <v>0</v>
      </c>
      <c r="L37" s="120">
        <f t="shared" si="0"/>
        <v>-18.3</v>
      </c>
      <c r="M37" s="570">
        <v>28</v>
      </c>
      <c r="N37" s="279"/>
      <c r="O37" s="279"/>
      <c r="P37" s="120">
        <f t="shared" si="1"/>
        <v>-18.3</v>
      </c>
      <c r="Q37" s="570">
        <v>28</v>
      </c>
      <c r="R37" s="279"/>
      <c r="S37" s="279"/>
      <c r="T37" s="279"/>
      <c r="U37" s="570">
        <v>28</v>
      </c>
      <c r="V37" s="279"/>
      <c r="W37" s="279"/>
      <c r="X37" s="279"/>
    </row>
    <row r="38" spans="1:24">
      <c r="A38" s="118">
        <v>29</v>
      </c>
      <c r="B38" s="279">
        <f>'[1]Degree Days 2020'!B38</f>
        <v>16</v>
      </c>
      <c r="C38" s="279">
        <f>'[1]Degree Days 2020'!C38</f>
        <v>10</v>
      </c>
      <c r="D38" s="279">
        <f>'[1]Degree Days 2020'!D38</f>
        <v>-5.3000000000000007</v>
      </c>
      <c r="E38" s="570">
        <v>29</v>
      </c>
      <c r="F38" s="279">
        <f>'[1]Degree Days 2020'!F38</f>
        <v>18</v>
      </c>
      <c r="G38" s="279">
        <f>'[1]Degree Days 2020'!G38</f>
        <v>13</v>
      </c>
      <c r="H38" s="279">
        <f>'[1]Degree Days 2020'!H38</f>
        <v>-2.8000000000000007</v>
      </c>
      <c r="I38" s="570">
        <v>29</v>
      </c>
      <c r="J38" s="279">
        <f>'General information '!B34</f>
        <v>0</v>
      </c>
      <c r="K38" s="279">
        <f>'General information '!C34</f>
        <v>0</v>
      </c>
      <c r="L38" s="120">
        <f t="shared" si="0"/>
        <v>-18.3</v>
      </c>
      <c r="M38" s="570">
        <v>29</v>
      </c>
      <c r="N38" s="279"/>
      <c r="O38" s="279"/>
      <c r="P38" s="120">
        <f t="shared" si="1"/>
        <v>-18.3</v>
      </c>
      <c r="Q38" s="570">
        <v>29</v>
      </c>
      <c r="R38" s="279"/>
      <c r="S38" s="279"/>
      <c r="T38" s="279"/>
      <c r="U38" s="570">
        <v>29</v>
      </c>
      <c r="V38" s="279"/>
      <c r="W38" s="279"/>
      <c r="X38" s="279"/>
    </row>
    <row r="39" spans="1:24">
      <c r="A39" s="118">
        <v>30</v>
      </c>
      <c r="B39" s="279">
        <f>'[1]Degree Days 2020'!B39</f>
        <v>16</v>
      </c>
      <c r="C39" s="279">
        <f>'[1]Degree Days 2020'!C39</f>
        <v>11</v>
      </c>
      <c r="D39" s="279">
        <f>'[1]Degree Days 2020'!D39</f>
        <v>-4.8000000000000007</v>
      </c>
      <c r="E39" s="279"/>
      <c r="F39" s="279">
        <f>'[1]Degree Days 2020'!F39</f>
        <v>0</v>
      </c>
      <c r="G39" s="279">
        <f>'[1]Degree Days 2020'!G39</f>
        <v>0</v>
      </c>
      <c r="H39" s="279">
        <f>'[1]Degree Days 2020'!H39</f>
        <v>-18.3</v>
      </c>
      <c r="I39" s="570">
        <v>30</v>
      </c>
      <c r="J39" s="279">
        <f>'General information '!B35</f>
        <v>0</v>
      </c>
      <c r="K39" s="279">
        <f>'General information '!C35</f>
        <v>0</v>
      </c>
      <c r="L39" s="120">
        <f t="shared" si="0"/>
        <v>-18.3</v>
      </c>
      <c r="M39" s="570">
        <v>30</v>
      </c>
      <c r="N39" s="279"/>
      <c r="O39" s="279"/>
      <c r="P39" s="120">
        <f t="shared" si="1"/>
        <v>-18.3</v>
      </c>
      <c r="Q39" s="570">
        <v>30</v>
      </c>
      <c r="R39" s="279"/>
      <c r="S39" s="279"/>
      <c r="T39" s="279"/>
      <c r="U39" s="570">
        <v>30</v>
      </c>
      <c r="V39" s="279"/>
      <c r="W39" s="279"/>
      <c r="X39" s="279"/>
    </row>
    <row r="40" spans="1:24">
      <c r="A40" s="121">
        <v>31</v>
      </c>
      <c r="B40" s="279">
        <f>'[1]Degree Days 2020'!B40</f>
        <v>17</v>
      </c>
      <c r="C40" s="279">
        <f>'[1]Degree Days 2020'!C40</f>
        <v>13</v>
      </c>
      <c r="D40" s="279">
        <f>'[1]Degree Days 2020'!D40</f>
        <v>-3.3000000000000007</v>
      </c>
      <c r="E40" s="279"/>
      <c r="F40" s="279">
        <f>'[1]Degree Days 2020'!F40</f>
        <v>0</v>
      </c>
      <c r="G40" s="279">
        <f>'[1]Degree Days 2020'!G40</f>
        <v>0</v>
      </c>
      <c r="H40" s="279">
        <f>'[1]Degree Days 2020'!H40</f>
        <v>-18.3</v>
      </c>
      <c r="I40" s="570">
        <v>31</v>
      </c>
      <c r="J40" s="279">
        <f>'General information '!B36</f>
        <v>0</v>
      </c>
      <c r="K40" s="279">
        <f>'General information '!C36</f>
        <v>0</v>
      </c>
      <c r="L40" s="120">
        <f t="shared" si="0"/>
        <v>-18.3</v>
      </c>
      <c r="M40" s="279"/>
      <c r="N40" s="279"/>
      <c r="O40" s="279"/>
      <c r="P40" s="120">
        <f t="shared" si="1"/>
        <v>-18.3</v>
      </c>
      <c r="Q40" s="570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-508.30000000000018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1" t="s">
        <v>174</v>
      </c>
      <c r="O84" s="651" t="s">
        <v>175</v>
      </c>
      <c r="P84" s="135"/>
      <c r="T84" s="135"/>
      <c r="X84" s="135"/>
    </row>
    <row r="85" spans="1:24" ht="20.25" thickBot="1">
      <c r="D85" s="135"/>
      <c r="I85" s="653" t="s">
        <v>182</v>
      </c>
      <c r="J85" s="654"/>
      <c r="K85" s="654"/>
      <c r="L85" s="654"/>
      <c r="N85" s="652"/>
      <c r="O85" s="652"/>
      <c r="P85" s="135"/>
      <c r="R85" s="17"/>
      <c r="S85" s="17"/>
      <c r="T85" s="141"/>
      <c r="U85" s="142"/>
      <c r="X85" s="135"/>
    </row>
    <row r="86" spans="1:24" ht="18.75" thickBot="1">
      <c r="D86" s="135"/>
      <c r="I86" s="655" t="s">
        <v>183</v>
      </c>
      <c r="J86" s="655"/>
      <c r="K86" s="655"/>
      <c r="L86" s="655"/>
      <c r="N86" s="143">
        <f>B43+F43+J43+N43+R43+V43+B81+F81+J81+N81+R81+V81</f>
        <v>-4726.8000000000011</v>
      </c>
      <c r="O86" s="143">
        <f>C43+G43+K43+O43+S43+W43+C81+G81+K81+O81+S81+W81</f>
        <v>0.69999999999999929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4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f>WATER!E4</f>
        <v>1.66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795</v>
      </c>
      <c r="C7" s="188">
        <v>7500</v>
      </c>
      <c r="D7" s="191">
        <f>SUM(C7)*D4</f>
        <v>11306250</v>
      </c>
      <c r="E7" s="189">
        <f>SUM(I7/G4)</f>
        <v>251.61290322580646</v>
      </c>
      <c r="F7" s="189">
        <f>SUM(E7*F4)</f>
        <v>1006.4516129032259</v>
      </c>
      <c r="G7" s="544">
        <v>7500</v>
      </c>
      <c r="H7" s="361">
        <v>6100</v>
      </c>
      <c r="I7" s="189">
        <v>7800</v>
      </c>
      <c r="J7" s="285"/>
      <c r="K7" s="285"/>
    </row>
    <row r="8" spans="1:11">
      <c r="A8" s="194" t="s">
        <v>219</v>
      </c>
      <c r="B8" s="371">
        <f>tanks!AT37</f>
        <v>0.1</v>
      </c>
      <c r="C8" s="525">
        <f>SUM(tanks!AU37)</f>
        <v>0.1</v>
      </c>
      <c r="D8" s="195">
        <f>SUM(B8*C8)*D4</f>
        <v>15.075000000000003</v>
      </c>
      <c r="E8" s="196">
        <f>SUM(D8/D4/F4)</f>
        <v>2.5000000000000005E-3</v>
      </c>
      <c r="F8" s="196">
        <f>SUM(E8*F4)</f>
        <v>1.0000000000000002E-2</v>
      </c>
      <c r="G8" s="544">
        <f>E8*$G$4</f>
        <v>7.7500000000000013E-2</v>
      </c>
      <c r="H8" s="361">
        <v>36000</v>
      </c>
      <c r="I8" s="196">
        <v>30000</v>
      </c>
      <c r="J8" s="285"/>
      <c r="K8" s="285"/>
    </row>
    <row r="9" spans="1:11">
      <c r="A9" s="2" t="s">
        <v>220</v>
      </c>
      <c r="B9" s="372">
        <f>'B5'!AV36</f>
        <v>0.1</v>
      </c>
      <c r="C9" s="369">
        <v>0.7</v>
      </c>
      <c r="D9" s="192">
        <f>SUM(B9*C9)*D4</f>
        <v>105.52499999999999</v>
      </c>
      <c r="E9" s="193">
        <f>SUM(C9*B9)/F4</f>
        <v>1.7499999999999998E-2</v>
      </c>
      <c r="F9" s="193">
        <f>SUM(E9*F4)</f>
        <v>6.9999999999999993E-2</v>
      </c>
      <c r="G9" s="544">
        <f>E9*$G$4</f>
        <v>0.54249999999999998</v>
      </c>
      <c r="H9" s="361">
        <v>4300</v>
      </c>
      <c r="I9" s="193">
        <v>5700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3678598.3225806453</v>
      </c>
      <c r="E10" s="186">
        <f>SUM(D10/D4/F4)</f>
        <v>610.04947306478368</v>
      </c>
      <c r="F10" s="186">
        <f>SUM(E10*F4)</f>
        <v>2440.1978922591347</v>
      </c>
      <c r="G10" s="544">
        <f>E10*$G$4</f>
        <v>18911.533665008294</v>
      </c>
      <c r="H10" s="361">
        <v>24900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861.68237629059013</v>
      </c>
      <c r="F12" s="184">
        <f>SUM(F6:F10)</f>
        <v>3446.7295051623605</v>
      </c>
      <c r="G12" s="183">
        <f>SUM(G6:G10)</f>
        <v>26412.153665008293</v>
      </c>
      <c r="H12" s="183">
        <f>SUM(H6:H11)</f>
        <v>71300</v>
      </c>
      <c r="I12" s="225">
        <f>SUM(I6:I11)</f>
        <v>68400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'[10]Utility Cost '!C14</f>
        <v>0</v>
      </c>
      <c r="D14" s="171"/>
      <c r="E14" s="171">
        <f t="shared" ref="E14:E18" si="0">B14-C14</f>
        <v>0</v>
      </c>
      <c r="F14" s="543">
        <v>0</v>
      </c>
      <c r="G14" s="444"/>
      <c r="H14" s="445">
        <f>SUM(G12-H12)</f>
        <v>-44887.846334991707</v>
      </c>
      <c r="I14" s="445">
        <f>SUM(G12-I12)</f>
        <v>-41987.846334991707</v>
      </c>
    </row>
    <row r="15" spans="1:11">
      <c r="A15" s="473" t="s">
        <v>304</v>
      </c>
      <c r="B15" s="98">
        <f>'Degree Days 2018'!AA12</f>
        <v>-87.799999999999955</v>
      </c>
      <c r="C15" s="456">
        <f>'[10]Utility Cost '!C15</f>
        <v>-87.799999999999955</v>
      </c>
      <c r="D15" s="171"/>
      <c r="E15" s="171">
        <f t="shared" si="0"/>
        <v>0</v>
      </c>
      <c r="F15" s="543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14.75</v>
      </c>
      <c r="C16" s="456">
        <f>'[10]Utility Cost '!C16</f>
        <v>15.46774193548387</v>
      </c>
      <c r="D16" s="456"/>
      <c r="E16" s="457">
        <f t="shared" si="0"/>
        <v>-0.71774193548387011</v>
      </c>
      <c r="F16" s="566">
        <v>0</v>
      </c>
      <c r="G16" s="444"/>
      <c r="H16" s="17"/>
      <c r="I16" s="17"/>
      <c r="J16" s="17"/>
    </row>
    <row r="17" spans="1:10">
      <c r="A17" s="558" t="s">
        <v>317</v>
      </c>
      <c r="B17" s="561">
        <f>'General information '!F37</f>
        <v>0.12825</v>
      </c>
      <c r="C17" s="560">
        <f>'[10]Utility Cost '!C17</f>
        <v>0.65261290322580645</v>
      </c>
      <c r="D17" s="503">
        <f>'[11]Other Fuel Calculation 2020'!$D$62</f>
        <v>0.315</v>
      </c>
      <c r="E17" s="560">
        <f t="shared" si="0"/>
        <v>-0.52436290322580648</v>
      </c>
      <c r="F17" s="564">
        <f>B17-D17</f>
        <v>-0.18675</v>
      </c>
      <c r="G17" s="17"/>
      <c r="H17" s="17"/>
      <c r="I17" s="17"/>
      <c r="J17" s="17"/>
    </row>
    <row r="18" spans="1:10">
      <c r="A18" s="559" t="s">
        <v>389</v>
      </c>
      <c r="B18" s="563">
        <f>GEN!Z34</f>
        <v>14.479999999999563</v>
      </c>
      <c r="C18" s="456">
        <f>'[10]Utility Cost '!C18</f>
        <v>120</v>
      </c>
      <c r="D18" s="454">
        <f>'[11]Other Fuel Calculation 2020'!$D$60</f>
        <v>142.66666666666666</v>
      </c>
      <c r="E18" s="562">
        <f t="shared" si="0"/>
        <v>-105.52000000000044</v>
      </c>
      <c r="F18" s="565">
        <f>B18-D18</f>
        <v>-128.18666666666709</v>
      </c>
    </row>
    <row r="19" spans="1:10">
      <c r="A19" s="559" t="s">
        <v>414</v>
      </c>
      <c r="B19" s="557">
        <f>SUM(B18/$F$4)</f>
        <v>3.6199999999998909</v>
      </c>
      <c r="C19" s="456">
        <f>'[10]Utility Cost '!C19</f>
        <v>3.870967741935484</v>
      </c>
      <c r="D19" s="455"/>
      <c r="E19" s="455"/>
      <c r="F19" s="54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H10" sqref="H10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321</v>
      </c>
      <c r="C1" s="670"/>
      <c r="D1" s="672"/>
      <c r="E1" s="669" t="s">
        <v>322</v>
      </c>
      <c r="F1" s="670"/>
      <c r="G1" s="671"/>
      <c r="H1" s="666" t="s">
        <v>327</v>
      </c>
      <c r="I1" s="663" t="s">
        <v>328</v>
      </c>
      <c r="J1" s="660" t="s">
        <v>43</v>
      </c>
    </row>
    <row r="2" spans="1:18" ht="38.25" thickBot="1">
      <c r="A2" s="658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7"/>
      <c r="I2" s="664"/>
      <c r="J2" s="661"/>
    </row>
    <row r="3" spans="1:18" ht="24" customHeight="1" thickBot="1">
      <c r="A3" s="659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8"/>
      <c r="I3" s="665"/>
      <c r="J3" s="662"/>
    </row>
    <row r="4" spans="1:18" ht="19.5" thickBot="1">
      <c r="A4" s="249"/>
      <c r="B4" s="542"/>
      <c r="C4" s="542"/>
      <c r="D4" s="542"/>
      <c r="E4" s="542"/>
      <c r="F4" s="542"/>
      <c r="G4" s="542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1">
        <f>ELEC!C2</f>
        <v>43890</v>
      </c>
      <c r="B5" s="543">
        <f>'[1]Swimming Pool quality check '!B34</f>
        <v>1.5</v>
      </c>
      <c r="C5" s="543">
        <f>'[1]Swimming Pool quality check '!C34</f>
        <v>7.6</v>
      </c>
      <c r="D5" s="543">
        <f>'[1]Swimming Pool quality check '!D34</f>
        <v>19</v>
      </c>
      <c r="E5" s="543">
        <f>'[1]Swimming Pool quality check '!E34</f>
        <v>2</v>
      </c>
      <c r="F5" s="543">
        <f>'[1]Swimming Pool quality check '!F34</f>
        <v>8</v>
      </c>
      <c r="G5" s="543">
        <f>'[1]Swimming Pool quality check '!G34</f>
        <v>19</v>
      </c>
      <c r="H5" s="543">
        <f>'[1]Swimming Pool quality check '!H34</f>
        <v>5921</v>
      </c>
      <c r="I5" s="543">
        <f>'[5]Swimming Pool quality check '!I34</f>
        <v>0</v>
      </c>
      <c r="J5" s="554">
        <f>'[8]Swimming Pool quality check '!J36</f>
        <v>0.33333333333333398</v>
      </c>
      <c r="K5" s="428">
        <v>0</v>
      </c>
      <c r="L5" s="541">
        <v>43891</v>
      </c>
      <c r="M5" s="543">
        <f>'[1]Swimming Pool quality check '!M34</f>
        <v>5921</v>
      </c>
      <c r="N5" s="543">
        <f>'[8]Swimming Pool quality check '!N36</f>
        <v>0</v>
      </c>
      <c r="O5" s="543">
        <f>'[5]Swimming Pool quality check '!O34</f>
        <v>5916</v>
      </c>
    </row>
    <row r="6" spans="1:18" ht="15.75" customHeight="1" thickBot="1">
      <c r="A6" s="245">
        <f>ELEC!C3</f>
        <v>43891</v>
      </c>
      <c r="B6" s="543">
        <v>1.5</v>
      </c>
      <c r="C6" s="543">
        <v>7.6</v>
      </c>
      <c r="D6" s="543">
        <v>19</v>
      </c>
      <c r="E6" s="543">
        <v>2</v>
      </c>
      <c r="F6" s="543">
        <v>8</v>
      </c>
      <c r="G6" s="543">
        <v>19</v>
      </c>
      <c r="H6" s="428">
        <v>5921</v>
      </c>
      <c r="I6" s="247">
        <f>M6-M5</f>
        <v>0</v>
      </c>
      <c r="J6" s="516">
        <v>0.29166666666666669</v>
      </c>
      <c r="L6" s="100">
        <f t="shared" ref="L6:L35" si="0">A6</f>
        <v>43891</v>
      </c>
      <c r="M6" s="3">
        <f>H6</f>
        <v>5921</v>
      </c>
      <c r="N6" s="3">
        <v>0</v>
      </c>
      <c r="O6" s="3">
        <f>SUM(M6:N6)</f>
        <v>5921</v>
      </c>
    </row>
    <row r="7" spans="1:18" ht="15.75" thickBot="1">
      <c r="A7" s="245">
        <f>ELEC!C4</f>
        <v>43892</v>
      </c>
      <c r="B7" s="543">
        <v>1.5</v>
      </c>
      <c r="C7" s="543">
        <v>7.6</v>
      </c>
      <c r="D7" s="543">
        <v>19</v>
      </c>
      <c r="E7" s="543">
        <v>2</v>
      </c>
      <c r="F7" s="543">
        <v>8</v>
      </c>
      <c r="G7" s="543">
        <v>19</v>
      </c>
      <c r="H7" s="428">
        <v>5921</v>
      </c>
      <c r="I7" s="247">
        <f>M7-M6</f>
        <v>0</v>
      </c>
      <c r="J7" s="517">
        <v>0.29166666666666669</v>
      </c>
      <c r="L7" s="100">
        <f t="shared" si="0"/>
        <v>43892</v>
      </c>
      <c r="M7" s="3">
        <f t="shared" ref="M7:M36" si="1">H7</f>
        <v>5921</v>
      </c>
      <c r="N7" s="3">
        <v>0</v>
      </c>
      <c r="O7" s="3">
        <f>SUM(M7:N7)</f>
        <v>5921</v>
      </c>
    </row>
    <row r="8" spans="1:18" ht="15.75" thickBot="1">
      <c r="A8" s="245">
        <f>ELEC!C5</f>
        <v>43893</v>
      </c>
      <c r="B8" s="543">
        <v>1.5</v>
      </c>
      <c r="C8" s="543">
        <v>7.6</v>
      </c>
      <c r="D8" s="543">
        <v>19</v>
      </c>
      <c r="E8" s="543">
        <v>2</v>
      </c>
      <c r="F8" s="543">
        <v>8</v>
      </c>
      <c r="G8" s="543">
        <v>19</v>
      </c>
      <c r="H8" s="428">
        <f t="shared" ref="H8:H37" si="2">H7</f>
        <v>5921</v>
      </c>
      <c r="I8" s="247">
        <f>M8-M7</f>
        <v>0</v>
      </c>
      <c r="J8" s="517">
        <v>0.29166666666666669</v>
      </c>
      <c r="L8" s="100">
        <f t="shared" si="0"/>
        <v>43893</v>
      </c>
      <c r="M8" s="3">
        <f t="shared" si="1"/>
        <v>5921</v>
      </c>
      <c r="N8" s="3">
        <v>0</v>
      </c>
      <c r="O8" s="3">
        <f>SUM(M8:N8)</f>
        <v>5921</v>
      </c>
    </row>
    <row r="9" spans="1:18" ht="15.75" thickBot="1">
      <c r="A9" s="245">
        <f>ELEC!C6</f>
        <v>43894</v>
      </c>
      <c r="B9" s="543">
        <v>1.34</v>
      </c>
      <c r="C9" s="543">
        <v>7.6</v>
      </c>
      <c r="D9" s="543">
        <v>19</v>
      </c>
      <c r="E9" s="543">
        <v>2</v>
      </c>
      <c r="F9" s="543">
        <v>8</v>
      </c>
      <c r="G9" s="543">
        <v>19</v>
      </c>
      <c r="H9" s="428">
        <v>5921</v>
      </c>
      <c r="I9" s="247">
        <f>M9-M8</f>
        <v>0</v>
      </c>
      <c r="J9" s="517">
        <v>0.29166666666666669</v>
      </c>
      <c r="L9" s="100">
        <f t="shared" si="0"/>
        <v>43894</v>
      </c>
      <c r="M9" s="3">
        <f t="shared" si="1"/>
        <v>5921</v>
      </c>
      <c r="N9" s="3">
        <v>0</v>
      </c>
      <c r="O9" s="3">
        <f t="shared" ref="O9:O36" si="3">SUM(M9:N9)</f>
        <v>5921</v>
      </c>
    </row>
    <row r="10" spans="1:18" ht="15.75" thickBot="1">
      <c r="A10" s="245">
        <f>ELEC!C7</f>
        <v>43895</v>
      </c>
      <c r="B10" s="543"/>
      <c r="C10" s="543"/>
      <c r="D10" s="543"/>
      <c r="E10" s="543"/>
      <c r="F10" s="543"/>
      <c r="G10" s="543"/>
      <c r="H10" s="428">
        <f t="shared" si="2"/>
        <v>5921</v>
      </c>
      <c r="I10" s="247">
        <f t="shared" ref="I10:I37" si="4">H10-H9</f>
        <v>0</v>
      </c>
      <c r="J10" s="517">
        <v>0.29166666666666669</v>
      </c>
      <c r="L10" s="100">
        <f t="shared" si="0"/>
        <v>43895</v>
      </c>
      <c r="M10" s="3">
        <f t="shared" si="1"/>
        <v>5921</v>
      </c>
      <c r="N10" s="3">
        <v>0</v>
      </c>
      <c r="O10" s="3">
        <f t="shared" si="3"/>
        <v>5921</v>
      </c>
    </row>
    <row r="11" spans="1:18" ht="15.75" thickBot="1">
      <c r="A11" s="245">
        <f>ELEC!C8</f>
        <v>43896</v>
      </c>
      <c r="B11" s="543"/>
      <c r="C11" s="543"/>
      <c r="D11" s="543"/>
      <c r="E11" s="543"/>
      <c r="F11" s="543"/>
      <c r="G11" s="543"/>
      <c r="H11" s="428">
        <f t="shared" si="2"/>
        <v>5921</v>
      </c>
      <c r="I11" s="247">
        <f t="shared" si="4"/>
        <v>0</v>
      </c>
      <c r="J11" s="517">
        <v>0.29166666666666669</v>
      </c>
      <c r="L11" s="100">
        <f t="shared" si="0"/>
        <v>43896</v>
      </c>
      <c r="M11" s="3">
        <f t="shared" si="1"/>
        <v>5921</v>
      </c>
      <c r="N11" s="3">
        <v>0</v>
      </c>
      <c r="O11" s="3">
        <f t="shared" si="3"/>
        <v>5921</v>
      </c>
    </row>
    <row r="12" spans="1:18" ht="16.5" thickBot="1">
      <c r="A12" s="245">
        <f>ELEC!C9</f>
        <v>43897</v>
      </c>
      <c r="B12" s="543"/>
      <c r="C12" s="543"/>
      <c r="D12" s="543"/>
      <c r="E12" s="543"/>
      <c r="F12" s="543"/>
      <c r="G12" s="543"/>
      <c r="H12" s="428">
        <f t="shared" si="2"/>
        <v>5921</v>
      </c>
      <c r="I12" s="247">
        <f t="shared" si="4"/>
        <v>0</v>
      </c>
      <c r="J12" s="517">
        <v>0.29166666666666669</v>
      </c>
      <c r="L12" s="100">
        <f t="shared" si="0"/>
        <v>43897</v>
      </c>
      <c r="M12" s="3">
        <f t="shared" si="1"/>
        <v>5921</v>
      </c>
      <c r="N12" s="3">
        <v>0</v>
      </c>
      <c r="O12" s="3">
        <f t="shared" si="3"/>
        <v>5921</v>
      </c>
      <c r="P12" s="461"/>
      <c r="Q12" s="378"/>
      <c r="R12" s="378"/>
    </row>
    <row r="13" spans="1:18" ht="15.75" thickBot="1">
      <c r="A13" s="245">
        <f>ELEC!C10</f>
        <v>43898</v>
      </c>
      <c r="B13" s="543"/>
      <c r="C13" s="543"/>
      <c r="D13" s="543"/>
      <c r="E13" s="543"/>
      <c r="F13" s="543"/>
      <c r="G13" s="543"/>
      <c r="H13" s="428">
        <f t="shared" si="2"/>
        <v>5921</v>
      </c>
      <c r="I13" s="247">
        <f>M13-M12</f>
        <v>0</v>
      </c>
      <c r="J13" s="517">
        <v>0.29166666666666669</v>
      </c>
      <c r="L13" s="100">
        <f t="shared" si="0"/>
        <v>43898</v>
      </c>
      <c r="M13" s="3">
        <f t="shared" si="1"/>
        <v>5921</v>
      </c>
      <c r="N13" s="3">
        <v>0</v>
      </c>
      <c r="O13" s="3">
        <f t="shared" si="3"/>
        <v>5921</v>
      </c>
    </row>
    <row r="14" spans="1:18" ht="15.75" thickBot="1">
      <c r="A14" s="245">
        <f>ELEC!C11</f>
        <v>43899</v>
      </c>
      <c r="B14" s="543"/>
      <c r="C14" s="543"/>
      <c r="D14" s="543"/>
      <c r="E14" s="543"/>
      <c r="F14" s="543"/>
      <c r="G14" s="543"/>
      <c r="H14" s="428">
        <f t="shared" si="2"/>
        <v>5921</v>
      </c>
      <c r="I14" s="247">
        <f>M14-M13</f>
        <v>0</v>
      </c>
      <c r="J14" s="517">
        <v>0.29166666666666669</v>
      </c>
      <c r="L14" s="100">
        <f t="shared" si="0"/>
        <v>43899</v>
      </c>
      <c r="M14" s="3">
        <f t="shared" si="1"/>
        <v>5921</v>
      </c>
      <c r="N14" s="3">
        <v>0</v>
      </c>
      <c r="O14" s="3">
        <f t="shared" si="3"/>
        <v>5921</v>
      </c>
    </row>
    <row r="15" spans="1:18" ht="15.75" thickBot="1">
      <c r="A15" s="245">
        <f>ELEC!C12</f>
        <v>43900</v>
      </c>
      <c r="B15" s="543"/>
      <c r="C15" s="543"/>
      <c r="D15" s="543"/>
      <c r="E15" s="543"/>
      <c r="F15" s="543"/>
      <c r="G15" s="543"/>
      <c r="H15" s="428">
        <f t="shared" si="2"/>
        <v>5921</v>
      </c>
      <c r="I15" s="247">
        <f>M15-M14</f>
        <v>0</v>
      </c>
      <c r="J15" s="517">
        <v>0.29166666666666669</v>
      </c>
      <c r="L15" s="100">
        <f t="shared" si="0"/>
        <v>43900</v>
      </c>
      <c r="M15" s="3">
        <f t="shared" si="1"/>
        <v>5921</v>
      </c>
      <c r="N15" s="3">
        <v>0</v>
      </c>
      <c r="O15" s="3">
        <f t="shared" si="3"/>
        <v>5921</v>
      </c>
    </row>
    <row r="16" spans="1:18" ht="15.75" thickBot="1">
      <c r="A16" s="245">
        <f>ELEC!C13</f>
        <v>43901</v>
      </c>
      <c r="B16" s="543"/>
      <c r="C16" s="543"/>
      <c r="D16" s="543"/>
      <c r="E16" s="543"/>
      <c r="F16" s="543"/>
      <c r="G16" s="543"/>
      <c r="H16" s="428">
        <f t="shared" si="2"/>
        <v>5921</v>
      </c>
      <c r="I16" s="247">
        <f>M16-M15</f>
        <v>0</v>
      </c>
      <c r="J16" s="517">
        <v>0.29166666666666669</v>
      </c>
      <c r="L16" s="100">
        <f t="shared" si="0"/>
        <v>43901</v>
      </c>
      <c r="M16" s="3">
        <f t="shared" si="1"/>
        <v>5921</v>
      </c>
      <c r="N16" s="3">
        <v>0</v>
      </c>
      <c r="O16" s="3">
        <f t="shared" si="3"/>
        <v>5921</v>
      </c>
    </row>
    <row r="17" spans="1:17" ht="15.75" thickBot="1">
      <c r="A17" s="245">
        <f>ELEC!C14</f>
        <v>43902</v>
      </c>
      <c r="B17" s="543"/>
      <c r="C17" s="543"/>
      <c r="D17" s="543"/>
      <c r="E17" s="543"/>
      <c r="F17" s="543"/>
      <c r="G17" s="543"/>
      <c r="H17" s="428">
        <f t="shared" si="2"/>
        <v>5921</v>
      </c>
      <c r="I17" s="247">
        <f t="shared" si="4"/>
        <v>0</v>
      </c>
      <c r="J17" s="517">
        <v>0.29166666666666669</v>
      </c>
      <c r="L17" s="100">
        <f t="shared" si="0"/>
        <v>43902</v>
      </c>
      <c r="M17" s="3">
        <f t="shared" si="1"/>
        <v>5921</v>
      </c>
      <c r="N17" s="3">
        <v>0</v>
      </c>
      <c r="O17" s="3">
        <f t="shared" si="3"/>
        <v>5921</v>
      </c>
    </row>
    <row r="18" spans="1:17" ht="15.75" thickBot="1">
      <c r="A18" s="245">
        <f>ELEC!C15</f>
        <v>43903</v>
      </c>
      <c r="B18" s="543"/>
      <c r="C18" s="543"/>
      <c r="D18" s="543"/>
      <c r="E18" s="543"/>
      <c r="F18" s="543"/>
      <c r="G18" s="543"/>
      <c r="H18" s="428">
        <f t="shared" si="2"/>
        <v>5921</v>
      </c>
      <c r="I18" s="247">
        <f t="shared" si="4"/>
        <v>0</v>
      </c>
      <c r="J18" s="517">
        <v>0.29166666666666669</v>
      </c>
      <c r="L18" s="100">
        <f t="shared" si="0"/>
        <v>43903</v>
      </c>
      <c r="M18" s="3">
        <f t="shared" si="1"/>
        <v>5921</v>
      </c>
      <c r="N18" s="3">
        <v>0</v>
      </c>
      <c r="O18" s="3">
        <f t="shared" si="3"/>
        <v>5921</v>
      </c>
    </row>
    <row r="19" spans="1:17" ht="15.75" thickBot="1">
      <c r="A19" s="245">
        <f>ELEC!C16</f>
        <v>43904</v>
      </c>
      <c r="B19" s="543"/>
      <c r="C19" s="543"/>
      <c r="D19" s="543"/>
      <c r="E19" s="543"/>
      <c r="F19" s="543"/>
      <c r="G19" s="553"/>
      <c r="H19" s="428">
        <f t="shared" si="2"/>
        <v>5921</v>
      </c>
      <c r="I19" s="247">
        <f t="shared" si="4"/>
        <v>0</v>
      </c>
      <c r="J19" s="517">
        <v>0.29166666666666669</v>
      </c>
      <c r="L19" s="100">
        <f t="shared" si="0"/>
        <v>43904</v>
      </c>
      <c r="M19" s="3">
        <f t="shared" si="1"/>
        <v>5921</v>
      </c>
      <c r="N19" s="3">
        <v>0</v>
      </c>
      <c r="O19" s="3">
        <f t="shared" si="3"/>
        <v>5921</v>
      </c>
    </row>
    <row r="20" spans="1:17" ht="15.75" thickBot="1">
      <c r="A20" s="245">
        <f>ELEC!C17</f>
        <v>43905</v>
      </c>
      <c r="B20" s="543"/>
      <c r="C20" s="543"/>
      <c r="D20" s="543"/>
      <c r="E20" s="543"/>
      <c r="F20" s="543"/>
      <c r="G20" s="543"/>
      <c r="H20" s="428">
        <f t="shared" si="2"/>
        <v>5921</v>
      </c>
      <c r="I20" s="247">
        <f t="shared" si="4"/>
        <v>0</v>
      </c>
      <c r="J20" s="517">
        <v>0.29166666666666669</v>
      </c>
      <c r="L20" s="100">
        <f t="shared" si="0"/>
        <v>43905</v>
      </c>
      <c r="M20" s="3">
        <f t="shared" si="1"/>
        <v>5921</v>
      </c>
      <c r="N20" s="3">
        <v>0</v>
      </c>
      <c r="O20" s="3">
        <f t="shared" si="3"/>
        <v>5921</v>
      </c>
    </row>
    <row r="21" spans="1:17" ht="15.75" thickBot="1">
      <c r="A21" s="245">
        <f>ELEC!C18</f>
        <v>43906</v>
      </c>
      <c r="B21" s="543"/>
      <c r="C21" s="543"/>
      <c r="D21" s="543"/>
      <c r="E21" s="543"/>
      <c r="F21" s="543"/>
      <c r="G21" s="543"/>
      <c r="H21" s="428">
        <f t="shared" si="2"/>
        <v>5921</v>
      </c>
      <c r="I21" s="247">
        <f t="shared" si="4"/>
        <v>0</v>
      </c>
      <c r="J21" s="517">
        <v>0.29166666666666669</v>
      </c>
      <c r="L21" s="100">
        <f t="shared" si="0"/>
        <v>43906</v>
      </c>
      <c r="M21" s="3">
        <f t="shared" si="1"/>
        <v>5921</v>
      </c>
      <c r="N21" s="3">
        <v>0</v>
      </c>
      <c r="O21" s="3">
        <f t="shared" si="3"/>
        <v>5921</v>
      </c>
    </row>
    <row r="22" spans="1:17" ht="15.75" thickBot="1">
      <c r="A22" s="245">
        <f>ELEC!C19</f>
        <v>43907</v>
      </c>
      <c r="B22" s="543"/>
      <c r="C22" s="543"/>
      <c r="D22" s="543"/>
      <c r="E22" s="543"/>
      <c r="F22" s="543"/>
      <c r="G22" s="543"/>
      <c r="H22" s="428">
        <f t="shared" si="2"/>
        <v>5921</v>
      </c>
      <c r="I22" s="247">
        <f t="shared" si="4"/>
        <v>0</v>
      </c>
      <c r="J22" s="517">
        <v>0.29166666666666669</v>
      </c>
      <c r="L22" s="100">
        <f t="shared" si="0"/>
        <v>43907</v>
      </c>
      <c r="M22" s="3">
        <f t="shared" si="1"/>
        <v>5921</v>
      </c>
      <c r="N22" s="3">
        <v>0</v>
      </c>
      <c r="O22" s="3">
        <f t="shared" si="3"/>
        <v>5921</v>
      </c>
    </row>
    <row r="23" spans="1:17" ht="15.75" thickBot="1">
      <c r="A23" s="245">
        <f>ELEC!C20</f>
        <v>43908</v>
      </c>
      <c r="B23" s="543"/>
      <c r="C23" s="543"/>
      <c r="D23" s="543"/>
      <c r="E23" s="543"/>
      <c r="F23" s="543"/>
      <c r="G23" s="543"/>
      <c r="H23" s="428">
        <f t="shared" si="2"/>
        <v>5921</v>
      </c>
      <c r="I23" s="247">
        <f t="shared" si="4"/>
        <v>0</v>
      </c>
      <c r="J23" s="517">
        <v>0.29166666666666669</v>
      </c>
      <c r="L23" s="100">
        <f t="shared" si="0"/>
        <v>43908</v>
      </c>
      <c r="M23" s="3">
        <f t="shared" si="1"/>
        <v>5921</v>
      </c>
      <c r="N23" s="3">
        <v>0</v>
      </c>
      <c r="O23" s="3">
        <f t="shared" si="3"/>
        <v>5921</v>
      </c>
    </row>
    <row r="24" spans="1:17" ht="15.75" thickBot="1">
      <c r="A24" s="245">
        <f>ELEC!C21</f>
        <v>43909</v>
      </c>
      <c r="B24" s="543"/>
      <c r="C24" s="543"/>
      <c r="D24" s="543"/>
      <c r="E24" s="543"/>
      <c r="F24" s="543"/>
      <c r="G24" s="543"/>
      <c r="H24" s="428">
        <f t="shared" si="2"/>
        <v>5921</v>
      </c>
      <c r="I24" s="247">
        <f t="shared" si="4"/>
        <v>0</v>
      </c>
      <c r="J24" s="517">
        <v>0.29166666666666702</v>
      </c>
      <c r="L24" s="100">
        <f t="shared" si="0"/>
        <v>43909</v>
      </c>
      <c r="M24" s="3">
        <f t="shared" si="1"/>
        <v>5921</v>
      </c>
      <c r="N24" s="3">
        <v>0</v>
      </c>
      <c r="O24" s="3">
        <f t="shared" si="3"/>
        <v>5921</v>
      </c>
    </row>
    <row r="25" spans="1:17" ht="15.75" thickBot="1">
      <c r="A25" s="245">
        <f>ELEC!C22</f>
        <v>43910</v>
      </c>
      <c r="B25" s="543"/>
      <c r="C25" s="543"/>
      <c r="D25" s="543"/>
      <c r="E25" s="543"/>
      <c r="F25" s="543"/>
      <c r="G25" s="543"/>
      <c r="H25" s="428">
        <f t="shared" si="2"/>
        <v>5921</v>
      </c>
      <c r="I25" s="247">
        <f t="shared" si="4"/>
        <v>0</v>
      </c>
      <c r="J25" s="517">
        <v>0.29166666666666702</v>
      </c>
      <c r="L25" s="100">
        <f t="shared" si="0"/>
        <v>43910</v>
      </c>
      <c r="M25" s="3">
        <f t="shared" si="1"/>
        <v>5921</v>
      </c>
      <c r="N25" s="3">
        <v>0</v>
      </c>
      <c r="O25" s="3">
        <f t="shared" si="3"/>
        <v>5921</v>
      </c>
    </row>
    <row r="26" spans="1:17" ht="15.75" thickBot="1">
      <c r="A26" s="245">
        <f>ELEC!C23</f>
        <v>43911</v>
      </c>
      <c r="B26" s="543"/>
      <c r="C26" s="543"/>
      <c r="D26" s="543"/>
      <c r="E26" s="543"/>
      <c r="F26" s="543"/>
      <c r="G26" s="543"/>
      <c r="H26" s="428">
        <f t="shared" si="2"/>
        <v>5921</v>
      </c>
      <c r="I26" s="247">
        <f t="shared" si="4"/>
        <v>0</v>
      </c>
      <c r="J26" s="517">
        <v>0.29166666666666702</v>
      </c>
      <c r="L26" s="100">
        <f t="shared" si="0"/>
        <v>43911</v>
      </c>
      <c r="M26" s="3">
        <f t="shared" si="1"/>
        <v>5921</v>
      </c>
      <c r="N26" s="3">
        <v>0</v>
      </c>
      <c r="O26" s="3">
        <f t="shared" si="3"/>
        <v>5921</v>
      </c>
    </row>
    <row r="27" spans="1:17" ht="15.75" thickBot="1">
      <c r="A27" s="245">
        <f>ELEC!C24</f>
        <v>43912</v>
      </c>
      <c r="B27" s="543"/>
      <c r="C27" s="543"/>
      <c r="D27" s="543"/>
      <c r="E27" s="543"/>
      <c r="F27" s="543"/>
      <c r="G27" s="543"/>
      <c r="H27" s="428">
        <f t="shared" si="2"/>
        <v>5921</v>
      </c>
      <c r="I27" s="247">
        <f t="shared" si="4"/>
        <v>0</v>
      </c>
      <c r="J27" s="517">
        <v>0.29166666666666702</v>
      </c>
      <c r="L27" s="100">
        <f t="shared" si="0"/>
        <v>43912</v>
      </c>
      <c r="M27" s="3">
        <f t="shared" si="1"/>
        <v>5921</v>
      </c>
      <c r="N27" s="3">
        <v>0</v>
      </c>
      <c r="O27" s="3">
        <f t="shared" si="3"/>
        <v>5921</v>
      </c>
    </row>
    <row r="28" spans="1:17" ht="15.75" thickBot="1">
      <c r="A28" s="245">
        <f>ELEC!C25</f>
        <v>43913</v>
      </c>
      <c r="B28" s="543"/>
      <c r="C28" s="543"/>
      <c r="D28" s="543"/>
      <c r="E28" s="543"/>
      <c r="F28" s="543"/>
      <c r="G28" s="543"/>
      <c r="H28" s="428">
        <f t="shared" si="2"/>
        <v>5921</v>
      </c>
      <c r="I28" s="247">
        <f t="shared" si="4"/>
        <v>0</v>
      </c>
      <c r="J28" s="518">
        <v>0.29166666666666702</v>
      </c>
      <c r="L28" s="100">
        <f t="shared" si="0"/>
        <v>43913</v>
      </c>
      <c r="M28" s="3">
        <f t="shared" si="1"/>
        <v>5921</v>
      </c>
      <c r="N28" s="3">
        <v>0</v>
      </c>
      <c r="O28" s="3">
        <f t="shared" si="3"/>
        <v>5921</v>
      </c>
    </row>
    <row r="29" spans="1:17" ht="15.75" thickBot="1">
      <c r="A29" s="245">
        <f>ELEC!C26</f>
        <v>43914</v>
      </c>
      <c r="B29" s="543"/>
      <c r="C29" s="543"/>
      <c r="D29" s="543"/>
      <c r="E29" s="543"/>
      <c r="F29" s="543"/>
      <c r="G29" s="543"/>
      <c r="H29" s="428">
        <f t="shared" si="2"/>
        <v>5921</v>
      </c>
      <c r="I29" s="247">
        <f t="shared" si="4"/>
        <v>0</v>
      </c>
      <c r="J29" s="517">
        <v>0.29166666666666702</v>
      </c>
      <c r="L29" s="100">
        <f t="shared" si="0"/>
        <v>43914</v>
      </c>
      <c r="M29" s="3">
        <f t="shared" si="1"/>
        <v>5921</v>
      </c>
      <c r="N29" s="3">
        <v>0</v>
      </c>
      <c r="O29" s="3">
        <f t="shared" si="3"/>
        <v>5921</v>
      </c>
    </row>
    <row r="30" spans="1:17" ht="15.75" thickBot="1">
      <c r="A30" s="245">
        <f>ELEC!C27</f>
        <v>43915</v>
      </c>
      <c r="B30" s="543"/>
      <c r="C30" s="543"/>
      <c r="D30" s="543"/>
      <c r="E30" s="543"/>
      <c r="F30" s="543"/>
      <c r="G30" s="543"/>
      <c r="H30" s="428">
        <f t="shared" si="2"/>
        <v>5921</v>
      </c>
      <c r="I30" s="247">
        <f t="shared" si="4"/>
        <v>0</v>
      </c>
      <c r="J30" s="517">
        <v>0.29166666666666702</v>
      </c>
      <c r="L30" s="100">
        <f t="shared" si="0"/>
        <v>43915</v>
      </c>
      <c r="M30" s="3">
        <f t="shared" si="1"/>
        <v>5921</v>
      </c>
      <c r="N30" s="3">
        <v>0</v>
      </c>
      <c r="O30" s="3">
        <f>SUM(M30:N30)</f>
        <v>5921</v>
      </c>
    </row>
    <row r="31" spans="1:17" ht="15.75" thickBot="1">
      <c r="A31" s="245">
        <f>ELEC!C28</f>
        <v>43916</v>
      </c>
      <c r="B31" s="543"/>
      <c r="C31" s="543"/>
      <c r="D31" s="543"/>
      <c r="E31" s="543"/>
      <c r="F31" s="543"/>
      <c r="G31" s="543"/>
      <c r="H31" s="428">
        <f t="shared" si="2"/>
        <v>5921</v>
      </c>
      <c r="I31" s="247">
        <f t="shared" si="4"/>
        <v>0</v>
      </c>
      <c r="J31" s="517">
        <v>0.29166666666666702</v>
      </c>
      <c r="L31" s="100">
        <f t="shared" si="0"/>
        <v>43916</v>
      </c>
      <c r="M31" s="3">
        <f t="shared" si="1"/>
        <v>5921</v>
      </c>
      <c r="N31" s="3">
        <v>0</v>
      </c>
      <c r="O31" s="3">
        <f t="shared" si="3"/>
        <v>5921</v>
      </c>
    </row>
    <row r="32" spans="1:17" ht="15.75" thickBot="1">
      <c r="A32" s="245">
        <f>ELEC!C29</f>
        <v>43917</v>
      </c>
      <c r="B32" s="543"/>
      <c r="C32" s="543"/>
      <c r="D32" s="543"/>
      <c r="E32" s="543"/>
      <c r="F32" s="543"/>
      <c r="G32" s="543"/>
      <c r="H32" s="428">
        <f t="shared" si="2"/>
        <v>5921</v>
      </c>
      <c r="I32" s="247">
        <f t="shared" si="4"/>
        <v>0</v>
      </c>
      <c r="J32" s="517">
        <v>0.29166666666666702</v>
      </c>
      <c r="L32" s="100">
        <f t="shared" si="0"/>
        <v>43917</v>
      </c>
      <c r="M32" s="3">
        <f t="shared" si="1"/>
        <v>5921</v>
      </c>
      <c r="N32" s="3">
        <v>0</v>
      </c>
      <c r="O32" s="3">
        <f t="shared" si="3"/>
        <v>5921</v>
      </c>
    </row>
    <row r="33" spans="1:15" ht="15.75" thickBot="1">
      <c r="A33" s="245">
        <f>ELEC!C30</f>
        <v>43918</v>
      </c>
      <c r="B33" s="543"/>
      <c r="C33" s="543"/>
      <c r="D33" s="543"/>
      <c r="E33" s="543"/>
      <c r="F33" s="543"/>
      <c r="G33" s="543"/>
      <c r="H33" s="428">
        <f t="shared" si="2"/>
        <v>5921</v>
      </c>
      <c r="I33" s="247">
        <f t="shared" si="4"/>
        <v>0</v>
      </c>
      <c r="J33" s="517">
        <v>0.29166666666666702</v>
      </c>
      <c r="L33" s="100">
        <f t="shared" si="0"/>
        <v>43918</v>
      </c>
      <c r="M33" s="3">
        <f t="shared" si="1"/>
        <v>5921</v>
      </c>
      <c r="N33" s="3">
        <v>0</v>
      </c>
      <c r="O33" s="3">
        <f t="shared" si="3"/>
        <v>5921</v>
      </c>
    </row>
    <row r="34" spans="1:15" ht="15.75" thickBot="1">
      <c r="A34" s="245">
        <f>ELEC!C31</f>
        <v>43919</v>
      </c>
      <c r="B34" s="543"/>
      <c r="C34" s="543"/>
      <c r="D34" s="543"/>
      <c r="E34" s="543"/>
      <c r="F34" s="543"/>
      <c r="G34" s="543"/>
      <c r="H34" s="428">
        <f t="shared" si="2"/>
        <v>5921</v>
      </c>
      <c r="I34" s="247">
        <f t="shared" si="4"/>
        <v>0</v>
      </c>
      <c r="J34" s="517">
        <v>0.29166666666666702</v>
      </c>
      <c r="L34" s="100">
        <f t="shared" si="0"/>
        <v>43919</v>
      </c>
      <c r="M34" s="3">
        <f t="shared" si="1"/>
        <v>5921</v>
      </c>
      <c r="N34" s="3">
        <v>0</v>
      </c>
      <c r="O34" s="3">
        <f t="shared" si="3"/>
        <v>5921</v>
      </c>
    </row>
    <row r="35" spans="1:15" ht="15.75" thickBot="1">
      <c r="A35" s="429">
        <f>ELEC!C32</f>
        <v>43920</v>
      </c>
      <c r="B35" s="543"/>
      <c r="C35" s="543"/>
      <c r="D35" s="543"/>
      <c r="E35" s="543"/>
      <c r="F35" s="543"/>
      <c r="G35" s="543"/>
      <c r="H35" s="428">
        <f t="shared" si="2"/>
        <v>5921</v>
      </c>
      <c r="I35" s="247">
        <f t="shared" si="4"/>
        <v>0</v>
      </c>
      <c r="J35" s="519">
        <v>0.29166666666666702</v>
      </c>
      <c r="L35" s="100">
        <f t="shared" si="0"/>
        <v>43920</v>
      </c>
      <c r="M35" s="3">
        <f t="shared" si="1"/>
        <v>5921</v>
      </c>
      <c r="N35" s="3">
        <v>0</v>
      </c>
      <c r="O35" s="3">
        <f t="shared" si="3"/>
        <v>5921</v>
      </c>
    </row>
    <row r="36" spans="1:15" ht="15.75" thickBot="1">
      <c r="A36" s="429">
        <f>ELEC!C33</f>
        <v>43921</v>
      </c>
      <c r="B36" s="543"/>
      <c r="C36" s="543"/>
      <c r="D36" s="543"/>
      <c r="E36" s="543"/>
      <c r="F36" s="543"/>
      <c r="G36" s="543"/>
      <c r="H36" s="428">
        <f t="shared" si="2"/>
        <v>5921</v>
      </c>
      <c r="I36" s="247">
        <f t="shared" si="4"/>
        <v>0</v>
      </c>
      <c r="J36" s="519">
        <v>0.33333333333333398</v>
      </c>
      <c r="L36" s="100">
        <f>A36</f>
        <v>43921</v>
      </c>
      <c r="M36" s="3">
        <f t="shared" si="1"/>
        <v>5921</v>
      </c>
      <c r="N36" s="3">
        <v>0</v>
      </c>
      <c r="O36" s="3">
        <f t="shared" si="3"/>
        <v>5921</v>
      </c>
    </row>
    <row r="37" spans="1:15" ht="15.75" thickBot="1">
      <c r="A37" s="429">
        <v>43862</v>
      </c>
      <c r="B37" s="543"/>
      <c r="C37" s="521"/>
      <c r="D37" s="521"/>
      <c r="E37" s="521"/>
      <c r="F37" s="521"/>
      <c r="G37" s="521"/>
      <c r="H37" s="428">
        <f t="shared" si="2"/>
        <v>5921</v>
      </c>
      <c r="I37" s="247">
        <f t="shared" si="4"/>
        <v>0</v>
      </c>
      <c r="J37" s="52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U13" sqref="U13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2020-02-18T09:36:23Z</cp:lastPrinted>
  <dcterms:created xsi:type="dcterms:W3CDTF">2015-01-02T09:20:21Z</dcterms:created>
  <dcterms:modified xsi:type="dcterms:W3CDTF">2020-03-05T05:56:54Z</dcterms:modified>
</cp:coreProperties>
</file>