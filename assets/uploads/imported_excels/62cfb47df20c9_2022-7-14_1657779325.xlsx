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3" i="3" l="1"/>
  <c r="E181" i="1" l="1"/>
  <c r="E180" i="1"/>
  <c r="K168" i="3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<sst xmlns="http://schemas.openxmlformats.org/spreadsheetml/2006/main" count="605" uniqueCount="75">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</sst>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70" workbookViewId="0">
      <selection activeCell="W185" sqref="W18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32">
        <v>2.4300000000000002</v>
      </c>
      <c r="G173" s="4">
        <f>'Gas Water'!M176</f>
        <v>1915</v>
      </c>
      <c r="H173" s="132">
        <v>16.5</v>
      </c>
      <c r="I173" s="2">
        <f>'Gas Water'!L176</f>
        <v>287</v>
      </c>
      <c r="J173" s="132">
        <v>22.4</v>
      </c>
      <c r="K173" s="5">
        <v>157</v>
      </c>
      <c r="L173" s="5">
        <v>266</v>
      </c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32">
        <v>2.4300000000000002</v>
      </c>
      <c r="G174" s="4">
        <f>'Gas Water'!M177</f>
        <v>22731</v>
      </c>
      <c r="H174" s="132">
        <v>16.5</v>
      </c>
      <c r="I174" s="2">
        <f>'Gas Water'!L177</f>
        <v>324</v>
      </c>
      <c r="J174" s="132">
        <v>22.4</v>
      </c>
      <c r="K174" s="5">
        <v>157</v>
      </c>
      <c r="L174" s="5">
        <v>272</v>
      </c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32">
        <v>2.4300000000000002</v>
      </c>
      <c r="G175" s="4">
        <f>'Gas Water'!M178</f>
        <v>1890</v>
      </c>
      <c r="H175" s="132">
        <v>16.5</v>
      </c>
      <c r="I175" s="2">
        <f>'Gas Water'!L178</f>
        <v>324</v>
      </c>
      <c r="J175" s="132">
        <v>22.4</v>
      </c>
      <c r="K175" s="5">
        <v>144</v>
      </c>
      <c r="L175" s="5">
        <v>286</v>
      </c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32">
        <v>2.4300000000000002</v>
      </c>
      <c r="G176" s="4">
        <f>'Gas Water'!M179</f>
        <v>1760</v>
      </c>
      <c r="H176" s="132">
        <v>16.5</v>
      </c>
      <c r="I176" s="2">
        <f>'Gas Water'!L179</f>
        <v>286</v>
      </c>
      <c r="J176" s="132">
        <v>22.4</v>
      </c>
      <c r="K176" s="5">
        <v>154</v>
      </c>
      <c r="L176" s="5">
        <v>290</v>
      </c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32">
        <v>2.4300000000000002</v>
      </c>
      <c r="G177" s="4">
        <f>'Gas Water'!M180</f>
        <v>1951</v>
      </c>
      <c r="H177" s="132">
        <v>16.5</v>
      </c>
      <c r="I177" s="2">
        <f>'Gas Water'!L180</f>
        <v>281</v>
      </c>
      <c r="J177" s="132">
        <v>22.4</v>
      </c>
      <c r="K177" s="5">
        <v>142</v>
      </c>
      <c r="L177" s="5">
        <v>255</v>
      </c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32">
        <v>2.4300000000000002</v>
      </c>
      <c r="G178" s="4">
        <f>'Gas Water'!M181</f>
        <v>1802</v>
      </c>
      <c r="H178" s="132">
        <v>16.5</v>
      </c>
      <c r="I178" s="2">
        <f>'Gas Water'!L181</f>
        <v>311</v>
      </c>
      <c r="J178" s="132">
        <v>22.4</v>
      </c>
      <c r="K178" s="5">
        <v>133</v>
      </c>
      <c r="L178" s="5">
        <v>242</v>
      </c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32">
        <v>2.4300000000000002</v>
      </c>
      <c r="G179" s="4">
        <f>'Gas Water'!M182</f>
        <v>1826</v>
      </c>
      <c r="H179" s="132">
        <v>16.5</v>
      </c>
      <c r="I179" s="2">
        <f>'Gas Water'!L182</f>
        <v>324</v>
      </c>
      <c r="J179" s="132">
        <v>22.4</v>
      </c>
      <c r="K179" s="5">
        <v>141</v>
      </c>
      <c r="L179" s="5">
        <v>271</v>
      </c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32">
        <v>2.4300000000000002</v>
      </c>
      <c r="G180" s="4">
        <f>'Gas Water'!M183</f>
        <v>1987</v>
      </c>
      <c r="H180" s="132">
        <v>16.5</v>
      </c>
      <c r="I180" s="2">
        <f>'Gas Water'!L183</f>
        <v>268</v>
      </c>
      <c r="J180" s="132">
        <v>22.4</v>
      </c>
      <c r="K180" s="5">
        <v>140</v>
      </c>
      <c r="L180" s="5">
        <v>275</v>
      </c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32">
        <v>2.4300000000000002</v>
      </c>
      <c r="G181" s="4">
        <f>'Gas Water'!M184</f>
        <v>1921</v>
      </c>
      <c r="H181" s="132">
        <v>16.5</v>
      </c>
      <c r="I181" s="2">
        <f>'Gas Water'!L184</f>
        <v>292</v>
      </c>
      <c r="J181" s="132">
        <v>22.4</v>
      </c>
      <c r="K181" s="5">
        <v>142</v>
      </c>
      <c r="L181" s="5">
        <v>294</v>
      </c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32">
        <v>2.4300000000000002</v>
      </c>
      <c r="G182" s="4">
        <f>'Gas Water'!M185</f>
        <v>1749</v>
      </c>
      <c r="H182" s="132">
        <v>16.5</v>
      </c>
      <c r="I182" s="2">
        <f>'Gas Water'!L185</f>
        <v>281</v>
      </c>
      <c r="J182" s="132">
        <v>22.4</v>
      </c>
      <c r="K182" s="5">
        <v>130</v>
      </c>
      <c r="L182" s="5">
        <v>264</v>
      </c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32">
        <v>2.4300000000000002</v>
      </c>
      <c r="G183" s="4">
        <f>'Gas Water'!M186</f>
        <v>1735</v>
      </c>
      <c r="H183" s="132">
        <v>16.5</v>
      </c>
      <c r="I183" s="2">
        <f>'Gas Water'!L186</f>
        <v>308</v>
      </c>
      <c r="J183" s="132">
        <v>22.4</v>
      </c>
      <c r="K183" s="5">
        <v>133</v>
      </c>
      <c r="L183" s="5">
        <v>261</v>
      </c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32">
        <v>2.4300000000000002</v>
      </c>
      <c r="G184" s="4">
        <f>'Gas Water'!M187</f>
        <v>1765</v>
      </c>
      <c r="H184" s="132">
        <v>16.5</v>
      </c>
      <c r="I184" s="2">
        <f>'Gas Water'!L187</f>
        <v>301</v>
      </c>
      <c r="J184" s="132">
        <v>22.4</v>
      </c>
      <c r="K184" s="5">
        <v>157</v>
      </c>
      <c r="L184" s="5">
        <v>295</v>
      </c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32">
        <v>2.4300000000000002</v>
      </c>
      <c r="G185" s="4">
        <f>'Gas Water'!M188</f>
        <v>1955</v>
      </c>
      <c r="H185" s="132">
        <v>16.5</v>
      </c>
      <c r="I185" s="2">
        <f>'Gas Water'!L188</f>
        <v>323</v>
      </c>
      <c r="J185" s="132">
        <v>22.4</v>
      </c>
      <c r="K185" s="5">
        <v>149</v>
      </c>
      <c r="L185" s="5">
        <v>296</v>
      </c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32">
        <v>2.4300000000000002</v>
      </c>
      <c r="G186" s="4">
        <f>'Gas Water'!M189</f>
        <v>1731</v>
      </c>
      <c r="H186" s="132">
        <v>16.5</v>
      </c>
      <c r="I186" s="2">
        <f>'Gas Water'!L189</f>
        <v>273</v>
      </c>
      <c r="J186" s="132">
        <v>22.4</v>
      </c>
      <c r="K186" s="5">
        <v>157</v>
      </c>
      <c r="L186" s="5">
        <v>290</v>
      </c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32">
        <v>2.4300000000000002</v>
      </c>
      <c r="G187" s="4">
        <f>'Gas Water'!M190</f>
        <v>1863</v>
      </c>
      <c r="H187" s="132">
        <v>16.5</v>
      </c>
      <c r="I187" s="2">
        <f>'Gas Water'!L190</f>
        <v>374</v>
      </c>
      <c r="J187" s="132">
        <v>22.4</v>
      </c>
      <c r="K187" s="5">
        <v>145</v>
      </c>
      <c r="L187" s="5">
        <v>255</v>
      </c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32">
        <v>2.4300000000000002</v>
      </c>
      <c r="G188" s="4">
        <f>'Gas Water'!M191</f>
        <v>1805</v>
      </c>
      <c r="H188" s="132">
        <v>16.5</v>
      </c>
      <c r="I188" s="2">
        <f>'Gas Water'!L191</f>
        <v>415</v>
      </c>
      <c r="J188" s="132">
        <v>22.4</v>
      </c>
      <c r="K188" s="5">
        <v>136</v>
      </c>
      <c r="L188" s="5">
        <v>263</v>
      </c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32">
        <v>2.4300000000000002</v>
      </c>
      <c r="G189" s="4">
        <f>'Gas Water'!M192</f>
        <v>1713</v>
      </c>
      <c r="H189" s="132">
        <v>16.5</v>
      </c>
      <c r="I189" s="2">
        <f>'Gas Water'!L192</f>
        <v>284</v>
      </c>
      <c r="J189" s="132">
        <v>22.4</v>
      </c>
      <c r="K189" s="5">
        <v>166</v>
      </c>
      <c r="L189" s="5">
        <v>307</v>
      </c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32">
        <v>2.4300000000000002</v>
      </c>
      <c r="G190" s="4">
        <f>'Gas Water'!M193</f>
        <v>1713</v>
      </c>
      <c r="H190" s="132">
        <v>16.5</v>
      </c>
      <c r="I190" s="2">
        <f>'Gas Water'!L193</f>
        <v>301</v>
      </c>
      <c r="J190" s="132">
        <v>22.4</v>
      </c>
      <c r="K190" s="5">
        <v>162</v>
      </c>
      <c r="L190" s="5">
        <v>278</v>
      </c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32">
        <v>2.4300000000000002</v>
      </c>
      <c r="G191" s="4">
        <f>'Gas Water'!M194</f>
        <v>1701</v>
      </c>
      <c r="H191" s="132">
        <v>16.5</v>
      </c>
      <c r="I191" s="2">
        <f>'Gas Water'!L194</f>
        <v>309</v>
      </c>
      <c r="J191" s="132">
        <v>22.4</v>
      </c>
      <c r="K191" s="5">
        <v>149</v>
      </c>
      <c r="L191" s="5">
        <v>255</v>
      </c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32">
        <v>2.4300000000000002</v>
      </c>
      <c r="G192" s="4">
        <f>'Gas Water'!M195</f>
        <v>1818</v>
      </c>
      <c r="H192" s="132">
        <v>16.5</v>
      </c>
      <c r="I192" s="2">
        <f>'Gas Water'!L195</f>
        <v>228</v>
      </c>
      <c r="J192" s="132">
        <v>22.4</v>
      </c>
      <c r="K192" s="5">
        <v>142</v>
      </c>
      <c r="L192" s="5">
        <v>251</v>
      </c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32">
        <v>2.4300000000000002</v>
      </c>
      <c r="G193" s="4">
        <f>'Gas Water'!M196</f>
        <v>1805</v>
      </c>
      <c r="H193" s="132">
        <v>16.5</v>
      </c>
      <c r="I193" s="2">
        <f>'Gas Water'!L196</f>
        <v>255</v>
      </c>
      <c r="J193" s="132">
        <v>22.4</v>
      </c>
      <c r="K193" s="5">
        <v>135</v>
      </c>
      <c r="L193" s="5">
        <v>287</v>
      </c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32">
        <v>2.4300000000000002</v>
      </c>
      <c r="G194" s="4">
        <f>'Gas Water'!M197</f>
        <v>1739</v>
      </c>
      <c r="H194" s="132">
        <v>16.5</v>
      </c>
      <c r="I194" s="2">
        <f>'Gas Water'!L197</f>
        <v>263</v>
      </c>
      <c r="J194" s="132">
        <v>22.4</v>
      </c>
      <c r="K194" s="5">
        <v>152</v>
      </c>
      <c r="L194" s="5">
        <v>311</v>
      </c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32">
        <v>2.4300000000000002</v>
      </c>
      <c r="G195" s="4">
        <f>'Gas Water'!M198</f>
        <v>1769</v>
      </c>
      <c r="H195" s="132">
        <v>16.5</v>
      </c>
      <c r="I195" s="2">
        <f>'Gas Water'!L198</f>
        <v>275</v>
      </c>
      <c r="J195" s="132">
        <v>22.4</v>
      </c>
      <c r="K195" s="5">
        <v>146</v>
      </c>
      <c r="L195" s="5">
        <v>293</v>
      </c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76" workbookViewId="0">
      <selection activeCell="I201" sqref="I201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14</v>
      </c>
      <c r="C1" s="44" t="s">
        <v>15</v>
      </c>
      <c r="D1" s="44" t="s">
        <v>16</v>
      </c>
      <c r="E1" s="44" t="s">
        <v>17</v>
      </c>
      <c r="F1" s="44" t="s">
        <v>18</v>
      </c>
      <c r="G1" s="44" t="s">
        <v>19</v>
      </c>
      <c r="H1" s="44" t="s">
        <v>20</v>
      </c>
      <c r="I1" s="44" t="s">
        <v>21</v>
      </c>
      <c r="J1" s="44" t="s">
        <v>22</v>
      </c>
      <c r="K1" s="44" t="s">
        <v>23</v>
      </c>
      <c r="L1" s="44" t="s">
        <v>24</v>
      </c>
      <c r="M1" s="44" t="s">
        <v>25</v>
      </c>
      <c r="N1" s="44" t="s">
        <v>26</v>
      </c>
      <c r="O1" s="44" t="s">
        <v>27</v>
      </c>
      <c r="P1" s="45"/>
      <c r="Q1" s="45"/>
      <c r="T1" s="156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6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6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6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6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6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6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6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6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6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7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7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6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6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6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7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7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6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6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6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28</v>
      </c>
      <c r="Q21" s="166"/>
      <c r="R21" s="19">
        <f t="shared" si="7"/>
        <v>1</v>
      </c>
      <c r="S21" s="19">
        <f t="shared" si="8"/>
        <v>0</v>
      </c>
      <c r="T21" s="157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7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29</v>
      </c>
      <c r="Q23" s="65" t="s">
        <v>30</v>
      </c>
      <c r="R23" s="19">
        <f>IF(N23="",0,1)</f>
        <v>1</v>
      </c>
      <c r="S23" s="19">
        <f t="shared" si="8"/>
        <v>0</v>
      </c>
      <c r="T23" s="156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6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6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31</v>
      </c>
      <c r="Q26" s="69" t="s">
        <v>32</v>
      </c>
      <c r="R26" s="19">
        <f t="shared" si="7"/>
        <v>1</v>
      </c>
      <c r="S26" s="19">
        <f t="shared" si="8"/>
        <v>0</v>
      </c>
      <c r="T26" s="157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7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33</v>
      </c>
      <c r="Q28" s="73" t="s">
        <v>34</v>
      </c>
      <c r="R28" s="19">
        <f t="shared" si="7"/>
        <v>1</v>
      </c>
      <c r="S28" s="19">
        <f t="shared" si="8"/>
        <v>0</v>
      </c>
      <c r="T28" s="156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6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8" t="s">
        <v>35</v>
      </c>
      <c r="Q30" s="159" t="s">
        <v>36</v>
      </c>
      <c r="R30" s="19">
        <f t="shared" si="7"/>
        <v>1</v>
      </c>
      <c r="S30" s="19">
        <f t="shared" si="8"/>
        <v>0</v>
      </c>
      <c r="T30" s="157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7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0" t="s">
        <v>37</v>
      </c>
      <c r="Q32" s="161" t="s">
        <v>38</v>
      </c>
      <c r="R32" s="19">
        <f t="shared" si="7"/>
        <v>1</v>
      </c>
      <c r="S32" s="19">
        <f t="shared" si="8"/>
        <v>0</v>
      </c>
      <c r="T32" s="157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6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39</v>
      </c>
      <c r="Q34" s="87">
        <v>0.56999999999999995</v>
      </c>
      <c r="R34" s="19">
        <f t="shared" si="7"/>
        <v>1</v>
      </c>
      <c r="S34" s="19">
        <f t="shared" si="8"/>
        <v>0</v>
      </c>
      <c r="T34" s="156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6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7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7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6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6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6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7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7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6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6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6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7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7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6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40</v>
      </c>
      <c r="Q49" s="166"/>
      <c r="R49" s="19">
        <f t="shared" si="7"/>
        <v>1</v>
      </c>
      <c r="S49" s="19">
        <f t="shared" si="8"/>
        <v>0</v>
      </c>
      <c r="T49" s="156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6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29</v>
      </c>
      <c r="Q51" s="65" t="s">
        <v>30</v>
      </c>
      <c r="R51" s="19">
        <f t="shared" si="7"/>
        <v>1</v>
      </c>
      <c r="S51" s="19">
        <f t="shared" si="8"/>
        <v>0</v>
      </c>
      <c r="T51" s="157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7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6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31</v>
      </c>
      <c r="Q54" s="69" t="s">
        <v>32</v>
      </c>
      <c r="R54" s="19">
        <f t="shared" si="7"/>
        <v>1</v>
      </c>
      <c r="S54" s="19">
        <f t="shared" si="8"/>
        <v>0</v>
      </c>
      <c r="T54" s="156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7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33</v>
      </c>
      <c r="Q56" s="73" t="s">
        <v>41</v>
      </c>
      <c r="R56" s="19">
        <f t="shared" si="7"/>
        <v>1</v>
      </c>
      <c r="S56" s="19">
        <f t="shared" si="8"/>
        <v>0</v>
      </c>
      <c r="T56" s="157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7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8" t="s">
        <v>35</v>
      </c>
      <c r="Q58" s="159" t="s">
        <v>42</v>
      </c>
      <c r="R58" s="19">
        <f t="shared" si="7"/>
        <v>1</v>
      </c>
      <c r="S58" s="19">
        <f t="shared" si="8"/>
        <v>0</v>
      </c>
      <c r="T58" s="157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6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0" t="s">
        <v>37</v>
      </c>
      <c r="Q60" s="161" t="s">
        <v>38</v>
      </c>
      <c r="R60" s="19">
        <f t="shared" si="7"/>
        <v>1</v>
      </c>
      <c r="S60" s="19">
        <f t="shared" si="8"/>
        <v>0</v>
      </c>
      <c r="T60" s="156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6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6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39</v>
      </c>
      <c r="Q63" s="87">
        <v>0.56999999999999995</v>
      </c>
      <c r="R63" s="19">
        <f t="shared" si="7"/>
        <v>1</v>
      </c>
      <c r="S63" s="19">
        <f t="shared" si="8"/>
        <v>0</v>
      </c>
      <c r="T63" s="156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6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7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7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6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6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6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7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7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6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6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6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7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7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6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6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6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7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43</v>
      </c>
      <c r="Q81" s="166"/>
      <c r="R81" s="19">
        <f t="shared" si="39"/>
        <v>1</v>
      </c>
      <c r="S81" s="19">
        <f t="shared" si="40"/>
        <v>0</v>
      </c>
      <c r="T81" s="157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6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29</v>
      </c>
      <c r="Q83" s="65" t="s">
        <v>30</v>
      </c>
      <c r="R83" s="19">
        <f t="shared" si="39"/>
        <v>1</v>
      </c>
      <c r="S83" s="19">
        <f t="shared" si="40"/>
        <v>0</v>
      </c>
      <c r="T83" s="156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7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7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31</v>
      </c>
      <c r="Q86" s="69" t="s">
        <v>32</v>
      </c>
      <c r="R86" s="19">
        <f t="shared" si="39"/>
        <v>1</v>
      </c>
      <c r="S86" s="19">
        <f t="shared" si="40"/>
        <v>0</v>
      </c>
      <c r="T86" s="157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7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33</v>
      </c>
      <c r="Q88" s="73" t="s">
        <v>41</v>
      </c>
      <c r="R88" s="19">
        <f t="shared" si="39"/>
        <v>1</v>
      </c>
      <c r="S88" s="19">
        <f t="shared" si="40"/>
        <v>0</v>
      </c>
      <c r="T88" s="156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6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8" t="s">
        <v>35</v>
      </c>
      <c r="Q90" s="159" t="s">
        <v>42</v>
      </c>
      <c r="R90" s="19">
        <f t="shared" si="39"/>
        <v>1</v>
      </c>
      <c r="S90" s="19">
        <f t="shared" si="40"/>
        <v>0</v>
      </c>
      <c r="T90" s="157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7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0" t="s">
        <v>37</v>
      </c>
      <c r="Q92" s="161" t="s">
        <v>38</v>
      </c>
      <c r="R92" s="19">
        <f t="shared" si="39"/>
        <v>1</v>
      </c>
      <c r="S92" s="19">
        <f t="shared" si="40"/>
        <v>0</v>
      </c>
      <c r="T92" s="157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6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39</v>
      </c>
      <c r="Q94" s="87">
        <v>0.56999999999999995</v>
      </c>
      <c r="R94" s="19">
        <f>IF(N94="",0,1)</f>
        <v>1</v>
      </c>
      <c r="S94" s="19">
        <f>IF(N94="",1,0)</f>
        <v>0</v>
      </c>
      <c r="T94" s="156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6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7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7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6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6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6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7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7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6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6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6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7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7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6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6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6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44</v>
      </c>
      <c r="Q111" s="166"/>
      <c r="R111" s="19">
        <f t="shared" si="61"/>
        <v>1</v>
      </c>
      <c r="S111" s="19">
        <f t="shared" si="40"/>
        <v>0</v>
      </c>
      <c r="T111" s="157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7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29</v>
      </c>
      <c r="Q113" s="65" t="s">
        <v>30</v>
      </c>
      <c r="R113" s="19">
        <f t="shared" si="61"/>
        <v>1</v>
      </c>
      <c r="S113" s="19">
        <f t="shared" si="40"/>
        <v>0</v>
      </c>
      <c r="T113" s="156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6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7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31</v>
      </c>
      <c r="Q116" s="69" t="s">
        <v>32</v>
      </c>
      <c r="R116" s="19">
        <f t="shared" si="61"/>
        <v>1</v>
      </c>
      <c r="S116" s="19">
        <f t="shared" si="40"/>
        <v>0</v>
      </c>
      <c r="T116" s="157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7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33</v>
      </c>
      <c r="Q118" s="73" t="s">
        <v>41</v>
      </c>
      <c r="R118" s="19">
        <f t="shared" si="61"/>
        <v>1</v>
      </c>
      <c r="S118" s="19">
        <f t="shared" si="40"/>
        <v>0</v>
      </c>
      <c r="T118" s="157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6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8" t="s">
        <v>35</v>
      </c>
      <c r="Q120" s="159" t="s">
        <v>42</v>
      </c>
      <c r="R120" s="19">
        <f t="shared" si="61"/>
        <v>1</v>
      </c>
      <c r="S120" s="19">
        <f t="shared" si="40"/>
        <v>0</v>
      </c>
      <c r="T120" s="156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7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0" t="s">
        <v>37</v>
      </c>
      <c r="Q122" s="161" t="s">
        <v>38</v>
      </c>
      <c r="R122" s="19">
        <f t="shared" si="61"/>
        <v>1</v>
      </c>
      <c r="S122" s="19">
        <f t="shared" si="40"/>
        <v>0</v>
      </c>
      <c r="T122" s="157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6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39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6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6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7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7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6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6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6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7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7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6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6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6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7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7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6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6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6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7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45</v>
      </c>
      <c r="Q142" s="166"/>
      <c r="R142" s="19">
        <f t="shared" si="61"/>
        <v>1</v>
      </c>
      <c r="S142" s="19">
        <f t="shared" si="71"/>
        <v>0</v>
      </c>
      <c r="T142" s="157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6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29</v>
      </c>
      <c r="Q144" s="65" t="s">
        <v>30</v>
      </c>
      <c r="R144" s="19">
        <f t="shared" si="61"/>
        <v>1</v>
      </c>
      <c r="S144" s="19">
        <f t="shared" si="71"/>
        <v>0</v>
      </c>
      <c r="T144" s="156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7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7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31</v>
      </c>
      <c r="Q147" s="69" t="s">
        <v>32</v>
      </c>
      <c r="R147" s="19">
        <f t="shared" si="61"/>
        <v>1</v>
      </c>
      <c r="S147" s="19">
        <f t="shared" si="71"/>
        <v>0</v>
      </c>
      <c r="T147" s="157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7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33</v>
      </c>
      <c r="Q149" s="73" t="s">
        <v>41</v>
      </c>
      <c r="R149" s="19">
        <f t="shared" si="61"/>
        <v>1</v>
      </c>
      <c r="S149" s="19">
        <f t="shared" si="71"/>
        <v>0</v>
      </c>
      <c r="T149" s="156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6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8" t="s">
        <v>35</v>
      </c>
      <c r="Q151" s="159" t="s">
        <v>42</v>
      </c>
      <c r="R151" s="19">
        <f t="shared" si="61"/>
        <v>1</v>
      </c>
      <c r="S151" s="19">
        <f t="shared" si="71"/>
        <v>0</v>
      </c>
      <c r="T151" s="156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6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0" t="s">
        <v>37</v>
      </c>
      <c r="Q153" s="161" t="s">
        <v>38</v>
      </c>
      <c r="R153" s="19">
        <f t="shared" si="61"/>
        <v>1</v>
      </c>
      <c r="S153" s="19">
        <f t="shared" si="71"/>
        <v>0</v>
      </c>
      <c r="T153" s="156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6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39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6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6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7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7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6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6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6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7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7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6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6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6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7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7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6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6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6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46</v>
      </c>
      <c r="Q172" s="166"/>
      <c r="R172" s="19">
        <f t="shared" si="78"/>
        <v>1</v>
      </c>
      <c r="S172" s="19">
        <f t="shared" si="71"/>
        <v>0</v>
      </c>
      <c r="T172" s="157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7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29</v>
      </c>
      <c r="Q174" s="65" t="s">
        <v>30</v>
      </c>
      <c r="R174" s="19">
        <f t="shared" si="78"/>
        <v>1</v>
      </c>
      <c r="S174" s="19">
        <f t="shared" si="71"/>
        <v>0</v>
      </c>
      <c r="T174" s="156"/>
    </row>
    <row r="175" spans="1:20" ht="15.75" thickBot="1" x14ac:dyDescent="0.3">
      <c r="A175" s="51">
        <v>44733</v>
      </c>
      <c r="D175" s="136">
        <v>0.14199999999999999</v>
      </c>
      <c r="E175" s="137">
        <v>2914.82</v>
      </c>
      <c r="F175" s="138">
        <v>84.641000000000005</v>
      </c>
      <c r="G175" s="56"/>
      <c r="H175" s="56">
        <v>4140</v>
      </c>
      <c r="I175" s="56">
        <f t="shared" si="76"/>
        <v>33562.97999999988</v>
      </c>
      <c r="J175" s="56">
        <f t="shared" si="77"/>
        <v>1175.760000000025</v>
      </c>
      <c r="K175" s="57">
        <f t="shared" si="72"/>
        <v>3.5031454298755031E-2</v>
      </c>
      <c r="L175" s="56">
        <f t="shared" si="73"/>
        <v>1175.760000000025</v>
      </c>
      <c r="M175" s="57">
        <f t="shared" si="74"/>
        <v>3.5031454298755031E-2</v>
      </c>
      <c r="N175" s="58">
        <v>66068309</v>
      </c>
      <c r="O175" s="58">
        <f t="shared" si="70"/>
        <v>0</v>
      </c>
      <c r="P175" s="66">
        <f>IF(J155="",0,+SUM(J155:J184)/SUM(I155:I184))</f>
        <v>3.1999116701698659E-2</v>
      </c>
      <c r="Q175" s="66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56"/>
    </row>
    <row r="176" spans="1:20" ht="15.75" thickBot="1" x14ac:dyDescent="0.3">
      <c r="A176" s="51">
        <v>44734</v>
      </c>
      <c r="D176" s="136">
        <v>0.14199999999999999</v>
      </c>
      <c r="E176" s="137">
        <v>2923.3780000000002</v>
      </c>
      <c r="F176" s="138">
        <v>84.912999999999997</v>
      </c>
      <c r="G176" s="56"/>
      <c r="H176" s="56">
        <v>4140</v>
      </c>
      <c r="I176" s="56">
        <f t="shared" si="76"/>
        <v>35430.119999999966</v>
      </c>
      <c r="J176" s="56">
        <f t="shared" si="77"/>
        <v>1126.0799999999642</v>
      </c>
      <c r="K176" s="57">
        <f t="shared" si="72"/>
        <v>3.1783126898807156E-2</v>
      </c>
      <c r="L176" s="56">
        <f t="shared" si="73"/>
        <v>1126.0799999999642</v>
      </c>
      <c r="M176" s="57">
        <f t="shared" si="74"/>
        <v>3.1783126898807156E-2</v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7"/>
    </row>
    <row r="177" spans="1:20" ht="15.75" thickBot="1" x14ac:dyDescent="0.3">
      <c r="A177" s="51">
        <v>44735</v>
      </c>
      <c r="D177" s="136">
        <v>0.14199999999999999</v>
      </c>
      <c r="E177" s="137">
        <v>2931.83</v>
      </c>
      <c r="F177" s="138">
        <v>85.177999999999997</v>
      </c>
      <c r="G177" s="56"/>
      <c r="H177" s="56">
        <v>4140</v>
      </c>
      <c r="I177" s="56">
        <f t="shared" si="76"/>
        <v>34991.279999999053</v>
      </c>
      <c r="J177" s="56">
        <f t="shared" si="77"/>
        <v>1097.1000000000024</v>
      </c>
      <c r="K177" s="57">
        <f t="shared" si="72"/>
        <v>3.1353525792712701E-2</v>
      </c>
      <c r="L177" s="56">
        <f t="shared" si="73"/>
        <v>1097.1000000000024</v>
      </c>
      <c r="M177" s="57">
        <f t="shared" si="74"/>
        <v>3.1353525792712701E-2</v>
      </c>
      <c r="N177" s="58">
        <v>66068309</v>
      </c>
      <c r="O177" s="58">
        <f t="shared" si="70"/>
        <v>0</v>
      </c>
      <c r="P177" s="68" t="s">
        <v>31</v>
      </c>
      <c r="Q177" s="69" t="s">
        <v>32</v>
      </c>
      <c r="R177" s="19">
        <f t="shared" si="78"/>
        <v>1</v>
      </c>
      <c r="S177" s="19">
        <f t="shared" si="71"/>
        <v>0</v>
      </c>
      <c r="T177" s="157"/>
    </row>
    <row r="178" spans="1:20" x14ac:dyDescent="0.25">
      <c r="A178" s="51">
        <v>44736</v>
      </c>
      <c r="D178" s="136">
        <v>0.14199999999999999</v>
      </c>
      <c r="E178" s="137">
        <v>2939.4340000000002</v>
      </c>
      <c r="F178" s="138">
        <v>85.340999999999994</v>
      </c>
      <c r="G178" s="56"/>
      <c r="H178" s="56">
        <v>4140</v>
      </c>
      <c r="I178" s="56">
        <f t="shared" si="76"/>
        <v>31480.560000001115</v>
      </c>
      <c r="J178" s="56">
        <f t="shared" si="77"/>
        <v>674.81999999998629</v>
      </c>
      <c r="K178" s="57">
        <f t="shared" si="72"/>
        <v>2.1436086270382813E-2</v>
      </c>
      <c r="L178" s="56">
        <f t="shared" si="73"/>
        <v>674.81999999998629</v>
      </c>
      <c r="M178" s="57">
        <f t="shared" si="74"/>
        <v>2.1436086270382813E-2</v>
      </c>
      <c r="N178" s="58">
        <v>66068309</v>
      </c>
      <c r="O178" s="58">
        <f t="shared" si="70"/>
        <v>0</v>
      </c>
      <c r="P178" s="70">
        <f>IF(D155="",0,+(LOOKUP(9.99999999999999E+307,N154:N184)-N154))</f>
        <v>3710</v>
      </c>
      <c r="Q178" s="71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57"/>
    </row>
    <row r="179" spans="1:20" x14ac:dyDescent="0.25">
      <c r="A179" s="51">
        <v>44737</v>
      </c>
      <c r="D179" s="136">
        <v>0.14199999999999999</v>
      </c>
      <c r="E179" s="137">
        <v>2947.41</v>
      </c>
      <c r="F179" s="138">
        <v>85.587000000000003</v>
      </c>
      <c r="G179" s="56"/>
      <c r="H179" s="56">
        <v>4140</v>
      </c>
      <c r="I179" s="56">
        <f t="shared" si="76"/>
        <v>33020.639999998588</v>
      </c>
      <c r="J179" s="56">
        <f t="shared" si="77"/>
        <v>1018.4400000000386</v>
      </c>
      <c r="K179" s="57">
        <f t="shared" si="72"/>
        <v>3.0842527582750731E-2</v>
      </c>
      <c r="L179" s="56">
        <f t="shared" si="73"/>
        <v>1018.4400000000386</v>
      </c>
      <c r="M179" s="57">
        <f t="shared" si="74"/>
        <v>3.0842527582750731E-2</v>
      </c>
      <c r="N179" s="58">
        <v>66068309</v>
      </c>
      <c r="O179" s="58">
        <f t="shared" si="70"/>
        <v>0</v>
      </c>
      <c r="P179" s="72" t="s">
        <v>33</v>
      </c>
      <c r="Q179" s="73" t="s">
        <v>41</v>
      </c>
      <c r="R179" s="19">
        <f t="shared" si="78"/>
        <v>1</v>
      </c>
      <c r="S179" s="19">
        <f t="shared" si="71"/>
        <v>0</v>
      </c>
      <c r="T179" s="157"/>
    </row>
    <row r="180" spans="1:20" x14ac:dyDescent="0.25">
      <c r="A180" s="51">
        <v>44738</v>
      </c>
      <c r="D180" s="136">
        <v>0.14199999999999999</v>
      </c>
      <c r="E180" s="137">
        <v>2954.7359999999999</v>
      </c>
      <c r="F180" s="138">
        <v>85.847999999999999</v>
      </c>
      <c r="G180" s="56"/>
      <c r="H180" s="56">
        <v>4140</v>
      </c>
      <c r="I180" s="56">
        <f t="shared" si="76"/>
        <v>30329.64000000009</v>
      </c>
      <c r="J180" s="56">
        <f t="shared" si="77"/>
        <v>1080.5399999999822</v>
      </c>
      <c r="K180" s="57">
        <f t="shared" si="72"/>
        <v>3.5626535626534936E-2</v>
      </c>
      <c r="L180" s="56">
        <f t="shared" si="73"/>
        <v>1080.5399999999822</v>
      </c>
      <c r="M180" s="57">
        <f t="shared" si="74"/>
        <v>3.5626535626534936E-2</v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6"/>
    </row>
    <row r="181" spans="1:20" x14ac:dyDescent="0.25">
      <c r="A181" s="51">
        <v>44739</v>
      </c>
      <c r="D181" s="136">
        <v>0.14199999999999999</v>
      </c>
      <c r="E181" s="137">
        <v>2962.9270000000001</v>
      </c>
      <c r="F181" s="138">
        <v>86.031000000000006</v>
      </c>
      <c r="G181" s="56"/>
      <c r="H181" s="56">
        <v>4140</v>
      </c>
      <c r="I181" s="56">
        <f t="shared" si="76"/>
        <v>33910.740000001068</v>
      </c>
      <c r="J181" s="56">
        <f t="shared" si="77"/>
        <v>757.62000000002877</v>
      </c>
      <c r="K181" s="57">
        <f t="shared" si="72"/>
        <v>2.2341594432914318E-2</v>
      </c>
      <c r="L181" s="56">
        <f t="shared" si="73"/>
        <v>757.62000000002877</v>
      </c>
      <c r="M181" s="57">
        <f t="shared" si="74"/>
        <v>2.2341594432914318E-2</v>
      </c>
      <c r="N181" s="58">
        <v>66068309</v>
      </c>
      <c r="O181" s="58">
        <f t="shared" si="70"/>
        <v>0</v>
      </c>
      <c r="P181" s="158" t="s">
        <v>35</v>
      </c>
      <c r="Q181" s="159" t="s">
        <v>42</v>
      </c>
      <c r="R181" s="19">
        <f t="shared" si="78"/>
        <v>1</v>
      </c>
      <c r="S181" s="19">
        <f t="shared" si="71"/>
        <v>0</v>
      </c>
      <c r="T181" s="156"/>
    </row>
    <row r="182" spans="1:20" x14ac:dyDescent="0.25">
      <c r="A182" s="51">
        <v>44740</v>
      </c>
      <c r="D182" s="136">
        <v>0.14199999999999999</v>
      </c>
      <c r="E182" s="137">
        <v>2970.87</v>
      </c>
      <c r="F182" s="138">
        <v>86.284999999999997</v>
      </c>
      <c r="G182" s="56"/>
      <c r="H182" s="56">
        <v>4140</v>
      </c>
      <c r="I182" s="56">
        <f t="shared" si="76"/>
        <v>32884.019999998993</v>
      </c>
      <c r="J182" s="56">
        <f t="shared" si="77"/>
        <v>1051.5599999999613</v>
      </c>
      <c r="K182" s="57">
        <f t="shared" si="72"/>
        <v>3.1977842125141438E-2</v>
      </c>
      <c r="L182" s="56">
        <f t="shared" si="73"/>
        <v>1051.5599999999613</v>
      </c>
      <c r="M182" s="57">
        <f t="shared" si="74"/>
        <v>3.1977842125141438E-2</v>
      </c>
      <c r="N182" s="58">
        <v>66072019</v>
      </c>
      <c r="O182" s="58">
        <f t="shared" si="70"/>
        <v>3710</v>
      </c>
      <c r="P182" s="76">
        <f>P180*Q185</f>
        <v>0</v>
      </c>
      <c r="Q182" s="77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56"/>
    </row>
    <row r="183" spans="1:20" x14ac:dyDescent="0.25">
      <c r="A183" s="51">
        <v>44741</v>
      </c>
      <c r="D183" s="136">
        <v>0.14199999999999999</v>
      </c>
      <c r="E183" s="137">
        <v>2979.3980000000001</v>
      </c>
      <c r="F183" s="138">
        <v>86.554000000000002</v>
      </c>
      <c r="G183" s="56"/>
      <c r="H183" s="56">
        <v>4140</v>
      </c>
      <c r="I183" s="56">
        <f t="shared" si="76"/>
        <v>35305.920000001024</v>
      </c>
      <c r="J183" s="56">
        <f t="shared" si="77"/>
        <v>1113.6600000000226</v>
      </c>
      <c r="K183" s="57">
        <f t="shared" si="72"/>
        <v>3.1543151969980962E-2</v>
      </c>
      <c r="L183" s="56">
        <f t="shared" si="73"/>
        <v>1113.6600000000226</v>
      </c>
      <c r="M183" s="57">
        <f t="shared" si="74"/>
        <v>3.1543151969980962E-2</v>
      </c>
      <c r="N183" s="58">
        <v>66072019</v>
      </c>
      <c r="O183" s="58">
        <f t="shared" si="70"/>
        <v>0</v>
      </c>
      <c r="P183" s="160" t="s">
        <v>37</v>
      </c>
      <c r="Q183" s="161" t="s">
        <v>38</v>
      </c>
      <c r="R183" s="19">
        <f t="shared" si="78"/>
        <v>1</v>
      </c>
      <c r="S183" s="19">
        <f t="shared" si="71"/>
        <v>0</v>
      </c>
      <c r="T183" s="156"/>
    </row>
    <row r="184" spans="1:20" x14ac:dyDescent="0.25">
      <c r="A184" s="51">
        <v>44742</v>
      </c>
      <c r="D184" s="136">
        <v>0.14199999999999999</v>
      </c>
      <c r="E184" s="137">
        <v>2987.8969999999999</v>
      </c>
      <c r="F184" s="138">
        <v>86.822999999999993</v>
      </c>
      <c r="G184" s="81"/>
      <c r="H184" s="56">
        <v>4140</v>
      </c>
      <c r="I184" s="56">
        <f t="shared" si="76"/>
        <v>35185.859999999157</v>
      </c>
      <c r="J184" s="56">
        <f t="shared" si="77"/>
        <v>1113.6599999999637</v>
      </c>
      <c r="K184" s="57">
        <f t="shared" si="72"/>
        <v>3.1650782444993253E-2</v>
      </c>
      <c r="L184" s="56">
        <f t="shared" si="73"/>
        <v>1113.6599999999637</v>
      </c>
      <c r="M184" s="57">
        <f t="shared" si="74"/>
        <v>3.1650782444993253E-2</v>
      </c>
      <c r="N184" s="82">
        <v>66072019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6"/>
    </row>
    <row r="185" spans="1:20" x14ac:dyDescent="0.25">
      <c r="A185" s="51">
        <v>44743</v>
      </c>
      <c r="D185" s="136">
        <v>0.14199999999999999</v>
      </c>
      <c r="E185" s="137">
        <v>2997.36</v>
      </c>
      <c r="F185" s="138">
        <v>87.146000000000001</v>
      </c>
      <c r="G185" s="56"/>
      <c r="H185" s="56">
        <v>4140</v>
      </c>
      <c r="I185" s="56">
        <f t="shared" si="76"/>
        <v>39176.8200000008</v>
      </c>
      <c r="J185" s="56">
        <f t="shared" si="77"/>
        <v>1337.2200000000312</v>
      </c>
      <c r="K185" s="57">
        <f t="shared" si="72"/>
        <v>3.4132938814329591E-2</v>
      </c>
      <c r="L185" s="56">
        <f t="shared" si="73"/>
        <v>1337.2200000000312</v>
      </c>
      <c r="M185" s="57">
        <f t="shared" si="74"/>
        <v>3.4132938814329591E-2</v>
      </c>
      <c r="N185" s="58">
        <v>66072019</v>
      </c>
      <c r="O185" s="58">
        <f t="shared" si="70"/>
        <v>0</v>
      </c>
      <c r="P185" s="101" t="s">
        <v>39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6"/>
    </row>
    <row r="186" spans="1:20" x14ac:dyDescent="0.25">
      <c r="A186" s="51">
        <v>44744</v>
      </c>
      <c r="D186" s="136">
        <v>0.14199999999999999</v>
      </c>
      <c r="E186" s="137">
        <v>3006.6170000000002</v>
      </c>
      <c r="F186" s="138">
        <v>87.447999999999993</v>
      </c>
      <c r="G186" s="56"/>
      <c r="H186" s="56">
        <v>4140</v>
      </c>
      <c r="I186" s="56">
        <f t="shared" si="76"/>
        <v>38323.980000000258</v>
      </c>
      <c r="J186" s="56">
        <f t="shared" si="77"/>
        <v>1250.2799999999688</v>
      </c>
      <c r="K186" s="57">
        <f t="shared" si="72"/>
        <v>3.2623960246299065E-2</v>
      </c>
      <c r="L186" s="56">
        <f t="shared" si="73"/>
        <v>1250.2799999999688</v>
      </c>
      <c r="M186" s="57">
        <f t="shared" si="74"/>
        <v>3.2623960246299065E-2</v>
      </c>
      <c r="N186" s="58">
        <v>66072019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6"/>
    </row>
    <row r="187" spans="1:20" x14ac:dyDescent="0.25">
      <c r="A187" s="51">
        <v>44745</v>
      </c>
      <c r="D187" s="136">
        <v>0.14199999999999999</v>
      </c>
      <c r="E187" s="137">
        <v>3015.116</v>
      </c>
      <c r="F187" s="138">
        <v>87.731999999999999</v>
      </c>
      <c r="G187" s="56"/>
      <c r="H187" s="56">
        <v>4140</v>
      </c>
      <c r="I187" s="56">
        <f t="shared" si="76"/>
        <v>35185.859999999157</v>
      </c>
      <c r="J187" s="56">
        <f t="shared" si="77"/>
        <v>1175.760000000025</v>
      </c>
      <c r="K187" s="57">
        <f t="shared" si="72"/>
        <v>3.3415695964232599E-2</v>
      </c>
      <c r="L187" s="56">
        <f t="shared" si="73"/>
        <v>1175.760000000025</v>
      </c>
      <c r="M187" s="57">
        <f t="shared" si="74"/>
        <v>3.3415695964232599E-2</v>
      </c>
      <c r="N187" s="58">
        <v>66072019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7"/>
    </row>
    <row r="188" spans="1:20" x14ac:dyDescent="0.25">
      <c r="A188" s="51">
        <v>44746</v>
      </c>
      <c r="D188" s="136">
        <v>0.14199999999999999</v>
      </c>
      <c r="E188" s="137">
        <v>3023.663</v>
      </c>
      <c r="F188" s="138">
        <v>88.006</v>
      </c>
      <c r="G188" s="56"/>
      <c r="H188" s="56">
        <v>4140</v>
      </c>
      <c r="I188" s="56">
        <f t="shared" si="76"/>
        <v>35384.580000000104</v>
      </c>
      <c r="J188" s="56">
        <f t="shared" si="77"/>
        <v>1134.3600000000038</v>
      </c>
      <c r="K188" s="57">
        <f t="shared" si="72"/>
        <v>3.2058032058032072E-2</v>
      </c>
      <c r="L188" s="56">
        <f t="shared" si="73"/>
        <v>1134.3600000000038</v>
      </c>
      <c r="M188" s="57">
        <f t="shared" si="74"/>
        <v>3.2058032058032072E-2</v>
      </c>
      <c r="N188" s="58">
        <v>66072019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7"/>
    </row>
    <row r="189" spans="1:20" x14ac:dyDescent="0.25">
      <c r="A189" s="51">
        <v>44747</v>
      </c>
      <c r="D189" s="136">
        <v>0.14199999999999999</v>
      </c>
      <c r="E189" s="137">
        <v>3032.8440000000001</v>
      </c>
      <c r="F189" s="138">
        <v>88.366</v>
      </c>
      <c r="G189" s="56"/>
      <c r="H189" s="56">
        <v>4140</v>
      </c>
      <c r="I189" s="56">
        <f t="shared" si="76"/>
        <v>38009.340000000164</v>
      </c>
      <c r="J189" s="56">
        <f t="shared" si="77"/>
        <v>1490.3999999999976</v>
      </c>
      <c r="K189" s="57">
        <f t="shared" si="72"/>
        <v>3.92114148785533E-2</v>
      </c>
      <c r="L189" s="56">
        <f t="shared" si="73"/>
        <v>1490.3999999999976</v>
      </c>
      <c r="M189" s="57">
        <f t="shared" si="74"/>
        <v>3.92114148785533E-2</v>
      </c>
      <c r="N189" s="58">
        <v>66072019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6"/>
    </row>
    <row r="190" spans="1:20" x14ac:dyDescent="0.25">
      <c r="A190" s="51">
        <v>44748</v>
      </c>
      <c r="D190" s="136">
        <v>0.14199999999999999</v>
      </c>
      <c r="E190" s="137">
        <v>3041.8969999999999</v>
      </c>
      <c r="F190" s="138">
        <v>88.710999999999999</v>
      </c>
      <c r="G190" s="56"/>
      <c r="H190" s="56">
        <v>4140</v>
      </c>
      <c r="I190" s="56">
        <f t="shared" si="76"/>
        <v>37479.419999999518</v>
      </c>
      <c r="J190" s="56">
        <f t="shared" si="77"/>
        <v>1428.2999999999952</v>
      </c>
      <c r="K190" s="57">
        <f t="shared" si="72"/>
        <v>3.810891417209801E-2</v>
      </c>
      <c r="L190" s="56">
        <f t="shared" si="73"/>
        <v>1428.2999999999952</v>
      </c>
      <c r="M190" s="57">
        <f t="shared" si="74"/>
        <v>3.810891417209801E-2</v>
      </c>
      <c r="N190" s="58">
        <v>66072019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6"/>
    </row>
    <row r="191" spans="1:20" x14ac:dyDescent="0.25">
      <c r="A191" s="51">
        <v>44749</v>
      </c>
      <c r="D191" s="136">
        <v>0.14199999999999999</v>
      </c>
      <c r="E191" s="137">
        <v>3051.6460000000002</v>
      </c>
      <c r="F191" s="138">
        <v>89.05</v>
      </c>
      <c r="G191" s="56"/>
      <c r="H191" s="56">
        <v>4140</v>
      </c>
      <c r="I191" s="56">
        <f t="shared" si="76"/>
        <v>40360.860000001041</v>
      </c>
      <c r="J191" s="56">
        <f t="shared" si="77"/>
        <v>1403.4599999999944</v>
      </c>
      <c r="K191" s="57">
        <f t="shared" si="72"/>
        <v>3.4772797209969217E-2</v>
      </c>
      <c r="L191" s="56">
        <f t="shared" si="73"/>
        <v>1403.4599999999944</v>
      </c>
      <c r="M191" s="57">
        <f t="shared" si="74"/>
        <v>3.4772797209969217E-2</v>
      </c>
      <c r="N191" s="58">
        <v>66072019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6"/>
    </row>
    <row r="192" spans="1:20" x14ac:dyDescent="0.25">
      <c r="A192" s="51">
        <v>44750</v>
      </c>
      <c r="D192" s="136">
        <v>0.14199999999999999</v>
      </c>
      <c r="E192" s="137">
        <v>3059.84</v>
      </c>
      <c r="F192" s="138">
        <v>89.347999999999999</v>
      </c>
      <c r="G192" s="56"/>
      <c r="H192" s="56">
        <v>4140</v>
      </c>
      <c r="I192" s="56">
        <f t="shared" si="76"/>
        <v>33923.159999999836</v>
      </c>
      <c r="J192" s="56">
        <f t="shared" si="77"/>
        <v>1233.7200000000075</v>
      </c>
      <c r="K192" s="57">
        <f t="shared" si="72"/>
        <v>3.6368074200635009E-2</v>
      </c>
      <c r="L192" s="56">
        <f t="shared" si="73"/>
        <v>1233.7200000000075</v>
      </c>
      <c r="M192" s="57">
        <f t="shared" si="74"/>
        <v>3.6368074200635009E-2</v>
      </c>
      <c r="N192" s="58">
        <v>66072019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7"/>
    </row>
    <row r="193" spans="1:20" x14ac:dyDescent="0.25">
      <c r="A193" s="51">
        <v>44751</v>
      </c>
      <c r="D193" s="136">
        <v>0.14199999999999999</v>
      </c>
      <c r="E193" s="137">
        <v>3068.49</v>
      </c>
      <c r="F193" s="138">
        <v>89.661000000000001</v>
      </c>
      <c r="G193" s="56"/>
      <c r="H193" s="56">
        <v>4140</v>
      </c>
      <c r="I193" s="56">
        <f t="shared" si="76"/>
        <v>35810.999999998494</v>
      </c>
      <c r="J193" s="56">
        <f t="shared" si="77"/>
        <v>1295.8200000000099</v>
      </c>
      <c r="K193" s="57">
        <f t="shared" si="72"/>
        <v>3.6184971098267696E-2</v>
      </c>
      <c r="L193" s="56">
        <f t="shared" si="73"/>
        <v>1295.8200000000099</v>
      </c>
      <c r="M193" s="57">
        <f t="shared" si="74"/>
        <v>3.6184971098267696E-2</v>
      </c>
      <c r="N193" s="58">
        <v>66072019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7"/>
    </row>
    <row r="194" spans="1:20" x14ac:dyDescent="0.25">
      <c r="A194" s="51">
        <v>44752</v>
      </c>
      <c r="D194" s="136">
        <v>0.14199999999999999</v>
      </c>
      <c r="E194" s="137">
        <v>3076.598</v>
      </c>
      <c r="F194" s="138">
        <v>89.864000000000004</v>
      </c>
      <c r="G194" s="56"/>
      <c r="H194" s="56">
        <v>4140</v>
      </c>
      <c r="I194" s="56">
        <f t="shared" si="76"/>
        <v>33567.120000000723</v>
      </c>
      <c r="J194" s="56">
        <f t="shared" si="77"/>
        <v>840.42000000001224</v>
      </c>
      <c r="K194" s="57">
        <f t="shared" si="72"/>
        <v>2.5037000493339737E-2</v>
      </c>
      <c r="L194" s="56">
        <f t="shared" si="73"/>
        <v>840.42000000001224</v>
      </c>
      <c r="M194" s="57">
        <f t="shared" si="74"/>
        <v>2.5037000493339737E-2</v>
      </c>
      <c r="N194" s="58">
        <v>66072019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6"/>
    </row>
    <row r="195" spans="1:20" x14ac:dyDescent="0.25">
      <c r="A195" s="51">
        <v>44753</v>
      </c>
      <c r="D195" s="136">
        <v>0.14199999999999999</v>
      </c>
      <c r="E195" s="137">
        <v>3084.5369999999998</v>
      </c>
      <c r="F195" s="138">
        <v>90.12</v>
      </c>
      <c r="G195" s="56"/>
      <c r="H195" s="56">
        <v>4140</v>
      </c>
      <c r="I195" s="56">
        <f t="shared" si="76"/>
        <v>32867.459999999381</v>
      </c>
      <c r="J195" s="56">
        <f t="shared" si="77"/>
        <v>1059.8400000000011</v>
      </c>
      <c r="K195" s="57">
        <f t="shared" si="72"/>
        <v>3.2245874795314912E-2</v>
      </c>
      <c r="L195" s="56">
        <f t="shared" si="73"/>
        <v>1059.8400000000011</v>
      </c>
      <c r="M195" s="57">
        <f t="shared" si="74"/>
        <v>3.2245874795314912E-2</v>
      </c>
      <c r="N195" s="58">
        <v>66072019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6"/>
    </row>
    <row r="196" spans="1:20" x14ac:dyDescent="0.25">
      <c r="A196" s="51">
        <v>44754</v>
      </c>
      <c r="D196" s="136">
        <v>0.14199999999999999</v>
      </c>
      <c r="E196" s="137">
        <v>3092.6619999999998</v>
      </c>
      <c r="F196" s="138">
        <v>90.462000000000003</v>
      </c>
      <c r="G196" s="56"/>
      <c r="H196" s="56">
        <v>4140</v>
      </c>
      <c r="I196" s="56">
        <f t="shared" si="76"/>
        <v>33637.5</v>
      </c>
      <c r="J196" s="56">
        <f t="shared" si="77"/>
        <v>1415.8799999999949</v>
      </c>
      <c r="K196" s="57">
        <f t="shared" si="72"/>
        <v>4.209230769230754E-2</v>
      </c>
      <c r="L196" s="56">
        <f t="shared" si="73"/>
        <v>1415.8799999999949</v>
      </c>
      <c r="M196" s="57">
        <f t="shared" si="74"/>
        <v>4.209230769230754E-2</v>
      </c>
      <c r="N196" s="58">
        <v>66072019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6"/>
    </row>
    <row r="197" spans="1:20" x14ac:dyDescent="0.25">
      <c r="A197" s="51">
        <v>44755</v>
      </c>
      <c r="D197" s="136">
        <v>0.14199999999999999</v>
      </c>
      <c r="E197" s="137">
        <v>3100.788</v>
      </c>
      <c r="F197" s="138">
        <v>90.685000000000002</v>
      </c>
      <c r="G197" s="56"/>
      <c r="H197" s="56">
        <v>4140</v>
      </c>
      <c r="I197" s="56">
        <f t="shared" si="76"/>
        <v>33641.640000000843</v>
      </c>
      <c r="J197" s="56">
        <f t="shared" si="77"/>
        <v>923.21999999999571</v>
      </c>
      <c r="K197" s="57">
        <f t="shared" si="72"/>
        <v>2.7442776273688577E-2</v>
      </c>
      <c r="L197" s="56">
        <f t="shared" si="73"/>
        <v>923.21999999999571</v>
      </c>
      <c r="M197" s="57">
        <f t="shared" si="74"/>
        <v>2.7442776273688577E-2</v>
      </c>
      <c r="N197" s="58">
        <v>66072019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7"/>
    </row>
    <row r="198" spans="1:20" x14ac:dyDescent="0.25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66072019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7"/>
    </row>
    <row r="199" spans="1:20" x14ac:dyDescent="0.25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66072019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6"/>
    </row>
    <row r="200" spans="1:20" x14ac:dyDescent="0.25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66072019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6"/>
    </row>
    <row r="201" spans="1:20" x14ac:dyDescent="0.25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66072019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6"/>
    </row>
    <row r="202" spans="1:20" x14ac:dyDescent="0.25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66072019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7"/>
    </row>
    <row r="203" spans="1:20" x14ac:dyDescent="0.25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66072019</v>
      </c>
      <c r="O203" s="58">
        <f t="shared" si="79"/>
        <v>0</v>
      </c>
      <c r="P203" s="169" t="s">
        <v>47</v>
      </c>
      <c r="Q203" s="170"/>
      <c r="R203" s="19">
        <f t="shared" si="78"/>
        <v>1</v>
      </c>
      <c r="S203" s="19">
        <f t="shared" si="80"/>
        <v>0</v>
      </c>
      <c r="T203" s="157"/>
    </row>
    <row r="204" spans="1:20" x14ac:dyDescent="0.25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66072019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6"/>
    </row>
    <row r="205" spans="1:20" x14ac:dyDescent="0.25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66072019</v>
      </c>
      <c r="O205" s="58">
        <f t="shared" si="79"/>
        <v>0</v>
      </c>
      <c r="P205" s="65" t="s">
        <v>29</v>
      </c>
      <c r="Q205" s="65" t="s">
        <v>30</v>
      </c>
      <c r="R205" s="19">
        <f t="shared" si="78"/>
        <v>1</v>
      </c>
      <c r="S205" s="19">
        <f t="shared" si="80"/>
        <v>0</v>
      </c>
      <c r="T205" s="156"/>
    </row>
    <row r="206" spans="1:20" x14ac:dyDescent="0.25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66072019</v>
      </c>
      <c r="O206" s="58">
        <f t="shared" si="79"/>
        <v>0</v>
      </c>
      <c r="P206" s="66">
        <f>IF(J185="",0,+SUM(J185:J215)/SUM(I185:I215))</f>
        <v>3.4209990167506761E-2</v>
      </c>
      <c r="Q206" s="66">
        <f>IF(L185="",0,+SUM(L185:L215)/SUM(I185:I215))</f>
        <v>3.4209990167506761E-2</v>
      </c>
      <c r="R206" s="19">
        <f t="shared" si="78"/>
        <v>1</v>
      </c>
      <c r="S206" s="19">
        <f t="shared" si="80"/>
        <v>0</v>
      </c>
      <c r="T206" s="157"/>
    </row>
    <row r="207" spans="1:20" x14ac:dyDescent="0.25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66072019</v>
      </c>
      <c r="O207" s="58">
        <f t="shared" si="79"/>
        <v>0</v>
      </c>
      <c r="P207" s="67" t="e">
        <f>IF(J185="",0,+(+(LOOKUP(9.99999999999999E+307,E185:E215)-E184))/(+(LOOKUP(9.99999999999999E+307,D185:D215)-D184)))</f>
        <v>#DIV/0!</v>
      </c>
      <c r="Q207" s="67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57"/>
    </row>
    <row r="208" spans="1:20" x14ac:dyDescent="0.25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66072019</v>
      </c>
      <c r="O208" s="58">
        <f t="shared" si="79"/>
        <v>0</v>
      </c>
      <c r="P208" s="68" t="s">
        <v>31</v>
      </c>
      <c r="Q208" s="69" t="s">
        <v>32</v>
      </c>
      <c r="R208" s="19">
        <f t="shared" si="78"/>
        <v>1</v>
      </c>
      <c r="S208" s="19">
        <f t="shared" si="80"/>
        <v>0</v>
      </c>
      <c r="T208" s="157"/>
    </row>
    <row r="209" spans="1:20" x14ac:dyDescent="0.25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66072019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7"/>
    </row>
    <row r="210" spans="1:20" x14ac:dyDescent="0.25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66072019</v>
      </c>
      <c r="O210" s="58">
        <f t="shared" si="79"/>
        <v>0</v>
      </c>
      <c r="P210" s="72" t="s">
        <v>33</v>
      </c>
      <c r="Q210" s="73" t="s">
        <v>41</v>
      </c>
      <c r="R210" s="19">
        <f t="shared" si="78"/>
        <v>1</v>
      </c>
      <c r="S210" s="19">
        <f t="shared" si="80"/>
        <v>0</v>
      </c>
      <c r="T210" s="156"/>
    </row>
    <row r="211" spans="1:20" x14ac:dyDescent="0.25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66072019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6"/>
    </row>
    <row r="212" spans="1:20" x14ac:dyDescent="0.25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66072019</v>
      </c>
      <c r="O212" s="58">
        <f t="shared" si="79"/>
        <v>0</v>
      </c>
      <c r="P212" s="158" t="s">
        <v>35</v>
      </c>
      <c r="Q212" s="159" t="s">
        <v>42</v>
      </c>
      <c r="R212" s="19">
        <f t="shared" si="78"/>
        <v>1</v>
      </c>
      <c r="S212" s="19">
        <f t="shared" si="80"/>
        <v>0</v>
      </c>
      <c r="T212" s="156"/>
    </row>
    <row r="213" spans="1:20" x14ac:dyDescent="0.25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66072019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6"/>
    </row>
    <row r="214" spans="1:20" x14ac:dyDescent="0.25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66072019</v>
      </c>
      <c r="O214" s="58">
        <f t="shared" si="79"/>
        <v>0</v>
      </c>
      <c r="P214" s="160" t="s">
        <v>37</v>
      </c>
      <c r="Q214" s="161" t="s">
        <v>38</v>
      </c>
      <c r="R214" s="19">
        <f t="shared" si="78"/>
        <v>1</v>
      </c>
      <c r="S214" s="19">
        <f t="shared" si="80"/>
        <v>0</v>
      </c>
      <c r="T214" s="156"/>
    </row>
    <row r="215" spans="1:20" x14ac:dyDescent="0.25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58">
        <v>66072019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6"/>
    </row>
    <row r="216" spans="1:20" x14ac:dyDescent="0.25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66072019</v>
      </c>
      <c r="O216" s="58">
        <f t="shared" si="79"/>
        <v>0</v>
      </c>
      <c r="P216" s="101" t="s">
        <v>39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6"/>
    </row>
    <row r="217" spans="1:20" x14ac:dyDescent="0.25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66072019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6"/>
    </row>
    <row r="218" spans="1:20" x14ac:dyDescent="0.25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66072019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7"/>
    </row>
    <row r="219" spans="1:20" x14ac:dyDescent="0.25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66072019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7"/>
    </row>
    <row r="220" spans="1:20" x14ac:dyDescent="0.25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66072019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6"/>
    </row>
    <row r="221" spans="1:20" x14ac:dyDescent="0.25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66072019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6"/>
    </row>
    <row r="222" spans="1:20" x14ac:dyDescent="0.25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66072019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6"/>
    </row>
    <row r="223" spans="1:20" x14ac:dyDescent="0.25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66072019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7"/>
    </row>
    <row r="224" spans="1:20" x14ac:dyDescent="0.25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66072019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7"/>
    </row>
    <row r="225" spans="1:20" x14ac:dyDescent="0.25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66072019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6"/>
    </row>
    <row r="226" spans="1:20" x14ac:dyDescent="0.25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66072019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6"/>
    </row>
    <row r="227" spans="1:20" x14ac:dyDescent="0.25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66072019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6"/>
    </row>
    <row r="228" spans="1:20" x14ac:dyDescent="0.25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66072019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7"/>
    </row>
    <row r="229" spans="1:20" x14ac:dyDescent="0.25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66072019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7"/>
    </row>
    <row r="230" spans="1:20" x14ac:dyDescent="0.25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66072019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6"/>
    </row>
    <row r="231" spans="1:20" x14ac:dyDescent="0.25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66072019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6"/>
    </row>
    <row r="232" spans="1:20" x14ac:dyDescent="0.25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66072019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6"/>
    </row>
    <row r="233" spans="1:20" x14ac:dyDescent="0.25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66072019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7"/>
    </row>
    <row r="234" spans="1:20" x14ac:dyDescent="0.25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66072019</v>
      </c>
      <c r="O234" s="58">
        <f t="shared" si="79"/>
        <v>0</v>
      </c>
      <c r="P234" s="169" t="s">
        <v>48</v>
      </c>
      <c r="Q234" s="170"/>
      <c r="R234" s="19">
        <f t="shared" si="85"/>
        <v>1</v>
      </c>
      <c r="S234" s="19">
        <f t="shared" si="80"/>
        <v>0</v>
      </c>
      <c r="T234" s="157"/>
    </row>
    <row r="235" spans="1:20" x14ac:dyDescent="0.25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66072019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6"/>
    </row>
    <row r="236" spans="1:20" x14ac:dyDescent="0.25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66072019</v>
      </c>
      <c r="O236" s="58">
        <f t="shared" si="79"/>
        <v>0</v>
      </c>
      <c r="P236" s="65" t="s">
        <v>29</v>
      </c>
      <c r="Q236" s="65" t="s">
        <v>30</v>
      </c>
      <c r="R236" s="19">
        <f t="shared" si="85"/>
        <v>1</v>
      </c>
      <c r="S236" s="19">
        <f t="shared" si="80"/>
        <v>0</v>
      </c>
      <c r="T236" s="156"/>
    </row>
    <row r="237" spans="1:20" x14ac:dyDescent="0.25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66072019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7"/>
    </row>
    <row r="238" spans="1:20" x14ac:dyDescent="0.25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66072019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7"/>
    </row>
    <row r="239" spans="1:20" x14ac:dyDescent="0.25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66072019</v>
      </c>
      <c r="O239" s="58">
        <f t="shared" si="79"/>
        <v>0</v>
      </c>
      <c r="P239" s="68" t="s">
        <v>31</v>
      </c>
      <c r="Q239" s="69" t="s">
        <v>32</v>
      </c>
      <c r="R239" s="19">
        <f t="shared" si="85"/>
        <v>1</v>
      </c>
      <c r="S239" s="19">
        <f t="shared" si="80"/>
        <v>0</v>
      </c>
      <c r="T239" s="157"/>
    </row>
    <row r="240" spans="1:20" x14ac:dyDescent="0.25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66072019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7"/>
    </row>
    <row r="241" spans="1:20" x14ac:dyDescent="0.25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66072019</v>
      </c>
      <c r="O241" s="58">
        <f t="shared" si="79"/>
        <v>0</v>
      </c>
      <c r="P241" s="72" t="s">
        <v>33</v>
      </c>
      <c r="Q241" s="73" t="s">
        <v>41</v>
      </c>
      <c r="R241" s="19">
        <f t="shared" si="85"/>
        <v>1</v>
      </c>
      <c r="S241" s="19">
        <f t="shared" si="80"/>
        <v>0</v>
      </c>
      <c r="T241" s="156"/>
    </row>
    <row r="242" spans="1:20" x14ac:dyDescent="0.25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66072019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6"/>
    </row>
    <row r="243" spans="1:20" x14ac:dyDescent="0.25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66072019</v>
      </c>
      <c r="O243" s="58">
        <f t="shared" si="79"/>
        <v>0</v>
      </c>
      <c r="P243" s="158" t="s">
        <v>35</v>
      </c>
      <c r="Q243" s="159" t="s">
        <v>42</v>
      </c>
      <c r="R243" s="19">
        <f t="shared" si="85"/>
        <v>1</v>
      </c>
      <c r="S243" s="19">
        <f t="shared" si="80"/>
        <v>0</v>
      </c>
      <c r="T243" s="156"/>
    </row>
    <row r="244" spans="1:20" x14ac:dyDescent="0.25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66072019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6"/>
    </row>
    <row r="245" spans="1:20" x14ac:dyDescent="0.25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66072019</v>
      </c>
      <c r="O245" s="58">
        <f t="shared" si="79"/>
        <v>0</v>
      </c>
      <c r="P245" s="160" t="s">
        <v>37</v>
      </c>
      <c r="Q245" s="161" t="s">
        <v>38</v>
      </c>
      <c r="R245" s="19">
        <f t="shared" si="85"/>
        <v>1</v>
      </c>
      <c r="S245" s="19">
        <f t="shared" si="80"/>
        <v>0</v>
      </c>
      <c r="T245" s="156"/>
    </row>
    <row r="246" spans="1:20" x14ac:dyDescent="0.25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58">
        <v>66072019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6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66072019</v>
      </c>
      <c r="O247" s="58">
        <f t="shared" si="79"/>
        <v>0</v>
      </c>
      <c r="P247" s="86" t="s">
        <v>39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6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66072019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6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66072019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7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66072019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7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66072019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6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66072019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6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66072019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6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66072019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7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66072019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7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66072019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6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66072019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6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66072019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6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66072019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7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66072019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7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66072019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6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66072019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6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66072019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6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66072019</v>
      </c>
      <c r="O264" s="58">
        <f t="shared" si="90"/>
        <v>0</v>
      </c>
      <c r="P264" s="165" t="s">
        <v>49</v>
      </c>
      <c r="Q264" s="166"/>
      <c r="R264" s="19">
        <f t="shared" si="88"/>
        <v>1</v>
      </c>
      <c r="S264" s="19">
        <f t="shared" ref="S264:S327" si="91">IF(N264="",1,0)</f>
        <v>0</v>
      </c>
      <c r="T264" s="157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66072019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7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66072019</v>
      </c>
      <c r="O266" s="58">
        <f t="shared" si="90"/>
        <v>0</v>
      </c>
      <c r="P266" s="65" t="s">
        <v>29</v>
      </c>
      <c r="Q266" s="65" t="s">
        <v>30</v>
      </c>
      <c r="R266" s="19">
        <f t="shared" si="88"/>
        <v>1</v>
      </c>
      <c r="S266" s="19">
        <f t="shared" si="91"/>
        <v>0</v>
      </c>
      <c r="T266" s="156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66072019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6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66072019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7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66072019</v>
      </c>
      <c r="O269" s="58">
        <f t="shared" si="90"/>
        <v>0</v>
      </c>
      <c r="P269" s="68" t="s">
        <v>31</v>
      </c>
      <c r="Q269" s="69" t="s">
        <v>32</v>
      </c>
      <c r="R269" s="19">
        <f t="shared" si="88"/>
        <v>1</v>
      </c>
      <c r="S269" s="19">
        <f t="shared" si="91"/>
        <v>0</v>
      </c>
      <c r="T269" s="157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66072019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7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66072019</v>
      </c>
      <c r="O271" s="58">
        <f t="shared" si="90"/>
        <v>0</v>
      </c>
      <c r="P271" s="72" t="s">
        <v>33</v>
      </c>
      <c r="Q271" s="73" t="s">
        <v>41</v>
      </c>
      <c r="R271" s="19">
        <f t="shared" si="88"/>
        <v>1</v>
      </c>
      <c r="S271" s="19">
        <f t="shared" si="91"/>
        <v>0</v>
      </c>
      <c r="T271" s="157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66072019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6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66072019</v>
      </c>
      <c r="O273" s="58">
        <f t="shared" si="90"/>
        <v>0</v>
      </c>
      <c r="P273" s="158" t="s">
        <v>35</v>
      </c>
      <c r="Q273" s="159" t="s">
        <v>42</v>
      </c>
      <c r="R273" s="19">
        <f t="shared" si="88"/>
        <v>1</v>
      </c>
      <c r="S273" s="19">
        <f t="shared" si="91"/>
        <v>0</v>
      </c>
      <c r="T273" s="156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66072019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6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66072019</v>
      </c>
      <c r="O275" s="58">
        <f t="shared" si="90"/>
        <v>0</v>
      </c>
      <c r="P275" s="160" t="s">
        <v>37</v>
      </c>
      <c r="Q275" s="161" t="s">
        <v>38</v>
      </c>
      <c r="R275" s="19">
        <f t="shared" si="88"/>
        <v>1</v>
      </c>
      <c r="S275" s="19">
        <f t="shared" si="91"/>
        <v>0</v>
      </c>
      <c r="T275" s="156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58">
        <v>66072019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6"/>
    </row>
    <row r="277" spans="1:23" x14ac:dyDescent="0.25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66072019</v>
      </c>
      <c r="O277" s="58">
        <f t="shared" si="90"/>
        <v>0</v>
      </c>
      <c r="P277" s="86" t="s">
        <v>39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6"/>
    </row>
    <row r="278" spans="1:23" x14ac:dyDescent="0.25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66072019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6"/>
      <c r="W278" s="1" t="s">
        <v>50</v>
      </c>
    </row>
    <row r="279" spans="1:23" x14ac:dyDescent="0.25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66072019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7"/>
    </row>
    <row r="280" spans="1:23" x14ac:dyDescent="0.25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66072019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7"/>
    </row>
    <row r="281" spans="1:23" x14ac:dyDescent="0.25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66072019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6"/>
    </row>
    <row r="282" spans="1:23" x14ac:dyDescent="0.25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66072019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6"/>
    </row>
    <row r="283" spans="1:23" x14ac:dyDescent="0.25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66072019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6"/>
    </row>
    <row r="284" spans="1:23" x14ac:dyDescent="0.25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66072019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7"/>
    </row>
    <row r="285" spans="1:23" x14ac:dyDescent="0.25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66072019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7"/>
    </row>
    <row r="286" spans="1:23" x14ac:dyDescent="0.25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66072019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6"/>
    </row>
    <row r="287" spans="1:23" x14ac:dyDescent="0.25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66072019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6"/>
    </row>
    <row r="288" spans="1:23" x14ac:dyDescent="0.25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66072019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6"/>
    </row>
    <row r="289" spans="1:20" x14ac:dyDescent="0.25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66072019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7"/>
    </row>
    <row r="290" spans="1:20" x14ac:dyDescent="0.25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66072019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7"/>
    </row>
    <row r="291" spans="1:20" x14ac:dyDescent="0.25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66072019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6"/>
    </row>
    <row r="292" spans="1:20" x14ac:dyDescent="0.25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66072019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6"/>
    </row>
    <row r="293" spans="1:20" x14ac:dyDescent="0.25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66072019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6"/>
    </row>
    <row r="294" spans="1:20" x14ac:dyDescent="0.25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66072019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7"/>
    </row>
    <row r="295" spans="1:20" x14ac:dyDescent="0.25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66072019</v>
      </c>
      <c r="O295" s="58">
        <f t="shared" si="90"/>
        <v>0</v>
      </c>
      <c r="P295" s="165" t="s">
        <v>51</v>
      </c>
      <c r="Q295" s="166"/>
      <c r="R295" s="19">
        <f t="shared" si="88"/>
        <v>1</v>
      </c>
      <c r="S295" s="19">
        <f t="shared" si="91"/>
        <v>0</v>
      </c>
      <c r="T295" s="157"/>
    </row>
    <row r="296" spans="1:20" x14ac:dyDescent="0.25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66072019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6"/>
    </row>
    <row r="297" spans="1:20" x14ac:dyDescent="0.25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66072019</v>
      </c>
      <c r="O297" s="58">
        <f t="shared" si="90"/>
        <v>0</v>
      </c>
      <c r="P297" s="65" t="s">
        <v>29</v>
      </c>
      <c r="Q297" s="65" t="s">
        <v>30</v>
      </c>
      <c r="R297" s="19">
        <f t="shared" si="88"/>
        <v>1</v>
      </c>
      <c r="S297" s="19">
        <f t="shared" si="91"/>
        <v>0</v>
      </c>
      <c r="T297" s="156"/>
    </row>
    <row r="298" spans="1:20" x14ac:dyDescent="0.25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66072019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7"/>
    </row>
    <row r="299" spans="1:20" x14ac:dyDescent="0.25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66072019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7"/>
    </row>
    <row r="300" spans="1:20" x14ac:dyDescent="0.25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66072019</v>
      </c>
      <c r="O300" s="58">
        <f t="shared" si="90"/>
        <v>0</v>
      </c>
      <c r="P300" s="68" t="s">
        <v>31</v>
      </c>
      <c r="Q300" s="69" t="s">
        <v>32</v>
      </c>
      <c r="R300" s="19">
        <f t="shared" si="88"/>
        <v>1</v>
      </c>
      <c r="S300" s="19">
        <f t="shared" si="91"/>
        <v>0</v>
      </c>
      <c r="T300" s="157"/>
    </row>
    <row r="301" spans="1:20" x14ac:dyDescent="0.25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66072019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7"/>
    </row>
    <row r="302" spans="1:20" x14ac:dyDescent="0.25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66072019</v>
      </c>
      <c r="O302" s="58">
        <f t="shared" si="90"/>
        <v>0</v>
      </c>
      <c r="P302" s="72" t="s">
        <v>33</v>
      </c>
      <c r="Q302" s="73" t="s">
        <v>41</v>
      </c>
      <c r="R302" s="19">
        <f t="shared" si="88"/>
        <v>1</v>
      </c>
      <c r="S302" s="19">
        <f t="shared" si="91"/>
        <v>0</v>
      </c>
      <c r="T302" s="156"/>
    </row>
    <row r="303" spans="1:20" x14ac:dyDescent="0.25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66072019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6"/>
    </row>
    <row r="304" spans="1:20" x14ac:dyDescent="0.25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66072019</v>
      </c>
      <c r="O304" s="58">
        <f t="shared" si="90"/>
        <v>0</v>
      </c>
      <c r="P304" s="158" t="s">
        <v>35</v>
      </c>
      <c r="Q304" s="159" t="s">
        <v>42</v>
      </c>
      <c r="R304" s="19">
        <f t="shared" si="88"/>
        <v>1</v>
      </c>
      <c r="S304" s="19">
        <f t="shared" si="91"/>
        <v>0</v>
      </c>
      <c r="T304" s="156"/>
    </row>
    <row r="305" spans="1:20" x14ac:dyDescent="0.25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66072019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6"/>
    </row>
    <row r="306" spans="1:20" x14ac:dyDescent="0.25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66072019</v>
      </c>
      <c r="O306" s="58">
        <f t="shared" si="90"/>
        <v>0</v>
      </c>
      <c r="P306" s="160" t="s">
        <v>37</v>
      </c>
      <c r="Q306" s="161" t="s">
        <v>38</v>
      </c>
      <c r="R306" s="19">
        <f t="shared" si="88"/>
        <v>1</v>
      </c>
      <c r="S306" s="19">
        <f t="shared" si="91"/>
        <v>0</v>
      </c>
      <c r="T306" s="156"/>
    </row>
    <row r="307" spans="1:20" x14ac:dyDescent="0.25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58">
        <v>66072019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6"/>
    </row>
    <row r="308" spans="1:20" x14ac:dyDescent="0.25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66072019</v>
      </c>
      <c r="O308" s="58">
        <f t="shared" si="90"/>
        <v>0</v>
      </c>
      <c r="P308" s="101" t="s">
        <v>39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6"/>
    </row>
    <row r="309" spans="1:20" x14ac:dyDescent="0.25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66072019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6"/>
    </row>
    <row r="310" spans="1:20" x14ac:dyDescent="0.25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66072019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7"/>
    </row>
    <row r="311" spans="1:20" x14ac:dyDescent="0.25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66072019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7"/>
    </row>
    <row r="312" spans="1:20" x14ac:dyDescent="0.25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66072019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6"/>
    </row>
    <row r="313" spans="1:20" x14ac:dyDescent="0.25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66072019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6"/>
    </row>
    <row r="314" spans="1:20" x14ac:dyDescent="0.25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66072019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6"/>
    </row>
    <row r="315" spans="1:20" x14ac:dyDescent="0.25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66072019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7"/>
    </row>
    <row r="316" spans="1:20" x14ac:dyDescent="0.25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66072019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7"/>
    </row>
    <row r="317" spans="1:20" x14ac:dyDescent="0.25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66072019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6"/>
    </row>
    <row r="318" spans="1:20" x14ac:dyDescent="0.25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66072019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6"/>
    </row>
    <row r="319" spans="1:20" x14ac:dyDescent="0.25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66072019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6"/>
    </row>
    <row r="320" spans="1:20" x14ac:dyDescent="0.25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66072019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7"/>
    </row>
    <row r="321" spans="1:20" x14ac:dyDescent="0.25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66072019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7"/>
    </row>
    <row r="322" spans="1:20" x14ac:dyDescent="0.25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66072019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6"/>
    </row>
    <row r="323" spans="1:20" x14ac:dyDescent="0.25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66072019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6"/>
    </row>
    <row r="324" spans="1:20" x14ac:dyDescent="0.25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66072019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6"/>
    </row>
    <row r="325" spans="1:20" x14ac:dyDescent="0.25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66072019</v>
      </c>
      <c r="O325" s="58">
        <f t="shared" si="97"/>
        <v>0</v>
      </c>
      <c r="P325" s="165" t="s">
        <v>52</v>
      </c>
      <c r="Q325" s="166"/>
      <c r="R325" s="19">
        <f t="shared" si="98"/>
        <v>1</v>
      </c>
      <c r="S325" s="19">
        <f t="shared" si="91"/>
        <v>0</v>
      </c>
      <c r="T325" s="157"/>
    </row>
    <row r="326" spans="1:20" x14ac:dyDescent="0.25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66072019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7"/>
    </row>
    <row r="327" spans="1:20" x14ac:dyDescent="0.25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66072019</v>
      </c>
      <c r="O327" s="58">
        <f t="shared" si="97"/>
        <v>0</v>
      </c>
      <c r="P327" s="65" t="s">
        <v>29</v>
      </c>
      <c r="Q327" s="65" t="s">
        <v>30</v>
      </c>
      <c r="R327" s="19">
        <f t="shared" si="98"/>
        <v>1</v>
      </c>
      <c r="S327" s="19">
        <f t="shared" si="91"/>
        <v>0</v>
      </c>
      <c r="T327" s="156"/>
    </row>
    <row r="328" spans="1:20" x14ac:dyDescent="0.25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66072019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6"/>
    </row>
    <row r="329" spans="1:20" x14ac:dyDescent="0.25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66072019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7"/>
    </row>
    <row r="330" spans="1:20" x14ac:dyDescent="0.25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66072019</v>
      </c>
      <c r="O330" s="58">
        <f t="shared" si="97"/>
        <v>0</v>
      </c>
      <c r="P330" s="68" t="s">
        <v>31</v>
      </c>
      <c r="Q330" s="69" t="s">
        <v>32</v>
      </c>
      <c r="R330" s="19">
        <f t="shared" si="98"/>
        <v>1</v>
      </c>
      <c r="S330" s="19">
        <f t="shared" si="101"/>
        <v>0</v>
      </c>
      <c r="T330" s="157"/>
    </row>
    <row r="331" spans="1:20" x14ac:dyDescent="0.25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66072019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7"/>
    </row>
    <row r="332" spans="1:20" x14ac:dyDescent="0.25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66072019</v>
      </c>
      <c r="O332" s="58">
        <f t="shared" si="97"/>
        <v>0</v>
      </c>
      <c r="P332" s="72" t="s">
        <v>33</v>
      </c>
      <c r="Q332" s="73" t="s">
        <v>41</v>
      </c>
      <c r="R332" s="19">
        <f t="shared" si="98"/>
        <v>1</v>
      </c>
      <c r="S332" s="19">
        <f t="shared" si="101"/>
        <v>0</v>
      </c>
      <c r="T332" s="157"/>
    </row>
    <row r="333" spans="1:20" x14ac:dyDescent="0.25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66072019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6"/>
    </row>
    <row r="334" spans="1:20" x14ac:dyDescent="0.25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66072019</v>
      </c>
      <c r="O334" s="58">
        <f t="shared" si="97"/>
        <v>0</v>
      </c>
      <c r="P334" s="158" t="s">
        <v>35</v>
      </c>
      <c r="Q334" s="159" t="s">
        <v>42</v>
      </c>
      <c r="R334" s="19">
        <f t="shared" si="98"/>
        <v>1</v>
      </c>
      <c r="S334" s="19">
        <f t="shared" si="101"/>
        <v>0</v>
      </c>
      <c r="T334" s="156"/>
    </row>
    <row r="335" spans="1:20" x14ac:dyDescent="0.25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66072019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6"/>
    </row>
    <row r="336" spans="1:20" x14ac:dyDescent="0.25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66072019</v>
      </c>
      <c r="O336" s="58">
        <f t="shared" si="97"/>
        <v>0</v>
      </c>
      <c r="P336" s="162" t="s">
        <v>37</v>
      </c>
      <c r="Q336" s="162" t="s">
        <v>38</v>
      </c>
      <c r="R336" s="19">
        <f t="shared" si="98"/>
        <v>1</v>
      </c>
      <c r="S336" s="19">
        <f t="shared" si="101"/>
        <v>0</v>
      </c>
      <c r="T336" s="156"/>
    </row>
    <row r="337" spans="1:20" x14ac:dyDescent="0.25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58">
        <v>66072019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6"/>
    </row>
    <row r="338" spans="1:20" x14ac:dyDescent="0.25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66072019</v>
      </c>
      <c r="O338" s="58">
        <f t="shared" si="97"/>
        <v>0</v>
      </c>
      <c r="P338" s="127" t="s">
        <v>39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6"/>
    </row>
    <row r="339" spans="1:20" x14ac:dyDescent="0.25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66072019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6"/>
    </row>
    <row r="340" spans="1:20" x14ac:dyDescent="0.25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66072019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7"/>
    </row>
    <row r="341" spans="1:20" x14ac:dyDescent="0.25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66072019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7"/>
    </row>
    <row r="342" spans="1:20" x14ac:dyDescent="0.25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66072019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6"/>
    </row>
    <row r="343" spans="1:20" x14ac:dyDescent="0.25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66072019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6"/>
    </row>
    <row r="344" spans="1:20" x14ac:dyDescent="0.25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66072019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6"/>
    </row>
    <row r="345" spans="1:20" x14ac:dyDescent="0.25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66072019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7"/>
    </row>
    <row r="346" spans="1:20" x14ac:dyDescent="0.25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66072019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7"/>
    </row>
    <row r="347" spans="1:20" x14ac:dyDescent="0.25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66072019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6"/>
    </row>
    <row r="348" spans="1:20" x14ac:dyDescent="0.25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66072019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6"/>
    </row>
    <row r="349" spans="1:20" x14ac:dyDescent="0.25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66072019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6"/>
    </row>
    <row r="350" spans="1:20" x14ac:dyDescent="0.25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66072019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7"/>
    </row>
    <row r="351" spans="1:20" x14ac:dyDescent="0.25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66072019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7"/>
    </row>
    <row r="352" spans="1:20" x14ac:dyDescent="0.25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66072019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6"/>
    </row>
    <row r="353" spans="1:20" x14ac:dyDescent="0.25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66072019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6"/>
    </row>
    <row r="354" spans="1:20" x14ac:dyDescent="0.25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66072019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6"/>
    </row>
    <row r="355" spans="1:20" x14ac:dyDescent="0.25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66072019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7"/>
    </row>
    <row r="356" spans="1:20" x14ac:dyDescent="0.25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66072019</v>
      </c>
      <c r="O356" s="58">
        <f t="shared" si="97"/>
        <v>0</v>
      </c>
      <c r="P356" s="165" t="s">
        <v>53</v>
      </c>
      <c r="Q356" s="166"/>
      <c r="R356" s="19">
        <f t="shared" si="98"/>
        <v>1</v>
      </c>
      <c r="S356" s="19">
        <f t="shared" si="101"/>
        <v>0</v>
      </c>
      <c r="T356" s="157"/>
    </row>
    <row r="357" spans="1:20" x14ac:dyDescent="0.25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66072019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6"/>
    </row>
    <row r="358" spans="1:20" x14ac:dyDescent="0.25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66072019</v>
      </c>
      <c r="O358" s="58">
        <f t="shared" si="97"/>
        <v>0</v>
      </c>
      <c r="P358" s="65" t="s">
        <v>29</v>
      </c>
      <c r="Q358" s="65" t="s">
        <v>30</v>
      </c>
      <c r="R358" s="19">
        <f t="shared" si="98"/>
        <v>1</v>
      </c>
      <c r="S358" s="19">
        <f t="shared" si="101"/>
        <v>0</v>
      </c>
      <c r="T358" s="156"/>
    </row>
    <row r="359" spans="1:20" x14ac:dyDescent="0.25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66072019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7"/>
    </row>
    <row r="360" spans="1:20" x14ac:dyDescent="0.25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66072019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7"/>
    </row>
    <row r="361" spans="1:20" x14ac:dyDescent="0.25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66072019</v>
      </c>
      <c r="O361" s="58">
        <f t="shared" si="97"/>
        <v>0</v>
      </c>
      <c r="P361" s="68" t="s">
        <v>31</v>
      </c>
      <c r="Q361" s="69" t="s">
        <v>32</v>
      </c>
      <c r="R361" s="19">
        <f t="shared" si="98"/>
        <v>1</v>
      </c>
      <c r="S361" s="19">
        <f t="shared" si="101"/>
        <v>0</v>
      </c>
      <c r="T361" s="157"/>
    </row>
    <row r="362" spans="1:20" x14ac:dyDescent="0.25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66072019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7"/>
    </row>
    <row r="363" spans="1:20" x14ac:dyDescent="0.25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66072019</v>
      </c>
      <c r="O363" s="58">
        <f t="shared" si="97"/>
        <v>0</v>
      </c>
      <c r="P363" s="72" t="s">
        <v>33</v>
      </c>
      <c r="Q363" s="73" t="s">
        <v>41</v>
      </c>
      <c r="R363" s="19">
        <f t="shared" si="98"/>
        <v>1</v>
      </c>
      <c r="S363" s="19">
        <f t="shared" si="101"/>
        <v>0</v>
      </c>
      <c r="T363" s="156"/>
    </row>
    <row r="364" spans="1:20" x14ac:dyDescent="0.25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66072019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6"/>
    </row>
    <row r="365" spans="1:20" x14ac:dyDescent="0.25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66072019</v>
      </c>
      <c r="O365" s="58">
        <f t="shared" si="97"/>
        <v>0</v>
      </c>
      <c r="P365" s="158" t="s">
        <v>35</v>
      </c>
      <c r="Q365" s="159" t="s">
        <v>42</v>
      </c>
      <c r="R365" s="19">
        <f t="shared" si="98"/>
        <v>1</v>
      </c>
      <c r="S365" s="19">
        <f t="shared" si="101"/>
        <v>0</v>
      </c>
      <c r="T365" s="156"/>
    </row>
    <row r="366" spans="1:20" x14ac:dyDescent="0.25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66072019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6"/>
    </row>
    <row r="367" spans="1:20" x14ac:dyDescent="0.25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66072019</v>
      </c>
      <c r="O367" s="58">
        <f t="shared" si="97"/>
        <v>0</v>
      </c>
      <c r="P367" s="160" t="s">
        <v>37</v>
      </c>
      <c r="Q367" s="161" t="s">
        <v>38</v>
      </c>
      <c r="R367" s="19">
        <f t="shared" si="98"/>
        <v>1</v>
      </c>
      <c r="S367" s="19">
        <f t="shared" si="101"/>
        <v>0</v>
      </c>
      <c r="T367" s="156"/>
    </row>
    <row r="368" spans="1:20" x14ac:dyDescent="0.25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66072019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6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66072019</v>
      </c>
      <c r="O369" s="58">
        <v>0</v>
      </c>
      <c r="P369" s="86" t="s">
        <v>39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A163" workbookViewId="0">
      <selection activeCell="O196" sqref="O19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59</v>
      </c>
      <c r="I2" s="11" t="s">
        <v>60</v>
      </c>
      <c r="J2" s="11" t="s">
        <v>61</v>
      </c>
      <c r="K2" s="11" t="s">
        <v>62</v>
      </c>
      <c r="L2" s="11" t="s">
        <v>63</v>
      </c>
      <c r="M2" s="12" t="s">
        <v>64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6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65</v>
      </c>
      <c r="O25" s="171" t="s">
        <v>66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67</v>
      </c>
      <c r="O29" s="171" t="s">
        <v>68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65</v>
      </c>
      <c r="O53" s="171" t="s">
        <v>66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67</v>
      </c>
      <c r="O57" s="171" t="s">
        <v>68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69</v>
      </c>
      <c r="O60" s="171" t="s">
        <v>70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65</v>
      </c>
      <c r="O84" s="171" t="s">
        <v>66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67</v>
      </c>
      <c r="O88" s="171" t="s">
        <v>68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69</v>
      </c>
      <c r="O91" s="171" t="s">
        <v>70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65</v>
      </c>
      <c r="O114" s="171" t="s">
        <v>66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67</v>
      </c>
      <c r="O118" s="171" t="s">
        <v>68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65</v>
      </c>
      <c r="O145" s="171" t="s">
        <v>66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67</v>
      </c>
      <c r="O149" s="171" t="s">
        <v>68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3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65</v>
      </c>
      <c r="O175" s="171" t="s">
        <v>66</v>
      </c>
      <c r="Q175" s="19">
        <f t="shared" si="90"/>
        <v>0</v>
      </c>
    </row>
    <row r="176" spans="2:20" ht="12.95" customHeight="1" x14ac:dyDescent="0.2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72"/>
      <c r="O176" s="172"/>
      <c r="Q176" s="19">
        <f t="shared" si="90"/>
        <v>0</v>
      </c>
    </row>
    <row r="177" spans="2:17" ht="12.95" customHeight="1" thickBot="1" x14ac:dyDescent="0.25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73"/>
      <c r="O177" s="173"/>
      <c r="Q177" s="19">
        <f t="shared" si="90"/>
        <v>0</v>
      </c>
    </row>
    <row r="178" spans="2:17" ht="12.95" customHeight="1" thickBot="1" x14ac:dyDescent="0.25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 x14ac:dyDescent="0.2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71" t="s">
        <v>67</v>
      </c>
      <c r="O179" s="171" t="s">
        <v>68</v>
      </c>
      <c r="Q179" s="19">
        <f t="shared" si="90"/>
        <v>0</v>
      </c>
    </row>
    <row r="180" spans="2:17" ht="13.5" thickBot="1" x14ac:dyDescent="0.25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73"/>
      <c r="O180" s="173"/>
      <c r="Q180" s="19">
        <f t="shared" si="90"/>
        <v>0</v>
      </c>
    </row>
    <row r="181" spans="2:17" ht="12.95" customHeight="1" thickBot="1" x14ac:dyDescent="0.25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 x14ac:dyDescent="0.2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 x14ac:dyDescent="0.2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 x14ac:dyDescent="0.2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 x14ac:dyDescent="0.2">
      <c r="B185" s="21">
        <v>44377</v>
      </c>
      <c r="C185" s="39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33">
        <f t="shared" si="88"/>
        <v>265</v>
      </c>
      <c r="L185" s="27">
        <f t="shared" si="92"/>
        <v>281</v>
      </c>
      <c r="M185" s="155">
        <f t="shared" si="89"/>
        <v>1749</v>
      </c>
      <c r="Q185" s="19">
        <f t="shared" si="90"/>
        <v>0</v>
      </c>
    </row>
    <row r="186" spans="2:17" ht="12.95" customHeight="1" x14ac:dyDescent="0.2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 x14ac:dyDescent="0.2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 x14ac:dyDescent="0.2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 x14ac:dyDescent="0.2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 x14ac:dyDescent="0.2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 x14ac:dyDescent="0.2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 x14ac:dyDescent="0.2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 x14ac:dyDescent="0.2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64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 x14ac:dyDescent="0.2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 x14ac:dyDescent="0.2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 x14ac:dyDescent="0.2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 x14ac:dyDescent="0.2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 x14ac:dyDescent="0.2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65</v>
      </c>
      <c r="O206" s="171" t="s">
        <v>66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3909</v>
      </c>
      <c r="O209" s="30">
        <f>SUM(M186:M216)</f>
        <v>23112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67</v>
      </c>
      <c r="O210" s="171" t="s">
        <v>68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>
        <f>AVERAGE(L186:L216)</f>
        <v>300.69230769230768</v>
      </c>
      <c r="O212" s="30">
        <f>AVERAGE(M186:M216)</f>
        <v>1777.8461538461538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65</v>
      </c>
      <c r="O237" s="171" t="s">
        <v>66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67</v>
      </c>
      <c r="O241" s="171" t="s">
        <v>68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65</v>
      </c>
      <c r="O267" s="171" t="s">
        <v>66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67</v>
      </c>
      <c r="O271" s="171" t="s">
        <v>68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65</v>
      </c>
      <c r="O298" s="171" t="s">
        <v>66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67</v>
      </c>
      <c r="O302" s="171" t="s">
        <v>68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73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74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65</v>
      </c>
      <c r="O328" s="171" t="s">
        <v>66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67</v>
      </c>
      <c r="O332" s="171" t="s">
        <v>68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65</v>
      </c>
      <c r="O359" s="171" t="s">
        <v>66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67</v>
      </c>
      <c r="O363" s="171" t="s">
        <v>68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2022-07-14T06:14:23Z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