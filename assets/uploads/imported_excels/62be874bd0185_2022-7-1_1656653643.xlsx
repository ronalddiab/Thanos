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1"/>
  </bookViews>
  <sheets>
    <sheet name="07 - 2022" sheetId="5" r:id="rId1"/>
    <sheet name="Total Daily " sheetId="3" r:id="rId2"/>
    <sheet name="Submetering Daily " sheetId="2" r:id="rId3"/>
  </sheets>
  <definedNames>
    <definedName name="_xlnm.Print_Area" localSheetId="0">'07 - 2022'!$A$1:$J$35</definedName>
  </definedNames>
  <calcPr calcId="162913"/>
</workbook>
</file>

<file path=xl/calcChain.xml><?xml version="1.0" encoding="utf-8"?>
<calcChain xmlns="http://schemas.openxmlformats.org/spreadsheetml/2006/main">
  <c r="J2" i="2" l="1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J31" i="2" l="1"/>
  <c r="I31" i="2"/>
  <c r="H31" i="2"/>
  <c r="F31" i="2"/>
  <c r="E31" i="2"/>
  <c r="L31" i="3"/>
  <c r="K31" i="3"/>
  <c r="I31" i="3"/>
  <c r="G31" i="3"/>
  <c r="E31" i="3"/>
  <c r="J30" i="2" l="1"/>
  <c r="I30" i="2"/>
  <c r="H30" i="2"/>
  <c r="F30" i="2"/>
  <c r="E30" i="2"/>
  <c r="L30" i="3"/>
  <c r="K30" i="3"/>
  <c r="I30" i="3"/>
  <c r="G30" i="3"/>
  <c r="E30" i="3"/>
  <c r="J29" i="2" l="1"/>
  <c r="I29" i="2"/>
  <c r="H29" i="2"/>
  <c r="F29" i="2"/>
  <c r="E29" i="2"/>
  <c r="L29" i="3"/>
  <c r="K29" i="3"/>
  <c r="I29" i="3"/>
  <c r="G29" i="3"/>
  <c r="E29" i="3"/>
  <c r="J26" i="2" l="1"/>
  <c r="I26" i="2"/>
  <c r="H26" i="2"/>
  <c r="F26" i="2"/>
  <c r="E26" i="2"/>
  <c r="L26" i="3"/>
  <c r="K26" i="3"/>
  <c r="I26" i="3"/>
  <c r="G26" i="3"/>
  <c r="E26" i="3"/>
  <c r="J25" i="2" l="1"/>
  <c r="I25" i="2"/>
  <c r="H25" i="2"/>
  <c r="F25" i="2"/>
  <c r="E25" i="2"/>
  <c r="L25" i="3"/>
  <c r="K25" i="3"/>
  <c r="I25" i="3"/>
  <c r="G25" i="3"/>
  <c r="E25" i="3"/>
  <c r="J24" i="2" l="1"/>
  <c r="I24" i="2"/>
  <c r="H24" i="2"/>
  <c r="F24" i="2"/>
  <c r="E24" i="2"/>
  <c r="L24" i="3"/>
  <c r="K24" i="3"/>
  <c r="I24" i="3"/>
  <c r="G24" i="3"/>
  <c r="E24" i="3"/>
  <c r="J23" i="2" l="1"/>
  <c r="I23" i="2"/>
  <c r="H23" i="2"/>
  <c r="F23" i="2"/>
  <c r="E23" i="2"/>
  <c r="L23" i="3"/>
  <c r="K23" i="3"/>
  <c r="I23" i="3"/>
  <c r="G23" i="3"/>
  <c r="E23" i="3"/>
  <c r="J22" i="2" l="1"/>
  <c r="I22" i="2"/>
  <c r="H22" i="2"/>
  <c r="F22" i="2"/>
  <c r="E22" i="2"/>
  <c r="L22" i="3"/>
  <c r="K22" i="3"/>
  <c r="I22" i="3"/>
  <c r="G22" i="3"/>
  <c r="E22" i="3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7" i="2"/>
  <c r="I17" i="2"/>
  <c r="H17" i="2"/>
  <c r="F17" i="2"/>
  <c r="E17" i="2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10" i="2" l="1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7" i="2"/>
  <c r="I7" i="2"/>
  <c r="H7" i="2"/>
  <c r="F7" i="2"/>
  <c r="E7" i="2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7" i="3" l="1"/>
  <c r="K7" i="3"/>
  <c r="I7" i="3"/>
  <c r="G7" i="3"/>
  <c r="E7" i="3"/>
  <c r="L6" i="3" l="1"/>
  <c r="K6" i="3"/>
  <c r="I6" i="3"/>
  <c r="G6" i="3"/>
  <c r="E6" i="3"/>
  <c r="E2" i="3" l="1"/>
  <c r="L17" i="3" l="1"/>
  <c r="K17" i="3"/>
  <c r="I17" i="3"/>
  <c r="G17" i="3"/>
  <c r="E17" i="3"/>
  <c r="L10" i="3" l="1"/>
  <c r="K10" i="3"/>
  <c r="I10" i="3"/>
  <c r="G10" i="3"/>
  <c r="E10" i="3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<sst xmlns="http://schemas.openxmlformats.org/spreadsheetml/2006/main" count="107" uniqueCount="38">
  <si>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</si>
  <si>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</si>
  <si>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</si>
  <si>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</si>
  <si>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</si>
  <si>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</si>
  <si>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</si>
  <si>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</si>
  <si>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</si>
  <si>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</si>
  <si>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</si>
  <si>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</si>
  <si>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</si>
  <si>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</si>
  <si>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</si>
  <si>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</si>
  <si>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</si>
  <si>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</si>
  <si>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</si>
  <si>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</si>
  <si>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</si>
  <si>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</si>
  <si>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</si>
  <si>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</si>
  <si>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</si>
  <si>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</si>
  <si>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</si>
  <si>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</si>
  <si>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</si>
  <si>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</si>
  <si>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</si>
  <si>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</si>
  <si>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</si>
  <si>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</si>
  <si>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</si>
  <si>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</si>
  <si>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</si>
  <si>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JULY'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</si>
</sst>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8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0" fontId="6" fillId="0" borderId="0" xfId="0" applyFont="1"/>
    <xf numFmtId="1" fontId="9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/>
    <xf numFmtId="0" fontId="8" fillId="3" borderId="2" xfId="0" applyFont="1" applyFill="1" applyBorder="1" applyAlignment="1">
      <alignment horizontal="center"/>
    </xf>
    <xf numFmtId="0" fontId="0" fillId="2" borderId="0" xfId="0" applyFill="1" applyAlignment="1"/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43" fontId="0" fillId="0" borderId="1" xfId="2" applyFont="1" applyBorder="1" applyAlignment="1">
      <alignment horizont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43" fontId="0" fillId="0" borderId="1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0" fontId="0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43" fontId="6" fillId="0" borderId="4" xfId="2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/>
    </xf>
    <xf numFmtId="43" fontId="3" fillId="0" borderId="1" xfId="2" applyFont="1" applyBorder="1" applyAlignment="1">
      <alignment horizontal="center"/>
    </xf>
    <xf numFmtId="43" fontId="0" fillId="0" borderId="1" xfId="2" applyFont="1" applyBorder="1" applyAlignment="1">
      <alignment horizontal="center" vertical="top"/>
    </xf>
    <xf numFmtId="43" fontId="3" fillId="0" borderId="1" xfId="0" applyNumberFormat="1" applyFont="1" applyBorder="1" applyAlignment="1">
      <alignment horizontal="center"/>
    </xf>
    <xf numFmtId="43" fontId="0" fillId="0" borderId="0" xfId="2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0" fillId="0" borderId="16" xfId="2" applyFont="1" applyBorder="1" applyAlignment="1">
      <alignment horizontal="center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0" borderId="16" xfId="2" applyFont="1" applyBorder="1" applyAlignment="1">
      <alignment horizontal="center" wrapText="1"/>
    </xf>
    <xf numFmtId="1" fontId="0" fillId="0" borderId="13" xfId="0" applyNumberFormat="1" applyFont="1" applyBorder="1" applyAlignment="1">
      <alignment horizontal="center"/>
    </xf>
    <xf numFmtId="43" fontId="6" fillId="0" borderId="1" xfId="2" applyFont="1" applyBorder="1" applyAlignment="1" applyProtection="1">
      <alignment horizontal="center"/>
      <protection locked="0"/>
    </xf>
    <xf numFmtId="43" fontId="3" fillId="0" borderId="16" xfId="2" applyFont="1" applyBorder="1" applyAlignment="1">
      <alignment horizontal="center"/>
    </xf>
    <xf numFmtId="43" fontId="0" fillId="2" borderId="1" xfId="2" applyFont="1" applyFill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/>
    </xf>
    <xf numFmtId="164" fontId="6" fillId="0" borderId="18" xfId="0" applyNumberFormat="1" applyFont="1" applyBorder="1" applyAlignment="1">
      <alignment horizont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20" xfId="0" applyFont="1" applyBorder="1" applyAlignment="1">
      <alignment horizontal="center"/>
    </xf>
    <xf numFmtId="43" fontId="0" fillId="0" borderId="21" xfId="2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zoomScaleNormal="100" workbookViewId="0">
      <selection activeCell="I14" sqref="I14"/>
    </sheetView>
  </sheetViews>
  <sheetFormatPr defaultRowHeight="15" x14ac:dyDescent="0.2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36"/>
      <c r="B1" s="36"/>
      <c r="C1" s="36"/>
      <c r="D1" s="36"/>
      <c r="E1" s="36"/>
      <c r="F1" s="36"/>
      <c r="G1" s="36"/>
      <c r="H1" s="37"/>
      <c r="I1" s="37"/>
      <c r="J1" s="36"/>
      <c r="K1" s="36"/>
      <c r="L1" s="36"/>
    </row>
    <row r="2" spans="1:17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7" ht="18.75" x14ac:dyDescent="0.3">
      <c r="A3" s="90" t="s">
        <v>30</v>
      </c>
      <c r="B3" s="90"/>
      <c r="C3" s="90"/>
      <c r="D3" s="90"/>
      <c r="E3" s="90"/>
      <c r="F3" s="90"/>
      <c r="G3" s="90"/>
      <c r="H3" s="90"/>
      <c r="I3" s="90"/>
      <c r="J3" s="90"/>
    </row>
    <row r="4" spans="1:17" ht="16.5" thickBot="1" x14ac:dyDescent="0.3">
      <c r="A4" s="91" t="s">
        <v>37</v>
      </c>
      <c r="B4" s="91"/>
      <c r="C4" s="91"/>
      <c r="D4" s="91"/>
      <c r="E4" s="91"/>
      <c r="F4" s="91"/>
      <c r="G4" s="91"/>
      <c r="H4" s="91"/>
      <c r="I4" s="91"/>
      <c r="J4" s="91"/>
    </row>
    <row r="5" spans="1:17" ht="16.5" thickBot="1" x14ac:dyDescent="0.3">
      <c r="A5" s="38"/>
      <c r="B5" s="92" t="s">
        <v>36</v>
      </c>
      <c r="C5" s="93"/>
      <c r="D5" s="92" t="s">
        <v>0</v>
      </c>
      <c r="E5" s="94"/>
      <c r="F5" s="94"/>
      <c r="G5" s="95"/>
      <c r="H5" s="96" t="s">
        <v>1</v>
      </c>
      <c r="I5" s="97"/>
      <c r="J5" s="39" t="s">
        <v>2</v>
      </c>
      <c r="K5" s="40"/>
    </row>
    <row r="6" spans="1:17" ht="12" customHeight="1" thickBot="1" x14ac:dyDescent="0.3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1" t="s">
        <v>7</v>
      </c>
      <c r="H6" s="43" t="s">
        <v>28</v>
      </c>
      <c r="I6" s="43" t="s">
        <v>29</v>
      </c>
      <c r="J6" s="43" t="s">
        <v>8</v>
      </c>
      <c r="K6" s="43" t="s">
        <v>31</v>
      </c>
      <c r="L6" s="44" t="s">
        <v>32</v>
      </c>
    </row>
    <row r="7" spans="1:17" s="12" customFormat="1" ht="12.95" customHeight="1" x14ac:dyDescent="0.25">
      <c r="A7" s="45">
        <v>44742</v>
      </c>
      <c r="B7" s="46">
        <v>231743</v>
      </c>
      <c r="C7" s="47">
        <v>1084089.1000000001</v>
      </c>
      <c r="D7" s="48">
        <v>0.5</v>
      </c>
      <c r="E7" s="49">
        <v>2636.11</v>
      </c>
      <c r="F7" s="49">
        <v>2542.4</v>
      </c>
      <c r="G7" s="49">
        <v>43450.42</v>
      </c>
      <c r="H7" s="46">
        <v>14528</v>
      </c>
      <c r="I7" s="46">
        <v>162394</v>
      </c>
      <c r="J7" s="46">
        <v>56817595</v>
      </c>
      <c r="K7" s="50"/>
      <c r="L7" s="51"/>
      <c r="M7" s="17"/>
    </row>
    <row r="8" spans="1:17" s="27" customFormat="1" ht="12.95" customHeight="1" x14ac:dyDescent="0.25">
      <c r="A8" s="52">
        <f>A7+1</f>
        <v>44743</v>
      </c>
      <c r="B8" s="53">
        <v>235673</v>
      </c>
      <c r="C8" s="53">
        <v>1089903.1000000001</v>
      </c>
      <c r="D8" s="54">
        <v>0.43</v>
      </c>
      <c r="E8" s="59">
        <v>2661</v>
      </c>
      <c r="F8" s="59">
        <v>2548.27</v>
      </c>
      <c r="G8" s="53">
        <v>43482.76</v>
      </c>
      <c r="H8" s="53">
        <v>14528</v>
      </c>
      <c r="I8" s="53">
        <v>162504</v>
      </c>
      <c r="J8" s="53">
        <v>56855078</v>
      </c>
      <c r="K8" s="56"/>
      <c r="L8" s="57"/>
      <c r="M8" s="34"/>
    </row>
    <row r="9" spans="1:17" s="27" customFormat="1" ht="12.95" customHeight="1" x14ac:dyDescent="0.25">
      <c r="A9" s="52">
        <f t="shared" ref="A9:A38" si="0">A8+1</f>
        <v>44744</v>
      </c>
      <c r="B9" s="53"/>
      <c r="C9" s="58"/>
      <c r="D9" s="54"/>
      <c r="E9" s="55"/>
      <c r="F9" s="55"/>
      <c r="G9" s="59"/>
      <c r="H9" s="53"/>
      <c r="I9" s="60"/>
      <c r="J9" s="60"/>
      <c r="K9" s="61"/>
      <c r="L9" s="62"/>
      <c r="M9" s="34"/>
    </row>
    <row r="10" spans="1:17" s="27" customFormat="1" ht="12.95" customHeight="1" x14ac:dyDescent="0.25">
      <c r="A10" s="52">
        <f t="shared" si="0"/>
        <v>44745</v>
      </c>
      <c r="B10" s="60"/>
      <c r="C10" s="60"/>
      <c r="D10" s="54"/>
      <c r="E10" s="55"/>
      <c r="F10" s="55"/>
      <c r="G10" s="59"/>
      <c r="H10" s="53"/>
      <c r="I10" s="60"/>
      <c r="J10" s="63"/>
      <c r="K10" s="61"/>
      <c r="L10" s="64"/>
      <c r="M10" s="34"/>
    </row>
    <row r="11" spans="1:17" s="27" customFormat="1" ht="12.95" customHeight="1" x14ac:dyDescent="0.25">
      <c r="A11" s="52">
        <f t="shared" si="0"/>
        <v>44746</v>
      </c>
      <c r="B11" s="60"/>
      <c r="C11" s="60"/>
      <c r="D11" s="54"/>
      <c r="E11" s="55"/>
      <c r="F11" s="55"/>
      <c r="G11" s="59"/>
      <c r="H11" s="53"/>
      <c r="I11" s="60"/>
      <c r="J11" s="60"/>
      <c r="K11" s="61"/>
      <c r="L11" s="64"/>
      <c r="M11" s="34"/>
    </row>
    <row r="12" spans="1:17" s="27" customFormat="1" ht="12.95" customHeight="1" x14ac:dyDescent="0.25">
      <c r="A12" s="52">
        <f t="shared" si="0"/>
        <v>44747</v>
      </c>
      <c r="B12" s="53"/>
      <c r="C12" s="53"/>
      <c r="D12" s="54"/>
      <c r="E12" s="65"/>
      <c r="F12" s="65"/>
      <c r="G12" s="53"/>
      <c r="H12" s="53"/>
      <c r="I12" s="53"/>
      <c r="J12" s="53"/>
      <c r="K12" s="61"/>
      <c r="L12" s="64"/>
      <c r="M12" s="34"/>
      <c r="N12" s="26"/>
    </row>
    <row r="13" spans="1:17" s="27" customFormat="1" ht="12.95" customHeight="1" x14ac:dyDescent="0.25">
      <c r="A13" s="52">
        <f t="shared" si="0"/>
        <v>44748</v>
      </c>
      <c r="B13" s="66"/>
      <c r="C13" s="58"/>
      <c r="D13" s="54"/>
      <c r="E13" s="55"/>
      <c r="F13" s="55"/>
      <c r="G13" s="59"/>
      <c r="H13" s="60"/>
      <c r="I13" s="58"/>
      <c r="J13" s="58"/>
      <c r="K13" s="61"/>
      <c r="L13" s="64"/>
      <c r="M13" s="34"/>
      <c r="N13" s="28"/>
      <c r="O13" s="28"/>
      <c r="P13" s="28"/>
      <c r="Q13" s="28"/>
    </row>
    <row r="14" spans="1:17" s="27" customFormat="1" ht="12.95" customHeight="1" x14ac:dyDescent="0.25">
      <c r="A14" s="52">
        <f t="shared" si="0"/>
        <v>44749</v>
      </c>
      <c r="B14" s="60"/>
      <c r="C14" s="60"/>
      <c r="D14" s="54"/>
      <c r="E14" s="55"/>
      <c r="F14" s="55"/>
      <c r="G14" s="58"/>
      <c r="H14" s="60"/>
      <c r="I14" s="60"/>
      <c r="J14" s="60"/>
      <c r="K14" s="61"/>
      <c r="L14" s="64"/>
      <c r="M14" s="34"/>
      <c r="N14" s="28"/>
      <c r="O14" s="28"/>
      <c r="P14" s="28"/>
      <c r="Q14" s="28"/>
    </row>
    <row r="15" spans="1:17" s="27" customFormat="1" ht="12.95" customHeight="1" x14ac:dyDescent="0.25">
      <c r="A15" s="52">
        <f t="shared" si="0"/>
        <v>44750</v>
      </c>
      <c r="B15" s="60"/>
      <c r="C15" s="60"/>
      <c r="D15" s="54"/>
      <c r="E15" s="55"/>
      <c r="F15" s="67"/>
      <c r="G15" s="58"/>
      <c r="H15" s="60"/>
      <c r="I15" s="60"/>
      <c r="J15" s="60"/>
      <c r="K15" s="61"/>
      <c r="L15" s="64"/>
      <c r="M15" s="34"/>
      <c r="N15" s="28"/>
      <c r="O15" s="28"/>
      <c r="P15" s="28"/>
      <c r="Q15" s="28"/>
    </row>
    <row r="16" spans="1:17" s="27" customFormat="1" ht="12.95" customHeight="1" x14ac:dyDescent="0.25">
      <c r="A16" s="52">
        <f t="shared" si="0"/>
        <v>44751</v>
      </c>
      <c r="B16" s="68"/>
      <c r="C16" s="60"/>
      <c r="D16" s="54"/>
      <c r="E16" s="55"/>
      <c r="F16" s="67"/>
      <c r="G16" s="58"/>
      <c r="H16" s="60"/>
      <c r="I16" s="60"/>
      <c r="J16" s="60"/>
      <c r="K16" s="61"/>
      <c r="L16" s="64"/>
      <c r="M16" s="34"/>
      <c r="N16" s="28"/>
      <c r="O16" s="28"/>
      <c r="P16" s="28"/>
      <c r="Q16" s="28"/>
    </row>
    <row r="17" spans="1:19" s="27" customFormat="1" ht="12.95" customHeight="1" x14ac:dyDescent="0.25">
      <c r="A17" s="52">
        <f t="shared" si="0"/>
        <v>44752</v>
      </c>
      <c r="B17" s="58"/>
      <c r="C17" s="58"/>
      <c r="D17" s="69"/>
      <c r="E17" s="55"/>
      <c r="F17" s="67"/>
      <c r="G17" s="58"/>
      <c r="H17" s="60"/>
      <c r="I17" s="58"/>
      <c r="J17" s="58"/>
      <c r="K17" s="61"/>
      <c r="L17" s="64"/>
      <c r="M17" s="34"/>
      <c r="N17" s="28"/>
      <c r="O17" s="28"/>
      <c r="P17" s="28"/>
      <c r="Q17" s="28"/>
    </row>
    <row r="18" spans="1:19" s="27" customFormat="1" ht="12.95" customHeight="1" x14ac:dyDescent="0.25">
      <c r="A18" s="52">
        <f t="shared" si="0"/>
        <v>44753</v>
      </c>
      <c r="B18" s="60"/>
      <c r="C18" s="60"/>
      <c r="D18" s="54"/>
      <c r="E18" s="55"/>
      <c r="F18" s="55"/>
      <c r="G18" s="58"/>
      <c r="H18" s="60"/>
      <c r="I18" s="60"/>
      <c r="J18" s="60"/>
      <c r="K18" s="61"/>
      <c r="L18" s="64"/>
      <c r="M18" s="34"/>
      <c r="N18" s="28"/>
      <c r="O18" s="29"/>
      <c r="P18" s="28"/>
      <c r="Q18" s="28"/>
    </row>
    <row r="19" spans="1:19" s="27" customFormat="1" ht="12.95" customHeight="1" x14ac:dyDescent="0.25">
      <c r="A19" s="52">
        <f t="shared" si="0"/>
        <v>44754</v>
      </c>
      <c r="B19" s="70"/>
      <c r="C19" s="70"/>
      <c r="D19" s="54"/>
      <c r="E19" s="55"/>
      <c r="F19" s="55"/>
      <c r="G19" s="71"/>
      <c r="H19" s="60"/>
      <c r="I19" s="70"/>
      <c r="J19" s="70"/>
      <c r="K19" s="61"/>
      <c r="L19" s="64"/>
      <c r="M19" s="34"/>
      <c r="N19" s="28"/>
      <c r="O19" s="29"/>
      <c r="P19" s="28"/>
      <c r="Q19" s="28"/>
    </row>
    <row r="20" spans="1:19" s="27" customFormat="1" ht="12.95" customHeight="1" x14ac:dyDescent="0.25">
      <c r="A20" s="52">
        <f t="shared" si="0"/>
        <v>44755</v>
      </c>
      <c r="B20" s="70"/>
      <c r="C20" s="70"/>
      <c r="D20" s="54"/>
      <c r="E20" s="65"/>
      <c r="F20" s="65"/>
      <c r="G20" s="71"/>
      <c r="H20" s="60"/>
      <c r="I20" s="70"/>
      <c r="J20" s="70"/>
      <c r="K20" s="61"/>
      <c r="L20" s="72"/>
      <c r="M20" s="34"/>
      <c r="N20" s="30"/>
      <c r="O20" s="28"/>
      <c r="P20" s="28"/>
      <c r="Q20" s="28"/>
    </row>
    <row r="21" spans="1:19" s="27" customFormat="1" ht="12.95" customHeight="1" x14ac:dyDescent="0.25">
      <c r="A21" s="52">
        <f t="shared" si="0"/>
        <v>44756</v>
      </c>
      <c r="B21" s="70"/>
      <c r="C21" s="70"/>
      <c r="D21" s="54"/>
      <c r="E21" s="73"/>
      <c r="F21" s="55"/>
      <c r="G21" s="71"/>
      <c r="H21" s="60"/>
      <c r="I21" s="70"/>
      <c r="J21" s="70"/>
      <c r="K21" s="61"/>
      <c r="L21" s="72"/>
      <c r="M21" s="34"/>
      <c r="N21" s="30"/>
      <c r="O21" s="30"/>
      <c r="P21" s="31"/>
      <c r="Q21" s="31"/>
      <c r="S21" s="26"/>
    </row>
    <row r="22" spans="1:19" s="27" customFormat="1" ht="12.95" customHeight="1" x14ac:dyDescent="0.25">
      <c r="A22" s="52">
        <f t="shared" si="0"/>
        <v>44757</v>
      </c>
      <c r="B22" s="53"/>
      <c r="C22" s="68"/>
      <c r="D22" s="54"/>
      <c r="E22" s="55"/>
      <c r="F22" s="55"/>
      <c r="G22" s="71"/>
      <c r="H22" s="60"/>
      <c r="I22" s="71"/>
      <c r="J22" s="70"/>
      <c r="K22" s="61"/>
      <c r="L22" s="72"/>
      <c r="M22" s="34"/>
      <c r="N22" s="30"/>
      <c r="O22" s="30"/>
      <c r="P22" s="28"/>
      <c r="Q22" s="28"/>
    </row>
    <row r="23" spans="1:19" s="27" customFormat="1" ht="12.95" customHeight="1" x14ac:dyDescent="0.25">
      <c r="A23" s="52">
        <f t="shared" si="0"/>
        <v>44758</v>
      </c>
      <c r="B23" s="70"/>
      <c r="C23" s="70"/>
      <c r="D23" s="54"/>
      <c r="E23" s="73"/>
      <c r="F23" s="55"/>
      <c r="G23" s="71"/>
      <c r="H23" s="60"/>
      <c r="I23" s="70"/>
      <c r="J23" s="70"/>
      <c r="K23" s="61"/>
      <c r="L23" s="72"/>
      <c r="M23" s="34"/>
      <c r="N23" s="30"/>
      <c r="O23" s="28"/>
      <c r="P23" s="28"/>
      <c r="Q23" s="28"/>
    </row>
    <row r="24" spans="1:19" s="27" customFormat="1" ht="12.95" customHeight="1" x14ac:dyDescent="0.25">
      <c r="A24" s="52">
        <f t="shared" si="0"/>
        <v>44759</v>
      </c>
      <c r="B24" s="70"/>
      <c r="C24" s="70"/>
      <c r="D24" s="54"/>
      <c r="E24" s="73"/>
      <c r="F24" s="55"/>
      <c r="G24" s="71"/>
      <c r="H24" s="60"/>
      <c r="I24" s="70"/>
      <c r="J24" s="70"/>
      <c r="K24" s="61"/>
      <c r="L24" s="74"/>
      <c r="M24" s="34"/>
      <c r="N24" s="30"/>
      <c r="O24" s="30"/>
      <c r="P24" s="28"/>
      <c r="Q24" s="28"/>
    </row>
    <row r="25" spans="1:19" s="27" customFormat="1" ht="12.95" customHeight="1" x14ac:dyDescent="0.25">
      <c r="A25" s="52">
        <f t="shared" si="0"/>
        <v>44760</v>
      </c>
      <c r="B25" s="71"/>
      <c r="C25" s="71"/>
      <c r="D25" s="54"/>
      <c r="E25" s="73"/>
      <c r="F25" s="55"/>
      <c r="G25" s="71"/>
      <c r="H25" s="60"/>
      <c r="I25" s="70"/>
      <c r="J25" s="70"/>
      <c r="K25" s="75"/>
      <c r="L25" s="74"/>
      <c r="M25" s="34"/>
      <c r="N25" s="30"/>
      <c r="O25" s="30"/>
      <c r="P25" s="28"/>
      <c r="Q25" s="28"/>
    </row>
    <row r="26" spans="1:19" s="27" customFormat="1" ht="12.95" customHeight="1" x14ac:dyDescent="0.25">
      <c r="A26" s="52">
        <f t="shared" si="0"/>
        <v>44761</v>
      </c>
      <c r="B26" s="71"/>
      <c r="C26" s="71"/>
      <c r="D26" s="69"/>
      <c r="E26" s="73"/>
      <c r="F26" s="55"/>
      <c r="G26" s="71"/>
      <c r="H26" s="60"/>
      <c r="I26" s="70"/>
      <c r="J26" s="70"/>
      <c r="K26" s="61"/>
      <c r="L26" s="74"/>
      <c r="M26" s="34"/>
      <c r="N26" s="30"/>
      <c r="O26" s="30"/>
      <c r="P26" s="28"/>
      <c r="Q26" s="28"/>
    </row>
    <row r="27" spans="1:19" s="27" customFormat="1" ht="12.95" customHeight="1" x14ac:dyDescent="0.25">
      <c r="A27" s="52">
        <f t="shared" si="0"/>
        <v>44762</v>
      </c>
      <c r="B27" s="70"/>
      <c r="C27" s="70"/>
      <c r="D27" s="54"/>
      <c r="E27" s="73"/>
      <c r="F27" s="55"/>
      <c r="G27" s="71"/>
      <c r="H27" s="60"/>
      <c r="I27" s="70"/>
      <c r="J27" s="70"/>
      <c r="K27" s="61"/>
      <c r="L27" s="72"/>
      <c r="M27" s="34"/>
    </row>
    <row r="28" spans="1:19" s="27" customFormat="1" ht="12.95" customHeight="1" x14ac:dyDescent="0.25">
      <c r="A28" s="52">
        <f t="shared" si="0"/>
        <v>44763</v>
      </c>
      <c r="B28" s="76"/>
      <c r="C28" s="70"/>
      <c r="D28" s="54"/>
      <c r="E28" s="73"/>
      <c r="F28" s="55"/>
      <c r="G28" s="71"/>
      <c r="H28" s="60"/>
      <c r="I28" s="70"/>
      <c r="J28" s="70"/>
      <c r="K28" s="61"/>
      <c r="L28" s="72"/>
      <c r="M28" s="34"/>
    </row>
    <row r="29" spans="1:19" s="27" customFormat="1" ht="12.95" customHeight="1" x14ac:dyDescent="0.25">
      <c r="A29" s="52">
        <f t="shared" si="0"/>
        <v>44764</v>
      </c>
      <c r="B29" s="70"/>
      <c r="C29" s="70"/>
      <c r="D29" s="54"/>
      <c r="E29" s="73"/>
      <c r="F29" s="55"/>
      <c r="G29" s="71"/>
      <c r="H29" s="60"/>
      <c r="I29" s="70"/>
      <c r="J29" s="70"/>
      <c r="K29" s="61"/>
      <c r="L29" s="72"/>
      <c r="M29" s="34"/>
      <c r="N29" s="26"/>
    </row>
    <row r="30" spans="1:19" s="27" customFormat="1" ht="12.95" customHeight="1" x14ac:dyDescent="0.25">
      <c r="A30" s="52">
        <f t="shared" si="0"/>
        <v>44765</v>
      </c>
      <c r="B30" s="70"/>
      <c r="C30" s="70"/>
      <c r="D30" s="54"/>
      <c r="E30" s="73"/>
      <c r="F30" s="55"/>
      <c r="G30" s="71"/>
      <c r="H30" s="60"/>
      <c r="I30" s="70"/>
      <c r="J30" s="70"/>
      <c r="K30" s="61"/>
      <c r="L30" s="72"/>
      <c r="M30" s="34"/>
    </row>
    <row r="31" spans="1:19" s="27" customFormat="1" ht="12.95" customHeight="1" x14ac:dyDescent="0.25">
      <c r="A31" s="52">
        <f t="shared" si="0"/>
        <v>44766</v>
      </c>
      <c r="B31" s="70"/>
      <c r="C31" s="70"/>
      <c r="D31" s="54"/>
      <c r="E31" s="73"/>
      <c r="F31" s="55"/>
      <c r="G31" s="71"/>
      <c r="H31" s="60"/>
      <c r="I31" s="70"/>
      <c r="J31" s="70"/>
      <c r="K31" s="61"/>
      <c r="L31" s="72"/>
      <c r="M31" s="34"/>
      <c r="N31" s="26"/>
      <c r="O31" s="26"/>
    </row>
    <row r="32" spans="1:19" s="27" customFormat="1" ht="12.95" customHeight="1" x14ac:dyDescent="0.25">
      <c r="A32" s="52">
        <f t="shared" si="0"/>
        <v>44767</v>
      </c>
      <c r="B32" s="70"/>
      <c r="C32" s="70"/>
      <c r="D32" s="54"/>
      <c r="E32" s="73"/>
      <c r="F32" s="55"/>
      <c r="G32" s="71"/>
      <c r="H32" s="60"/>
      <c r="I32" s="70"/>
      <c r="J32" s="70"/>
      <c r="K32" s="61"/>
      <c r="L32" s="72"/>
      <c r="M32" s="34"/>
      <c r="N32" s="26"/>
      <c r="O32" s="26"/>
    </row>
    <row r="33" spans="1:16" s="27" customFormat="1" ht="12.95" customHeight="1" x14ac:dyDescent="0.25">
      <c r="A33" s="52">
        <f t="shared" si="0"/>
        <v>44768</v>
      </c>
      <c r="B33" s="70"/>
      <c r="C33" s="70"/>
      <c r="D33" s="54"/>
      <c r="E33" s="73"/>
      <c r="F33" s="55"/>
      <c r="G33" s="71"/>
      <c r="H33" s="60"/>
      <c r="I33" s="70"/>
      <c r="J33" s="70"/>
      <c r="K33" s="61"/>
      <c r="L33" s="77"/>
      <c r="M33" s="35"/>
      <c r="N33" s="26"/>
      <c r="O33" s="26"/>
    </row>
    <row r="34" spans="1:16" s="27" customFormat="1" ht="12.95" customHeight="1" x14ac:dyDescent="0.25">
      <c r="A34" s="52">
        <f t="shared" si="0"/>
        <v>44769</v>
      </c>
      <c r="B34" s="70"/>
      <c r="C34" s="70"/>
      <c r="D34" s="69"/>
      <c r="E34" s="73"/>
      <c r="F34" s="55"/>
      <c r="G34" s="71"/>
      <c r="H34" s="60"/>
      <c r="I34" s="71"/>
      <c r="J34" s="71"/>
      <c r="K34" s="61"/>
      <c r="L34" s="64"/>
      <c r="M34" s="35"/>
      <c r="N34" s="26"/>
      <c r="P34" s="26"/>
    </row>
    <row r="35" spans="1:16" s="27" customFormat="1" ht="12.95" customHeight="1" x14ac:dyDescent="0.25">
      <c r="A35" s="52">
        <f>A34+1</f>
        <v>44770</v>
      </c>
      <c r="B35" s="60"/>
      <c r="C35" s="78"/>
      <c r="D35" s="54"/>
      <c r="E35" s="73"/>
      <c r="F35" s="55"/>
      <c r="G35" s="58"/>
      <c r="H35" s="60"/>
      <c r="I35" s="60"/>
      <c r="J35" s="60"/>
      <c r="K35" s="61"/>
      <c r="L35" s="72"/>
      <c r="M35" s="34"/>
      <c r="N35" s="26"/>
      <c r="O35" s="26"/>
    </row>
    <row r="36" spans="1:16" s="27" customFormat="1" ht="12.95" customHeight="1" x14ac:dyDescent="0.25">
      <c r="A36" s="79">
        <f t="shared" si="0"/>
        <v>44771</v>
      </c>
      <c r="B36" s="60"/>
      <c r="C36" s="78"/>
      <c r="D36" s="54"/>
      <c r="E36" s="73"/>
      <c r="F36" s="55"/>
      <c r="G36" s="58"/>
      <c r="H36" s="60"/>
      <c r="I36" s="60"/>
      <c r="J36" s="60"/>
      <c r="K36" s="61"/>
      <c r="L36" s="72"/>
      <c r="M36" s="34"/>
      <c r="N36" s="26"/>
      <c r="O36" s="26"/>
    </row>
    <row r="37" spans="1:16" s="27" customFormat="1" ht="12.95" customHeight="1" x14ac:dyDescent="0.25">
      <c r="A37" s="79">
        <f t="shared" si="0"/>
        <v>44772</v>
      </c>
      <c r="B37" s="60"/>
      <c r="C37" s="78"/>
      <c r="D37" s="54"/>
      <c r="E37" s="73"/>
      <c r="F37" s="55"/>
      <c r="G37" s="58"/>
      <c r="H37" s="60"/>
      <c r="I37" s="60"/>
      <c r="J37" s="60"/>
      <c r="K37" s="61"/>
      <c r="L37" s="72"/>
      <c r="M37" s="34"/>
      <c r="N37" s="26"/>
      <c r="O37" s="26"/>
    </row>
    <row r="38" spans="1:16" s="27" customFormat="1" ht="12.95" customHeight="1" thickBot="1" x14ac:dyDescent="0.3">
      <c r="A38" s="80">
        <f t="shared" si="0"/>
        <v>44773</v>
      </c>
      <c r="B38" s="81"/>
      <c r="C38" s="82"/>
      <c r="D38" s="83"/>
      <c r="E38" s="84"/>
      <c r="F38" s="85"/>
      <c r="G38" s="86"/>
      <c r="H38" s="81"/>
      <c r="I38" s="81"/>
      <c r="J38" s="81"/>
      <c r="K38" s="87"/>
      <c r="L38" s="88"/>
      <c r="M38" s="34"/>
      <c r="N38" s="26"/>
      <c r="O38" s="26"/>
    </row>
    <row r="39" spans="1:16" s="27" customFormat="1" ht="12.95" customHeight="1" x14ac:dyDescent="0.25">
      <c r="A39" s="89" t="s">
        <v>35</v>
      </c>
      <c r="B39" s="33">
        <f>B38-B7</f>
        <v>-231743</v>
      </c>
      <c r="C39" s="33">
        <f>C38-C7</f>
        <v>-1084089.1000000001</v>
      </c>
      <c r="D39" s="33"/>
      <c r="E39" s="33">
        <f>E38-E7</f>
        <v>-2636.11</v>
      </c>
      <c r="F39" s="33">
        <f>F38-F7</f>
        <v>-2542.4</v>
      </c>
      <c r="G39" s="33">
        <f>G38-G7</f>
        <v>-43450.42</v>
      </c>
      <c r="H39" s="33">
        <f t="shared" ref="H39" si="1">H38-H7</f>
        <v>-14528</v>
      </c>
      <c r="I39" s="33">
        <f>I38-I7</f>
        <v>-162394</v>
      </c>
      <c r="J39" s="33">
        <f>J38-J7</f>
        <v>-56817595</v>
      </c>
      <c r="K39" s="33">
        <f>SUM(K7:K38)</f>
        <v>0</v>
      </c>
      <c r="L39" s="14"/>
      <c r="M39" s="14"/>
      <c r="N39" s="26"/>
      <c r="O39" s="26"/>
    </row>
    <row r="40" spans="1:16" s="32" customFormat="1" x14ac:dyDescent="0.25">
      <c r="A40" s="14"/>
      <c r="B40" s="14"/>
      <c r="C40" s="33"/>
      <c r="D40" s="14"/>
      <c r="E40" s="16"/>
      <c r="F40" s="16"/>
      <c r="G40" s="16"/>
      <c r="H40" s="13">
        <f>H39*219.969</f>
        <v>-3195709.6319999998</v>
      </c>
      <c r="I40" s="33">
        <f>I39*219.969</f>
        <v>-35721645.785999998</v>
      </c>
      <c r="J40" s="16"/>
      <c r="K40" s="14"/>
      <c r="L40" s="14"/>
      <c r="M40" s="14"/>
    </row>
    <row r="41" spans="1:16" s="32" customFormat="1" x14ac:dyDescent="0.25">
      <c r="A41" s="14"/>
      <c r="B41" s="14"/>
      <c r="C41" s="33"/>
      <c r="D41" s="14"/>
      <c r="E41" s="16"/>
      <c r="F41" s="16"/>
      <c r="G41" s="16"/>
      <c r="H41" s="13"/>
      <c r="I41" s="33"/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S15" sqref="S15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7</v>
      </c>
      <c r="D2" s="14">
        <v>2022</v>
      </c>
      <c r="E2" s="16">
        <f>'07 - 2022'!B8-'07 - 2022'!B7+'07 - 2022'!C8-'07 - 2022'!C7</f>
        <v>9744</v>
      </c>
      <c r="F2" s="14">
        <v>0.11799999999999999</v>
      </c>
      <c r="G2" s="16">
        <f>'07 - 2022'!D8-'07 - 2022'!D7+'07 - 2022'!E8-'07 - 2022'!E7</f>
        <v>24.819999999999709</v>
      </c>
      <c r="H2" s="14">
        <v>0.99</v>
      </c>
      <c r="I2" s="16">
        <f>'07 - 2022'!J8-'07 - 2022'!J7</f>
        <v>37483</v>
      </c>
      <c r="J2" s="14">
        <v>8.1000000000000003E-2</v>
      </c>
      <c r="K2" s="23">
        <f>'07 - 2022'!H8-'07 - 2022'!H7</f>
        <v>0</v>
      </c>
      <c r="L2" s="16">
        <f>'07 - 2022'!I8-'07 - 2022'!I7</f>
        <v>110</v>
      </c>
      <c r="M2" s="15">
        <v>4.393629424766913</v>
      </c>
      <c r="N2" s="16">
        <v>62</v>
      </c>
    </row>
    <row r="3" spans="1:21" x14ac:dyDescent="0.25">
      <c r="A3" t="s">
        <v>27</v>
      </c>
      <c r="B3">
        <f>B2+1</f>
        <v>2</v>
      </c>
      <c r="C3" s="14">
        <v>7</v>
      </c>
      <c r="D3" s="14">
        <v>2022</v>
      </c>
      <c r="E3" s="16">
        <v>0</v>
      </c>
      <c r="F3" s="14">
        <v>0.11799999999999999</v>
      </c>
      <c r="G3" s="16">
        <v>0</v>
      </c>
      <c r="H3" s="14">
        <v>0.99</v>
      </c>
      <c r="I3" s="16">
        <v>0</v>
      </c>
      <c r="J3" s="14">
        <v>8.1000000000000003E-2</v>
      </c>
      <c r="K3" s="23">
        <v>0</v>
      </c>
      <c r="L3" s="16">
        <v>0</v>
      </c>
      <c r="M3" s="15">
        <v>4.393629424766913</v>
      </c>
      <c r="N3" s="18"/>
    </row>
    <row r="4" spans="1:21" x14ac:dyDescent="0.25">
      <c r="A4" t="s">
        <v>27</v>
      </c>
      <c r="B4">
        <f t="shared" ref="B4:B32" si="0">B3+1</f>
        <v>3</v>
      </c>
      <c r="C4" s="14">
        <v>7</v>
      </c>
      <c r="D4" s="14">
        <v>2022</v>
      </c>
      <c r="E4" s="16">
        <f>'07 - 2022'!B10-'07 - 2022'!B9+'07 - 2022'!C10-'07 - 2022'!C9</f>
        <v>0</v>
      </c>
      <c r="F4" s="14">
        <v>0.11799999999999999</v>
      </c>
      <c r="G4" s="16">
        <f>'07 - 2022'!D10-'07 - 2022'!D9+'07 - 2022'!E10-'07 - 2022'!E9</f>
        <v>0</v>
      </c>
      <c r="H4" s="14">
        <v>0.99</v>
      </c>
      <c r="I4" s="16">
        <f>'07 - 2022'!J10-'07 - 2022'!J9</f>
        <v>0</v>
      </c>
      <c r="J4" s="14">
        <v>8.1000000000000003E-2</v>
      </c>
      <c r="K4" s="23">
        <f>'07 - 2022'!H10-'07 - 2022'!H9</f>
        <v>0</v>
      </c>
      <c r="L4" s="16">
        <f>'07 - 2022'!I10-'07 - 2022'!I9</f>
        <v>0</v>
      </c>
      <c r="M4" s="15">
        <v>4.393629424766913</v>
      </c>
      <c r="N4" s="18"/>
    </row>
    <row r="5" spans="1:21" x14ac:dyDescent="0.25">
      <c r="A5" t="s">
        <v>27</v>
      </c>
      <c r="B5">
        <f t="shared" si="0"/>
        <v>4</v>
      </c>
      <c r="C5" s="14">
        <v>7</v>
      </c>
      <c r="D5" s="14">
        <v>2022</v>
      </c>
      <c r="E5" s="16">
        <f>'07 - 2022'!B11-'07 - 2022'!B10+'07 - 2022'!C11-'07 - 2022'!C10</f>
        <v>0</v>
      </c>
      <c r="F5" s="14">
        <v>0.11799999999999999</v>
      </c>
      <c r="G5" s="16">
        <f>'07 - 2022'!D11-'07 - 2022'!D10+'07 - 2022'!E11-'07 - 2022'!E10</f>
        <v>0</v>
      </c>
      <c r="H5" s="14">
        <v>0.99</v>
      </c>
      <c r="I5" s="16">
        <f>'07 - 2022'!J11-'07 - 2022'!J10</f>
        <v>0</v>
      </c>
      <c r="J5" s="14">
        <v>8.1000000000000003E-2</v>
      </c>
      <c r="K5" s="23">
        <f>'07 - 2022'!H11-'07 - 2022'!H10</f>
        <v>0</v>
      </c>
      <c r="L5" s="16">
        <f>'07 - 2022'!I11-'07 - 2022'!I10</f>
        <v>0</v>
      </c>
      <c r="M5" s="15">
        <v>4.393629424766913</v>
      </c>
      <c r="N5" s="18"/>
      <c r="R5" s="14"/>
    </row>
    <row r="6" spans="1:21" x14ac:dyDescent="0.25">
      <c r="A6" t="s">
        <v>27</v>
      </c>
      <c r="B6">
        <f t="shared" si="0"/>
        <v>5</v>
      </c>
      <c r="C6" s="14">
        <v>7</v>
      </c>
      <c r="D6" s="14">
        <v>2022</v>
      </c>
      <c r="E6" s="16">
        <f>'07 - 2022'!B12-'07 - 2022'!B11+'07 - 2022'!C12-'07 - 2022'!C11</f>
        <v>0</v>
      </c>
      <c r="F6" s="14">
        <v>0.11799999999999999</v>
      </c>
      <c r="G6" s="16">
        <f>'07 - 2022'!D12-'07 - 2022'!D11+'07 - 2022'!E12-'07 - 2022'!E11</f>
        <v>0</v>
      </c>
      <c r="H6" s="14">
        <v>0.99</v>
      </c>
      <c r="I6" s="16">
        <f>'07 - 2022'!J12-'07 - 2022'!J11</f>
        <v>0</v>
      </c>
      <c r="J6" s="14">
        <v>8.1000000000000003E-2</v>
      </c>
      <c r="K6" s="23">
        <f>'07 - 2022'!H12-'07 - 2022'!H11</f>
        <v>0</v>
      </c>
      <c r="L6" s="16">
        <f>'07 - 2022'!I12-'07 - 2022'!I11</f>
        <v>0</v>
      </c>
      <c r="M6" s="15">
        <v>4.393629424766913</v>
      </c>
      <c r="N6" s="18"/>
    </row>
    <row r="7" spans="1:21" x14ac:dyDescent="0.25">
      <c r="A7" t="s">
        <v>27</v>
      </c>
      <c r="B7">
        <f t="shared" si="0"/>
        <v>6</v>
      </c>
      <c r="C7" s="14">
        <v>7</v>
      </c>
      <c r="D7" s="14">
        <v>2022</v>
      </c>
      <c r="E7" s="16">
        <f>'07 - 2022'!B13-'07 - 2022'!B12+'07 - 2022'!C13-'07 - 2022'!C12</f>
        <v>0</v>
      </c>
      <c r="F7" s="14">
        <v>0.11799999999999999</v>
      </c>
      <c r="G7" s="16">
        <f>'07 - 2022'!D13-'07 - 2022'!D12+'07 - 2022'!E13-'07 - 2022'!E12</f>
        <v>0</v>
      </c>
      <c r="H7" s="14">
        <v>0.99</v>
      </c>
      <c r="I7" s="16">
        <f>'07 - 2022'!J13-'07 - 2022'!J12</f>
        <v>0</v>
      </c>
      <c r="J7" s="14">
        <v>8.1000000000000003E-2</v>
      </c>
      <c r="K7" s="23">
        <f>'07 - 2022'!H13-'07 - 2022'!H12</f>
        <v>0</v>
      </c>
      <c r="L7" s="16">
        <f>'07 - 2022'!I13-'07 - 2022'!I12</f>
        <v>0</v>
      </c>
      <c r="M7" s="15">
        <v>4.393629424766913</v>
      </c>
      <c r="N7" s="18"/>
    </row>
    <row r="8" spans="1:21" x14ac:dyDescent="0.25">
      <c r="A8" t="s">
        <v>27</v>
      </c>
      <c r="B8">
        <f t="shared" si="0"/>
        <v>7</v>
      </c>
      <c r="C8" s="14">
        <v>7</v>
      </c>
      <c r="D8" s="14">
        <v>2022</v>
      </c>
      <c r="E8" s="16">
        <f>'07 - 2022'!B14-'07 - 2022'!B13+'07 - 2022'!C14-'07 - 2022'!C13</f>
        <v>0</v>
      </c>
      <c r="F8" s="14">
        <v>0.11799999999999999</v>
      </c>
      <c r="G8" s="16">
        <f>'07 - 2022'!D14-'07 - 2022'!D13+'07 - 2022'!E14-'07 - 2022'!E13</f>
        <v>0</v>
      </c>
      <c r="H8" s="14">
        <v>0.99</v>
      </c>
      <c r="I8" s="16">
        <f>'07 - 2022'!J14-'07 - 2022'!J13</f>
        <v>0</v>
      </c>
      <c r="J8" s="14">
        <v>8.1000000000000003E-2</v>
      </c>
      <c r="K8" s="23">
        <f>'07 - 2022'!H14-'07 - 2022'!H13</f>
        <v>0</v>
      </c>
      <c r="L8" s="16">
        <f>'07 - 2022'!I14-'07 - 2022'!I13</f>
        <v>0</v>
      </c>
      <c r="M8" s="15">
        <v>4.393629424766913</v>
      </c>
      <c r="N8" s="18"/>
      <c r="O8" s="16"/>
    </row>
    <row r="9" spans="1:21" x14ac:dyDescent="0.25">
      <c r="A9" t="s">
        <v>27</v>
      </c>
      <c r="B9">
        <f t="shared" si="0"/>
        <v>8</v>
      </c>
      <c r="C9" s="14">
        <v>7</v>
      </c>
      <c r="D9" s="14">
        <v>2022</v>
      </c>
      <c r="E9" s="16">
        <f>'07 - 2022'!B15-'07 - 2022'!B14+'07 - 2022'!C15-'07 - 2022'!C14</f>
        <v>0</v>
      </c>
      <c r="F9" s="14">
        <v>0.11799999999999999</v>
      </c>
      <c r="G9" s="16">
        <f>'07 - 2022'!D15-'07 - 2022'!D14+'07 - 2022'!E15-'07 - 2022'!E14</f>
        <v>0</v>
      </c>
      <c r="H9" s="14">
        <v>0.99</v>
      </c>
      <c r="I9" s="16">
        <f>'07 - 2022'!J15-'07 - 2022'!J14</f>
        <v>0</v>
      </c>
      <c r="J9" s="14">
        <v>8.1000000000000003E-2</v>
      </c>
      <c r="K9" s="23">
        <f>'07 - 2022'!H15-'07 - 2022'!H14</f>
        <v>0</v>
      </c>
      <c r="L9" s="16">
        <f>'07 - 2022'!I15-'07 - 2022'!I14</f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7</v>
      </c>
      <c r="D10" s="14">
        <v>2022</v>
      </c>
      <c r="E10" s="16">
        <f>'07 - 2022'!B16-'07 - 2022'!B15+'07 - 2022'!C16-'07 - 2022'!C15</f>
        <v>0</v>
      </c>
      <c r="F10" s="14">
        <v>0.11799999999999999</v>
      </c>
      <c r="G10" s="16">
        <f>'07 - 2022'!D16-'07 - 2022'!D15+'07 - 2022'!E16-'07 - 2022'!E15</f>
        <v>0</v>
      </c>
      <c r="H10" s="14">
        <v>0.99</v>
      </c>
      <c r="I10" s="16">
        <f>'07 - 2022'!J16-'07 - 2022'!J15</f>
        <v>0</v>
      </c>
      <c r="J10" s="14">
        <v>8.1000000000000003E-2</v>
      </c>
      <c r="K10" s="23">
        <f>'07 - 2022'!H16-'07 - 2022'!H15</f>
        <v>0</v>
      </c>
      <c r="L10" s="16">
        <f>'07 - 2022'!I16-'07 - 2022'!I15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7</v>
      </c>
      <c r="D11" s="14">
        <v>2022</v>
      </c>
      <c r="E11" s="16">
        <f>'07 - 2022'!B17-'07 - 2022'!B16+'07 - 2022'!C17-'07 - 2022'!C16</f>
        <v>0</v>
      </c>
      <c r="F11" s="14">
        <v>0.11799999999999999</v>
      </c>
      <c r="G11" s="16">
        <f>'07 - 2022'!D17-'07 - 2022'!D16+'07 - 2022'!E17-'07 - 2022'!E16</f>
        <v>0</v>
      </c>
      <c r="H11" s="14">
        <v>0.99</v>
      </c>
      <c r="I11" s="16">
        <f>'07 - 2022'!J17-'07 - 2022'!J16</f>
        <v>0</v>
      </c>
      <c r="J11" s="14">
        <v>8.1000000000000003E-2</v>
      </c>
      <c r="K11" s="23">
        <f>'07 - 2022'!H17-'07 - 2022'!H16</f>
        <v>0</v>
      </c>
      <c r="L11" s="16">
        <f>'07 - 2022'!I17-'07 - 2022'!I16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7</v>
      </c>
      <c r="D12" s="14">
        <v>2022</v>
      </c>
      <c r="E12" s="16">
        <f>'07 - 2022'!B18-'07 - 2022'!B17+'07 - 2022'!C18-'07 - 2022'!C17</f>
        <v>0</v>
      </c>
      <c r="F12" s="14">
        <v>0.11799999999999999</v>
      </c>
      <c r="G12" s="16">
        <f>'07 - 2022'!D18-'07 - 2022'!D17+'07 - 2022'!E18-'07 - 2022'!E17</f>
        <v>0</v>
      </c>
      <c r="H12" s="14">
        <v>0.99</v>
      </c>
      <c r="I12" s="16">
        <f>'07 - 2022'!J18-'07 - 2022'!J17</f>
        <v>0</v>
      </c>
      <c r="J12" s="14">
        <v>8.1000000000000003E-2</v>
      </c>
      <c r="K12" s="23">
        <f>'07 - 2022'!H18-'07 - 2022'!H17</f>
        <v>0</v>
      </c>
      <c r="L12" s="16">
        <f>'07 - 2022'!I18-'07 - 2022'!I17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7</v>
      </c>
      <c r="D13" s="14">
        <v>2022</v>
      </c>
      <c r="E13" s="16">
        <f>'07 - 2022'!B19-'07 - 2022'!B18+'07 - 2022'!C19-'07 - 2022'!C18</f>
        <v>0</v>
      </c>
      <c r="F13" s="14">
        <v>0.11799999999999999</v>
      </c>
      <c r="G13" s="16">
        <f>'07 - 2022'!D19-'07 - 2022'!D18+'07 - 2022'!E19-'07 - 2022'!E18</f>
        <v>0</v>
      </c>
      <c r="H13" s="14">
        <v>0.99</v>
      </c>
      <c r="I13" s="16">
        <f>'07 - 2022'!J19-'07 - 2022'!J18</f>
        <v>0</v>
      </c>
      <c r="J13" s="14">
        <v>8.1000000000000003E-2</v>
      </c>
      <c r="K13" s="23">
        <f>'07 - 2022'!H19-'07 - 2022'!H18</f>
        <v>0</v>
      </c>
      <c r="L13" s="16">
        <f>'07 - 2022'!I19-'07 - 2022'!I18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7</v>
      </c>
      <c r="D14" s="14">
        <v>2022</v>
      </c>
      <c r="E14" s="16">
        <f>'07 - 2022'!B20-'07 - 2022'!B19+'07 - 2022'!C20-'07 - 2022'!C19</f>
        <v>0</v>
      </c>
      <c r="F14" s="14">
        <v>0.11799999999999999</v>
      </c>
      <c r="G14" s="16">
        <f>'07 - 2022'!D20-'07 - 2022'!D19+'07 - 2022'!E20-'07 - 2022'!E19</f>
        <v>0</v>
      </c>
      <c r="H14" s="14">
        <v>0.99</v>
      </c>
      <c r="I14" s="16">
        <f>'07 - 2022'!J20-'07 - 2022'!J19</f>
        <v>0</v>
      </c>
      <c r="J14" s="14">
        <v>8.1000000000000003E-2</v>
      </c>
      <c r="K14" s="23">
        <f>'07 - 2022'!H20-'07 - 2022'!H19</f>
        <v>0</v>
      </c>
      <c r="L14" s="16">
        <f>'07 - 2022'!I20-'07 - 2022'!I19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7</v>
      </c>
      <c r="D15" s="14">
        <v>2022</v>
      </c>
      <c r="E15" s="16">
        <f>'07 - 2022'!B21-'07 - 2022'!B20+'07 - 2022'!C21-'07 - 2022'!C20</f>
        <v>0</v>
      </c>
      <c r="F15" s="14">
        <v>0.11799999999999999</v>
      </c>
      <c r="G15" s="16">
        <f>'07 - 2022'!D21-'07 - 2022'!D20+'07 - 2022'!E21-'07 - 2022'!E20</f>
        <v>0</v>
      </c>
      <c r="H15" s="14">
        <v>0.99</v>
      </c>
      <c r="I15" s="16">
        <f>'07 - 2022'!J21-'07 - 2022'!J20</f>
        <v>0</v>
      </c>
      <c r="J15" s="14">
        <v>8.1000000000000003E-2</v>
      </c>
      <c r="K15" s="23">
        <f>'07 - 2022'!H21-'07 - 2022'!H20</f>
        <v>0</v>
      </c>
      <c r="L15" s="16">
        <f>'07 - 2022'!I21-'07 - 2022'!I20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7</v>
      </c>
      <c r="D16" s="14">
        <v>2022</v>
      </c>
      <c r="E16" s="16">
        <f>'07 - 2022'!B22-'07 - 2022'!B21+'07 - 2022'!C22-'07 - 2022'!C21</f>
        <v>0</v>
      </c>
      <c r="F16" s="14">
        <v>0.11799999999999999</v>
      </c>
      <c r="G16" s="16">
        <f>'07 - 2022'!D22-'07 - 2022'!D21+'07 - 2022'!E22-'07 - 2022'!E21</f>
        <v>0</v>
      </c>
      <c r="H16" s="14">
        <v>0.99</v>
      </c>
      <c r="I16" s="16">
        <f>'07 - 2022'!J22-'07 - 2022'!J21</f>
        <v>0</v>
      </c>
      <c r="J16" s="14">
        <v>8.1000000000000003E-2</v>
      </c>
      <c r="K16" s="23">
        <f>'07 - 2022'!H22-'07 - 2022'!H21</f>
        <v>0</v>
      </c>
      <c r="L16" s="16">
        <f>'07 - 2022'!I22-'07 - 2022'!I21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7</v>
      </c>
      <c r="D17" s="14">
        <v>2022</v>
      </c>
      <c r="E17" s="16">
        <f>'07 - 2022'!B23-'07 - 2022'!B22+'07 - 2022'!C23-'07 - 2022'!C22</f>
        <v>0</v>
      </c>
      <c r="F17" s="14">
        <v>0.11799999999999999</v>
      </c>
      <c r="G17" s="16">
        <f>'07 - 2022'!D23-'07 - 2022'!D22+'07 - 2022'!E23-'07 - 2022'!E22</f>
        <v>0</v>
      </c>
      <c r="H17" s="14">
        <v>0.99</v>
      </c>
      <c r="I17" s="16">
        <f>'07 - 2022'!J23-'07 - 2022'!J22</f>
        <v>0</v>
      </c>
      <c r="J17" s="14">
        <v>8.1000000000000003E-2</v>
      </c>
      <c r="K17" s="23">
        <f>'07 - 2022'!H23-'07 - 2022'!H22</f>
        <v>0</v>
      </c>
      <c r="L17" s="16">
        <f>'07 - 2022'!I23-'07 - 2022'!I22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7</v>
      </c>
      <c r="D18" s="14">
        <v>2022</v>
      </c>
      <c r="E18" s="16">
        <f>'07 - 2022'!B24-'07 - 2022'!B23+'07 - 2022'!C24-'07 - 2022'!C23</f>
        <v>0</v>
      </c>
      <c r="F18" s="14">
        <v>0.11799999999999999</v>
      </c>
      <c r="G18" s="16">
        <f>'07 - 2022'!D24-'07 - 2022'!D23+'07 - 2022'!E24-'07 - 2022'!E23</f>
        <v>0</v>
      </c>
      <c r="H18" s="14">
        <v>0.99</v>
      </c>
      <c r="I18" s="16">
        <f>'07 - 2022'!J24-'07 - 2022'!J23</f>
        <v>0</v>
      </c>
      <c r="J18" s="14">
        <v>8.1000000000000003E-2</v>
      </c>
      <c r="K18" s="23">
        <f>'07 - 2022'!H24-'07 - 2022'!H23</f>
        <v>0</v>
      </c>
      <c r="L18" s="16">
        <f>'07 - 2022'!I24-'07 - 2022'!I23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7</v>
      </c>
      <c r="D19" s="14">
        <v>2022</v>
      </c>
      <c r="E19" s="16">
        <f>'07 - 2022'!B25-'07 - 2022'!B24+'07 - 2022'!C25-'07 - 2022'!C24</f>
        <v>0</v>
      </c>
      <c r="F19" s="14">
        <v>0.11799999999999999</v>
      </c>
      <c r="G19" s="16">
        <f>'07 - 2022'!D25-'07 - 2022'!D24+'07 - 2022'!E25-'07 - 2022'!E24</f>
        <v>0</v>
      </c>
      <c r="H19" s="14">
        <v>0.99</v>
      </c>
      <c r="I19" s="16">
        <f>'07 - 2022'!J25-'07 - 2022'!J24</f>
        <v>0</v>
      </c>
      <c r="J19" s="14">
        <v>8.1000000000000003E-2</v>
      </c>
      <c r="K19" s="23">
        <f>'07 - 2022'!H25-'07 - 2022'!H24</f>
        <v>0</v>
      </c>
      <c r="L19" s="16">
        <f>'07 - 2022'!I25-'07 - 2022'!I24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7</v>
      </c>
      <c r="D20" s="14">
        <v>2022</v>
      </c>
      <c r="E20" s="16">
        <f>'07 - 2022'!B26-'07 - 2022'!B25+'07 - 2022'!C26-'07 - 2022'!C25</f>
        <v>0</v>
      </c>
      <c r="F20" s="14">
        <v>0.11799999999999999</v>
      </c>
      <c r="G20" s="16">
        <f>'07 - 2022'!D26-'07 - 2022'!D25+'07 - 2022'!E26-'07 - 2022'!E25</f>
        <v>0</v>
      </c>
      <c r="H20" s="14">
        <v>0.99</v>
      </c>
      <c r="I20" s="16">
        <f>'07 - 2022'!J26-'07 - 2022'!J25</f>
        <v>0</v>
      </c>
      <c r="J20" s="14">
        <v>8.1000000000000003E-2</v>
      </c>
      <c r="K20" s="23">
        <f>'07 - 2022'!H26-'07 - 2022'!H25</f>
        <v>0</v>
      </c>
      <c r="L20" s="16">
        <f>'07 - 2022'!I26-'07 - 2022'!I25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7</v>
      </c>
      <c r="D21" s="14">
        <v>2022</v>
      </c>
      <c r="E21" s="16">
        <f>'07 - 2022'!B27-'07 - 2022'!B26+'07 - 2022'!C27-'07 - 2022'!C26</f>
        <v>0</v>
      </c>
      <c r="F21" s="14">
        <v>0.11799999999999999</v>
      </c>
      <c r="G21" s="16">
        <f>'07 - 2022'!D27-'07 - 2022'!D26+'07 - 2022'!E27-'07 - 2022'!E26</f>
        <v>0</v>
      </c>
      <c r="H21" s="14">
        <v>0.99</v>
      </c>
      <c r="I21" s="16">
        <f>'07 - 2022'!J27-'07 - 2022'!J26</f>
        <v>0</v>
      </c>
      <c r="J21" s="14">
        <v>8.1000000000000003E-2</v>
      </c>
      <c r="K21" s="23">
        <f>'07 - 2022'!H27-'07 - 2022'!H26</f>
        <v>0</v>
      </c>
      <c r="L21" s="16">
        <f>'07 - 2022'!I27-'07 - 2022'!I26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7</v>
      </c>
      <c r="D22" s="14">
        <v>2022</v>
      </c>
      <c r="E22" s="16">
        <f>'07 - 2022'!B28-'07 - 2022'!B27+'07 - 2022'!C28-'07 - 2022'!C27</f>
        <v>0</v>
      </c>
      <c r="F22" s="14">
        <v>0.11799999999999999</v>
      </c>
      <c r="G22" s="16">
        <f>'07 - 2022'!D28-'07 - 2022'!D27+'07 - 2022'!E28-'07 - 2022'!E27</f>
        <v>0</v>
      </c>
      <c r="H22" s="14">
        <v>0.99</v>
      </c>
      <c r="I22" s="16">
        <f>'07 - 2022'!J28-'07 - 2022'!J27</f>
        <v>0</v>
      </c>
      <c r="J22" s="14">
        <v>8.1000000000000003E-2</v>
      </c>
      <c r="K22" s="23">
        <f>'07 - 2022'!H28-'07 - 2022'!H27</f>
        <v>0</v>
      </c>
      <c r="L22" s="16">
        <f>'07 - 2022'!I28-'07 - 2022'!I27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7</v>
      </c>
      <c r="D23" s="14">
        <v>2022</v>
      </c>
      <c r="E23" s="16">
        <f>'07 - 2022'!B29-'07 - 2022'!B28+'07 - 2022'!C29-'07 - 2022'!C28</f>
        <v>0</v>
      </c>
      <c r="F23" s="14">
        <v>0.11799999999999999</v>
      </c>
      <c r="G23" s="16">
        <f>'07 - 2022'!D29-'07 - 2022'!D28+'07 - 2022'!E29-'07 - 2022'!E28</f>
        <v>0</v>
      </c>
      <c r="H23" s="14">
        <v>0.99</v>
      </c>
      <c r="I23" s="16">
        <f>'07 - 2022'!J29-'07 - 2022'!J28</f>
        <v>0</v>
      </c>
      <c r="J23" s="14">
        <v>8.1000000000000003E-2</v>
      </c>
      <c r="K23" s="23">
        <f>'07 - 2022'!H29-'07 - 2022'!H28</f>
        <v>0</v>
      </c>
      <c r="L23" s="16">
        <f>'07 - 2022'!I29-'07 - 2022'!I28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7</v>
      </c>
      <c r="D24" s="14">
        <v>2022</v>
      </c>
      <c r="E24" s="16">
        <f>'07 - 2022'!B30-'07 - 2022'!B29+'07 - 2022'!C30-'07 - 2022'!C29</f>
        <v>0</v>
      </c>
      <c r="F24" s="14">
        <v>0.11799999999999999</v>
      </c>
      <c r="G24" s="16">
        <f>'07 - 2022'!D30-'07 - 2022'!D29+'07 - 2022'!E30-'07 - 2022'!E29</f>
        <v>0</v>
      </c>
      <c r="H24" s="14">
        <v>0.99</v>
      </c>
      <c r="I24" s="16">
        <f>'07 - 2022'!J30-'07 - 2022'!J29</f>
        <v>0</v>
      </c>
      <c r="J24" s="14">
        <v>8.1000000000000003E-2</v>
      </c>
      <c r="K24" s="23">
        <f>'07 - 2022'!H30-'07 - 2022'!H29</f>
        <v>0</v>
      </c>
      <c r="L24" s="16">
        <f>'07 - 2022'!I30-'07 - 2022'!I29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7</v>
      </c>
      <c r="D25" s="14">
        <v>2022</v>
      </c>
      <c r="E25" s="16">
        <f>'07 - 2022'!B31-'07 - 2022'!B30+'07 - 2022'!C31-'07 - 2022'!C30</f>
        <v>0</v>
      </c>
      <c r="F25" s="14">
        <v>0.11799999999999999</v>
      </c>
      <c r="G25" s="16">
        <f>'07 - 2022'!D31-'07 - 2022'!D30+'07 - 2022'!E31-'07 - 2022'!E30</f>
        <v>0</v>
      </c>
      <c r="H25" s="14">
        <v>0.99</v>
      </c>
      <c r="I25" s="16">
        <f>'07 - 2022'!J31-'07 - 2022'!J30</f>
        <v>0</v>
      </c>
      <c r="J25" s="14">
        <v>8.1000000000000003E-2</v>
      </c>
      <c r="K25" s="23">
        <f>'07 - 2022'!H31-'07 - 2022'!H30</f>
        <v>0</v>
      </c>
      <c r="L25" s="16">
        <f>'07 - 2022'!I31-'07 - 2022'!I30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7</v>
      </c>
      <c r="D26" s="14">
        <v>2022</v>
      </c>
      <c r="E26" s="16">
        <f>'07 - 2022'!B32-'07 - 2022'!B31+'07 - 2022'!C32-'07 - 2022'!C31</f>
        <v>0</v>
      </c>
      <c r="F26" s="14">
        <v>0.11799999999999999</v>
      </c>
      <c r="G26" s="16">
        <f>'07 - 2022'!D32-'07 - 2022'!D31+'07 - 2022'!E32-'07 - 2022'!E31</f>
        <v>0</v>
      </c>
      <c r="H26" s="14">
        <v>0.99</v>
      </c>
      <c r="I26" s="16">
        <f>'07 - 2022'!J32-'07 - 2022'!J31</f>
        <v>0</v>
      </c>
      <c r="J26" s="14">
        <v>8.1000000000000003E-2</v>
      </c>
      <c r="K26" s="23">
        <f>'07 - 2022'!H32-'07 - 2022'!H31</f>
        <v>0</v>
      </c>
      <c r="L26" s="16">
        <f>'07 - 2022'!I32-'07 - 2022'!I31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7</v>
      </c>
      <c r="D27" s="14">
        <v>2022</v>
      </c>
      <c r="E27" s="16">
        <f>'07 - 2022'!B33-'07 - 2022'!B32+'07 - 2022'!C33-'07 - 2022'!C32</f>
        <v>0</v>
      </c>
      <c r="F27" s="14">
        <v>0.11799999999999999</v>
      </c>
      <c r="G27" s="16">
        <f>'07 - 2022'!D33-'07 - 2022'!D32+'07 - 2022'!E33-'07 - 2022'!E32</f>
        <v>0</v>
      </c>
      <c r="H27" s="14">
        <v>0.99</v>
      </c>
      <c r="I27" s="16">
        <f>'07 - 2022'!J33-'07 - 2022'!J32</f>
        <v>0</v>
      </c>
      <c r="J27" s="14">
        <v>8.1000000000000003E-2</v>
      </c>
      <c r="K27" s="23">
        <f>'07 - 2022'!H33-'07 - 2022'!H32</f>
        <v>0</v>
      </c>
      <c r="L27" s="16">
        <f>'07 - 2022'!I33-'07 - 2022'!I32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7</v>
      </c>
      <c r="D28" s="14">
        <v>2022</v>
      </c>
      <c r="E28" s="16">
        <f>'07 - 2022'!B34-'07 - 2022'!B33+'07 - 2022'!C34-'07 - 2022'!C33</f>
        <v>0</v>
      </c>
      <c r="F28" s="14">
        <v>0.11799999999999999</v>
      </c>
      <c r="G28" s="16">
        <f>'07 - 2022'!D34-'07 - 2022'!D33+'07 - 2022'!E34-'07 - 2022'!E33</f>
        <v>0</v>
      </c>
      <c r="H28" s="14">
        <v>0.99</v>
      </c>
      <c r="I28" s="16">
        <f>'07 - 2022'!J34-'07 - 2022'!J33</f>
        <v>0</v>
      </c>
      <c r="J28" s="14">
        <v>8.1000000000000003E-2</v>
      </c>
      <c r="K28" s="23">
        <f>'07 - 2022'!H34-'07 - 2022'!H33</f>
        <v>0</v>
      </c>
      <c r="L28" s="16">
        <f>'07 - 2022'!I34-'07 - 2022'!I33</f>
        <v>0</v>
      </c>
      <c r="M28" s="15">
        <v>4.393629424766913</v>
      </c>
      <c r="N28" s="16"/>
    </row>
    <row r="29" spans="1:17" x14ac:dyDescent="0.25">
      <c r="A29" t="s">
        <v>27</v>
      </c>
      <c r="B29">
        <f t="shared" si="0"/>
        <v>28</v>
      </c>
      <c r="C29" s="14">
        <v>7</v>
      </c>
      <c r="D29" s="14">
        <v>2022</v>
      </c>
      <c r="E29" s="16">
        <f>'07 - 2022'!B35-'07 - 2022'!B34+'07 - 2022'!C35-'07 - 2022'!C34</f>
        <v>0</v>
      </c>
      <c r="F29" s="14">
        <v>0.11799999999999999</v>
      </c>
      <c r="G29" s="16">
        <f>'07 - 2022'!D35-'07 - 2022'!D34+'07 - 2022'!E35-'07 - 2022'!E34</f>
        <v>0</v>
      </c>
      <c r="H29" s="14">
        <v>0.99</v>
      </c>
      <c r="I29" s="16">
        <f>'07 - 2022'!J35-'07 - 2022'!J34</f>
        <v>0</v>
      </c>
      <c r="J29" s="14">
        <v>8.1000000000000003E-2</v>
      </c>
      <c r="K29" s="23">
        <f>'07 - 2022'!H35-'07 - 2022'!H34</f>
        <v>0</v>
      </c>
      <c r="L29" s="16">
        <f>'07 - 2022'!I35-'07 - 2022'!I34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7</v>
      </c>
      <c r="D30" s="14">
        <v>2022</v>
      </c>
      <c r="E30" s="16">
        <f>'07 - 2022'!B36-'07 - 2022'!B35+'07 - 2022'!C36-'07 - 2022'!C35</f>
        <v>0</v>
      </c>
      <c r="F30" s="14">
        <v>0.11799999999999999</v>
      </c>
      <c r="G30" s="16">
        <f>'07 - 2022'!D36-'07 - 2022'!D35+'07 - 2022'!E36-'07 - 2022'!E35</f>
        <v>0</v>
      </c>
      <c r="H30" s="14">
        <v>0.99</v>
      </c>
      <c r="I30" s="16">
        <f>'07 - 2022'!J36-'07 - 2022'!J35</f>
        <v>0</v>
      </c>
      <c r="J30" s="14">
        <v>8.1000000000000003E-2</v>
      </c>
      <c r="K30" s="23">
        <f>'07 - 2022'!H36-'07 - 2022'!H35</f>
        <v>0</v>
      </c>
      <c r="L30" s="16">
        <f>'07 - 2022'!I36-'07 - 2022'!I35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7</v>
      </c>
      <c r="D31" s="14">
        <v>2022</v>
      </c>
      <c r="E31" s="16">
        <f>'07 - 2022'!B37-'07 - 2022'!B36+'07 - 2022'!C37-'07 - 2022'!C36</f>
        <v>0</v>
      </c>
      <c r="F31" s="14">
        <v>0.11799999999999999</v>
      </c>
      <c r="G31" s="16">
        <f>'07 - 2022'!D37-'07 - 2022'!D36+'07 - 2022'!E37-'07 - 2022'!E36</f>
        <v>0</v>
      </c>
      <c r="H31" s="14">
        <v>0.99</v>
      </c>
      <c r="I31" s="16">
        <f>'07 - 2022'!J37-'07 - 2022'!J36</f>
        <v>0</v>
      </c>
      <c r="J31" s="14">
        <v>8.1000000000000003E-2</v>
      </c>
      <c r="K31" s="23">
        <f>'07 - 2022'!H37-'07 - 2022'!H36</f>
        <v>0</v>
      </c>
      <c r="L31" s="16">
        <f>'07 - 2022'!I37-'07 - 2022'!I36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7</v>
      </c>
      <c r="D32" s="14">
        <v>2022</v>
      </c>
      <c r="E32" s="16">
        <f>'07 - 2022'!B38-'07 - 2022'!B37+'07 - 2022'!C38-'07 - 2022'!C37</f>
        <v>0</v>
      </c>
      <c r="F32" s="14">
        <v>0.11799999999999999</v>
      </c>
      <c r="G32" s="16">
        <f>'07 - 2022'!D38-'07 - 2022'!D37+'07 - 2022'!E38-'07 - 2022'!E37</f>
        <v>0</v>
      </c>
      <c r="H32" s="14">
        <v>0.99</v>
      </c>
      <c r="I32" s="16">
        <f>'07 - 2022'!J38-'07 - 2022'!J37</f>
        <v>0</v>
      </c>
      <c r="J32" s="14">
        <v>8.1000000000000003E-2</v>
      </c>
      <c r="K32" s="23">
        <f>'07 - 2022'!H38-'07 - 2022'!H37</f>
        <v>0</v>
      </c>
      <c r="L32" s="16">
        <f>'07 - 2022'!I38-'07 - 2022'!I37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I4" sqref="I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7</v>
      </c>
      <c r="D2">
        <v>2022</v>
      </c>
      <c r="E2" s="16">
        <f>'07 - 2022'!B8-'07 - 2022'!B7</f>
        <v>3930</v>
      </c>
      <c r="F2" s="16">
        <f>'07 - 2022'!C8-'07 - 2022'!C7</f>
        <v>5814</v>
      </c>
      <c r="G2" s="14">
        <v>0.11799999999999999</v>
      </c>
      <c r="H2" s="16">
        <f>'07 - 2022'!E8-'07 - 2022'!E7</f>
        <v>24.889999999999873</v>
      </c>
      <c r="I2" s="16">
        <f>'07 - 2022'!F8-'07 - 2022'!F7</f>
        <v>5.8699999999998909</v>
      </c>
      <c r="J2" s="16">
        <f>'07 - 2022'!G8-'07 - 2022'!G7</f>
        <v>32.340000000003783</v>
      </c>
      <c r="K2" s="14">
        <v>0.74</v>
      </c>
      <c r="L2" s="16">
        <v>62</v>
      </c>
      <c r="M2" s="10"/>
    </row>
    <row r="3" spans="1:13" x14ac:dyDescent="0.25">
      <c r="A3" t="s">
        <v>27</v>
      </c>
      <c r="B3">
        <f>B2+1</f>
        <v>2</v>
      </c>
      <c r="C3" s="14">
        <v>7</v>
      </c>
      <c r="D3" s="14">
        <v>2022</v>
      </c>
      <c r="E3" s="16">
        <v>0</v>
      </c>
      <c r="F3" s="16">
        <v>0</v>
      </c>
      <c r="G3" s="14">
        <v>0.11799999999999999</v>
      </c>
      <c r="H3" s="16">
        <v>0</v>
      </c>
      <c r="I3" s="16">
        <v>0</v>
      </c>
      <c r="J3" s="16">
        <v>0</v>
      </c>
      <c r="K3" s="14">
        <v>0.74</v>
      </c>
      <c r="L3" s="18"/>
      <c r="M3" s="10"/>
    </row>
    <row r="4" spans="1:13" x14ac:dyDescent="0.25">
      <c r="A4" t="s">
        <v>27</v>
      </c>
      <c r="B4">
        <f t="shared" ref="B4:B32" si="0">B3+1</f>
        <v>3</v>
      </c>
      <c r="C4" s="14">
        <v>7</v>
      </c>
      <c r="D4" s="14">
        <v>2022</v>
      </c>
      <c r="E4" s="16">
        <f>'07 - 2022'!B10-'07 - 2022'!B9</f>
        <v>0</v>
      </c>
      <c r="F4" s="16">
        <f>'07 - 2022'!C10-'07 - 2022'!C9</f>
        <v>0</v>
      </c>
      <c r="G4" s="14">
        <v>0.11799999999999999</v>
      </c>
      <c r="H4" s="16">
        <f>'07 - 2022'!E10-'07 - 2022'!E9</f>
        <v>0</v>
      </c>
      <c r="I4" s="16">
        <f>'07 - 2022'!F10-'07 - 2022'!F9</f>
        <v>0</v>
      </c>
      <c r="J4" s="16">
        <f>'07 - 2022'!G10-'07 - 2022'!G9</f>
        <v>0</v>
      </c>
      <c r="K4" s="14">
        <v>0.74</v>
      </c>
      <c r="L4" s="18"/>
      <c r="M4" s="10"/>
    </row>
    <row r="5" spans="1:13" x14ac:dyDescent="0.25">
      <c r="A5" t="s">
        <v>27</v>
      </c>
      <c r="B5">
        <f t="shared" si="0"/>
        <v>4</v>
      </c>
      <c r="C5" s="14">
        <v>7</v>
      </c>
      <c r="D5" s="14">
        <v>2022</v>
      </c>
      <c r="E5" s="16">
        <f>'07 - 2022'!B11-'07 - 2022'!B10</f>
        <v>0</v>
      </c>
      <c r="F5" s="16">
        <f>'07 - 2022'!C11-'07 - 2022'!C10</f>
        <v>0</v>
      </c>
      <c r="G5" s="14">
        <v>0.11799999999999999</v>
      </c>
      <c r="H5" s="16">
        <f>'07 - 2022'!E11-'07 - 2022'!E10</f>
        <v>0</v>
      </c>
      <c r="I5" s="16">
        <f>'07 - 2022'!F11-'07 - 2022'!F10</f>
        <v>0</v>
      </c>
      <c r="J5" s="16">
        <f>'07 - 2022'!G11-'07 - 2022'!G10</f>
        <v>0</v>
      </c>
      <c r="K5" s="14">
        <v>0.74</v>
      </c>
      <c r="L5" s="18"/>
      <c r="M5" s="10"/>
    </row>
    <row r="6" spans="1:13" x14ac:dyDescent="0.25">
      <c r="A6" t="s">
        <v>27</v>
      </c>
      <c r="B6">
        <f t="shared" si="0"/>
        <v>5</v>
      </c>
      <c r="C6" s="14">
        <v>7</v>
      </c>
      <c r="D6" s="14">
        <v>2022</v>
      </c>
      <c r="E6" s="16">
        <f>'07 - 2022'!B12-'07 - 2022'!B11</f>
        <v>0</v>
      </c>
      <c r="F6" s="16">
        <f>'07 - 2022'!C12-'07 - 2022'!C11</f>
        <v>0</v>
      </c>
      <c r="G6" s="14">
        <v>0.11799999999999999</v>
      </c>
      <c r="H6" s="16">
        <f>'07 - 2022'!E12-'07 - 2022'!E11</f>
        <v>0</v>
      </c>
      <c r="I6" s="16">
        <f>'07 - 2022'!F12-'07 - 2022'!F11</f>
        <v>0</v>
      </c>
      <c r="J6" s="16">
        <f>'07 - 2022'!G12-'07 - 2022'!G11</f>
        <v>0</v>
      </c>
      <c r="K6" s="14">
        <v>0.74</v>
      </c>
      <c r="L6" s="18"/>
      <c r="M6" s="11"/>
    </row>
    <row r="7" spans="1:13" x14ac:dyDescent="0.25">
      <c r="A7" t="s">
        <v>27</v>
      </c>
      <c r="B7">
        <f t="shared" si="0"/>
        <v>6</v>
      </c>
      <c r="C7" s="14">
        <v>7</v>
      </c>
      <c r="D7" s="14">
        <v>2022</v>
      </c>
      <c r="E7" s="16">
        <f>'07 - 2022'!B13-'07 - 2022'!B12</f>
        <v>0</v>
      </c>
      <c r="F7" s="16">
        <f>'07 - 2022'!C13-'07 - 2022'!C12</f>
        <v>0</v>
      </c>
      <c r="G7" s="14">
        <v>0.11799999999999999</v>
      </c>
      <c r="H7" s="16">
        <f>'07 - 2022'!E13-'07 - 2022'!E12</f>
        <v>0</v>
      </c>
      <c r="I7" s="16">
        <f>'07 - 2022'!F13-'07 - 2022'!F12</f>
        <v>0</v>
      </c>
      <c r="J7" s="16">
        <f>'07 - 2022'!G13-'07 - 2022'!G12</f>
        <v>0</v>
      </c>
      <c r="K7" s="14">
        <v>0.74</v>
      </c>
      <c r="L7" s="18"/>
      <c r="M7" s="11"/>
    </row>
    <row r="8" spans="1:13" x14ac:dyDescent="0.25">
      <c r="A8" t="s">
        <v>27</v>
      </c>
      <c r="B8">
        <f t="shared" si="0"/>
        <v>7</v>
      </c>
      <c r="C8" s="14">
        <v>7</v>
      </c>
      <c r="D8" s="14">
        <v>2022</v>
      </c>
      <c r="E8" s="16">
        <f>'07 - 2022'!B14-'07 - 2022'!B13</f>
        <v>0</v>
      </c>
      <c r="F8" s="16">
        <f>'07 - 2022'!C14-'07 - 2022'!C13</f>
        <v>0</v>
      </c>
      <c r="G8" s="14">
        <v>0.11799999999999999</v>
      </c>
      <c r="H8" s="16">
        <f>'07 - 2022'!E14-'07 - 2022'!E13</f>
        <v>0</v>
      </c>
      <c r="I8" s="16">
        <f>'07 - 2022'!F14-'07 - 2022'!F13</f>
        <v>0</v>
      </c>
      <c r="J8" s="16">
        <f>'07 - 2022'!G14-'07 - 2022'!G13</f>
        <v>0</v>
      </c>
      <c r="K8" s="14">
        <v>0.74</v>
      </c>
      <c r="L8" s="18"/>
      <c r="M8" s="11"/>
    </row>
    <row r="9" spans="1:13" x14ac:dyDescent="0.25">
      <c r="A9" t="s">
        <v>27</v>
      </c>
      <c r="B9">
        <f t="shared" si="0"/>
        <v>8</v>
      </c>
      <c r="C9" s="14">
        <v>7</v>
      </c>
      <c r="D9" s="14">
        <v>2022</v>
      </c>
      <c r="E9" s="16">
        <f>'07 - 2022'!B15-'07 - 2022'!B14</f>
        <v>0</v>
      </c>
      <c r="F9" s="16">
        <f>'07 - 2022'!C15-'07 - 2022'!C14</f>
        <v>0</v>
      </c>
      <c r="G9" s="14">
        <v>0.11799999999999999</v>
      </c>
      <c r="H9" s="16">
        <f>'07 - 2022'!E15-'07 - 2022'!E14</f>
        <v>0</v>
      </c>
      <c r="I9" s="16">
        <f>'07 - 2022'!F15-'07 - 2022'!F14</f>
        <v>0</v>
      </c>
      <c r="J9" s="16">
        <f>'07 - 2022'!G15-'07 - 2022'!G14</f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7</v>
      </c>
      <c r="D10" s="14">
        <v>2022</v>
      </c>
      <c r="E10" s="16">
        <f>'07 - 2022'!B16-'07 - 2022'!B15</f>
        <v>0</v>
      </c>
      <c r="F10" s="16">
        <f>'07 - 2022'!C16-'07 - 2022'!C15</f>
        <v>0</v>
      </c>
      <c r="G10" s="14">
        <v>0.11799999999999999</v>
      </c>
      <c r="H10" s="16">
        <f>'07 - 2022'!E16-'07 - 2022'!E15</f>
        <v>0</v>
      </c>
      <c r="I10" s="16">
        <f>'07 - 2022'!F16-'07 - 2022'!F15</f>
        <v>0</v>
      </c>
      <c r="J10" s="16">
        <f>'07 - 2022'!G16-'07 - 2022'!G15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7</v>
      </c>
      <c r="D11" s="14">
        <v>2022</v>
      </c>
      <c r="E11" s="16">
        <f>'07 - 2022'!B17-'07 - 2022'!B16</f>
        <v>0</v>
      </c>
      <c r="F11" s="16">
        <f>'07 - 2022'!C17-'07 - 2022'!C16</f>
        <v>0</v>
      </c>
      <c r="G11" s="14">
        <v>0.11799999999999999</v>
      </c>
      <c r="H11" s="16">
        <f>'07 - 2022'!E17-'07 - 2022'!E16</f>
        <v>0</v>
      </c>
      <c r="I11" s="16">
        <f>'07 - 2022'!F17-'07 - 2022'!F16</f>
        <v>0</v>
      </c>
      <c r="J11" s="16">
        <f>'07 - 2022'!G17-'07 - 2022'!G16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7</v>
      </c>
      <c r="D12" s="14">
        <v>2022</v>
      </c>
      <c r="E12" s="16">
        <f>'07 - 2022'!B18-'07 - 2022'!B17</f>
        <v>0</v>
      </c>
      <c r="F12" s="16">
        <f>'07 - 2022'!C18-'07 - 2022'!C17</f>
        <v>0</v>
      </c>
      <c r="G12" s="14">
        <v>0.11799999999999999</v>
      </c>
      <c r="H12" s="16">
        <f>'07 - 2022'!E18-'07 - 2022'!E17</f>
        <v>0</v>
      </c>
      <c r="I12" s="16">
        <f>'07 - 2022'!F18-'07 - 2022'!F17</f>
        <v>0</v>
      </c>
      <c r="J12" s="16">
        <f>'07 - 2022'!G18-'07 - 2022'!G17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7</v>
      </c>
      <c r="D13" s="14">
        <v>2022</v>
      </c>
      <c r="E13" s="16">
        <f>'07 - 2022'!B19-'07 - 2022'!B18</f>
        <v>0</v>
      </c>
      <c r="F13" s="16">
        <f>'07 - 2022'!C19-'07 - 2022'!C18</f>
        <v>0</v>
      </c>
      <c r="G13" s="14">
        <v>0.11799999999999999</v>
      </c>
      <c r="H13" s="16">
        <f>'07 - 2022'!E19-'07 - 2022'!E18</f>
        <v>0</v>
      </c>
      <c r="I13" s="16">
        <f>'07 - 2022'!F19-'07 - 2022'!F18</f>
        <v>0</v>
      </c>
      <c r="J13" s="16">
        <f>'07 - 2022'!G19-'07 - 2022'!G18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7</v>
      </c>
      <c r="D14" s="14">
        <v>2022</v>
      </c>
      <c r="E14" s="16">
        <f>'07 - 2022'!B20-'07 - 2022'!B19</f>
        <v>0</v>
      </c>
      <c r="F14" s="16">
        <f>'07 - 2022'!C20-'07 - 2022'!C19</f>
        <v>0</v>
      </c>
      <c r="G14" s="14">
        <v>0.11799999999999999</v>
      </c>
      <c r="H14" s="16">
        <f>'07 - 2022'!E20-'07 - 2022'!E19</f>
        <v>0</v>
      </c>
      <c r="I14" s="16">
        <f>'07 - 2022'!F20-'07 - 2022'!F19</f>
        <v>0</v>
      </c>
      <c r="J14" s="16">
        <f>'07 - 2022'!G20-'07 - 2022'!G19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7</v>
      </c>
      <c r="D15" s="14">
        <v>2022</v>
      </c>
      <c r="E15" s="16">
        <f>'07 - 2022'!B21-'07 - 2022'!B20</f>
        <v>0</v>
      </c>
      <c r="F15" s="16">
        <f>'07 - 2022'!C21-'07 - 2022'!C20</f>
        <v>0</v>
      </c>
      <c r="G15" s="14">
        <v>0.11799999999999999</v>
      </c>
      <c r="H15" s="16">
        <f>'07 - 2022'!E21-'07 - 2022'!E20</f>
        <v>0</v>
      </c>
      <c r="I15" s="16">
        <f>'07 - 2022'!F21-'07 - 2022'!F20</f>
        <v>0</v>
      </c>
      <c r="J15" s="16">
        <f>'07 - 2022'!G21-'07 - 2022'!G20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7</v>
      </c>
      <c r="D16" s="14">
        <v>2022</v>
      </c>
      <c r="E16" s="16">
        <f>'07 - 2022'!B22-'07 - 2022'!B21</f>
        <v>0</v>
      </c>
      <c r="F16" s="16">
        <f>'07 - 2022'!C22-'07 - 2022'!C21</f>
        <v>0</v>
      </c>
      <c r="G16" s="14">
        <v>0.11799999999999999</v>
      </c>
      <c r="H16" s="16">
        <f>'07 - 2022'!E22-'07 - 2022'!E21</f>
        <v>0</v>
      </c>
      <c r="I16" s="16">
        <f>'07 - 2022'!F22-'07 - 2022'!F21</f>
        <v>0</v>
      </c>
      <c r="J16" s="16">
        <f>'07 - 2022'!G22-'07 - 2022'!G21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7</v>
      </c>
      <c r="D17" s="14">
        <v>2022</v>
      </c>
      <c r="E17" s="16">
        <f>'07 - 2022'!B23-'07 - 2022'!B22</f>
        <v>0</v>
      </c>
      <c r="F17" s="16">
        <f>'07 - 2022'!C23-'07 - 2022'!C22</f>
        <v>0</v>
      </c>
      <c r="G17" s="14">
        <v>0.11799999999999999</v>
      </c>
      <c r="H17" s="16">
        <f>'07 - 2022'!E23-'07 - 2022'!E22</f>
        <v>0</v>
      </c>
      <c r="I17" s="16">
        <f>'07 - 2022'!F23-'07 - 2022'!F22</f>
        <v>0</v>
      </c>
      <c r="J17" s="16">
        <f>'07 - 2022'!G23-'07 - 2022'!G22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7</v>
      </c>
      <c r="D18" s="14">
        <v>2022</v>
      </c>
      <c r="E18" s="16">
        <f>'07 - 2022'!B24-'07 - 2022'!B23</f>
        <v>0</v>
      </c>
      <c r="F18" s="16">
        <f>'07 - 2022'!C24-'07 - 2022'!C23</f>
        <v>0</v>
      </c>
      <c r="G18" s="14">
        <v>0.11799999999999999</v>
      </c>
      <c r="H18" s="16">
        <f>'07 - 2022'!E24-'07 - 2022'!E23</f>
        <v>0</v>
      </c>
      <c r="I18" s="16">
        <f>'07 - 2022'!F24-'07 - 2022'!F23</f>
        <v>0</v>
      </c>
      <c r="J18" s="16">
        <f>'07 - 2022'!G24-'07 - 2022'!G23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7</v>
      </c>
      <c r="D19" s="14">
        <v>2022</v>
      </c>
      <c r="E19" s="16">
        <f>'07 - 2022'!B25-'07 - 2022'!B24</f>
        <v>0</v>
      </c>
      <c r="F19" s="16">
        <f>'07 - 2022'!C25-'07 - 2022'!C24</f>
        <v>0</v>
      </c>
      <c r="G19" s="14">
        <v>0.11799999999999999</v>
      </c>
      <c r="H19" s="16">
        <f>'07 - 2022'!E25-'07 - 2022'!E24</f>
        <v>0</v>
      </c>
      <c r="I19" s="16">
        <f>'07 - 2022'!F25-'07 - 2022'!F24</f>
        <v>0</v>
      </c>
      <c r="J19" s="16">
        <f>'07 - 2022'!G25-'07 - 2022'!G24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7</v>
      </c>
      <c r="D20" s="14">
        <v>2022</v>
      </c>
      <c r="E20" s="16">
        <f>'07 - 2022'!B26-'07 - 2022'!B25</f>
        <v>0</v>
      </c>
      <c r="F20" s="16">
        <f>'07 - 2022'!C26-'07 - 2022'!C25</f>
        <v>0</v>
      </c>
      <c r="G20" s="14">
        <v>0.11799999999999999</v>
      </c>
      <c r="H20" s="16">
        <f>'07 - 2022'!E26-'07 - 2022'!E25</f>
        <v>0</v>
      </c>
      <c r="I20" s="16">
        <f>'07 - 2022'!F26-'07 - 2022'!F25</f>
        <v>0</v>
      </c>
      <c r="J20" s="16">
        <f>'07 - 2022'!G26-'07 - 2022'!G25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7</v>
      </c>
      <c r="D21" s="14">
        <v>2022</v>
      </c>
      <c r="E21" s="16">
        <f>'07 - 2022'!B27-'07 - 2022'!B26</f>
        <v>0</v>
      </c>
      <c r="F21" s="16">
        <f>'07 - 2022'!C27-'07 - 2022'!C26</f>
        <v>0</v>
      </c>
      <c r="G21" s="14">
        <v>0.11799999999999999</v>
      </c>
      <c r="H21" s="16">
        <f>'07 - 2022'!E27-'07 - 2022'!E26</f>
        <v>0</v>
      </c>
      <c r="I21" s="16">
        <f>'07 - 2022'!F27-'07 - 2022'!F26</f>
        <v>0</v>
      </c>
      <c r="J21" s="16">
        <f>'07 - 2022'!G27-'07 - 2022'!G26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7</v>
      </c>
      <c r="D22" s="14">
        <v>2022</v>
      </c>
      <c r="E22" s="16">
        <f>'07 - 2022'!B28-'07 - 2022'!B27</f>
        <v>0</v>
      </c>
      <c r="F22" s="16">
        <f>'07 - 2022'!C28-'07 - 2022'!C27</f>
        <v>0</v>
      </c>
      <c r="G22" s="14">
        <v>0.11799999999999999</v>
      </c>
      <c r="H22" s="16">
        <f>'07 - 2022'!E28-'07 - 2022'!E27</f>
        <v>0</v>
      </c>
      <c r="I22" s="16">
        <f>'07 - 2022'!F28-'07 - 2022'!F27</f>
        <v>0</v>
      </c>
      <c r="J22" s="16">
        <f>'07 - 2022'!G28-'07 - 2022'!G27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7</v>
      </c>
      <c r="D23" s="14">
        <v>2022</v>
      </c>
      <c r="E23" s="16">
        <f>'07 - 2022'!B29-'07 - 2022'!B28</f>
        <v>0</v>
      </c>
      <c r="F23" s="16">
        <f>'07 - 2022'!C29-'07 - 2022'!C28</f>
        <v>0</v>
      </c>
      <c r="G23" s="14">
        <v>0.11799999999999999</v>
      </c>
      <c r="H23" s="16">
        <f>'07 - 2022'!E29-'07 - 2022'!E28</f>
        <v>0</v>
      </c>
      <c r="I23" s="16">
        <f>'07 - 2022'!F29-'07 - 2022'!F28</f>
        <v>0</v>
      </c>
      <c r="J23" s="16">
        <f>'07 - 2022'!G29-'07 - 2022'!G28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7</v>
      </c>
      <c r="D24" s="14">
        <v>2022</v>
      </c>
      <c r="E24" s="16">
        <f>'07 - 2022'!B30-'07 - 2022'!B29</f>
        <v>0</v>
      </c>
      <c r="F24" s="16">
        <f>'07 - 2022'!C30-'07 - 2022'!C29</f>
        <v>0</v>
      </c>
      <c r="G24" s="14">
        <v>0.11799999999999999</v>
      </c>
      <c r="H24" s="16">
        <f>'07 - 2022'!E30-'07 - 2022'!E29</f>
        <v>0</v>
      </c>
      <c r="I24" s="16">
        <f>'07 - 2022'!F30-'07 - 2022'!F29</f>
        <v>0</v>
      </c>
      <c r="J24" s="16">
        <f>'07 - 2022'!G30-'07 - 2022'!G29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7</v>
      </c>
      <c r="D25" s="14">
        <v>2022</v>
      </c>
      <c r="E25" s="16">
        <f>'07 - 2022'!B31-'07 - 2022'!B30</f>
        <v>0</v>
      </c>
      <c r="F25" s="16">
        <f>'07 - 2022'!C31-'07 - 2022'!C30</f>
        <v>0</v>
      </c>
      <c r="G25" s="14">
        <v>0.11799999999999999</v>
      </c>
      <c r="H25" s="16">
        <f>'07 - 2022'!E31-'07 - 2022'!E30</f>
        <v>0</v>
      </c>
      <c r="I25" s="16">
        <f>'07 - 2022'!F31-'07 - 2022'!F30</f>
        <v>0</v>
      </c>
      <c r="J25" s="16">
        <f>'07 - 2022'!G31-'07 - 2022'!G30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7</v>
      </c>
      <c r="D26" s="14">
        <v>2022</v>
      </c>
      <c r="E26" s="16">
        <f>'07 - 2022'!B32-'07 - 2022'!B31</f>
        <v>0</v>
      </c>
      <c r="F26" s="16">
        <f>'07 - 2022'!C32-'07 - 2022'!C31</f>
        <v>0</v>
      </c>
      <c r="G26" s="14">
        <v>0.11799999999999999</v>
      </c>
      <c r="H26" s="16">
        <f>'07 - 2022'!E32-'07 - 2022'!E31</f>
        <v>0</v>
      </c>
      <c r="I26" s="16">
        <f>'07 - 2022'!F32-'07 - 2022'!F31</f>
        <v>0</v>
      </c>
      <c r="J26" s="16">
        <f>'07 - 2022'!G32-'07 - 2022'!G31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7</v>
      </c>
      <c r="D27" s="14">
        <v>2022</v>
      </c>
      <c r="E27" s="16">
        <f>'07 - 2022'!B33-'07 - 2022'!B32</f>
        <v>0</v>
      </c>
      <c r="F27" s="16">
        <f>'07 - 2022'!C33-'07 - 2022'!C32</f>
        <v>0</v>
      </c>
      <c r="G27" s="14">
        <v>0.11799999999999999</v>
      </c>
      <c r="H27" s="16">
        <f>'07 - 2022'!E33-'07 - 2022'!E32</f>
        <v>0</v>
      </c>
      <c r="I27" s="16">
        <f>'07 - 2022'!F33-'07 - 2022'!F32</f>
        <v>0</v>
      </c>
      <c r="J27" s="16">
        <f>'07 - 2022'!G33-'07 - 2022'!G32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7</v>
      </c>
      <c r="D28" s="14">
        <v>2022</v>
      </c>
      <c r="E28" s="16">
        <f>'07 - 2022'!B34-'07 - 2022'!B33</f>
        <v>0</v>
      </c>
      <c r="F28" s="16">
        <f>'07 - 2022'!C34-'07 - 2022'!C33</f>
        <v>0</v>
      </c>
      <c r="G28" s="14">
        <v>0.11799999999999999</v>
      </c>
      <c r="H28" s="16">
        <f>'07 - 2022'!E34-'07 - 2022'!E33</f>
        <v>0</v>
      </c>
      <c r="I28" s="16">
        <f>'07 - 2022'!F34-'07 - 2022'!F33</f>
        <v>0</v>
      </c>
      <c r="J28" s="16">
        <f>'07 - 2022'!G34-'07 - 2022'!G33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7</v>
      </c>
      <c r="D29" s="14">
        <v>2022</v>
      </c>
      <c r="E29" s="16">
        <f>'07 - 2022'!B35-'07 - 2022'!B34</f>
        <v>0</v>
      </c>
      <c r="F29" s="16">
        <f>'07 - 2022'!C35-'07 - 2022'!C34</f>
        <v>0</v>
      </c>
      <c r="G29" s="14">
        <v>0.11799999999999999</v>
      </c>
      <c r="H29" s="16">
        <f>'07 - 2022'!E35-'07 - 2022'!E34</f>
        <v>0</v>
      </c>
      <c r="I29" s="16">
        <f>'07 - 2022'!F35-'07 - 2022'!F34</f>
        <v>0</v>
      </c>
      <c r="J29" s="16">
        <f>'07 - 2022'!G35-'07 - 2022'!G34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7</v>
      </c>
      <c r="D30" s="14">
        <v>2022</v>
      </c>
      <c r="E30" s="16">
        <f>'07 - 2022'!B36-'07 - 2022'!B35</f>
        <v>0</v>
      </c>
      <c r="F30" s="16">
        <f>'07 - 2022'!C36-'07 - 2022'!C35</f>
        <v>0</v>
      </c>
      <c r="G30" s="14">
        <v>0.11799999999999999</v>
      </c>
      <c r="H30" s="16">
        <f>'07 - 2022'!E36-'07 - 2022'!E35</f>
        <v>0</v>
      </c>
      <c r="I30" s="16">
        <f>'07 - 2022'!F36-'07 - 2022'!F35</f>
        <v>0</v>
      </c>
      <c r="J30" s="16">
        <f>'07 - 2022'!G36-'07 - 2022'!G35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7</v>
      </c>
      <c r="D31" s="14">
        <v>2022</v>
      </c>
      <c r="E31" s="16">
        <f>'07 - 2022'!B37-'07 - 2022'!B36</f>
        <v>0</v>
      </c>
      <c r="F31" s="16">
        <f>'07 - 2022'!C37-'07 - 2022'!C36</f>
        <v>0</v>
      </c>
      <c r="G31" s="14">
        <v>0.11799999999999999</v>
      </c>
      <c r="H31" s="16">
        <f>'07 - 2022'!E37-'07 - 2022'!E36</f>
        <v>0</v>
      </c>
      <c r="I31" s="16">
        <f>'07 - 2022'!F37-'07 - 2022'!F36</f>
        <v>0</v>
      </c>
      <c r="J31" s="16">
        <f>'07 - 2022'!G37-'07 - 2022'!G36</f>
        <v>0</v>
      </c>
      <c r="K31" s="14">
        <v>0.74</v>
      </c>
      <c r="L31" s="16"/>
    </row>
    <row r="32" spans="1:13" x14ac:dyDescent="0.25">
      <c r="A32" s="14" t="s">
        <v>27</v>
      </c>
      <c r="B32" s="14">
        <f t="shared" si="0"/>
        <v>31</v>
      </c>
      <c r="C32" s="14">
        <v>7</v>
      </c>
      <c r="D32" s="14">
        <v>2022</v>
      </c>
      <c r="E32" s="16">
        <f>'07 - 2022'!B38-'07 - 2022'!B37</f>
        <v>0</v>
      </c>
      <c r="F32" s="16">
        <f>'07 - 2022'!C38-'07 - 2022'!C37</f>
        <v>0</v>
      </c>
      <c r="G32" s="14">
        <v>0.11799999999999999</v>
      </c>
      <c r="H32" s="16">
        <f>'07 - 2022'!E38-'07 - 2022'!E37</f>
        <v>0</v>
      </c>
      <c r="I32" s="16">
        <f>'07 - 2022'!F38-'07 - 2022'!F37</f>
        <v>0</v>
      </c>
      <c r="J32" s="16">
        <f>'07 - 2022'!G38-'07 - 2022'!G37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07 - 2022</vt:lpstr>
      <vt:lpstr>Total Daily </vt:lpstr>
      <vt:lpstr>Submetering Daily </vt:lpstr>
      <vt:lpstr>'07 - 2022'!Print_Area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2022-07-01T05:32:46Z</dcterms:modified>
</cp:coreProperties>
</file>