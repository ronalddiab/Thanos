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651" documentId="8_{5B502D95-7A37-4D5A-8B6B-374537CC2F26}" xr6:coauthVersionLast="46" xr6:coauthVersionMax="46" xr10:uidLastSave="{1CE08589-F870-4767-B452-864BD5AB12E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2" l="1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O11" i="2"/>
  <c r="V11" i="2"/>
  <c r="V12" i="2"/>
  <c r="V13" i="2"/>
  <c r="Q14" i="2"/>
  <c r="O14" i="2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F11" i="2"/>
  <c r="K10" i="6"/>
  <c r="I10" i="6"/>
  <c r="G10" i="6"/>
  <c r="E10" i="6"/>
  <c r="C10" i="6"/>
  <c r="I23" i="21"/>
  <c r="I24" i="21"/>
  <c r="I25" i="21"/>
  <c r="I26" i="21"/>
  <c r="I27" i="21"/>
  <c r="I28" i="21"/>
  <c r="I29" i="21"/>
  <c r="I30" i="21"/>
  <c r="I31" i="21"/>
  <c r="H23" i="21"/>
  <c r="H24" i="21"/>
  <c r="H25" i="21"/>
  <c r="H26" i="21"/>
  <c r="H27" i="21"/>
  <c r="H28" i="21"/>
  <c r="H29" i="21"/>
  <c r="H30" i="21"/>
  <c r="H31" i="21"/>
  <c r="G23" i="21"/>
  <c r="G24" i="21"/>
  <c r="G25" i="21"/>
  <c r="G26" i="21"/>
  <c r="G27" i="21"/>
  <c r="G28" i="21"/>
  <c r="G29" i="21"/>
  <c r="G30" i="21"/>
  <c r="G31" i="21"/>
  <c r="F23" i="21"/>
  <c r="F24" i="21"/>
  <c r="F25" i="21"/>
  <c r="F26" i="21"/>
  <c r="F27" i="21"/>
  <c r="F28" i="21"/>
  <c r="F29" i="21"/>
  <c r="F30" i="21"/>
  <c r="F31" i="21"/>
  <c r="E23" i="21"/>
  <c r="E24" i="21"/>
  <c r="E25" i="21"/>
  <c r="E26" i="21"/>
  <c r="E27" i="21"/>
  <c r="E28" i="21"/>
  <c r="E29" i="21"/>
  <c r="E30" i="21"/>
  <c r="E31" i="21"/>
  <c r="E28" i="22"/>
  <c r="E29" i="22"/>
  <c r="E30" i="22"/>
  <c r="E31" i="22"/>
  <c r="O38" i="2"/>
  <c r="O39" i="2"/>
  <c r="E23" i="22"/>
  <c r="E24" i="22"/>
  <c r="E25" i="22"/>
  <c r="E26" i="22"/>
  <c r="E27" i="22"/>
  <c r="I27" i="22"/>
  <c r="I28" i="22"/>
  <c r="I29" i="22"/>
  <c r="I30" i="22"/>
  <c r="I31" i="22"/>
  <c r="L31" i="22"/>
  <c r="K31" i="22"/>
  <c r="G30" i="22"/>
  <c r="G31" i="22"/>
  <c r="N10" i="2"/>
  <c r="M10" i="2"/>
  <c r="L10" i="2"/>
  <c r="F10" i="2"/>
  <c r="G4" i="4"/>
  <c r="E4" i="4"/>
  <c r="C4" i="4"/>
  <c r="F20" i="11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7" i="2"/>
  <c r="X38" i="2"/>
  <c r="X39" i="2"/>
  <c r="F40" i="2"/>
  <c r="L27" i="22"/>
  <c r="L28" i="22"/>
  <c r="L29" i="22"/>
  <c r="K27" i="22"/>
  <c r="K28" i="22"/>
  <c r="K29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39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K30" i="22" s="1"/>
  <c r="E40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0" i="2"/>
  <c r="I44" i="2"/>
  <c r="L44" i="2"/>
  <c r="E8" i="2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l="1"/>
  <c r="V15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E6" i="21"/>
  <c r="O13" i="2"/>
  <c r="Q13" i="2"/>
  <c r="E5" i="2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M31" i="22"/>
  <c r="I43" i="2"/>
  <c r="L43" i="2" s="1"/>
  <c r="N43" i="2" s="1"/>
  <c r="N46" i="2" s="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G29" i="22"/>
  <c r="I48" i="2"/>
  <c r="L48" i="2" s="1"/>
  <c r="N48" i="2" s="1"/>
</calcChain>
</file>

<file path=xl/sharedStrings.xml><?xml version="1.0" encoding="utf-8"?>
<sst xmlns="http://schemas.openxmlformats.org/spreadsheetml/2006/main" count="476" uniqueCount="184">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</sst>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13" workbookViewId="0">
      <selection activeCell="E30" sqref="E30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10740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2021</v>
      </c>
      <c r="E6" s="137" t="e">
        <f>submetering!E6+submetering!F6+submetering!G6</f>
        <v>#REF!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0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8.6999999999999993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énergie'!V40</f>
        <v>2754.8905199999999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énergie'!D39</f>
        <v>0</v>
      </c>
      <c r="L29" s="137">
        <f>'Consommation mensuel énergie'!E39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énergie'!V41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énergie'!D40</f>
        <v>420</v>
      </c>
      <c r="L30" s="137">
        <f>'Consommation mensuel énergie'!E40</f>
        <v>607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énergie'!D41</f>
        <v>0</v>
      </c>
      <c r="L31" s="137">
        <f>'Consommation mensuel énergie'!E41</f>
        <v>0</v>
      </c>
      <c r="M31" s="133" t="e">
        <f>E31*F31+G31*H31+#REF!*#REF!+I31*J31</f>
        <v>#REF!</v>
      </c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8"/>
      <c r="F34" s="134"/>
      <c r="G34" s="134"/>
      <c r="H34" s="134"/>
      <c r="I34" s="134"/>
      <c r="J34" s="134"/>
    </row>
    <row r="35" spans="1:13">
      <c r="A35" s="168"/>
      <c r="F35" s="134"/>
      <c r="G35" s="134"/>
      <c r="H35" s="134"/>
      <c r="I35" s="134"/>
      <c r="J35" s="134"/>
    </row>
    <row r="36" spans="1:13">
      <c r="A36" s="168"/>
      <c r="F36" s="134"/>
      <c r="G36" s="134"/>
      <c r="H36" s="134"/>
      <c r="I36" s="134"/>
      <c r="J36" s="134"/>
    </row>
    <row r="37" spans="1:13">
      <c r="A37" s="168"/>
      <c r="F37" s="134"/>
      <c r="G37" s="134"/>
      <c r="H37" s="134"/>
      <c r="I37" s="134"/>
      <c r="J37" s="134"/>
    </row>
    <row r="38" spans="1:13">
      <c r="A38" s="168"/>
      <c r="F38" s="134"/>
      <c r="G38" s="134"/>
      <c r="H38" s="134"/>
      <c r="I38" s="134"/>
      <c r="J38" s="134"/>
    </row>
    <row r="39" spans="1:13">
      <c r="A39" s="168"/>
      <c r="F39" s="134"/>
      <c r="G39" s="134"/>
      <c r="H39" s="134"/>
      <c r="I39" s="134"/>
      <c r="J39" s="134"/>
    </row>
    <row r="40" spans="1:13">
      <c r="A40" s="168"/>
      <c r="F40" s="134"/>
      <c r="G40" s="134"/>
      <c r="H40" s="134"/>
      <c r="I40" s="134"/>
      <c r="J40" s="134"/>
    </row>
    <row r="41" spans="1:13">
      <c r="A41" s="168"/>
      <c r="F41" s="168"/>
      <c r="G41" s="168"/>
      <c r="H41" s="168"/>
      <c r="I41" s="168"/>
      <c r="J41" s="168"/>
    </row>
    <row r="42" spans="1:13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2" sqref="I2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énergie'!N14</f>
        <v>2019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 t="e">
        <f>'Consommation mensuel énergie'!#REF!</f>
        <v>#REF!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 t="e">
        <f>E31*F31+G31*#REF!+#REF!*#REF!+#REF!*#REF!</f>
        <v>#REF!</v>
      </c>
    </row>
    <row r="32" spans="1:10">
      <c r="A32" s="168"/>
      <c r="E32" s="134"/>
      <c r="F32" s="134"/>
      <c r="G32" s="134"/>
      <c r="H32" s="133"/>
      <c r="I32" s="133"/>
    </row>
    <row r="33" spans="1:9">
      <c r="A33" s="168"/>
      <c r="E33" s="134"/>
      <c r="F33" s="134"/>
      <c r="G33" s="134"/>
      <c r="H33" s="133"/>
      <c r="I33" s="133"/>
    </row>
    <row r="34" spans="1:9">
      <c r="A34" s="168"/>
      <c r="E34" s="134"/>
      <c r="F34" s="134"/>
      <c r="G34" s="134"/>
      <c r="H34" s="133"/>
      <c r="I34" s="133"/>
    </row>
    <row r="35" spans="1:9">
      <c r="A35" s="168"/>
      <c r="E35" s="134"/>
      <c r="F35" s="134"/>
      <c r="G35" s="134"/>
      <c r="H35" s="133"/>
      <c r="I35" s="133"/>
    </row>
    <row r="36" spans="1:9">
      <c r="A36" s="168"/>
      <c r="E36" s="134"/>
      <c r="F36" s="134"/>
      <c r="G36" s="134"/>
      <c r="H36" s="133"/>
      <c r="I36" s="133"/>
    </row>
    <row r="37" spans="1:9">
      <c r="A37" s="168"/>
      <c r="E37" s="134"/>
      <c r="F37" s="134"/>
      <c r="G37" s="134"/>
      <c r="H37" s="133"/>
      <c r="I37" s="133"/>
    </row>
    <row r="38" spans="1:9">
      <c r="A38" s="168"/>
      <c r="E38" s="134"/>
      <c r="F38" s="134"/>
      <c r="G38" s="134"/>
      <c r="H38" s="133"/>
      <c r="I38" s="133"/>
    </row>
    <row r="39" spans="1:9">
      <c r="A39" s="168"/>
      <c r="E39" s="168"/>
      <c r="F39" s="168"/>
      <c r="G39" s="168"/>
    </row>
    <row r="40" spans="1:9">
      <c r="A40" s="168"/>
      <c r="E40" s="168"/>
      <c r="F40" s="168"/>
      <c r="G40" s="168"/>
    </row>
    <row r="41" spans="1:9">
      <c r="A41" s="168"/>
      <c r="E41" s="168"/>
      <c r="F41" s="168"/>
      <c r="G41" s="168"/>
    </row>
    <row r="42" spans="1:9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11" activePane="bottomRight" state="frozen"/>
      <selection pane="bottomRight" activeCell="E16" sqref="E1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</row>
    <row r="2" spans="1:24" ht="100.5" customHeight="1" thickBot="1">
      <c r="A2" s="226"/>
      <c r="B2" s="227"/>
      <c r="C2" s="227"/>
      <c r="D2" s="227"/>
      <c r="E2" s="227"/>
      <c r="F2" s="227"/>
      <c r="G2" s="227"/>
      <c r="H2" s="228"/>
      <c r="I2" s="237" t="s">
        <v>17</v>
      </c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15" hidden="1" customHeight="1" thickBo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</row>
    <row r="4" spans="1:24" ht="39" hidden="1" customHeight="1" thickBot="1">
      <c r="A4" s="229"/>
      <c r="B4" s="229"/>
      <c r="C4" s="229"/>
      <c r="D4" s="159"/>
      <c r="E4" s="159"/>
      <c r="F4" s="159"/>
      <c r="G4" s="159"/>
      <c r="H4" s="159"/>
      <c r="I4" s="159"/>
      <c r="J4" s="159"/>
      <c r="K4" s="159"/>
      <c r="L4" s="15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9"/>
      <c r="B5" s="229"/>
      <c r="C5" s="229"/>
      <c r="D5" s="159"/>
      <c r="E5" s="159"/>
      <c r="F5" s="159"/>
      <c r="G5" s="159"/>
      <c r="H5" s="159"/>
      <c r="I5" s="159"/>
      <c r="J5" s="159"/>
      <c r="K5" s="159"/>
      <c r="L5" s="159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5" customFormat="1" ht="44.25" hidden="1" customHeight="1" thickBot="1">
      <c r="A6" s="3"/>
      <c r="B6" s="3"/>
      <c r="C6" s="3"/>
      <c r="D6" s="159"/>
      <c r="E6" s="159"/>
      <c r="F6" s="159"/>
      <c r="G6" s="159"/>
      <c r="H6" s="159"/>
      <c r="I6" s="159"/>
      <c r="J6" s="159"/>
      <c r="K6" s="159"/>
      <c r="L6" s="159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</row>
    <row r="7" spans="1:24" s="5" customFormat="1" ht="18.75" hidden="1" customHeight="1" thickBot="1">
      <c r="A7" s="159"/>
      <c r="B7" s="159"/>
      <c r="C7" s="159"/>
      <c r="D7" s="159"/>
      <c r="E7" s="159"/>
      <c r="F7" s="230"/>
      <c r="G7" s="230"/>
      <c r="H7" s="230"/>
      <c r="I7" s="230"/>
      <c r="J7" s="230"/>
      <c r="K7" s="230"/>
      <c r="L7" s="230"/>
      <c r="M7" s="230"/>
      <c r="N7" s="239"/>
      <c r="O7" s="239"/>
      <c r="P7" s="230"/>
      <c r="Q7" s="230"/>
      <c r="R7" s="230"/>
      <c r="S7" s="230"/>
      <c r="T7" s="230"/>
      <c r="U7" s="230"/>
      <c r="V7" s="230"/>
      <c r="W7" s="230"/>
      <c r="X7" s="230"/>
    </row>
    <row r="8" spans="1:24" ht="18.75" customHeight="1" thickBot="1">
      <c r="A8" s="230"/>
      <c r="B8" s="244" t="s">
        <v>19</v>
      </c>
      <c r="C8" s="4"/>
      <c r="D8" s="245" t="s">
        <v>20</v>
      </c>
      <c r="E8" s="245" t="s">
        <v>21</v>
      </c>
      <c r="F8" s="249" t="s">
        <v>22</v>
      </c>
      <c r="G8" s="2"/>
      <c r="H8" s="231" t="s">
        <v>23</v>
      </c>
      <c r="I8" s="232"/>
      <c r="J8" s="233"/>
      <c r="K8" s="251" t="s">
        <v>24</v>
      </c>
      <c r="L8" s="242" t="s">
        <v>25</v>
      </c>
      <c r="M8" s="242"/>
      <c r="N8" s="242"/>
      <c r="O8" s="242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7" t="s">
        <v>29</v>
      </c>
      <c r="W8" s="2"/>
      <c r="X8" s="240" t="s">
        <v>23</v>
      </c>
    </row>
    <row r="9" spans="1:24" ht="59.25" customHeight="1" thickBot="1">
      <c r="A9" s="230"/>
      <c r="B9" s="244"/>
      <c r="C9" s="4"/>
      <c r="D9" s="246"/>
      <c r="E9" s="246"/>
      <c r="F9" s="250"/>
      <c r="G9" s="2"/>
      <c r="H9" s="234"/>
      <c r="I9" s="235"/>
      <c r="J9" s="236"/>
      <c r="K9" s="252"/>
      <c r="L9" s="158" t="s">
        <v>30</v>
      </c>
      <c r="M9" s="158" t="s">
        <v>31</v>
      </c>
      <c r="N9" s="158" t="s">
        <v>32</v>
      </c>
      <c r="O9" s="243"/>
      <c r="P9" s="2"/>
      <c r="Q9" s="241"/>
      <c r="R9" s="2"/>
      <c r="S9" s="241"/>
      <c r="T9" s="2"/>
      <c r="U9" s="241"/>
      <c r="V9" s="248"/>
      <c r="W9" s="2"/>
      <c r="X9" s="241"/>
    </row>
    <row r="10" spans="1:24" ht="32.25" customHeight="1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208">
        <f>F10*8.79</f>
        <v>1010.8499999999999</v>
      </c>
      <c r="I10" s="209"/>
      <c r="J10" s="209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208">
        <f t="shared" ref="H11:H21" si="0">F11*8.79</f>
        <v>958.98900000005108</v>
      </c>
      <c r="I11" s="209"/>
      <c r="J11" s="209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208">
        <f t="shared" si="0"/>
        <v>1031.9459999999488</v>
      </c>
      <c r="I12" s="209"/>
      <c r="J12" s="209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208">
        <f t="shared" si="0"/>
        <v>1015.2449999999999</v>
      </c>
      <c r="I13" s="209"/>
      <c r="J13" s="209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208">
        <f t="shared" si="0"/>
        <v>802.52700000002551</v>
      </c>
      <c r="I14" s="209"/>
      <c r="J14" s="209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>
      <c r="A15" s="159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208">
        <f t="shared" si="0"/>
        <v>829.77599999994879</v>
      </c>
      <c r="I15" s="209"/>
      <c r="J15" s="209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>
      <c r="A16" s="159"/>
      <c r="B16" s="6">
        <v>44293</v>
      </c>
      <c r="C16" s="7"/>
      <c r="D16" s="143"/>
      <c r="E16" s="143"/>
      <c r="F16" s="13">
        <f>'Suivi EAU-ELEC'!E15</f>
        <v>71.30000000000291</v>
      </c>
      <c r="G16" s="11"/>
      <c r="H16" s="208">
        <f t="shared" si="0"/>
        <v>626.72700000002555</v>
      </c>
      <c r="I16" s="209"/>
      <c r="J16" s="209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/>
      <c r="W16" s="11"/>
      <c r="X16" s="34">
        <f t="shared" si="1"/>
        <v>0</v>
      </c>
    </row>
    <row r="17" spans="1:24" s="5" customFormat="1" ht="32.25" customHeight="1">
      <c r="A17" s="2"/>
      <c r="B17" s="6">
        <v>44294</v>
      </c>
      <c r="C17" s="7"/>
      <c r="D17" s="143"/>
      <c r="E17" s="143"/>
      <c r="F17" s="13"/>
      <c r="G17" s="11"/>
      <c r="H17" s="208">
        <f t="shared" si="0"/>
        <v>0</v>
      </c>
      <c r="I17" s="209"/>
      <c r="J17" s="209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8"/>
      <c r="W17" s="11"/>
      <c r="X17" s="34">
        <f t="shared" si="1"/>
        <v>0</v>
      </c>
    </row>
    <row r="18" spans="1:24" ht="32.25" customHeight="1">
      <c r="A18" s="2"/>
      <c r="B18" s="6">
        <v>44295</v>
      </c>
      <c r="C18" s="7"/>
      <c r="D18" s="143"/>
      <c r="E18" s="143"/>
      <c r="F18" s="13"/>
      <c r="G18" s="11"/>
      <c r="H18" s="208">
        <f t="shared" si="0"/>
        <v>0</v>
      </c>
      <c r="I18" s="209"/>
      <c r="J18" s="20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8"/>
      <c r="W18" s="11"/>
      <c r="X18" s="34">
        <f t="shared" si="1"/>
        <v>0</v>
      </c>
    </row>
    <row r="19" spans="1:24" ht="32.25" customHeight="1">
      <c r="A19" s="2"/>
      <c r="B19" s="6">
        <v>44296</v>
      </c>
      <c r="C19" s="7"/>
      <c r="D19" s="143"/>
      <c r="E19" s="143"/>
      <c r="F19" s="13"/>
      <c r="G19" s="12"/>
      <c r="H19" s="208">
        <f t="shared" si="0"/>
        <v>0</v>
      </c>
      <c r="I19" s="209"/>
      <c r="J19" s="20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8"/>
      <c r="W19" s="11"/>
      <c r="X19" s="34">
        <f t="shared" si="1"/>
        <v>0</v>
      </c>
    </row>
    <row r="20" spans="1:24" ht="32.25" customHeight="1">
      <c r="A20" s="2"/>
      <c r="B20" s="6">
        <v>44297</v>
      </c>
      <c r="C20" s="7"/>
      <c r="D20" s="143"/>
      <c r="E20" s="143"/>
      <c r="F20" s="13"/>
      <c r="G20" s="12"/>
      <c r="H20" s="208">
        <f t="shared" si="0"/>
        <v>0</v>
      </c>
      <c r="I20" s="209"/>
      <c r="J20" s="20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8"/>
      <c r="W20" s="11"/>
      <c r="X20" s="34">
        <f t="shared" si="1"/>
        <v>0</v>
      </c>
    </row>
    <row r="21" spans="1:24" ht="32.25" customHeight="1">
      <c r="A21" s="2"/>
      <c r="B21" s="6">
        <v>44298</v>
      </c>
      <c r="C21" s="7"/>
      <c r="D21" s="143"/>
      <c r="E21" s="143"/>
      <c r="F21" s="13"/>
      <c r="G21" s="12"/>
      <c r="H21" s="208">
        <f t="shared" si="0"/>
        <v>0</v>
      </c>
      <c r="I21" s="209"/>
      <c r="J21" s="20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8"/>
      <c r="W21" s="11"/>
      <c r="X21" s="34">
        <f t="shared" si="1"/>
        <v>0</v>
      </c>
    </row>
    <row r="22" spans="1:24" ht="32.25" customHeight="1">
      <c r="A22" s="2"/>
      <c r="B22" s="6">
        <v>44299</v>
      </c>
      <c r="C22" s="7"/>
      <c r="D22" s="143"/>
      <c r="E22" s="143"/>
      <c r="F22" s="13"/>
      <c r="G22" s="12"/>
      <c r="H22" s="208">
        <f t="shared" ref="H22:H35" si="4">F22*8.79</f>
        <v>0</v>
      </c>
      <c r="I22" s="209"/>
      <c r="J22" s="20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8"/>
      <c r="W22" s="11"/>
      <c r="X22" s="34">
        <f t="shared" si="1"/>
        <v>0</v>
      </c>
    </row>
    <row r="23" spans="1:24" ht="32.25" customHeight="1">
      <c r="A23" s="2"/>
      <c r="B23" s="6">
        <v>44300</v>
      </c>
      <c r="C23" s="7"/>
      <c r="D23" s="143"/>
      <c r="E23" s="143"/>
      <c r="F23" s="13"/>
      <c r="G23" s="14"/>
      <c r="H23" s="208">
        <f t="shared" si="4"/>
        <v>0</v>
      </c>
      <c r="I23" s="209"/>
      <c r="J23" s="209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8"/>
      <c r="W23" s="11"/>
      <c r="X23" s="34">
        <f t="shared" si="1"/>
        <v>0</v>
      </c>
    </row>
    <row r="24" spans="1:24" ht="32.25" customHeight="1">
      <c r="A24" s="2"/>
      <c r="B24" s="6">
        <v>44301</v>
      </c>
      <c r="C24" s="7"/>
      <c r="D24" s="143"/>
      <c r="E24" s="143"/>
      <c r="F24" s="13"/>
      <c r="G24" s="14"/>
      <c r="H24" s="208">
        <f t="shared" si="4"/>
        <v>0</v>
      </c>
      <c r="I24" s="209"/>
      <c r="J24" s="209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8"/>
      <c r="W24" s="11"/>
      <c r="X24" s="34">
        <f t="shared" si="1"/>
        <v>0</v>
      </c>
    </row>
    <row r="25" spans="1:24" ht="32.25" customHeight="1">
      <c r="A25" s="2"/>
      <c r="B25" s="6">
        <v>44302</v>
      </c>
      <c r="C25" s="7"/>
      <c r="D25" s="143"/>
      <c r="E25" s="143"/>
      <c r="F25" s="13"/>
      <c r="G25" s="14"/>
      <c r="H25" s="208">
        <f t="shared" si="4"/>
        <v>0</v>
      </c>
      <c r="I25" s="209"/>
      <c r="J25" s="209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8"/>
      <c r="W25" s="11"/>
      <c r="X25" s="34">
        <f t="shared" si="1"/>
        <v>0</v>
      </c>
    </row>
    <row r="26" spans="1:24" ht="32.25" customHeight="1">
      <c r="A26" s="2"/>
      <c r="B26" s="6">
        <v>44303</v>
      </c>
      <c r="C26" s="7"/>
      <c r="D26" s="143"/>
      <c r="E26" s="143"/>
      <c r="F26" s="13"/>
      <c r="G26" s="14"/>
      <c r="H26" s="208">
        <f t="shared" si="4"/>
        <v>0</v>
      </c>
      <c r="I26" s="209"/>
      <c r="J26" s="209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8"/>
      <c r="W26" s="11"/>
      <c r="X26" s="34">
        <f t="shared" si="1"/>
        <v>0</v>
      </c>
    </row>
    <row r="27" spans="1:24" ht="32.25" customHeight="1">
      <c r="A27" s="2"/>
      <c r="B27" s="6">
        <v>44304</v>
      </c>
      <c r="C27" s="7"/>
      <c r="D27" s="143"/>
      <c r="E27" s="143"/>
      <c r="F27" s="13"/>
      <c r="G27" s="14"/>
      <c r="H27" s="208">
        <f t="shared" si="4"/>
        <v>0</v>
      </c>
      <c r="I27" s="209"/>
      <c r="J27" s="20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8"/>
      <c r="W27" s="11"/>
      <c r="X27" s="34">
        <f t="shared" si="1"/>
        <v>0</v>
      </c>
    </row>
    <row r="28" spans="1:24" ht="32.25" customHeight="1">
      <c r="A28" s="2"/>
      <c r="B28" s="6">
        <v>44305</v>
      </c>
      <c r="C28" s="7"/>
      <c r="D28" s="143"/>
      <c r="E28" s="143"/>
      <c r="F28" s="13"/>
      <c r="G28" s="11"/>
      <c r="H28" s="208">
        <f t="shared" si="4"/>
        <v>0</v>
      </c>
      <c r="I28" s="209"/>
      <c r="J28" s="20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8"/>
      <c r="W28" s="11"/>
      <c r="X28" s="34">
        <f t="shared" si="1"/>
        <v>0</v>
      </c>
    </row>
    <row r="29" spans="1:24" ht="32.25" customHeight="1">
      <c r="A29" s="2"/>
      <c r="B29" s="6">
        <v>44306</v>
      </c>
      <c r="C29" s="7"/>
      <c r="D29" s="143"/>
      <c r="E29" s="143"/>
      <c r="F29" s="13"/>
      <c r="G29" s="11"/>
      <c r="H29" s="208">
        <f t="shared" si="4"/>
        <v>0</v>
      </c>
      <c r="I29" s="209"/>
      <c r="J29" s="20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8"/>
      <c r="W29" s="11"/>
      <c r="X29" s="34">
        <f t="shared" si="1"/>
        <v>0</v>
      </c>
    </row>
    <row r="30" spans="1:24" ht="32.25" customHeight="1">
      <c r="A30" s="2"/>
      <c r="B30" s="6">
        <v>44307</v>
      </c>
      <c r="C30" s="7"/>
      <c r="D30" s="143"/>
      <c r="E30" s="143"/>
      <c r="F30" s="13"/>
      <c r="G30" s="11"/>
      <c r="H30" s="208">
        <f t="shared" si="4"/>
        <v>0</v>
      </c>
      <c r="I30" s="209"/>
      <c r="J30" s="209"/>
      <c r="K30" s="60">
        <v>42298</v>
      </c>
      <c r="L30" s="90"/>
      <c r="M30" s="91"/>
      <c r="N30" s="91"/>
      <c r="O30" s="91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48"/>
      <c r="W30" s="11"/>
      <c r="X30" s="34">
        <f t="shared" si="1"/>
        <v>0</v>
      </c>
    </row>
    <row r="31" spans="1:24" ht="27.75" customHeight="1">
      <c r="A31" s="2"/>
      <c r="B31" s="6">
        <v>44308</v>
      </c>
      <c r="C31" s="7"/>
      <c r="D31" s="143"/>
      <c r="E31" s="143"/>
      <c r="F31" s="13"/>
      <c r="G31" s="11"/>
      <c r="H31" s="208">
        <f t="shared" si="4"/>
        <v>0</v>
      </c>
      <c r="I31" s="209"/>
      <c r="J31" s="20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8"/>
      <c r="W31" s="11"/>
      <c r="X31" s="34">
        <f t="shared" si="1"/>
        <v>0</v>
      </c>
    </row>
    <row r="32" spans="1:24" ht="37.5" customHeight="1">
      <c r="A32" s="2"/>
      <c r="B32" s="6">
        <v>44309</v>
      </c>
      <c r="C32" s="7"/>
      <c r="D32" s="143"/>
      <c r="E32" s="143"/>
      <c r="F32" s="13"/>
      <c r="G32" s="11"/>
      <c r="H32" s="208">
        <f t="shared" si="4"/>
        <v>0</v>
      </c>
      <c r="I32" s="209"/>
      <c r="J32" s="20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8"/>
      <c r="W32" s="11"/>
      <c r="X32" s="34">
        <f t="shared" si="1"/>
        <v>0</v>
      </c>
    </row>
    <row r="33" spans="1:24" ht="37.5" customHeight="1">
      <c r="A33" s="2"/>
      <c r="B33" s="6">
        <v>44310</v>
      </c>
      <c r="C33" s="7"/>
      <c r="D33" s="143"/>
      <c r="E33" s="143"/>
      <c r="F33" s="13"/>
      <c r="G33" s="11"/>
      <c r="H33" s="208">
        <f t="shared" si="4"/>
        <v>0</v>
      </c>
      <c r="I33" s="209"/>
      <c r="J33" s="20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8"/>
      <c r="W33" s="11"/>
      <c r="X33" s="34">
        <f t="shared" si="1"/>
        <v>0</v>
      </c>
    </row>
    <row r="34" spans="1:24" ht="37.5" customHeight="1">
      <c r="A34" s="2"/>
      <c r="B34" s="6">
        <v>44311</v>
      </c>
      <c r="C34" s="7"/>
      <c r="D34" s="143"/>
      <c r="E34" s="143"/>
      <c r="F34" s="13"/>
      <c r="G34" s="11"/>
      <c r="H34" s="208">
        <f t="shared" si="4"/>
        <v>0</v>
      </c>
      <c r="I34" s="209"/>
      <c r="J34" s="20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8"/>
      <c r="W34" s="11"/>
      <c r="X34" s="34">
        <f t="shared" si="1"/>
        <v>0</v>
      </c>
    </row>
    <row r="35" spans="1:24" ht="33.75" customHeight="1">
      <c r="A35" s="2"/>
      <c r="B35" s="6">
        <v>44312</v>
      </c>
      <c r="C35" s="7"/>
      <c r="D35" s="143"/>
      <c r="E35" s="143"/>
      <c r="F35" s="13"/>
      <c r="G35" s="11"/>
      <c r="H35" s="208">
        <f t="shared" si="4"/>
        <v>0</v>
      </c>
      <c r="I35" s="209"/>
      <c r="J35" s="20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8"/>
      <c r="W35" s="11"/>
      <c r="X35" s="34">
        <f t="shared" si="1"/>
        <v>0</v>
      </c>
    </row>
    <row r="36" spans="1:24" ht="33.75" customHeight="1">
      <c r="A36" s="2"/>
      <c r="B36" s="6">
        <v>44313</v>
      </c>
      <c r="C36" s="7"/>
      <c r="D36" s="143"/>
      <c r="E36" s="143"/>
      <c r="F36" s="13"/>
      <c r="G36" s="11"/>
      <c r="H36" s="208">
        <f>F36*8.79</f>
        <v>0</v>
      </c>
      <c r="I36" s="209"/>
      <c r="J36" s="209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8"/>
      <c r="W36" s="11"/>
      <c r="X36" s="34">
        <f t="shared" si="1"/>
        <v>0</v>
      </c>
    </row>
    <row r="37" spans="1:24" s="154" customFormat="1" ht="33.75" customHeight="1">
      <c r="A37" s="2"/>
      <c r="B37" s="6">
        <v>44314</v>
      </c>
      <c r="C37" s="7"/>
      <c r="D37" s="143"/>
      <c r="E37" s="143"/>
      <c r="F37" s="13"/>
      <c r="G37" s="11"/>
      <c r="H37" s="208">
        <f t="shared" ref="H37:H38" si="5">F37*8.79</f>
        <v>0</v>
      </c>
      <c r="I37" s="209"/>
      <c r="J37" s="20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8"/>
      <c r="W37" s="11"/>
      <c r="X37" s="34">
        <f t="shared" si="1"/>
        <v>0</v>
      </c>
    </row>
    <row r="38" spans="1:24" s="154" customFormat="1" ht="33.75" customHeight="1">
      <c r="A38" s="2"/>
      <c r="B38" s="6">
        <v>44315</v>
      </c>
      <c r="C38" s="7"/>
      <c r="D38" s="143"/>
      <c r="E38" s="143"/>
      <c r="F38" s="13"/>
      <c r="G38" s="11"/>
      <c r="H38" s="208">
        <f t="shared" si="5"/>
        <v>0</v>
      </c>
      <c r="I38" s="209"/>
      <c r="J38" s="209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8"/>
      <c r="W38" s="11"/>
      <c r="X38" s="34">
        <f t="shared" si="1"/>
        <v>0</v>
      </c>
    </row>
    <row r="39" spans="1:24" ht="33.75" customHeight="1">
      <c r="A39" s="2"/>
      <c r="B39" s="6">
        <v>44316</v>
      </c>
      <c r="C39" s="7"/>
      <c r="D39" s="143"/>
      <c r="E39" s="143"/>
      <c r="F39" s="13"/>
      <c r="G39" s="11"/>
      <c r="H39" s="208">
        <f>F39*8.79</f>
        <v>0</v>
      </c>
      <c r="I39" s="209"/>
      <c r="J39" s="209"/>
      <c r="K39" s="60">
        <v>42305</v>
      </c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420</v>
      </c>
      <c r="E40" s="8">
        <f>SUM(E10:E39)</f>
        <v>607</v>
      </c>
      <c r="F40" s="155">
        <f>SUM(F10:F39)</f>
        <v>714</v>
      </c>
      <c r="G40" s="1"/>
      <c r="H40" s="253">
        <f>SUM(H10:H39)</f>
        <v>6276.0599999999995</v>
      </c>
      <c r="I40" s="254"/>
      <c r="J40" s="255"/>
      <c r="K40" s="1"/>
      <c r="L40" s="53">
        <f>SUM(L10:L39)</f>
        <v>20744</v>
      </c>
      <c r="M40" s="53">
        <f>SUM(M10:M39)</f>
        <v>39488</v>
      </c>
      <c r="N40" s="54">
        <f>SUM(N10:N39)</f>
        <v>15969</v>
      </c>
      <c r="O40" s="55">
        <f>SUM(O10:O39)</f>
        <v>76201</v>
      </c>
      <c r="P40" s="31"/>
      <c r="Q40" s="32">
        <f>SUM(Q10:Q39)</f>
        <v>72579.987200000003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2754.8905199999999</v>
      </c>
      <c r="W40" s="31"/>
      <c r="X40" s="32">
        <f>SUM(X10:X39)</f>
        <v>27055.504307868006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9"/>
      <c r="M41" s="159"/>
      <c r="N41" s="159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24" t="s">
        <v>36</v>
      </c>
      <c r="M42" s="225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18" t="s">
        <v>38</v>
      </c>
      <c r="B43" s="219"/>
      <c r="C43" s="220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5">
        <f>L40</f>
        <v>20744</v>
      </c>
      <c r="J43" s="216"/>
      <c r="K43" s="217"/>
      <c r="L43" s="206">
        <f>I43*H43</f>
        <v>14489.684000000001</v>
      </c>
      <c r="M43" s="207"/>
      <c r="N43" s="179">
        <f>L43+L44+L45</f>
        <v>73303.724799999996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1"/>
      <c r="B44" s="222"/>
      <c r="C44" s="223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5">
        <f>M40</f>
        <v>39488</v>
      </c>
      <c r="J44" s="216"/>
      <c r="K44" s="217"/>
      <c r="L44" s="206">
        <f>I44*H44</f>
        <v>37568.883200000004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1"/>
      <c r="B45" s="222"/>
      <c r="C45" s="223"/>
      <c r="D45" s="167" t="s">
        <v>32</v>
      </c>
      <c r="E45" s="167" t="s">
        <v>32</v>
      </c>
      <c r="F45" s="167" t="s">
        <v>32</v>
      </c>
      <c r="G45" s="20"/>
      <c r="H45" s="20">
        <v>1.3304</v>
      </c>
      <c r="I45" s="197">
        <f>N40</f>
        <v>15969</v>
      </c>
      <c r="J45" s="198"/>
      <c r="K45" s="199"/>
      <c r="L45" s="206">
        <f>I45*H45</f>
        <v>21245.157599999999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2"/>
      <c r="B46" s="163"/>
      <c r="C46" s="163"/>
      <c r="D46" s="167"/>
      <c r="E46" s="167"/>
      <c r="F46" s="167"/>
      <c r="G46" s="16"/>
      <c r="H46" s="16"/>
      <c r="I46" s="165"/>
      <c r="J46" s="166"/>
      <c r="K46" s="167"/>
      <c r="L46" s="156"/>
      <c r="M46" s="157"/>
      <c r="N46" s="203">
        <f>N43*1.3</f>
        <v>95294.842239999998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0" t="s">
        <v>39</v>
      </c>
      <c r="B47" s="211"/>
      <c r="C47" s="211"/>
      <c r="D47" s="211"/>
      <c r="E47" s="211"/>
      <c r="F47" s="212"/>
      <c r="G47" s="21"/>
      <c r="H47" s="22">
        <v>8.7899999999999991</v>
      </c>
      <c r="I47" s="210">
        <f>F40</f>
        <v>714</v>
      </c>
      <c r="J47" s="211"/>
      <c r="K47" s="212"/>
      <c r="L47" s="213">
        <f>I47*H47</f>
        <v>6276.0599999999995</v>
      </c>
      <c r="M47" s="214"/>
      <c r="N47" s="176">
        <f>L47</f>
        <v>6276.0599999999995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2754.8905199999999</v>
      </c>
      <c r="J48" s="195"/>
      <c r="K48" s="196"/>
      <c r="L48" s="194">
        <f>I48*H48</f>
        <v>27055.504307867999</v>
      </c>
      <c r="M48" s="196"/>
      <c r="N48" s="173">
        <f>L48</f>
        <v>27055.504307867999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</row>
    <row r="54" spans="1:24" ht="39" customHeight="1">
      <c r="A54" s="164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  <row r="55" spans="1:24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</row>
    <row r="56" spans="1:24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</row>
    <row r="57" spans="1:24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</row>
  </sheetData>
  <mergeCells count="72"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13" activePane="bottomRight" state="frozen"/>
      <selection pane="bottomRight" activeCell="K14" sqref="K14:K1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>
      <c r="A6" s="168"/>
      <c r="B6" s="168"/>
      <c r="C6" s="168"/>
    </row>
    <row r="7" spans="1:12" ht="16.5" customHeight="1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>
      <c r="A10" s="59">
        <v>44288</v>
      </c>
      <c r="B10" s="116">
        <v>2559</v>
      </c>
      <c r="C10" s="115">
        <f>B10-B9</f>
        <v>0</v>
      </c>
      <c r="D10" s="57">
        <v>106420.1</v>
      </c>
      <c r="E10" s="147">
        <f>D10-D9</f>
        <v>109.10000000000582</v>
      </c>
      <c r="F10" s="51">
        <v>10463266</v>
      </c>
      <c r="G10" s="50">
        <f>F10-F9</f>
        <v>3047</v>
      </c>
      <c r="H10" s="51">
        <v>17562728</v>
      </c>
      <c r="I10" s="50">
        <f>H10-H9</f>
        <v>5674</v>
      </c>
      <c r="J10" s="51">
        <v>7784583</v>
      </c>
      <c r="K10" s="50">
        <f>J10-J9</f>
        <v>2563</v>
      </c>
    </row>
    <row r="11" spans="1:12" ht="19.5">
      <c r="A11" s="59">
        <v>44289</v>
      </c>
      <c r="B11" s="116">
        <v>2559</v>
      </c>
      <c r="C11" s="115">
        <f>B11-B10</f>
        <v>0</v>
      </c>
      <c r="D11" s="57">
        <v>106537.5</v>
      </c>
      <c r="E11" s="147">
        <f>D11-D10</f>
        <v>117.39999999999418</v>
      </c>
      <c r="F11" s="51">
        <v>10466128</v>
      </c>
      <c r="G11" s="50">
        <f>F11-F10</f>
        <v>2862</v>
      </c>
      <c r="H11" s="51">
        <v>17569104</v>
      </c>
      <c r="I11" s="50">
        <f>H11-H10</f>
        <v>6376</v>
      </c>
      <c r="J11" s="51">
        <v>7787274</v>
      </c>
      <c r="K11" s="50">
        <f>J11-J10</f>
        <v>2691</v>
      </c>
    </row>
    <row r="12" spans="1:12" ht="19.5">
      <c r="A12" s="59">
        <v>44290</v>
      </c>
      <c r="B12" s="116">
        <v>2559</v>
      </c>
      <c r="C12" s="115">
        <f>B12-B11</f>
        <v>0</v>
      </c>
      <c r="D12" s="57">
        <v>106653</v>
      </c>
      <c r="E12" s="147">
        <f>D12-D11</f>
        <v>115.5</v>
      </c>
      <c r="F12" s="51">
        <v>10469206</v>
      </c>
      <c r="G12" s="50">
        <f>F12-F11</f>
        <v>3078</v>
      </c>
      <c r="H12" s="51">
        <v>17575055</v>
      </c>
      <c r="I12" s="50">
        <f>H12-H11</f>
        <v>5951</v>
      </c>
      <c r="J12" s="51">
        <v>7789701</v>
      </c>
      <c r="K12" s="50">
        <f>J12-J11</f>
        <v>2427</v>
      </c>
    </row>
    <row r="13" spans="1:12" ht="19.5">
      <c r="A13" s="59">
        <v>44291</v>
      </c>
      <c r="B13" s="116">
        <v>2559</v>
      </c>
      <c r="C13" s="115">
        <f>B13-B12</f>
        <v>0</v>
      </c>
      <c r="D13" s="57">
        <v>106744.3</v>
      </c>
      <c r="E13" s="147">
        <f>D13-D12</f>
        <v>91.30000000000291</v>
      </c>
      <c r="F13" s="51">
        <v>10472326</v>
      </c>
      <c r="G13" s="50">
        <f>F13-F12</f>
        <v>3120</v>
      </c>
      <c r="H13" s="51">
        <v>17580894</v>
      </c>
      <c r="I13" s="50">
        <f>H13-H12</f>
        <v>5839</v>
      </c>
      <c r="J13" s="51">
        <v>7791720</v>
      </c>
      <c r="K13" s="50">
        <f>J13-J12</f>
        <v>2019</v>
      </c>
    </row>
    <row r="14" spans="1:12" ht="19.5">
      <c r="A14" s="59">
        <v>44292</v>
      </c>
      <c r="B14" s="116">
        <v>2559</v>
      </c>
      <c r="C14" s="115">
        <f>B14-B13</f>
        <v>0</v>
      </c>
      <c r="D14" s="57">
        <v>106838.7</v>
      </c>
      <c r="E14" s="147">
        <f>D14-D13</f>
        <v>94.399999999994179</v>
      </c>
      <c r="F14" s="51">
        <v>10475231</v>
      </c>
      <c r="G14" s="50">
        <f>F14-F13</f>
        <v>2905</v>
      </c>
      <c r="H14" s="51">
        <v>17586212</v>
      </c>
      <c r="I14" s="50">
        <f>H14-H13</f>
        <v>5318</v>
      </c>
      <c r="J14" s="51">
        <v>7793599</v>
      </c>
      <c r="K14" s="50">
        <f>J14-J13</f>
        <v>1879</v>
      </c>
    </row>
    <row r="15" spans="1:12" ht="19.5">
      <c r="A15" s="59">
        <v>44293</v>
      </c>
      <c r="B15" s="116">
        <v>2559</v>
      </c>
      <c r="C15" s="115">
        <f>B15-B14</f>
        <v>0</v>
      </c>
      <c r="D15" s="57">
        <v>106910</v>
      </c>
      <c r="E15" s="147">
        <f>D15-D14</f>
        <v>71.30000000000291</v>
      </c>
      <c r="F15" s="51">
        <v>10477670</v>
      </c>
      <c r="G15" s="50">
        <f>F15-F14</f>
        <v>2439</v>
      </c>
      <c r="H15" s="51">
        <v>17591526</v>
      </c>
      <c r="I15" s="50">
        <f>H15-H14</f>
        <v>5314</v>
      </c>
      <c r="J15" s="51">
        <v>7795652</v>
      </c>
      <c r="K15" s="50">
        <f>J15-J14</f>
        <v>2053</v>
      </c>
    </row>
    <row r="16" spans="1:12" ht="19.5">
      <c r="A16" s="59">
        <v>44294</v>
      </c>
      <c r="B16" s="116"/>
      <c r="C16" s="115"/>
      <c r="D16" s="57"/>
      <c r="E16" s="147"/>
      <c r="F16" s="51"/>
      <c r="G16" s="50"/>
      <c r="H16" s="51"/>
      <c r="I16" s="50"/>
      <c r="J16" s="51"/>
      <c r="K16" s="50"/>
    </row>
    <row r="17" spans="1:29" ht="19.5">
      <c r="A17" s="59">
        <v>44295</v>
      </c>
      <c r="B17" s="116"/>
      <c r="C17" s="115">
        <f>B17-B16</f>
        <v>0</v>
      </c>
      <c r="D17" s="57"/>
      <c r="E17" s="147">
        <f>D17-D16</f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44296</v>
      </c>
      <c r="B18" s="116"/>
      <c r="C18" s="115">
        <f>B18-B17</f>
        <v>0</v>
      </c>
      <c r="D18" s="57"/>
      <c r="E18" s="147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44297</v>
      </c>
      <c r="B19" s="116"/>
      <c r="C19" s="115">
        <f>B19-B18</f>
        <v>0</v>
      </c>
      <c r="D19" s="57"/>
      <c r="E19" s="147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44298</v>
      </c>
      <c r="B20" s="116"/>
      <c r="C20" s="115">
        <f>B20-B19</f>
        <v>0</v>
      </c>
      <c r="D20" s="57"/>
      <c r="E20" s="147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44299</v>
      </c>
      <c r="B21" s="116"/>
      <c r="C21" s="115">
        <f>B21-B20</f>
        <v>0</v>
      </c>
      <c r="D21" s="57"/>
      <c r="E21" s="147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44300</v>
      </c>
      <c r="B22" s="116"/>
      <c r="C22" s="115">
        <f>B22-B21</f>
        <v>0</v>
      </c>
      <c r="D22" s="57"/>
      <c r="E22" s="147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44301</v>
      </c>
      <c r="B23" s="116"/>
      <c r="C23" s="115">
        <f>B23-B22</f>
        <v>0</v>
      </c>
      <c r="D23" s="57"/>
      <c r="E23" s="147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44302</v>
      </c>
      <c r="B24" s="116"/>
      <c r="C24" s="115">
        <f>B24-B23</f>
        <v>0</v>
      </c>
      <c r="D24" s="57"/>
      <c r="E24" s="147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44303</v>
      </c>
      <c r="B25" s="116"/>
      <c r="C25" s="115">
        <f>B25-B24</f>
        <v>0</v>
      </c>
      <c r="D25" s="57"/>
      <c r="E25" s="147">
        <f>D25-D24</f>
        <v>0</v>
      </c>
      <c r="F25" s="51"/>
      <c r="G25" s="50">
        <f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44304</v>
      </c>
      <c r="B26" s="116"/>
      <c r="C26" s="115">
        <f>B26-B25</f>
        <v>0</v>
      </c>
      <c r="D26" s="57"/>
      <c r="E26" s="147">
        <f>D26-D25</f>
        <v>0</v>
      </c>
      <c r="F26" s="51"/>
      <c r="G26" s="50">
        <f>F26-F25</f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44305</v>
      </c>
      <c r="B27" s="116"/>
      <c r="C27" s="115">
        <f>B27-B26</f>
        <v>0</v>
      </c>
      <c r="D27" s="57"/>
      <c r="E27" s="147">
        <f>D27-D26</f>
        <v>0</v>
      </c>
      <c r="F27" s="51"/>
      <c r="G27" s="50">
        <f>F27-F26</f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44306</v>
      </c>
      <c r="B28" s="116"/>
      <c r="C28" s="115">
        <f>B28-B27</f>
        <v>0</v>
      </c>
      <c r="D28" s="57"/>
      <c r="E28" s="147">
        <f>D28-D27</f>
        <v>0</v>
      </c>
      <c r="F28" s="51"/>
      <c r="G28" s="50">
        <f>F28-F27</f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44307</v>
      </c>
      <c r="B29" s="116"/>
      <c r="C29" s="115">
        <f>B29-B28</f>
        <v>0</v>
      </c>
      <c r="D29" s="57"/>
      <c r="E29" s="147">
        <f>D29-D28</f>
        <v>0</v>
      </c>
      <c r="F29" s="51"/>
      <c r="G29" s="50">
        <f>F29-F28</f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44308</v>
      </c>
      <c r="B30" s="116"/>
      <c r="C30" s="115">
        <f>B30-B29</f>
        <v>0</v>
      </c>
      <c r="D30" s="57"/>
      <c r="E30" s="147">
        <f>D30-D29</f>
        <v>0</v>
      </c>
      <c r="F30" s="51"/>
      <c r="G30" s="50">
        <f>F30-F29</f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44309</v>
      </c>
      <c r="B31" s="116"/>
      <c r="C31" s="115">
        <f>B31-B30</f>
        <v>0</v>
      </c>
      <c r="D31" s="57"/>
      <c r="E31" s="147">
        <f>D31-D30</f>
        <v>0</v>
      </c>
      <c r="F31" s="51"/>
      <c r="G31" s="50">
        <f>F31-F30</f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44310</v>
      </c>
      <c r="B32" s="116"/>
      <c r="C32" s="115">
        <f>B32-B31</f>
        <v>0</v>
      </c>
      <c r="D32" s="57"/>
      <c r="E32" s="147">
        <f>D32-D31</f>
        <v>0</v>
      </c>
      <c r="F32" s="51"/>
      <c r="G32" s="50">
        <f>F32-F31</f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44311</v>
      </c>
      <c r="B33" s="116"/>
      <c r="C33" s="115">
        <f>B33-B32</f>
        <v>0</v>
      </c>
      <c r="D33" s="57"/>
      <c r="E33" s="147">
        <f>D33-D32</f>
        <v>0</v>
      </c>
      <c r="F33" s="51"/>
      <c r="G33" s="50">
        <f>F33-F32</f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44312</v>
      </c>
      <c r="B34" s="116"/>
      <c r="C34" s="115">
        <f>B34-B33</f>
        <v>0</v>
      </c>
      <c r="D34" s="57"/>
      <c r="E34" s="147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44313</v>
      </c>
      <c r="B35" s="116"/>
      <c r="C35" s="115">
        <f>B35-B34</f>
        <v>0</v>
      </c>
      <c r="D35" s="57"/>
      <c r="E35" s="147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>J35-J34</f>
        <v>0</v>
      </c>
    </row>
    <row r="36" spans="1:11" ht="19.5">
      <c r="A36" s="59">
        <v>44314</v>
      </c>
      <c r="B36" s="116"/>
      <c r="C36" s="115">
        <f>B36-B35</f>
        <v>0</v>
      </c>
      <c r="D36" s="57"/>
      <c r="E36" s="147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>J36-J35</f>
        <v>0</v>
      </c>
    </row>
    <row r="37" spans="1:11" ht="19.5">
      <c r="A37" s="59">
        <v>44315</v>
      </c>
      <c r="B37" s="116"/>
      <c r="C37" s="115">
        <f>B37-B36</f>
        <v>0</v>
      </c>
      <c r="D37" s="57"/>
      <c r="E37" s="147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>J37-J36</f>
        <v>0</v>
      </c>
    </row>
    <row r="38" spans="1:11" ht="19.5">
      <c r="A38" s="59">
        <v>44316</v>
      </c>
      <c r="B38" s="116"/>
      <c r="C38" s="115">
        <f>B38-B37</f>
        <v>0</v>
      </c>
      <c r="D38" s="57"/>
      <c r="E38" s="147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>J38-J37</f>
        <v>0</v>
      </c>
    </row>
    <row r="39" spans="1:11" ht="19.5">
      <c r="A39" s="59">
        <v>44317</v>
      </c>
      <c r="B39" s="116"/>
      <c r="C39" s="115">
        <f>B39-B38</f>
        <v>0</v>
      </c>
      <c r="D39" s="57"/>
      <c r="E39" s="147">
        <f t="shared" ref="E39" si="0"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>J39-J38</f>
        <v>0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8"/>
      <c r="B44" s="168"/>
      <c r="C44" s="168"/>
    </row>
    <row r="45" spans="1:11">
      <c r="A45" s="168"/>
      <c r="B45" s="168"/>
      <c r="C45" s="168"/>
    </row>
    <row r="46" spans="1:11">
      <c r="A46" s="168"/>
      <c r="B46" s="168"/>
      <c r="C46" s="168"/>
    </row>
    <row r="47" spans="1:11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B11" sqref="B1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42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44293</v>
      </c>
      <c r="B10" s="41">
        <v>84</v>
      </c>
      <c r="C10" s="39">
        <f>IF(AC10&gt;0,((B10-R10)+(S10-B11)),IF(B11=0, ,(B10-B11)))</f>
        <v>0</v>
      </c>
      <c r="D10" s="41">
        <v>84</v>
      </c>
      <c r="E10" s="39">
        <f>IF(AC10&gt;0,((D10-U10)+(V10-D11)),IF(D11=0, ,(D10-D11)))</f>
        <v>0</v>
      </c>
      <c r="F10" s="41">
        <v>84</v>
      </c>
      <c r="G10" s="39">
        <f>IF(AC10&gt;0,((F10-X10)+(Y10-F11)),IF(F11=0, ,(F10-F11)))</f>
        <v>0</v>
      </c>
      <c r="H10" s="41">
        <v>84</v>
      </c>
      <c r="I10" s="39">
        <f t="shared" si="10"/>
        <v>0</v>
      </c>
      <c r="J10" s="39">
        <f t="shared" si="11"/>
        <v>336</v>
      </c>
      <c r="K10" s="39">
        <f t="shared" si="12"/>
        <v>84</v>
      </c>
      <c r="L10" s="39">
        <f t="shared" si="13"/>
        <v>0</v>
      </c>
      <c r="M10" s="151">
        <f t="shared" si="16"/>
        <v>24196</v>
      </c>
      <c r="N10" s="39">
        <f t="shared" si="14"/>
        <v>0</v>
      </c>
      <c r="O10" s="150">
        <f t="shared" si="15"/>
        <v>0</v>
      </c>
      <c r="P10" s="42">
        <f t="shared" si="7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44294</v>
      </c>
      <c r="B11" s="41"/>
      <c r="C11" s="39">
        <f t="shared" si="8"/>
        <v>0</v>
      </c>
      <c r="D11" s="41"/>
      <c r="E11" s="39">
        <f t="shared" ref="E11:E26" si="17">IF(AC11&gt;0,((D11-U11)+(V11-D12)),IF(D12=0, ,(D11-D12)))</f>
        <v>0</v>
      </c>
      <c r="F11" s="41"/>
      <c r="G11" s="39">
        <f t="shared" si="9"/>
        <v>0</v>
      </c>
      <c r="H11" s="41"/>
      <c r="I11" s="39">
        <f t="shared" si="10"/>
        <v>0</v>
      </c>
      <c r="J11" s="39">
        <f t="shared" si="11"/>
        <v>0</v>
      </c>
      <c r="K11" s="39">
        <f t="shared" si="12"/>
        <v>0</v>
      </c>
      <c r="L11" s="39">
        <f t="shared" si="13"/>
        <v>0</v>
      </c>
      <c r="M11" s="151">
        <f t="shared" si="16"/>
        <v>24196</v>
      </c>
      <c r="N11" s="39">
        <f t="shared" si="14"/>
        <v>0</v>
      </c>
      <c r="O11" s="39">
        <f t="shared" si="15"/>
        <v>0</v>
      </c>
      <c r="P11" s="42">
        <f t="shared" si="7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44295</v>
      </c>
      <c r="B12" s="41"/>
      <c r="C12" s="39">
        <f t="shared" si="8"/>
        <v>0</v>
      </c>
      <c r="D12" s="41"/>
      <c r="E12" s="39">
        <f t="shared" si="17"/>
        <v>0</v>
      </c>
      <c r="F12" s="41"/>
      <c r="G12" s="39">
        <f t="shared" si="9"/>
        <v>0</v>
      </c>
      <c r="H12" s="41"/>
      <c r="I12" s="39">
        <f t="shared" si="10"/>
        <v>0</v>
      </c>
      <c r="J12" s="39">
        <f t="shared" si="11"/>
        <v>0</v>
      </c>
      <c r="K12" s="39">
        <f t="shared" si="12"/>
        <v>0</v>
      </c>
      <c r="L12" s="39">
        <f t="shared" si="13"/>
        <v>0</v>
      </c>
      <c r="M12" s="151">
        <f t="shared" si="16"/>
        <v>24196</v>
      </c>
      <c r="N12" s="39">
        <f t="shared" si="14"/>
        <v>0</v>
      </c>
      <c r="O12" s="39">
        <f t="shared" si="15"/>
        <v>0</v>
      </c>
      <c r="P12" s="42">
        <f t="shared" si="7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44296</v>
      </c>
      <c r="B13" s="41"/>
      <c r="C13" s="39">
        <f t="shared" si="8"/>
        <v>0</v>
      </c>
      <c r="D13" s="41"/>
      <c r="E13" s="39">
        <f t="shared" si="17"/>
        <v>0</v>
      </c>
      <c r="F13" s="41"/>
      <c r="G13" s="39">
        <f t="shared" si="9"/>
        <v>0</v>
      </c>
      <c r="H13" s="41"/>
      <c r="I13" s="39">
        <f t="shared" si="10"/>
        <v>0</v>
      </c>
      <c r="J13" s="39">
        <f t="shared" si="11"/>
        <v>0</v>
      </c>
      <c r="K13" s="39">
        <f t="shared" si="12"/>
        <v>0</v>
      </c>
      <c r="L13" s="39">
        <f t="shared" si="13"/>
        <v>0</v>
      </c>
      <c r="M13" s="151">
        <f t="shared" si="16"/>
        <v>24196</v>
      </c>
      <c r="N13" s="39">
        <f t="shared" si="14"/>
        <v>0</v>
      </c>
      <c r="O13" s="39">
        <f t="shared" si="15"/>
        <v>0</v>
      </c>
      <c r="P13" s="42">
        <f t="shared" si="7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44297</v>
      </c>
      <c r="B14" s="41"/>
      <c r="C14" s="39">
        <f>IF(AC14&gt;0,((B14-R14)+(S14-B15)),IF(B15=0, ,(B14-B15)))</f>
        <v>0</v>
      </c>
      <c r="D14" s="41"/>
      <c r="E14" s="39">
        <f>IF(AC14&gt;0,((D14-U14)+(V14-D15)),IF(D15=0, ,(D14-D15)))</f>
        <v>0</v>
      </c>
      <c r="F14" s="41"/>
      <c r="G14" s="39">
        <f>IF(AC14&gt;0,((F14-X14)+(Y14-F15)),IF(F15=0, ,(F14-F15)))</f>
        <v>0</v>
      </c>
      <c r="H14" s="41"/>
      <c r="I14" s="39">
        <f>IF(AC14&gt;0,((H14-AA14)+(AB14-H15)),IF(H15=0, ,(H14-H15)))</f>
        <v>0</v>
      </c>
      <c r="J14" s="39">
        <f t="shared" si="11"/>
        <v>0</v>
      </c>
      <c r="K14" s="39">
        <f t="shared" si="12"/>
        <v>0</v>
      </c>
      <c r="L14" s="39">
        <f t="shared" si="13"/>
        <v>0</v>
      </c>
      <c r="M14" s="151">
        <f t="shared" si="16"/>
        <v>24196</v>
      </c>
      <c r="N14" s="39">
        <f t="shared" si="14"/>
        <v>0</v>
      </c>
      <c r="O14" s="39">
        <f t="shared" si="15"/>
        <v>0</v>
      </c>
      <c r="P14" s="42">
        <f t="shared" si="7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44298</v>
      </c>
      <c r="B15" s="41"/>
      <c r="C15" s="39">
        <f>IF(AC15&gt;0,((B15-R15)+(S15-B16)),IF(B16=0, ,(B15-B16)))</f>
        <v>0</v>
      </c>
      <c r="D15" s="41"/>
      <c r="E15" s="39">
        <f>IF(AC15&gt;0,((D15-U15)+(V15-D16)),IF(D16=0, ,(D15-D16)))</f>
        <v>0</v>
      </c>
      <c r="F15" s="41"/>
      <c r="G15" s="39">
        <f>IF(AC15&gt;0,((F15-X15)+(Y15-F16)),IF(F16=0, ,(F15-F16)))</f>
        <v>0</v>
      </c>
      <c r="H15" s="41"/>
      <c r="I15" s="39">
        <f>IF(AC15&gt;0,((H15-AA15)+(AB15-H16)),IF(H16=0, ,(H15-H16)))</f>
        <v>0</v>
      </c>
      <c r="J15" s="39">
        <f t="shared" si="11"/>
        <v>0</v>
      </c>
      <c r="K15" s="39">
        <f t="shared" si="12"/>
        <v>0</v>
      </c>
      <c r="L15" s="39">
        <f t="shared" si="13"/>
        <v>0</v>
      </c>
      <c r="M15" s="151">
        <f t="shared" si="16"/>
        <v>24196</v>
      </c>
      <c r="N15" s="39">
        <f t="shared" si="14"/>
        <v>0</v>
      </c>
      <c r="O15" s="39">
        <f t="shared" si="15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44299</v>
      </c>
      <c r="B16" s="41"/>
      <c r="C16" s="39">
        <f t="shared" si="8"/>
        <v>0</v>
      </c>
      <c r="D16" s="41"/>
      <c r="E16" s="39">
        <f t="shared" si="17"/>
        <v>0</v>
      </c>
      <c r="F16" s="41"/>
      <c r="G16" s="39">
        <f t="shared" si="9"/>
        <v>0</v>
      </c>
      <c r="H16" s="41"/>
      <c r="I16" s="39">
        <f t="shared" si="10"/>
        <v>0</v>
      </c>
      <c r="J16" s="39">
        <f t="shared" si="11"/>
        <v>0</v>
      </c>
      <c r="K16" s="39">
        <f t="shared" si="12"/>
        <v>0</v>
      </c>
      <c r="L16" s="39">
        <f t="shared" si="13"/>
        <v>0</v>
      </c>
      <c r="M16" s="151">
        <f t="shared" si="16"/>
        <v>24196</v>
      </c>
      <c r="N16" s="39">
        <f t="shared" si="14"/>
        <v>0</v>
      </c>
      <c r="O16" s="39">
        <f t="shared" si="15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44300</v>
      </c>
      <c r="B17" s="41"/>
      <c r="C17" s="39">
        <f t="shared" si="8"/>
        <v>0</v>
      </c>
      <c r="D17" s="41"/>
      <c r="E17" s="39">
        <f t="shared" si="17"/>
        <v>0</v>
      </c>
      <c r="F17" s="41"/>
      <c r="G17" s="39">
        <f t="shared" si="9"/>
        <v>0</v>
      </c>
      <c r="H17" s="41"/>
      <c r="I17" s="39">
        <f t="shared" si="10"/>
        <v>0</v>
      </c>
      <c r="J17" s="39">
        <f t="shared" si="11"/>
        <v>0</v>
      </c>
      <c r="K17" s="39">
        <f t="shared" si="12"/>
        <v>0</v>
      </c>
      <c r="L17" s="39">
        <f t="shared" si="13"/>
        <v>0</v>
      </c>
      <c r="M17" s="151">
        <f t="shared" si="16"/>
        <v>24196</v>
      </c>
      <c r="N17" s="39">
        <f t="shared" si="14"/>
        <v>0</v>
      </c>
      <c r="O17" s="39">
        <f t="shared" si="15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44301</v>
      </c>
      <c r="B18" s="41"/>
      <c r="C18" s="39">
        <f t="shared" si="8"/>
        <v>0</v>
      </c>
      <c r="D18" s="41"/>
      <c r="E18" s="39">
        <f t="shared" si="17"/>
        <v>0</v>
      </c>
      <c r="F18" s="41"/>
      <c r="G18" s="39">
        <f t="shared" si="9"/>
        <v>0</v>
      </c>
      <c r="H18" s="41"/>
      <c r="I18" s="39">
        <f t="shared" si="10"/>
        <v>0</v>
      </c>
      <c r="J18" s="39">
        <f t="shared" si="11"/>
        <v>0</v>
      </c>
      <c r="K18" s="39">
        <f t="shared" si="12"/>
        <v>0</v>
      </c>
      <c r="L18" s="39">
        <f t="shared" si="13"/>
        <v>0</v>
      </c>
      <c r="M18" s="151">
        <f t="shared" si="16"/>
        <v>24196</v>
      </c>
      <c r="N18" s="39">
        <f t="shared" si="14"/>
        <v>0</v>
      </c>
      <c r="O18" s="39">
        <f t="shared" si="15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44302</v>
      </c>
      <c r="B19" s="41"/>
      <c r="C19" s="39">
        <f t="shared" si="8"/>
        <v>0</v>
      </c>
      <c r="D19" s="41"/>
      <c r="E19" s="39">
        <f>IF(AC19&gt;0,((D19-U19)+(V19-D20)),IF(D20=0, ,(D19-D20)))</f>
        <v>0</v>
      </c>
      <c r="F19" s="41"/>
      <c r="G19" s="39">
        <f t="shared" si="9"/>
        <v>0</v>
      </c>
      <c r="H19" s="41"/>
      <c r="I19" s="39">
        <f t="shared" si="10"/>
        <v>0</v>
      </c>
      <c r="J19" s="39">
        <f t="shared" si="11"/>
        <v>0</v>
      </c>
      <c r="K19" s="39">
        <f t="shared" si="12"/>
        <v>0</v>
      </c>
      <c r="L19" s="39">
        <f t="shared" si="13"/>
        <v>0</v>
      </c>
      <c r="M19" s="151">
        <f t="shared" si="16"/>
        <v>24196</v>
      </c>
      <c r="N19" s="39">
        <f t="shared" si="14"/>
        <v>0</v>
      </c>
      <c r="O19" s="39">
        <f t="shared" si="15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44303</v>
      </c>
      <c r="B20" s="41"/>
      <c r="C20" s="39">
        <f>IF(AC20&gt;0,((B20-R20)+(S20-B21)),IF(B21=0, ,(B20-B21)))</f>
        <v>0</v>
      </c>
      <c r="D20" s="41"/>
      <c r="E20" s="39">
        <f t="shared" si="17"/>
        <v>0</v>
      </c>
      <c r="F20" s="41"/>
      <c r="G20" s="39">
        <f t="shared" si="9"/>
        <v>0</v>
      </c>
      <c r="H20" s="41"/>
      <c r="I20" s="39">
        <f t="shared" si="10"/>
        <v>0</v>
      </c>
      <c r="J20" s="39">
        <f t="shared" si="11"/>
        <v>0</v>
      </c>
      <c r="K20" s="39">
        <f t="shared" si="12"/>
        <v>0</v>
      </c>
      <c r="L20" s="39">
        <f t="shared" ref="L20:L42" si="18">IF(AC20&gt;0,((K20-AD20)+(AE20-K21)),IF(K21=0, ,(K20-K21)))</f>
        <v>0</v>
      </c>
      <c r="M20" s="151">
        <f t="shared" si="16"/>
        <v>24196</v>
      </c>
      <c r="N20" s="39">
        <f t="shared" si="14"/>
        <v>0</v>
      </c>
      <c r="O20" s="39">
        <f t="shared" si="15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44304</v>
      </c>
      <c r="B21" s="41"/>
      <c r="C21" s="39">
        <f t="shared" ref="C21:C35" si="19">IF(AC21&gt;0,((B21-R21)+(S21-B22)),IF(B22=0, ,(B21-B22)))</f>
        <v>0</v>
      </c>
      <c r="D21" s="41"/>
      <c r="E21" s="39">
        <f t="shared" si="17"/>
        <v>0</v>
      </c>
      <c r="F21" s="41"/>
      <c r="G21" s="39">
        <f>IF(AC21&gt;0,((F21-X21)+(Y21-F22)),IF(F22=0, ,(F21-F22)))</f>
        <v>0</v>
      </c>
      <c r="H21" s="41"/>
      <c r="I21" s="39">
        <f t="shared" si="10"/>
        <v>0</v>
      </c>
      <c r="J21" s="39">
        <f t="shared" si="11"/>
        <v>0</v>
      </c>
      <c r="K21" s="39">
        <f t="shared" si="12"/>
        <v>0</v>
      </c>
      <c r="L21" s="39">
        <f>IF(AC21&gt;0,((K21-AD21)+(AE21-K22)),IF(K22=0, ,(K21-K22)))</f>
        <v>0</v>
      </c>
      <c r="M21" s="151">
        <f t="shared" si="16"/>
        <v>24196</v>
      </c>
      <c r="N21" s="39">
        <f t="shared" si="14"/>
        <v>0</v>
      </c>
      <c r="O21" s="39">
        <f t="shared" si="15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44305</v>
      </c>
      <c r="B22" s="41"/>
      <c r="C22" s="39">
        <f t="shared" si="19"/>
        <v>0</v>
      </c>
      <c r="D22" s="41"/>
      <c r="E22" s="39">
        <f t="shared" si="17"/>
        <v>0</v>
      </c>
      <c r="F22" s="41"/>
      <c r="G22" s="39">
        <f t="shared" si="9"/>
        <v>0</v>
      </c>
      <c r="H22" s="41"/>
      <c r="I22" s="39">
        <f t="shared" si="10"/>
        <v>0</v>
      </c>
      <c r="J22" s="39">
        <f t="shared" si="11"/>
        <v>0</v>
      </c>
      <c r="K22" s="39">
        <f t="shared" si="12"/>
        <v>0</v>
      </c>
      <c r="L22" s="39">
        <f>IF(AC22&gt;0,((K22-AD22)+(AE22-K23)),IF(K23=0, ,(K22-K23)))</f>
        <v>0</v>
      </c>
      <c r="M22" s="151">
        <f t="shared" si="16"/>
        <v>24196</v>
      </c>
      <c r="N22" s="39">
        <f t="shared" si="14"/>
        <v>0</v>
      </c>
      <c r="O22" s="39">
        <f t="shared" si="15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44306</v>
      </c>
      <c r="B23" s="41"/>
      <c r="C23" s="39">
        <f t="shared" si="19"/>
        <v>0</v>
      </c>
      <c r="D23" s="41"/>
      <c r="E23" s="39">
        <f t="shared" si="17"/>
        <v>0</v>
      </c>
      <c r="F23" s="41"/>
      <c r="G23" s="39">
        <f t="shared" si="9"/>
        <v>0</v>
      </c>
      <c r="H23" s="41"/>
      <c r="I23" s="39">
        <f t="shared" si="10"/>
        <v>0</v>
      </c>
      <c r="J23" s="39">
        <f t="shared" si="11"/>
        <v>0</v>
      </c>
      <c r="K23" s="39">
        <f t="shared" si="12"/>
        <v>0</v>
      </c>
      <c r="L23" s="39">
        <f t="shared" si="18"/>
        <v>0</v>
      </c>
      <c r="M23" s="151">
        <f t="shared" si="16"/>
        <v>24196</v>
      </c>
      <c r="N23" s="39">
        <f t="shared" si="14"/>
        <v>0</v>
      </c>
      <c r="O23" s="39">
        <f t="shared" si="15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44307</v>
      </c>
      <c r="B24" s="41"/>
      <c r="C24" s="39">
        <f>IF(AC24&gt;0,((B24-R24)+(S24-B25)),IF(B25=0, ,(B24-B25)))</f>
        <v>0</v>
      </c>
      <c r="D24" s="41"/>
      <c r="E24" s="39">
        <f t="shared" si="17"/>
        <v>0</v>
      </c>
      <c r="F24" s="41"/>
      <c r="G24" s="39">
        <f t="shared" si="9"/>
        <v>0</v>
      </c>
      <c r="H24" s="41"/>
      <c r="I24" s="39">
        <f t="shared" si="10"/>
        <v>0</v>
      </c>
      <c r="J24" s="39">
        <f t="shared" si="11"/>
        <v>0</v>
      </c>
      <c r="K24" s="39">
        <f t="shared" si="12"/>
        <v>0</v>
      </c>
      <c r="L24" s="39">
        <f t="shared" si="18"/>
        <v>0</v>
      </c>
      <c r="M24" s="151">
        <f t="shared" si="16"/>
        <v>24196</v>
      </c>
      <c r="N24" s="39">
        <f t="shared" si="14"/>
        <v>0</v>
      </c>
      <c r="O24" s="39">
        <f t="shared" si="15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44308</v>
      </c>
      <c r="B25" s="41"/>
      <c r="C25" s="39">
        <f>IF(AC25&gt;0,((B25-R25)+(S25-B26)),IF(B26=0, ,(B25-B26)))</f>
        <v>0</v>
      </c>
      <c r="D25" s="41"/>
      <c r="E25" s="39">
        <f t="shared" si="17"/>
        <v>0</v>
      </c>
      <c r="F25" s="41"/>
      <c r="G25" s="39">
        <f t="shared" si="9"/>
        <v>0</v>
      </c>
      <c r="H25" s="41"/>
      <c r="I25" s="39">
        <f t="shared" si="10"/>
        <v>0</v>
      </c>
      <c r="J25" s="39">
        <f t="shared" si="11"/>
        <v>0</v>
      </c>
      <c r="K25" s="39">
        <f t="shared" si="12"/>
        <v>0</v>
      </c>
      <c r="L25" s="39">
        <f t="shared" si="18"/>
        <v>0</v>
      </c>
      <c r="M25" s="151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44309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1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44310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1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44311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1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44312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44313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1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44314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1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44315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1">
        <f t="shared" si="16"/>
        <v>24196</v>
      </c>
      <c r="N32" s="39">
        <f t="shared" si="14"/>
        <v>0</v>
      </c>
      <c r="O32" s="151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44316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1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44317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5205.8799999999992</v>
      </c>
      <c r="O43" s="39">
        <f>N43*0.529</f>
        <v>2753.9105199999999</v>
      </c>
      <c r="P43" s="42">
        <f>O43*8.7</f>
        <v>23959.021523999996</v>
      </c>
      <c r="Q43" s="290">
        <f>SUM(Q4:Q42)</f>
        <v>2870</v>
      </c>
      <c r="R43" s="291"/>
      <c r="S43" s="292"/>
      <c r="T43" s="293">
        <f>SUM(T4:T42)</f>
        <v>2832</v>
      </c>
      <c r="U43" s="291"/>
      <c r="V43" s="292"/>
      <c r="W43" s="293">
        <f>SUM(W4:W42)</f>
        <v>2865</v>
      </c>
      <c r="X43" s="291"/>
      <c r="Y43" s="292"/>
      <c r="Z43" s="293">
        <f>SUM(Z4:Z42)</f>
        <v>2677</v>
      </c>
      <c r="AA43" s="291"/>
      <c r="AB43" s="292"/>
      <c r="AC43" s="39">
        <f t="shared" si="21"/>
        <v>11244</v>
      </c>
    </row>
    <row r="44" spans="1:31" ht="35.25" customHeight="1" thickBot="1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11244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11244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6" t="s">
        <v>85</v>
      </c>
      <c r="I47" s="287"/>
      <c r="J47" s="288"/>
      <c r="K47" s="45">
        <f>N43</f>
        <v>5205.8799999999992</v>
      </c>
      <c r="L47" s="46">
        <f>O43</f>
        <v>2753.9105199999999</v>
      </c>
      <c r="M47" s="46">
        <f>P43</f>
        <v>23959.021523999996</v>
      </c>
    </row>
    <row r="48" spans="1:31" ht="54.75" customHeight="1" thickBot="1">
      <c r="H48" s="286" t="s">
        <v>86</v>
      </c>
      <c r="I48" s="287"/>
      <c r="J48" s="288"/>
      <c r="K48" s="43">
        <f>AC44</f>
        <v>11244</v>
      </c>
      <c r="L48" s="44">
        <f>K48*0.529</f>
        <v>5948.076</v>
      </c>
      <c r="M48" s="44">
        <f>L48*8.7</f>
        <v>51748.261199999994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5"/>
      <c r="B1" s="277"/>
      <c r="C1" s="305" t="s">
        <v>87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/>
    <row r="7" spans="1:10" ht="36.75" thickTop="1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>
      <c r="A8" s="330">
        <v>95670781</v>
      </c>
      <c r="B8" s="330"/>
      <c r="C8" s="331">
        <v>44351</v>
      </c>
      <c r="D8" s="332"/>
      <c r="E8" s="113">
        <v>44381</v>
      </c>
      <c r="F8" s="170" t="s">
        <v>97</v>
      </c>
      <c r="G8" s="62"/>
      <c r="H8" s="62"/>
      <c r="I8" s="333"/>
      <c r="J8" s="334"/>
    </row>
    <row r="10" spans="1:10" ht="23.25" customHeight="1" thickBot="1"/>
    <row r="11" spans="1:10" ht="24.75" customHeight="1" thickTop="1">
      <c r="A11" s="335" t="s">
        <v>98</v>
      </c>
      <c r="B11" s="335"/>
      <c r="C11" s="336" t="s">
        <v>99</v>
      </c>
      <c r="D11" s="337"/>
      <c r="E11" s="335" t="s">
        <v>100</v>
      </c>
      <c r="F11" s="335"/>
      <c r="G11" s="336" t="s">
        <v>101</v>
      </c>
      <c r="H11" s="337"/>
      <c r="I11" s="338" t="s">
        <v>102</v>
      </c>
      <c r="J11" s="338"/>
    </row>
    <row r="12" spans="1:10">
      <c r="A12" s="330" t="s">
        <v>103</v>
      </c>
      <c r="B12" s="330"/>
      <c r="C12" s="330">
        <v>3750</v>
      </c>
      <c r="D12" s="330"/>
      <c r="E12" s="330">
        <v>1000</v>
      </c>
      <c r="F12" s="330"/>
      <c r="G12" s="339">
        <v>1070</v>
      </c>
      <c r="H12" s="339"/>
      <c r="I12" s="340"/>
      <c r="J12" s="340"/>
    </row>
    <row r="13" spans="1:10">
      <c r="A13" s="328"/>
      <c r="B13" s="329"/>
      <c r="C13" s="329"/>
      <c r="D13" s="329"/>
      <c r="E13" s="329"/>
      <c r="F13" s="329"/>
      <c r="G13" s="329"/>
      <c r="H13" s="329"/>
      <c r="I13" s="329"/>
      <c r="J13" s="329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4" t="s">
        <v>110</v>
      </c>
      <c r="B17" s="345"/>
      <c r="C17" s="66">
        <v>17591526</v>
      </c>
      <c r="D17" s="66">
        <v>17586212</v>
      </c>
      <c r="E17" s="67">
        <f>MIN(C17-D17)</f>
        <v>5314</v>
      </c>
      <c r="F17" s="67">
        <f>+E17</f>
        <v>5314</v>
      </c>
      <c r="G17" s="346"/>
      <c r="H17" s="347"/>
      <c r="I17" s="346">
        <f>+E17</f>
        <v>5314</v>
      </c>
      <c r="J17" s="347"/>
    </row>
    <row r="18" spans="1:10">
      <c r="A18" s="344" t="s">
        <v>111</v>
      </c>
      <c r="B18" s="345"/>
      <c r="C18" s="66">
        <v>10477670</v>
      </c>
      <c r="D18" s="66">
        <v>10475231</v>
      </c>
      <c r="E18" s="67">
        <f>MIN(C18-D18)</f>
        <v>2439</v>
      </c>
      <c r="F18" s="67">
        <f>+E18</f>
        <v>2439</v>
      </c>
      <c r="G18" s="346"/>
      <c r="H18" s="347"/>
      <c r="I18" s="346">
        <f>+E18</f>
        <v>2439</v>
      </c>
      <c r="J18" s="347"/>
    </row>
    <row r="19" spans="1:10">
      <c r="A19" s="344" t="s">
        <v>112</v>
      </c>
      <c r="B19" s="345"/>
      <c r="C19" s="66">
        <v>7795652</v>
      </c>
      <c r="D19" s="66">
        <v>7793599</v>
      </c>
      <c r="E19" s="67">
        <f>AVERAGE(C19-D19)</f>
        <v>2053</v>
      </c>
      <c r="F19" s="67">
        <f>+E19</f>
        <v>2053</v>
      </c>
      <c r="G19" s="346"/>
      <c r="H19" s="347"/>
      <c r="I19" s="346">
        <f>+E19</f>
        <v>2053</v>
      </c>
      <c r="J19" s="347"/>
    </row>
    <row r="20" spans="1:10" ht="15">
      <c r="A20" s="366" t="s">
        <v>113</v>
      </c>
      <c r="B20" s="367"/>
      <c r="C20" s="68"/>
      <c r="D20" s="69"/>
      <c r="E20" s="68">
        <f>SUM(E17:E19)</f>
        <v>9806</v>
      </c>
      <c r="F20" s="70"/>
      <c r="G20" s="368"/>
      <c r="H20" s="369"/>
      <c r="I20" s="368"/>
      <c r="J20" s="369"/>
    </row>
    <row r="21" spans="1:10">
      <c r="C21" s="110" t="s">
        <v>18</v>
      </c>
      <c r="D21" t="s">
        <v>114</v>
      </c>
      <c r="G21" s="370"/>
      <c r="H21" s="370"/>
    </row>
    <row r="22" spans="1:10" ht="13.5" thickBot="1">
      <c r="G22" s="371"/>
      <c r="H22" s="371"/>
    </row>
    <row r="23" spans="1:10" ht="13.5" thickTop="1">
      <c r="A23" s="356" t="s">
        <v>115</v>
      </c>
      <c r="B23" s="357"/>
      <c r="C23" s="358"/>
      <c r="D23" s="335" t="s">
        <v>116</v>
      </c>
      <c r="E23" s="335" t="s">
        <v>117</v>
      </c>
      <c r="F23" s="363" t="s">
        <v>118</v>
      </c>
      <c r="G23" s="365" t="s">
        <v>119</v>
      </c>
      <c r="H23" s="365"/>
      <c r="I23" s="372" t="s">
        <v>120</v>
      </c>
      <c r="J23" s="372"/>
    </row>
    <row r="24" spans="1:10">
      <c r="A24" s="359"/>
      <c r="B24" s="360"/>
      <c r="C24" s="361"/>
      <c r="D24" s="362"/>
      <c r="E24" s="362"/>
      <c r="F24" s="364"/>
      <c r="G24" s="169" t="s">
        <v>121</v>
      </c>
      <c r="H24" s="71" t="s">
        <v>122</v>
      </c>
      <c r="I24" s="372"/>
      <c r="J24" s="372"/>
    </row>
    <row r="25" spans="1:10" ht="15">
      <c r="A25" s="348" t="s">
        <v>123</v>
      </c>
      <c r="B25" s="349"/>
      <c r="C25" s="350"/>
      <c r="D25" s="67">
        <f>+E17</f>
        <v>5314</v>
      </c>
      <c r="E25" s="72">
        <v>0.95140000000000002</v>
      </c>
      <c r="F25" s="73">
        <f>PRODUCT(D25*E25)</f>
        <v>5055.7395999999999</v>
      </c>
      <c r="G25" s="153">
        <v>14</v>
      </c>
      <c r="H25" s="65">
        <f>PRODUCT(0.14,F25)</f>
        <v>707.8035440000001</v>
      </c>
      <c r="I25" s="351">
        <f>SUM(H25,F25)</f>
        <v>5763.5431440000002</v>
      </c>
      <c r="J25" s="352"/>
    </row>
    <row r="26" spans="1:10" ht="15">
      <c r="A26" s="353" t="s">
        <v>124</v>
      </c>
      <c r="B26" s="354"/>
      <c r="C26" s="355"/>
      <c r="D26" s="67">
        <f>+E18</f>
        <v>2439</v>
      </c>
      <c r="E26" s="74">
        <v>0.69850000000000001</v>
      </c>
      <c r="F26" s="73">
        <f>PRODUCT(D26*E26)</f>
        <v>1703.6415</v>
      </c>
      <c r="G26">
        <v>14</v>
      </c>
      <c r="H26" s="67">
        <f>PRODUCT(0.14,F26)</f>
        <v>238.50981000000002</v>
      </c>
      <c r="I26" s="351">
        <f t="shared" ref="I26:I31" si="0">SUM(H26,F26)</f>
        <v>1942.15131</v>
      </c>
      <c r="J26" s="352"/>
    </row>
    <row r="27" spans="1:10" ht="15">
      <c r="A27" s="353" t="s">
        <v>125</v>
      </c>
      <c r="B27" s="354"/>
      <c r="C27" s="355"/>
      <c r="D27" s="67">
        <f>+E19</f>
        <v>2053</v>
      </c>
      <c r="E27" s="74">
        <v>1.3304</v>
      </c>
      <c r="F27" s="73">
        <f>PRODUCT(D27*E27)</f>
        <v>2731.3112000000001</v>
      </c>
      <c r="G27">
        <v>14</v>
      </c>
      <c r="H27" s="67">
        <f>PRODUCT(0.14,F27)</f>
        <v>382.38356800000003</v>
      </c>
      <c r="I27" s="351">
        <f>SUM(H27,F27)</f>
        <v>3113.6947680000003</v>
      </c>
      <c r="J27" s="352"/>
    </row>
    <row r="28" spans="1:10" ht="15">
      <c r="A28" s="353" t="s">
        <v>126</v>
      </c>
      <c r="B28" s="354"/>
      <c r="C28" s="35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1">
        <f t="shared" si="0"/>
        <v>50025.103799999997</v>
      </c>
      <c r="J28" s="352"/>
    </row>
    <row r="29" spans="1:10" ht="15">
      <c r="A29" s="381" t="s">
        <v>127</v>
      </c>
      <c r="B29" s="382"/>
      <c r="C29" s="383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84">
        <f t="shared" si="0"/>
        <v>3908.0047020000002</v>
      </c>
      <c r="J29" s="385"/>
    </row>
    <row r="30" spans="1:10" ht="15">
      <c r="A30" s="353" t="s">
        <v>128</v>
      </c>
      <c r="B30" s="354"/>
      <c r="C30" s="35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1">
        <f>SUM(H30,F30)</f>
        <v>1009.2</v>
      </c>
      <c r="J30" s="352"/>
    </row>
    <row r="31" spans="1:10" ht="15.75" thickBot="1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1">
        <f t="shared" si="0"/>
        <v>1596.44</v>
      </c>
      <c r="J31" s="352"/>
    </row>
    <row r="32" spans="1:10" ht="21">
      <c r="A32" s="376" t="s">
        <v>130</v>
      </c>
      <c r="B32" s="377"/>
      <c r="C32" s="377"/>
      <c r="D32" s="377"/>
      <c r="E32" s="377"/>
      <c r="F32" s="84">
        <f>SUM(F25:F31)</f>
        <v>59133.436599999994</v>
      </c>
      <c r="G32" s="85"/>
      <c r="H32" s="86"/>
      <c r="I32" s="380">
        <f>SUM(I25:J31)</f>
        <v>67358.137724</v>
      </c>
      <c r="J32" s="380"/>
    </row>
    <row r="33" spans="1:10" ht="21.75" thickBot="1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5"/>
      <c r="B1" s="277"/>
      <c r="C1" s="305" t="s">
        <v>87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/>
    <row r="7" spans="1:10" ht="36.75" thickTop="1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>
      <c r="A8" s="330">
        <v>95670781</v>
      </c>
      <c r="B8" s="330"/>
      <c r="C8" s="331">
        <v>44255</v>
      </c>
      <c r="D8" s="332"/>
      <c r="E8" s="113">
        <v>44283</v>
      </c>
      <c r="F8" s="170" t="s">
        <v>97</v>
      </c>
      <c r="G8" s="62"/>
      <c r="H8" s="62"/>
      <c r="I8" s="333"/>
      <c r="J8" s="334"/>
    </row>
    <row r="10" spans="1:10" ht="23.25" customHeight="1" thickBot="1"/>
    <row r="11" spans="1:10" ht="24.75" customHeight="1" thickTop="1">
      <c r="A11" s="335" t="s">
        <v>98</v>
      </c>
      <c r="B11" s="335"/>
      <c r="C11" s="336" t="s">
        <v>99</v>
      </c>
      <c r="D11" s="337"/>
      <c r="E11" s="335" t="s">
        <v>100</v>
      </c>
      <c r="F11" s="335"/>
      <c r="G11" s="336" t="s">
        <v>101</v>
      </c>
      <c r="H11" s="337"/>
      <c r="I11" s="338" t="s">
        <v>102</v>
      </c>
      <c r="J11" s="338"/>
    </row>
    <row r="12" spans="1:10">
      <c r="A12" s="330" t="s">
        <v>103</v>
      </c>
      <c r="B12" s="330"/>
      <c r="C12" s="330">
        <v>3750</v>
      </c>
      <c r="D12" s="330"/>
      <c r="E12" s="330">
        <v>1000</v>
      </c>
      <c r="F12" s="330"/>
      <c r="G12" s="339">
        <v>695</v>
      </c>
      <c r="H12" s="339"/>
      <c r="I12" s="340"/>
      <c r="J12" s="340"/>
    </row>
    <row r="13" spans="1:10">
      <c r="A13" s="328"/>
      <c r="B13" s="329"/>
      <c r="C13" s="329"/>
      <c r="D13" s="329"/>
      <c r="E13" s="329"/>
      <c r="F13" s="329"/>
      <c r="G13" s="329"/>
      <c r="H13" s="329"/>
      <c r="I13" s="329"/>
      <c r="J13" s="329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4" t="s">
        <v>110</v>
      </c>
      <c r="B17" s="345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6"/>
      <c r="H17" s="347"/>
      <c r="I17" s="346">
        <f>+E17</f>
        <v>113986</v>
      </c>
      <c r="J17" s="347"/>
    </row>
    <row r="18" spans="1:10">
      <c r="A18" s="344" t="s">
        <v>111</v>
      </c>
      <c r="B18" s="345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6"/>
      <c r="H18" s="347"/>
      <c r="I18" s="346">
        <f>+E18</f>
        <v>73664</v>
      </c>
      <c r="J18" s="347"/>
    </row>
    <row r="19" spans="1:10">
      <c r="A19" s="344" t="s">
        <v>112</v>
      </c>
      <c r="B19" s="345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6"/>
      <c r="H19" s="347"/>
      <c r="I19" s="346">
        <f>+E19</f>
        <v>54700</v>
      </c>
      <c r="J19" s="347"/>
    </row>
    <row r="20" spans="1:10" ht="15">
      <c r="A20" s="366" t="s">
        <v>113</v>
      </c>
      <c r="B20" s="367"/>
      <c r="C20" s="68"/>
      <c r="D20" s="69"/>
      <c r="E20" s="68">
        <f>SUM(E17:E19)</f>
        <v>242350</v>
      </c>
      <c r="F20" s="70"/>
      <c r="G20" s="368"/>
      <c r="H20" s="369"/>
      <c r="I20" s="368"/>
      <c r="J20" s="369"/>
    </row>
    <row r="21" spans="1:10">
      <c r="C21" s="110" t="s">
        <v>18</v>
      </c>
      <c r="D21" t="s">
        <v>114</v>
      </c>
      <c r="G21" s="370"/>
      <c r="H21" s="370"/>
    </row>
    <row r="22" spans="1:10" ht="13.5" thickBot="1">
      <c r="G22" s="371"/>
      <c r="H22" s="371"/>
    </row>
    <row r="23" spans="1:10" ht="13.5" thickTop="1">
      <c r="A23" s="356" t="s">
        <v>115</v>
      </c>
      <c r="B23" s="357"/>
      <c r="C23" s="358"/>
      <c r="D23" s="335" t="s">
        <v>116</v>
      </c>
      <c r="E23" s="335" t="s">
        <v>117</v>
      </c>
      <c r="F23" s="363" t="s">
        <v>118</v>
      </c>
      <c r="G23" s="365" t="s">
        <v>119</v>
      </c>
      <c r="H23" s="365"/>
      <c r="I23" s="372" t="s">
        <v>120</v>
      </c>
      <c r="J23" s="372"/>
    </row>
    <row r="24" spans="1:10">
      <c r="A24" s="359"/>
      <c r="B24" s="360"/>
      <c r="C24" s="361"/>
      <c r="D24" s="362"/>
      <c r="E24" s="362"/>
      <c r="F24" s="364"/>
      <c r="G24" s="169" t="s">
        <v>121</v>
      </c>
      <c r="H24" s="71" t="s">
        <v>122</v>
      </c>
      <c r="I24" s="372"/>
      <c r="J24" s="372"/>
    </row>
    <row r="25" spans="1:10" ht="15">
      <c r="A25" s="348" t="s">
        <v>123</v>
      </c>
      <c r="B25" s="349"/>
      <c r="C25" s="350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51">
        <f>SUM(H25,F25)</f>
        <v>123628.75965600001</v>
      </c>
      <c r="J25" s="352"/>
    </row>
    <row r="26" spans="1:10" ht="15">
      <c r="A26" s="353" t="s">
        <v>124</v>
      </c>
      <c r="B26" s="354"/>
      <c r="C26" s="355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51">
        <f t="shared" ref="I26:I31" si="0">SUM(H26,F26)</f>
        <v>58657.906560000003</v>
      </c>
      <c r="J26" s="352"/>
    </row>
    <row r="27" spans="1:10" ht="15">
      <c r="A27" s="353" t="s">
        <v>125</v>
      </c>
      <c r="B27" s="354"/>
      <c r="C27" s="355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51">
        <f>SUM(H27,F27)</f>
        <v>82961.083200000008</v>
      </c>
      <c r="J27" s="352"/>
    </row>
    <row r="28" spans="1:10" ht="15">
      <c r="A28" s="353" t="s">
        <v>126</v>
      </c>
      <c r="B28" s="354"/>
      <c r="C28" s="35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1">
        <f t="shared" si="0"/>
        <v>50025.103799999997</v>
      </c>
      <c r="J28" s="352"/>
    </row>
    <row r="29" spans="1:10" ht="15">
      <c r="A29" s="381" t="s">
        <v>127</v>
      </c>
      <c r="B29" s="382"/>
      <c r="C29" s="383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4">
        <f t="shared" si="0"/>
        <v>0</v>
      </c>
      <c r="J29" s="385"/>
    </row>
    <row r="30" spans="1:10" ht="15">
      <c r="A30" s="353" t="s">
        <v>128</v>
      </c>
      <c r="B30" s="354"/>
      <c r="C30" s="35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1">
        <f>SUM(H30,F30)</f>
        <v>1009.2</v>
      </c>
      <c r="J30" s="352"/>
    </row>
    <row r="31" spans="1:10" ht="15.75" thickBot="1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1">
        <f t="shared" si="0"/>
        <v>1596.44</v>
      </c>
      <c r="J31" s="352"/>
    </row>
    <row r="32" spans="1:10" ht="21">
      <c r="A32" s="376" t="s">
        <v>130</v>
      </c>
      <c r="B32" s="377"/>
      <c r="C32" s="377"/>
      <c r="D32" s="377"/>
      <c r="E32" s="377"/>
      <c r="F32" s="84">
        <f>SUM(F25:F31)</f>
        <v>278888.13439999998</v>
      </c>
      <c r="G32" s="85"/>
      <c r="H32" s="86"/>
      <c r="I32" s="380">
        <f>SUM(I25:J31)</f>
        <v>317878.49321600003</v>
      </c>
      <c r="J32" s="380"/>
    </row>
    <row r="33" spans="1:10" ht="21.75" thickBot="1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05" t="s">
        <v>131</v>
      </c>
      <c r="C1" s="306"/>
      <c r="D1" s="306"/>
      <c r="E1" s="306"/>
      <c r="F1" s="412" t="s">
        <v>88</v>
      </c>
      <c r="G1" s="413"/>
      <c r="H1" s="414"/>
    </row>
    <row r="2" spans="1:8" ht="15.75" customHeight="1" thickBot="1">
      <c r="A2" s="410"/>
      <c r="B2" s="307"/>
      <c r="C2" s="308"/>
      <c r="D2" s="308"/>
      <c r="E2" s="308"/>
      <c r="F2" s="415"/>
      <c r="G2" s="416"/>
      <c r="H2" s="417"/>
    </row>
    <row r="3" spans="1:8" ht="15" customHeight="1">
      <c r="A3" s="410"/>
      <c r="B3" s="307"/>
      <c r="C3" s="308"/>
      <c r="D3" s="308"/>
      <c r="E3" s="308"/>
      <c r="F3" s="412" t="s">
        <v>89</v>
      </c>
      <c r="G3" s="413"/>
      <c r="H3" s="414"/>
    </row>
    <row r="4" spans="1:8" ht="15.75" customHeight="1" thickBot="1">
      <c r="A4" s="411"/>
      <c r="B4" s="309"/>
      <c r="C4" s="310"/>
      <c r="D4" s="310"/>
      <c r="E4" s="310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>
      <c r="A8" s="171"/>
      <c r="B8" s="95" t="s">
        <v>136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137</v>
      </c>
      <c r="E10" s="423"/>
      <c r="F10" s="421" t="s">
        <v>138</v>
      </c>
      <c r="G10" s="424"/>
      <c r="H10" s="422"/>
    </row>
    <row r="11" spans="1:8" ht="15">
      <c r="A11" s="102" t="s">
        <v>139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141</v>
      </c>
      <c r="B13" s="401">
        <f>G8</f>
        <v>2406.3000000000029</v>
      </c>
      <c r="C13" s="401"/>
      <c r="D13" s="401">
        <v>8.7899999999999991</v>
      </c>
      <c r="E13" s="401"/>
      <c r="F13" s="408">
        <f>PRODUCT(D13,B13)</f>
        <v>21151.377000000022</v>
      </c>
      <c r="G13" s="408"/>
      <c r="H13" s="408"/>
    </row>
    <row r="14" spans="1:8" ht="45" customHeight="1">
      <c r="A14" s="405" t="s">
        <v>142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143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144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145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146</v>
      </c>
      <c r="B19" s="401">
        <f>G8</f>
        <v>2406.3000000000029</v>
      </c>
      <c r="C19" s="401"/>
      <c r="D19" s="401">
        <v>2.61</v>
      </c>
      <c r="E19" s="401"/>
      <c r="F19" s="401">
        <f>PRODUCT(D19,B19)</f>
        <v>6280.4430000000075</v>
      </c>
      <c r="G19" s="401"/>
      <c r="H19" s="401"/>
    </row>
    <row r="20" spans="1:8" ht="18.75">
      <c r="A20" s="397" t="s">
        <v>147</v>
      </c>
      <c r="B20" s="398"/>
      <c r="C20" s="398"/>
      <c r="D20" s="398"/>
      <c r="E20" s="399"/>
      <c r="F20" s="400">
        <f>SUM(F11+F13+F16+F17+F18+F19)</f>
        <v>27454.820000000029</v>
      </c>
      <c r="G20" s="400"/>
      <c r="H20" s="400"/>
    </row>
    <row r="21" spans="1:8" ht="15">
      <c r="A21" s="386" t="s">
        <v>148</v>
      </c>
      <c r="B21" s="387"/>
      <c r="C21" s="387"/>
      <c r="D21" s="387"/>
      <c r="E21" s="388"/>
      <c r="F21" s="401">
        <f>PRODUCT(F20,0.07)</f>
        <v>1921.8374000000022</v>
      </c>
      <c r="G21" s="401"/>
      <c r="H21" s="401"/>
    </row>
    <row r="22" spans="1:8" ht="15">
      <c r="A22" s="402" t="s">
        <v>149</v>
      </c>
      <c r="B22" s="403"/>
      <c r="C22" s="403"/>
      <c r="D22" s="403"/>
      <c r="E22" s="404"/>
      <c r="F22" s="401">
        <v>208.26</v>
      </c>
      <c r="G22" s="401"/>
      <c r="H22" s="401"/>
    </row>
    <row r="23" spans="1:8" ht="15.75">
      <c r="A23" s="386" t="s">
        <v>150</v>
      </c>
      <c r="B23" s="387"/>
      <c r="C23" s="387"/>
      <c r="D23" s="387"/>
      <c r="E23" s="388"/>
      <c r="F23" s="389">
        <f>SUM(F21:H22)</f>
        <v>2130.0974000000024</v>
      </c>
      <c r="G23" s="389"/>
      <c r="H23" s="389"/>
    </row>
    <row r="24" spans="1:8">
      <c r="A24" s="390" t="s">
        <v>151</v>
      </c>
      <c r="B24" s="391"/>
      <c r="C24" s="391"/>
      <c r="D24" s="391"/>
      <c r="E24" s="392"/>
      <c r="F24" s="396">
        <f>SUM(F20,F23)</f>
        <v>29584.917400000031</v>
      </c>
      <c r="G24" s="396"/>
      <c r="H24" s="396"/>
    </row>
    <row r="25" spans="1:8">
      <c r="A25" s="393"/>
      <c r="B25" s="394"/>
      <c r="C25" s="394"/>
      <c r="D25" s="394"/>
      <c r="E25" s="395"/>
      <c r="F25" s="396"/>
      <c r="G25" s="396"/>
      <c r="H25" s="39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05" t="s">
        <v>131</v>
      </c>
      <c r="C1" s="306"/>
      <c r="D1" s="306"/>
      <c r="E1" s="306"/>
      <c r="F1" s="412" t="s">
        <v>88</v>
      </c>
      <c r="G1" s="413"/>
      <c r="H1" s="414"/>
    </row>
    <row r="2" spans="1:8" ht="15.75" customHeight="1" thickBot="1">
      <c r="A2" s="410"/>
      <c r="B2" s="307"/>
      <c r="C2" s="308"/>
      <c r="D2" s="308"/>
      <c r="E2" s="308"/>
      <c r="F2" s="415"/>
      <c r="G2" s="416"/>
      <c r="H2" s="417"/>
    </row>
    <row r="3" spans="1:8" ht="15" customHeight="1">
      <c r="A3" s="410"/>
      <c r="B3" s="307"/>
      <c r="C3" s="308"/>
      <c r="D3" s="308"/>
      <c r="E3" s="308"/>
      <c r="F3" s="412" t="s">
        <v>89</v>
      </c>
      <c r="G3" s="413"/>
      <c r="H3" s="414"/>
    </row>
    <row r="4" spans="1:8" ht="15.75" customHeight="1" thickBot="1">
      <c r="A4" s="411"/>
      <c r="B4" s="309"/>
      <c r="C4" s="310"/>
      <c r="D4" s="310"/>
      <c r="E4" s="310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>
      <c r="A8" s="171"/>
      <c r="B8" s="95" t="s">
        <v>136</v>
      </c>
      <c r="C8" s="96">
        <v>106838.7</v>
      </c>
      <c r="D8" s="97">
        <v>44292</v>
      </c>
      <c r="E8" s="96">
        <v>106910</v>
      </c>
      <c r="F8" s="97">
        <v>44293</v>
      </c>
      <c r="G8" s="98">
        <f>E8-C8</f>
        <v>71.30000000000291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137</v>
      </c>
      <c r="E10" s="423"/>
      <c r="F10" s="421" t="s">
        <v>138</v>
      </c>
      <c r="G10" s="424"/>
      <c r="H10" s="422"/>
    </row>
    <row r="11" spans="1:8" ht="15">
      <c r="A11" s="102" t="s">
        <v>139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141</v>
      </c>
      <c r="B13" s="401">
        <f>G8</f>
        <v>71.30000000000291</v>
      </c>
      <c r="C13" s="401"/>
      <c r="D13" s="401">
        <v>8.5</v>
      </c>
      <c r="E13" s="401"/>
      <c r="F13" s="408">
        <f>PRODUCT(D13,B13)</f>
        <v>606.05000000002474</v>
      </c>
      <c r="G13" s="408"/>
      <c r="H13" s="408"/>
    </row>
    <row r="14" spans="1:8" ht="45" customHeight="1">
      <c r="A14" s="405" t="s">
        <v>142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143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144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145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146</v>
      </c>
      <c r="B19" s="401">
        <v>0</v>
      </c>
      <c r="C19" s="401"/>
      <c r="D19" s="425">
        <v>0</v>
      </c>
      <c r="E19" s="426"/>
      <c r="F19" s="425">
        <v>0</v>
      </c>
      <c r="G19" s="426"/>
      <c r="H19" s="171"/>
    </row>
    <row r="20" spans="1:8" ht="15">
      <c r="A20" s="103" t="s">
        <v>152</v>
      </c>
      <c r="B20" s="401">
        <f>G8</f>
        <v>71.30000000000291</v>
      </c>
      <c r="C20" s="401"/>
      <c r="D20" s="401">
        <v>2.54</v>
      </c>
      <c r="E20" s="401"/>
      <c r="F20" s="401">
        <f>PRODUCT(D20,B20)</f>
        <v>181.10200000000739</v>
      </c>
      <c r="G20" s="401"/>
      <c r="H20" s="401"/>
    </row>
    <row r="21" spans="1:8" ht="18.75">
      <c r="A21" s="397" t="s">
        <v>147</v>
      </c>
      <c r="B21" s="398"/>
      <c r="C21" s="398"/>
      <c r="D21" s="398"/>
      <c r="E21" s="399"/>
      <c r="F21" s="400">
        <f>SUM(F11+F13+F16+F17+F18+F20)</f>
        <v>810.1520000000321</v>
      </c>
      <c r="G21" s="400"/>
      <c r="H21" s="400"/>
    </row>
    <row r="22" spans="1:8" ht="15">
      <c r="A22" s="386" t="s">
        <v>148</v>
      </c>
      <c r="B22" s="387"/>
      <c r="C22" s="387"/>
      <c r="D22" s="387"/>
      <c r="E22" s="388"/>
      <c r="F22" s="401">
        <f>PRODUCT(F21,0.07)</f>
        <v>56.71064000000225</v>
      </c>
      <c r="G22" s="401"/>
      <c r="H22" s="401"/>
    </row>
    <row r="23" spans="1:8" ht="15">
      <c r="A23" s="402" t="s">
        <v>149</v>
      </c>
      <c r="B23" s="403"/>
      <c r="C23" s="403"/>
      <c r="D23" s="403"/>
      <c r="E23" s="404"/>
      <c r="F23" s="401">
        <v>208.26</v>
      </c>
      <c r="G23" s="401"/>
      <c r="H23" s="401"/>
    </row>
    <row r="24" spans="1:8" ht="15.75">
      <c r="A24" s="386" t="s">
        <v>150</v>
      </c>
      <c r="B24" s="387"/>
      <c r="C24" s="387"/>
      <c r="D24" s="387"/>
      <c r="E24" s="388"/>
      <c r="F24" s="389">
        <f>SUM(F22:H23)</f>
        <v>264.97064000000222</v>
      </c>
      <c r="G24" s="389"/>
      <c r="H24" s="389"/>
    </row>
    <row r="25" spans="1:8">
      <c r="A25" s="390" t="s">
        <v>151</v>
      </c>
      <c r="B25" s="391"/>
      <c r="C25" s="391"/>
      <c r="D25" s="391"/>
      <c r="E25" s="392"/>
      <c r="F25" s="396">
        <f>SUM(F21,F24)</f>
        <v>1075.1226400000344</v>
      </c>
      <c r="G25" s="396"/>
      <c r="H25" s="396"/>
    </row>
    <row r="26" spans="1:8">
      <c r="A26" s="393"/>
      <c r="B26" s="394"/>
      <c r="C26" s="394"/>
      <c r="D26" s="394"/>
      <c r="E26" s="395"/>
      <c r="F26" s="396"/>
      <c r="G26" s="396"/>
      <c r="H26" s="39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05" t="s">
        <v>153</v>
      </c>
      <c r="C1" s="306"/>
      <c r="D1" s="306"/>
      <c r="E1" s="306"/>
      <c r="F1" s="412" t="s">
        <v>88</v>
      </c>
      <c r="G1" s="413"/>
      <c r="H1" s="414"/>
    </row>
    <row r="2" spans="1:8" ht="15.75" customHeight="1" thickBot="1">
      <c r="A2" s="410"/>
      <c r="B2" s="307"/>
      <c r="C2" s="308"/>
      <c r="D2" s="308"/>
      <c r="E2" s="308"/>
      <c r="F2" s="415"/>
      <c r="G2" s="416"/>
      <c r="H2" s="417"/>
    </row>
    <row r="3" spans="1:8" ht="15" customHeight="1">
      <c r="A3" s="410"/>
      <c r="B3" s="307"/>
      <c r="C3" s="308"/>
      <c r="D3" s="308"/>
      <c r="E3" s="308"/>
      <c r="F3" s="412" t="s">
        <v>89</v>
      </c>
      <c r="G3" s="413"/>
      <c r="H3" s="414"/>
    </row>
    <row r="4" spans="1:8" ht="15.75" customHeight="1" thickBot="1">
      <c r="A4" s="411"/>
      <c r="B4" s="309"/>
      <c r="C4" s="310"/>
      <c r="D4" s="310"/>
      <c r="E4" s="310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>
      <c r="A8" s="171"/>
      <c r="B8" s="95" t="s">
        <v>136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137</v>
      </c>
      <c r="E10" s="423"/>
      <c r="F10" s="421" t="s">
        <v>138</v>
      </c>
      <c r="G10" s="424"/>
      <c r="H10" s="422"/>
    </row>
    <row r="11" spans="1:8" ht="15">
      <c r="A11" s="102" t="s">
        <v>139</v>
      </c>
      <c r="B11" s="401"/>
      <c r="C11" s="401"/>
      <c r="D11" s="401"/>
      <c r="E11" s="401"/>
      <c r="F11" s="401">
        <v>15</v>
      </c>
      <c r="G11" s="401"/>
      <c r="H11" s="401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154</v>
      </c>
      <c r="B13" s="401">
        <f>G8</f>
        <v>0</v>
      </c>
      <c r="C13" s="401"/>
      <c r="D13" s="401">
        <v>16.48</v>
      </c>
      <c r="E13" s="401"/>
      <c r="F13" s="408">
        <f>PRODUCT(D13,B13)</f>
        <v>0</v>
      </c>
      <c r="G13" s="408"/>
      <c r="H13" s="408"/>
    </row>
    <row r="14" spans="1:8" ht="15">
      <c r="A14" s="102" t="s">
        <v>155</v>
      </c>
      <c r="B14" s="425"/>
      <c r="C14" s="426"/>
      <c r="D14" s="425"/>
      <c r="E14" s="426"/>
      <c r="F14" s="425"/>
      <c r="G14" s="426"/>
      <c r="H14" s="111"/>
    </row>
    <row r="15" spans="1:8" ht="15">
      <c r="A15" s="102" t="s">
        <v>156</v>
      </c>
      <c r="B15" s="425"/>
      <c r="C15" s="426"/>
      <c r="D15" s="425"/>
      <c r="E15" s="426"/>
      <c r="F15" s="425"/>
      <c r="G15" s="426"/>
      <c r="H15" s="111"/>
    </row>
    <row r="16" spans="1:8" ht="15">
      <c r="A16" s="102" t="s">
        <v>157</v>
      </c>
      <c r="B16" s="425"/>
      <c r="C16" s="426"/>
      <c r="D16" s="425"/>
      <c r="E16" s="426"/>
      <c r="F16" s="425"/>
      <c r="G16" s="426"/>
      <c r="H16" s="111"/>
    </row>
    <row r="17" spans="1:8" ht="15">
      <c r="A17" s="102" t="s">
        <v>158</v>
      </c>
      <c r="B17" s="425"/>
      <c r="C17" s="426"/>
      <c r="D17" s="425"/>
      <c r="E17" s="426"/>
      <c r="F17" s="425"/>
      <c r="G17" s="426"/>
      <c r="H17" s="111"/>
    </row>
    <row r="18" spans="1:8" ht="45" customHeight="1">
      <c r="A18" s="405" t="s">
        <v>142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3" t="s">
        <v>143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>
      <c r="A21" s="103" t="s">
        <v>144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>
      <c r="A22" s="103" t="s">
        <v>145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>
      <c r="A23" s="103" t="s">
        <v>146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>
      <c r="A24" s="103" t="s">
        <v>152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>
      <c r="A25" s="397" t="s">
        <v>147</v>
      </c>
      <c r="B25" s="398"/>
      <c r="C25" s="398"/>
      <c r="D25" s="398"/>
      <c r="E25" s="399"/>
      <c r="F25" s="427">
        <f>SUM(F11+F13+F20+F21+F22+F23)</f>
        <v>15</v>
      </c>
      <c r="G25" s="400"/>
      <c r="H25" s="400"/>
    </row>
    <row r="26" spans="1:8" ht="15">
      <c r="A26" s="386" t="s">
        <v>148</v>
      </c>
      <c r="B26" s="387"/>
      <c r="C26" s="387"/>
      <c r="D26" s="387"/>
      <c r="E26" s="388"/>
      <c r="F26" s="401">
        <v>63.63</v>
      </c>
      <c r="G26" s="401"/>
      <c r="H26" s="401"/>
    </row>
    <row r="27" spans="1:8" ht="15">
      <c r="A27" s="402" t="s">
        <v>149</v>
      </c>
      <c r="B27" s="403"/>
      <c r="C27" s="403"/>
      <c r="D27" s="403"/>
      <c r="E27" s="404"/>
      <c r="F27" s="401">
        <v>2.4300000000000002</v>
      </c>
      <c r="G27" s="401"/>
      <c r="H27" s="401"/>
    </row>
    <row r="28" spans="1:8" ht="15.75">
      <c r="A28" s="386" t="s">
        <v>150</v>
      </c>
      <c r="B28" s="387"/>
      <c r="C28" s="387"/>
      <c r="D28" s="387"/>
      <c r="E28" s="388"/>
      <c r="F28" s="389">
        <f>SUM(F26:H27)</f>
        <v>66.06</v>
      </c>
      <c r="G28" s="389"/>
      <c r="H28" s="389"/>
    </row>
    <row r="29" spans="1:8">
      <c r="A29" s="390" t="s">
        <v>151</v>
      </c>
      <c r="B29" s="391"/>
      <c r="C29" s="391"/>
      <c r="D29" s="391"/>
      <c r="E29" s="392"/>
      <c r="F29" s="396">
        <f>SUM(F25,F28)</f>
        <v>81.06</v>
      </c>
      <c r="G29" s="396"/>
      <c r="H29" s="396"/>
    </row>
    <row r="30" spans="1:8">
      <c r="A30" s="393"/>
      <c r="B30" s="394"/>
      <c r="C30" s="394"/>
      <c r="D30" s="394"/>
      <c r="E30" s="395"/>
      <c r="F30" s="396"/>
      <c r="G30" s="396"/>
      <c r="H30" s="39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159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2.25" customHeight="1">
      <c r="B8" s="106" t="s">
        <v>172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173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174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175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176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177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178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179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28.5" customHeight="1">
      <c r="B18" s="106" t="s">
        <v>172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173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174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175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176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177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178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180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" customHeight="1">
      <c r="B8" s="106" t="s">
        <v>172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>
      <c r="B9" s="107" t="s">
        <v>173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174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175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176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177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178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181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5" ht="30" customHeight="1">
      <c r="B18" s="106" t="s">
        <v>172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>
      <c r="B19" s="107" t="s">
        <v>173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174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175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176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177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178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.75" customHeight="1">
      <c r="B8" s="106" t="s">
        <v>172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173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174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175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176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177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178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183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30" customHeight="1">
      <c r="B18" s="106" t="s">
        <v>172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173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174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175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176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177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178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2021-04-07T08:15:57Z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