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4" i="9" l="1"/>
  <c r="I34" i="9" s="1"/>
  <c r="G34" i="8"/>
  <c r="H34" i="10"/>
  <c r="G5" i="9" l="1"/>
  <c r="I5" i="9" s="1"/>
  <c r="G4" i="9"/>
  <c r="I4" i="9" s="1"/>
  <c r="H5" i="10"/>
  <c r="H4" i="10"/>
  <c r="E2" i="5" s="1"/>
  <c r="I5" i="10" l="1"/>
  <c r="J5" i="9"/>
  <c r="G33" i="8"/>
  <c r="H34" i="8" s="1"/>
  <c r="I32" i="5" s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J34" i="9" s="1"/>
  <c r="G32" i="5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I34" i="10" s="1"/>
  <c r="E32" i="5" s="1"/>
  <c r="H32" i="10"/>
  <c r="H31" i="10"/>
  <c r="I31" i="10" s="1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I17" i="10" s="1"/>
  <c r="H16" i="10"/>
  <c r="H15" i="10"/>
  <c r="H14" i="10"/>
  <c r="H13" i="10"/>
  <c r="H12" i="10"/>
  <c r="H11" i="10"/>
  <c r="H10" i="10"/>
  <c r="H9" i="10"/>
  <c r="H8" i="10"/>
  <c r="H7" i="10"/>
  <c r="H6" i="10"/>
  <c r="I6" i="10" s="1"/>
  <c r="I13" i="10" l="1"/>
  <c r="E11" i="5" s="1"/>
  <c r="I8" i="10"/>
  <c r="I7" i="10"/>
  <c r="I32" i="10"/>
  <c r="I26" i="10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E15" i="5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<sst xmlns="http://schemas.openxmlformats.org/spreadsheetml/2006/main" count="73" uniqueCount="38">
  <si>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</si>
  <si>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</si>
  <si>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</si>
  <si>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</si>
  <si>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</si>
  <si>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</si>
  <si>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</si>
  <si>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</si>
  <si>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</si>
  <si>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</si>
  <si>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</si>
  <si>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</si>
  <si>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</si>
  <si>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</si>
  <si>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</si>
  <si>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</si>
  <si>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</si>
  <si>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</si>
  <si>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</si>
  <si>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</si>
  <si>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</si>
  <si>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</si>
  <si>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</si>
  <si>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</si>
  <si>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</si>
  <si>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</si>
  <si>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</si>
  <si>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</si>
  <si>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</si>
  <si>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</si>
  <si>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</si>
  <si>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</si>
  <si>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</si>
  <si>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</si>
  <si>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</si>
  <si>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ELECTRICITY CONSUMPTION , OCT.2021</t>
  </si>
  <si>
    <t>NATURAL GAS CONSUMPTION , OCT.2021</t>
  </si>
  <si>
    <t>WATER CONSUMPTION , OCT.2021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</si>
</sst>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3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283880"/>
        <c:axId val="370281528"/>
      </c:lineChart>
      <c:dateAx>
        <c:axId val="37028388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1528"/>
        <c:crosses val="autoZero"/>
        <c:auto val="0"/>
        <c:lblOffset val="100"/>
        <c:baseTimeUnit val="days"/>
      </c:dateAx>
      <c:valAx>
        <c:axId val="3702815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3880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4" zoomScale="110" zoomScaleNormal="110" workbookViewId="0">
      <selection activeCell="A18" sqref="A18:XFD18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10</v>
      </c>
      <c r="D2" s="12">
        <v>2021</v>
      </c>
      <c r="E2" s="13">
        <f>Electricity!I4</f>
        <v>0</v>
      </c>
      <c r="F2" s="3">
        <v>0.8</v>
      </c>
      <c r="G2" s="13">
        <f>Gas!J4</f>
        <v>0</v>
      </c>
      <c r="H2" s="3">
        <v>1.69</v>
      </c>
      <c r="I2" s="13">
        <f>Water!H4</f>
        <v>13</v>
      </c>
      <c r="J2" s="3">
        <v>14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10</v>
      </c>
      <c r="D3" s="12">
        <v>2021</v>
      </c>
      <c r="E3" s="13">
        <f>Electricity!I5</f>
        <v>0</v>
      </c>
      <c r="F3" s="3">
        <v>0.8</v>
      </c>
      <c r="G3" s="13">
        <f>Gas!J5</f>
        <v>0</v>
      </c>
      <c r="H3" s="3">
        <v>1.69</v>
      </c>
      <c r="I3" s="13">
        <f>Water!H5</f>
        <v>12</v>
      </c>
      <c r="J3" s="3">
        <v>14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10</v>
      </c>
      <c r="D4" s="12">
        <v>2021</v>
      </c>
      <c r="E4" s="13">
        <f>Electricity!I6</f>
        <v>0</v>
      </c>
      <c r="F4" s="3">
        <v>0.8</v>
      </c>
      <c r="G4" s="13">
        <f>Gas!J6</f>
        <v>0</v>
      </c>
      <c r="H4" s="3">
        <v>1.69</v>
      </c>
      <c r="I4" s="13">
        <f>Water!H6</f>
        <v>8</v>
      </c>
      <c r="J4" s="3">
        <v>14</v>
      </c>
      <c r="K4" s="12">
        <v>0</v>
      </c>
    </row>
    <row r="5" spans="1:11" s="16" customFormat="1" x14ac:dyDescent="0.25">
      <c r="A5" s="25" t="s">
        <v>33</v>
      </c>
      <c r="B5" s="15">
        <f t="shared" ref="B5:B32" si="0">B4+1</f>
        <v>4</v>
      </c>
      <c r="C5" s="3">
        <v>10</v>
      </c>
      <c r="D5" s="12">
        <v>2021</v>
      </c>
      <c r="E5" s="13">
        <f>Electricity!I7</f>
        <v>0</v>
      </c>
      <c r="F5" s="3">
        <v>0.8</v>
      </c>
      <c r="G5" s="13">
        <f>Gas!J7</f>
        <v>0</v>
      </c>
      <c r="H5" s="3">
        <v>1.69</v>
      </c>
      <c r="I5" s="13">
        <f>Water!H7</f>
        <v>4</v>
      </c>
      <c r="J5" s="3">
        <v>14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10</v>
      </c>
      <c r="D6" s="12">
        <v>2021</v>
      </c>
      <c r="E6" s="13">
        <f>Electricity!I8</f>
        <v>2108.6399999987334</v>
      </c>
      <c r="F6" s="3">
        <v>0.8</v>
      </c>
      <c r="G6" s="13">
        <f>Gas!J8</f>
        <v>0</v>
      </c>
      <c r="H6" s="3">
        <v>1.69</v>
      </c>
      <c r="I6" s="13">
        <f>Water!H8</f>
        <v>4</v>
      </c>
      <c r="J6" s="3">
        <v>14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10</v>
      </c>
      <c r="D7" s="12">
        <v>2021</v>
      </c>
      <c r="E7" s="13">
        <f>Electricity!I9</f>
        <v>1018.4399999994785</v>
      </c>
      <c r="F7" s="3">
        <v>0.8</v>
      </c>
      <c r="G7" s="13">
        <f>Gas!J9</f>
        <v>0</v>
      </c>
      <c r="H7" s="3">
        <v>1.69</v>
      </c>
      <c r="I7" s="13">
        <f>Water!H9</f>
        <v>4</v>
      </c>
      <c r="J7" s="3">
        <v>14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10</v>
      </c>
      <c r="D8" s="12">
        <v>2021</v>
      </c>
      <c r="E8" s="13">
        <f>Electricity!I10</f>
        <v>1043.2799999993294</v>
      </c>
      <c r="F8" s="3">
        <v>0.8</v>
      </c>
      <c r="G8" s="13">
        <f>Gas!J10</f>
        <v>0</v>
      </c>
      <c r="H8" s="3">
        <v>1.69</v>
      </c>
      <c r="I8" s="13">
        <f>Water!H10</f>
        <v>4</v>
      </c>
      <c r="J8" s="3">
        <v>14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10</v>
      </c>
      <c r="D9" s="12">
        <v>2021</v>
      </c>
      <c r="E9" s="13">
        <f>Electricity!I11</f>
        <v>1076.4000000022352</v>
      </c>
      <c r="F9" s="3">
        <v>0.8</v>
      </c>
      <c r="G9" s="13">
        <f>Gas!J11</f>
        <v>0</v>
      </c>
      <c r="H9" s="3">
        <v>1.69</v>
      </c>
      <c r="I9" s="13">
        <f>Water!H11</f>
        <v>4</v>
      </c>
      <c r="J9" s="3">
        <v>14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10</v>
      </c>
      <c r="D10" s="12">
        <v>2021</v>
      </c>
      <c r="E10" s="13">
        <f>Electricity!I12</f>
        <v>1073.6399999987334</v>
      </c>
      <c r="F10" s="3">
        <v>0.8</v>
      </c>
      <c r="G10" s="13">
        <f>Gas!J12</f>
        <v>0</v>
      </c>
      <c r="H10" s="3">
        <v>1.69</v>
      </c>
      <c r="I10" s="13">
        <f>Water!H12</f>
        <v>5</v>
      </c>
      <c r="J10" s="3">
        <v>14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10</v>
      </c>
      <c r="D11" s="12">
        <v>2021</v>
      </c>
      <c r="E11" s="13">
        <f>Electricity!I13</f>
        <v>1059.839999999851</v>
      </c>
      <c r="F11" s="3">
        <v>0.8</v>
      </c>
      <c r="G11" s="13">
        <f>Gas!J13</f>
        <v>0</v>
      </c>
      <c r="H11" s="3">
        <v>1.69</v>
      </c>
      <c r="I11" s="13">
        <f>Water!H13</f>
        <v>3</v>
      </c>
      <c r="J11" s="3">
        <v>14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10</v>
      </c>
      <c r="D12" s="12">
        <v>2021</v>
      </c>
      <c r="E12" s="13">
        <f>Electricity!I14</f>
        <v>974.28000000119209</v>
      </c>
      <c r="F12" s="3">
        <v>0.8</v>
      </c>
      <c r="G12" s="13">
        <f>Gas!J14</f>
        <v>0</v>
      </c>
      <c r="H12" s="3">
        <v>1.69</v>
      </c>
      <c r="I12" s="13">
        <f>Water!H14</f>
        <v>3</v>
      </c>
      <c r="J12" s="3">
        <v>14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10</v>
      </c>
      <c r="D13" s="12">
        <v>2021</v>
      </c>
      <c r="E13" s="13">
        <f>Electricity!I15</f>
        <v>1062.5999999977648</v>
      </c>
      <c r="F13" s="3">
        <v>0.8</v>
      </c>
      <c r="G13" s="13">
        <f>Gas!J15</f>
        <v>0</v>
      </c>
      <c r="H13" s="3">
        <v>1.69</v>
      </c>
      <c r="I13" s="13">
        <f>Water!H15</f>
        <v>4</v>
      </c>
      <c r="J13" s="3">
        <v>14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10</v>
      </c>
      <c r="D14" s="12">
        <v>2021</v>
      </c>
      <c r="E14" s="13">
        <f>Electricity!I16</f>
        <v>1076.4000000003725</v>
      </c>
      <c r="F14" s="3">
        <v>0.8</v>
      </c>
      <c r="G14" s="13">
        <f>Gas!J16</f>
        <v>0</v>
      </c>
      <c r="H14" s="3">
        <v>1.69</v>
      </c>
      <c r="I14" s="13">
        <f>Water!H16</f>
        <v>22</v>
      </c>
      <c r="J14" s="3">
        <v>14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10</v>
      </c>
      <c r="D15" s="12">
        <v>2021</v>
      </c>
      <c r="E15" s="13">
        <f>Electricity!I17</f>
        <v>1115.0400000028312</v>
      </c>
      <c r="F15" s="3">
        <v>0.8</v>
      </c>
      <c r="G15" s="13">
        <f>Gas!J17</f>
        <v>0</v>
      </c>
      <c r="H15" s="3">
        <v>1.69</v>
      </c>
      <c r="I15" s="13">
        <f>Water!H17</f>
        <v>4</v>
      </c>
      <c r="J15" s="3">
        <v>14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10</v>
      </c>
      <c r="D16" s="12">
        <v>2021</v>
      </c>
      <c r="E16" s="13">
        <f>Electricity!I18</f>
        <v>1068.1199999991804</v>
      </c>
      <c r="F16" s="3">
        <v>0.8</v>
      </c>
      <c r="G16" s="13">
        <f>Gas!J18</f>
        <v>0</v>
      </c>
      <c r="H16" s="3">
        <v>1.69</v>
      </c>
      <c r="I16" s="13">
        <f>Water!H18</f>
        <v>5</v>
      </c>
      <c r="J16" s="3">
        <v>14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10</v>
      </c>
      <c r="D17" s="12">
        <v>2021</v>
      </c>
      <c r="E17" s="13">
        <f>Electricity!I19</f>
        <v>1073.6399999987334</v>
      </c>
      <c r="F17" s="3">
        <v>0.8</v>
      </c>
      <c r="G17" s="13">
        <f>Gas!J19</f>
        <v>0</v>
      </c>
      <c r="H17" s="3">
        <v>1.69</v>
      </c>
      <c r="I17" s="13">
        <f>Water!H19</f>
        <v>4</v>
      </c>
      <c r="J17" s="3">
        <v>14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10</v>
      </c>
      <c r="D18" s="12">
        <v>2021</v>
      </c>
      <c r="E18" s="13">
        <f>Electricity!I20</f>
        <v>1070.8800000008196</v>
      </c>
      <c r="F18" s="3">
        <v>0.8</v>
      </c>
      <c r="G18" s="13">
        <f>Gas!J20</f>
        <v>0</v>
      </c>
      <c r="H18" s="3">
        <v>1.69</v>
      </c>
      <c r="I18" s="13">
        <f>Water!H20</f>
        <v>3</v>
      </c>
      <c r="J18" s="3">
        <v>14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10</v>
      </c>
      <c r="D19" s="12">
        <v>2021</v>
      </c>
      <c r="E19" s="13">
        <f>Electricity!I21</f>
        <v>-13092788.640000001</v>
      </c>
      <c r="F19" s="3">
        <v>0.8</v>
      </c>
      <c r="G19" s="13">
        <f>Gas!J21</f>
        <v>-1192410.140344</v>
      </c>
      <c r="H19" s="3">
        <v>1.69</v>
      </c>
      <c r="I19" s="13">
        <f>Water!H21</f>
        <v>-11116</v>
      </c>
      <c r="J19" s="3">
        <v>14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10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1.69</v>
      </c>
      <c r="I20" s="13">
        <f>Water!H22</f>
        <v>0</v>
      </c>
      <c r="J20" s="3">
        <v>14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10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10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10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10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10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10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10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10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10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10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10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14</v>
      </c>
      <c r="K31" s="12">
        <v>0</v>
      </c>
    </row>
    <row r="32" spans="1:11" x14ac:dyDescent="0.25">
      <c r="A32" s="25" t="s">
        <v>33</v>
      </c>
      <c r="B32" s="15">
        <f t="shared" si="0"/>
        <v>31</v>
      </c>
      <c r="C32" s="3">
        <v>10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workbookViewId="0">
      <selection activeCell="E21" sqref="E2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7" t="s">
        <v>37</v>
      </c>
      <c r="E1" s="107"/>
      <c r="F1" s="107"/>
      <c r="G1" s="107"/>
      <c r="H1" s="107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44470</v>
      </c>
      <c r="E4" s="23">
        <v>11023</v>
      </c>
      <c r="F4" s="23">
        <v>1065</v>
      </c>
      <c r="G4" s="23">
        <f>E4+F4</f>
        <v>12088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44471</v>
      </c>
      <c r="E5" s="23">
        <v>11035</v>
      </c>
      <c r="F5" s="23">
        <v>1065</v>
      </c>
      <c r="G5" s="23">
        <f>E5+F5</f>
        <v>12100</v>
      </c>
      <c r="H5" s="24">
        <f>G5-G4</f>
        <v>12</v>
      </c>
      <c r="I5" s="104"/>
      <c r="J5" s="71"/>
      <c r="K5" s="71"/>
      <c r="L5" s="71"/>
      <c r="M5" s="71"/>
    </row>
    <row r="6" spans="2:14" s="30" customFormat="1" ht="11.25" x14ac:dyDescent="0.25">
      <c r="D6" s="32">
        <v>44472</v>
      </c>
      <c r="E6" s="23">
        <v>11043</v>
      </c>
      <c r="F6" s="23">
        <v>1065</v>
      </c>
      <c r="G6" s="23">
        <f>E6+F6</f>
        <v>12108</v>
      </c>
      <c r="H6" s="24">
        <f t="shared" ref="H6:H9" si="0">G6-G5</f>
        <v>8</v>
      </c>
      <c r="I6" s="104"/>
      <c r="J6" s="71"/>
      <c r="K6" s="71"/>
      <c r="L6" s="71"/>
      <c r="M6" s="71"/>
    </row>
    <row r="7" spans="2:14" s="30" customFormat="1" ht="11.25" x14ac:dyDescent="0.25">
      <c r="D7" s="32">
        <v>44473</v>
      </c>
      <c r="E7" s="23">
        <v>11047</v>
      </c>
      <c r="F7" s="23">
        <v>1065</v>
      </c>
      <c r="G7" s="23">
        <f>E7+F7</f>
        <v>12112</v>
      </c>
      <c r="H7" s="24">
        <f t="shared" si="0"/>
        <v>4</v>
      </c>
      <c r="I7" s="104"/>
      <c r="J7" s="71"/>
      <c r="K7" s="71"/>
      <c r="L7" s="71"/>
      <c r="M7" s="71"/>
    </row>
    <row r="8" spans="2:14" s="30" customFormat="1" ht="11.25" x14ac:dyDescent="0.25">
      <c r="D8" s="32">
        <v>44474</v>
      </c>
      <c r="E8" s="23">
        <v>11051</v>
      </c>
      <c r="F8" s="23">
        <v>1065</v>
      </c>
      <c r="G8" s="23">
        <f t="shared" ref="G8:G31" si="1">E8+F8</f>
        <v>12116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44475</v>
      </c>
      <c r="E9" s="23">
        <v>11055</v>
      </c>
      <c r="F9" s="23">
        <v>1065</v>
      </c>
      <c r="G9" s="23">
        <f t="shared" si="1"/>
        <v>12120</v>
      </c>
      <c r="H9" s="24">
        <f t="shared" si="0"/>
        <v>4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44476</v>
      </c>
      <c r="E10" s="23">
        <v>11059</v>
      </c>
      <c r="F10" s="23">
        <v>1065</v>
      </c>
      <c r="G10" s="23">
        <f t="shared" si="1"/>
        <v>12124</v>
      </c>
      <c r="H10" s="24">
        <f>G10-G9</f>
        <v>4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44477</v>
      </c>
      <c r="E11" s="23">
        <v>11063</v>
      </c>
      <c r="F11" s="23">
        <v>1065</v>
      </c>
      <c r="G11" s="23">
        <f t="shared" si="1"/>
        <v>12128</v>
      </c>
      <c r="H11" s="24">
        <f t="shared" ref="H11:H34" si="2">G11-G10</f>
        <v>4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44478</v>
      </c>
      <c r="E12" s="23">
        <v>11068</v>
      </c>
      <c r="F12" s="23">
        <v>1065</v>
      </c>
      <c r="G12" s="23">
        <f t="shared" si="1"/>
        <v>12133</v>
      </c>
      <c r="H12" s="24">
        <f t="shared" si="2"/>
        <v>5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44479</v>
      </c>
      <c r="E13" s="23">
        <v>11071</v>
      </c>
      <c r="F13" s="23">
        <v>1065</v>
      </c>
      <c r="G13" s="23">
        <f t="shared" si="1"/>
        <v>12136</v>
      </c>
      <c r="H13" s="24">
        <f t="shared" si="2"/>
        <v>3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44480</v>
      </c>
      <c r="E14" s="23">
        <v>11074</v>
      </c>
      <c r="F14" s="23">
        <v>1065</v>
      </c>
      <c r="G14" s="23">
        <f t="shared" si="1"/>
        <v>12139</v>
      </c>
      <c r="H14" s="24">
        <f t="shared" si="2"/>
        <v>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44481</v>
      </c>
      <c r="E15" s="23">
        <v>11078</v>
      </c>
      <c r="F15" s="23">
        <v>1065</v>
      </c>
      <c r="G15" s="23">
        <f t="shared" si="1"/>
        <v>12143</v>
      </c>
      <c r="H15" s="24">
        <f t="shared" si="2"/>
        <v>4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44482</v>
      </c>
      <c r="E16" s="23">
        <v>11100</v>
      </c>
      <c r="F16" s="23">
        <v>1065</v>
      </c>
      <c r="G16" s="23">
        <f t="shared" si="1"/>
        <v>12165</v>
      </c>
      <c r="H16" s="24">
        <f t="shared" si="2"/>
        <v>22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44483</v>
      </c>
      <c r="E17" s="23">
        <v>11104</v>
      </c>
      <c r="F17" s="23">
        <v>1065</v>
      </c>
      <c r="G17" s="23">
        <f t="shared" si="1"/>
        <v>12169</v>
      </c>
      <c r="H17" s="24">
        <f t="shared" si="2"/>
        <v>4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44484</v>
      </c>
      <c r="E18" s="23">
        <v>11109</v>
      </c>
      <c r="F18" s="23">
        <v>1065</v>
      </c>
      <c r="G18" s="23">
        <f t="shared" si="1"/>
        <v>12174</v>
      </c>
      <c r="H18" s="24">
        <f t="shared" si="2"/>
        <v>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44485</v>
      </c>
      <c r="E19" s="106">
        <v>11113</v>
      </c>
      <c r="F19" s="23">
        <v>1065</v>
      </c>
      <c r="G19" s="23">
        <f t="shared" si="1"/>
        <v>12178</v>
      </c>
      <c r="H19" s="24">
        <f t="shared" si="2"/>
        <v>4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44486</v>
      </c>
      <c r="E20" s="23">
        <v>11116</v>
      </c>
      <c r="F20" s="23">
        <v>1065</v>
      </c>
      <c r="G20" s="23">
        <f t="shared" si="1"/>
        <v>12181</v>
      </c>
      <c r="H20" s="24">
        <f t="shared" si="2"/>
        <v>3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44487</v>
      </c>
      <c r="E21" s="23"/>
      <c r="F21" s="23">
        <v>1065</v>
      </c>
      <c r="G21" s="23">
        <f t="shared" si="1"/>
        <v>1065</v>
      </c>
      <c r="H21" s="24">
        <f t="shared" si="2"/>
        <v>-11116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44488</v>
      </c>
      <c r="E22" s="23"/>
      <c r="F22" s="23">
        <v>1065</v>
      </c>
      <c r="G22" s="23">
        <f t="shared" si="1"/>
        <v>1065</v>
      </c>
      <c r="H22" s="24">
        <f t="shared" si="2"/>
        <v>0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44489</v>
      </c>
      <c r="E23" s="23"/>
      <c r="F23" s="23">
        <v>1065</v>
      </c>
      <c r="G23" s="23">
        <f t="shared" si="1"/>
        <v>1065</v>
      </c>
      <c r="H23" s="24">
        <f t="shared" si="2"/>
        <v>0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44490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44491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44492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44493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44494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44495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44496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44497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44498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44499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>
        <v>44500</v>
      </c>
      <c r="E34" s="26"/>
      <c r="F34" s="23">
        <v>1065</v>
      </c>
      <c r="G34" s="23">
        <f>E34+F34</f>
        <v>1065</v>
      </c>
      <c r="H34" s="24">
        <f t="shared" si="2"/>
        <v>0</v>
      </c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-11010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/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9" sqref="F19:F20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36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44470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44471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44472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44473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44474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44475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44476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44477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44478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44479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44480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44481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44482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44483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44484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44485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44486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44487</v>
      </c>
      <c r="E21" s="23"/>
      <c r="F21" s="23"/>
      <c r="G21" s="23">
        <f t="shared" si="0"/>
        <v>0</v>
      </c>
      <c r="H21" s="18">
        <v>1.2781359999999999</v>
      </c>
      <c r="I21" s="23">
        <f t="shared" si="1"/>
        <v>0</v>
      </c>
      <c r="J21" s="24">
        <f t="shared" si="2"/>
        <v>-1192410.140344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44488</v>
      </c>
      <c r="E22" s="23"/>
      <c r="F22" s="23"/>
      <c r="G22" s="23">
        <f t="shared" si="0"/>
        <v>0</v>
      </c>
      <c r="H22" s="18">
        <v>1.2781359999999999</v>
      </c>
      <c r="I22" s="23">
        <f t="shared" si="1"/>
        <v>0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44489</v>
      </c>
      <c r="E23" s="23"/>
      <c r="F23" s="23"/>
      <c r="G23" s="23">
        <f t="shared" si="0"/>
        <v>0</v>
      </c>
      <c r="H23" s="18">
        <v>1.2781359999999999</v>
      </c>
      <c r="I23" s="23">
        <f t="shared" si="1"/>
        <v>0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44490</v>
      </c>
      <c r="E24" s="23"/>
      <c r="F24" s="23"/>
      <c r="G24" s="23">
        <f t="shared" si="0"/>
        <v>0</v>
      </c>
      <c r="H24" s="18">
        <v>1.2781359999999999</v>
      </c>
      <c r="I24" s="23">
        <f t="shared" si="1"/>
        <v>0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44491</v>
      </c>
      <c r="E25" s="23"/>
      <c r="F25" s="23"/>
      <c r="G25" s="23">
        <f t="shared" si="0"/>
        <v>0</v>
      </c>
      <c r="H25" s="18">
        <v>1.2781359999999999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44492</v>
      </c>
      <c r="E26" s="23"/>
      <c r="F26" s="23"/>
      <c r="G26" s="23">
        <f t="shared" si="0"/>
        <v>0</v>
      </c>
      <c r="H26" s="18">
        <v>1.2781359999999999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44493</v>
      </c>
      <c r="E27" s="23"/>
      <c r="F27" s="23"/>
      <c r="G27" s="23">
        <f t="shared" si="0"/>
        <v>0</v>
      </c>
      <c r="H27" s="18">
        <v>1.2781359999999999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44494</v>
      </c>
      <c r="E28" s="23"/>
      <c r="F28" s="23"/>
      <c r="G28" s="23">
        <f t="shared" si="0"/>
        <v>0</v>
      </c>
      <c r="H28" s="18">
        <v>1.2781359999999999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44495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44496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44497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44498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44499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>
        <v>44500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G20" sqref="G20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7" t="s">
        <v>35</v>
      </c>
      <c r="F1" s="107"/>
      <c r="G1" s="107"/>
      <c r="H1" s="107"/>
      <c r="I1" s="107"/>
      <c r="J1" s="107"/>
      <c r="K1" s="28"/>
      <c r="L1" s="28"/>
      <c r="M1" s="28"/>
      <c r="N1" s="28"/>
      <c r="O1" s="17"/>
      <c r="P1" s="17"/>
      <c r="Q1" s="108"/>
      <c r="R1" s="108"/>
      <c r="S1" s="108"/>
      <c r="T1" s="108"/>
      <c r="U1" s="108"/>
      <c r="V1" s="108"/>
      <c r="W1" s="108"/>
      <c r="X1" s="108"/>
      <c r="Y1" s="80"/>
      <c r="Z1" s="108"/>
      <c r="AA1" s="108"/>
      <c r="AB1" s="108"/>
      <c r="AC1" s="108"/>
      <c r="AD1" s="108"/>
      <c r="AE1" s="108"/>
      <c r="AF1" s="108"/>
      <c r="AG1" s="108"/>
      <c r="AH1" s="81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9"/>
      <c r="AP3" s="110"/>
      <c r="AQ3" s="109"/>
      <c r="AR3" s="110"/>
      <c r="AS3" s="109"/>
      <c r="AT3" s="110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44470</v>
      </c>
      <c r="F4" s="61">
        <v>4738.3940000000002</v>
      </c>
      <c r="G4" s="22">
        <v>2760</v>
      </c>
      <c r="H4" s="23">
        <f>G4*F4</f>
        <v>13077967.440000001</v>
      </c>
      <c r="I4" s="24">
        <v>0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44471</v>
      </c>
      <c r="F5" s="61">
        <v>4738.3940000000002</v>
      </c>
      <c r="G5" s="22">
        <v>2760</v>
      </c>
      <c r="H5" s="23">
        <f>G5*F5</f>
        <v>13077967.440000001</v>
      </c>
      <c r="I5" s="24">
        <f t="shared" ref="I5:I11" si="0">+(H5-H4)</f>
        <v>0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44472</v>
      </c>
      <c r="F6" s="61">
        <v>4738.3940000000002</v>
      </c>
      <c r="G6" s="22">
        <v>2760</v>
      </c>
      <c r="H6" s="23">
        <f t="shared" ref="H6:H34" si="1">G6*F6</f>
        <v>13077967.440000001</v>
      </c>
      <c r="I6" s="24">
        <f t="shared" si="0"/>
        <v>0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44473</v>
      </c>
      <c r="F7" s="61">
        <v>4738.3940000000002</v>
      </c>
      <c r="G7" s="22">
        <v>2760</v>
      </c>
      <c r="H7" s="23">
        <f t="shared" si="1"/>
        <v>13077967.440000001</v>
      </c>
      <c r="I7" s="24">
        <f t="shared" si="0"/>
        <v>0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44474</v>
      </c>
      <c r="F8" s="55">
        <v>4739.1580000000004</v>
      </c>
      <c r="G8" s="22">
        <v>2760</v>
      </c>
      <c r="H8" s="23">
        <f>G8*F8</f>
        <v>13080076.08</v>
      </c>
      <c r="I8" s="24">
        <f t="shared" si="0"/>
        <v>2108.6399999987334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44475</v>
      </c>
      <c r="F9" s="55">
        <v>4739.527</v>
      </c>
      <c r="G9" s="22">
        <v>2760</v>
      </c>
      <c r="H9" s="23">
        <f t="shared" si="1"/>
        <v>13081094.52</v>
      </c>
      <c r="I9" s="24">
        <f t="shared" si="0"/>
        <v>1018.4399999994785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44476</v>
      </c>
      <c r="F10" s="55">
        <v>4739.9049999999997</v>
      </c>
      <c r="G10" s="22">
        <v>2760</v>
      </c>
      <c r="H10" s="23">
        <f t="shared" si="1"/>
        <v>13082137.799999999</v>
      </c>
      <c r="I10" s="24">
        <f t="shared" si="0"/>
        <v>1043.2799999993294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44477</v>
      </c>
      <c r="F11" s="55">
        <v>4740.2950000000001</v>
      </c>
      <c r="G11" s="22">
        <v>2760</v>
      </c>
      <c r="H11" s="23">
        <f t="shared" si="1"/>
        <v>13083214.200000001</v>
      </c>
      <c r="I11" s="24">
        <f t="shared" si="0"/>
        <v>1076.4000000022352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44478</v>
      </c>
      <c r="F12" s="55">
        <v>4740.6840000000002</v>
      </c>
      <c r="G12" s="22">
        <v>2760</v>
      </c>
      <c r="H12" s="23">
        <f>G12*F12</f>
        <v>13084287.84</v>
      </c>
      <c r="I12" s="24">
        <f>+(H12-H11)</f>
        <v>1073.6399999987334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44479</v>
      </c>
      <c r="F13" s="55">
        <v>4741.0680000000002</v>
      </c>
      <c r="G13" s="22">
        <v>2760</v>
      </c>
      <c r="H13" s="23">
        <f t="shared" si="1"/>
        <v>13085347.68</v>
      </c>
      <c r="I13" s="24">
        <f t="shared" ref="I13:I34" si="2">+(H13-H12)</f>
        <v>1059.839999999851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44480</v>
      </c>
      <c r="F14" s="55">
        <v>4741.4210000000003</v>
      </c>
      <c r="G14" s="22">
        <v>2760</v>
      </c>
      <c r="H14" s="23">
        <f t="shared" si="1"/>
        <v>13086321.960000001</v>
      </c>
      <c r="I14" s="24">
        <f t="shared" si="2"/>
        <v>974.28000000119209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44481</v>
      </c>
      <c r="F15" s="55">
        <v>4741.8059999999996</v>
      </c>
      <c r="G15" s="22">
        <v>2760</v>
      </c>
      <c r="H15" s="23">
        <f t="shared" si="1"/>
        <v>13087384.559999999</v>
      </c>
      <c r="I15" s="24">
        <f t="shared" si="2"/>
        <v>1062.5999999977648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44482</v>
      </c>
      <c r="F16" s="55">
        <v>4742.1959999999999</v>
      </c>
      <c r="G16" s="22">
        <v>2760</v>
      </c>
      <c r="H16" s="23">
        <f t="shared" si="1"/>
        <v>13088460.959999999</v>
      </c>
      <c r="I16" s="24">
        <f t="shared" si="2"/>
        <v>1076.4000000003725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44483</v>
      </c>
      <c r="F17" s="55">
        <v>4742.6000000000004</v>
      </c>
      <c r="G17" s="22">
        <v>2760</v>
      </c>
      <c r="H17" s="23">
        <f t="shared" si="1"/>
        <v>13089576.000000002</v>
      </c>
      <c r="I17" s="24">
        <f t="shared" si="2"/>
        <v>1115.0400000028312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44484</v>
      </c>
      <c r="F18" s="55">
        <v>4742.9870000000001</v>
      </c>
      <c r="G18" s="22">
        <v>2760</v>
      </c>
      <c r="H18" s="23">
        <f t="shared" si="1"/>
        <v>13090644.120000001</v>
      </c>
      <c r="I18" s="24">
        <f t="shared" si="2"/>
        <v>1068.1199999991804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44485</v>
      </c>
      <c r="F19" s="55">
        <v>4743.3760000000002</v>
      </c>
      <c r="G19" s="22">
        <v>2760</v>
      </c>
      <c r="H19" s="23">
        <f>G19*F19</f>
        <v>13091717.76</v>
      </c>
      <c r="I19" s="24">
        <f t="shared" si="2"/>
        <v>1073.6399999987334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44486</v>
      </c>
      <c r="F20" s="55">
        <v>4743.7640000000001</v>
      </c>
      <c r="G20" s="22">
        <v>2760</v>
      </c>
      <c r="H20" s="23">
        <f t="shared" si="1"/>
        <v>13092788.640000001</v>
      </c>
      <c r="I20" s="24">
        <f t="shared" si="2"/>
        <v>1070.8800000008196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44487</v>
      </c>
      <c r="F21" s="55"/>
      <c r="G21" s="22">
        <v>2760</v>
      </c>
      <c r="H21" s="23">
        <f t="shared" si="1"/>
        <v>0</v>
      </c>
      <c r="I21" s="24">
        <f t="shared" si="2"/>
        <v>-13092788.640000001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44488</v>
      </c>
      <c r="F22" s="55"/>
      <c r="G22" s="22">
        <v>2760</v>
      </c>
      <c r="H22" s="23">
        <f t="shared" si="1"/>
        <v>0</v>
      </c>
      <c r="I22" s="24">
        <f t="shared" si="2"/>
        <v>0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44489</v>
      </c>
      <c r="F23" s="55"/>
      <c r="G23" s="22">
        <v>2760</v>
      </c>
      <c r="H23" s="23">
        <f t="shared" si="1"/>
        <v>0</v>
      </c>
      <c r="I23" s="24">
        <f t="shared" si="2"/>
        <v>0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44490</v>
      </c>
      <c r="F24" s="55"/>
      <c r="G24" s="22">
        <v>2760</v>
      </c>
      <c r="H24" s="23">
        <f t="shared" si="1"/>
        <v>0</v>
      </c>
      <c r="I24" s="24">
        <f t="shared" si="2"/>
        <v>0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44491</v>
      </c>
      <c r="F25" s="55"/>
      <c r="G25" s="22">
        <v>2760</v>
      </c>
      <c r="H25" s="23">
        <f t="shared" si="1"/>
        <v>0</v>
      </c>
      <c r="I25" s="24">
        <f t="shared" si="2"/>
        <v>0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44492</v>
      </c>
      <c r="F26" s="61"/>
      <c r="G26" s="22">
        <v>2760</v>
      </c>
      <c r="H26" s="23">
        <f t="shared" si="1"/>
        <v>0</v>
      </c>
      <c r="I26" s="24">
        <f t="shared" si="2"/>
        <v>0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44493</v>
      </c>
      <c r="F27" s="61"/>
      <c r="G27" s="22">
        <v>2760</v>
      </c>
      <c r="H27" s="23">
        <f t="shared" si="1"/>
        <v>0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44494</v>
      </c>
      <c r="F28" s="61"/>
      <c r="G28" s="22">
        <v>2760</v>
      </c>
      <c r="H28" s="23">
        <f t="shared" si="1"/>
        <v>0</v>
      </c>
      <c r="I28" s="24">
        <f t="shared" si="2"/>
        <v>0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44495</v>
      </c>
      <c r="F29" s="61"/>
      <c r="G29" s="22">
        <v>2760</v>
      </c>
      <c r="H29" s="23">
        <f t="shared" si="1"/>
        <v>0</v>
      </c>
      <c r="I29" s="24">
        <f t="shared" si="2"/>
        <v>0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44496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44497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44498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44499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>
        <v>44500</v>
      </c>
      <c r="F34" s="61"/>
      <c r="G34" s="22">
        <v>2760</v>
      </c>
      <c r="H34" s="23">
        <f t="shared" si="1"/>
        <v>0</v>
      </c>
      <c r="I34" s="24">
        <f t="shared" si="2"/>
        <v>0</v>
      </c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-13077967.440000001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/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2021-10-17T03:47:48Z</dcterms:modified>
</cp:coreProperties>
</file>