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oe.ElKhoury\Desktop\"/>
    </mc:Choice>
  </mc:AlternateContent>
  <bookViews>
    <workbookView xWindow="0" yWindow="0" windowWidth="28800" windowHeight="12435"/>
  </bookViews>
  <sheets>
    <sheet name="Sheet3" sheetId="3" r:id="rId1"/>
    <sheet name="Sheet1" sheetId="1" r:id="rId2"/>
    <sheet name="Sheet2" sheetId="2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I26" i="1"/>
  <c r="I27" i="1"/>
  <c r="I31" i="1"/>
  <c r="G3" i="1"/>
  <c r="G11" i="1"/>
  <c r="G19" i="1"/>
  <c r="G24" i="1"/>
  <c r="G27" i="1"/>
  <c r="G28" i="1"/>
  <c r="G32" i="1"/>
  <c r="M35" i="2"/>
  <c r="L35" i="2"/>
  <c r="K34" i="2"/>
  <c r="I32" i="1" s="1"/>
  <c r="I34" i="2"/>
  <c r="J34" i="2" s="1"/>
  <c r="E32" i="1" s="1"/>
  <c r="G34" i="2"/>
  <c r="H34" i="2" s="1"/>
  <c r="K33" i="2"/>
  <c r="I33" i="2"/>
  <c r="J33" i="2" s="1"/>
  <c r="E31" i="1" s="1"/>
  <c r="G33" i="2"/>
  <c r="H33" i="2" s="1"/>
  <c r="G31" i="1" s="1"/>
  <c r="K32" i="2"/>
  <c r="I30" i="1" s="1"/>
  <c r="I32" i="2"/>
  <c r="J32" i="2" s="1"/>
  <c r="E30" i="1" s="1"/>
  <c r="G32" i="2"/>
  <c r="H32" i="2" s="1"/>
  <c r="G30" i="1" s="1"/>
  <c r="K31" i="2"/>
  <c r="I29" i="1" s="1"/>
  <c r="I31" i="2"/>
  <c r="J31" i="2" s="1"/>
  <c r="E29" i="1" s="1"/>
  <c r="G31" i="2"/>
  <c r="H31" i="2" s="1"/>
  <c r="G29" i="1" s="1"/>
  <c r="K30" i="2"/>
  <c r="I28" i="1" s="1"/>
  <c r="I30" i="2"/>
  <c r="J30" i="2" s="1"/>
  <c r="E28" i="1" s="1"/>
  <c r="G30" i="2"/>
  <c r="H30" i="2" s="1"/>
  <c r="K29" i="2"/>
  <c r="I29" i="2"/>
  <c r="J29" i="2" s="1"/>
  <c r="E27" i="1" s="1"/>
  <c r="G29" i="2"/>
  <c r="H29" i="2" s="1"/>
  <c r="K28" i="2"/>
  <c r="I28" i="2"/>
  <c r="J28" i="2" s="1"/>
  <c r="E26" i="1" s="1"/>
  <c r="G28" i="2"/>
  <c r="H28" i="2" s="1"/>
  <c r="G26" i="1" s="1"/>
  <c r="K27" i="2"/>
  <c r="I25" i="1" s="1"/>
  <c r="I27" i="2"/>
  <c r="J27" i="2" s="1"/>
  <c r="E25" i="1" s="1"/>
  <c r="G27" i="2"/>
  <c r="H27" i="2" s="1"/>
  <c r="G25" i="1" s="1"/>
  <c r="K26" i="2"/>
  <c r="I24" i="1" s="1"/>
  <c r="J26" i="2"/>
  <c r="E24" i="1" s="1"/>
  <c r="I26" i="2"/>
  <c r="G26" i="2"/>
  <c r="H26" i="2" s="1"/>
  <c r="K25" i="2"/>
  <c r="I23" i="1" s="1"/>
  <c r="I25" i="2"/>
  <c r="J25" i="2" s="1"/>
  <c r="E23" i="1" s="1"/>
  <c r="G25" i="2"/>
  <c r="H25" i="2" s="1"/>
  <c r="G23" i="1" s="1"/>
  <c r="K24" i="2"/>
  <c r="I22" i="1" s="1"/>
  <c r="I24" i="2"/>
  <c r="J24" i="2" s="1"/>
  <c r="E22" i="1" s="1"/>
  <c r="G24" i="2"/>
  <c r="H24" i="2" s="1"/>
  <c r="G22" i="1" s="1"/>
  <c r="K23" i="2"/>
  <c r="I21" i="1" s="1"/>
  <c r="I23" i="2"/>
  <c r="J23" i="2" s="1"/>
  <c r="E21" i="1" s="1"/>
  <c r="G23" i="2"/>
  <c r="H23" i="2" s="1"/>
  <c r="G21" i="1" s="1"/>
  <c r="K22" i="2"/>
  <c r="I20" i="1" s="1"/>
  <c r="I22" i="2"/>
  <c r="J22" i="2" s="1"/>
  <c r="E20" i="1" s="1"/>
  <c r="G22" i="2"/>
  <c r="H22" i="2" s="1"/>
  <c r="G20" i="1" s="1"/>
  <c r="K21" i="2"/>
  <c r="I19" i="1" s="1"/>
  <c r="I21" i="2"/>
  <c r="J21" i="2" s="1"/>
  <c r="E19" i="1" s="1"/>
  <c r="G21" i="2"/>
  <c r="H21" i="2" s="1"/>
  <c r="K20" i="2"/>
  <c r="I18" i="1" s="1"/>
  <c r="I20" i="2"/>
  <c r="J20" i="2" s="1"/>
  <c r="E18" i="1" s="1"/>
  <c r="G20" i="2"/>
  <c r="H20" i="2" s="1"/>
  <c r="G18" i="1" s="1"/>
  <c r="K19" i="2"/>
  <c r="I17" i="1" s="1"/>
  <c r="I19" i="2"/>
  <c r="J19" i="2" s="1"/>
  <c r="E17" i="1" s="1"/>
  <c r="G19" i="2"/>
  <c r="H19" i="2" s="1"/>
  <c r="G17" i="1" s="1"/>
  <c r="K18" i="2"/>
  <c r="I16" i="1" s="1"/>
  <c r="I18" i="2"/>
  <c r="J18" i="2" s="1"/>
  <c r="E16" i="1" s="1"/>
  <c r="G18" i="2"/>
  <c r="H18" i="2" s="1"/>
  <c r="G16" i="1" s="1"/>
  <c r="K17" i="2"/>
  <c r="I15" i="1" s="1"/>
  <c r="I17" i="2"/>
  <c r="J17" i="2" s="1"/>
  <c r="E15" i="1" s="1"/>
  <c r="G17" i="2"/>
  <c r="H17" i="2" s="1"/>
  <c r="G15" i="1" s="1"/>
  <c r="K16" i="2"/>
  <c r="I14" i="1" s="1"/>
  <c r="I16" i="2"/>
  <c r="J16" i="2" s="1"/>
  <c r="E14" i="1" s="1"/>
  <c r="G16" i="2"/>
  <c r="H16" i="2" s="1"/>
  <c r="G14" i="1" s="1"/>
  <c r="K15" i="2"/>
  <c r="I13" i="1" s="1"/>
  <c r="I15" i="2"/>
  <c r="J15" i="2" s="1"/>
  <c r="E13" i="1" s="1"/>
  <c r="G15" i="2"/>
  <c r="H15" i="2" s="1"/>
  <c r="G13" i="1" s="1"/>
  <c r="K14" i="2"/>
  <c r="I12" i="1" s="1"/>
  <c r="I14" i="2"/>
  <c r="J14" i="2" s="1"/>
  <c r="E12" i="1" s="1"/>
  <c r="G14" i="2"/>
  <c r="H14" i="2" s="1"/>
  <c r="G12" i="1" s="1"/>
  <c r="K13" i="2"/>
  <c r="I11" i="1" s="1"/>
  <c r="I13" i="2"/>
  <c r="J13" i="2" s="1"/>
  <c r="E11" i="1" s="1"/>
  <c r="G13" i="2"/>
  <c r="H13" i="2" s="1"/>
  <c r="K12" i="2"/>
  <c r="I10" i="1" s="1"/>
  <c r="I12" i="2"/>
  <c r="J12" i="2" s="1"/>
  <c r="E10" i="1" s="1"/>
  <c r="G12" i="2"/>
  <c r="H12" i="2" s="1"/>
  <c r="G10" i="1" s="1"/>
  <c r="K11" i="2"/>
  <c r="I9" i="1" s="1"/>
  <c r="I11" i="2"/>
  <c r="J11" i="2" s="1"/>
  <c r="E9" i="1" s="1"/>
  <c r="G11" i="2"/>
  <c r="H11" i="2" s="1"/>
  <c r="G9" i="1" s="1"/>
  <c r="K10" i="2"/>
  <c r="I8" i="1" s="1"/>
  <c r="I10" i="2"/>
  <c r="J10" i="2" s="1"/>
  <c r="E8" i="1" s="1"/>
  <c r="G10" i="2"/>
  <c r="H10" i="2" s="1"/>
  <c r="G8" i="1" s="1"/>
  <c r="K9" i="2"/>
  <c r="I7" i="1" s="1"/>
  <c r="I9" i="2"/>
  <c r="J9" i="2" s="1"/>
  <c r="E7" i="1" s="1"/>
  <c r="G9" i="2"/>
  <c r="H9" i="2" s="1"/>
  <c r="G7" i="1" s="1"/>
  <c r="K8" i="2"/>
  <c r="I6" i="1" s="1"/>
  <c r="I8" i="2"/>
  <c r="J8" i="2" s="1"/>
  <c r="E6" i="1" s="1"/>
  <c r="G8" i="2"/>
  <c r="H8" i="2" s="1"/>
  <c r="G6" i="1" s="1"/>
  <c r="K7" i="2"/>
  <c r="I5" i="1" s="1"/>
  <c r="I7" i="2"/>
  <c r="J7" i="2" s="1"/>
  <c r="E5" i="1" s="1"/>
  <c r="G7" i="2"/>
  <c r="H7" i="2" s="1"/>
  <c r="G5" i="1" s="1"/>
  <c r="K6" i="2"/>
  <c r="I4" i="1" s="1"/>
  <c r="I6" i="2"/>
  <c r="J6" i="2" s="1"/>
  <c r="E4" i="1" s="1"/>
  <c r="G6" i="2"/>
  <c r="H6" i="2" s="1"/>
  <c r="G4" i="1" s="1"/>
  <c r="K5" i="2"/>
  <c r="I3" i="1" s="1"/>
  <c r="I5" i="2"/>
  <c r="J5" i="2" s="1"/>
  <c r="E3" i="1" s="1"/>
  <c r="G5" i="2"/>
  <c r="H5" i="2" s="1"/>
  <c r="K4" i="2"/>
  <c r="I2" i="1" s="1"/>
  <c r="I4" i="2"/>
  <c r="J4" i="2" s="1"/>
  <c r="E2" i="1" s="1"/>
  <c r="G4" i="2"/>
  <c r="H4" i="2" s="1"/>
  <c r="G2" i="1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K35" i="2" l="1"/>
  <c r="J35" i="2"/>
  <c r="H35" i="2"/>
  <c r="G35" i="2"/>
  <c r="I35" i="2"/>
</calcChain>
</file>

<file path=xl/comments1.xml><?xml version="1.0" encoding="utf-8"?>
<comments xmlns="http://schemas.openxmlformats.org/spreadsheetml/2006/main">
  <authors>
    <author>Ben Hartwell</author>
  </authors>
  <commentList>
    <comment ref="A3" authorId="0" shapeId="0">
      <text>
        <r>
          <rPr>
            <sz val="9"/>
            <color indexed="81"/>
            <rFont val="Tahoma"/>
            <family val="2"/>
          </rPr>
          <t xml:space="preserve">Readings from last day of previous month
</t>
        </r>
      </text>
    </comment>
  </commentList>
</comments>
</file>

<file path=xl/sharedStrings.xml><?xml version="1.0" encoding="utf-8"?>
<sst xmlns="http://schemas.openxmlformats.org/spreadsheetml/2006/main" count="103" uniqueCount="22">
  <si>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</si>
  <si>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</si>
  <si>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</si>
  <si>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</si>
  <si>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</si>
  <si>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</si>
  <si>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</si>
  <si>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</si>
  <si>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</si>
  <si>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</si>
  <si>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</si>
  <si>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</si>
  <si>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Whistler</t>
  </si>
  <si>
    <t>Daily Readings</t>
  </si>
  <si>
    <t>Calculated usage from previous reading</t>
  </si>
  <si>
    <t>Gas (GJ)</t>
  </si>
  <si>
    <t>Hydro (Kw/h)</t>
  </si>
  <si>
    <t>Water (M³)</t>
  </si>
  <si>
    <r>
      <t>Gas (M</t>
    </r>
    <r>
      <rPr>
        <b/>
        <sz val="11"/>
        <color theme="3"/>
        <rFont val="Calibri"/>
        <family val="2"/>
      </rPr>
      <t>³)</t>
    </r>
  </si>
  <si>
    <t>Kw/h with multiplier</t>
  </si>
  <si>
    <t>Prev Month: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</si>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</sst>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"/>
  </numFmts>
  <fonts count="9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b/>
      <sz val="11"/>
      <color theme="3"/>
      <name val="Calibri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theme="4" tint="0.3999755851924192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4" tint="0.39997558519241921"/>
      </bottom>
      <diagonal/>
    </border>
    <border>
      <left style="thin">
        <color theme="1"/>
      </left>
      <right style="thin">
        <color theme="1"/>
      </right>
      <top style="medium">
        <color theme="4" tint="0.39997558519241921"/>
      </top>
      <bottom style="thin">
        <color theme="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0" borderId="0"/>
  </cellStyleXfs>
  <cellXfs count="35">
    <xf numFmtId="0" fontId="0" fillId="0" borderId="0" xfId="0"/>
    <xf numFmtId="0" fontId="3" fillId="0" borderId="2" xfId="2" applyFont="1" applyBorder="1" applyAlignment="1">
      <alignment horizontal="center" vertical="center"/>
    </xf>
    <xf numFmtId="0" fontId="5" fillId="0" borderId="2" xfId="2" applyFont="1" applyBorder="1" applyAlignment="1">
      <alignment horizontal="center" vertical="center"/>
    </xf>
    <xf numFmtId="0" fontId="3" fillId="0" borderId="3" xfId="0" applyFont="1" applyBorder="1" applyAlignment="1">
      <alignment horizontal="center" wrapText="1"/>
    </xf>
    <xf numFmtId="2" fontId="5" fillId="0" borderId="3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 wrapText="1"/>
    </xf>
    <xf numFmtId="0" fontId="3" fillId="0" borderId="2" xfId="2" applyFont="1" applyBorder="1" applyAlignment="1">
      <alignment horizontal="center" vertical="center" wrapText="1"/>
    </xf>
    <xf numFmtId="0" fontId="6" fillId="0" borderId="2" xfId="2" applyFont="1" applyBorder="1" applyAlignment="1">
      <alignment horizontal="center"/>
    </xf>
    <xf numFmtId="0" fontId="3" fillId="0" borderId="2" xfId="2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1" fontId="4" fillId="0" borderId="2" xfId="2" applyNumberFormat="1" applyBorder="1" applyAlignment="1">
      <alignment horizontal="center"/>
    </xf>
    <xf numFmtId="2" fontId="2" fillId="0" borderId="2" xfId="2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0" fillId="0" borderId="4" xfId="0" applyBorder="1" applyAlignment="1">
      <alignment horizontal="center"/>
    </xf>
    <xf numFmtId="0" fontId="1" fillId="0" borderId="5" xfId="1" applyBorder="1" applyAlignment="1">
      <alignment horizontal="center" vertical="center"/>
    </xf>
    <xf numFmtId="0" fontId="1" fillId="0" borderId="1" xfId="1" applyAlignment="1">
      <alignment vertical="center"/>
    </xf>
    <xf numFmtId="0" fontId="1" fillId="0" borderId="6" xfId="1" applyBorder="1" applyAlignment="1">
      <alignment horizontal="center" vertical="center"/>
    </xf>
    <xf numFmtId="0" fontId="1" fillId="0" borderId="6" xfId="1" applyBorder="1" applyAlignment="1">
      <alignment horizontal="center" vertical="center" wrapText="1"/>
    </xf>
    <xf numFmtId="0" fontId="0" fillId="0" borderId="7" xfId="0" applyBorder="1" applyAlignment="1">
      <alignment horizontal="right"/>
    </xf>
    <xf numFmtId="3" fontId="0" fillId="0" borderId="4" xfId="0" applyNumberFormat="1" applyBorder="1"/>
    <xf numFmtId="164" fontId="0" fillId="0" borderId="4" xfId="0" applyNumberFormat="1" applyBorder="1"/>
    <xf numFmtId="3" fontId="0" fillId="2" borderId="7" xfId="0" applyNumberFormat="1" applyFill="1" applyBorder="1"/>
    <xf numFmtId="3" fontId="0" fillId="2" borderId="7" xfId="0" applyNumberFormat="1" applyFill="1" applyBorder="1" applyAlignment="1" applyProtection="1">
      <protection hidden="1"/>
    </xf>
    <xf numFmtId="0" fontId="0" fillId="3" borderId="4" xfId="0" applyFill="1" applyBorder="1" applyAlignment="1">
      <alignment vertical="center"/>
    </xf>
    <xf numFmtId="0" fontId="0" fillId="3" borderId="4" xfId="0" applyNumberFormat="1" applyFill="1" applyBorder="1" applyAlignment="1">
      <alignment vertical="center"/>
    </xf>
    <xf numFmtId="1" fontId="0" fillId="3" borderId="4" xfId="0" applyNumberFormat="1" applyFill="1" applyBorder="1"/>
    <xf numFmtId="2" fontId="0" fillId="3" borderId="4" xfId="0" applyNumberFormat="1" applyFill="1" applyBorder="1"/>
    <xf numFmtId="1" fontId="0" fillId="3" borderId="4" xfId="0" applyNumberFormat="1" applyFill="1" applyBorder="1" applyAlignment="1" applyProtection="1"/>
    <xf numFmtId="2" fontId="0" fillId="3" borderId="4" xfId="0" applyNumberFormat="1" applyFill="1" applyBorder="1" applyAlignment="1" applyProtection="1"/>
    <xf numFmtId="165" fontId="0" fillId="3" borderId="4" xfId="0" applyNumberFormat="1" applyFill="1" applyBorder="1"/>
    <xf numFmtId="0" fontId="0" fillId="3" borderId="4" xfId="0" applyFill="1" applyBorder="1"/>
    <xf numFmtId="0" fontId="0" fillId="0" borderId="0" xfId="0" applyAlignment="1">
      <alignment horizontal="right"/>
    </xf>
    <xf numFmtId="3" fontId="0" fillId="0" borderId="2" xfId="0" applyNumberFormat="1" applyBorder="1"/>
    <xf numFmtId="4" fontId="0" fillId="0" borderId="2" xfId="0" applyNumberFormat="1" applyBorder="1"/>
    <xf numFmtId="164" fontId="0" fillId="0" borderId="2" xfId="0" applyNumberFormat="1" applyBorder="1"/>
  </cellXfs>
  <cellStyles count="3">
    <cellStyle name="Heading 3" xfId="1" builtinId="18"/>
    <cellStyle name="Normal" xfId="0" builtinId="0"/>
    <cellStyle name="Normal 2" xfId="2"/>
  </cellStyles>
  <dxfs count="14"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ill>
        <patternFill>
          <bgColor rgb="FFFF505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  <dxf>
      <fill>
        <patternFill>
          <bgColor rgb="FFFF5050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8585"/>
        </patternFill>
      </fill>
    </dxf>
    <dxf>
      <font>
        <color rgb="FF9C0006"/>
      </font>
      <fill>
        <patternFill>
          <bgColor rgb="FFFF85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I2" sqref="I2:I32"/>
    </sheetView>
  </sheetViews>
  <sheetFormatPr defaultRowHeight="15" x14ac:dyDescent="0.25"/>
  <sheetData>
    <row r="1" spans="1:12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6" t="s">
        <v>10</v>
      </c>
      <c r="L1" s="6" t="s">
        <v>11</v>
      </c>
    </row>
    <row r="2" spans="1:12" x14ac:dyDescent="0.25">
      <c r="A2" s="7" t="s">
        <v>12</v>
      </c>
      <c r="B2" s="8">
        <v>1</v>
      </c>
      <c r="C2" s="9">
        <v>3</v>
      </c>
      <c r="D2" s="8">
        <v>2021</v>
      </c>
      <c r="E2" s="10">
        <f>Sheet1!E2</f>
        <v>12000</v>
      </c>
      <c r="F2" s="11">
        <v>0.06</v>
      </c>
      <c r="G2" s="10">
        <f>Sheet1!G2</f>
        <v>2189.5935600000003</v>
      </c>
      <c r="H2" s="11">
        <v>0.4</v>
      </c>
      <c r="I2" s="10">
        <f>Sheet1!I2</f>
        <v>3</v>
      </c>
      <c r="J2" s="11"/>
      <c r="K2" s="10">
        <v>0</v>
      </c>
      <c r="L2" s="10">
        <v>0</v>
      </c>
    </row>
    <row r="3" spans="1:12" x14ac:dyDescent="0.25">
      <c r="A3" s="7" t="s">
        <v>12</v>
      </c>
      <c r="B3" s="8">
        <f>B2+1</f>
        <v>2</v>
      </c>
      <c r="C3" s="9">
        <v>3</v>
      </c>
      <c r="D3" s="8">
        <v>2021</v>
      </c>
      <c r="E3" s="10">
        <f>Sheet1!E3</f>
        <v>15600</v>
      </c>
      <c r="F3" s="11">
        <v>0.06</v>
      </c>
      <c r="G3" s="10">
        <f>Sheet1!G3</f>
        <v>2802.6797568000006</v>
      </c>
      <c r="H3" s="11">
        <v>0.4</v>
      </c>
      <c r="I3" s="10">
        <f>Sheet1!I3</f>
        <v>1</v>
      </c>
      <c r="J3" s="11"/>
      <c r="K3" s="10">
        <v>0</v>
      </c>
      <c r="L3" s="10">
        <v>0</v>
      </c>
    </row>
    <row r="4" spans="1:12" x14ac:dyDescent="0.25">
      <c r="A4" s="7" t="s">
        <v>12</v>
      </c>
      <c r="B4" s="8">
        <f t="shared" ref="B4:B32" si="0">B3+1</f>
        <v>3</v>
      </c>
      <c r="C4" s="9">
        <v>3</v>
      </c>
      <c r="D4" s="8">
        <v>2021</v>
      </c>
      <c r="E4" s="10">
        <f>Sheet1!E4</f>
        <v>14400</v>
      </c>
      <c r="F4" s="11">
        <v>0.06</v>
      </c>
      <c r="G4" s="10">
        <f>Sheet1!G4</f>
        <v>2773.4851760000006</v>
      </c>
      <c r="H4" s="11">
        <v>0.4</v>
      </c>
      <c r="I4" s="10">
        <f>Sheet1!I4</f>
        <v>3</v>
      </c>
      <c r="J4" s="11"/>
      <c r="K4" s="10">
        <v>0</v>
      </c>
      <c r="L4" s="10">
        <v>0</v>
      </c>
    </row>
    <row r="5" spans="1:12" x14ac:dyDescent="0.25">
      <c r="A5" s="7" t="s">
        <v>12</v>
      </c>
      <c r="B5" s="8">
        <f t="shared" si="0"/>
        <v>4</v>
      </c>
      <c r="C5" s="9">
        <v>3</v>
      </c>
      <c r="D5" s="8">
        <v>2021</v>
      </c>
      <c r="E5" s="10">
        <f>Sheet1!E5</f>
        <v>14400</v>
      </c>
      <c r="F5" s="11">
        <v>0.06</v>
      </c>
      <c r="G5" s="10">
        <f>Sheet1!G5</f>
        <v>2773.4851760000006</v>
      </c>
      <c r="H5" s="11">
        <v>0.4</v>
      </c>
      <c r="I5" s="10">
        <f>Sheet1!I5</f>
        <v>6</v>
      </c>
      <c r="J5" s="11"/>
      <c r="K5" s="10">
        <v>0</v>
      </c>
      <c r="L5" s="10">
        <v>0</v>
      </c>
    </row>
    <row r="6" spans="1:12" x14ac:dyDescent="0.25">
      <c r="A6" s="7" t="s">
        <v>12</v>
      </c>
      <c r="B6" s="8">
        <f t="shared" si="0"/>
        <v>5</v>
      </c>
      <c r="C6" s="9">
        <v>3</v>
      </c>
      <c r="D6" s="8">
        <v>2021</v>
      </c>
      <c r="E6" s="10">
        <f>Sheet1!E6</f>
        <v>16800</v>
      </c>
      <c r="F6" s="11">
        <v>0.06</v>
      </c>
      <c r="G6" s="10">
        <f>Sheet1!G6</f>
        <v>3240.5984687999999</v>
      </c>
      <c r="H6" s="11">
        <v>0.4</v>
      </c>
      <c r="I6" s="10">
        <f>Sheet1!I6</f>
        <v>7</v>
      </c>
      <c r="J6" s="11"/>
      <c r="K6" s="10">
        <v>0</v>
      </c>
      <c r="L6" s="10">
        <v>0</v>
      </c>
    </row>
    <row r="7" spans="1:12" x14ac:dyDescent="0.25">
      <c r="A7" s="7" t="s">
        <v>12</v>
      </c>
      <c r="B7" s="8">
        <f t="shared" si="0"/>
        <v>6</v>
      </c>
      <c r="C7" s="9">
        <v>3</v>
      </c>
      <c r="D7" s="8">
        <v>2021</v>
      </c>
      <c r="E7" s="10">
        <f>Sheet1!E7</f>
        <v>15600</v>
      </c>
      <c r="F7" s="11">
        <v>0.06</v>
      </c>
      <c r="G7" s="10">
        <f>Sheet1!G7</f>
        <v>3007.0418224000005</v>
      </c>
      <c r="H7" s="11">
        <v>0.4</v>
      </c>
      <c r="I7" s="10">
        <f>Sheet1!I7</f>
        <v>7</v>
      </c>
      <c r="J7" s="11"/>
      <c r="K7" s="10">
        <v>0</v>
      </c>
      <c r="L7" s="10">
        <v>0</v>
      </c>
    </row>
    <row r="8" spans="1:12" x14ac:dyDescent="0.25">
      <c r="A8" s="7" t="s">
        <v>12</v>
      </c>
      <c r="B8" s="8">
        <f t="shared" si="0"/>
        <v>7</v>
      </c>
      <c r="C8" s="9">
        <v>3</v>
      </c>
      <c r="D8" s="8">
        <v>2021</v>
      </c>
      <c r="E8" s="10">
        <f>Sheet1!E8</f>
        <v>15600</v>
      </c>
      <c r="F8" s="11">
        <v>0.06</v>
      </c>
      <c r="G8" s="10">
        <f>Sheet1!G8</f>
        <v>4700.3275088000009</v>
      </c>
      <c r="H8" s="11">
        <v>0.4</v>
      </c>
      <c r="I8" s="10">
        <f>Sheet1!I8</f>
        <v>3.5</v>
      </c>
      <c r="J8" s="11"/>
      <c r="K8" s="10">
        <v>0</v>
      </c>
      <c r="L8" s="10">
        <v>0</v>
      </c>
    </row>
    <row r="9" spans="1:12" x14ac:dyDescent="0.25">
      <c r="A9" s="7" t="s">
        <v>12</v>
      </c>
      <c r="B9" s="8">
        <f t="shared" si="0"/>
        <v>8</v>
      </c>
      <c r="C9" s="9">
        <v>3</v>
      </c>
      <c r="D9" s="8">
        <v>2021</v>
      </c>
      <c r="E9" s="10">
        <f>Sheet1!E9</f>
        <v>13200</v>
      </c>
      <c r="F9" s="11">
        <v>0.06</v>
      </c>
      <c r="G9" s="10">
        <f>Sheet1!G9</f>
        <v>846.64284320000013</v>
      </c>
      <c r="H9" s="11">
        <v>0.4</v>
      </c>
      <c r="I9" s="10">
        <f>Sheet1!I9</f>
        <v>6.5</v>
      </c>
      <c r="J9" s="11"/>
      <c r="K9" s="10">
        <v>0</v>
      </c>
      <c r="L9" s="10">
        <v>0</v>
      </c>
    </row>
    <row r="10" spans="1:12" x14ac:dyDescent="0.25">
      <c r="A10" s="7" t="s">
        <v>12</v>
      </c>
      <c r="B10" s="8">
        <f t="shared" si="0"/>
        <v>9</v>
      </c>
      <c r="C10" s="9">
        <v>3</v>
      </c>
      <c r="D10" s="8">
        <v>2021</v>
      </c>
      <c r="E10" s="10">
        <f>Sheet1!E10</f>
        <v>15600</v>
      </c>
      <c r="F10" s="11">
        <v>0.06</v>
      </c>
      <c r="G10" s="10">
        <f>Sheet1!G10</f>
        <v>3007.0418224000005</v>
      </c>
      <c r="H10" s="11">
        <v>0.4</v>
      </c>
      <c r="I10" s="10">
        <f>Sheet1!I10</f>
        <v>3</v>
      </c>
      <c r="J10" s="11"/>
      <c r="K10" s="10">
        <v>0</v>
      </c>
      <c r="L10" s="10">
        <v>0</v>
      </c>
    </row>
    <row r="11" spans="1:12" x14ac:dyDescent="0.25">
      <c r="A11" s="7" t="s">
        <v>12</v>
      </c>
      <c r="B11" s="8">
        <f t="shared" si="0"/>
        <v>10</v>
      </c>
      <c r="C11" s="9">
        <v>3</v>
      </c>
      <c r="D11" s="8">
        <v>2021</v>
      </c>
      <c r="E11" s="10">
        <f>Sheet1!E11</f>
        <v>15600</v>
      </c>
      <c r="F11" s="11">
        <v>0.06</v>
      </c>
      <c r="G11" s="10">
        <f>Sheet1!G11</f>
        <v>2773.4851760000006</v>
      </c>
      <c r="H11" s="11">
        <v>0.4</v>
      </c>
      <c r="I11" s="10">
        <f>Sheet1!I11</f>
        <v>4</v>
      </c>
      <c r="J11" s="11"/>
      <c r="K11" s="10">
        <v>0</v>
      </c>
      <c r="L11" s="10">
        <v>0</v>
      </c>
    </row>
    <row r="12" spans="1:12" x14ac:dyDescent="0.25">
      <c r="A12" s="7" t="s">
        <v>12</v>
      </c>
      <c r="B12" s="8">
        <f t="shared" si="0"/>
        <v>11</v>
      </c>
      <c r="C12" s="9">
        <v>3</v>
      </c>
      <c r="D12" s="8">
        <v>2021</v>
      </c>
      <c r="E12" s="10">
        <f>Sheet1!E12</f>
        <v>14400</v>
      </c>
      <c r="F12" s="11">
        <v>0.06</v>
      </c>
      <c r="G12" s="10">
        <f>Sheet1!G12</f>
        <v>2831.8743376000002</v>
      </c>
      <c r="H12" s="11">
        <v>0.4</v>
      </c>
      <c r="I12" s="10">
        <f>Sheet1!I12</f>
        <v>2</v>
      </c>
      <c r="J12" s="11"/>
      <c r="K12" s="10">
        <v>0</v>
      </c>
      <c r="L12" s="10">
        <v>0</v>
      </c>
    </row>
    <row r="13" spans="1:12" x14ac:dyDescent="0.25">
      <c r="A13" s="7" t="s">
        <v>12</v>
      </c>
      <c r="B13" s="8">
        <f t="shared" si="0"/>
        <v>12</v>
      </c>
      <c r="C13" s="9">
        <v>3</v>
      </c>
      <c r="D13" s="8">
        <v>2021</v>
      </c>
      <c r="E13" s="10">
        <f>Sheet1!E13</f>
        <v>16800</v>
      </c>
      <c r="F13" s="11">
        <v>0.06</v>
      </c>
      <c r="G13" s="10">
        <f>Sheet1!G13</f>
        <v>3328.1822112000004</v>
      </c>
      <c r="H13" s="11">
        <v>0.4</v>
      </c>
      <c r="I13" s="10">
        <f>Sheet1!I13</f>
        <v>7</v>
      </c>
      <c r="J13" s="11"/>
      <c r="K13" s="10">
        <v>0</v>
      </c>
      <c r="L13" s="10">
        <v>0</v>
      </c>
    </row>
    <row r="14" spans="1:12" x14ac:dyDescent="0.25">
      <c r="A14" s="7" t="s">
        <v>12</v>
      </c>
      <c r="B14" s="8">
        <f t="shared" si="0"/>
        <v>13</v>
      </c>
      <c r="C14" s="9">
        <v>3</v>
      </c>
      <c r="D14" s="8">
        <v>2021</v>
      </c>
      <c r="E14" s="10">
        <f>Sheet1!E14</f>
        <v>16800</v>
      </c>
      <c r="F14" s="11">
        <v>0.06</v>
      </c>
      <c r="G14" s="10">
        <f>Sheet1!G14</f>
        <v>2656.7068528000004</v>
      </c>
      <c r="H14" s="11">
        <v>0.4</v>
      </c>
      <c r="I14" s="10">
        <f>Sheet1!I14</f>
        <v>4</v>
      </c>
      <c r="J14" s="11"/>
      <c r="K14" s="10">
        <v>0</v>
      </c>
      <c r="L14" s="10">
        <v>0</v>
      </c>
    </row>
    <row r="15" spans="1:12" x14ac:dyDescent="0.25">
      <c r="A15" s="7" t="s">
        <v>12</v>
      </c>
      <c r="B15" s="8">
        <f t="shared" si="0"/>
        <v>14</v>
      </c>
      <c r="C15" s="9">
        <v>3</v>
      </c>
      <c r="D15" s="8">
        <v>2021</v>
      </c>
      <c r="E15" s="10">
        <f>Sheet1!E15</f>
        <v>14400</v>
      </c>
      <c r="F15" s="11">
        <v>0.06</v>
      </c>
      <c r="G15" s="10">
        <f>Sheet1!G15</f>
        <v>2335.566464</v>
      </c>
      <c r="H15" s="11">
        <v>0.4</v>
      </c>
      <c r="I15" s="10">
        <f>Sheet1!I15</f>
        <v>7</v>
      </c>
      <c r="J15" s="11"/>
      <c r="K15" s="10">
        <v>0</v>
      </c>
      <c r="L15" s="10">
        <v>0</v>
      </c>
    </row>
    <row r="16" spans="1:12" x14ac:dyDescent="0.25">
      <c r="A16" s="7" t="s">
        <v>12</v>
      </c>
      <c r="B16" s="8">
        <f t="shared" si="0"/>
        <v>15</v>
      </c>
      <c r="C16" s="9">
        <v>3</v>
      </c>
      <c r="D16" s="8">
        <v>2021</v>
      </c>
      <c r="E16" s="10">
        <f>Sheet1!E16</f>
        <v>13200</v>
      </c>
      <c r="F16" s="11">
        <v>0.06</v>
      </c>
      <c r="G16" s="10">
        <f>Sheet1!G16</f>
        <v>2627.5122720000004</v>
      </c>
      <c r="H16" s="11">
        <v>0.4</v>
      </c>
      <c r="I16" s="10">
        <f>Sheet1!I16</f>
        <v>6</v>
      </c>
      <c r="J16" s="11"/>
      <c r="K16" s="10">
        <v>0</v>
      </c>
      <c r="L16" s="10">
        <v>0</v>
      </c>
    </row>
    <row r="17" spans="1:12" x14ac:dyDescent="0.25">
      <c r="A17" s="7" t="s">
        <v>12</v>
      </c>
      <c r="B17" s="8">
        <f t="shared" si="0"/>
        <v>16</v>
      </c>
      <c r="C17" s="9">
        <v>3</v>
      </c>
      <c r="D17" s="8">
        <v>2021</v>
      </c>
      <c r="E17" s="10">
        <f>Sheet1!E17</f>
        <v>15600</v>
      </c>
      <c r="F17" s="11">
        <v>0.06</v>
      </c>
      <c r="G17" s="10">
        <f>Sheet1!G17</f>
        <v>2685.9014336000005</v>
      </c>
      <c r="H17" s="11">
        <v>0.4</v>
      </c>
      <c r="I17" s="10">
        <f>Sheet1!I17</f>
        <v>9</v>
      </c>
      <c r="J17" s="11"/>
      <c r="K17" s="10">
        <v>0</v>
      </c>
      <c r="L17" s="10">
        <v>0</v>
      </c>
    </row>
    <row r="18" spans="1:12" x14ac:dyDescent="0.25">
      <c r="A18" s="7" t="s">
        <v>12</v>
      </c>
      <c r="B18" s="8">
        <f t="shared" si="0"/>
        <v>17</v>
      </c>
      <c r="C18" s="9">
        <v>3</v>
      </c>
      <c r="D18" s="8">
        <v>2021</v>
      </c>
      <c r="E18" s="10">
        <f>Sheet1!E18</f>
        <v>18000</v>
      </c>
      <c r="F18" s="11">
        <v>0.06</v>
      </c>
      <c r="G18" s="10">
        <f>Sheet1!G18</f>
        <v>3240.5984687999999</v>
      </c>
      <c r="H18" s="11">
        <v>0.4</v>
      </c>
      <c r="I18" s="10">
        <f>Sheet1!I18</f>
        <v>14</v>
      </c>
      <c r="J18" s="11"/>
      <c r="K18" s="10">
        <v>0</v>
      </c>
      <c r="L18" s="10">
        <v>0</v>
      </c>
    </row>
    <row r="19" spans="1:12" x14ac:dyDescent="0.25">
      <c r="A19" s="7" t="s">
        <v>12</v>
      </c>
      <c r="B19" s="8">
        <f t="shared" si="0"/>
        <v>18</v>
      </c>
      <c r="C19" s="9">
        <v>3</v>
      </c>
      <c r="D19" s="8">
        <v>2021</v>
      </c>
      <c r="E19" s="10">
        <f>Sheet1!E19</f>
        <v>14400</v>
      </c>
      <c r="F19" s="11">
        <v>0.06</v>
      </c>
      <c r="G19" s="10">
        <f>Sheet1!G19</f>
        <v>2569.1231104000003</v>
      </c>
      <c r="H19" s="11">
        <v>0.4</v>
      </c>
      <c r="I19" s="10">
        <f>Sheet1!I19</f>
        <v>10</v>
      </c>
      <c r="J19" s="11"/>
      <c r="K19" s="10">
        <v>0</v>
      </c>
      <c r="L19" s="10">
        <v>0</v>
      </c>
    </row>
    <row r="20" spans="1:12" x14ac:dyDescent="0.25">
      <c r="A20" s="7" t="s">
        <v>12</v>
      </c>
      <c r="B20" s="8">
        <f t="shared" si="0"/>
        <v>19</v>
      </c>
      <c r="C20" s="9">
        <v>3</v>
      </c>
      <c r="D20" s="8">
        <v>2021</v>
      </c>
      <c r="E20" s="10">
        <f>Sheet1!E20</f>
        <v>14400</v>
      </c>
      <c r="F20" s="11">
        <v>0.06</v>
      </c>
      <c r="G20" s="10">
        <f>Sheet1!G20</f>
        <v>2627.5122720000004</v>
      </c>
      <c r="H20" s="11">
        <v>0.4</v>
      </c>
      <c r="I20" s="10">
        <f>Sheet1!I20</f>
        <v>10</v>
      </c>
      <c r="J20" s="11"/>
      <c r="K20" s="10">
        <v>0</v>
      </c>
      <c r="L20" s="10">
        <v>0</v>
      </c>
    </row>
    <row r="21" spans="1:12" x14ac:dyDescent="0.25">
      <c r="A21" s="7" t="s">
        <v>12</v>
      </c>
      <c r="B21" s="8">
        <f t="shared" si="0"/>
        <v>20</v>
      </c>
      <c r="C21" s="9">
        <v>3</v>
      </c>
      <c r="D21" s="8">
        <v>2021</v>
      </c>
      <c r="E21" s="10">
        <f>Sheet1!E21</f>
        <v>15600</v>
      </c>
      <c r="F21" s="11">
        <v>0.06</v>
      </c>
      <c r="G21" s="10">
        <f>Sheet1!G21</f>
        <v>2802.6797568000006</v>
      </c>
      <c r="H21" s="11">
        <v>0.4</v>
      </c>
      <c r="I21" s="10">
        <f>Sheet1!I21</f>
        <v>12</v>
      </c>
      <c r="J21" s="11"/>
      <c r="K21" s="10">
        <v>0</v>
      </c>
      <c r="L21" s="10">
        <v>0</v>
      </c>
    </row>
    <row r="22" spans="1:12" x14ac:dyDescent="0.25">
      <c r="A22" s="7" t="s">
        <v>12</v>
      </c>
      <c r="B22" s="8">
        <f t="shared" si="0"/>
        <v>21</v>
      </c>
      <c r="C22" s="9">
        <v>3</v>
      </c>
      <c r="D22" s="8">
        <v>2021</v>
      </c>
      <c r="E22" s="10">
        <f>Sheet1!E22</f>
        <v>14400</v>
      </c>
      <c r="F22" s="11">
        <v>0.06</v>
      </c>
      <c r="G22" s="10">
        <f>Sheet1!G22</f>
        <v>2773.4851760000006</v>
      </c>
      <c r="H22" s="11">
        <v>0.4</v>
      </c>
      <c r="I22" s="10">
        <f>Sheet1!I22</f>
        <v>15</v>
      </c>
      <c r="J22" s="11"/>
      <c r="K22" s="10">
        <v>0</v>
      </c>
      <c r="L22" s="10">
        <v>0</v>
      </c>
    </row>
    <row r="23" spans="1:12" x14ac:dyDescent="0.25">
      <c r="A23" s="7" t="s">
        <v>12</v>
      </c>
      <c r="B23" s="8">
        <f t="shared" si="0"/>
        <v>22</v>
      </c>
      <c r="C23" s="9">
        <v>3</v>
      </c>
      <c r="D23" s="8">
        <v>2021</v>
      </c>
      <c r="E23" s="10">
        <f>Sheet1!E23</f>
        <v>15600</v>
      </c>
      <c r="F23" s="11">
        <v>0.06</v>
      </c>
      <c r="G23" s="10">
        <f>Sheet1!G23</f>
        <v>2977.8472416000004</v>
      </c>
      <c r="H23" s="11">
        <v>0.4</v>
      </c>
      <c r="I23" s="10">
        <f>Sheet1!I23</f>
        <v>8</v>
      </c>
      <c r="J23" s="11"/>
      <c r="K23" s="10">
        <v>0</v>
      </c>
      <c r="L23" s="10">
        <v>0</v>
      </c>
    </row>
    <row r="24" spans="1:12" x14ac:dyDescent="0.25">
      <c r="A24" s="7" t="s">
        <v>12</v>
      </c>
      <c r="B24" s="8">
        <f t="shared" si="0"/>
        <v>23</v>
      </c>
      <c r="C24" s="9">
        <v>3</v>
      </c>
      <c r="D24" s="8">
        <v>2021</v>
      </c>
      <c r="E24" s="10">
        <f>Sheet1!E24</f>
        <v>0</v>
      </c>
      <c r="F24" s="11">
        <v>0.06</v>
      </c>
      <c r="G24" s="10">
        <f>Sheet1!G24</f>
        <v>0</v>
      </c>
      <c r="H24" s="11">
        <v>0.4</v>
      </c>
      <c r="I24" s="10">
        <f>Sheet1!I24</f>
        <v>0</v>
      </c>
      <c r="J24" s="11"/>
      <c r="K24" s="10">
        <v>0</v>
      </c>
      <c r="L24" s="10">
        <v>0</v>
      </c>
    </row>
    <row r="25" spans="1:12" x14ac:dyDescent="0.25">
      <c r="A25" s="7" t="s">
        <v>12</v>
      </c>
      <c r="B25" s="8">
        <f t="shared" si="0"/>
        <v>24</v>
      </c>
      <c r="C25" s="9">
        <v>3</v>
      </c>
      <c r="D25" s="8">
        <v>2021</v>
      </c>
      <c r="E25" s="10">
        <f>Sheet1!E25</f>
        <v>0</v>
      </c>
      <c r="F25" s="11">
        <v>0.06</v>
      </c>
      <c r="G25" s="10">
        <f>Sheet1!G25</f>
        <v>0</v>
      </c>
      <c r="H25" s="11">
        <v>0.4</v>
      </c>
      <c r="I25" s="10">
        <f>Sheet1!I25</f>
        <v>0</v>
      </c>
      <c r="J25" s="11"/>
      <c r="K25" s="10">
        <v>0</v>
      </c>
      <c r="L25" s="10">
        <v>0</v>
      </c>
    </row>
    <row r="26" spans="1:12" x14ac:dyDescent="0.25">
      <c r="A26" s="7" t="s">
        <v>12</v>
      </c>
      <c r="B26" s="8">
        <f>B25+1</f>
        <v>25</v>
      </c>
      <c r="C26" s="9">
        <v>3</v>
      </c>
      <c r="D26" s="8">
        <v>2021</v>
      </c>
      <c r="E26" s="10">
        <f>Sheet1!E26</f>
        <v>0</v>
      </c>
      <c r="F26" s="11">
        <v>0.06</v>
      </c>
      <c r="G26" s="10">
        <f>Sheet1!G26</f>
        <v>0</v>
      </c>
      <c r="H26" s="11">
        <v>0.4</v>
      </c>
      <c r="I26" s="10">
        <f>Sheet1!I26</f>
        <v>0</v>
      </c>
      <c r="J26" s="11"/>
      <c r="K26" s="10">
        <v>0</v>
      </c>
      <c r="L26" s="10">
        <v>0</v>
      </c>
    </row>
    <row r="27" spans="1:12" x14ac:dyDescent="0.25">
      <c r="A27" s="7" t="s">
        <v>12</v>
      </c>
      <c r="B27" s="8">
        <f t="shared" si="0"/>
        <v>26</v>
      </c>
      <c r="C27" s="9">
        <v>3</v>
      </c>
      <c r="D27" s="8">
        <v>2021</v>
      </c>
      <c r="E27" s="10">
        <f>Sheet1!E27</f>
        <v>0</v>
      </c>
      <c r="F27" s="11">
        <v>0.06</v>
      </c>
      <c r="G27" s="10">
        <f>Sheet1!G27</f>
        <v>0</v>
      </c>
      <c r="H27" s="11">
        <v>0.4</v>
      </c>
      <c r="I27" s="10">
        <f>Sheet1!I27</f>
        <v>0</v>
      </c>
      <c r="J27" s="11"/>
      <c r="K27" s="10">
        <v>0</v>
      </c>
      <c r="L27" s="10">
        <v>0</v>
      </c>
    </row>
    <row r="28" spans="1:12" x14ac:dyDescent="0.25">
      <c r="A28" s="7" t="s">
        <v>12</v>
      </c>
      <c r="B28" s="8">
        <f t="shared" si="0"/>
        <v>27</v>
      </c>
      <c r="C28" s="9">
        <v>3</v>
      </c>
      <c r="D28" s="8">
        <v>2021</v>
      </c>
      <c r="E28" s="10">
        <f>Sheet1!E28</f>
        <v>0</v>
      </c>
      <c r="F28" s="11">
        <v>0.06</v>
      </c>
      <c r="G28" s="10">
        <f>Sheet1!G28</f>
        <v>0</v>
      </c>
      <c r="H28" s="11">
        <v>0.4</v>
      </c>
      <c r="I28" s="10">
        <f>Sheet1!I28</f>
        <v>0</v>
      </c>
      <c r="J28" s="11"/>
      <c r="K28" s="10">
        <v>0</v>
      </c>
      <c r="L28" s="10">
        <v>0</v>
      </c>
    </row>
    <row r="29" spans="1:12" x14ac:dyDescent="0.25">
      <c r="A29" s="7" t="s">
        <v>12</v>
      </c>
      <c r="B29" s="8">
        <f t="shared" si="0"/>
        <v>28</v>
      </c>
      <c r="C29" s="9">
        <v>3</v>
      </c>
      <c r="D29" s="8">
        <v>2021</v>
      </c>
      <c r="E29" s="10">
        <f>Sheet1!E29</f>
        <v>0</v>
      </c>
      <c r="F29" s="11">
        <v>0.06</v>
      </c>
      <c r="G29" s="10">
        <f>Sheet1!G29</f>
        <v>0</v>
      </c>
      <c r="H29" s="11">
        <v>0.4</v>
      </c>
      <c r="I29" s="10">
        <f>Sheet1!I29</f>
        <v>0</v>
      </c>
      <c r="J29" s="11"/>
      <c r="K29" s="10">
        <v>0</v>
      </c>
      <c r="L29" s="10">
        <v>0</v>
      </c>
    </row>
    <row r="30" spans="1:12" x14ac:dyDescent="0.25">
      <c r="A30" s="7" t="s">
        <v>12</v>
      </c>
      <c r="B30" s="8">
        <f t="shared" si="0"/>
        <v>29</v>
      </c>
      <c r="C30" s="9">
        <v>3</v>
      </c>
      <c r="D30" s="8">
        <v>2021</v>
      </c>
      <c r="E30" s="10">
        <f>Sheet1!E30</f>
        <v>0</v>
      </c>
      <c r="F30" s="11">
        <v>0.06</v>
      </c>
      <c r="G30" s="10">
        <f>Sheet1!G30</f>
        <v>0</v>
      </c>
      <c r="H30" s="11">
        <v>0.4</v>
      </c>
      <c r="I30" s="10">
        <f>Sheet1!I30</f>
        <v>0</v>
      </c>
      <c r="J30" s="11"/>
      <c r="K30" s="10">
        <v>0</v>
      </c>
      <c r="L30" s="10">
        <v>0</v>
      </c>
    </row>
    <row r="31" spans="1:12" x14ac:dyDescent="0.25">
      <c r="A31" s="7" t="s">
        <v>12</v>
      </c>
      <c r="B31" s="8">
        <f t="shared" si="0"/>
        <v>30</v>
      </c>
      <c r="C31" s="9">
        <v>3</v>
      </c>
      <c r="D31" s="8">
        <v>2021</v>
      </c>
      <c r="E31" s="10">
        <f>Sheet1!E31</f>
        <v>0</v>
      </c>
      <c r="F31" s="11">
        <v>0.06</v>
      </c>
      <c r="G31" s="10">
        <f>Sheet1!G31</f>
        <v>0</v>
      </c>
      <c r="H31" s="11">
        <v>0.4</v>
      </c>
      <c r="I31" s="10">
        <f>Sheet1!I31</f>
        <v>0</v>
      </c>
      <c r="J31" s="11"/>
      <c r="K31" s="10">
        <v>0</v>
      </c>
      <c r="L31" s="10">
        <v>0</v>
      </c>
    </row>
    <row r="32" spans="1:12" x14ac:dyDescent="0.25">
      <c r="A32" s="7" t="s">
        <v>12</v>
      </c>
      <c r="B32" s="8">
        <f t="shared" si="0"/>
        <v>31</v>
      </c>
      <c r="C32" s="9">
        <v>3</v>
      </c>
      <c r="D32" s="8">
        <v>2021</v>
      </c>
      <c r="E32" s="10">
        <f>Sheet1!E32</f>
        <v>0</v>
      </c>
      <c r="F32" s="11">
        <v>0.06</v>
      </c>
      <c r="G32" s="10">
        <f>Sheet1!G32</f>
        <v>0</v>
      </c>
      <c r="H32" s="11">
        <v>0.4</v>
      </c>
      <c r="I32" s="10">
        <f>Sheet1!I32</f>
        <v>0</v>
      </c>
      <c r="J32" s="11"/>
      <c r="K32" s="10">
        <v>0</v>
      </c>
      <c r="L32" s="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selection sqref="A1:L32"/>
    </sheetView>
  </sheetViews>
  <sheetFormatPr defaultRowHeight="15" x14ac:dyDescent="0.25"/>
  <sheetData>
    <row r="1" spans="1:12" ht="75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6" t="s">
        <v>10</v>
      </c>
      <c r="L1" s="6" t="s">
        <v>11</v>
      </c>
    </row>
    <row r="2" spans="1:12" x14ac:dyDescent="0.25">
      <c r="A2" s="7" t="s">
        <v>12</v>
      </c>
      <c r="B2" s="8">
        <v>1</v>
      </c>
      <c r="C2" s="9">
        <v>3</v>
      </c>
      <c r="D2" s="8">
        <v>2021</v>
      </c>
      <c r="E2" s="10">
        <f>Sheet2!J4</f>
        <v>12000</v>
      </c>
      <c r="F2" s="11">
        <v>0.06</v>
      </c>
      <c r="G2" s="10">
        <f>Sheet2!H4</f>
        <v>2189.5935600000003</v>
      </c>
      <c r="H2" s="11">
        <v>0.4</v>
      </c>
      <c r="I2" s="10">
        <f>Sheet2!K4</f>
        <v>3</v>
      </c>
      <c r="J2" s="11"/>
      <c r="K2" s="10">
        <v>0</v>
      </c>
      <c r="L2" s="10">
        <v>0</v>
      </c>
    </row>
    <row r="3" spans="1:12" x14ac:dyDescent="0.25">
      <c r="A3" s="7" t="s">
        <v>12</v>
      </c>
      <c r="B3" s="8">
        <f>B2+1</f>
        <v>2</v>
      </c>
      <c r="C3" s="9">
        <v>3</v>
      </c>
      <c r="D3" s="8">
        <v>2021</v>
      </c>
      <c r="E3" s="10">
        <f>Sheet2!J5</f>
        <v>15600</v>
      </c>
      <c r="F3" s="11">
        <v>0.06</v>
      </c>
      <c r="G3" s="10">
        <f>Sheet2!H5</f>
        <v>2802.6797568000006</v>
      </c>
      <c r="H3" s="11">
        <v>0.4</v>
      </c>
      <c r="I3" s="10">
        <f>Sheet2!K5</f>
        <v>1</v>
      </c>
      <c r="J3" s="11"/>
      <c r="K3" s="10">
        <v>0</v>
      </c>
      <c r="L3" s="10">
        <v>0</v>
      </c>
    </row>
    <row r="4" spans="1:12" x14ac:dyDescent="0.25">
      <c r="A4" s="7" t="s">
        <v>12</v>
      </c>
      <c r="B4" s="8">
        <f t="shared" ref="B4:B32" si="0">B3+1</f>
        <v>3</v>
      </c>
      <c r="C4" s="9">
        <v>3</v>
      </c>
      <c r="D4" s="8">
        <v>2021</v>
      </c>
      <c r="E4" s="10">
        <f>Sheet2!J6</f>
        <v>14400</v>
      </c>
      <c r="F4" s="11">
        <v>0.06</v>
      </c>
      <c r="G4" s="10">
        <f>Sheet2!H6</f>
        <v>2773.4851760000006</v>
      </c>
      <c r="H4" s="11">
        <v>0.4</v>
      </c>
      <c r="I4" s="10">
        <f>Sheet2!K6</f>
        <v>3</v>
      </c>
      <c r="J4" s="11"/>
      <c r="K4" s="10">
        <v>0</v>
      </c>
      <c r="L4" s="10">
        <v>0</v>
      </c>
    </row>
    <row r="5" spans="1:12" x14ac:dyDescent="0.25">
      <c r="A5" s="7" t="s">
        <v>12</v>
      </c>
      <c r="B5" s="8">
        <f t="shared" si="0"/>
        <v>4</v>
      </c>
      <c r="C5" s="9">
        <v>3</v>
      </c>
      <c r="D5" s="8">
        <v>2021</v>
      </c>
      <c r="E5" s="10">
        <f>Sheet2!J7</f>
        <v>14400</v>
      </c>
      <c r="F5" s="11">
        <v>0.06</v>
      </c>
      <c r="G5" s="10">
        <f>Sheet2!H7</f>
        <v>2773.4851760000006</v>
      </c>
      <c r="H5" s="11">
        <v>0.4</v>
      </c>
      <c r="I5" s="10">
        <f>Sheet2!K7</f>
        <v>6</v>
      </c>
      <c r="J5" s="11"/>
      <c r="K5" s="10">
        <v>0</v>
      </c>
      <c r="L5" s="10">
        <v>0</v>
      </c>
    </row>
    <row r="6" spans="1:12" x14ac:dyDescent="0.25">
      <c r="A6" s="7" t="s">
        <v>12</v>
      </c>
      <c r="B6" s="8">
        <f t="shared" si="0"/>
        <v>5</v>
      </c>
      <c r="C6" s="9">
        <v>3</v>
      </c>
      <c r="D6" s="8">
        <v>2021</v>
      </c>
      <c r="E6" s="10">
        <f>Sheet2!J8</f>
        <v>16800</v>
      </c>
      <c r="F6" s="11">
        <v>0.06</v>
      </c>
      <c r="G6" s="10">
        <f>Sheet2!H8</f>
        <v>3240.5984687999999</v>
      </c>
      <c r="H6" s="11">
        <v>0.4</v>
      </c>
      <c r="I6" s="10">
        <f>Sheet2!K8</f>
        <v>7</v>
      </c>
      <c r="J6" s="11"/>
      <c r="K6" s="10">
        <v>0</v>
      </c>
      <c r="L6" s="10">
        <v>0</v>
      </c>
    </row>
    <row r="7" spans="1:12" x14ac:dyDescent="0.25">
      <c r="A7" s="7" t="s">
        <v>12</v>
      </c>
      <c r="B7" s="8">
        <f t="shared" si="0"/>
        <v>6</v>
      </c>
      <c r="C7" s="9">
        <v>3</v>
      </c>
      <c r="D7" s="8">
        <v>2021</v>
      </c>
      <c r="E7" s="10">
        <f>Sheet2!J9</f>
        <v>15600</v>
      </c>
      <c r="F7" s="11">
        <v>0.06</v>
      </c>
      <c r="G7" s="10">
        <f>Sheet2!H9</f>
        <v>3007.0418224000005</v>
      </c>
      <c r="H7" s="11">
        <v>0.4</v>
      </c>
      <c r="I7" s="10">
        <f>Sheet2!K9</f>
        <v>7</v>
      </c>
      <c r="J7" s="11"/>
      <c r="K7" s="10">
        <v>0</v>
      </c>
      <c r="L7" s="10">
        <v>0</v>
      </c>
    </row>
    <row r="8" spans="1:12" x14ac:dyDescent="0.25">
      <c r="A8" s="7" t="s">
        <v>12</v>
      </c>
      <c r="B8" s="8">
        <f t="shared" si="0"/>
        <v>7</v>
      </c>
      <c r="C8" s="9">
        <v>3</v>
      </c>
      <c r="D8" s="8">
        <v>2021</v>
      </c>
      <c r="E8" s="10">
        <f>Sheet2!J10</f>
        <v>15600</v>
      </c>
      <c r="F8" s="11">
        <v>0.06</v>
      </c>
      <c r="G8" s="10">
        <f>Sheet2!H10</f>
        <v>4700.3275088000009</v>
      </c>
      <c r="H8" s="11">
        <v>0.4</v>
      </c>
      <c r="I8" s="10">
        <f>Sheet2!K10</f>
        <v>3.5</v>
      </c>
      <c r="J8" s="11"/>
      <c r="K8" s="10">
        <v>0</v>
      </c>
      <c r="L8" s="10">
        <v>0</v>
      </c>
    </row>
    <row r="9" spans="1:12" x14ac:dyDescent="0.25">
      <c r="A9" s="7" t="s">
        <v>12</v>
      </c>
      <c r="B9" s="8">
        <f t="shared" si="0"/>
        <v>8</v>
      </c>
      <c r="C9" s="9">
        <v>3</v>
      </c>
      <c r="D9" s="8">
        <v>2021</v>
      </c>
      <c r="E9" s="10">
        <f>Sheet2!J11</f>
        <v>13200</v>
      </c>
      <c r="F9" s="11">
        <v>0.06</v>
      </c>
      <c r="G9" s="10">
        <f>Sheet2!H11</f>
        <v>846.64284320000013</v>
      </c>
      <c r="H9" s="11">
        <v>0.4</v>
      </c>
      <c r="I9" s="10">
        <f>Sheet2!K11</f>
        <v>6.5</v>
      </c>
      <c r="J9" s="11"/>
      <c r="K9" s="10">
        <v>0</v>
      </c>
      <c r="L9" s="10">
        <v>0</v>
      </c>
    </row>
    <row r="10" spans="1:12" x14ac:dyDescent="0.25">
      <c r="A10" s="7" t="s">
        <v>12</v>
      </c>
      <c r="B10" s="8">
        <f t="shared" si="0"/>
        <v>9</v>
      </c>
      <c r="C10" s="9">
        <v>3</v>
      </c>
      <c r="D10" s="8">
        <v>2021</v>
      </c>
      <c r="E10" s="10">
        <f>Sheet2!J12</f>
        <v>15600</v>
      </c>
      <c r="F10" s="11">
        <v>0.06</v>
      </c>
      <c r="G10" s="10">
        <f>Sheet2!H12</f>
        <v>3007.0418224000005</v>
      </c>
      <c r="H10" s="11">
        <v>0.4</v>
      </c>
      <c r="I10" s="10">
        <f>Sheet2!K12</f>
        <v>3</v>
      </c>
      <c r="J10" s="11"/>
      <c r="K10" s="10">
        <v>0</v>
      </c>
      <c r="L10" s="10">
        <v>0</v>
      </c>
    </row>
    <row r="11" spans="1:12" x14ac:dyDescent="0.25">
      <c r="A11" s="7" t="s">
        <v>12</v>
      </c>
      <c r="B11" s="8">
        <f t="shared" si="0"/>
        <v>10</v>
      </c>
      <c r="C11" s="9">
        <v>3</v>
      </c>
      <c r="D11" s="8">
        <v>2021</v>
      </c>
      <c r="E11" s="10">
        <f>Sheet2!J13</f>
        <v>15600</v>
      </c>
      <c r="F11" s="11">
        <v>0.06</v>
      </c>
      <c r="G11" s="10">
        <f>Sheet2!H13</f>
        <v>2773.4851760000006</v>
      </c>
      <c r="H11" s="11">
        <v>0.4</v>
      </c>
      <c r="I11" s="10">
        <f>Sheet2!K13</f>
        <v>4</v>
      </c>
      <c r="J11" s="11"/>
      <c r="K11" s="10">
        <v>0</v>
      </c>
      <c r="L11" s="10">
        <v>0</v>
      </c>
    </row>
    <row r="12" spans="1:12" x14ac:dyDescent="0.25">
      <c r="A12" s="7" t="s">
        <v>12</v>
      </c>
      <c r="B12" s="8">
        <f t="shared" si="0"/>
        <v>11</v>
      </c>
      <c r="C12" s="9">
        <v>3</v>
      </c>
      <c r="D12" s="8">
        <v>2021</v>
      </c>
      <c r="E12" s="10">
        <f>Sheet2!J14</f>
        <v>14400</v>
      </c>
      <c r="F12" s="11">
        <v>0.06</v>
      </c>
      <c r="G12" s="10">
        <f>Sheet2!H14</f>
        <v>2831.8743376000002</v>
      </c>
      <c r="H12" s="11">
        <v>0.4</v>
      </c>
      <c r="I12" s="10">
        <f>Sheet2!K14</f>
        <v>2</v>
      </c>
      <c r="J12" s="11"/>
      <c r="K12" s="10">
        <v>0</v>
      </c>
      <c r="L12" s="10">
        <v>0</v>
      </c>
    </row>
    <row r="13" spans="1:12" x14ac:dyDescent="0.25">
      <c r="A13" s="7" t="s">
        <v>12</v>
      </c>
      <c r="B13" s="8">
        <f t="shared" si="0"/>
        <v>12</v>
      </c>
      <c r="C13" s="9">
        <v>3</v>
      </c>
      <c r="D13" s="8">
        <v>2021</v>
      </c>
      <c r="E13" s="10">
        <f>Sheet2!J15</f>
        <v>16800</v>
      </c>
      <c r="F13" s="11">
        <v>0.06</v>
      </c>
      <c r="G13" s="10">
        <f>Sheet2!H15</f>
        <v>3328.1822112000004</v>
      </c>
      <c r="H13" s="11">
        <v>0.4</v>
      </c>
      <c r="I13" s="10">
        <f>Sheet2!K15</f>
        <v>7</v>
      </c>
      <c r="J13" s="11"/>
      <c r="K13" s="10">
        <v>0</v>
      </c>
      <c r="L13" s="10">
        <v>0</v>
      </c>
    </row>
    <row r="14" spans="1:12" x14ac:dyDescent="0.25">
      <c r="A14" s="7" t="s">
        <v>12</v>
      </c>
      <c r="B14" s="8">
        <f t="shared" si="0"/>
        <v>13</v>
      </c>
      <c r="C14" s="9">
        <v>3</v>
      </c>
      <c r="D14" s="8">
        <v>2021</v>
      </c>
      <c r="E14" s="10">
        <f>Sheet2!J16</f>
        <v>16800</v>
      </c>
      <c r="F14" s="11">
        <v>0.06</v>
      </c>
      <c r="G14" s="10">
        <f>Sheet2!H16</f>
        <v>2656.7068528000004</v>
      </c>
      <c r="H14" s="11">
        <v>0.4</v>
      </c>
      <c r="I14" s="10">
        <f>Sheet2!K16</f>
        <v>4</v>
      </c>
      <c r="J14" s="11"/>
      <c r="K14" s="10">
        <v>0</v>
      </c>
      <c r="L14" s="10">
        <v>0</v>
      </c>
    </row>
    <row r="15" spans="1:12" x14ac:dyDescent="0.25">
      <c r="A15" s="7" t="s">
        <v>12</v>
      </c>
      <c r="B15" s="8">
        <f t="shared" si="0"/>
        <v>14</v>
      </c>
      <c r="C15" s="9">
        <v>3</v>
      </c>
      <c r="D15" s="8">
        <v>2021</v>
      </c>
      <c r="E15" s="10">
        <f>Sheet2!J17</f>
        <v>14400</v>
      </c>
      <c r="F15" s="11">
        <v>0.06</v>
      </c>
      <c r="G15" s="10">
        <f>Sheet2!H17</f>
        <v>2335.566464</v>
      </c>
      <c r="H15" s="11">
        <v>0.4</v>
      </c>
      <c r="I15" s="10">
        <f>Sheet2!K17</f>
        <v>7</v>
      </c>
      <c r="J15" s="11"/>
      <c r="K15" s="10">
        <v>0</v>
      </c>
      <c r="L15" s="10">
        <v>0</v>
      </c>
    </row>
    <row r="16" spans="1:12" x14ac:dyDescent="0.25">
      <c r="A16" s="7" t="s">
        <v>12</v>
      </c>
      <c r="B16" s="8">
        <f t="shared" si="0"/>
        <v>15</v>
      </c>
      <c r="C16" s="9">
        <v>3</v>
      </c>
      <c r="D16" s="8">
        <v>2021</v>
      </c>
      <c r="E16" s="10">
        <f>Sheet2!J18</f>
        <v>13200</v>
      </c>
      <c r="F16" s="11">
        <v>0.06</v>
      </c>
      <c r="G16" s="10">
        <f>Sheet2!H18</f>
        <v>2627.5122720000004</v>
      </c>
      <c r="H16" s="11">
        <v>0.4</v>
      </c>
      <c r="I16" s="10">
        <f>Sheet2!K18</f>
        <v>6</v>
      </c>
      <c r="J16" s="11"/>
      <c r="K16" s="10">
        <v>0</v>
      </c>
      <c r="L16" s="10">
        <v>0</v>
      </c>
    </row>
    <row r="17" spans="1:12" x14ac:dyDescent="0.25">
      <c r="A17" s="7" t="s">
        <v>12</v>
      </c>
      <c r="B17" s="8">
        <f t="shared" si="0"/>
        <v>16</v>
      </c>
      <c r="C17" s="9">
        <v>3</v>
      </c>
      <c r="D17" s="8">
        <v>2021</v>
      </c>
      <c r="E17" s="10">
        <f>Sheet2!J19</f>
        <v>15600</v>
      </c>
      <c r="F17" s="11">
        <v>0.06</v>
      </c>
      <c r="G17" s="10">
        <f>Sheet2!H19</f>
        <v>2685.9014336000005</v>
      </c>
      <c r="H17" s="11">
        <v>0.4</v>
      </c>
      <c r="I17" s="10">
        <f>Sheet2!K19</f>
        <v>9</v>
      </c>
      <c r="J17" s="11"/>
      <c r="K17" s="10">
        <v>0</v>
      </c>
      <c r="L17" s="10">
        <v>0</v>
      </c>
    </row>
    <row r="18" spans="1:12" x14ac:dyDescent="0.25">
      <c r="A18" s="7" t="s">
        <v>12</v>
      </c>
      <c r="B18" s="8">
        <f t="shared" si="0"/>
        <v>17</v>
      </c>
      <c r="C18" s="9">
        <v>3</v>
      </c>
      <c r="D18" s="8">
        <v>2021</v>
      </c>
      <c r="E18" s="10">
        <f>Sheet2!J20</f>
        <v>18000</v>
      </c>
      <c r="F18" s="11">
        <v>0.06</v>
      </c>
      <c r="G18" s="10">
        <f>Sheet2!H20</f>
        <v>3240.5984687999999</v>
      </c>
      <c r="H18" s="11">
        <v>0.4</v>
      </c>
      <c r="I18" s="10">
        <f>Sheet2!K20</f>
        <v>14</v>
      </c>
      <c r="J18" s="11"/>
      <c r="K18" s="10">
        <v>0</v>
      </c>
      <c r="L18" s="10">
        <v>0</v>
      </c>
    </row>
    <row r="19" spans="1:12" x14ac:dyDescent="0.25">
      <c r="A19" s="7" t="s">
        <v>12</v>
      </c>
      <c r="B19" s="8">
        <f t="shared" si="0"/>
        <v>18</v>
      </c>
      <c r="C19" s="9">
        <v>3</v>
      </c>
      <c r="D19" s="8">
        <v>2021</v>
      </c>
      <c r="E19" s="10">
        <f>Sheet2!J21</f>
        <v>14400</v>
      </c>
      <c r="F19" s="11">
        <v>0.06</v>
      </c>
      <c r="G19" s="10">
        <f>Sheet2!H21</f>
        <v>2569.1231104000003</v>
      </c>
      <c r="H19" s="11">
        <v>0.4</v>
      </c>
      <c r="I19" s="10">
        <f>Sheet2!K21</f>
        <v>10</v>
      </c>
      <c r="J19" s="11"/>
      <c r="K19" s="10">
        <v>0</v>
      </c>
      <c r="L19" s="10">
        <v>0</v>
      </c>
    </row>
    <row r="20" spans="1:12" x14ac:dyDescent="0.25">
      <c r="A20" s="7" t="s">
        <v>12</v>
      </c>
      <c r="B20" s="8">
        <f t="shared" si="0"/>
        <v>19</v>
      </c>
      <c r="C20" s="9">
        <v>3</v>
      </c>
      <c r="D20" s="8">
        <v>2021</v>
      </c>
      <c r="E20" s="10">
        <f>Sheet2!J22</f>
        <v>14400</v>
      </c>
      <c r="F20" s="11">
        <v>0.06</v>
      </c>
      <c r="G20" s="10">
        <f>Sheet2!H22</f>
        <v>2627.5122720000004</v>
      </c>
      <c r="H20" s="11">
        <v>0.4</v>
      </c>
      <c r="I20" s="10">
        <f>Sheet2!K22</f>
        <v>10</v>
      </c>
      <c r="J20" s="11"/>
      <c r="K20" s="10">
        <v>0</v>
      </c>
      <c r="L20" s="10">
        <v>0</v>
      </c>
    </row>
    <row r="21" spans="1:12" x14ac:dyDescent="0.25">
      <c r="A21" s="7" t="s">
        <v>12</v>
      </c>
      <c r="B21" s="8">
        <f t="shared" si="0"/>
        <v>20</v>
      </c>
      <c r="C21" s="9">
        <v>3</v>
      </c>
      <c r="D21" s="8">
        <v>2021</v>
      </c>
      <c r="E21" s="10">
        <f>Sheet2!J23</f>
        <v>15600</v>
      </c>
      <c r="F21" s="11">
        <v>0.06</v>
      </c>
      <c r="G21" s="10">
        <f>Sheet2!H23</f>
        <v>2802.6797568000006</v>
      </c>
      <c r="H21" s="11">
        <v>0.4</v>
      </c>
      <c r="I21" s="10">
        <f>Sheet2!K23</f>
        <v>12</v>
      </c>
      <c r="J21" s="11"/>
      <c r="K21" s="10">
        <v>0</v>
      </c>
      <c r="L21" s="10">
        <v>0</v>
      </c>
    </row>
    <row r="22" spans="1:12" x14ac:dyDescent="0.25">
      <c r="A22" s="7" t="s">
        <v>12</v>
      </c>
      <c r="B22" s="8">
        <f t="shared" si="0"/>
        <v>21</v>
      </c>
      <c r="C22" s="9">
        <v>3</v>
      </c>
      <c r="D22" s="8">
        <v>2021</v>
      </c>
      <c r="E22" s="10">
        <f>Sheet2!J24</f>
        <v>14400</v>
      </c>
      <c r="F22" s="11">
        <v>0.06</v>
      </c>
      <c r="G22" s="10">
        <f>Sheet2!H24</f>
        <v>2773.4851760000006</v>
      </c>
      <c r="H22" s="11">
        <v>0.4</v>
      </c>
      <c r="I22" s="10">
        <f>Sheet2!K24</f>
        <v>15</v>
      </c>
      <c r="J22" s="11"/>
      <c r="K22" s="10">
        <v>0</v>
      </c>
      <c r="L22" s="10">
        <v>0</v>
      </c>
    </row>
    <row r="23" spans="1:12" x14ac:dyDescent="0.25">
      <c r="A23" s="7" t="s">
        <v>12</v>
      </c>
      <c r="B23" s="8">
        <f t="shared" si="0"/>
        <v>22</v>
      </c>
      <c r="C23" s="9">
        <v>3</v>
      </c>
      <c r="D23" s="8">
        <v>2021</v>
      </c>
      <c r="E23" s="10">
        <f>Sheet2!J25</f>
        <v>15600</v>
      </c>
      <c r="F23" s="11">
        <v>0.06</v>
      </c>
      <c r="G23" s="10">
        <f>Sheet2!H25</f>
        <v>2977.8472416000004</v>
      </c>
      <c r="H23" s="11">
        <v>0.4</v>
      </c>
      <c r="I23" s="10">
        <f>Sheet2!K25</f>
        <v>8</v>
      </c>
      <c r="J23" s="11"/>
      <c r="K23" s="10">
        <v>0</v>
      </c>
      <c r="L23" s="10">
        <v>0</v>
      </c>
    </row>
    <row r="24" spans="1:12" x14ac:dyDescent="0.25">
      <c r="A24" s="7" t="s">
        <v>12</v>
      </c>
      <c r="B24" s="8">
        <f t="shared" si="0"/>
        <v>23</v>
      </c>
      <c r="C24" s="9">
        <v>3</v>
      </c>
      <c r="D24" s="8">
        <v>2021</v>
      </c>
      <c r="E24" s="10">
        <f>Sheet2!J26</f>
        <v>0</v>
      </c>
      <c r="F24" s="11">
        <v>0.06</v>
      </c>
      <c r="G24" s="10">
        <f>Sheet2!H26</f>
        <v>0</v>
      </c>
      <c r="H24" s="11">
        <v>0.4</v>
      </c>
      <c r="I24" s="10">
        <f>Sheet2!K26</f>
        <v>0</v>
      </c>
      <c r="J24" s="11"/>
      <c r="K24" s="10">
        <v>0</v>
      </c>
      <c r="L24" s="10">
        <v>0</v>
      </c>
    </row>
    <row r="25" spans="1:12" x14ac:dyDescent="0.25">
      <c r="A25" s="7" t="s">
        <v>12</v>
      </c>
      <c r="B25" s="8">
        <f t="shared" si="0"/>
        <v>24</v>
      </c>
      <c r="C25" s="9">
        <v>3</v>
      </c>
      <c r="D25" s="8">
        <v>2021</v>
      </c>
      <c r="E25" s="10">
        <f>Sheet2!J27</f>
        <v>0</v>
      </c>
      <c r="F25" s="11">
        <v>0.06</v>
      </c>
      <c r="G25" s="10">
        <f>Sheet2!H27</f>
        <v>0</v>
      </c>
      <c r="H25" s="11">
        <v>0.4</v>
      </c>
      <c r="I25" s="10">
        <f>Sheet2!K27</f>
        <v>0</v>
      </c>
      <c r="J25" s="11"/>
      <c r="K25" s="10">
        <v>0</v>
      </c>
      <c r="L25" s="10">
        <v>0</v>
      </c>
    </row>
    <row r="26" spans="1:12" x14ac:dyDescent="0.25">
      <c r="A26" s="7" t="s">
        <v>12</v>
      </c>
      <c r="B26" s="8">
        <f>B25+1</f>
        <v>25</v>
      </c>
      <c r="C26" s="9">
        <v>3</v>
      </c>
      <c r="D26" s="8">
        <v>2021</v>
      </c>
      <c r="E26" s="10">
        <f>Sheet2!J28</f>
        <v>0</v>
      </c>
      <c r="F26" s="11">
        <v>0.06</v>
      </c>
      <c r="G26" s="10">
        <f>Sheet2!H28</f>
        <v>0</v>
      </c>
      <c r="H26" s="11">
        <v>0.4</v>
      </c>
      <c r="I26" s="10">
        <f>Sheet2!K28</f>
        <v>0</v>
      </c>
      <c r="J26" s="11"/>
      <c r="K26" s="10">
        <v>0</v>
      </c>
      <c r="L26" s="10">
        <v>0</v>
      </c>
    </row>
    <row r="27" spans="1:12" x14ac:dyDescent="0.25">
      <c r="A27" s="7" t="s">
        <v>12</v>
      </c>
      <c r="B27" s="8">
        <f t="shared" si="0"/>
        <v>26</v>
      </c>
      <c r="C27" s="9">
        <v>3</v>
      </c>
      <c r="D27" s="8">
        <v>2021</v>
      </c>
      <c r="E27" s="10">
        <f>Sheet2!J29</f>
        <v>0</v>
      </c>
      <c r="F27" s="11">
        <v>0.06</v>
      </c>
      <c r="G27" s="10">
        <f>Sheet2!H29</f>
        <v>0</v>
      </c>
      <c r="H27" s="11">
        <v>0.4</v>
      </c>
      <c r="I27" s="10">
        <f>Sheet2!K29</f>
        <v>0</v>
      </c>
      <c r="J27" s="11"/>
      <c r="K27" s="10">
        <v>0</v>
      </c>
      <c r="L27" s="10">
        <v>0</v>
      </c>
    </row>
    <row r="28" spans="1:12" x14ac:dyDescent="0.25">
      <c r="A28" s="7" t="s">
        <v>12</v>
      </c>
      <c r="B28" s="8">
        <f t="shared" si="0"/>
        <v>27</v>
      </c>
      <c r="C28" s="9">
        <v>3</v>
      </c>
      <c r="D28" s="8">
        <v>2021</v>
      </c>
      <c r="E28" s="10">
        <f>Sheet2!J30</f>
        <v>0</v>
      </c>
      <c r="F28" s="11">
        <v>0.06</v>
      </c>
      <c r="G28" s="10">
        <f>Sheet2!H30</f>
        <v>0</v>
      </c>
      <c r="H28" s="11">
        <v>0.4</v>
      </c>
      <c r="I28" s="10">
        <f>Sheet2!K30</f>
        <v>0</v>
      </c>
      <c r="J28" s="11"/>
      <c r="K28" s="10">
        <v>0</v>
      </c>
      <c r="L28" s="10">
        <v>0</v>
      </c>
    </row>
    <row r="29" spans="1:12" x14ac:dyDescent="0.25">
      <c r="A29" s="7" t="s">
        <v>12</v>
      </c>
      <c r="B29" s="8">
        <f t="shared" si="0"/>
        <v>28</v>
      </c>
      <c r="C29" s="9">
        <v>3</v>
      </c>
      <c r="D29" s="8">
        <v>2021</v>
      </c>
      <c r="E29" s="10">
        <f>Sheet2!J31</f>
        <v>0</v>
      </c>
      <c r="F29" s="11">
        <v>0.06</v>
      </c>
      <c r="G29" s="10">
        <f>Sheet2!H31</f>
        <v>0</v>
      </c>
      <c r="H29" s="11">
        <v>0.4</v>
      </c>
      <c r="I29" s="10">
        <f>Sheet2!K31</f>
        <v>0</v>
      </c>
      <c r="J29" s="11"/>
      <c r="K29" s="10">
        <v>0</v>
      </c>
      <c r="L29" s="10">
        <v>0</v>
      </c>
    </row>
    <row r="30" spans="1:12" x14ac:dyDescent="0.25">
      <c r="A30" s="7" t="s">
        <v>12</v>
      </c>
      <c r="B30" s="8">
        <f t="shared" si="0"/>
        <v>29</v>
      </c>
      <c r="C30" s="9">
        <v>3</v>
      </c>
      <c r="D30" s="8">
        <v>2021</v>
      </c>
      <c r="E30" s="10">
        <f>Sheet2!J32</f>
        <v>0</v>
      </c>
      <c r="F30" s="11">
        <v>0.06</v>
      </c>
      <c r="G30" s="10">
        <f>Sheet2!H32</f>
        <v>0</v>
      </c>
      <c r="H30" s="11">
        <v>0.4</v>
      </c>
      <c r="I30" s="10">
        <f>Sheet2!K32</f>
        <v>0</v>
      </c>
      <c r="J30" s="11"/>
      <c r="K30" s="10">
        <v>0</v>
      </c>
      <c r="L30" s="10">
        <v>0</v>
      </c>
    </row>
    <row r="31" spans="1:12" x14ac:dyDescent="0.25">
      <c r="A31" s="7" t="s">
        <v>12</v>
      </c>
      <c r="B31" s="8">
        <f t="shared" si="0"/>
        <v>30</v>
      </c>
      <c r="C31" s="9">
        <v>3</v>
      </c>
      <c r="D31" s="8">
        <v>2021</v>
      </c>
      <c r="E31" s="10">
        <f>Sheet2!J33</f>
        <v>0</v>
      </c>
      <c r="F31" s="11">
        <v>0.06</v>
      </c>
      <c r="G31" s="10">
        <f>Sheet2!H33</f>
        <v>0</v>
      </c>
      <c r="H31" s="11">
        <v>0.4</v>
      </c>
      <c r="I31" s="10">
        <f>Sheet2!K33</f>
        <v>0</v>
      </c>
      <c r="J31" s="11"/>
      <c r="K31" s="10">
        <v>0</v>
      </c>
      <c r="L31" s="10">
        <v>0</v>
      </c>
    </row>
    <row r="32" spans="1:12" x14ac:dyDescent="0.25">
      <c r="A32" s="7" t="s">
        <v>12</v>
      </c>
      <c r="B32" s="8">
        <f t="shared" si="0"/>
        <v>31</v>
      </c>
      <c r="C32" s="9">
        <v>3</v>
      </c>
      <c r="D32" s="8">
        <v>2021</v>
      </c>
      <c r="E32" s="10">
        <f>Sheet2!J34</f>
        <v>0</v>
      </c>
      <c r="F32" s="11">
        <v>0.06</v>
      </c>
      <c r="G32" s="10">
        <f>Sheet2!H34</f>
        <v>0</v>
      </c>
      <c r="H32" s="11">
        <v>0.4</v>
      </c>
      <c r="I32" s="10">
        <f>Sheet2!K34</f>
        <v>0</v>
      </c>
      <c r="J32" s="11"/>
      <c r="K32" s="10">
        <v>0</v>
      </c>
      <c r="L32" s="1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35"/>
  <sheetViews>
    <sheetView workbookViewId="0">
      <selection activeCell="L7" sqref="L7"/>
    </sheetView>
  </sheetViews>
  <sheetFormatPr defaultRowHeight="15" x14ac:dyDescent="0.25"/>
  <cols>
    <col min="11" max="11" width="11" bestFit="1" customWidth="1"/>
  </cols>
  <sheetData>
    <row r="1" spans="1:13" x14ac:dyDescent="0.25">
      <c r="C1" s="12"/>
      <c r="D1" s="13" t="s">
        <v>13</v>
      </c>
      <c r="E1" s="13"/>
      <c r="F1" s="13"/>
      <c r="G1" s="13" t="s">
        <v>14</v>
      </c>
      <c r="H1" s="13"/>
      <c r="I1" s="13"/>
      <c r="J1" s="13"/>
      <c r="K1" s="13"/>
    </row>
    <row r="2" spans="1:13" ht="60.75" thickBot="1" x14ac:dyDescent="0.3">
      <c r="A2" s="14" t="s">
        <v>1</v>
      </c>
      <c r="B2" s="15" t="s">
        <v>2</v>
      </c>
      <c r="C2" s="15" t="s">
        <v>3</v>
      </c>
      <c r="D2" s="16" t="s">
        <v>15</v>
      </c>
      <c r="E2" s="17" t="s">
        <v>16</v>
      </c>
      <c r="F2" s="16" t="s">
        <v>17</v>
      </c>
      <c r="G2" s="16" t="s">
        <v>15</v>
      </c>
      <c r="H2" s="16" t="s">
        <v>18</v>
      </c>
      <c r="I2" s="17" t="s">
        <v>16</v>
      </c>
      <c r="J2" s="17" t="s">
        <v>19</v>
      </c>
      <c r="K2" s="16" t="s">
        <v>17</v>
      </c>
      <c r="L2" s="16" t="s">
        <v>10</v>
      </c>
      <c r="M2" s="16" t="s">
        <v>11</v>
      </c>
    </row>
    <row r="3" spans="1:13" x14ac:dyDescent="0.25">
      <c r="A3" s="18" t="s">
        <v>20</v>
      </c>
      <c r="B3" s="18"/>
      <c r="C3" s="18"/>
      <c r="D3" s="19">
        <v>150678</v>
      </c>
      <c r="E3" s="19">
        <v>45176</v>
      </c>
      <c r="F3" s="20">
        <v>98211</v>
      </c>
      <c r="G3" s="21"/>
      <c r="H3" s="21"/>
      <c r="I3" s="22"/>
      <c r="J3" s="22"/>
      <c r="K3" s="21"/>
      <c r="L3" s="10">
        <v>0</v>
      </c>
      <c r="M3" s="10">
        <v>0</v>
      </c>
    </row>
    <row r="4" spans="1:13" x14ac:dyDescent="0.25">
      <c r="A4" s="23">
        <v>1</v>
      </c>
      <c r="B4" s="24">
        <v>3</v>
      </c>
      <c r="C4" s="23">
        <v>2021</v>
      </c>
      <c r="D4" s="19">
        <v>150753</v>
      </c>
      <c r="E4" s="19">
        <v>45186</v>
      </c>
      <c r="F4" s="20">
        <v>98214</v>
      </c>
      <c r="G4" s="25">
        <f>IF(D4,SUM(D4-(LOOKUP(2,1/(D3:D3&lt;&gt;""),D3:D3))),0)</f>
        <v>75</v>
      </c>
      <c r="H4" s="26">
        <f>IF(G4,SUM((G4*1.153936)*25.3),0)</f>
        <v>2189.5935600000003</v>
      </c>
      <c r="I4" s="27">
        <f>IF(E4,SUM(E4-(LOOKUP(2,1/(E3:E3&lt;&gt;""),E3:E3))),0)</f>
        <v>10</v>
      </c>
      <c r="J4" s="28">
        <f>SUM(I4*1200)</f>
        <v>12000</v>
      </c>
      <c r="K4" s="29">
        <f>IF(F4,SUM(F4-(LOOKUP(2,1/(F3:F3&lt;&gt;""),F3:F3))),0)</f>
        <v>3</v>
      </c>
      <c r="L4" s="10">
        <v>0</v>
      </c>
      <c r="M4" s="10">
        <v>0</v>
      </c>
    </row>
    <row r="5" spans="1:13" x14ac:dyDescent="0.25">
      <c r="A5" s="30">
        <v>2</v>
      </c>
      <c r="B5" s="30">
        <v>3</v>
      </c>
      <c r="C5" s="30">
        <v>2021</v>
      </c>
      <c r="D5" s="19">
        <v>150849</v>
      </c>
      <c r="E5" s="19">
        <v>45199</v>
      </c>
      <c r="F5" s="20">
        <v>98215</v>
      </c>
      <c r="G5" s="25">
        <f>IF(D5,SUM(D5-(LOOKUP(2,1/(D3:D4&lt;&gt;""),D3:D4))),0)</f>
        <v>96</v>
      </c>
      <c r="H5" s="26">
        <f t="shared" ref="H5:H34" si="0">IF(G5,SUM((G5*1.153936)*25.3),0)</f>
        <v>2802.6797568000006</v>
      </c>
      <c r="I5" s="27">
        <f>IF(E5,SUM(E5-(LOOKUP(2,1/(E3:E4&lt;&gt;""),E3:E4))),0)</f>
        <v>13</v>
      </c>
      <c r="J5" s="28">
        <f t="shared" ref="J5:J34" si="1">SUM(I5*1200)</f>
        <v>15600</v>
      </c>
      <c r="K5" s="29">
        <f>IF(F5,SUM(F5-(LOOKUP(2,1/(F3:F4&lt;&gt;""),F3:F4))),0)</f>
        <v>1</v>
      </c>
      <c r="L5" s="10">
        <v>0</v>
      </c>
      <c r="M5" s="10">
        <v>0</v>
      </c>
    </row>
    <row r="6" spans="1:13" x14ac:dyDescent="0.25">
      <c r="A6" s="30">
        <v>3</v>
      </c>
      <c r="B6" s="24">
        <v>3</v>
      </c>
      <c r="C6" s="30">
        <v>2021</v>
      </c>
      <c r="D6" s="19">
        <v>150944</v>
      </c>
      <c r="E6" s="19">
        <v>45211</v>
      </c>
      <c r="F6" s="20">
        <v>98218</v>
      </c>
      <c r="G6" s="25">
        <f>IF(D6,SUM(D6-(LOOKUP(2,1/(D3:D5&lt;&gt;""),D3:D5))),0)</f>
        <v>95</v>
      </c>
      <c r="H6" s="26">
        <f t="shared" si="0"/>
        <v>2773.4851760000006</v>
      </c>
      <c r="I6" s="27">
        <f>IF(E6,SUM(E6-(LOOKUP(2,1/(E3:E5&lt;&gt;""),E3:E5))),0)</f>
        <v>12</v>
      </c>
      <c r="J6" s="28">
        <f t="shared" si="1"/>
        <v>14400</v>
      </c>
      <c r="K6" s="29">
        <f>IF(F6,SUM(F6-(LOOKUP(2,1/(F3:F5&lt;&gt;""),F3:F5))),0)</f>
        <v>3</v>
      </c>
      <c r="L6" s="10">
        <v>0</v>
      </c>
      <c r="M6" s="10">
        <v>0</v>
      </c>
    </row>
    <row r="7" spans="1:13" x14ac:dyDescent="0.25">
      <c r="A7" s="30">
        <v>4</v>
      </c>
      <c r="B7" s="30">
        <v>3</v>
      </c>
      <c r="C7" s="30">
        <v>2021</v>
      </c>
      <c r="D7" s="19">
        <v>151039</v>
      </c>
      <c r="E7" s="19">
        <v>45223</v>
      </c>
      <c r="F7" s="20">
        <v>98224</v>
      </c>
      <c r="G7" s="25">
        <f>IF(D7,SUM(D7-(LOOKUP(2,1/(D3:D6&lt;&gt;""),D3:D6))),0)</f>
        <v>95</v>
      </c>
      <c r="H7" s="26">
        <f t="shared" si="0"/>
        <v>2773.4851760000006</v>
      </c>
      <c r="I7" s="27">
        <f t="shared" ref="I7" si="2">IF(E7,SUM(E7-(LOOKUP(2,1/(E6:E6&lt;&gt;""),E6:E6))),0)</f>
        <v>12</v>
      </c>
      <c r="J7" s="28">
        <f t="shared" si="1"/>
        <v>14400</v>
      </c>
      <c r="K7" s="29">
        <f>IF(F7,SUM(F7-(LOOKUP(2,1/(F3:F6&lt;&gt;""),F3:F6))),0)</f>
        <v>6</v>
      </c>
      <c r="L7" s="10">
        <v>0</v>
      </c>
      <c r="M7" s="10">
        <v>0</v>
      </c>
    </row>
    <row r="8" spans="1:13" x14ac:dyDescent="0.25">
      <c r="A8" s="30">
        <v>5</v>
      </c>
      <c r="B8" s="24">
        <v>3</v>
      </c>
      <c r="C8" s="30">
        <v>2021</v>
      </c>
      <c r="D8" s="19">
        <v>151150</v>
      </c>
      <c r="E8" s="19">
        <v>45237</v>
      </c>
      <c r="F8" s="20">
        <v>98231</v>
      </c>
      <c r="G8" s="25">
        <f>IF(D8,SUM(D8-(LOOKUP(2,1/(D3:D7&lt;&gt;""),D3:D7))),0)</f>
        <v>111</v>
      </c>
      <c r="H8" s="26">
        <f t="shared" si="0"/>
        <v>3240.5984687999999</v>
      </c>
      <c r="I8" s="27">
        <f>IF(E8,SUM(E8-(LOOKUP(2,1/(E3:E7&lt;&gt;""),E3:E7))),0)</f>
        <v>14</v>
      </c>
      <c r="J8" s="28">
        <f t="shared" si="1"/>
        <v>16800</v>
      </c>
      <c r="K8" s="29">
        <f>IF(F8,SUM(F8-(LOOKUP(2,1/(F3:F7&lt;&gt;""),F3:F7))),0)</f>
        <v>7</v>
      </c>
      <c r="L8" s="10">
        <v>0</v>
      </c>
      <c r="M8" s="10">
        <v>0</v>
      </c>
    </row>
    <row r="9" spans="1:13" x14ac:dyDescent="0.25">
      <c r="A9" s="30">
        <v>6</v>
      </c>
      <c r="B9" s="30">
        <v>3</v>
      </c>
      <c r="C9" s="30">
        <v>2021</v>
      </c>
      <c r="D9" s="19">
        <v>151253</v>
      </c>
      <c r="E9" s="19">
        <v>45250</v>
      </c>
      <c r="F9" s="20">
        <v>98238</v>
      </c>
      <c r="G9" s="25">
        <f>IF(D9,SUM(D9-(LOOKUP(2,1/(D3:D8&lt;&gt;""),D3:D8))),0)</f>
        <v>103</v>
      </c>
      <c r="H9" s="26">
        <f t="shared" si="0"/>
        <v>3007.0418224000005</v>
      </c>
      <c r="I9" s="27">
        <f>IF(E9,SUM(E9-(LOOKUP(2,1/(E3:E8&lt;&gt;""),E3:E8))),0)</f>
        <v>13</v>
      </c>
      <c r="J9" s="28">
        <f t="shared" si="1"/>
        <v>15600</v>
      </c>
      <c r="K9" s="29">
        <f>IF(F9,SUM(F9-(LOOKUP(2,1/(F3:F8&lt;&gt;""),F3:F8))),0)</f>
        <v>7</v>
      </c>
      <c r="L9" s="10">
        <v>0</v>
      </c>
      <c r="M9" s="10">
        <v>0</v>
      </c>
    </row>
    <row r="10" spans="1:13" x14ac:dyDescent="0.25">
      <c r="A10" s="30">
        <v>7</v>
      </c>
      <c r="B10" s="24">
        <v>3</v>
      </c>
      <c r="C10" s="30">
        <v>2021</v>
      </c>
      <c r="D10" s="19">
        <v>151414</v>
      </c>
      <c r="E10" s="19">
        <v>45263</v>
      </c>
      <c r="F10" s="20">
        <v>98241.5</v>
      </c>
      <c r="G10" s="25">
        <f>IF(D10,SUM(D10-(LOOKUP(2,1/(D3:D9&lt;&gt;""),D3:D9))),0)</f>
        <v>161</v>
      </c>
      <c r="H10" s="26">
        <f t="shared" si="0"/>
        <v>4700.3275088000009</v>
      </c>
      <c r="I10" s="27">
        <f t="shared" ref="I10" si="3">IF(E10,SUM(E10-(LOOKUP(2,1/(E9:E9&lt;&gt;""),E9:E9))),0)</f>
        <v>13</v>
      </c>
      <c r="J10" s="28">
        <f t="shared" si="1"/>
        <v>15600</v>
      </c>
      <c r="K10" s="29">
        <f>IF(F10,SUM(F10-(LOOKUP(2,1/(F3:F9&lt;&gt;""),F3:F9))),0)</f>
        <v>3.5</v>
      </c>
      <c r="L10" s="10">
        <v>0</v>
      </c>
      <c r="M10" s="10">
        <v>0</v>
      </c>
    </row>
    <row r="11" spans="1:13" x14ac:dyDescent="0.25">
      <c r="A11" s="30">
        <v>8</v>
      </c>
      <c r="B11" s="30">
        <v>3</v>
      </c>
      <c r="C11" s="30">
        <v>2021</v>
      </c>
      <c r="D11" s="19">
        <v>151443</v>
      </c>
      <c r="E11" s="19">
        <v>45274</v>
      </c>
      <c r="F11" s="20">
        <v>98248</v>
      </c>
      <c r="G11" s="25">
        <f>IF(D11,SUM(D11-(LOOKUP(2,1/(D3:D10&lt;&gt;""),D3:D10))),0)</f>
        <v>29</v>
      </c>
      <c r="H11" s="26">
        <f t="shared" si="0"/>
        <v>846.64284320000013</v>
      </c>
      <c r="I11" s="27">
        <f>IF(E11,SUM(E11-(LOOKUP(2,1/(E3:E10&lt;&gt;""),E3:E10))),0)</f>
        <v>11</v>
      </c>
      <c r="J11" s="28">
        <f t="shared" si="1"/>
        <v>13200</v>
      </c>
      <c r="K11" s="29">
        <f>IF(F11,SUM(F11-(LOOKUP(2,1/(F3:F10&lt;&gt;""),F3:F10))),0)</f>
        <v>6.5</v>
      </c>
      <c r="L11" s="10">
        <v>0</v>
      </c>
      <c r="M11" s="10">
        <v>0</v>
      </c>
    </row>
    <row r="12" spans="1:13" x14ac:dyDescent="0.25">
      <c r="A12" s="30">
        <v>9</v>
      </c>
      <c r="B12" s="24">
        <v>3</v>
      </c>
      <c r="C12" s="30">
        <v>2021</v>
      </c>
      <c r="D12" s="19">
        <v>151546</v>
      </c>
      <c r="E12" s="19">
        <v>45287</v>
      </c>
      <c r="F12" s="20">
        <v>98251</v>
      </c>
      <c r="G12" s="25">
        <f>IF(D12,SUM(D12-(LOOKUP(2,1/(D3:D11&lt;&gt;""),D3:D11))),0)</f>
        <v>103</v>
      </c>
      <c r="H12" s="26">
        <f t="shared" si="0"/>
        <v>3007.0418224000005</v>
      </c>
      <c r="I12" s="27">
        <f>IF(E12,SUM(E12-(LOOKUP(2,1/(E3:E11&lt;&gt;""),E3:E11))),0)</f>
        <v>13</v>
      </c>
      <c r="J12" s="28">
        <f t="shared" si="1"/>
        <v>15600</v>
      </c>
      <c r="K12" s="29">
        <f>IF(F12,SUM(F12-(LOOKUP(2,1/(F3:F11&lt;&gt;""),F3:F11))),0)</f>
        <v>3</v>
      </c>
      <c r="L12" s="10">
        <v>0</v>
      </c>
      <c r="M12" s="10">
        <v>0</v>
      </c>
    </row>
    <row r="13" spans="1:13" x14ac:dyDescent="0.25">
      <c r="A13" s="30">
        <v>10</v>
      </c>
      <c r="B13" s="30">
        <v>3</v>
      </c>
      <c r="C13" s="30">
        <v>2021</v>
      </c>
      <c r="D13" s="19">
        <v>151641</v>
      </c>
      <c r="E13" s="19">
        <v>45300</v>
      </c>
      <c r="F13" s="20">
        <v>98255</v>
      </c>
      <c r="G13" s="25">
        <f>IF(D13,SUM(D13-(LOOKUP(2,1/(D3:D12&lt;&gt;""),D3:D12))),0)</f>
        <v>95</v>
      </c>
      <c r="H13" s="26">
        <f t="shared" si="0"/>
        <v>2773.4851760000006</v>
      </c>
      <c r="I13" s="27">
        <f>IF(E13,SUM(E13-(LOOKUP(2,1/(E3:E12&lt;&gt;""),E3:E12))),0)</f>
        <v>13</v>
      </c>
      <c r="J13" s="28">
        <f t="shared" si="1"/>
        <v>15600</v>
      </c>
      <c r="K13" s="29">
        <f>IF(F13,SUM(F13-(LOOKUP(2,1/(F3:F12&lt;&gt;""),F3:F12))),0)</f>
        <v>4</v>
      </c>
      <c r="L13" s="10">
        <v>0</v>
      </c>
      <c r="M13" s="10">
        <v>0</v>
      </c>
    </row>
    <row r="14" spans="1:13" x14ac:dyDescent="0.25">
      <c r="A14" s="30">
        <v>11</v>
      </c>
      <c r="B14" s="24">
        <v>3</v>
      </c>
      <c r="C14" s="30">
        <v>2021</v>
      </c>
      <c r="D14" s="19">
        <v>151738</v>
      </c>
      <c r="E14" s="19">
        <v>45312</v>
      </c>
      <c r="F14" s="20">
        <v>98257</v>
      </c>
      <c r="G14" s="25">
        <f>IF(D14,SUM(D14-(LOOKUP(2,1/(D3:D13&lt;&gt;""),D3:D13))),0)</f>
        <v>97</v>
      </c>
      <c r="H14" s="26">
        <f t="shared" si="0"/>
        <v>2831.8743376000002</v>
      </c>
      <c r="I14" s="27">
        <f>IF(E14,SUM(E14-(LOOKUP(2,1/(E3:E13&lt;&gt;""),E3:E13))),0)</f>
        <v>12</v>
      </c>
      <c r="J14" s="28">
        <f t="shared" si="1"/>
        <v>14400</v>
      </c>
      <c r="K14" s="29">
        <f>IF(F14,SUM(F14-(LOOKUP(2,1/(F3:F13&lt;&gt;""),F3:F13))),0)</f>
        <v>2</v>
      </c>
      <c r="L14" s="10">
        <v>0</v>
      </c>
      <c r="M14" s="10">
        <v>0</v>
      </c>
    </row>
    <row r="15" spans="1:13" x14ac:dyDescent="0.25">
      <c r="A15" s="30">
        <v>12</v>
      </c>
      <c r="B15" s="30">
        <v>3</v>
      </c>
      <c r="C15" s="30">
        <v>2021</v>
      </c>
      <c r="D15" s="19">
        <v>151852</v>
      </c>
      <c r="E15" s="19">
        <v>45326</v>
      </c>
      <c r="F15" s="20">
        <v>98264</v>
      </c>
      <c r="G15" s="25">
        <f>IF(D15,SUM(D15-(LOOKUP(2,1/(D3:D14&lt;&gt;""),D3:D14))),0)</f>
        <v>114</v>
      </c>
      <c r="H15" s="26">
        <f t="shared" si="0"/>
        <v>3328.1822112000004</v>
      </c>
      <c r="I15" s="27">
        <f>IF(E15,SUM(E15-(LOOKUP(2,1/(E3:E14&lt;&gt;""),E3:E14))),0)</f>
        <v>14</v>
      </c>
      <c r="J15" s="28">
        <f t="shared" si="1"/>
        <v>16800</v>
      </c>
      <c r="K15" s="29">
        <f>IF(F15,SUM(F15-(LOOKUP(2,1/(F3:F14&lt;&gt;""),F3:F14))),0)</f>
        <v>7</v>
      </c>
      <c r="L15" s="10">
        <v>0</v>
      </c>
      <c r="M15" s="10">
        <v>0</v>
      </c>
    </row>
    <row r="16" spans="1:13" x14ac:dyDescent="0.25">
      <c r="A16" s="30">
        <v>13</v>
      </c>
      <c r="B16" s="24">
        <v>3</v>
      </c>
      <c r="C16" s="30">
        <v>2021</v>
      </c>
      <c r="D16" s="19">
        <v>151943</v>
      </c>
      <c r="E16" s="19">
        <v>45340</v>
      </c>
      <c r="F16" s="20">
        <v>98268</v>
      </c>
      <c r="G16" s="25">
        <f>IF(D16,SUM(D16-(LOOKUP(2,1/(D3:D15&lt;&gt;""),D3:D15))),0)</f>
        <v>91</v>
      </c>
      <c r="H16" s="26">
        <f t="shared" si="0"/>
        <v>2656.7068528000004</v>
      </c>
      <c r="I16" s="27">
        <f>IF(E16,SUM(E16-(LOOKUP(2,1/(E3:E15&lt;&gt;""),E3:E15))),0)</f>
        <v>14</v>
      </c>
      <c r="J16" s="28">
        <f t="shared" si="1"/>
        <v>16800</v>
      </c>
      <c r="K16" s="29">
        <f>IF(F16,SUM(F16-(LOOKUP(2,1/(F3:F15&lt;&gt;""),F3:F15))),0)</f>
        <v>4</v>
      </c>
      <c r="L16" s="10">
        <v>0</v>
      </c>
      <c r="M16" s="10">
        <v>0</v>
      </c>
    </row>
    <row r="17" spans="1:13" x14ac:dyDescent="0.25">
      <c r="A17" s="30">
        <v>14</v>
      </c>
      <c r="B17" s="30">
        <v>3</v>
      </c>
      <c r="C17" s="30">
        <v>2021</v>
      </c>
      <c r="D17" s="19">
        <v>152023</v>
      </c>
      <c r="E17" s="19">
        <v>45352</v>
      </c>
      <c r="F17" s="20">
        <v>98275</v>
      </c>
      <c r="G17" s="25">
        <f>IF(D17,SUM(D17-(LOOKUP(2,1/(D3:D16&lt;&gt;""),D3:D16))),0)</f>
        <v>80</v>
      </c>
      <c r="H17" s="26">
        <f t="shared" si="0"/>
        <v>2335.566464</v>
      </c>
      <c r="I17" s="27">
        <f>IF(E17,SUM(E17-(LOOKUP(2,1/(E3:E16&lt;&gt;""),E3:E16))),0)</f>
        <v>12</v>
      </c>
      <c r="J17" s="28">
        <f t="shared" si="1"/>
        <v>14400</v>
      </c>
      <c r="K17" s="29">
        <f>IF(F17,SUM(F17-(LOOKUP(2,1/(F3:F16&lt;&gt;""),F3:F16))),0)</f>
        <v>7</v>
      </c>
      <c r="L17" s="10">
        <v>0</v>
      </c>
      <c r="M17" s="10">
        <v>0</v>
      </c>
    </row>
    <row r="18" spans="1:13" x14ac:dyDescent="0.25">
      <c r="A18" s="30">
        <v>15</v>
      </c>
      <c r="B18" s="30">
        <v>3</v>
      </c>
      <c r="C18" s="30">
        <v>2021</v>
      </c>
      <c r="D18" s="19">
        <v>152113</v>
      </c>
      <c r="E18" s="19">
        <v>45363</v>
      </c>
      <c r="F18" s="20">
        <v>98281</v>
      </c>
      <c r="G18" s="25">
        <f>IF(D18,SUM(D18-(LOOKUP(2,1/(D3:D17&lt;&gt;""),D3:D17))),0)</f>
        <v>90</v>
      </c>
      <c r="H18" s="26">
        <f t="shared" si="0"/>
        <v>2627.5122720000004</v>
      </c>
      <c r="I18" s="27">
        <f>IF(E18,SUM(E18-(LOOKUP(2,1/(E3:E17&lt;&gt;""),E3:E17))),0)</f>
        <v>11</v>
      </c>
      <c r="J18" s="28">
        <f t="shared" si="1"/>
        <v>13200</v>
      </c>
      <c r="K18" s="29">
        <f>IF(F18,SUM(F18-(LOOKUP(2,1/(F3:F17&lt;&gt;""),F3:F17))),0)</f>
        <v>6</v>
      </c>
      <c r="L18" s="10">
        <v>0</v>
      </c>
      <c r="M18" s="10">
        <v>0</v>
      </c>
    </row>
    <row r="19" spans="1:13" x14ac:dyDescent="0.25">
      <c r="A19" s="30">
        <v>16</v>
      </c>
      <c r="B19" s="30">
        <v>3</v>
      </c>
      <c r="C19" s="30">
        <v>2021</v>
      </c>
      <c r="D19" s="19">
        <v>152205</v>
      </c>
      <c r="E19" s="19">
        <v>45376</v>
      </c>
      <c r="F19" s="20">
        <v>98290</v>
      </c>
      <c r="G19" s="25">
        <f>IF(D19,SUM(D19-(LOOKUP(2,1/(D3:D18&lt;&gt;""),D3:D18))),0)</f>
        <v>92</v>
      </c>
      <c r="H19" s="26">
        <f t="shared" si="0"/>
        <v>2685.9014336000005</v>
      </c>
      <c r="I19" s="27">
        <f>IF(E19,SUM(E19-(LOOKUP(2,1/(E3:E18&lt;&gt;""),E3:E18))),0)</f>
        <v>13</v>
      </c>
      <c r="J19" s="28">
        <f t="shared" si="1"/>
        <v>15600</v>
      </c>
      <c r="K19" s="29">
        <f>IF(F19,SUM(F19-(LOOKUP(2,1/(F3:F18&lt;&gt;""),F3:F18))),0)</f>
        <v>9</v>
      </c>
      <c r="L19" s="10">
        <v>0</v>
      </c>
      <c r="M19" s="10">
        <v>0</v>
      </c>
    </row>
    <row r="20" spans="1:13" x14ac:dyDescent="0.25">
      <c r="A20" s="30">
        <v>17</v>
      </c>
      <c r="B20" s="30">
        <v>3</v>
      </c>
      <c r="C20" s="30">
        <v>2021</v>
      </c>
      <c r="D20" s="19">
        <v>152316</v>
      </c>
      <c r="E20" s="19">
        <v>45391</v>
      </c>
      <c r="F20" s="20">
        <v>98304</v>
      </c>
      <c r="G20" s="25">
        <f>IF(D20,SUM(D20-(LOOKUP(2,1/(D3:D19&lt;&gt;""),D3:D19))),0)</f>
        <v>111</v>
      </c>
      <c r="H20" s="26">
        <f t="shared" si="0"/>
        <v>3240.5984687999999</v>
      </c>
      <c r="I20" s="27">
        <f>IF(E20,SUM(E20-(LOOKUP(2,1/(E3:E19&lt;&gt;""),E3:E19))),0)</f>
        <v>15</v>
      </c>
      <c r="J20" s="28">
        <f t="shared" si="1"/>
        <v>18000</v>
      </c>
      <c r="K20" s="29">
        <f>IF(F20,SUM(F20-(LOOKUP(2,1/(F3:F19&lt;&gt;""),F3:F19))),0)</f>
        <v>14</v>
      </c>
      <c r="L20" s="10">
        <v>0</v>
      </c>
      <c r="M20" s="10">
        <v>0</v>
      </c>
    </row>
    <row r="21" spans="1:13" x14ac:dyDescent="0.25">
      <c r="A21" s="30">
        <v>18</v>
      </c>
      <c r="B21" s="30">
        <v>3</v>
      </c>
      <c r="C21" s="30">
        <v>2021</v>
      </c>
      <c r="D21" s="19">
        <v>152404</v>
      </c>
      <c r="E21" s="19">
        <v>45403</v>
      </c>
      <c r="F21" s="20">
        <v>98314</v>
      </c>
      <c r="G21" s="25">
        <f>IF(D21,SUM(D21-(LOOKUP(2,1/(D3:D20&lt;&gt;""),D3:D20))),0)</f>
        <v>88</v>
      </c>
      <c r="H21" s="26">
        <f t="shared" si="0"/>
        <v>2569.1231104000003</v>
      </c>
      <c r="I21" s="27">
        <f>IF(E21,SUM(E21-(LOOKUP(2,1/(E3:E20&lt;&gt;""),E3:E20))),0)</f>
        <v>12</v>
      </c>
      <c r="J21" s="28">
        <f t="shared" si="1"/>
        <v>14400</v>
      </c>
      <c r="K21" s="29">
        <f>IF(F21,SUM(F21-(LOOKUP(2,1/(F3:F20&lt;&gt;""),F3:F20))),0)</f>
        <v>10</v>
      </c>
      <c r="L21" s="10">
        <v>0</v>
      </c>
      <c r="M21" s="10">
        <v>0</v>
      </c>
    </row>
    <row r="22" spans="1:13" x14ac:dyDescent="0.25">
      <c r="A22" s="30">
        <v>19</v>
      </c>
      <c r="B22" s="30">
        <v>3</v>
      </c>
      <c r="C22" s="30">
        <v>2021</v>
      </c>
      <c r="D22" s="19">
        <v>152494</v>
      </c>
      <c r="E22" s="19">
        <v>45415</v>
      </c>
      <c r="F22" s="20">
        <v>98324</v>
      </c>
      <c r="G22" s="25">
        <f>IF(D22,SUM(D22-(LOOKUP(2,1/(D3:D21&lt;&gt;""),D3:D21))),0)</f>
        <v>90</v>
      </c>
      <c r="H22" s="26">
        <f t="shared" si="0"/>
        <v>2627.5122720000004</v>
      </c>
      <c r="I22" s="27">
        <f>IF(E22,SUM(E22-(LOOKUP(2,1/(E3:E21&lt;&gt;""),E3:E21))),0)</f>
        <v>12</v>
      </c>
      <c r="J22" s="28">
        <f t="shared" si="1"/>
        <v>14400</v>
      </c>
      <c r="K22" s="29">
        <f>IF(F22,SUM(F22-(LOOKUP(2,1/(F3:F21&lt;&gt;""),F3:F21))),0)</f>
        <v>10</v>
      </c>
      <c r="L22" s="10">
        <v>0</v>
      </c>
      <c r="M22" s="10">
        <v>0</v>
      </c>
    </row>
    <row r="23" spans="1:13" x14ac:dyDescent="0.25">
      <c r="A23" s="30">
        <v>20</v>
      </c>
      <c r="B23" s="30">
        <v>3</v>
      </c>
      <c r="C23" s="30">
        <v>2021</v>
      </c>
      <c r="D23" s="19">
        <v>152590</v>
      </c>
      <c r="E23" s="19">
        <v>45428</v>
      </c>
      <c r="F23" s="20">
        <v>98336</v>
      </c>
      <c r="G23" s="25">
        <f>IF(D23,SUM(D23-(LOOKUP(2,1/(D3:D22&lt;&gt;""),D3:D22))),0)</f>
        <v>96</v>
      </c>
      <c r="H23" s="26">
        <f t="shared" si="0"/>
        <v>2802.6797568000006</v>
      </c>
      <c r="I23" s="27">
        <f>IF(E23,SUM(E23-(LOOKUP(2,1/(E3:E22&lt;&gt;""),E3:E22))),0)</f>
        <v>13</v>
      </c>
      <c r="J23" s="28">
        <f t="shared" si="1"/>
        <v>15600</v>
      </c>
      <c r="K23" s="29">
        <f>IF(F23,SUM(F23-(LOOKUP(2,1/(F3:F22&lt;&gt;""),F3:F22))),0)</f>
        <v>12</v>
      </c>
      <c r="L23" s="10">
        <v>0</v>
      </c>
      <c r="M23" s="10">
        <v>0</v>
      </c>
    </row>
    <row r="24" spans="1:13" x14ac:dyDescent="0.25">
      <c r="A24" s="30">
        <v>21</v>
      </c>
      <c r="B24" s="30">
        <v>3</v>
      </c>
      <c r="C24" s="30">
        <v>2021</v>
      </c>
      <c r="D24" s="19">
        <v>152685</v>
      </c>
      <c r="E24" s="19">
        <v>45440</v>
      </c>
      <c r="F24" s="20">
        <v>98351</v>
      </c>
      <c r="G24" s="25">
        <f>IF(D24,SUM(D24-(LOOKUP(2,1/(D3:D23&lt;&gt;""),D3:D23))),0)</f>
        <v>95</v>
      </c>
      <c r="H24" s="26">
        <f t="shared" si="0"/>
        <v>2773.4851760000006</v>
      </c>
      <c r="I24" s="27">
        <f>IF(E24,SUM(E24-(LOOKUP(2,1/(E3:E23&lt;&gt;""),E3:E23))),0)</f>
        <v>12</v>
      </c>
      <c r="J24" s="28">
        <f t="shared" si="1"/>
        <v>14400</v>
      </c>
      <c r="K24" s="29">
        <f>IF(F24,SUM(F24-(LOOKUP(2,1/(F3:F23&lt;&gt;""),F3:F23))),0)</f>
        <v>15</v>
      </c>
      <c r="L24" s="10">
        <v>0</v>
      </c>
      <c r="M24" s="10">
        <v>0</v>
      </c>
    </row>
    <row r="25" spans="1:13" x14ac:dyDescent="0.25">
      <c r="A25" s="30">
        <v>22</v>
      </c>
      <c r="B25" s="30">
        <v>3</v>
      </c>
      <c r="C25" s="30">
        <v>2021</v>
      </c>
      <c r="D25" s="19">
        <v>152787</v>
      </c>
      <c r="E25" s="19">
        <v>45453</v>
      </c>
      <c r="F25" s="20">
        <v>98359</v>
      </c>
      <c r="G25" s="25">
        <f>IF(D25,SUM(D25-(LOOKUP(2,1/(D3:D24&lt;&gt;""),D3:D24))),0)</f>
        <v>102</v>
      </c>
      <c r="H25" s="26">
        <f t="shared" si="0"/>
        <v>2977.8472416000004</v>
      </c>
      <c r="I25" s="27">
        <f>IF(E25,SUM(E25-(LOOKUP(2,1/(E3:E24&lt;&gt;""),E3:E24))),0)</f>
        <v>13</v>
      </c>
      <c r="J25" s="28">
        <f t="shared" si="1"/>
        <v>15600</v>
      </c>
      <c r="K25" s="29">
        <f>IF(F25,SUM(F25-(LOOKUP(2,1/(F3:F24&lt;&gt;""),F3:F24))),0)</f>
        <v>8</v>
      </c>
      <c r="L25" s="10">
        <v>0</v>
      </c>
      <c r="M25" s="10">
        <v>0</v>
      </c>
    </row>
    <row r="26" spans="1:13" x14ac:dyDescent="0.25">
      <c r="A26" s="30">
        <v>23</v>
      </c>
      <c r="B26" s="30">
        <v>3</v>
      </c>
      <c r="C26" s="30">
        <v>2021</v>
      </c>
      <c r="D26" s="19"/>
      <c r="E26" s="19"/>
      <c r="F26" s="20"/>
      <c r="G26" s="25">
        <f>IF(D26,SUM(D26-(LOOKUP(2,1/(D3:D25&lt;&gt;""),D3:D25))),0)</f>
        <v>0</v>
      </c>
      <c r="H26" s="26">
        <f t="shared" si="0"/>
        <v>0</v>
      </c>
      <c r="I26" s="27">
        <f>IF(E26,SUM(E26-(LOOKUP(2,1/(E3:E25&lt;&gt;""),E3:E25))),0)</f>
        <v>0</v>
      </c>
      <c r="J26" s="27">
        <f t="shared" si="1"/>
        <v>0</v>
      </c>
      <c r="K26" s="29">
        <f>IF(F26,SUM(F26-(LOOKUP(2,1/(F3:F25&lt;&gt;""),F3:F25))),0)</f>
        <v>0</v>
      </c>
      <c r="L26" s="10">
        <v>0</v>
      </c>
      <c r="M26" s="10">
        <v>0</v>
      </c>
    </row>
    <row r="27" spans="1:13" x14ac:dyDescent="0.25">
      <c r="A27" s="30">
        <v>24</v>
      </c>
      <c r="B27" s="30">
        <v>3</v>
      </c>
      <c r="C27" s="30">
        <v>2021</v>
      </c>
      <c r="D27" s="19"/>
      <c r="E27" s="19"/>
      <c r="F27" s="20"/>
      <c r="G27" s="25">
        <f>IF(D27,SUM(D27-(LOOKUP(2,1/(D3:D26&lt;&gt;""),D3:D26))),0)</f>
        <v>0</v>
      </c>
      <c r="H27" s="26">
        <f t="shared" si="0"/>
        <v>0</v>
      </c>
      <c r="I27" s="27">
        <f>IF(E27,SUM(E27-(LOOKUP(2,1/(E3:E26&lt;&gt;""),E3:E26))),0)</f>
        <v>0</v>
      </c>
      <c r="J27" s="27">
        <f t="shared" si="1"/>
        <v>0</v>
      </c>
      <c r="K27" s="29">
        <f>IF(F27,SUM(F27-(LOOKUP(2,1/(F3:F26&lt;&gt;""),F3:F26))),0)</f>
        <v>0</v>
      </c>
      <c r="L27" s="10">
        <v>0</v>
      </c>
      <c r="M27" s="10">
        <v>0</v>
      </c>
    </row>
    <row r="28" spans="1:13" x14ac:dyDescent="0.25">
      <c r="A28" s="30">
        <v>25</v>
      </c>
      <c r="B28" s="30">
        <v>3</v>
      </c>
      <c r="C28" s="30">
        <v>2021</v>
      </c>
      <c r="D28" s="19"/>
      <c r="E28" s="19"/>
      <c r="F28" s="20"/>
      <c r="G28" s="25">
        <f>IF(D28,SUM(D28-(LOOKUP(2,1/(D3:D27&lt;&gt;""),D3:D27))),0)</f>
        <v>0</v>
      </c>
      <c r="H28" s="26">
        <f t="shared" si="0"/>
        <v>0</v>
      </c>
      <c r="I28" s="27">
        <f>IF(E28,SUM(E28-(LOOKUP(2,1/(E3:E27&lt;&gt;""),E3:E27))),0)</f>
        <v>0</v>
      </c>
      <c r="J28" s="27">
        <f t="shared" si="1"/>
        <v>0</v>
      </c>
      <c r="K28" s="29">
        <f>IF(F28,SUM(F28-(LOOKUP(2,1/(F3:F27&lt;&gt;""),F3:F27))),0)</f>
        <v>0</v>
      </c>
      <c r="L28" s="10">
        <v>0</v>
      </c>
      <c r="M28" s="10">
        <v>0</v>
      </c>
    </row>
    <row r="29" spans="1:13" x14ac:dyDescent="0.25">
      <c r="A29" s="30">
        <v>26</v>
      </c>
      <c r="B29" s="30">
        <v>3</v>
      </c>
      <c r="C29" s="30">
        <v>2021</v>
      </c>
      <c r="D29" s="19"/>
      <c r="E29" s="19"/>
      <c r="F29" s="20"/>
      <c r="G29" s="25">
        <f>IF(D29,SUM(D29-(LOOKUP(2,1/(D3:D28&lt;&gt;""),D3:D28))),0)</f>
        <v>0</v>
      </c>
      <c r="H29" s="26">
        <f t="shared" si="0"/>
        <v>0</v>
      </c>
      <c r="I29" s="27">
        <f>IF(E29,SUM(E29-(LOOKUP(2,1/(E3:E28&lt;&gt;""),E3:E28))),0)</f>
        <v>0</v>
      </c>
      <c r="J29" s="27">
        <f t="shared" si="1"/>
        <v>0</v>
      </c>
      <c r="K29" s="29">
        <f>IF(F29,SUM(F29-(LOOKUP(2,1/(F3:F28&lt;&gt;""),F3:F28))),0)</f>
        <v>0</v>
      </c>
      <c r="L29" s="10">
        <v>0</v>
      </c>
      <c r="M29" s="10">
        <v>0</v>
      </c>
    </row>
    <row r="30" spans="1:13" x14ac:dyDescent="0.25">
      <c r="A30" s="30">
        <v>27</v>
      </c>
      <c r="B30" s="30">
        <v>3</v>
      </c>
      <c r="C30" s="30">
        <v>2021</v>
      </c>
      <c r="D30" s="19"/>
      <c r="E30" s="19"/>
      <c r="F30" s="20"/>
      <c r="G30" s="25">
        <f>IF(D30,SUM(D30-(LOOKUP(2,1/(D3:D29&lt;&gt;""),D3:D29))),0)</f>
        <v>0</v>
      </c>
      <c r="H30" s="26">
        <f>IF(G30,SUM((G30*1.153936)*25.3),0)</f>
        <v>0</v>
      </c>
      <c r="I30" s="27">
        <f>IF(E30,SUM(E30-(LOOKUP(2,1/(E3:E29&lt;&gt;""),E3:E29))),0)</f>
        <v>0</v>
      </c>
      <c r="J30" s="27">
        <f t="shared" si="1"/>
        <v>0</v>
      </c>
      <c r="K30" s="29">
        <f>IF(F30,SUM(F30-(LOOKUP(2,1/(F3:F29&lt;&gt;""),F3:F29))),0)</f>
        <v>0</v>
      </c>
      <c r="L30" s="10">
        <v>0</v>
      </c>
      <c r="M30" s="10">
        <v>0</v>
      </c>
    </row>
    <row r="31" spans="1:13" x14ac:dyDescent="0.25">
      <c r="A31" s="30">
        <v>28</v>
      </c>
      <c r="B31" s="30">
        <v>3</v>
      </c>
      <c r="C31" s="30">
        <v>2021</v>
      </c>
      <c r="D31" s="19"/>
      <c r="E31" s="19"/>
      <c r="F31" s="20"/>
      <c r="G31" s="25">
        <f>IF(D31,SUM(D31-(LOOKUP(2,1/(D3:D30&lt;&gt;""),D3:D30))),0)</f>
        <v>0</v>
      </c>
      <c r="H31" s="26">
        <f t="shared" ref="H31" si="4">IF(G31,SUM((G31*1.153936)*25.3),0)</f>
        <v>0</v>
      </c>
      <c r="I31" s="27">
        <f>IF(E31,SUM(E31-(LOOKUP(2,1/(E3:E30&lt;&gt;""),E3:E30))),0)</f>
        <v>0</v>
      </c>
      <c r="J31" s="27">
        <f t="shared" si="1"/>
        <v>0</v>
      </c>
      <c r="K31" s="29">
        <f>IF(F31,SUM(F31-(LOOKUP(2,1/(F3:F30&lt;&gt;""),F3:F30))),0)</f>
        <v>0</v>
      </c>
      <c r="L31" s="10">
        <v>0</v>
      </c>
      <c r="M31" s="10">
        <v>0</v>
      </c>
    </row>
    <row r="32" spans="1:13" x14ac:dyDescent="0.25">
      <c r="A32" s="30">
        <v>29</v>
      </c>
      <c r="B32" s="30">
        <v>3</v>
      </c>
      <c r="C32" s="30">
        <v>2021</v>
      </c>
      <c r="D32" s="19"/>
      <c r="E32" s="19"/>
      <c r="F32" s="20"/>
      <c r="G32" s="25">
        <f>IF(D32,SUM(D32-(LOOKUP(2,1/(D3:D31&lt;&gt;""),D3:D31))),0)</f>
        <v>0</v>
      </c>
      <c r="H32" s="26">
        <f>IF(G32,SUM((G32*1.153936)*25.3),0)</f>
        <v>0</v>
      </c>
      <c r="I32" s="27">
        <f>IF(E32,SUM(E32-(LOOKUP(2,1/(E3:E31&lt;&gt;""),E3:E31))),0)</f>
        <v>0</v>
      </c>
      <c r="J32" s="27">
        <f t="shared" si="1"/>
        <v>0</v>
      </c>
      <c r="K32" s="29">
        <f>IF(F32,SUM(F32-(LOOKUP(2,1/(F3:F31&lt;&gt;""),F3:F31))),0)</f>
        <v>0</v>
      </c>
      <c r="L32" s="10">
        <v>0</v>
      </c>
      <c r="M32" s="10">
        <v>0</v>
      </c>
    </row>
    <row r="33" spans="1:13" x14ac:dyDescent="0.25">
      <c r="A33" s="30">
        <v>30</v>
      </c>
      <c r="B33" s="30">
        <v>3</v>
      </c>
      <c r="C33" s="30">
        <v>2021</v>
      </c>
      <c r="D33" s="19"/>
      <c r="E33" s="19"/>
      <c r="F33" s="20"/>
      <c r="G33" s="25">
        <f>IF(D33,SUM(D33-(LOOKUP(2,1/(D3:D32&lt;&gt;""),D3:D32))),0)</f>
        <v>0</v>
      </c>
      <c r="H33" s="26">
        <f>IF(G33,SUM((G33*1.153936)*25.3),0)</f>
        <v>0</v>
      </c>
      <c r="I33" s="27">
        <f>IF(E33,SUM(E33-(LOOKUP(2,1/(E3:E32&lt;&gt;""),E3:E32))),0)</f>
        <v>0</v>
      </c>
      <c r="J33" s="27">
        <f t="shared" si="1"/>
        <v>0</v>
      </c>
      <c r="K33" s="29">
        <f>IF(F33,SUM(F33-(LOOKUP(2,1/(F3:F32&lt;&gt;""),F3:F32))),0)</f>
        <v>0</v>
      </c>
      <c r="L33" s="10">
        <v>0</v>
      </c>
      <c r="M33" s="10">
        <v>0</v>
      </c>
    </row>
    <row r="34" spans="1:13" x14ac:dyDescent="0.25">
      <c r="A34" s="30">
        <v>31</v>
      </c>
      <c r="B34" s="30">
        <v>3</v>
      </c>
      <c r="C34" s="30">
        <v>2021</v>
      </c>
      <c r="D34" s="19"/>
      <c r="E34" s="19"/>
      <c r="F34" s="20"/>
      <c r="G34" s="25">
        <f>IF(D34,SUM(D34-(LOOKUP(2,1/(D3:D33&lt;&gt;""),D3:D33))),0)</f>
        <v>0</v>
      </c>
      <c r="H34" s="26">
        <f t="shared" si="0"/>
        <v>0</v>
      </c>
      <c r="I34" s="27">
        <f>IF(E34,SUM(E34-(LOOKUP(2,1/(E3:E33&lt;&gt;""),E3:E33))),0)</f>
        <v>0</v>
      </c>
      <c r="J34" s="27">
        <f t="shared" si="1"/>
        <v>0</v>
      </c>
      <c r="K34" s="29">
        <f>IF(F34,SUM(F34-(LOOKUP(2,1/(F3:F33&lt;&gt;""),F3:F33))),0)</f>
        <v>0</v>
      </c>
      <c r="L34" s="10">
        <v>0</v>
      </c>
      <c r="M34" s="10">
        <v>0</v>
      </c>
    </row>
    <row r="35" spans="1:13" x14ac:dyDescent="0.25">
      <c r="F35" s="31" t="s">
        <v>21</v>
      </c>
      <c r="G35" s="32">
        <f t="shared" ref="G35:M35" si="5">SUM(G4:G34)</f>
        <v>2109</v>
      </c>
      <c r="H35" s="33">
        <f t="shared" si="5"/>
        <v>61571.37090720002</v>
      </c>
      <c r="I35" s="32">
        <f t="shared" si="5"/>
        <v>277</v>
      </c>
      <c r="J35" s="32">
        <f t="shared" si="5"/>
        <v>332400</v>
      </c>
      <c r="K35" s="34">
        <f t="shared" si="5"/>
        <v>148</v>
      </c>
      <c r="L35" s="34">
        <f t="shared" si="5"/>
        <v>0</v>
      </c>
      <c r="M35" s="34">
        <f t="shared" si="5"/>
        <v>0</v>
      </c>
    </row>
  </sheetData>
  <mergeCells count="3">
    <mergeCell ref="D1:F1"/>
    <mergeCell ref="G1:K1"/>
    <mergeCell ref="A3:C3"/>
  </mergeCells>
  <conditionalFormatting sqref="G4:G29 I4:K4 I33:I34 G33:G34 K33:K34 I5:I29 K5:K29 J5:J34">
    <cfRule type="cellIs" priority="12" stopIfTrue="1" operator="equal">
      <formula>0</formula>
    </cfRule>
    <cfRule type="cellIs" dxfId="6" priority="13" operator="lessThan">
      <formula>1</formula>
    </cfRule>
  </conditionalFormatting>
  <conditionalFormatting sqref="H4:H29 H33:H34">
    <cfRule type="cellIs" priority="10" stopIfTrue="1" operator="equal">
      <formula>0</formula>
    </cfRule>
    <cfRule type="cellIs" dxfId="5" priority="11" operator="lessThan">
      <formula>1</formula>
    </cfRule>
  </conditionalFormatting>
  <conditionalFormatting sqref="I30:I31 G30:G31 K30:K31">
    <cfRule type="cellIs" priority="7" stopIfTrue="1" operator="equal">
      <formula>0</formula>
    </cfRule>
    <cfRule type="cellIs" dxfId="3" priority="8" operator="lessThan">
      <formula>1</formula>
    </cfRule>
  </conditionalFormatting>
  <conditionalFormatting sqref="H30:H31">
    <cfRule type="cellIs" priority="5" stopIfTrue="1" operator="equal">
      <formula>0</formula>
    </cfRule>
    <cfRule type="cellIs" dxfId="2" priority="6" operator="lessThan">
      <formula>1</formula>
    </cfRule>
  </conditionalFormatting>
  <conditionalFormatting sqref="I32 G32 K32">
    <cfRule type="cellIs" priority="3" stopIfTrue="1" operator="equal">
      <formula>0</formula>
    </cfRule>
    <cfRule type="cellIs" dxfId="1" priority="4" operator="lessThan">
      <formula>1</formula>
    </cfRule>
  </conditionalFormatting>
  <conditionalFormatting sqref="H32">
    <cfRule type="cellIs" priority="1" stopIfTrue="1" operator="equal">
      <formula>0</formula>
    </cfRule>
    <cfRule type="cellIs" dxfId="0" priority="2" operator="lessThan">
      <formula>1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Sheet3</vt:lpstr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El Khoury</dc:creator>
  <cp:lastModifiedBy>Joe El Khoury</cp:lastModifiedBy>
  <dcterms:created xsi:type="dcterms:W3CDTF">2021-03-23T14:51:47Z</dcterms:created>
  <dcterms:modified xsi:type="dcterms:W3CDTF">2021-03-23T14:56:27Z</dcterms:modified>
</cp:coreProperties>
</file>