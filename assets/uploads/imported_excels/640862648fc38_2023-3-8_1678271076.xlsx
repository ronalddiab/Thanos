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c47\AC\Temp\"/>
    </mc:Choice>
  </mc:AlternateContent>
  <xr:revisionPtr revIDLastSave="10" documentId="8_{B56FD511-D61B-42EB-9C21-1C606CA535FD}" xr6:coauthVersionLast="47" xr6:coauthVersionMax="47" xr10:uidLastSave="{6BA240C1-89FE-4C90-B135-5AE3ECFC50FF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BI32" i="2"/>
  <c r="BH32" i="2"/>
  <c r="BG32" i="2"/>
  <c r="BF32" i="2"/>
  <c r="BE32" i="2"/>
  <c r="BD32" i="2"/>
  <c r="BC32" i="2"/>
  <c r="BB32" i="2"/>
  <c r="BA32" i="2"/>
  <c r="AZ32" i="2"/>
  <c r="AY32" i="2"/>
  <c r="AQ32" i="2"/>
  <c r="AM32" i="2"/>
  <c r="AI32" i="2"/>
  <c r="AF32" i="2"/>
  <c r="AC32" i="2"/>
  <c r="Z32" i="2"/>
  <c r="U32" i="2"/>
  <c r="S32" i="2"/>
  <c r="Q32" i="2"/>
  <c r="O32" i="2"/>
  <c r="K32" i="2"/>
  <c r="I32" i="2"/>
  <c r="M32" i="2"/>
  <c r="G32" i="2"/>
  <c r="E32" i="2"/>
  <c r="BI31" i="2"/>
  <c r="BH31" i="2"/>
  <c r="BG31" i="2"/>
  <c r="BF31" i="2"/>
  <c r="BE31" i="2"/>
  <c r="BD31" i="2"/>
  <c r="AY31" i="2"/>
  <c r="AQ31" i="2"/>
  <c r="AM31" i="2"/>
  <c r="AI31" i="2"/>
  <c r="AF31" i="2"/>
  <c r="AC31" i="2"/>
  <c r="Z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Q30" i="2"/>
  <c r="AM30" i="2"/>
  <c r="AI30" i="2"/>
  <c r="AF30" i="2"/>
  <c r="AC30" i="2"/>
  <c r="Z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Q29" i="2"/>
  <c r="AM29" i="2"/>
  <c r="AI29" i="2"/>
  <c r="AF29" i="2"/>
  <c r="AC29" i="2"/>
  <c r="Z29" i="2"/>
  <c r="U29" i="2"/>
  <c r="S29" i="2"/>
  <c r="I27" i="4"/>
  <c r="Q29" i="2"/>
  <c r="O29" i="2"/>
  <c r="K29" i="2"/>
  <c r="I29" i="2"/>
  <c r="M29" i="2"/>
  <c r="G29" i="2"/>
  <c r="E29" i="2"/>
  <c r="BI28" i="2"/>
  <c r="BH28" i="2"/>
  <c r="BG28" i="2"/>
  <c r="BF28" i="2"/>
  <c r="BE28" i="2"/>
  <c r="BD28" i="2"/>
  <c r="AY28" i="2"/>
  <c r="AQ28" i="2"/>
  <c r="AM28" i="2"/>
  <c r="AI28" i="2"/>
  <c r="AF28" i="2"/>
  <c r="AC28" i="2"/>
  <c r="Z28" i="2"/>
  <c r="U28" i="2"/>
  <c r="S28" i="2"/>
  <c r="Q28" i="2"/>
  <c r="O28" i="2"/>
  <c r="K28" i="2"/>
  <c r="I28" i="2"/>
  <c r="M28" i="2"/>
  <c r="G28" i="2"/>
  <c r="E28" i="2"/>
  <c r="BI27" i="2"/>
  <c r="BH27" i="2"/>
  <c r="BG27" i="2"/>
  <c r="BF27" i="2"/>
  <c r="BE27" i="2"/>
  <c r="BD27" i="2"/>
  <c r="AY27" i="2"/>
  <c r="AQ27" i="2"/>
  <c r="AM27" i="2"/>
  <c r="AI27" i="2"/>
  <c r="AF27" i="2"/>
  <c r="AC27" i="2"/>
  <c r="Z27" i="2"/>
  <c r="U27" i="2"/>
  <c r="J25" i="4"/>
  <c r="S27" i="2"/>
  <c r="Q27" i="2"/>
  <c r="O27" i="2"/>
  <c r="G25" i="4"/>
  <c r="K27" i="2"/>
  <c r="I27" i="2"/>
  <c r="M27" i="2" s="1"/>
  <c r="G27" i="2"/>
  <c r="E27" i="2"/>
  <c r="BI26" i="2"/>
  <c r="BH26" i="2"/>
  <c r="BG26" i="2"/>
  <c r="BF26" i="2"/>
  <c r="BE26" i="2"/>
  <c r="BD26" i="2"/>
  <c r="AY26" i="2"/>
  <c r="AQ26" i="2"/>
  <c r="AM26" i="2"/>
  <c r="AI26" i="2"/>
  <c r="AF26" i="2"/>
  <c r="AC26" i="2"/>
  <c r="Z26" i="2"/>
  <c r="U26" i="2"/>
  <c r="J24" i="4"/>
  <c r="S26" i="2"/>
  <c r="I24" i="4"/>
  <c r="Q26" i="2"/>
  <c r="O26" i="2"/>
  <c r="K26" i="2"/>
  <c r="I26" i="2"/>
  <c r="M26" i="2"/>
  <c r="G26" i="2"/>
  <c r="E26" i="2"/>
  <c r="E24" i="4"/>
  <c r="BI25" i="2"/>
  <c r="BH25" i="2"/>
  <c r="BG25" i="2"/>
  <c r="BF25" i="2"/>
  <c r="BE25" i="2"/>
  <c r="BD25" i="2"/>
  <c r="AY25" i="2"/>
  <c r="AQ25" i="2"/>
  <c r="AM25" i="2"/>
  <c r="AI25" i="2"/>
  <c r="AF25" i="2"/>
  <c r="AC25" i="2"/>
  <c r="Z25" i="2"/>
  <c r="U25" i="2"/>
  <c r="S25" i="2"/>
  <c r="Q25" i="2"/>
  <c r="O25" i="2"/>
  <c r="K25" i="2"/>
  <c r="I25" i="2"/>
  <c r="M25" i="2"/>
  <c r="G25" i="2"/>
  <c r="E25" i="2"/>
  <c r="BI24" i="2"/>
  <c r="BH24" i="2"/>
  <c r="BG24" i="2"/>
  <c r="BF24" i="2"/>
  <c r="BE24" i="2"/>
  <c r="AY24" i="2"/>
  <c r="AQ24" i="2"/>
  <c r="AM24" i="2"/>
  <c r="AI24" i="2"/>
  <c r="AF24" i="2"/>
  <c r="AC24" i="2"/>
  <c r="Z24" i="2"/>
  <c r="W24" i="2"/>
  <c r="U24" i="2"/>
  <c r="J22" i="4"/>
  <c r="S24" i="2"/>
  <c r="I22" i="4"/>
  <c r="Q24" i="2"/>
  <c r="H22" i="4"/>
  <c r="O24" i="2"/>
  <c r="K24" i="2"/>
  <c r="I24" i="2"/>
  <c r="M24" i="2"/>
  <c r="G24" i="2"/>
  <c r="E24" i="2"/>
  <c r="BI23" i="2"/>
  <c r="BH23" i="2"/>
  <c r="BG23" i="2"/>
  <c r="BF23" i="2"/>
  <c r="BE23" i="2"/>
  <c r="BD23" i="2"/>
  <c r="AY23" i="2"/>
  <c r="AQ23" i="2"/>
  <c r="AM23" i="2"/>
  <c r="AI23" i="2"/>
  <c r="AF23" i="2"/>
  <c r="AC23" i="2"/>
  <c r="Z23" i="2"/>
  <c r="U23" i="2"/>
  <c r="S23" i="2"/>
  <c r="Q23" i="2"/>
  <c r="O23" i="2"/>
  <c r="K23" i="2"/>
  <c r="I23" i="2"/>
  <c r="M23" i="2"/>
  <c r="G23" i="2"/>
  <c r="F21" i="4"/>
  <c r="E23" i="2"/>
  <c r="BI22" i="2"/>
  <c r="BH22" i="2"/>
  <c r="BG22" i="2"/>
  <c r="BF22" i="2"/>
  <c r="BE22" i="2"/>
  <c r="BD22" i="2"/>
  <c r="AY22" i="2"/>
  <c r="AQ22" i="2"/>
  <c r="AM22" i="2"/>
  <c r="AI22" i="2"/>
  <c r="AF22" i="2"/>
  <c r="AC22" i="2"/>
  <c r="Z22" i="2"/>
  <c r="U22" i="2"/>
  <c r="J20" i="4"/>
  <c r="S22" i="2"/>
  <c r="Q22" i="2"/>
  <c r="O22" i="2"/>
  <c r="G20" i="4"/>
  <c r="K22" i="2"/>
  <c r="I22" i="2"/>
  <c r="M22" i="2" s="1"/>
  <c r="G22" i="2"/>
  <c r="E22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U21" i="2"/>
  <c r="S21" i="2"/>
  <c r="I19" i="4"/>
  <c r="Q21" i="2"/>
  <c r="H19" i="4"/>
  <c r="O21" i="2"/>
  <c r="K21" i="2"/>
  <c r="I21" i="2"/>
  <c r="M21" i="2"/>
  <c r="G21" i="2"/>
  <c r="E21" i="2"/>
  <c r="BI20" i="2"/>
  <c r="BH20" i="2"/>
  <c r="BG20" i="2"/>
  <c r="BF20" i="2"/>
  <c r="BE20" i="2"/>
  <c r="BD20" i="2"/>
  <c r="AY20" i="2"/>
  <c r="AQ20" i="2"/>
  <c r="AM20" i="2"/>
  <c r="AI20" i="2"/>
  <c r="AF20" i="2"/>
  <c r="AC20" i="2"/>
  <c r="Z20" i="2"/>
  <c r="U20" i="2"/>
  <c r="S20" i="2"/>
  <c r="Q20" i="2"/>
  <c r="O20" i="2"/>
  <c r="G18" i="4"/>
  <c r="K20" i="2"/>
  <c r="I20" i="2"/>
  <c r="M20" i="2"/>
  <c r="G20" i="2"/>
  <c r="E20" i="2"/>
  <c r="BI19" i="2"/>
  <c r="BH19" i="2"/>
  <c r="BG19" i="2"/>
  <c r="BF19" i="2"/>
  <c r="BE19" i="2"/>
  <c r="BD19" i="2"/>
  <c r="AY19" i="2"/>
  <c r="AQ19" i="2"/>
  <c r="AM19" i="2"/>
  <c r="AI19" i="2"/>
  <c r="AF19" i="2"/>
  <c r="AC19" i="2"/>
  <c r="Z19" i="2"/>
  <c r="U19" i="2"/>
  <c r="J17" i="4"/>
  <c r="S19" i="2"/>
  <c r="I17" i="4"/>
  <c r="Q19" i="2"/>
  <c r="O19" i="2"/>
  <c r="G17" i="4"/>
  <c r="K19" i="2"/>
  <c r="I19" i="2"/>
  <c r="M19" i="2" s="1"/>
  <c r="G19" i="2"/>
  <c r="E19" i="2"/>
  <c r="E17" i="4"/>
  <c r="BI18" i="2"/>
  <c r="BH18" i="2"/>
  <c r="BG18" i="2"/>
  <c r="BF18" i="2"/>
  <c r="BE18" i="2"/>
  <c r="BD18" i="2"/>
  <c r="AY18" i="2"/>
  <c r="AQ18" i="2"/>
  <c r="AM18" i="2"/>
  <c r="AI18" i="2"/>
  <c r="AF18" i="2"/>
  <c r="AC18" i="2"/>
  <c r="Z18" i="2"/>
  <c r="U18" i="2"/>
  <c r="J16" i="4"/>
  <c r="S18" i="2"/>
  <c r="I16" i="4"/>
  <c r="Q18" i="2"/>
  <c r="O18" i="2"/>
  <c r="G16" i="4"/>
  <c r="K18" i="2"/>
  <c r="I18" i="2"/>
  <c r="M18" i="2"/>
  <c r="G18" i="2"/>
  <c r="E18" i="2"/>
  <c r="A18" i="2"/>
  <c r="A19" i="2"/>
  <c r="BI17" i="2"/>
  <c r="BH17" i="2"/>
  <c r="BG17" i="2"/>
  <c r="BF17" i="2"/>
  <c r="BE17" i="2"/>
  <c r="BD17" i="2"/>
  <c r="BC17" i="2"/>
  <c r="BB17" i="2"/>
  <c r="BA17" i="2"/>
  <c r="AZ17" i="2"/>
  <c r="AY17" i="2"/>
  <c r="AQ17" i="2"/>
  <c r="AM17" i="2"/>
  <c r="AI17" i="2"/>
  <c r="AF17" i="2"/>
  <c r="AC17" i="2"/>
  <c r="Z17" i="2"/>
  <c r="U17" i="2"/>
  <c r="S17" i="2"/>
  <c r="Q17" i="2"/>
  <c r="H15" i="4"/>
  <c r="O17" i="2"/>
  <c r="K17" i="2"/>
  <c r="I17" i="2"/>
  <c r="M17" i="2"/>
  <c r="G17" i="2"/>
  <c r="E17" i="2"/>
  <c r="E15" i="4"/>
  <c r="BI16" i="2"/>
  <c r="BH16" i="2"/>
  <c r="BG16" i="2"/>
  <c r="BF16" i="2"/>
  <c r="BE16" i="2"/>
  <c r="BD16" i="2"/>
  <c r="AY16" i="2"/>
  <c r="AQ16" i="2"/>
  <c r="AM16" i="2"/>
  <c r="AI16" i="2"/>
  <c r="AF16" i="2"/>
  <c r="AC16" i="2"/>
  <c r="Z16" i="2"/>
  <c r="U16" i="2"/>
  <c r="S16" i="2"/>
  <c r="Q16" i="2"/>
  <c r="O16" i="2"/>
  <c r="G14" i="4"/>
  <c r="K16" i="2"/>
  <c r="I16" i="2"/>
  <c r="M16" i="2" s="1"/>
  <c r="G16" i="2"/>
  <c r="E16" i="2"/>
  <c r="E14" i="4"/>
  <c r="BI15" i="2"/>
  <c r="BH15" i="2"/>
  <c r="BG15" i="2"/>
  <c r="BF15" i="2"/>
  <c r="BE15" i="2"/>
  <c r="BD15" i="2"/>
  <c r="AY15" i="2"/>
  <c r="AQ15" i="2"/>
  <c r="AM15" i="2"/>
  <c r="AI15" i="2"/>
  <c r="AF15" i="2"/>
  <c r="AC15" i="2"/>
  <c r="Z15" i="2"/>
  <c r="U15" i="2"/>
  <c r="J13" i="4"/>
  <c r="S15" i="2"/>
  <c r="I13" i="4"/>
  <c r="Q15" i="2"/>
  <c r="O15" i="2"/>
  <c r="K15" i="2"/>
  <c r="I15" i="2"/>
  <c r="M15" i="2"/>
  <c r="G15" i="2"/>
  <c r="E15" i="2"/>
  <c r="E13" i="4"/>
  <c r="F4" i="2"/>
  <c r="F36" i="2"/>
  <c r="G5" i="2"/>
  <c r="F3" i="4"/>
  <c r="BI14" i="2"/>
  <c r="BH14" i="2"/>
  <c r="BG14" i="2"/>
  <c r="BF14" i="2"/>
  <c r="BE14" i="2"/>
  <c r="AY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A14" i="2"/>
  <c r="BA14" i="2"/>
  <c r="BI13" i="2"/>
  <c r="BH13" i="2"/>
  <c r="BG13" i="2"/>
  <c r="BF13" i="2"/>
  <c r="BE13" i="2"/>
  <c r="BD13" i="2"/>
  <c r="BC13" i="2"/>
  <c r="BB13" i="2"/>
  <c r="BA13" i="2"/>
  <c r="AZ13" i="2"/>
  <c r="AY13" i="2"/>
  <c r="AQ13" i="2"/>
  <c r="AM13" i="2"/>
  <c r="AI13" i="2"/>
  <c r="AF13" i="2"/>
  <c r="AC13" i="2"/>
  <c r="Z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Q12" i="2"/>
  <c r="AM12" i="2"/>
  <c r="AI12" i="2"/>
  <c r="AF12" i="2"/>
  <c r="AC12" i="2"/>
  <c r="Z12" i="2"/>
  <c r="U12" i="2"/>
  <c r="S12" i="2"/>
  <c r="Q12" i="2"/>
  <c r="O12" i="2"/>
  <c r="K12" i="2"/>
  <c r="I12" i="2"/>
  <c r="M12" i="2"/>
  <c r="G12" i="2"/>
  <c r="E12" i="2"/>
  <c r="BI11" i="2"/>
  <c r="BH11" i="2"/>
  <c r="BG11" i="2"/>
  <c r="BF11" i="2"/>
  <c r="BE11" i="2"/>
  <c r="BD11" i="2"/>
  <c r="AY11" i="2"/>
  <c r="AQ11" i="2"/>
  <c r="AM11" i="2"/>
  <c r="AI11" i="2"/>
  <c r="AF11" i="2"/>
  <c r="AC11" i="2"/>
  <c r="Z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Q10" i="2"/>
  <c r="AM10" i="2"/>
  <c r="AI10" i="2"/>
  <c r="AF10" i="2"/>
  <c r="AC10" i="2"/>
  <c r="Z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Q9" i="2"/>
  <c r="AM9" i="2"/>
  <c r="AI9" i="2"/>
  <c r="AF9" i="2"/>
  <c r="AC9" i="2"/>
  <c r="Z9" i="2"/>
  <c r="U9" i="2"/>
  <c r="S9" i="2"/>
  <c r="Q9" i="2"/>
  <c r="O9" i="2"/>
  <c r="K9" i="2"/>
  <c r="I9" i="2"/>
  <c r="M9" i="2"/>
  <c r="G9" i="2"/>
  <c r="E9" i="2"/>
  <c r="BI8" i="2"/>
  <c r="BH8" i="2"/>
  <c r="BG8" i="2"/>
  <c r="BF8" i="2"/>
  <c r="BE8" i="2"/>
  <c r="BD8" i="2"/>
  <c r="AY8" i="2"/>
  <c r="AQ8" i="2"/>
  <c r="AM8" i="2"/>
  <c r="AI8" i="2"/>
  <c r="AF8" i="2"/>
  <c r="AC8" i="2"/>
  <c r="Z8" i="2"/>
  <c r="U8" i="2"/>
  <c r="S8" i="2"/>
  <c r="Q8" i="2"/>
  <c r="O8" i="2"/>
  <c r="K8" i="2"/>
  <c r="I8" i="2"/>
  <c r="M8" i="2"/>
  <c r="G8" i="2"/>
  <c r="E8" i="2"/>
  <c r="BI7" i="2"/>
  <c r="BH7" i="2"/>
  <c r="BG7" i="2"/>
  <c r="BF7" i="2"/>
  <c r="BE7" i="2"/>
  <c r="BD7" i="2"/>
  <c r="AY7" i="2"/>
  <c r="AQ7" i="2"/>
  <c r="AM7" i="2"/>
  <c r="AI7" i="2"/>
  <c r="AF7" i="2"/>
  <c r="AC7" i="2"/>
  <c r="Z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AY6" i="2"/>
  <c r="AQ6" i="2"/>
  <c r="AM6" i="2"/>
  <c r="AI6" i="2"/>
  <c r="AF6" i="2"/>
  <c r="AC6" i="2"/>
  <c r="Z6" i="2"/>
  <c r="U6" i="2"/>
  <c r="S6" i="2"/>
  <c r="Q6" i="2"/>
  <c r="O6" i="2"/>
  <c r="K6" i="2"/>
  <c r="I6" i="2"/>
  <c r="M6" i="2" s="1"/>
  <c r="G6" i="2"/>
  <c r="E6" i="2"/>
  <c r="A6" i="2"/>
  <c r="AZ6" i="2" s="1"/>
  <c r="BA6" i="2"/>
  <c r="BI5" i="2"/>
  <c r="BH5" i="2"/>
  <c r="BG5" i="2"/>
  <c r="BF5" i="2"/>
  <c r="BE5" i="2"/>
  <c r="BD5" i="2"/>
  <c r="BC5" i="2"/>
  <c r="BB5" i="2"/>
  <c r="BA5" i="2"/>
  <c r="AZ5" i="2"/>
  <c r="AY5" i="2"/>
  <c r="AQ5" i="2"/>
  <c r="AM5" i="2"/>
  <c r="AI5" i="2"/>
  <c r="AF5" i="2"/>
  <c r="AC5" i="2"/>
  <c r="Z5" i="2"/>
  <c r="O5" i="2"/>
  <c r="I5" i="2"/>
  <c r="M5" i="2"/>
  <c r="BE4" i="2"/>
  <c r="BC4" i="2"/>
  <c r="BB4" i="2"/>
  <c r="BA4" i="2"/>
  <c r="AZ4" i="2"/>
  <c r="U5" i="2"/>
  <c r="J3" i="4"/>
  <c r="S5" i="2"/>
  <c r="I3" i="4"/>
  <c r="Q5" i="2"/>
  <c r="H3" i="4"/>
  <c r="K5" i="2"/>
  <c r="E5" i="2"/>
  <c r="AW36" i="2"/>
  <c r="AU36" i="2"/>
  <c r="AT36" i="2"/>
  <c r="AS36" i="2"/>
  <c r="AR36" i="2"/>
  <c r="AN36" i="2"/>
  <c r="AJ36" i="2"/>
  <c r="AG36" i="2"/>
  <c r="AD36" i="2"/>
  <c r="AB37" i="2"/>
  <c r="AA36" i="2"/>
  <c r="X36" i="2"/>
  <c r="N36" i="2"/>
  <c r="H36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 s="1"/>
  <c r="G35" i="2"/>
  <c r="E35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/>
  <c r="G34" i="2"/>
  <c r="E34" i="2"/>
  <c r="BI33" i="2"/>
  <c r="BH33" i="2"/>
  <c r="BG33" i="2"/>
  <c r="BF33" i="2"/>
  <c r="BE33" i="2"/>
  <c r="BD33" i="2"/>
  <c r="BC33" i="2"/>
  <c r="BB33" i="2"/>
  <c r="BA33" i="2"/>
  <c r="AZ33" i="2"/>
  <c r="AY33" i="2"/>
  <c r="AY34" i="2"/>
  <c r="AY35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/>
  <c r="G33" i="2"/>
  <c r="E33" i="2"/>
  <c r="A33" i="2"/>
  <c r="A34" i="2"/>
  <c r="A35" i="2"/>
  <c r="F30" i="4"/>
  <c r="J29" i="4"/>
  <c r="H28" i="4"/>
  <c r="G28" i="4"/>
  <c r="J27" i="4"/>
  <c r="F27" i="4"/>
  <c r="G26" i="4"/>
  <c r="I25" i="4"/>
  <c r="H24" i="4"/>
  <c r="J23" i="4"/>
  <c r="G23" i="4"/>
  <c r="G21" i="4"/>
  <c r="H20" i="4"/>
  <c r="F19" i="4"/>
  <c r="H18" i="4"/>
  <c r="I15" i="4"/>
  <c r="G15" i="4"/>
  <c r="F15" i="4"/>
  <c r="I14" i="4"/>
  <c r="F13" i="4"/>
  <c r="J12" i="4"/>
  <c r="H12" i="4"/>
  <c r="G12" i="4"/>
  <c r="J11" i="4"/>
  <c r="I11" i="4"/>
  <c r="F11" i="4"/>
  <c r="E11" i="4"/>
  <c r="G9" i="4"/>
  <c r="J8" i="4"/>
  <c r="E8" i="4"/>
  <c r="G7" i="4"/>
  <c r="H6" i="4"/>
  <c r="E6" i="4"/>
  <c r="I5" i="4"/>
  <c r="F5" i="4"/>
  <c r="I4" i="4"/>
  <c r="H4" i="4"/>
  <c r="G3" i="4"/>
  <c r="AP36" i="2"/>
  <c r="AL36" i="2"/>
  <c r="AH36" i="2"/>
  <c r="AE36" i="2"/>
  <c r="AB36" i="2"/>
  <c r="Y36" i="2"/>
  <c r="V36" i="2"/>
  <c r="P36" i="2"/>
  <c r="J6" i="4"/>
  <c r="I9" i="4"/>
  <c r="I12" i="4"/>
  <c r="F14" i="4"/>
  <c r="F17" i="4"/>
  <c r="I21" i="4"/>
  <c r="I23" i="4"/>
  <c r="F25" i="4"/>
  <c r="H26" i="4"/>
  <c r="E28" i="4"/>
  <c r="J28" i="4"/>
  <c r="G29" i="4"/>
  <c r="G30" i="4"/>
  <c r="I28" i="4"/>
  <c r="J26" i="4"/>
  <c r="E26" i="4"/>
  <c r="H23" i="4"/>
  <c r="I20" i="4"/>
  <c r="J18" i="4"/>
  <c r="E18" i="4"/>
  <c r="H16" i="4"/>
  <c r="J14" i="4"/>
  <c r="G13" i="4"/>
  <c r="F12" i="4"/>
  <c r="H9" i="4"/>
  <c r="F9" i="4"/>
  <c r="F8" i="4"/>
  <c r="I7" i="4"/>
  <c r="G4" i="4"/>
  <c r="F23" i="4"/>
  <c r="I6" i="4"/>
  <c r="E30" i="4"/>
  <c r="I29" i="4"/>
  <c r="H29" i="4"/>
  <c r="G27" i="4"/>
  <c r="I26" i="4"/>
  <c r="F26" i="4"/>
  <c r="H25" i="4"/>
  <c r="G24" i="4"/>
  <c r="F24" i="4"/>
  <c r="E23" i="4"/>
  <c r="F4" i="4"/>
  <c r="E5" i="4"/>
  <c r="J5" i="4"/>
  <c r="H7" i="4"/>
  <c r="I8" i="4"/>
  <c r="J9" i="4"/>
  <c r="F10" i="4"/>
  <c r="H10" i="4"/>
  <c r="I10" i="4"/>
  <c r="J10" i="4"/>
  <c r="G11" i="4"/>
  <c r="H11" i="4"/>
  <c r="H13" i="4"/>
  <c r="J15" i="4"/>
  <c r="E16" i="4"/>
  <c r="I18" i="4"/>
  <c r="E19" i="4"/>
  <c r="J19" i="4"/>
  <c r="J21" i="4"/>
  <c r="F22" i="4"/>
  <c r="G22" i="4"/>
  <c r="H27" i="4"/>
  <c r="H30" i="4"/>
  <c r="H21" i="4"/>
  <c r="F20" i="4"/>
  <c r="F16" i="4"/>
  <c r="G10" i="4"/>
  <c r="E10" i="4"/>
  <c r="H8" i="4"/>
  <c r="F7" i="4"/>
  <c r="E7" i="4"/>
  <c r="G6" i="4"/>
  <c r="J7" i="4"/>
  <c r="F6" i="4"/>
  <c r="J4" i="4"/>
  <c r="O3" i="4"/>
  <c r="K3" i="4"/>
  <c r="E2" i="5"/>
  <c r="I30" i="4"/>
  <c r="F29" i="4"/>
  <c r="F28" i="4"/>
  <c r="F18" i="4"/>
  <c r="G5" i="4"/>
  <c r="J30" i="4"/>
  <c r="E27" i="4"/>
  <c r="H14" i="4"/>
  <c r="H17" i="4"/>
  <c r="G19" i="4"/>
  <c r="G8" i="4"/>
  <c r="H5" i="4"/>
  <c r="N8" i="4"/>
  <c r="L8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N3" i="4"/>
  <c r="M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E9" i="4"/>
  <c r="E12" i="4"/>
  <c r="E4" i="4"/>
  <c r="E21" i="4"/>
  <c r="E20" i="4"/>
  <c r="R36" i="2"/>
  <c r="T36" i="2"/>
  <c r="E22" i="4"/>
  <c r="D36" i="2"/>
  <c r="E25" i="4"/>
  <c r="E29" i="4"/>
  <c r="E3" i="4"/>
  <c r="BB6" i="2"/>
  <c r="A7" i="2"/>
  <c r="BB14" i="2"/>
  <c r="BC6" i="2"/>
  <c r="BC14" i="2"/>
  <c r="BC7" i="2"/>
  <c r="A8" i="2"/>
  <c r="BB7" i="2"/>
  <c r="BA7" i="2"/>
  <c r="AZ7" i="2"/>
  <c r="BC8" i="2"/>
  <c r="A9" i="2"/>
  <c r="BB8" i="2"/>
  <c r="BA8" i="2"/>
  <c r="AZ8" i="2"/>
  <c r="AZ9" i="2"/>
  <c r="BC9" i="2"/>
  <c r="A10" i="2"/>
  <c r="BB9" i="2"/>
  <c r="BA9" i="2"/>
  <c r="BC10" i="2"/>
  <c r="A11" i="2"/>
  <c r="BB10" i="2"/>
  <c r="BA10" i="2"/>
  <c r="AZ10" i="2"/>
  <c r="A12" i="2"/>
  <c r="BB11" i="2"/>
  <c r="BA11" i="2"/>
  <c r="AZ11" i="2"/>
  <c r="BC11" i="2"/>
  <c r="BC12" i="2"/>
  <c r="BB12" i="2"/>
  <c r="BA12" i="2"/>
  <c r="AZ12" i="2"/>
  <c r="AJ37" i="2"/>
  <c r="AI37" i="2"/>
  <c r="BC19" i="2"/>
  <c r="A20" i="2"/>
  <c r="BB19" i="2"/>
  <c r="BA19" i="2"/>
  <c r="AZ19" i="2"/>
  <c r="BC18" i="2"/>
  <c r="AG37" i="2"/>
  <c r="BA18" i="2"/>
  <c r="AZ18" i="2"/>
  <c r="BB18" i="2"/>
  <c r="A21" i="2"/>
  <c r="BB20" i="2"/>
  <c r="BA20" i="2"/>
  <c r="BC20" i="2"/>
  <c r="AZ20" i="2"/>
  <c r="A22" i="2"/>
  <c r="BB21" i="2"/>
  <c r="BA21" i="2"/>
  <c r="AZ21" i="2"/>
  <c r="BC21" i="2"/>
  <c r="BC22" i="2"/>
  <c r="A23" i="2"/>
  <c r="BB22" i="2"/>
  <c r="BA22" i="2"/>
  <c r="AZ22" i="2"/>
  <c r="A24" i="2"/>
  <c r="BB23" i="2"/>
  <c r="BC23" i="2"/>
  <c r="BA23" i="2"/>
  <c r="AZ23" i="2"/>
  <c r="AZ24" i="2"/>
  <c r="BD24" i="2"/>
  <c r="BC24" i="2"/>
  <c r="A25" i="2"/>
  <c r="BB24" i="2"/>
  <c r="BA24" i="2"/>
  <c r="BC25" i="2"/>
  <c r="BB25" i="2"/>
  <c r="BA25" i="2"/>
  <c r="AZ25" i="2"/>
  <c r="A26" i="2"/>
  <c r="A27" i="2"/>
  <c r="BB26" i="2"/>
  <c r="AZ26" i="2"/>
  <c r="BA26" i="2"/>
  <c r="BC26" i="2"/>
  <c r="BC27" i="2"/>
  <c r="A28" i="2"/>
  <c r="BB27" i="2"/>
  <c r="BA27" i="2"/>
  <c r="AZ27" i="2"/>
  <c r="A29" i="2"/>
  <c r="BB28" i="2"/>
  <c r="BC28" i="2"/>
  <c r="BA28" i="2"/>
  <c r="AZ28" i="2"/>
  <c r="BA29" i="2"/>
  <c r="AZ29" i="2"/>
  <c r="BC29" i="2"/>
  <c r="A30" i="2"/>
  <c r="BB29" i="2"/>
  <c r="BC30" i="2"/>
  <c r="A31" i="2"/>
  <c r="BB30" i="2"/>
  <c r="BA30" i="2"/>
  <c r="AZ30" i="2"/>
  <c r="BC31" i="2"/>
  <c r="BB31" i="2"/>
  <c r="BA31" i="2"/>
  <c r="AZ31" i="2"/>
  <c r="A15" i="2" l="1"/>
  <c r="BD14" i="2"/>
  <c r="AZ14" i="2"/>
  <c r="A16" i="2" l="1"/>
  <c r="BC15" i="2"/>
  <c r="AZ15" i="2"/>
  <c r="BA15" i="2"/>
  <c r="BB15" i="2"/>
  <c r="BC16" i="2" l="1"/>
  <c r="BB16" i="2"/>
  <c r="BA16" i="2"/>
  <c r="AZ16" i="2"/>
</calcChain>
</file>

<file path=xl/sharedStrings.xml><?xml version="1.0" encoding="utf-8"?>
<sst xmlns="http://schemas.openxmlformats.org/spreadsheetml/2006/main" count="200" uniqueCount="77">
  <si>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</si>
  <si>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</si>
  <si>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</si>
  <si>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</si>
  <si>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</si>
  <si>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</si>
  <si>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</si>
  <si>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</si>
  <si>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</si>
  <si>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</si>
  <si>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</si>
  <si>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</si>
  <si>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</si>
  <si>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</si>
  <si>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</si>
  <si>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</si>
  <si>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</si>
  <si>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</si>
  <si>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</si>
  <si>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</si>
  <si>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</si>
  <si>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</si>
  <si>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</si>
  <si>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</si>
  <si>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GAS RISCALD.</t>
  </si>
  <si>
    <t>GAS CUCINA</t>
  </si>
  <si>
    <t xml:space="preserve"> H2O GENERALE</t>
  </si>
  <si>
    <t>H2O CONDIZION.ADD</t>
  </si>
  <si>
    <t>REINT. H2O ADD</t>
  </si>
  <si>
    <t xml:space="preserve">        H2O ADD F      CUC P</t>
  </si>
  <si>
    <t>H2O SANIT. CALDA</t>
  </si>
  <si>
    <t xml:space="preserve">  ENEL ATTIVA</t>
  </si>
  <si>
    <t>ENEL REATT.</t>
  </si>
  <si>
    <t xml:space="preserve">     ENEL CUC.PRINC. P</t>
  </si>
  <si>
    <t xml:space="preserve">   ENEL CUC.PRINC. N.</t>
  </si>
  <si>
    <t xml:space="preserve">  ENEL CUC.PREP.</t>
  </si>
  <si>
    <t xml:space="preserve">     ENEL CUC.VERANDA       </t>
  </si>
  <si>
    <t xml:space="preserve">     ENEL LAVANDERIA</t>
  </si>
  <si>
    <t>TEMPER.GG.</t>
  </si>
  <si>
    <t>n°Ric</t>
  </si>
  <si>
    <t>Ricarica auto el.</t>
  </si>
  <si>
    <t>KW.tot</t>
  </si>
  <si>
    <t>H2O PISCINA</t>
  </si>
  <si>
    <t>GAS RISCALDAM.</t>
  </si>
  <si>
    <t>ACQUA GENER.</t>
  </si>
  <si>
    <t>ACQUA CONDIZ.</t>
  </si>
  <si>
    <t>ENERGIA</t>
  </si>
  <si>
    <t>Proiezione BA</t>
  </si>
  <si>
    <t>ENEL CUC.PRINC.</t>
  </si>
  <si>
    <t>ENEL CUC.PREP.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</si>
  <si>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</si>
  <si>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</si>
  <si>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</si>
  <si>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</si>
  <si>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</si>
  <si>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</si>
  <si>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</si>
  <si>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</si>
  <si>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</si>
  <si>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</si>
  <si>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</si>
  <si>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</si>
  <si>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LET.KWH</t>
  </si>
  <si>
    <t>consumo</t>
  </si>
  <si>
    <t>LET. KWH</t>
  </si>
  <si>
    <t>Consumo BA</t>
  </si>
  <si>
    <t>LET. KWH*80</t>
  </si>
  <si>
    <t>COV</t>
  </si>
  <si>
    <t>MIN</t>
  </si>
  <si>
    <t>MAX</t>
  </si>
  <si>
    <t>KW/h</t>
  </si>
  <si>
    <t>00:00</t>
  </si>
  <si>
    <t>00:30</t>
  </si>
  <si>
    <t xml:space="preserve">TOTALE </t>
  </si>
  <si>
    <t>CONSUMI</t>
  </si>
  <si>
    <t>x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</si>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</sst>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  <numFmt numFmtId="170" formatCode="#,##0.000"/>
  </numFmts>
  <fonts count="20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/>
      <name val="Arial"/>
      <family val="2"/>
    </font>
    <font>
      <sz val="12"/>
      <color theme="8" tint="0.5999938962981048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31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0" xfId="1" applyFont="1" applyBorder="1" applyProtection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2" fillId="5" borderId="10" xfId="1" applyFont="1" applyFill="1" applyBorder="1"/>
    <xf numFmtId="168" fontId="1" fillId="0" borderId="0" xfId="1" applyNumberFormat="1" applyFont="1"/>
    <xf numFmtId="164" fontId="2" fillId="0" borderId="11" xfId="1" applyFont="1" applyBorder="1"/>
    <xf numFmtId="164" fontId="2" fillId="0" borderId="11" xfId="1" applyFont="1" applyBorder="1" applyProtection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" fillId="0" borderId="12" xfId="1" applyFont="1" applyBorder="1" applyProtection="1"/>
    <xf numFmtId="1" fontId="12" fillId="0" borderId="0" xfId="0" applyNumberFormat="1" applyFont="1"/>
    <xf numFmtId="164" fontId="12" fillId="0" borderId="0" xfId="0" applyNumberFormat="1" applyFont="1"/>
    <xf numFmtId="1" fontId="15" fillId="0" borderId="0" xfId="0" applyNumberFormat="1" applyFont="1" applyAlignment="1">
      <alignment wrapText="1"/>
    </xf>
    <xf numFmtId="1" fontId="14" fillId="0" borderId="0" xfId="0" applyNumberFormat="1" applyFont="1"/>
    <xf numFmtId="1" fontId="11" fillId="0" borderId="0" xfId="0" applyNumberFormat="1" applyFont="1"/>
    <xf numFmtId="164" fontId="1" fillId="0" borderId="0" xfId="1" applyFont="1" applyBorder="1"/>
    <xf numFmtId="164" fontId="2" fillId="3" borderId="1" xfId="1" applyFont="1" applyFill="1" applyBorder="1" applyAlignment="1" applyProtection="1">
      <alignment horizontal="left" vertical="center"/>
    </xf>
    <xf numFmtId="3" fontId="1" fillId="0" borderId="1" xfId="1" applyNumberFormat="1" applyFont="1" applyBorder="1" applyProtection="1"/>
    <xf numFmtId="164" fontId="2" fillId="4" borderId="13" xfId="1" applyFont="1" applyFill="1" applyBorder="1" applyAlignment="1" applyProtection="1">
      <alignment horizontal="right"/>
    </xf>
    <xf numFmtId="164" fontId="2" fillId="0" borderId="10" xfId="1" applyFont="1" applyFill="1" applyBorder="1"/>
    <xf numFmtId="164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1" fillId="3" borderId="14" xfId="1" applyFont="1" applyFill="1" applyBorder="1"/>
    <xf numFmtId="164" fontId="5" fillId="0" borderId="5" xfId="1" applyFont="1" applyBorder="1" applyProtection="1"/>
    <xf numFmtId="164" fontId="5" fillId="0" borderId="6" xfId="1" applyFont="1" applyBorder="1" applyProtection="1"/>
    <xf numFmtId="164" fontId="3" fillId="0" borderId="6" xfId="1" applyFont="1" applyFill="1" applyBorder="1"/>
    <xf numFmtId="164" fontId="16" fillId="0" borderId="4" xfId="1" applyFont="1" applyBorder="1" applyProtection="1"/>
    <xf numFmtId="164" fontId="7" fillId="0" borderId="4" xfId="1" applyFont="1" applyBorder="1" applyProtection="1"/>
    <xf numFmtId="170" fontId="5" fillId="0" borderId="4" xfId="1" applyNumberFormat="1" applyFont="1" applyBorder="1" applyProtection="1"/>
    <xf numFmtId="164" fontId="16" fillId="0" borderId="15" xfId="1" applyFont="1" applyBorder="1" applyProtection="1"/>
    <xf numFmtId="165" fontId="5" fillId="0" borderId="4" xfId="1" applyNumberFormat="1" applyFont="1" applyBorder="1" applyProtection="1"/>
    <xf numFmtId="169" fontId="5" fillId="0" borderId="16" xfId="1" applyNumberFormat="1" applyFont="1" applyBorder="1" applyProtection="1"/>
    <xf numFmtId="164" fontId="17" fillId="0" borderId="4" xfId="1" applyFont="1" applyBorder="1" applyProtection="1"/>
    <xf numFmtId="164" fontId="5" fillId="0" borderId="4" xfId="1" applyFont="1" applyFill="1" applyBorder="1"/>
    <xf numFmtId="164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Protection="1"/>
    <xf numFmtId="4" fontId="1" fillId="0" borderId="1" xfId="1" applyNumberFormat="1" applyFont="1" applyBorder="1" applyProtection="1"/>
    <xf numFmtId="164" fontId="1" fillId="0" borderId="1" xfId="1" applyFont="1" applyBorder="1" applyProtection="1"/>
    <xf numFmtId="164" fontId="3" fillId="0" borderId="1" xfId="1" applyFont="1" applyBorder="1" applyProtection="1"/>
    <xf numFmtId="1" fontId="5" fillId="0" borderId="4" xfId="1" applyNumberFormat="1" applyFont="1" applyFill="1" applyBorder="1" applyAlignment="1" applyProtection="1">
      <alignment horizontal="right"/>
    </xf>
    <xf numFmtId="167" fontId="3" fillId="0" borderId="6" xfId="1" applyNumberFormat="1" applyFont="1" applyFill="1" applyBorder="1"/>
    <xf numFmtId="164" fontId="5" fillId="0" borderId="4" xfId="1" applyFont="1" applyFill="1" applyBorder="1" applyAlignment="1" applyProtection="1">
      <alignment horizontal="right"/>
    </xf>
    <xf numFmtId="164" fontId="2" fillId="4" borderId="5" xfId="1" applyFont="1" applyFill="1" applyBorder="1" applyProtection="1"/>
    <xf numFmtId="164" fontId="18" fillId="0" borderId="5" xfId="1" applyFont="1" applyBorder="1" applyProtection="1"/>
    <xf numFmtId="164" fontId="5" fillId="0" borderId="4" xfId="1" quotePrefix="1" applyFont="1" applyFill="1" applyBorder="1" applyAlignment="1" applyProtection="1">
      <alignment horizontal="right"/>
    </xf>
    <xf numFmtId="164" fontId="5" fillId="0" borderId="4" xfId="1" applyFont="1" applyFill="1" applyBorder="1" applyAlignment="1">
      <alignment horizontal="right"/>
    </xf>
    <xf numFmtId="164" fontId="3" fillId="0" borderId="4" xfId="1" applyFont="1" applyBorder="1"/>
    <xf numFmtId="164" fontId="19" fillId="0" borderId="4" xfId="1" applyFont="1" applyBorder="1" applyProtection="1"/>
    <xf numFmtId="166" fontId="5" fillId="0" borderId="4" xfId="1" applyNumberFormat="1" applyFont="1" applyBorder="1" applyProtection="1"/>
    <xf numFmtId="164" fontId="3" fillId="0" borderId="6" xfId="1" applyFont="1" applyBorder="1" applyProtection="1"/>
    <xf numFmtId="1" fontId="5" fillId="0" borderId="4" xfId="1" applyNumberFormat="1" applyFont="1" applyBorder="1" applyProtection="1"/>
    <xf numFmtId="164" fontId="7" fillId="0" borderId="17" xfId="1" applyFont="1" applyBorder="1" applyProtection="1"/>
    <xf numFmtId="164" fontId="2" fillId="0" borderId="18" xfId="1" applyFont="1" applyBorder="1" applyProtection="1"/>
    <xf numFmtId="164" fontId="2" fillId="0" borderId="10" xfId="1" applyFont="1" applyBorder="1"/>
    <xf numFmtId="164" fontId="2" fillId="0" borderId="19" xfId="1" applyFont="1" applyBorder="1" applyProtection="1"/>
    <xf numFmtId="164" fontId="1" fillId="0" borderId="5" xfId="1" applyFont="1" applyBorder="1"/>
    <xf numFmtId="164" fontId="1" fillId="0" borderId="20" xfId="1" applyFont="1" applyBorder="1" applyProtection="1"/>
    <xf numFmtId="164" fontId="2" fillId="0" borderId="0" xfId="1" applyFont="1" applyFill="1" applyAlignment="1" applyProtection="1">
      <alignment horizontal="left"/>
    </xf>
    <xf numFmtId="164" fontId="1" fillId="0" borderId="0" xfId="1" applyFont="1" applyFill="1"/>
    <xf numFmtId="164" fontId="8" fillId="0" borderId="0" xfId="1" applyFont="1" applyAlignment="1">
      <alignment horizontal="center"/>
    </xf>
    <xf numFmtId="164" fontId="2" fillId="0" borderId="0" xfId="1" applyFont="1" applyFill="1"/>
    <xf numFmtId="164" fontId="2" fillId="0" borderId="0" xfId="1" applyFont="1" applyFill="1" applyAlignment="1" applyProtection="1">
      <alignment horizontal="center"/>
    </xf>
    <xf numFmtId="164" fontId="2" fillId="3" borderId="21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left"/>
    </xf>
    <xf numFmtId="164" fontId="2" fillId="3" borderId="22" xfId="1" applyFont="1" applyFill="1" applyBorder="1" applyAlignment="1" applyProtection="1">
      <alignment horizontal="left"/>
    </xf>
    <xf numFmtId="164" fontId="2" fillId="3" borderId="23" xfId="1" applyFont="1" applyFill="1" applyBorder="1" applyAlignment="1" applyProtection="1">
      <alignment horizontal="left"/>
    </xf>
    <xf numFmtId="164" fontId="2" fillId="3" borderId="24" xfId="1" applyFont="1" applyFill="1" applyBorder="1" applyAlignment="1" applyProtection="1">
      <alignment horizontal="left"/>
    </xf>
    <xf numFmtId="164" fontId="2" fillId="3" borderId="25" xfId="1" applyFont="1" applyFill="1" applyBorder="1" applyAlignment="1" applyProtection="1">
      <alignment horizontal="left"/>
    </xf>
    <xf numFmtId="164" fontId="2" fillId="3" borderId="26" xfId="1" applyFont="1" applyFill="1" applyBorder="1" applyAlignment="1" applyProtection="1">
      <alignment horizontal="left"/>
    </xf>
    <xf numFmtId="164" fontId="2" fillId="3" borderId="27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center"/>
    </xf>
    <xf numFmtId="164" fontId="2" fillId="3" borderId="9" xfId="1" applyFont="1" applyFill="1" applyBorder="1" applyAlignment="1" applyProtection="1">
      <alignment horizontal="center"/>
    </xf>
    <xf numFmtId="164" fontId="2" fillId="3" borderId="28" xfId="1" applyFont="1" applyFill="1" applyBorder="1"/>
    <xf numFmtId="3" fontId="17" fillId="0" borderId="4" xfId="1" applyNumberFormat="1" applyFont="1" applyBorder="1" applyProtection="1"/>
    <xf numFmtId="164" fontId="2" fillId="5" borderId="37" xfId="1" applyFont="1" applyFill="1" applyBorder="1" applyAlignment="1">
      <alignment horizontal="center"/>
    </xf>
    <xf numFmtId="164" fontId="1" fillId="5" borderId="38" xfId="1" applyFont="1" applyFill="1" applyBorder="1" applyAlignment="1">
      <alignment horizontal="center"/>
    </xf>
    <xf numFmtId="164" fontId="2" fillId="5" borderId="39" xfId="1" applyFont="1" applyFill="1" applyBorder="1" applyAlignment="1">
      <alignment horizontal="center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6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1" fillId="3" borderId="29" xfId="1" applyFont="1" applyFill="1" applyBorder="1" applyAlignment="1">
      <alignment horizontal="center" vertical="center" wrapText="1"/>
    </xf>
    <xf numFmtId="164" fontId="1" fillId="3" borderId="30" xfId="1" applyFont="1" applyFill="1" applyBorder="1" applyAlignment="1">
      <alignment horizontal="center" vertical="center" wrapText="1"/>
    </xf>
    <xf numFmtId="164" fontId="2" fillId="3" borderId="29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>
        <row r="33">
          <cell r="F33">
            <v>6963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C1" zoomScale="130" zoomScaleNormal="130" workbookViewId="0">
      <selection activeCell="P19" sqref="P19"/>
    </sheetView>
  </sheetViews>
  <sheetFormatPr defaultColWidth="11.5703125" defaultRowHeight="15"/>
  <cols>
    <col min="4" max="4" width="13.42578125" customWidth="1"/>
    <col min="5" max="5" width="13" style="41" customWidth="1"/>
    <col min="6" max="6" width="12.5703125" customWidth="1"/>
    <col min="7" max="7" width="13" style="27" customWidth="1"/>
  </cols>
  <sheetData>
    <row r="1" spans="1:12" s="31" customFormat="1" ht="60">
      <c r="A1" s="31" t="s">
        <v>0</v>
      </c>
      <c r="B1" s="31" t="s">
        <v>1</v>
      </c>
      <c r="C1" s="31" t="s">
        <v>2</v>
      </c>
      <c r="D1" s="31" t="s">
        <v>3</v>
      </c>
      <c r="E1" s="39" t="s">
        <v>4</v>
      </c>
      <c r="F1" s="30" t="s">
        <v>5</v>
      </c>
      <c r="G1" s="32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</row>
    <row r="2" spans="1:12" s="33" customFormat="1" ht="12.75">
      <c r="A2" s="33" t="s">
        <v>12</v>
      </c>
      <c r="B2" s="33">
        <v>1</v>
      </c>
      <c r="C2" s="35">
        <v>1</v>
      </c>
      <c r="D2" s="33">
        <v>2022</v>
      </c>
      <c r="E2" s="40">
        <f>'Hotel Data'!X5</f>
        <v>9868</v>
      </c>
      <c r="F2" s="33">
        <v>0.27900000000000003</v>
      </c>
      <c r="G2" s="37">
        <f>INT('Hotel Data'!E5)</f>
        <v>631</v>
      </c>
      <c r="H2" s="33">
        <v>1.052</v>
      </c>
      <c r="I2" s="38">
        <f>INT('Hotel Data'!K5)</f>
        <v>108</v>
      </c>
      <c r="J2" s="33">
        <v>1.0189999999999999</v>
      </c>
      <c r="K2" s="33">
        <v>51</v>
      </c>
      <c r="L2" s="33">
        <v>71</v>
      </c>
    </row>
    <row r="3" spans="1:12" s="34" customFormat="1">
      <c r="A3" s="34" t="s">
        <v>12</v>
      </c>
      <c r="B3" s="34">
        <f>B2+1</f>
        <v>2</v>
      </c>
      <c r="C3" s="35">
        <v>2</v>
      </c>
      <c r="D3" s="33">
        <v>2022</v>
      </c>
      <c r="E3" s="40">
        <f>'Hotel Data'!X6</f>
        <v>10159</v>
      </c>
      <c r="F3" s="33">
        <v>0.27900000000000003</v>
      </c>
      <c r="G3" s="37">
        <f>INT('Hotel Data'!E6)</f>
        <v>466</v>
      </c>
      <c r="H3" s="33">
        <v>1.052</v>
      </c>
      <c r="I3" s="38">
        <f>INT('Hotel Data'!K6)</f>
        <v>113</v>
      </c>
      <c r="J3" s="33">
        <v>1.0189999999999999</v>
      </c>
      <c r="K3" s="33">
        <v>41</v>
      </c>
      <c r="L3" s="33">
        <v>59</v>
      </c>
    </row>
    <row r="4" spans="1:12" s="34" customFormat="1">
      <c r="A4" s="34" t="s">
        <v>12</v>
      </c>
      <c r="B4" s="34">
        <f t="shared" ref="B4:B29" si="0">B3+1</f>
        <v>3</v>
      </c>
      <c r="C4" s="35">
        <v>3</v>
      </c>
      <c r="D4" s="33">
        <v>2022</v>
      </c>
      <c r="E4" s="40">
        <f>'Hotel Data'!X7</f>
        <v>10211</v>
      </c>
      <c r="F4" s="33">
        <v>0.27900000000000003</v>
      </c>
      <c r="G4" s="37">
        <f>INT('Hotel Data'!E7)</f>
        <v>477</v>
      </c>
      <c r="H4" s="33">
        <v>1.052</v>
      </c>
      <c r="I4" s="38">
        <f>INT('Hotel Data'!K7)</f>
        <v>133</v>
      </c>
      <c r="J4" s="33">
        <v>1.0189999999999999</v>
      </c>
      <c r="K4" s="33">
        <v>47</v>
      </c>
      <c r="L4" s="33">
        <v>83</v>
      </c>
    </row>
    <row r="5" spans="1:12" s="34" customFormat="1">
      <c r="A5" s="34" t="s">
        <v>12</v>
      </c>
      <c r="B5" s="34">
        <f t="shared" si="0"/>
        <v>4</v>
      </c>
      <c r="C5" s="35">
        <v>4</v>
      </c>
      <c r="D5" s="33">
        <v>2022</v>
      </c>
      <c r="E5" s="40">
        <f>'Hotel Data'!X8</f>
        <v>10200</v>
      </c>
      <c r="F5" s="33">
        <v>0.27900000000000003</v>
      </c>
      <c r="G5" s="37">
        <f>INT('Hotel Data'!E8)</f>
        <v>584</v>
      </c>
      <c r="H5" s="33">
        <v>1.052</v>
      </c>
      <c r="I5" s="38">
        <f>INT('Hotel Data'!K8)</f>
        <v>126</v>
      </c>
      <c r="J5" s="33">
        <v>1.0189999999999999</v>
      </c>
      <c r="K5" s="33">
        <v>51</v>
      </c>
      <c r="L5" s="33">
        <v>98</v>
      </c>
    </row>
    <row r="6" spans="1:12" s="34" customFormat="1">
      <c r="A6" s="34" t="s">
        <v>12</v>
      </c>
      <c r="B6" s="34">
        <f t="shared" si="0"/>
        <v>5</v>
      </c>
      <c r="C6" s="35">
        <v>5</v>
      </c>
      <c r="D6" s="33">
        <v>2022</v>
      </c>
      <c r="E6" s="40">
        <f>'Hotel Data'!X9</f>
        <v>9799</v>
      </c>
      <c r="F6" s="33">
        <v>0.27900000000000003</v>
      </c>
      <c r="G6" s="37">
        <f>INT('Hotel Data'!E9)</f>
        <v>741</v>
      </c>
      <c r="H6" s="33">
        <v>1.052</v>
      </c>
      <c r="I6" s="38">
        <f>INT('Hotel Data'!K9)</f>
        <v>122</v>
      </c>
      <c r="J6" s="33">
        <v>1.0189999999999999</v>
      </c>
      <c r="K6" s="33">
        <v>49</v>
      </c>
      <c r="L6" s="33">
        <v>85</v>
      </c>
    </row>
    <row r="7" spans="1:12" s="34" customFormat="1">
      <c r="A7" s="34" t="s">
        <v>12</v>
      </c>
      <c r="B7" s="34">
        <f t="shared" si="0"/>
        <v>6</v>
      </c>
      <c r="C7" s="35">
        <v>6</v>
      </c>
      <c r="D7" s="33">
        <v>2022</v>
      </c>
      <c r="E7" s="40">
        <f>'Hotel Data'!X10</f>
        <v>9590</v>
      </c>
      <c r="F7" s="33">
        <v>0.27900000000000003</v>
      </c>
      <c r="G7" s="37">
        <f>INT('Hotel Data'!E10)</f>
        <v>774</v>
      </c>
      <c r="H7" s="33">
        <v>1.052</v>
      </c>
      <c r="I7" s="38">
        <f>INT('Hotel Data'!K10)</f>
        <v>112</v>
      </c>
      <c r="J7" s="33">
        <v>1.0189999999999999</v>
      </c>
      <c r="K7" s="33">
        <v>37</v>
      </c>
      <c r="L7" s="33">
        <v>62</v>
      </c>
    </row>
    <row r="8" spans="1:12" s="34" customFormat="1">
      <c r="A8" s="34" t="s">
        <v>12</v>
      </c>
      <c r="B8" s="34">
        <f t="shared" si="0"/>
        <v>7</v>
      </c>
      <c r="C8" s="35">
        <v>7</v>
      </c>
      <c r="D8" s="33">
        <v>2022</v>
      </c>
      <c r="E8" s="40">
        <f>'Hotel Data'!X11</f>
        <v>9684</v>
      </c>
      <c r="F8" s="33">
        <v>0.27900000000000003</v>
      </c>
      <c r="G8" s="37">
        <f>INT('Hotel Data'!E11)</f>
        <v>677</v>
      </c>
      <c r="H8" s="33">
        <v>1.052</v>
      </c>
      <c r="I8" s="38">
        <f>INT('Hotel Data'!K11)</f>
        <v>112</v>
      </c>
      <c r="J8" s="33">
        <v>1.0189999999999999</v>
      </c>
      <c r="K8" s="33">
        <v>57</v>
      </c>
      <c r="L8" s="33">
        <v>91</v>
      </c>
    </row>
    <row r="9" spans="1:12" s="34" customFormat="1">
      <c r="A9" s="34" t="s">
        <v>12</v>
      </c>
      <c r="B9" s="34">
        <f t="shared" si="0"/>
        <v>8</v>
      </c>
      <c r="C9" s="35">
        <v>8</v>
      </c>
      <c r="D9" s="33">
        <v>2022</v>
      </c>
      <c r="E9" s="40">
        <f>'Hotel Data'!X12</f>
        <v>9859</v>
      </c>
      <c r="F9" s="33">
        <v>0.27900000000000003</v>
      </c>
      <c r="G9" s="37">
        <f>INT('Hotel Data'!E12)</f>
        <v>667</v>
      </c>
      <c r="H9" s="33">
        <v>1.052</v>
      </c>
      <c r="I9" s="38">
        <f>INT('Hotel Data'!K12)</f>
        <v>124</v>
      </c>
      <c r="J9" s="33">
        <v>1.0189999999999999</v>
      </c>
      <c r="K9" s="33">
        <v>56</v>
      </c>
      <c r="L9" s="33">
        <v>88</v>
      </c>
    </row>
    <row r="10" spans="1:12" s="34" customFormat="1">
      <c r="A10" s="34" t="s">
        <v>12</v>
      </c>
      <c r="B10" s="34">
        <f t="shared" si="0"/>
        <v>9</v>
      </c>
      <c r="C10" s="35">
        <v>9</v>
      </c>
      <c r="D10" s="33">
        <v>2022</v>
      </c>
      <c r="E10" s="40">
        <f>'Hotel Data'!X13</f>
        <v>10286</v>
      </c>
      <c r="F10" s="33">
        <v>0.27900000000000003</v>
      </c>
      <c r="G10" s="37">
        <f>INT('Hotel Data'!E13)</f>
        <v>488</v>
      </c>
      <c r="H10" s="33">
        <v>1.052</v>
      </c>
      <c r="I10" s="38">
        <f>INT('Hotel Data'!K13)</f>
        <v>119</v>
      </c>
      <c r="J10" s="33">
        <v>1.0189999999999999</v>
      </c>
      <c r="K10" s="33">
        <v>52</v>
      </c>
      <c r="L10" s="33">
        <v>82</v>
      </c>
    </row>
    <row r="11" spans="1:12" s="34" customFormat="1">
      <c r="A11" s="34" t="s">
        <v>12</v>
      </c>
      <c r="B11" s="34">
        <f t="shared" si="0"/>
        <v>10</v>
      </c>
      <c r="C11" s="35">
        <v>10</v>
      </c>
      <c r="D11" s="33">
        <v>2022</v>
      </c>
      <c r="E11" s="40">
        <f>'Hotel Data'!X14</f>
        <v>10140</v>
      </c>
      <c r="F11" s="33">
        <v>0.27900000000000003</v>
      </c>
      <c r="G11" s="37">
        <f>INT('Hotel Data'!E14)</f>
        <v>512</v>
      </c>
      <c r="H11" s="33">
        <v>1.052</v>
      </c>
      <c r="I11" s="38">
        <f>INT('Hotel Data'!K14)</f>
        <v>133</v>
      </c>
      <c r="J11" s="33">
        <v>1.0189999999999999</v>
      </c>
      <c r="K11" s="33">
        <v>51</v>
      </c>
      <c r="L11" s="33">
        <v>93</v>
      </c>
    </row>
    <row r="12" spans="1:12" s="34" customFormat="1">
      <c r="A12" s="34" t="s">
        <v>12</v>
      </c>
      <c r="B12" s="34">
        <f t="shared" si="0"/>
        <v>11</v>
      </c>
      <c r="C12" s="35">
        <v>11</v>
      </c>
      <c r="D12" s="33">
        <v>2022</v>
      </c>
      <c r="E12" s="40">
        <f>'Hotel Data'!X15</f>
        <v>10280</v>
      </c>
      <c r="F12" s="33">
        <v>0.27900000000000003</v>
      </c>
      <c r="G12" s="37">
        <f>INT('Hotel Data'!E15)</f>
        <v>403</v>
      </c>
      <c r="H12" s="33">
        <v>1.052</v>
      </c>
      <c r="I12" s="38">
        <f>INT('Hotel Data'!K15)</f>
        <v>119</v>
      </c>
      <c r="J12" s="33">
        <v>1.0189999999999999</v>
      </c>
      <c r="K12" s="33">
        <v>52</v>
      </c>
      <c r="L12" s="33">
        <v>93</v>
      </c>
    </row>
    <row r="13" spans="1:12" s="34" customFormat="1">
      <c r="A13" s="34" t="s">
        <v>12</v>
      </c>
      <c r="B13" s="34">
        <f t="shared" si="0"/>
        <v>12</v>
      </c>
      <c r="C13" s="35">
        <v>12</v>
      </c>
      <c r="D13" s="33">
        <v>2022</v>
      </c>
      <c r="E13" s="40">
        <f>'Hotel Data'!X16</f>
        <v>10095</v>
      </c>
      <c r="F13" s="33">
        <v>0.27900000000000003</v>
      </c>
      <c r="G13" s="37">
        <f>INT('Hotel Data'!E16)</f>
        <v>600</v>
      </c>
      <c r="H13" s="33">
        <v>1.052</v>
      </c>
      <c r="I13" s="38">
        <f>INT('Hotel Data'!K16)</f>
        <v>131</v>
      </c>
      <c r="J13" s="33">
        <v>1.0189999999999999</v>
      </c>
      <c r="K13" s="33">
        <v>54</v>
      </c>
      <c r="L13" s="33">
        <v>101</v>
      </c>
    </row>
    <row r="14" spans="1:12" s="34" customFormat="1">
      <c r="A14" s="34" t="s">
        <v>12</v>
      </c>
      <c r="B14" s="34">
        <f t="shared" si="0"/>
        <v>13</v>
      </c>
      <c r="C14" s="35">
        <v>13</v>
      </c>
      <c r="D14" s="33">
        <v>2022</v>
      </c>
      <c r="E14" s="40">
        <f>'Hotel Data'!X17</f>
        <v>9955</v>
      </c>
      <c r="F14" s="33">
        <v>0.27900000000000003</v>
      </c>
      <c r="G14" s="37">
        <f>INT('Hotel Data'!E17)</f>
        <v>736</v>
      </c>
      <c r="H14" s="33">
        <v>1.052</v>
      </c>
      <c r="I14" s="38">
        <f>INT('Hotel Data'!K17)</f>
        <v>122</v>
      </c>
      <c r="J14" s="33">
        <v>1.0189999999999999</v>
      </c>
      <c r="K14" s="33">
        <v>40</v>
      </c>
      <c r="L14" s="33">
        <v>66</v>
      </c>
    </row>
    <row r="15" spans="1:12" s="34" customFormat="1">
      <c r="A15" s="34" t="s">
        <v>12</v>
      </c>
      <c r="B15" s="34">
        <f t="shared" si="0"/>
        <v>14</v>
      </c>
      <c r="C15" s="35">
        <v>14</v>
      </c>
      <c r="D15" s="33">
        <v>2022</v>
      </c>
      <c r="E15" s="40">
        <f>'Hotel Data'!X18</f>
        <v>9779</v>
      </c>
      <c r="F15" s="33">
        <v>0.27900000000000003</v>
      </c>
      <c r="G15" s="37">
        <f>INT('Hotel Data'!E18)</f>
        <v>897</v>
      </c>
      <c r="H15" s="33">
        <v>1.052</v>
      </c>
      <c r="I15" s="38">
        <f>INT('Hotel Data'!K18)</f>
        <v>123</v>
      </c>
      <c r="J15" s="33">
        <v>1.0189999999999999</v>
      </c>
      <c r="K15" s="33">
        <v>44</v>
      </c>
      <c r="L15" s="33">
        <v>73</v>
      </c>
    </row>
    <row r="16" spans="1:12" s="34" customFormat="1">
      <c r="A16" s="34" t="s">
        <v>12</v>
      </c>
      <c r="B16" s="34">
        <f t="shared" si="0"/>
        <v>15</v>
      </c>
      <c r="C16" s="35">
        <v>15</v>
      </c>
      <c r="D16" s="33">
        <v>2022</v>
      </c>
      <c r="E16" s="40">
        <f>'Hotel Data'!X19</f>
        <v>9898</v>
      </c>
      <c r="F16" s="33">
        <v>0.27900000000000003</v>
      </c>
      <c r="G16" s="37">
        <f>INT('Hotel Data'!E19)</f>
        <v>938</v>
      </c>
      <c r="H16" s="33">
        <v>1.052</v>
      </c>
      <c r="I16" s="38">
        <f>INT('Hotel Data'!K19)</f>
        <v>118</v>
      </c>
      <c r="J16" s="33">
        <v>1.0189999999999999</v>
      </c>
      <c r="K16" s="33">
        <v>61</v>
      </c>
      <c r="L16" s="33">
        <v>88</v>
      </c>
    </row>
    <row r="17" spans="1:12" s="34" customFormat="1">
      <c r="A17" s="34" t="s">
        <v>12</v>
      </c>
      <c r="B17" s="34">
        <f t="shared" si="0"/>
        <v>16</v>
      </c>
      <c r="C17" s="35">
        <v>16</v>
      </c>
      <c r="D17" s="33">
        <v>2022</v>
      </c>
      <c r="E17" s="40">
        <f>'Hotel Data'!X20</f>
        <v>10376</v>
      </c>
      <c r="F17" s="33">
        <v>0.27900000000000003</v>
      </c>
      <c r="G17" s="37">
        <f>INT('Hotel Data'!E20)</f>
        <v>828</v>
      </c>
      <c r="H17" s="33">
        <v>1.052</v>
      </c>
      <c r="I17" s="38">
        <f>INT('Hotel Data'!K20)</f>
        <v>140</v>
      </c>
      <c r="J17" s="33">
        <v>1.0189999999999999</v>
      </c>
      <c r="K17" s="33">
        <v>95</v>
      </c>
      <c r="L17" s="33">
        <v>133</v>
      </c>
    </row>
    <row r="18" spans="1:12" s="34" customFormat="1">
      <c r="A18" s="34" t="s">
        <v>12</v>
      </c>
      <c r="B18" s="34">
        <f t="shared" si="0"/>
        <v>17</v>
      </c>
      <c r="C18" s="35">
        <v>17</v>
      </c>
      <c r="D18" s="33">
        <v>2022</v>
      </c>
      <c r="E18" s="40">
        <f>'Hotel Data'!X21</f>
        <v>10637</v>
      </c>
      <c r="F18" s="33">
        <v>0.27900000000000003</v>
      </c>
      <c r="G18" s="37">
        <f>INT('Hotel Data'!E21)</f>
        <v>681</v>
      </c>
      <c r="H18" s="33">
        <v>1.052</v>
      </c>
      <c r="I18" s="38">
        <f>INT('Hotel Data'!K21)</f>
        <v>147</v>
      </c>
      <c r="J18" s="33">
        <v>1.0189999999999999</v>
      </c>
      <c r="K18" s="33">
        <v>85</v>
      </c>
      <c r="L18" s="33">
        <v>121</v>
      </c>
    </row>
    <row r="19" spans="1:12" s="34" customFormat="1">
      <c r="A19" s="34" t="s">
        <v>12</v>
      </c>
      <c r="B19" s="34">
        <f t="shared" si="0"/>
        <v>18</v>
      </c>
      <c r="C19" s="35">
        <v>18</v>
      </c>
      <c r="D19" s="33">
        <v>2022</v>
      </c>
      <c r="E19" s="40">
        <f>'Hotel Data'!X22</f>
        <v>10665</v>
      </c>
      <c r="F19" s="33">
        <v>0.27900000000000003</v>
      </c>
      <c r="G19" s="37">
        <f>INT('Hotel Data'!E22)</f>
        <v>681</v>
      </c>
      <c r="H19" s="33">
        <v>1.052</v>
      </c>
      <c r="I19" s="38">
        <f>INT('Hotel Data'!K22)</f>
        <v>137</v>
      </c>
      <c r="J19" s="33">
        <v>1.0189999999999999</v>
      </c>
      <c r="K19" s="33">
        <v>79</v>
      </c>
      <c r="L19" s="33">
        <v>121</v>
      </c>
    </row>
    <row r="20" spans="1:12" s="34" customFormat="1">
      <c r="A20" s="34" t="s">
        <v>12</v>
      </c>
      <c r="B20" s="34">
        <f t="shared" si="0"/>
        <v>19</v>
      </c>
      <c r="C20" s="35">
        <v>19</v>
      </c>
      <c r="D20" s="33">
        <v>2022</v>
      </c>
      <c r="E20" s="40">
        <f>'Hotel Data'!X23</f>
        <v>10627</v>
      </c>
      <c r="F20" s="33">
        <v>0.27900000000000003</v>
      </c>
      <c r="G20" s="37">
        <f>INT('Hotel Data'!E23)</f>
        <v>518</v>
      </c>
      <c r="H20" s="33">
        <v>1.052</v>
      </c>
      <c r="I20" s="38">
        <f>INT('Hotel Data'!K23)</f>
        <v>141</v>
      </c>
      <c r="J20" s="33">
        <v>1.0189999999999999</v>
      </c>
      <c r="K20" s="33">
        <v>87</v>
      </c>
      <c r="L20" s="33">
        <v>145</v>
      </c>
    </row>
    <row r="21" spans="1:12" s="34" customFormat="1">
      <c r="A21" s="34" t="s">
        <v>12</v>
      </c>
      <c r="B21" s="34">
        <f t="shared" si="0"/>
        <v>20</v>
      </c>
      <c r="C21" s="35">
        <v>20</v>
      </c>
      <c r="D21" s="33">
        <v>2022</v>
      </c>
      <c r="E21" s="40">
        <f>'Hotel Data'!X24</f>
        <v>10755</v>
      </c>
      <c r="F21" s="33">
        <v>0.27900000000000003</v>
      </c>
      <c r="G21" s="37">
        <f>INT('Hotel Data'!E24)</f>
        <v>365</v>
      </c>
      <c r="H21" s="33">
        <v>1.052</v>
      </c>
      <c r="I21" s="38">
        <f>INT('Hotel Data'!K24)</f>
        <v>120</v>
      </c>
      <c r="J21" s="33">
        <v>1.0189999999999999</v>
      </c>
      <c r="K21" s="33">
        <v>70</v>
      </c>
      <c r="L21" s="33">
        <v>105</v>
      </c>
    </row>
    <row r="22" spans="1:12" s="34" customFormat="1">
      <c r="A22" s="34" t="s">
        <v>12</v>
      </c>
      <c r="B22" s="34">
        <f t="shared" si="0"/>
        <v>21</v>
      </c>
      <c r="C22" s="35">
        <v>21</v>
      </c>
      <c r="D22" s="33">
        <v>2022</v>
      </c>
      <c r="E22" s="40">
        <f>'Hotel Data'!X25</f>
        <v>10758</v>
      </c>
      <c r="F22" s="33">
        <v>0.27900000000000003</v>
      </c>
      <c r="G22" s="37">
        <f>INT('Hotel Data'!E25)</f>
        <v>391</v>
      </c>
      <c r="H22" s="33">
        <v>1.052</v>
      </c>
      <c r="I22" s="38">
        <f>INT('Hotel Data'!K25)</f>
        <v>153</v>
      </c>
      <c r="J22" s="33">
        <v>1.0189999999999999</v>
      </c>
      <c r="K22" s="33">
        <v>65</v>
      </c>
      <c r="L22" s="33">
        <v>88</v>
      </c>
    </row>
    <row r="23" spans="1:12" s="34" customFormat="1">
      <c r="A23" s="34" t="s">
        <v>12</v>
      </c>
      <c r="B23" s="34">
        <f t="shared" si="0"/>
        <v>22</v>
      </c>
      <c r="C23" s="35">
        <v>22</v>
      </c>
      <c r="D23" s="33">
        <v>2022</v>
      </c>
      <c r="E23" s="40">
        <f>'Hotel Data'!X26</f>
        <v>11329</v>
      </c>
      <c r="F23" s="33">
        <v>0.27900000000000003</v>
      </c>
      <c r="G23" s="37">
        <f>INT('Hotel Data'!E26)</f>
        <v>337</v>
      </c>
      <c r="H23" s="33">
        <v>1.052</v>
      </c>
      <c r="I23" s="38">
        <f>INT('Hotel Data'!K26)</f>
        <v>145</v>
      </c>
      <c r="J23" s="33">
        <v>1.0189999999999999</v>
      </c>
      <c r="K23" s="33">
        <v>76</v>
      </c>
      <c r="L23" s="33">
        <v>102</v>
      </c>
    </row>
    <row r="24" spans="1:12" s="34" customFormat="1">
      <c r="A24" s="34" t="s">
        <v>12</v>
      </c>
      <c r="B24" s="34">
        <f t="shared" si="0"/>
        <v>23</v>
      </c>
      <c r="C24" s="35">
        <v>23</v>
      </c>
      <c r="D24" s="33">
        <v>2022</v>
      </c>
      <c r="E24" s="40">
        <f>'Hotel Data'!X27</f>
        <v>11666</v>
      </c>
      <c r="F24" s="33">
        <v>0.27900000000000003</v>
      </c>
      <c r="G24" s="37">
        <f>INT('Hotel Data'!E27)</f>
        <v>335</v>
      </c>
      <c r="H24" s="33">
        <v>1.052</v>
      </c>
      <c r="I24" s="38">
        <f>INT('Hotel Data'!K27)</f>
        <v>147</v>
      </c>
      <c r="J24" s="33">
        <v>1.0189999999999999</v>
      </c>
      <c r="K24" s="33">
        <v>105</v>
      </c>
      <c r="L24" s="33">
        <v>139</v>
      </c>
    </row>
    <row r="25" spans="1:12" s="34" customFormat="1">
      <c r="A25" s="34" t="s">
        <v>12</v>
      </c>
      <c r="B25" s="34">
        <f t="shared" si="0"/>
        <v>24</v>
      </c>
      <c r="C25" s="35">
        <v>24</v>
      </c>
      <c r="D25" s="33">
        <v>2022</v>
      </c>
      <c r="E25" s="40">
        <f>'Hotel Data'!X28</f>
        <v>11637</v>
      </c>
      <c r="F25" s="33">
        <v>0.27900000000000003</v>
      </c>
      <c r="G25" s="37">
        <f>INT('Hotel Data'!E28)</f>
        <v>343</v>
      </c>
      <c r="H25" s="33">
        <v>1.052</v>
      </c>
      <c r="I25" s="38">
        <f>INT('Hotel Data'!K28)</f>
        <v>144</v>
      </c>
      <c r="J25" s="33">
        <v>1.0189999999999999</v>
      </c>
      <c r="K25" s="33">
        <v>115</v>
      </c>
      <c r="L25" s="33">
        <v>151</v>
      </c>
    </row>
    <row r="26" spans="1:12" s="34" customFormat="1">
      <c r="A26" s="34" t="s">
        <v>12</v>
      </c>
      <c r="B26" s="34">
        <f>B25+1</f>
        <v>25</v>
      </c>
      <c r="C26" s="35">
        <v>25</v>
      </c>
      <c r="D26" s="33">
        <v>2022</v>
      </c>
      <c r="E26" s="40">
        <f>'Hotel Data'!X29</f>
        <v>11725</v>
      </c>
      <c r="F26" s="33">
        <v>0.27900000000000003</v>
      </c>
      <c r="G26" s="37">
        <f>INT('Hotel Data'!E29)</f>
        <v>427</v>
      </c>
      <c r="H26" s="33">
        <v>1.052</v>
      </c>
      <c r="I26" s="38">
        <f>INT('Hotel Data'!K29)</f>
        <v>164</v>
      </c>
      <c r="J26" s="33">
        <v>1.0189999999999999</v>
      </c>
      <c r="K26" s="33">
        <v>101</v>
      </c>
      <c r="L26" s="33">
        <v>137</v>
      </c>
    </row>
    <row r="27" spans="1:12" s="34" customFormat="1">
      <c r="A27" s="34" t="s">
        <v>12</v>
      </c>
      <c r="B27" s="34">
        <f t="shared" si="0"/>
        <v>26</v>
      </c>
      <c r="C27" s="35">
        <v>26</v>
      </c>
      <c r="D27" s="33">
        <v>2022</v>
      </c>
      <c r="E27" s="40">
        <f>'Hotel Data'!X30</f>
        <v>11637</v>
      </c>
      <c r="F27" s="33">
        <v>0.27900000000000003</v>
      </c>
      <c r="G27" s="37">
        <f>INT('Hotel Data'!E30)</f>
        <v>468</v>
      </c>
      <c r="H27" s="33">
        <v>1.052</v>
      </c>
      <c r="I27" s="38">
        <f>INT('Hotel Data'!K30)</f>
        <v>156</v>
      </c>
      <c r="J27" s="33">
        <v>1.0189999999999999</v>
      </c>
      <c r="K27" s="33">
        <v>101</v>
      </c>
      <c r="L27" s="33">
        <v>137</v>
      </c>
    </row>
    <row r="28" spans="1:12" s="34" customFormat="1">
      <c r="A28" s="34" t="s">
        <v>12</v>
      </c>
      <c r="B28" s="34">
        <f t="shared" si="0"/>
        <v>27</v>
      </c>
      <c r="C28" s="35">
        <v>27</v>
      </c>
      <c r="D28" s="33">
        <v>2022</v>
      </c>
      <c r="E28" s="40">
        <f>'Hotel Data'!X31</f>
        <v>11154</v>
      </c>
      <c r="F28" s="33">
        <v>0.27900000000000003</v>
      </c>
      <c r="G28" s="37">
        <f>INT('Hotel Data'!E31)</f>
        <v>592</v>
      </c>
      <c r="H28" s="33">
        <v>1.052</v>
      </c>
      <c r="I28" s="38">
        <f>INT('Hotel Data'!K31)</f>
        <v>146</v>
      </c>
      <c r="J28" s="33">
        <v>1.0189999999999999</v>
      </c>
      <c r="K28" s="33">
        <v>62</v>
      </c>
      <c r="L28" s="33">
        <v>89</v>
      </c>
    </row>
    <row r="29" spans="1:12" s="34" customFormat="1">
      <c r="A29" s="34" t="s">
        <v>12</v>
      </c>
      <c r="B29" s="34">
        <f t="shared" si="0"/>
        <v>28</v>
      </c>
      <c r="C29" s="35">
        <v>28</v>
      </c>
      <c r="D29" s="33">
        <v>2022</v>
      </c>
      <c r="E29" s="40">
        <f>'Hotel Data'!X32</f>
        <v>10705</v>
      </c>
      <c r="F29" s="33">
        <v>0.27900000000000003</v>
      </c>
      <c r="G29" s="37">
        <f>INT('Hotel Data'!E32)</f>
        <v>602</v>
      </c>
      <c r="H29" s="33">
        <v>1.052</v>
      </c>
      <c r="I29" s="38">
        <f>INT('Hotel Data'!K32)</f>
        <v>126</v>
      </c>
      <c r="J29" s="33">
        <v>1.0189999999999999</v>
      </c>
      <c r="K29" s="33">
        <v>39</v>
      </c>
      <c r="L29" s="33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opLeftCell="D1" workbookViewId="0">
      <selection activeCell="D3" sqref="D3:D30"/>
    </sheetView>
  </sheetViews>
  <sheetFormatPr defaultColWidth="11.5703125" defaultRowHeight="15"/>
  <cols>
    <col min="4" max="4" width="13.42578125" customWidth="1"/>
    <col min="5" max="5" width="13" style="27" customWidth="1"/>
    <col min="6" max="6" width="12.5703125" customWidth="1"/>
    <col min="7" max="7" width="13" style="27" customWidth="1"/>
    <col min="12" max="12" width="11.5703125" style="27"/>
    <col min="15" max="15" width="14" customWidth="1"/>
  </cols>
  <sheetData>
    <row r="1" spans="1:16" s="31" customFormat="1" ht="45">
      <c r="A1" s="31" t="s">
        <v>0</v>
      </c>
      <c r="B1" s="31" t="s">
        <v>1</v>
      </c>
      <c r="C1" s="31" t="s">
        <v>2</v>
      </c>
      <c r="D1" s="31" t="s">
        <v>3</v>
      </c>
      <c r="E1" s="28" t="s">
        <v>13</v>
      </c>
      <c r="F1" s="28" t="s">
        <v>14</v>
      </c>
      <c r="G1" s="28" t="s">
        <v>15</v>
      </c>
      <c r="H1" s="29" t="s">
        <v>16</v>
      </c>
      <c r="I1" s="29" t="s">
        <v>17</v>
      </c>
      <c r="J1" s="29" t="s">
        <v>18</v>
      </c>
      <c r="K1" s="29" t="s">
        <v>19</v>
      </c>
      <c r="L1" s="28" t="s">
        <v>20</v>
      </c>
      <c r="M1" s="29" t="s">
        <v>21</v>
      </c>
      <c r="N1" s="29" t="s">
        <v>22</v>
      </c>
      <c r="O1" s="30" t="s">
        <v>23</v>
      </c>
      <c r="P1" s="30" t="s">
        <v>10</v>
      </c>
    </row>
    <row r="2" spans="1:16" s="31" customFormat="1">
      <c r="E2" s="28"/>
      <c r="F2" s="28"/>
      <c r="G2" s="28"/>
      <c r="H2" s="29"/>
      <c r="I2" s="29"/>
      <c r="J2" s="29"/>
      <c r="K2" s="29"/>
      <c r="L2" s="28"/>
      <c r="M2" s="29"/>
      <c r="N2" s="29"/>
      <c r="O2" s="30"/>
      <c r="P2" s="30"/>
    </row>
    <row r="3" spans="1:16" s="33" customFormat="1">
      <c r="A3" s="33" t="s">
        <v>12</v>
      </c>
      <c r="B3" s="33">
        <v>1</v>
      </c>
      <c r="C3" s="35">
        <v>2</v>
      </c>
      <c r="D3" s="33">
        <v>2022</v>
      </c>
      <c r="E3" s="37">
        <f>'Hotel Data'!E5</f>
        <v>631</v>
      </c>
      <c r="F3" s="37">
        <f>'Hotel Data'!G5</f>
        <v>2</v>
      </c>
      <c r="G3" s="37">
        <f>'Hotel Data'!O5</f>
        <v>0</v>
      </c>
      <c r="H3" s="37">
        <f>'Hotel Data'!Q5</f>
        <v>10</v>
      </c>
      <c r="I3" s="37">
        <f>'Hotel Data'!S5</f>
        <v>1</v>
      </c>
      <c r="J3" s="37">
        <f>'Hotel Data'!U5</f>
        <v>29</v>
      </c>
      <c r="K3" s="37">
        <f>'Hotel Data'!AD5</f>
        <v>299</v>
      </c>
      <c r="L3" s="37">
        <f>'Hotel Data'!AG5</f>
        <v>951</v>
      </c>
      <c r="M3" s="38">
        <f>'Hotel Data'!AJ5</f>
        <v>168</v>
      </c>
      <c r="N3" s="38">
        <f>'Hotel Data'!AN5</f>
        <v>506</v>
      </c>
      <c r="O3" s="38">
        <f>'Hotel Data'!AR5</f>
        <v>184</v>
      </c>
      <c r="P3" s="34">
        <f>TOTAL!K2</f>
        <v>51</v>
      </c>
    </row>
    <row r="4" spans="1:16" s="34" customFormat="1">
      <c r="A4" s="34" t="s">
        <v>12</v>
      </c>
      <c r="B4" s="34">
        <f>B3+1</f>
        <v>2</v>
      </c>
      <c r="C4" s="35">
        <v>2</v>
      </c>
      <c r="D4" s="33">
        <v>2022</v>
      </c>
      <c r="E4" s="37">
        <f>'Hotel Data'!E6</f>
        <v>466</v>
      </c>
      <c r="F4" s="37">
        <f>'Hotel Data'!G6</f>
        <v>0</v>
      </c>
      <c r="G4" s="37">
        <f>'Hotel Data'!O6</f>
        <v>0</v>
      </c>
      <c r="H4" s="37">
        <f>'Hotel Data'!Q6</f>
        <v>12</v>
      </c>
      <c r="I4" s="37">
        <f>'Hotel Data'!S6</f>
        <v>1</v>
      </c>
      <c r="J4" s="37">
        <f>'Hotel Data'!U6</f>
        <v>32</v>
      </c>
      <c r="K4" s="37">
        <f>'Hotel Data'!AD6</f>
        <v>304</v>
      </c>
      <c r="L4" s="37">
        <f>'Hotel Data'!AG6</f>
        <v>934</v>
      </c>
      <c r="M4" s="38">
        <f>'Hotel Data'!AJ6</f>
        <v>168</v>
      </c>
      <c r="N4" s="38">
        <f>'Hotel Data'!AN6</f>
        <v>447</v>
      </c>
      <c r="O4" s="38">
        <f>'Hotel Data'!AR6</f>
        <v>176</v>
      </c>
      <c r="P4" s="34">
        <f>TOTAL!K3</f>
        <v>41</v>
      </c>
    </row>
    <row r="5" spans="1:16" s="34" customFormat="1">
      <c r="A5" s="34" t="s">
        <v>12</v>
      </c>
      <c r="B5" s="34">
        <f t="shared" ref="B5:B30" si="0">B4+1</f>
        <v>3</v>
      </c>
      <c r="C5" s="35">
        <v>2</v>
      </c>
      <c r="D5" s="33">
        <v>2022</v>
      </c>
      <c r="E5" s="37">
        <f>'Hotel Data'!E7</f>
        <v>477</v>
      </c>
      <c r="F5" s="37">
        <f>'Hotel Data'!G7</f>
        <v>0</v>
      </c>
      <c r="G5" s="37">
        <f>'Hotel Data'!O7</f>
        <v>0</v>
      </c>
      <c r="H5" s="37">
        <f>'Hotel Data'!Q7</f>
        <v>14</v>
      </c>
      <c r="I5" s="37">
        <f>'Hotel Data'!S7</f>
        <v>2</v>
      </c>
      <c r="J5" s="37">
        <f>'Hotel Data'!U7</f>
        <v>33</v>
      </c>
      <c r="K5" s="37">
        <f>'Hotel Data'!AD7</f>
        <v>309</v>
      </c>
      <c r="L5" s="37">
        <f>'Hotel Data'!AG7</f>
        <v>1040</v>
      </c>
      <c r="M5" s="38">
        <f>'Hotel Data'!AJ7</f>
        <v>176</v>
      </c>
      <c r="N5" s="38">
        <f>'Hotel Data'!AN7</f>
        <v>489</v>
      </c>
      <c r="O5" s="38">
        <f>'Hotel Data'!AR7</f>
        <v>208</v>
      </c>
      <c r="P5" s="34">
        <f>TOTAL!K4</f>
        <v>47</v>
      </c>
    </row>
    <row r="6" spans="1:16" s="34" customFormat="1">
      <c r="A6" s="34" t="s">
        <v>12</v>
      </c>
      <c r="B6" s="34">
        <f t="shared" si="0"/>
        <v>4</v>
      </c>
      <c r="C6" s="35">
        <v>2</v>
      </c>
      <c r="D6" s="33">
        <v>2022</v>
      </c>
      <c r="E6" s="37">
        <f>'Hotel Data'!E8</f>
        <v>584</v>
      </c>
      <c r="F6" s="37">
        <f>'Hotel Data'!G8</f>
        <v>0</v>
      </c>
      <c r="G6" s="37">
        <f>'Hotel Data'!O8</f>
        <v>1</v>
      </c>
      <c r="H6" s="37">
        <f>'Hotel Data'!Q8</f>
        <v>11</v>
      </c>
      <c r="I6" s="37">
        <f>'Hotel Data'!S8</f>
        <v>0</v>
      </c>
      <c r="J6" s="37">
        <f>'Hotel Data'!U8</f>
        <v>29</v>
      </c>
      <c r="K6" s="37">
        <f>'Hotel Data'!AD8</f>
        <v>310</v>
      </c>
      <c r="L6" s="37">
        <f>'Hotel Data'!AG8</f>
        <v>1270</v>
      </c>
      <c r="M6" s="38">
        <f>'Hotel Data'!AJ8</f>
        <v>144</v>
      </c>
      <c r="N6" s="38">
        <f>'Hotel Data'!AN8</f>
        <v>485</v>
      </c>
      <c r="O6" s="38">
        <f>'Hotel Data'!AR8</f>
        <v>200</v>
      </c>
      <c r="P6" s="34">
        <f>TOTAL!K5</f>
        <v>51</v>
      </c>
    </row>
    <row r="7" spans="1:16" s="34" customFormat="1">
      <c r="A7" s="34" t="s">
        <v>12</v>
      </c>
      <c r="B7" s="34">
        <f t="shared" si="0"/>
        <v>5</v>
      </c>
      <c r="C7" s="35">
        <v>2</v>
      </c>
      <c r="D7" s="33">
        <v>2022</v>
      </c>
      <c r="E7" s="37">
        <f>'Hotel Data'!E9</f>
        <v>741</v>
      </c>
      <c r="F7" s="37">
        <f>'Hotel Data'!G9</f>
        <v>0</v>
      </c>
      <c r="G7" s="37">
        <f>'Hotel Data'!O9</f>
        <v>0</v>
      </c>
      <c r="H7" s="37">
        <f>'Hotel Data'!Q9</f>
        <v>7</v>
      </c>
      <c r="I7" s="37">
        <f>'Hotel Data'!S9</f>
        <v>0</v>
      </c>
      <c r="J7" s="37">
        <f>'Hotel Data'!U9</f>
        <v>32</v>
      </c>
      <c r="K7" s="37">
        <f>'Hotel Data'!AD9</f>
        <v>304</v>
      </c>
      <c r="L7" s="37">
        <f>'Hotel Data'!AG9</f>
        <v>1095</v>
      </c>
      <c r="M7" s="38">
        <f>'Hotel Data'!AJ9</f>
        <v>128</v>
      </c>
      <c r="N7" s="38">
        <f>'Hotel Data'!AN9</f>
        <v>542</v>
      </c>
      <c r="O7" s="38">
        <f>'Hotel Data'!AR9</f>
        <v>208</v>
      </c>
      <c r="P7" s="34">
        <f>TOTAL!K6</f>
        <v>49</v>
      </c>
    </row>
    <row r="8" spans="1:16" s="34" customFormat="1">
      <c r="A8" s="34" t="s">
        <v>12</v>
      </c>
      <c r="B8" s="34">
        <f t="shared" si="0"/>
        <v>6</v>
      </c>
      <c r="C8" s="35">
        <v>2</v>
      </c>
      <c r="D8" s="33">
        <v>2022</v>
      </c>
      <c r="E8" s="37">
        <f>'Hotel Data'!E10</f>
        <v>774</v>
      </c>
      <c r="F8" s="37">
        <f>'Hotel Data'!G10</f>
        <v>0</v>
      </c>
      <c r="G8" s="37">
        <f>'Hotel Data'!O10</f>
        <v>0</v>
      </c>
      <c r="H8" s="37">
        <f>'Hotel Data'!Q10</f>
        <v>8</v>
      </c>
      <c r="I8" s="37">
        <f>'Hotel Data'!S10</f>
        <v>0</v>
      </c>
      <c r="J8" s="37">
        <f>'Hotel Data'!U10</f>
        <v>26</v>
      </c>
      <c r="K8" s="37">
        <f>'Hotel Data'!AD10</f>
        <v>319</v>
      </c>
      <c r="L8" s="37">
        <f>'Hotel Data'!AG10</f>
        <v>1069</v>
      </c>
      <c r="M8" s="38">
        <f>'Hotel Data'!AJ10</f>
        <v>112</v>
      </c>
      <c r="N8" s="38">
        <f>'Hotel Data'!AN10</f>
        <v>554</v>
      </c>
      <c r="O8" s="38">
        <f>'Hotel Data'!AR10</f>
        <v>192</v>
      </c>
      <c r="P8" s="34">
        <f>TOTAL!K7</f>
        <v>37</v>
      </c>
    </row>
    <row r="9" spans="1:16" s="34" customFormat="1">
      <c r="A9" s="34" t="s">
        <v>12</v>
      </c>
      <c r="B9" s="34">
        <f t="shared" si="0"/>
        <v>7</v>
      </c>
      <c r="C9" s="35">
        <v>2</v>
      </c>
      <c r="D9" s="33">
        <v>2022</v>
      </c>
      <c r="E9" s="37">
        <f>'Hotel Data'!E11</f>
        <v>677</v>
      </c>
      <c r="F9" s="37">
        <f>'Hotel Data'!G11</f>
        <v>1</v>
      </c>
      <c r="G9" s="37">
        <f>'Hotel Data'!O11</f>
        <v>0</v>
      </c>
      <c r="H9" s="37">
        <f>'Hotel Data'!Q11</f>
        <v>5</v>
      </c>
      <c r="I9" s="37">
        <f>'Hotel Data'!S11</f>
        <v>0</v>
      </c>
      <c r="J9" s="37">
        <f>'Hotel Data'!U11</f>
        <v>23</v>
      </c>
      <c r="K9" s="37">
        <f>'Hotel Data'!AD11</f>
        <v>299</v>
      </c>
      <c r="L9" s="37">
        <f>'Hotel Data'!AG11</f>
        <v>964</v>
      </c>
      <c r="M9" s="38">
        <f>'Hotel Data'!AJ11</f>
        <v>104</v>
      </c>
      <c r="N9" s="38">
        <f>'Hotel Data'!AN11</f>
        <v>523</v>
      </c>
      <c r="O9" s="38">
        <f>'Hotel Data'!AR11</f>
        <v>208</v>
      </c>
      <c r="P9" s="34">
        <f>TOTAL!K8</f>
        <v>57</v>
      </c>
    </row>
    <row r="10" spans="1:16" s="34" customFormat="1">
      <c r="A10" s="34" t="s">
        <v>12</v>
      </c>
      <c r="B10" s="34">
        <f t="shared" si="0"/>
        <v>8</v>
      </c>
      <c r="C10" s="35">
        <v>2</v>
      </c>
      <c r="D10" s="33">
        <v>2022</v>
      </c>
      <c r="E10" s="37">
        <f>'Hotel Data'!E12</f>
        <v>667</v>
      </c>
      <c r="F10" s="37">
        <f>'Hotel Data'!G12</f>
        <v>1</v>
      </c>
      <c r="G10" s="37">
        <f>'Hotel Data'!O12</f>
        <v>0</v>
      </c>
      <c r="H10" s="37">
        <f>'Hotel Data'!Q12</f>
        <v>11</v>
      </c>
      <c r="I10" s="37">
        <f>'Hotel Data'!S12</f>
        <v>0</v>
      </c>
      <c r="J10" s="37">
        <f>'Hotel Data'!U12</f>
        <v>30</v>
      </c>
      <c r="K10" s="37">
        <f>'Hotel Data'!AD12</f>
        <v>306</v>
      </c>
      <c r="L10" s="37">
        <f>'Hotel Data'!AG12</f>
        <v>923</v>
      </c>
      <c r="M10" s="38">
        <f>'Hotel Data'!AJ12</f>
        <v>168</v>
      </c>
      <c r="N10" s="38">
        <f>'Hotel Data'!AN12</f>
        <v>537</v>
      </c>
      <c r="O10" s="38">
        <f>'Hotel Data'!AR12</f>
        <v>192</v>
      </c>
      <c r="P10" s="34">
        <f>TOTAL!K9</f>
        <v>56</v>
      </c>
    </row>
    <row r="11" spans="1:16" s="34" customFormat="1">
      <c r="A11" s="34" t="s">
        <v>12</v>
      </c>
      <c r="B11" s="34">
        <f t="shared" si="0"/>
        <v>9</v>
      </c>
      <c r="C11" s="35">
        <v>2</v>
      </c>
      <c r="D11" s="33">
        <v>2022</v>
      </c>
      <c r="E11" s="37">
        <f>'Hotel Data'!E13</f>
        <v>488</v>
      </c>
      <c r="F11" s="37">
        <f>'Hotel Data'!G13</f>
        <v>0</v>
      </c>
      <c r="G11" s="37">
        <f>'Hotel Data'!O13</f>
        <v>0</v>
      </c>
      <c r="H11" s="37">
        <f>'Hotel Data'!Q13</f>
        <v>14</v>
      </c>
      <c r="I11" s="37">
        <f>'Hotel Data'!S13</f>
        <v>0</v>
      </c>
      <c r="J11" s="37">
        <f>'Hotel Data'!U13</f>
        <v>31</v>
      </c>
      <c r="K11" s="37">
        <f>'Hotel Data'!AD13</f>
        <v>320</v>
      </c>
      <c r="L11" s="37">
        <f>'Hotel Data'!AG13</f>
        <v>991</v>
      </c>
      <c r="M11" s="38">
        <f>'Hotel Data'!AJ13</f>
        <v>160</v>
      </c>
      <c r="N11" s="38">
        <f>'Hotel Data'!AN13</f>
        <v>522</v>
      </c>
      <c r="O11" s="38">
        <f>'Hotel Data'!AR13</f>
        <v>232</v>
      </c>
      <c r="P11" s="34">
        <f>TOTAL!K10</f>
        <v>52</v>
      </c>
    </row>
    <row r="12" spans="1:16" s="34" customFormat="1">
      <c r="A12" s="34" t="s">
        <v>12</v>
      </c>
      <c r="B12" s="34">
        <f t="shared" si="0"/>
        <v>10</v>
      </c>
      <c r="C12" s="35">
        <v>2</v>
      </c>
      <c r="D12" s="33">
        <v>2022</v>
      </c>
      <c r="E12" s="37">
        <f>'Hotel Data'!E14</f>
        <v>512</v>
      </c>
      <c r="F12" s="37">
        <f>'Hotel Data'!G14</f>
        <v>0</v>
      </c>
      <c r="G12" s="37">
        <f>'Hotel Data'!O14</f>
        <v>0</v>
      </c>
      <c r="H12" s="37">
        <f>'Hotel Data'!Q14</f>
        <v>14</v>
      </c>
      <c r="I12" s="37">
        <f>'Hotel Data'!S14</f>
        <v>1</v>
      </c>
      <c r="J12" s="37">
        <f>'Hotel Data'!U14</f>
        <v>32</v>
      </c>
      <c r="K12" s="37">
        <f>'Hotel Data'!AD14</f>
        <v>313</v>
      </c>
      <c r="L12" s="37">
        <f>'Hotel Data'!AG14</f>
        <v>1017</v>
      </c>
      <c r="M12" s="38">
        <f>'Hotel Data'!AJ14</f>
        <v>160</v>
      </c>
      <c r="N12" s="38">
        <f>'Hotel Data'!AN14</f>
        <v>511</v>
      </c>
      <c r="O12" s="38">
        <f>'Hotel Data'!AR14</f>
        <v>216</v>
      </c>
      <c r="P12" s="34">
        <f>TOTAL!K11</f>
        <v>51</v>
      </c>
    </row>
    <row r="13" spans="1:16" s="34" customFormat="1">
      <c r="A13" s="34" t="s">
        <v>12</v>
      </c>
      <c r="B13" s="34">
        <f t="shared" si="0"/>
        <v>11</v>
      </c>
      <c r="C13" s="35">
        <v>2</v>
      </c>
      <c r="D13" s="33">
        <v>2022</v>
      </c>
      <c r="E13" s="37">
        <f>'Hotel Data'!E15</f>
        <v>403</v>
      </c>
      <c r="F13" s="37">
        <f>'Hotel Data'!G15</f>
        <v>0</v>
      </c>
      <c r="G13" s="37">
        <f>'Hotel Data'!O15</f>
        <v>0</v>
      </c>
      <c r="H13" s="37">
        <f>'Hotel Data'!Q15</f>
        <v>13</v>
      </c>
      <c r="I13" s="37">
        <f>'Hotel Data'!S15</f>
        <v>0</v>
      </c>
      <c r="J13" s="37">
        <f>'Hotel Data'!U15</f>
        <v>32</v>
      </c>
      <c r="K13" s="37">
        <f>'Hotel Data'!AD15</f>
        <v>308</v>
      </c>
      <c r="L13" s="37">
        <f>'Hotel Data'!AG15</f>
        <v>1034</v>
      </c>
      <c r="M13" s="38">
        <f>'Hotel Data'!AJ15</f>
        <v>168</v>
      </c>
      <c r="N13" s="38">
        <f>'Hotel Data'!AN15</f>
        <v>536</v>
      </c>
      <c r="O13" s="38">
        <f>'Hotel Data'!AR15</f>
        <v>216</v>
      </c>
      <c r="P13" s="34">
        <f>TOTAL!K12</f>
        <v>52</v>
      </c>
    </row>
    <row r="14" spans="1:16" s="34" customFormat="1">
      <c r="A14" s="34" t="s">
        <v>12</v>
      </c>
      <c r="B14" s="34">
        <f t="shared" si="0"/>
        <v>12</v>
      </c>
      <c r="C14" s="35">
        <v>2</v>
      </c>
      <c r="D14" s="33">
        <v>2022</v>
      </c>
      <c r="E14" s="37">
        <f>'Hotel Data'!E16</f>
        <v>600</v>
      </c>
      <c r="F14" s="37">
        <f>'Hotel Data'!G16</f>
        <v>0</v>
      </c>
      <c r="G14" s="37">
        <f>'Hotel Data'!O16</f>
        <v>0</v>
      </c>
      <c r="H14" s="37">
        <f>'Hotel Data'!Q16</f>
        <v>11</v>
      </c>
      <c r="I14" s="37">
        <f>'Hotel Data'!S16</f>
        <v>0</v>
      </c>
      <c r="J14" s="37">
        <f>'Hotel Data'!U16</f>
        <v>33</v>
      </c>
      <c r="K14" s="37">
        <f>'Hotel Data'!AD16</f>
        <v>308</v>
      </c>
      <c r="L14" s="37">
        <f>'Hotel Data'!AG16</f>
        <v>1111</v>
      </c>
      <c r="M14" s="38">
        <f>'Hotel Data'!AJ16</f>
        <v>152</v>
      </c>
      <c r="N14" s="38">
        <f>'Hotel Data'!AN16</f>
        <v>538</v>
      </c>
      <c r="O14" s="38">
        <f>'Hotel Data'!AR16</f>
        <v>216</v>
      </c>
      <c r="P14" s="34">
        <f>TOTAL!K13</f>
        <v>54</v>
      </c>
    </row>
    <row r="15" spans="1:16" s="34" customFormat="1">
      <c r="A15" s="34" t="s">
        <v>12</v>
      </c>
      <c r="B15" s="34">
        <f t="shared" si="0"/>
        <v>13</v>
      </c>
      <c r="C15" s="35">
        <v>2</v>
      </c>
      <c r="D15" s="33">
        <v>2022</v>
      </c>
      <c r="E15" s="37">
        <f>'Hotel Data'!E17</f>
        <v>736</v>
      </c>
      <c r="F15" s="37">
        <f>'Hotel Data'!G17</f>
        <v>0</v>
      </c>
      <c r="G15" s="37">
        <f>'Hotel Data'!O17</f>
        <v>0</v>
      </c>
      <c r="H15" s="37">
        <f>'Hotel Data'!Q17</f>
        <v>12</v>
      </c>
      <c r="I15" s="37">
        <f>'Hotel Data'!S17</f>
        <v>0</v>
      </c>
      <c r="J15" s="37">
        <f>'Hotel Data'!U17</f>
        <v>34</v>
      </c>
      <c r="K15" s="37">
        <f>'Hotel Data'!AD17</f>
        <v>312</v>
      </c>
      <c r="L15" s="37">
        <f>'Hotel Data'!AG17</f>
        <v>1110</v>
      </c>
      <c r="M15" s="38">
        <f>'Hotel Data'!AJ17</f>
        <v>160</v>
      </c>
      <c r="N15" s="38">
        <f>'Hotel Data'!AN17</f>
        <v>552</v>
      </c>
      <c r="O15" s="38">
        <f>'Hotel Data'!AR17</f>
        <v>240</v>
      </c>
      <c r="P15" s="34">
        <f>TOTAL!K14</f>
        <v>40</v>
      </c>
    </row>
    <row r="16" spans="1:16" s="34" customFormat="1">
      <c r="A16" s="34" t="s">
        <v>12</v>
      </c>
      <c r="B16" s="34">
        <f t="shared" si="0"/>
        <v>14</v>
      </c>
      <c r="C16" s="35">
        <v>2</v>
      </c>
      <c r="D16" s="33">
        <v>2022</v>
      </c>
      <c r="E16" s="37">
        <f>'Hotel Data'!E18</f>
        <v>897</v>
      </c>
      <c r="F16" s="37">
        <f>'Hotel Data'!G18</f>
        <v>0</v>
      </c>
      <c r="G16" s="37">
        <f>'Hotel Data'!O18</f>
        <v>0</v>
      </c>
      <c r="H16" s="37">
        <f>'Hotel Data'!Q18</f>
        <v>3</v>
      </c>
      <c r="I16" s="37">
        <f>'Hotel Data'!S18</f>
        <v>0</v>
      </c>
      <c r="J16" s="37">
        <f>'Hotel Data'!U18</f>
        <v>24</v>
      </c>
      <c r="K16" s="37">
        <f>'Hotel Data'!AD18</f>
        <v>310</v>
      </c>
      <c r="L16" s="37">
        <f>'Hotel Data'!AG18</f>
        <v>936</v>
      </c>
      <c r="M16" s="38">
        <f>'Hotel Data'!AJ18</f>
        <v>144</v>
      </c>
      <c r="N16" s="38">
        <f>'Hotel Data'!AN18</f>
        <v>549</v>
      </c>
      <c r="O16" s="38">
        <f>'Hotel Data'!AR18</f>
        <v>240</v>
      </c>
      <c r="P16" s="34">
        <f>TOTAL!K15</f>
        <v>44</v>
      </c>
    </row>
    <row r="17" spans="1:16" s="34" customFormat="1">
      <c r="A17" s="34" t="s">
        <v>12</v>
      </c>
      <c r="B17" s="34">
        <f t="shared" si="0"/>
        <v>15</v>
      </c>
      <c r="C17" s="35">
        <v>2</v>
      </c>
      <c r="D17" s="33">
        <v>2022</v>
      </c>
      <c r="E17" s="37">
        <f>'Hotel Data'!E19</f>
        <v>938</v>
      </c>
      <c r="F17" s="37">
        <f>'Hotel Data'!G19</f>
        <v>1</v>
      </c>
      <c r="G17" s="37">
        <f>'Hotel Data'!O19</f>
        <v>0</v>
      </c>
      <c r="H17" s="37">
        <f>'Hotel Data'!Q19</f>
        <v>2</v>
      </c>
      <c r="I17" s="37">
        <f>'Hotel Data'!S19</f>
        <v>0</v>
      </c>
      <c r="J17" s="37">
        <f>'Hotel Data'!U19</f>
        <v>24</v>
      </c>
      <c r="K17" s="37">
        <f>'Hotel Data'!AD19</f>
        <v>314</v>
      </c>
      <c r="L17" s="37">
        <f>'Hotel Data'!AG19</f>
        <v>1032</v>
      </c>
      <c r="M17" s="38">
        <f>'Hotel Data'!AJ19</f>
        <v>152</v>
      </c>
      <c r="N17" s="38">
        <f>'Hotel Data'!AN19</f>
        <v>518</v>
      </c>
      <c r="O17" s="38">
        <f>'Hotel Data'!AR19</f>
        <v>224</v>
      </c>
      <c r="P17" s="34">
        <f>TOTAL!K16</f>
        <v>61</v>
      </c>
    </row>
    <row r="18" spans="1:16" s="34" customFormat="1">
      <c r="A18" s="34" t="s">
        <v>12</v>
      </c>
      <c r="B18" s="34">
        <f t="shared" si="0"/>
        <v>16</v>
      </c>
      <c r="C18" s="35">
        <v>2</v>
      </c>
      <c r="D18" s="33">
        <v>2022</v>
      </c>
      <c r="E18" s="37">
        <f>'Hotel Data'!E20</f>
        <v>828</v>
      </c>
      <c r="F18" s="37">
        <f>'Hotel Data'!G20</f>
        <v>0</v>
      </c>
      <c r="G18" s="37">
        <f>'Hotel Data'!O20</f>
        <v>2</v>
      </c>
      <c r="H18" s="37">
        <f>'Hotel Data'!Q20</f>
        <v>8</v>
      </c>
      <c r="I18" s="37">
        <f>'Hotel Data'!S20</f>
        <v>0</v>
      </c>
      <c r="J18" s="37">
        <f>'Hotel Data'!U20</f>
        <v>28</v>
      </c>
      <c r="K18" s="37">
        <f>'Hotel Data'!AD20</f>
        <v>311</v>
      </c>
      <c r="L18" s="37">
        <f>'Hotel Data'!AG20</f>
        <v>1181</v>
      </c>
      <c r="M18" s="38">
        <f>'Hotel Data'!AJ20</f>
        <v>144</v>
      </c>
      <c r="N18" s="38">
        <f>'Hotel Data'!AN20</f>
        <v>536</v>
      </c>
      <c r="O18" s="38">
        <f>'Hotel Data'!AR20</f>
        <v>240</v>
      </c>
      <c r="P18" s="34">
        <f>TOTAL!K17</f>
        <v>95</v>
      </c>
    </row>
    <row r="19" spans="1:16" s="34" customFormat="1">
      <c r="A19" s="34" t="s">
        <v>12</v>
      </c>
      <c r="B19" s="34">
        <f t="shared" si="0"/>
        <v>17</v>
      </c>
      <c r="C19" s="35">
        <v>2</v>
      </c>
      <c r="D19" s="33">
        <v>2022</v>
      </c>
      <c r="E19" s="37">
        <f>'Hotel Data'!E21</f>
        <v>681</v>
      </c>
      <c r="F19" s="37">
        <f>'Hotel Data'!G21</f>
        <v>0</v>
      </c>
      <c r="G19" s="37">
        <f>'Hotel Data'!O21</f>
        <v>0</v>
      </c>
      <c r="H19" s="37">
        <f>'Hotel Data'!Q21</f>
        <v>12</v>
      </c>
      <c r="I19" s="37">
        <f>'Hotel Data'!S21</f>
        <v>0</v>
      </c>
      <c r="J19" s="37">
        <f>'Hotel Data'!U21</f>
        <v>37</v>
      </c>
      <c r="K19" s="37">
        <f>'Hotel Data'!AD21</f>
        <v>286</v>
      </c>
      <c r="L19" s="37">
        <f>'Hotel Data'!AG21</f>
        <v>1001</v>
      </c>
      <c r="M19" s="38">
        <f>'Hotel Data'!AJ21</f>
        <v>224</v>
      </c>
      <c r="N19" s="38">
        <f>'Hotel Data'!AN21</f>
        <v>526</v>
      </c>
      <c r="O19" s="38">
        <f>'Hotel Data'!AR21</f>
        <v>256</v>
      </c>
      <c r="P19" s="34">
        <f>TOTAL!K18</f>
        <v>85</v>
      </c>
    </row>
    <row r="20" spans="1:16" s="34" customFormat="1">
      <c r="A20" s="34" t="s">
        <v>12</v>
      </c>
      <c r="B20" s="34">
        <f t="shared" si="0"/>
        <v>18</v>
      </c>
      <c r="C20" s="35">
        <v>2</v>
      </c>
      <c r="D20" s="33">
        <v>2022</v>
      </c>
      <c r="E20" s="37">
        <f>'Hotel Data'!E22</f>
        <v>681</v>
      </c>
      <c r="F20" s="37">
        <f>'Hotel Data'!G22</f>
        <v>1</v>
      </c>
      <c r="G20" s="37">
        <f>'Hotel Data'!O22</f>
        <v>0</v>
      </c>
      <c r="H20" s="37">
        <f>'Hotel Data'!Q22</f>
        <v>10</v>
      </c>
      <c r="I20" s="37">
        <f>'Hotel Data'!S22</f>
        <v>0</v>
      </c>
      <c r="J20" s="37">
        <f>'Hotel Data'!U22</f>
        <v>34</v>
      </c>
      <c r="K20" s="37">
        <f>'Hotel Data'!AD22</f>
        <v>299</v>
      </c>
      <c r="L20" s="37">
        <f>'Hotel Data'!AG22</f>
        <v>1032</v>
      </c>
      <c r="M20" s="38">
        <f>'Hotel Data'!AJ22</f>
        <v>152</v>
      </c>
      <c r="N20" s="38">
        <f>'Hotel Data'!AN22</f>
        <v>538</v>
      </c>
      <c r="O20" s="38">
        <f>'Hotel Data'!AR22</f>
        <v>296</v>
      </c>
      <c r="P20" s="34">
        <f>TOTAL!K19</f>
        <v>79</v>
      </c>
    </row>
    <row r="21" spans="1:16" s="34" customFormat="1">
      <c r="A21" s="34" t="s">
        <v>12</v>
      </c>
      <c r="B21" s="34">
        <f t="shared" si="0"/>
        <v>19</v>
      </c>
      <c r="C21" s="35">
        <v>2</v>
      </c>
      <c r="D21" s="33">
        <v>2022</v>
      </c>
      <c r="E21" s="37">
        <f>'Hotel Data'!E23</f>
        <v>518</v>
      </c>
      <c r="F21" s="37">
        <f>'Hotel Data'!G23</f>
        <v>0</v>
      </c>
      <c r="G21" s="37">
        <f>'Hotel Data'!O23</f>
        <v>1</v>
      </c>
      <c r="H21" s="37">
        <f>'Hotel Data'!Q23</f>
        <v>11</v>
      </c>
      <c r="I21" s="37">
        <f>'Hotel Data'!S23</f>
        <v>0</v>
      </c>
      <c r="J21" s="37">
        <f>'Hotel Data'!U23</f>
        <v>39</v>
      </c>
      <c r="K21" s="37">
        <f>'Hotel Data'!AD23</f>
        <v>316</v>
      </c>
      <c r="L21" s="37">
        <f>'Hotel Data'!AG23</f>
        <v>1078</v>
      </c>
      <c r="M21" s="38">
        <f>'Hotel Data'!AJ23</f>
        <v>144</v>
      </c>
      <c r="N21" s="38">
        <f>'Hotel Data'!AN23</f>
        <v>565</v>
      </c>
      <c r="O21" s="38">
        <f>'Hotel Data'!AR23</f>
        <v>272</v>
      </c>
      <c r="P21" s="34">
        <f>TOTAL!K20</f>
        <v>87</v>
      </c>
    </row>
    <row r="22" spans="1:16" s="34" customFormat="1">
      <c r="A22" s="34" t="s">
        <v>12</v>
      </c>
      <c r="B22" s="34">
        <f t="shared" si="0"/>
        <v>20</v>
      </c>
      <c r="C22" s="35">
        <v>2</v>
      </c>
      <c r="D22" s="33">
        <v>2022</v>
      </c>
      <c r="E22" s="37">
        <f>'Hotel Data'!E24</f>
        <v>365</v>
      </c>
      <c r="F22" s="37">
        <f>'Hotel Data'!G24</f>
        <v>1</v>
      </c>
      <c r="G22" s="37">
        <f>'Hotel Data'!O24</f>
        <v>0</v>
      </c>
      <c r="H22" s="37">
        <f>'Hotel Data'!Q24</f>
        <v>11</v>
      </c>
      <c r="I22" s="37">
        <f>'Hotel Data'!S24</f>
        <v>0</v>
      </c>
      <c r="J22" s="37">
        <f>'Hotel Data'!U24</f>
        <v>32</v>
      </c>
      <c r="K22" s="37">
        <f>'Hotel Data'!AD24</f>
        <v>312</v>
      </c>
      <c r="L22" s="37">
        <f>'Hotel Data'!AG24</f>
        <v>1034</v>
      </c>
      <c r="M22" s="38">
        <f>'Hotel Data'!AJ24</f>
        <v>200</v>
      </c>
      <c r="N22" s="38">
        <f>'Hotel Data'!AN24</f>
        <v>567</v>
      </c>
      <c r="O22" s="38">
        <f>'Hotel Data'!AR24</f>
        <v>280</v>
      </c>
      <c r="P22" s="34">
        <f>TOTAL!K21</f>
        <v>70</v>
      </c>
    </row>
    <row r="23" spans="1:16" s="34" customFormat="1">
      <c r="A23" s="34" t="s">
        <v>12</v>
      </c>
      <c r="B23" s="34">
        <f t="shared" si="0"/>
        <v>21</v>
      </c>
      <c r="C23" s="35">
        <v>2</v>
      </c>
      <c r="D23" s="33">
        <v>2022</v>
      </c>
      <c r="E23" s="37">
        <f>'Hotel Data'!E25</f>
        <v>391</v>
      </c>
      <c r="F23" s="37">
        <f>'Hotel Data'!G25</f>
        <v>0</v>
      </c>
      <c r="G23" s="37">
        <f>'Hotel Data'!O25</f>
        <v>0</v>
      </c>
      <c r="H23" s="37">
        <f>'Hotel Data'!Q25</f>
        <v>16</v>
      </c>
      <c r="I23" s="37">
        <f>'Hotel Data'!S25</f>
        <v>0</v>
      </c>
      <c r="J23" s="37">
        <f>'Hotel Data'!U25</f>
        <v>39</v>
      </c>
      <c r="K23" s="37">
        <f>'Hotel Data'!AD25</f>
        <v>312</v>
      </c>
      <c r="L23" s="37">
        <f>'Hotel Data'!AG25</f>
        <v>1079</v>
      </c>
      <c r="M23" s="38">
        <f>'Hotel Data'!AJ25</f>
        <v>144</v>
      </c>
      <c r="N23" s="38">
        <f>'Hotel Data'!AN25</f>
        <v>513</v>
      </c>
      <c r="O23" s="38">
        <f>'Hotel Data'!AR25</f>
        <v>232</v>
      </c>
      <c r="P23" s="34">
        <f>TOTAL!K22</f>
        <v>65</v>
      </c>
    </row>
    <row r="24" spans="1:16" s="34" customFormat="1">
      <c r="A24" s="34" t="s">
        <v>12</v>
      </c>
      <c r="B24" s="34">
        <f t="shared" si="0"/>
        <v>22</v>
      </c>
      <c r="C24" s="35">
        <v>2</v>
      </c>
      <c r="D24" s="33">
        <v>2022</v>
      </c>
      <c r="E24" s="37">
        <f>'Hotel Data'!E26</f>
        <v>337</v>
      </c>
      <c r="F24" s="37">
        <f>'Hotel Data'!G26</f>
        <v>1</v>
      </c>
      <c r="G24" s="37">
        <f>'Hotel Data'!O26</f>
        <v>1</v>
      </c>
      <c r="H24" s="37">
        <f>'Hotel Data'!Q26</f>
        <v>16</v>
      </c>
      <c r="I24" s="37">
        <f>'Hotel Data'!S26</f>
        <v>0</v>
      </c>
      <c r="J24" s="37">
        <f>'Hotel Data'!U26</f>
        <v>39</v>
      </c>
      <c r="K24" s="37">
        <f>'Hotel Data'!AD26</f>
        <v>322</v>
      </c>
      <c r="L24" s="37">
        <f>'Hotel Data'!AG26</f>
        <v>1209</v>
      </c>
      <c r="M24" s="38">
        <f>'Hotel Data'!AJ26</f>
        <v>160</v>
      </c>
      <c r="N24" s="38">
        <f>'Hotel Data'!AN26</f>
        <v>536</v>
      </c>
      <c r="O24" s="38">
        <f>'Hotel Data'!AR26</f>
        <v>280</v>
      </c>
      <c r="P24" s="34">
        <f>TOTAL!K23</f>
        <v>76</v>
      </c>
    </row>
    <row r="25" spans="1:16" s="34" customFormat="1">
      <c r="A25" s="34" t="s">
        <v>12</v>
      </c>
      <c r="B25" s="34">
        <f t="shared" si="0"/>
        <v>23</v>
      </c>
      <c r="C25" s="35">
        <v>2</v>
      </c>
      <c r="D25" s="33">
        <v>2022</v>
      </c>
      <c r="E25" s="37">
        <f>'Hotel Data'!E27</f>
        <v>335</v>
      </c>
      <c r="F25" s="37">
        <f>'Hotel Data'!G27</f>
        <v>1</v>
      </c>
      <c r="G25" s="37">
        <f>'Hotel Data'!O27</f>
        <v>0</v>
      </c>
      <c r="H25" s="37">
        <f>'Hotel Data'!Q27</f>
        <v>15</v>
      </c>
      <c r="I25" s="37">
        <f>'Hotel Data'!S27</f>
        <v>0</v>
      </c>
      <c r="J25" s="37">
        <f>'Hotel Data'!U27</f>
        <v>38</v>
      </c>
      <c r="K25" s="37">
        <f>'Hotel Data'!AD27</f>
        <v>322</v>
      </c>
      <c r="L25" s="37">
        <f>'Hotel Data'!AG27</f>
        <v>1143</v>
      </c>
      <c r="M25" s="38">
        <f>'Hotel Data'!AJ27</f>
        <v>136</v>
      </c>
      <c r="N25" s="38">
        <f>'Hotel Data'!AN27</f>
        <v>548</v>
      </c>
      <c r="O25" s="38">
        <f>'Hotel Data'!AR27</f>
        <v>248</v>
      </c>
      <c r="P25" s="34">
        <f>TOTAL!K24</f>
        <v>105</v>
      </c>
    </row>
    <row r="26" spans="1:16" s="34" customFormat="1">
      <c r="A26" s="34" t="s">
        <v>12</v>
      </c>
      <c r="B26" s="34">
        <f t="shared" si="0"/>
        <v>24</v>
      </c>
      <c r="C26" s="35">
        <v>2</v>
      </c>
      <c r="D26" s="33">
        <v>2022</v>
      </c>
      <c r="E26" s="37">
        <f>'Hotel Data'!E28</f>
        <v>343</v>
      </c>
      <c r="F26" s="37">
        <f>'Hotel Data'!G28</f>
        <v>1</v>
      </c>
      <c r="G26" s="37">
        <f>'Hotel Data'!O28</f>
        <v>0</v>
      </c>
      <c r="H26" s="37">
        <f>'Hotel Data'!Q28</f>
        <v>15</v>
      </c>
      <c r="I26" s="37">
        <f>'Hotel Data'!S28</f>
        <v>0</v>
      </c>
      <c r="J26" s="37">
        <f>'Hotel Data'!U28</f>
        <v>36</v>
      </c>
      <c r="K26" s="37">
        <f>'Hotel Data'!AD28</f>
        <v>316</v>
      </c>
      <c r="L26" s="37">
        <f>'Hotel Data'!AG28</f>
        <v>1092</v>
      </c>
      <c r="M26" s="38">
        <f>'Hotel Data'!AJ28</f>
        <v>200</v>
      </c>
      <c r="N26" s="38">
        <f>'Hotel Data'!AN28</f>
        <v>530</v>
      </c>
      <c r="O26" s="38">
        <f>'Hotel Data'!AR28</f>
        <v>320</v>
      </c>
      <c r="P26" s="34">
        <f>TOTAL!K25</f>
        <v>115</v>
      </c>
    </row>
    <row r="27" spans="1:16" s="34" customFormat="1">
      <c r="A27" s="34" t="s">
        <v>12</v>
      </c>
      <c r="B27" s="34">
        <f>B26+1</f>
        <v>25</v>
      </c>
      <c r="C27" s="35">
        <v>2</v>
      </c>
      <c r="D27" s="33">
        <v>2022</v>
      </c>
      <c r="E27" s="37">
        <f>'Hotel Data'!E29</f>
        <v>427</v>
      </c>
      <c r="F27" s="37">
        <f>'Hotel Data'!G29</f>
        <v>0</v>
      </c>
      <c r="G27" s="37">
        <f>'Hotel Data'!O29</f>
        <v>0</v>
      </c>
      <c r="H27" s="37">
        <f>'Hotel Data'!Q29</f>
        <v>15</v>
      </c>
      <c r="I27" s="37">
        <f>'Hotel Data'!S29</f>
        <v>1</v>
      </c>
      <c r="J27" s="37">
        <f>'Hotel Data'!U29</f>
        <v>44</v>
      </c>
      <c r="K27" s="37">
        <f>'Hotel Data'!AD29</f>
        <v>323</v>
      </c>
      <c r="L27" s="37">
        <f>'Hotel Data'!AG29</f>
        <v>1165</v>
      </c>
      <c r="M27" s="38">
        <f>'Hotel Data'!AJ29</f>
        <v>152</v>
      </c>
      <c r="N27" s="38">
        <f>'Hotel Data'!AN29</f>
        <v>594</v>
      </c>
      <c r="O27" s="38">
        <f>'Hotel Data'!AR29</f>
        <v>352</v>
      </c>
      <c r="P27" s="34">
        <f>TOTAL!K26</f>
        <v>101</v>
      </c>
    </row>
    <row r="28" spans="1:16" s="34" customFormat="1">
      <c r="A28" s="34" t="s">
        <v>12</v>
      </c>
      <c r="B28" s="34">
        <f t="shared" si="0"/>
        <v>26</v>
      </c>
      <c r="C28" s="35">
        <v>2</v>
      </c>
      <c r="D28" s="33">
        <v>2022</v>
      </c>
      <c r="E28" s="37">
        <f>'Hotel Data'!E30</f>
        <v>468</v>
      </c>
      <c r="F28" s="37">
        <f>'Hotel Data'!G30</f>
        <v>1</v>
      </c>
      <c r="G28" s="37">
        <f>'Hotel Data'!O30</f>
        <v>0</v>
      </c>
      <c r="H28" s="37">
        <f>'Hotel Data'!Q30</f>
        <v>15</v>
      </c>
      <c r="I28" s="37">
        <f>'Hotel Data'!S30</f>
        <v>0</v>
      </c>
      <c r="J28" s="37">
        <f>'Hotel Data'!U30</f>
        <v>38</v>
      </c>
      <c r="K28" s="37">
        <f>'Hotel Data'!AD30</f>
        <v>307</v>
      </c>
      <c r="L28" s="37">
        <f>'Hotel Data'!AG30</f>
        <v>1242</v>
      </c>
      <c r="M28" s="38">
        <f>'Hotel Data'!AJ30</f>
        <v>192</v>
      </c>
      <c r="N28" s="38">
        <f>'Hotel Data'!AN30</f>
        <v>644</v>
      </c>
      <c r="O28" s="38">
        <f>'Hotel Data'!AR30</f>
        <v>296</v>
      </c>
      <c r="P28" s="34">
        <f>TOTAL!K27</f>
        <v>101</v>
      </c>
    </row>
    <row r="29" spans="1:16" s="34" customFormat="1">
      <c r="A29" s="34" t="s">
        <v>12</v>
      </c>
      <c r="B29" s="34">
        <f t="shared" si="0"/>
        <v>27</v>
      </c>
      <c r="C29" s="35">
        <v>2</v>
      </c>
      <c r="D29" s="33">
        <v>2022</v>
      </c>
      <c r="E29" s="37">
        <f>'Hotel Data'!E31</f>
        <v>592</v>
      </c>
      <c r="F29" s="37">
        <f>'Hotel Data'!G31</f>
        <v>1</v>
      </c>
      <c r="G29" s="37">
        <f>'Hotel Data'!O31</f>
        <v>0</v>
      </c>
      <c r="H29" s="37">
        <f>'Hotel Data'!Q31</f>
        <v>13</v>
      </c>
      <c r="I29" s="37">
        <f>'Hotel Data'!S31</f>
        <v>0</v>
      </c>
      <c r="J29" s="37">
        <f>'Hotel Data'!U31</f>
        <v>36</v>
      </c>
      <c r="K29" s="37">
        <f>'Hotel Data'!AD31</f>
        <v>306</v>
      </c>
      <c r="L29" s="37">
        <f>'Hotel Data'!AG31</f>
        <v>1164</v>
      </c>
      <c r="M29" s="38">
        <f>'Hotel Data'!AJ31</f>
        <v>168</v>
      </c>
      <c r="N29" s="38">
        <f>'Hotel Data'!AN31</f>
        <v>622</v>
      </c>
      <c r="O29" s="38">
        <f>'Hotel Data'!AR31</f>
        <v>296</v>
      </c>
      <c r="P29" s="34">
        <f>TOTAL!K28</f>
        <v>62</v>
      </c>
    </row>
    <row r="30" spans="1:16" s="34" customFormat="1">
      <c r="A30" s="34" t="s">
        <v>12</v>
      </c>
      <c r="B30" s="34">
        <f t="shared" si="0"/>
        <v>28</v>
      </c>
      <c r="C30" s="35">
        <v>2</v>
      </c>
      <c r="D30" s="33">
        <v>2022</v>
      </c>
      <c r="E30" s="37">
        <f>'Hotel Data'!E32</f>
        <v>602</v>
      </c>
      <c r="F30" s="37">
        <f>'Hotel Data'!G32</f>
        <v>0</v>
      </c>
      <c r="G30" s="37">
        <f>'Hotel Data'!O32</f>
        <v>1</v>
      </c>
      <c r="H30" s="37">
        <f>'Hotel Data'!Q32</f>
        <v>14</v>
      </c>
      <c r="I30" s="37">
        <f>'Hotel Data'!S32</f>
        <v>0</v>
      </c>
      <c r="J30" s="37">
        <f>'Hotel Data'!U32</f>
        <v>31</v>
      </c>
      <c r="K30" s="37">
        <f>'Hotel Data'!AD32</f>
        <v>298</v>
      </c>
      <c r="L30" s="37">
        <f>'Hotel Data'!AG32</f>
        <v>1019</v>
      </c>
      <c r="M30" s="38">
        <f>'Hotel Data'!AJ32</f>
        <v>144</v>
      </c>
      <c r="N30" s="38">
        <f>'Hotel Data'!AN32</f>
        <v>590</v>
      </c>
      <c r="O30" s="38">
        <f>'Hotel Data'!AR32</f>
        <v>208</v>
      </c>
      <c r="P30" s="34">
        <f>TOTAL!K29</f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1"/>
  <sheetViews>
    <sheetView topLeftCell="N1" zoomScale="85" zoomScaleNormal="85" workbookViewId="0">
      <selection activeCell="H43" sqref="H43"/>
    </sheetView>
  </sheetViews>
  <sheetFormatPr defaultColWidth="8.5703125" defaultRowHeight="15"/>
  <cols>
    <col min="1" max="1" width="6" style="42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4" customWidth="1"/>
    <col min="26" max="26" width="16.42578125" style="1" customWidth="1"/>
    <col min="27" max="27" width="11.5703125" style="1" customWidth="1"/>
    <col min="28" max="28" width="16.5703125" style="42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>
      <c r="A1" s="114"/>
      <c r="B1" s="114"/>
      <c r="C1" s="114"/>
      <c r="D1" s="109" t="s">
        <v>24</v>
      </c>
      <c r="E1" s="109"/>
      <c r="F1" s="109" t="s">
        <v>25</v>
      </c>
      <c r="G1" s="109"/>
      <c r="H1" s="109" t="s">
        <v>26</v>
      </c>
      <c r="I1" s="109"/>
      <c r="J1" s="109"/>
      <c r="K1" s="109"/>
      <c r="L1" s="109"/>
      <c r="M1" s="109"/>
      <c r="N1" s="116" t="s">
        <v>27</v>
      </c>
      <c r="O1" s="116"/>
      <c r="P1" s="116" t="s">
        <v>28</v>
      </c>
      <c r="Q1" s="116"/>
      <c r="R1" s="116" t="s">
        <v>29</v>
      </c>
      <c r="S1" s="116"/>
      <c r="T1" s="116" t="s">
        <v>30</v>
      </c>
      <c r="U1" s="116"/>
      <c r="V1" s="109" t="s">
        <v>31</v>
      </c>
      <c r="W1" s="109"/>
      <c r="X1" s="109"/>
      <c r="Y1" s="109" t="s">
        <v>32</v>
      </c>
      <c r="Z1" s="109"/>
      <c r="AA1" s="109"/>
      <c r="AB1" s="109" t="s">
        <v>33</v>
      </c>
      <c r="AC1" s="109"/>
      <c r="AD1" s="109"/>
      <c r="AE1" s="109" t="s">
        <v>34</v>
      </c>
      <c r="AF1" s="109"/>
      <c r="AG1" s="109"/>
      <c r="AH1" s="109" t="s">
        <v>35</v>
      </c>
      <c r="AI1" s="109"/>
      <c r="AJ1" s="109"/>
      <c r="AK1" s="109"/>
      <c r="AL1" s="109" t="s">
        <v>36</v>
      </c>
      <c r="AM1" s="109"/>
      <c r="AN1" s="109"/>
      <c r="AO1" s="109"/>
      <c r="AP1" s="109" t="s">
        <v>37</v>
      </c>
      <c r="AQ1" s="109"/>
      <c r="AR1" s="109"/>
      <c r="AS1" s="109" t="s">
        <v>38</v>
      </c>
      <c r="AT1" s="109"/>
      <c r="AU1" s="116" t="s">
        <v>39</v>
      </c>
      <c r="AV1" s="129" t="s">
        <v>40</v>
      </c>
      <c r="AW1" s="123" t="s">
        <v>41</v>
      </c>
      <c r="AX1" s="125" t="s">
        <v>42</v>
      </c>
      <c r="AY1" s="126"/>
      <c r="AZ1" s="111" t="s">
        <v>43</v>
      </c>
      <c r="BA1" s="111" t="s">
        <v>25</v>
      </c>
      <c r="BB1" s="111" t="s">
        <v>44</v>
      </c>
      <c r="BC1" s="111" t="s">
        <v>45</v>
      </c>
      <c r="BD1" s="111" t="s">
        <v>46</v>
      </c>
      <c r="BE1" s="111" t="s">
        <v>47</v>
      </c>
      <c r="BF1" s="111" t="s">
        <v>48</v>
      </c>
      <c r="BG1" s="111" t="s">
        <v>49</v>
      </c>
      <c r="BH1" s="111" t="s">
        <v>50</v>
      </c>
      <c r="BI1" s="118" t="s">
        <v>51</v>
      </c>
    </row>
    <row r="2" spans="1:61" ht="24" customHeight="1" thickBot="1">
      <c r="A2" s="115"/>
      <c r="B2" s="115"/>
      <c r="C2" s="115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7"/>
      <c r="O2" s="117"/>
      <c r="P2" s="117"/>
      <c r="Q2" s="117"/>
      <c r="R2" s="117"/>
      <c r="S2" s="117"/>
      <c r="T2" s="117"/>
      <c r="U2" s="117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7"/>
      <c r="AV2" s="130"/>
      <c r="AW2" s="124"/>
      <c r="AX2" s="127"/>
      <c r="AY2" s="128"/>
      <c r="AZ2" s="112"/>
      <c r="BA2" s="112"/>
      <c r="BB2" s="112"/>
      <c r="BC2" s="112"/>
      <c r="BD2" s="112"/>
      <c r="BE2" s="112"/>
      <c r="BF2" s="112"/>
      <c r="BG2" s="112"/>
      <c r="BH2" s="112"/>
      <c r="BI2" s="119"/>
    </row>
    <row r="3" spans="1:61" ht="25.5" customHeight="1" thickBot="1">
      <c r="A3" s="90" t="s">
        <v>52</v>
      </c>
      <c r="B3" s="91" t="s">
        <v>53</v>
      </c>
      <c r="C3" s="92" t="s">
        <v>54</v>
      </c>
      <c r="D3" s="93" t="s">
        <v>55</v>
      </c>
      <c r="E3" s="94" t="s">
        <v>56</v>
      </c>
      <c r="F3" s="3" t="s">
        <v>55</v>
      </c>
      <c r="G3" s="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95" t="s">
        <v>59</v>
      </c>
      <c r="N3" s="96" t="s">
        <v>55</v>
      </c>
      <c r="O3" s="97" t="s">
        <v>56</v>
      </c>
      <c r="P3" s="96" t="s">
        <v>55</v>
      </c>
      <c r="Q3" s="97" t="s">
        <v>56</v>
      </c>
      <c r="R3" s="96" t="s">
        <v>55</v>
      </c>
      <c r="S3" s="97" t="s">
        <v>56</v>
      </c>
      <c r="T3" s="96" t="s">
        <v>55</v>
      </c>
      <c r="U3" s="97" t="s">
        <v>56</v>
      </c>
      <c r="V3" s="96" t="s">
        <v>60</v>
      </c>
      <c r="W3" s="98" t="s">
        <v>56</v>
      </c>
      <c r="X3" s="97" t="s">
        <v>61</v>
      </c>
      <c r="Y3" s="96" t="s">
        <v>62</v>
      </c>
      <c r="Z3" s="98" t="s">
        <v>56</v>
      </c>
      <c r="AA3" s="97" t="s">
        <v>63</v>
      </c>
      <c r="AB3" s="96" t="s">
        <v>64</v>
      </c>
      <c r="AC3" s="98" t="s">
        <v>56</v>
      </c>
      <c r="AD3" s="97" t="s">
        <v>63</v>
      </c>
      <c r="AE3" s="96" t="s">
        <v>64</v>
      </c>
      <c r="AF3" s="98" t="s">
        <v>56</v>
      </c>
      <c r="AG3" s="3" t="s">
        <v>65</v>
      </c>
      <c r="AH3" s="96" t="s">
        <v>66</v>
      </c>
      <c r="AI3" s="98" t="s">
        <v>56</v>
      </c>
      <c r="AJ3" s="3" t="s">
        <v>65</v>
      </c>
      <c r="AK3" s="99" t="s">
        <v>67</v>
      </c>
      <c r="AL3" s="96" t="s">
        <v>64</v>
      </c>
      <c r="AM3" s="100" t="s">
        <v>56</v>
      </c>
      <c r="AN3" s="3" t="s">
        <v>65</v>
      </c>
      <c r="AO3" s="101" t="s">
        <v>67</v>
      </c>
      <c r="AP3" s="96" t="s">
        <v>66</v>
      </c>
      <c r="AQ3" s="98" t="s">
        <v>56</v>
      </c>
      <c r="AR3" s="3" t="s">
        <v>65</v>
      </c>
      <c r="AS3" s="102" t="s">
        <v>68</v>
      </c>
      <c r="AT3" s="103" t="s">
        <v>69</v>
      </c>
      <c r="AU3" s="121" t="s">
        <v>70</v>
      </c>
      <c r="AV3" s="122"/>
      <c r="AW3" s="104"/>
      <c r="AX3" s="43" t="s">
        <v>55</v>
      </c>
      <c r="AY3" s="43" t="s">
        <v>56</v>
      </c>
      <c r="AZ3" s="113"/>
      <c r="BA3" s="113"/>
      <c r="BB3" s="113"/>
      <c r="BC3" s="113"/>
      <c r="BD3" s="113"/>
      <c r="BE3" s="113"/>
      <c r="BF3" s="113"/>
      <c r="BG3" s="113"/>
      <c r="BH3" s="113"/>
      <c r="BI3" s="120"/>
    </row>
    <row r="4" spans="1:61" ht="13.9" customHeight="1">
      <c r="A4" s="50"/>
      <c r="B4" s="48"/>
      <c r="C4" s="62"/>
      <c r="D4" s="6">
        <v>266748</v>
      </c>
      <c r="E4" s="63"/>
      <c r="F4" s="6">
        <f>[1]January!F33</f>
        <v>6963</v>
      </c>
      <c r="G4" s="63"/>
      <c r="H4" s="6">
        <v>44415</v>
      </c>
      <c r="I4" s="63"/>
      <c r="J4" s="57">
        <v>560901</v>
      </c>
      <c r="K4" s="57"/>
      <c r="L4" s="7"/>
      <c r="M4" s="7"/>
      <c r="N4" s="6">
        <v>4899</v>
      </c>
      <c r="O4" s="64"/>
      <c r="P4" s="6">
        <v>87617</v>
      </c>
      <c r="Q4" s="44"/>
      <c r="R4" s="6">
        <v>24</v>
      </c>
      <c r="S4" s="44"/>
      <c r="T4" s="6">
        <v>186297</v>
      </c>
      <c r="U4" s="44"/>
      <c r="V4" s="13">
        <v>3776</v>
      </c>
      <c r="W4" s="65"/>
      <c r="X4" s="55"/>
      <c r="Y4" s="58">
        <v>721.32</v>
      </c>
      <c r="Z4" s="44"/>
      <c r="AA4" s="55"/>
      <c r="AB4" s="58">
        <v>1688404</v>
      </c>
      <c r="AC4" s="44"/>
      <c r="AD4" s="55"/>
      <c r="AE4" s="58">
        <v>4951443</v>
      </c>
      <c r="AF4" s="44"/>
      <c r="AG4" s="55"/>
      <c r="AH4" s="6">
        <v>32800</v>
      </c>
      <c r="AI4" s="64"/>
      <c r="AJ4" s="55"/>
      <c r="AK4" s="66"/>
      <c r="AL4" s="6">
        <v>104222</v>
      </c>
      <c r="AM4" s="63"/>
      <c r="AN4" s="55"/>
      <c r="AO4" s="66"/>
      <c r="AP4" s="6">
        <v>46121</v>
      </c>
      <c r="AQ4" s="64"/>
      <c r="AR4" s="55"/>
      <c r="AS4" s="67"/>
      <c r="AT4" s="14"/>
      <c r="AU4" s="6"/>
      <c r="AV4" s="56"/>
      <c r="AW4" s="9"/>
      <c r="AX4" s="6">
        <v>284</v>
      </c>
      <c r="AY4" s="44"/>
      <c r="AZ4" s="51">
        <f>D39</f>
        <v>0</v>
      </c>
      <c r="BA4" s="51">
        <f>F39</f>
        <v>0</v>
      </c>
      <c r="BB4" s="51">
        <f>H39</f>
        <v>0</v>
      </c>
      <c r="BC4" s="51">
        <f>N42</f>
        <v>0</v>
      </c>
      <c r="BD4" s="52">
        <v>370000</v>
      </c>
      <c r="BE4" s="52">
        <f>BD4</f>
        <v>370000</v>
      </c>
      <c r="BF4" s="68">
        <v>38650</v>
      </c>
      <c r="BG4" s="53">
        <v>6808</v>
      </c>
      <c r="BH4" s="68">
        <v>18616</v>
      </c>
      <c r="BI4" s="53">
        <v>9336</v>
      </c>
    </row>
    <row r="5" spans="1:61" ht="15.75">
      <c r="A5" s="47">
        <v>1</v>
      </c>
      <c r="B5" s="48" t="s">
        <v>71</v>
      </c>
      <c r="C5" s="10"/>
      <c r="D5" s="6">
        <v>267379</v>
      </c>
      <c r="E5" s="8">
        <f t="shared" ref="E5:E32" si="0">IF(ISBLANK(D5),0,D5-D4)</f>
        <v>631</v>
      </c>
      <c r="F5" s="6">
        <v>6965</v>
      </c>
      <c r="G5" s="8">
        <f t="shared" ref="G5:G32" si="1">IF(ISBLANK(F5),0,F5-F4)</f>
        <v>2</v>
      </c>
      <c r="H5" s="6">
        <v>44528</v>
      </c>
      <c r="I5" s="8">
        <f t="shared" ref="I5:K20" si="2">IF(ISBLANK(H5),0,H5-H4)</f>
        <v>113</v>
      </c>
      <c r="J5" s="57">
        <v>561009</v>
      </c>
      <c r="K5" s="8">
        <f t="shared" si="2"/>
        <v>108</v>
      </c>
      <c r="L5" s="7"/>
      <c r="M5" s="11" t="e">
        <f>I5/L5</f>
        <v>#DIV/0!</v>
      </c>
      <c r="N5" s="6">
        <v>4899</v>
      </c>
      <c r="O5" s="8">
        <f t="shared" ref="O5:O32" si="3">IF(ISBLANK(N5),0,N5-N4)</f>
        <v>0</v>
      </c>
      <c r="P5" s="12">
        <v>87627</v>
      </c>
      <c r="Q5" s="8">
        <f t="shared" ref="Q5:Q32" si="4">IF(ISBLANK(P5),0,P5-P4)</f>
        <v>10</v>
      </c>
      <c r="R5" s="12">
        <v>25</v>
      </c>
      <c r="S5" s="8">
        <f t="shared" ref="S5:S32" si="5">IF(ISBLANK(R5),0,R5-R4)</f>
        <v>1</v>
      </c>
      <c r="T5" s="12">
        <v>186326</v>
      </c>
      <c r="U5" s="8">
        <f t="shared" ref="U5:U32" si="6">IF(ISBLANK(T5),0,T5-T4)</f>
        <v>29</v>
      </c>
      <c r="V5" s="13"/>
      <c r="W5" s="8"/>
      <c r="X5" s="55">
        <v>9868</v>
      </c>
      <c r="Y5" s="12"/>
      <c r="Z5" s="8">
        <f>IF(ISBLANK(Y5),0,Y5-Y4)*2200</f>
        <v>0</v>
      </c>
      <c r="AA5" s="55">
        <v>2380</v>
      </c>
      <c r="AB5" s="6"/>
      <c r="AC5" s="9">
        <f>IF(ISBLANK(AB5),0,SUM(AB5-AB4))</f>
        <v>0</v>
      </c>
      <c r="AD5" s="55">
        <v>299</v>
      </c>
      <c r="AE5" s="12"/>
      <c r="AF5" s="9">
        <f>IF(ISBLANK(AE5),0,SUM(AE5-AE4))</f>
        <v>0</v>
      </c>
      <c r="AG5" s="55">
        <v>951</v>
      </c>
      <c r="AH5" s="6"/>
      <c r="AI5" s="8">
        <f>IF(ISBLANK(AH5),0,AH5-AH4)*80</f>
        <v>0</v>
      </c>
      <c r="AJ5" s="55">
        <v>168</v>
      </c>
      <c r="AK5" s="7"/>
      <c r="AL5" s="6"/>
      <c r="AM5" s="8">
        <f t="shared" ref="AM5:AM32" si="7">IF(ISBLANK(AL5),0,AL5-AL4)</f>
        <v>0</v>
      </c>
      <c r="AN5" s="55">
        <v>506</v>
      </c>
      <c r="AO5" s="7"/>
      <c r="AP5" s="6"/>
      <c r="AQ5" s="8">
        <f>IF(ISBLANK(AP5),0,AP5-AP4)*80</f>
        <v>0</v>
      </c>
      <c r="AR5" s="55">
        <v>184</v>
      </c>
      <c r="AS5" s="69">
        <v>6</v>
      </c>
      <c r="AT5" s="14">
        <v>18</v>
      </c>
      <c r="AU5" s="7"/>
      <c r="AV5" s="56"/>
      <c r="AW5" s="59"/>
      <c r="AX5" s="12">
        <v>284</v>
      </c>
      <c r="AY5" s="9">
        <f t="shared" ref="AY5:AY32" si="8">IF(ISBLANK(AX5),0,AX5-AX4)</f>
        <v>0</v>
      </c>
      <c r="AZ5" s="15">
        <f>IF(D5&lt;&gt;0,(+D5-D$10)/A5*29,0)</f>
        <v>-88218</v>
      </c>
      <c r="BA5" s="15">
        <f>IF(F5&lt;&gt;0,(+F5-F$10)/$A5*D$5,0)</f>
        <v>0</v>
      </c>
      <c r="BB5" s="15">
        <f>IF(H5&lt;&gt;0,(+H5-H$10)/$A5*D$5,0)</f>
        <v>-168716149</v>
      </c>
      <c r="BC5" s="15">
        <f>IF(N5&lt;&gt;0,(+N5-N$10)/$A5*D$5,0)</f>
        <v>-267379</v>
      </c>
      <c r="BD5" s="16">
        <f t="shared" ref="BD5:BD31" si="9">IF(V5&lt;&gt;0,(+V5-V$10)*2200/$A5*D$5,0)</f>
        <v>0</v>
      </c>
      <c r="BE5" s="71">
        <f>IF(X5&lt;&gt;0,AVERAGE(X5:X$11)*D$5,)</f>
        <v>2655111667</v>
      </c>
      <c r="BF5" s="15">
        <f>IF(AD5+AG5&lt;&gt;0,AVERAGE(AD5:AD$11)*D$5+AVERAGE(AG5:AG$11)*D$5,)</f>
        <v>361610999</v>
      </c>
      <c r="BG5" s="15">
        <f>AVERAGE(AD5:AD$11)*D$5</f>
        <v>81894368</v>
      </c>
      <c r="BH5" s="15">
        <f>AVERAGE(AN5:AN$11)*D$5</f>
        <v>135446562</v>
      </c>
      <c r="BI5" s="15">
        <f>AVERAGE(AR5:AR$11)*D$5</f>
        <v>52559072</v>
      </c>
    </row>
    <row r="6" spans="1:61" ht="15.75">
      <c r="A6" s="47">
        <f t="shared" ref="A6:A12" si="10">1+A5</f>
        <v>2</v>
      </c>
      <c r="B6" s="48" t="s">
        <v>71</v>
      </c>
      <c r="C6" s="10"/>
      <c r="D6" s="6">
        <v>267845</v>
      </c>
      <c r="E6" s="8">
        <f t="shared" si="0"/>
        <v>466</v>
      </c>
      <c r="F6" s="6">
        <v>6965</v>
      </c>
      <c r="G6" s="8">
        <f t="shared" si="1"/>
        <v>0</v>
      </c>
      <c r="H6" s="6">
        <v>44645</v>
      </c>
      <c r="I6" s="8">
        <f t="shared" si="2"/>
        <v>117</v>
      </c>
      <c r="J6" s="57">
        <v>561122</v>
      </c>
      <c r="K6" s="8">
        <f t="shared" si="2"/>
        <v>113</v>
      </c>
      <c r="L6" s="7"/>
      <c r="M6" s="11" t="e">
        <f t="shared" ref="M6:M32" si="11">I6/L6</f>
        <v>#DIV/0!</v>
      </c>
      <c r="N6" s="6">
        <v>4899</v>
      </c>
      <c r="O6" s="8">
        <f t="shared" si="3"/>
        <v>0</v>
      </c>
      <c r="P6" s="12">
        <v>87639</v>
      </c>
      <c r="Q6" s="8">
        <f t="shared" si="4"/>
        <v>12</v>
      </c>
      <c r="R6" s="12">
        <v>26</v>
      </c>
      <c r="S6" s="8">
        <f t="shared" si="5"/>
        <v>1</v>
      </c>
      <c r="T6" s="12">
        <v>186358</v>
      </c>
      <c r="U6" s="8">
        <f t="shared" si="6"/>
        <v>32</v>
      </c>
      <c r="V6" s="13"/>
      <c r="W6" s="8"/>
      <c r="X6" s="55">
        <v>10159</v>
      </c>
      <c r="Y6" s="58"/>
      <c r="Z6" s="8">
        <f t="shared" ref="Z6:Z32" si="12">IF(ISBLANK(Y6),0,Y6-Y5)*2200</f>
        <v>0</v>
      </c>
      <c r="AA6" s="55">
        <v>2506</v>
      </c>
      <c r="AB6" s="6"/>
      <c r="AC6" s="9">
        <f t="shared" ref="AC6:AC32" si="13">IF(ISBLANK(AB6),0,SUM(AB6-AB5))</f>
        <v>0</v>
      </c>
      <c r="AD6" s="55">
        <v>304</v>
      </c>
      <c r="AE6" s="12"/>
      <c r="AF6" s="9">
        <f t="shared" ref="AF6:AF32" si="14">IF(ISBLANK(AE6),0,SUM(AE6-AE5))</f>
        <v>0</v>
      </c>
      <c r="AG6" s="55">
        <v>934</v>
      </c>
      <c r="AH6" s="6"/>
      <c r="AI6" s="8">
        <f t="shared" ref="AI6:AI32" si="15">IF(ISBLANK(AH6),0,AH6-AH5)*80</f>
        <v>0</v>
      </c>
      <c r="AJ6" s="55">
        <v>168</v>
      </c>
      <c r="AK6" s="7"/>
      <c r="AL6" s="6"/>
      <c r="AM6" s="8">
        <f t="shared" si="7"/>
        <v>0</v>
      </c>
      <c r="AN6" s="55">
        <v>447</v>
      </c>
      <c r="AO6" s="7"/>
      <c r="AP6" s="6"/>
      <c r="AQ6" s="8">
        <f t="shared" ref="AQ6:AQ32" si="16">IF(ISBLANK(AP6),0,AP6-AP5)*80</f>
        <v>0</v>
      </c>
      <c r="AR6" s="55">
        <v>176</v>
      </c>
      <c r="AS6" s="69">
        <v>6</v>
      </c>
      <c r="AT6" s="14">
        <v>18</v>
      </c>
      <c r="AU6" s="7"/>
      <c r="AV6" s="56"/>
      <c r="AW6" s="59"/>
      <c r="AX6" s="12">
        <v>285</v>
      </c>
      <c r="AY6" s="9">
        <f t="shared" si="8"/>
        <v>1</v>
      </c>
      <c r="AZ6" s="15">
        <f t="shared" ref="AZ6:AZ32" si="17">IF(D6&lt;&gt;0,(+D6-D$10)/A6*29,0)</f>
        <v>-37352</v>
      </c>
      <c r="BA6" s="15">
        <f t="shared" ref="BA6:BA31" si="18">IF(F6&lt;&gt;0,(+F6-F$10)/$A6*D$5,0)</f>
        <v>0</v>
      </c>
      <c r="BB6" s="15">
        <f t="shared" ref="BB6:BB31" si="19">IF(H6&lt;&gt;0,(+H6-H$10)/$A6*D$5,0)</f>
        <v>-68716403</v>
      </c>
      <c r="BC6" s="15">
        <f t="shared" ref="BC6:BC31" si="20">IF(N6&lt;&gt;0,(+N6-N$10)/$A6*D$5,0)</f>
        <v>-133689.5</v>
      </c>
      <c r="BD6" s="16">
        <f t="shared" si="9"/>
        <v>0</v>
      </c>
      <c r="BE6" s="71">
        <f>IF(X6&lt;&gt;0,AVERAGE(X6:X$11)*D$5,)</f>
        <v>2657880949.5</v>
      </c>
      <c r="BF6" s="15">
        <f>IF(AD6+AG6&lt;&gt;0,AVERAGE(AD6:AD$11)*D$5+AVERAGE(AG6:AG$11)*D$5,)</f>
        <v>366175540.5</v>
      </c>
      <c r="BG6" s="15">
        <f>AVERAGE(AD6:AD$11)*D$5</f>
        <v>82219042.5</v>
      </c>
      <c r="BH6" s="15">
        <f>AVERAGE(AN6:AN$11)*D$5</f>
        <v>135472026.66666669</v>
      </c>
      <c r="BI6" s="15">
        <f>AVERAGE(AR6:AR$11)*D$5</f>
        <v>53119294.666666664</v>
      </c>
    </row>
    <row r="7" spans="1:61" ht="15.75">
      <c r="A7" s="47">
        <f t="shared" si="10"/>
        <v>3</v>
      </c>
      <c r="B7" s="48" t="s">
        <v>71</v>
      </c>
      <c r="C7" s="10"/>
      <c r="D7" s="6">
        <v>268322</v>
      </c>
      <c r="E7" s="8">
        <f t="shared" si="0"/>
        <v>477</v>
      </c>
      <c r="F7" s="6">
        <v>6965</v>
      </c>
      <c r="G7" s="8">
        <f t="shared" si="1"/>
        <v>0</v>
      </c>
      <c r="H7" s="6">
        <v>44784</v>
      </c>
      <c r="I7" s="8">
        <f t="shared" si="2"/>
        <v>139</v>
      </c>
      <c r="J7" s="57">
        <v>561255</v>
      </c>
      <c r="K7" s="8">
        <f t="shared" si="2"/>
        <v>133</v>
      </c>
      <c r="L7" s="7"/>
      <c r="M7" s="11" t="e">
        <f t="shared" si="11"/>
        <v>#DIV/0!</v>
      </c>
      <c r="N7" s="6">
        <v>4899</v>
      </c>
      <c r="O7" s="8">
        <f t="shared" si="3"/>
        <v>0</v>
      </c>
      <c r="P7" s="12">
        <v>87653</v>
      </c>
      <c r="Q7" s="8">
        <f t="shared" si="4"/>
        <v>14</v>
      </c>
      <c r="R7" s="12">
        <v>28</v>
      </c>
      <c r="S7" s="8">
        <f t="shared" si="5"/>
        <v>2</v>
      </c>
      <c r="T7" s="12">
        <v>186391</v>
      </c>
      <c r="U7" s="8">
        <f t="shared" si="6"/>
        <v>33</v>
      </c>
      <c r="V7" s="13"/>
      <c r="W7" s="8"/>
      <c r="X7" s="55">
        <v>10211</v>
      </c>
      <c r="Y7" s="58"/>
      <c r="Z7" s="8">
        <f t="shared" si="12"/>
        <v>0</v>
      </c>
      <c r="AA7" s="55">
        <v>2466</v>
      </c>
      <c r="AB7" s="6"/>
      <c r="AC7" s="9">
        <f t="shared" si="13"/>
        <v>0</v>
      </c>
      <c r="AD7" s="55">
        <v>309</v>
      </c>
      <c r="AE7" s="12"/>
      <c r="AF7" s="9">
        <f t="shared" si="14"/>
        <v>0</v>
      </c>
      <c r="AG7" s="55">
        <v>1040</v>
      </c>
      <c r="AH7" s="6"/>
      <c r="AI7" s="8">
        <f t="shared" si="15"/>
        <v>0</v>
      </c>
      <c r="AJ7" s="55">
        <v>176</v>
      </c>
      <c r="AK7" s="7"/>
      <c r="AL7" s="6"/>
      <c r="AM7" s="8">
        <f t="shared" si="7"/>
        <v>0</v>
      </c>
      <c r="AN7" s="55">
        <v>489</v>
      </c>
      <c r="AO7" s="7"/>
      <c r="AP7" s="6"/>
      <c r="AQ7" s="8">
        <f t="shared" si="16"/>
        <v>0</v>
      </c>
      <c r="AR7" s="55">
        <v>208</v>
      </c>
      <c r="AS7" s="72">
        <v>7</v>
      </c>
      <c r="AT7" s="14">
        <v>15</v>
      </c>
      <c r="AU7" s="7"/>
      <c r="AV7" s="56"/>
      <c r="AW7" s="59"/>
      <c r="AX7" s="12">
        <v>285</v>
      </c>
      <c r="AY7" s="9">
        <f t="shared" si="8"/>
        <v>0</v>
      </c>
      <c r="AZ7" s="15">
        <f t="shared" si="17"/>
        <v>-20290.333333333332</v>
      </c>
      <c r="BA7" s="15">
        <f t="shared" si="18"/>
        <v>0</v>
      </c>
      <c r="BB7" s="15">
        <f t="shared" si="19"/>
        <v>-33422375</v>
      </c>
      <c r="BC7" s="15">
        <f t="shared" si="20"/>
        <v>-89126.333333333328</v>
      </c>
      <c r="BD7" s="16">
        <f t="shared" si="9"/>
        <v>0</v>
      </c>
      <c r="BE7" s="71">
        <f>IF(X7&lt;&gt;0,AVERAGE(X7:X$11)*D$5,)</f>
        <v>2646196487.1999998</v>
      </c>
      <c r="BF7" s="15">
        <f>IF(AD7+AG7&lt;&gt;0,AVERAGE(AD7:AD$11)*D$5+AVERAGE(AG7:AG$11)*D$5,)</f>
        <v>373207608.19999999</v>
      </c>
      <c r="BG7" s="15">
        <f>AVERAGE(AD7:AD$11)*D$5</f>
        <v>82406207.799999997</v>
      </c>
      <c r="BH7" s="15">
        <f>AVERAGE(AN7:AN$11)*D$5</f>
        <v>138662749.40000001</v>
      </c>
      <c r="BI7" s="15">
        <f>AVERAGE(AR7:AR$11)*D$5</f>
        <v>54331412.799999997</v>
      </c>
    </row>
    <row r="8" spans="1:61" ht="15.75">
      <c r="A8" s="47">
        <f t="shared" si="10"/>
        <v>4</v>
      </c>
      <c r="B8" s="48" t="s">
        <v>71</v>
      </c>
      <c r="C8" s="10"/>
      <c r="D8" s="6">
        <v>268906</v>
      </c>
      <c r="E8" s="8">
        <f t="shared" si="0"/>
        <v>584</v>
      </c>
      <c r="F8" s="6">
        <v>6965</v>
      </c>
      <c r="G8" s="8">
        <f t="shared" si="1"/>
        <v>0</v>
      </c>
      <c r="H8" s="6">
        <v>44915</v>
      </c>
      <c r="I8" s="8">
        <f t="shared" si="2"/>
        <v>131</v>
      </c>
      <c r="J8" s="57">
        <v>561381</v>
      </c>
      <c r="K8" s="8">
        <f t="shared" si="2"/>
        <v>126</v>
      </c>
      <c r="L8" s="7"/>
      <c r="M8" s="11" t="e">
        <f t="shared" si="11"/>
        <v>#DIV/0!</v>
      </c>
      <c r="N8" s="6">
        <v>4900</v>
      </c>
      <c r="O8" s="8">
        <f t="shared" si="3"/>
        <v>1</v>
      </c>
      <c r="P8" s="12">
        <v>87664</v>
      </c>
      <c r="Q8" s="8">
        <f t="shared" si="4"/>
        <v>11</v>
      </c>
      <c r="R8" s="12">
        <v>28</v>
      </c>
      <c r="S8" s="8">
        <f t="shared" si="5"/>
        <v>0</v>
      </c>
      <c r="T8" s="12">
        <v>186420</v>
      </c>
      <c r="U8" s="8">
        <f t="shared" si="6"/>
        <v>29</v>
      </c>
      <c r="V8" s="13"/>
      <c r="W8" s="8"/>
      <c r="X8" s="55">
        <v>10200</v>
      </c>
      <c r="Y8" s="58"/>
      <c r="Z8" s="8">
        <f t="shared" si="12"/>
        <v>0</v>
      </c>
      <c r="AA8" s="55">
        <v>2448</v>
      </c>
      <c r="AB8" s="6"/>
      <c r="AC8" s="9">
        <f t="shared" si="13"/>
        <v>0</v>
      </c>
      <c r="AD8" s="55">
        <v>310</v>
      </c>
      <c r="AE8" s="12"/>
      <c r="AF8" s="9">
        <f t="shared" si="14"/>
        <v>0</v>
      </c>
      <c r="AG8" s="55">
        <v>1270</v>
      </c>
      <c r="AH8" s="6"/>
      <c r="AI8" s="8">
        <f t="shared" si="15"/>
        <v>0</v>
      </c>
      <c r="AJ8" s="55">
        <v>144</v>
      </c>
      <c r="AK8" s="7"/>
      <c r="AL8" s="6"/>
      <c r="AM8" s="8">
        <f t="shared" si="7"/>
        <v>0</v>
      </c>
      <c r="AN8" s="55">
        <v>485</v>
      </c>
      <c r="AO8" s="7"/>
      <c r="AP8" s="6"/>
      <c r="AQ8" s="8">
        <f t="shared" si="16"/>
        <v>0</v>
      </c>
      <c r="AR8" s="55">
        <v>200</v>
      </c>
      <c r="AS8" s="69">
        <v>4</v>
      </c>
      <c r="AT8" s="14">
        <v>12</v>
      </c>
      <c r="AU8" s="7"/>
      <c r="AV8" s="56"/>
      <c r="AW8" s="59"/>
      <c r="AX8" s="12">
        <v>285</v>
      </c>
      <c r="AY8" s="9">
        <f t="shared" si="8"/>
        <v>0</v>
      </c>
      <c r="AZ8" s="15">
        <f t="shared" si="17"/>
        <v>-10983.75</v>
      </c>
      <c r="BA8" s="15">
        <f t="shared" si="18"/>
        <v>0</v>
      </c>
      <c r="BB8" s="15">
        <f t="shared" si="19"/>
        <v>-16310119</v>
      </c>
      <c r="BC8" s="15">
        <f t="shared" si="20"/>
        <v>0</v>
      </c>
      <c r="BD8" s="16">
        <f t="shared" si="9"/>
        <v>0</v>
      </c>
      <c r="BE8" s="71">
        <f>IF(X8&lt;&gt;0,AVERAGE(X8:X$11)*D$5,)</f>
        <v>2625193866.75</v>
      </c>
      <c r="BF8" s="15">
        <f>IF(AD8+AG8&lt;&gt;0,AVERAGE(AD8:AD$11)*D$5+AVERAGE(AG8:AG$11)*D$5,)</f>
        <v>376335942.5</v>
      </c>
      <c r="BG8" s="15">
        <f>AVERAGE(AD8:AD$11)*D$5</f>
        <v>82352732</v>
      </c>
      <c r="BH8" s="15">
        <f>AVERAGE(AN8:AN$11)*D$5</f>
        <v>140641354</v>
      </c>
      <c r="BI8" s="15">
        <f>AVERAGE(AR8:AR$11)*D$5</f>
        <v>54010558</v>
      </c>
    </row>
    <row r="9" spans="1:61" ht="15.75">
      <c r="A9" s="47">
        <f t="shared" si="10"/>
        <v>5</v>
      </c>
      <c r="B9" s="48" t="s">
        <v>71</v>
      </c>
      <c r="C9" s="10"/>
      <c r="D9" s="6">
        <v>269647</v>
      </c>
      <c r="E9" s="8">
        <f t="shared" si="0"/>
        <v>741</v>
      </c>
      <c r="F9" s="6">
        <v>6965</v>
      </c>
      <c r="G9" s="8">
        <f t="shared" si="1"/>
        <v>0</v>
      </c>
      <c r="H9" s="6">
        <v>45043</v>
      </c>
      <c r="I9" s="8">
        <f t="shared" si="2"/>
        <v>128</v>
      </c>
      <c r="J9" s="57">
        <v>561503</v>
      </c>
      <c r="K9" s="8">
        <f t="shared" si="2"/>
        <v>122</v>
      </c>
      <c r="L9" s="7"/>
      <c r="M9" s="11" t="e">
        <f t="shared" si="11"/>
        <v>#DIV/0!</v>
      </c>
      <c r="N9" s="6">
        <v>4900</v>
      </c>
      <c r="O9" s="8">
        <f t="shared" si="3"/>
        <v>0</v>
      </c>
      <c r="P9" s="12">
        <v>87671</v>
      </c>
      <c r="Q9" s="8">
        <f t="shared" si="4"/>
        <v>7</v>
      </c>
      <c r="R9" s="12">
        <v>28</v>
      </c>
      <c r="S9" s="8">
        <f t="shared" si="5"/>
        <v>0</v>
      </c>
      <c r="T9" s="12">
        <v>186452</v>
      </c>
      <c r="U9" s="8">
        <f t="shared" si="6"/>
        <v>32</v>
      </c>
      <c r="V9" s="13"/>
      <c r="W9" s="8"/>
      <c r="X9" s="55">
        <v>9799</v>
      </c>
      <c r="Y9" s="58"/>
      <c r="Z9" s="8">
        <f t="shared" si="12"/>
        <v>0</v>
      </c>
      <c r="AA9" s="55">
        <v>2388</v>
      </c>
      <c r="AB9" s="6"/>
      <c r="AC9" s="9">
        <f t="shared" si="13"/>
        <v>0</v>
      </c>
      <c r="AD9" s="55">
        <v>304</v>
      </c>
      <c r="AE9" s="12"/>
      <c r="AF9" s="9">
        <f t="shared" si="14"/>
        <v>0</v>
      </c>
      <c r="AG9" s="55">
        <v>1095</v>
      </c>
      <c r="AH9" s="6"/>
      <c r="AI9" s="8">
        <f t="shared" si="15"/>
        <v>0</v>
      </c>
      <c r="AJ9" s="55">
        <v>128</v>
      </c>
      <c r="AK9" s="7"/>
      <c r="AL9" s="6"/>
      <c r="AM9" s="8">
        <f t="shared" si="7"/>
        <v>0</v>
      </c>
      <c r="AN9" s="55">
        <v>542</v>
      </c>
      <c r="AO9" s="7"/>
      <c r="AP9" s="6"/>
      <c r="AQ9" s="8">
        <f t="shared" si="16"/>
        <v>0</v>
      </c>
      <c r="AR9" s="55">
        <v>208</v>
      </c>
      <c r="AS9" s="72">
        <v>3</v>
      </c>
      <c r="AT9" s="14">
        <v>10</v>
      </c>
      <c r="AU9" s="7"/>
      <c r="AV9" s="56"/>
      <c r="AW9" s="59"/>
      <c r="AX9" s="12">
        <v>288</v>
      </c>
      <c r="AY9" s="9">
        <f t="shared" si="8"/>
        <v>3</v>
      </c>
      <c r="AZ9" s="15">
        <f t="shared" si="17"/>
        <v>-4489.2000000000007</v>
      </c>
      <c r="BA9" s="15">
        <f t="shared" si="18"/>
        <v>0</v>
      </c>
      <c r="BB9" s="15">
        <f t="shared" si="19"/>
        <v>-6203192.7999999998</v>
      </c>
      <c r="BC9" s="15">
        <f t="shared" si="20"/>
        <v>0</v>
      </c>
      <c r="BD9" s="16">
        <f t="shared" si="9"/>
        <v>0</v>
      </c>
      <c r="BE9" s="71">
        <f>IF(X9&lt;&gt;0,AVERAGE(X9:X$11)*D$5,)</f>
        <v>2591169889</v>
      </c>
      <c r="BF9" s="15">
        <f>IF(AD9+AG9&lt;&gt;0,AVERAGE(AD9:AD$11)*D$5+AVERAGE(AG9:AG$11)*D$5,)</f>
        <v>360961650</v>
      </c>
      <c r="BG9" s="15">
        <f>AVERAGE(AD9:AD$11)*D$5</f>
        <v>82174479.333333328</v>
      </c>
      <c r="BH9" s="15">
        <f>AVERAGE(AN9:AN$11)*D$5</f>
        <v>144295533.66666666</v>
      </c>
      <c r="BI9" s="15">
        <f>AVERAGE(AR9:AR$11)*D$5</f>
        <v>54188810.666666664</v>
      </c>
    </row>
    <row r="10" spans="1:61" ht="15.75">
      <c r="A10" s="47">
        <f t="shared" si="10"/>
        <v>6</v>
      </c>
      <c r="B10" s="48" t="s">
        <v>71</v>
      </c>
      <c r="C10" s="10"/>
      <c r="D10" s="6">
        <v>270421</v>
      </c>
      <c r="E10" s="8">
        <f t="shared" si="0"/>
        <v>774</v>
      </c>
      <c r="F10" s="6">
        <v>6965</v>
      </c>
      <c r="G10" s="8">
        <f t="shared" si="1"/>
        <v>0</v>
      </c>
      <c r="H10" s="6">
        <v>45159</v>
      </c>
      <c r="I10" s="8">
        <f t="shared" si="2"/>
        <v>116</v>
      </c>
      <c r="J10" s="57">
        <v>561615</v>
      </c>
      <c r="K10" s="8">
        <f t="shared" si="2"/>
        <v>112</v>
      </c>
      <c r="L10" s="7"/>
      <c r="M10" s="11" t="e">
        <f t="shared" si="11"/>
        <v>#DIV/0!</v>
      </c>
      <c r="N10" s="6">
        <v>4900</v>
      </c>
      <c r="O10" s="8">
        <f t="shared" si="3"/>
        <v>0</v>
      </c>
      <c r="P10" s="12">
        <v>87679</v>
      </c>
      <c r="Q10" s="8">
        <f t="shared" si="4"/>
        <v>8</v>
      </c>
      <c r="R10" s="12">
        <v>28</v>
      </c>
      <c r="S10" s="8">
        <f t="shared" si="5"/>
        <v>0</v>
      </c>
      <c r="T10" s="12">
        <v>186478</v>
      </c>
      <c r="U10" s="8">
        <f t="shared" si="6"/>
        <v>26</v>
      </c>
      <c r="V10" s="13"/>
      <c r="W10" s="8"/>
      <c r="X10" s="55">
        <v>9590</v>
      </c>
      <c r="Y10" s="58"/>
      <c r="Z10" s="8">
        <f t="shared" si="12"/>
        <v>0</v>
      </c>
      <c r="AA10" s="55">
        <v>2418</v>
      </c>
      <c r="AB10" s="6"/>
      <c r="AC10" s="9">
        <f t="shared" si="13"/>
        <v>0</v>
      </c>
      <c r="AD10" s="55">
        <v>319</v>
      </c>
      <c r="AE10" s="12"/>
      <c r="AF10" s="9">
        <f t="shared" si="14"/>
        <v>0</v>
      </c>
      <c r="AG10" s="55">
        <v>1069</v>
      </c>
      <c r="AH10" s="6"/>
      <c r="AI10" s="8">
        <f t="shared" si="15"/>
        <v>0</v>
      </c>
      <c r="AJ10" s="55">
        <v>112</v>
      </c>
      <c r="AK10" s="7"/>
      <c r="AL10" s="6"/>
      <c r="AM10" s="8">
        <f t="shared" si="7"/>
        <v>0</v>
      </c>
      <c r="AN10" s="55">
        <v>554</v>
      </c>
      <c r="AO10" s="7"/>
      <c r="AP10" s="6"/>
      <c r="AQ10" s="8">
        <f t="shared" si="16"/>
        <v>0</v>
      </c>
      <c r="AR10" s="55">
        <v>192</v>
      </c>
      <c r="AS10" s="72">
        <v>4</v>
      </c>
      <c r="AT10" s="14">
        <v>10</v>
      </c>
      <c r="AU10" s="7"/>
      <c r="AV10" s="56"/>
      <c r="AW10" s="59"/>
      <c r="AX10" s="12">
        <v>288</v>
      </c>
      <c r="AY10" s="9">
        <f t="shared" si="8"/>
        <v>0</v>
      </c>
      <c r="AZ10" s="15">
        <f t="shared" si="17"/>
        <v>0</v>
      </c>
      <c r="BA10" s="15">
        <f t="shared" si="18"/>
        <v>0</v>
      </c>
      <c r="BB10" s="15">
        <f t="shared" si="19"/>
        <v>0</v>
      </c>
      <c r="BC10" s="15">
        <f t="shared" si="20"/>
        <v>0</v>
      </c>
      <c r="BD10" s="16">
        <f t="shared" si="9"/>
        <v>0</v>
      </c>
      <c r="BE10" s="71">
        <f>IF(X10&lt;&gt;0,AVERAGE(X10:X$11)*D$5,)</f>
        <v>2576731423</v>
      </c>
      <c r="BF10" s="15">
        <f>IF(AD10+AG10&lt;&gt;0,AVERAGE(AD10:AD$11)*D$5+AVERAGE(AG10:AG$11)*D$5,)</f>
        <v>354410864.5</v>
      </c>
      <c r="BG10" s="15">
        <f>AVERAGE(AD10:AD$11)*D$5</f>
        <v>82620111</v>
      </c>
      <c r="BH10" s="15">
        <f>AVERAGE(AN10:AN$11)*D$5</f>
        <v>143983591.5</v>
      </c>
      <c r="BI10" s="15">
        <f>AVERAGE(AR10:AR$11)*D$5</f>
        <v>53475800</v>
      </c>
    </row>
    <row r="11" spans="1:61" ht="15.75">
      <c r="A11" s="47">
        <f t="shared" si="10"/>
        <v>7</v>
      </c>
      <c r="B11" s="48" t="s">
        <v>71</v>
      </c>
      <c r="C11" s="10"/>
      <c r="D11" s="6">
        <v>271098</v>
      </c>
      <c r="E11" s="8">
        <f t="shared" si="0"/>
        <v>677</v>
      </c>
      <c r="F11" s="6">
        <v>6966</v>
      </c>
      <c r="G11" s="8">
        <f t="shared" si="1"/>
        <v>1</v>
      </c>
      <c r="H11" s="6">
        <v>45276</v>
      </c>
      <c r="I11" s="8">
        <f t="shared" si="2"/>
        <v>117</v>
      </c>
      <c r="J11" s="57">
        <v>561727</v>
      </c>
      <c r="K11" s="8">
        <f t="shared" si="2"/>
        <v>112</v>
      </c>
      <c r="L11" s="7"/>
      <c r="M11" s="11" t="e">
        <f t="shared" si="11"/>
        <v>#DIV/0!</v>
      </c>
      <c r="N11" s="6">
        <v>4900</v>
      </c>
      <c r="O11" s="8">
        <f t="shared" si="3"/>
        <v>0</v>
      </c>
      <c r="P11" s="12">
        <v>87684</v>
      </c>
      <c r="Q11" s="8">
        <f t="shared" si="4"/>
        <v>5</v>
      </c>
      <c r="R11" s="12">
        <v>28</v>
      </c>
      <c r="S11" s="8">
        <f t="shared" si="5"/>
        <v>0</v>
      </c>
      <c r="T11" s="12">
        <v>186501</v>
      </c>
      <c r="U11" s="8">
        <f t="shared" si="6"/>
        <v>23</v>
      </c>
      <c r="V11" s="13"/>
      <c r="W11" s="8"/>
      <c r="X11" s="55">
        <v>9684</v>
      </c>
      <c r="Y11" s="58"/>
      <c r="Z11" s="8">
        <f t="shared" si="12"/>
        <v>0</v>
      </c>
      <c r="AA11" s="55">
        <v>2319</v>
      </c>
      <c r="AB11" s="6"/>
      <c r="AC11" s="9">
        <f t="shared" si="13"/>
        <v>0</v>
      </c>
      <c r="AD11" s="55">
        <v>299</v>
      </c>
      <c r="AE11" s="12"/>
      <c r="AF11" s="9">
        <f t="shared" si="14"/>
        <v>0</v>
      </c>
      <c r="AG11" s="55">
        <v>964</v>
      </c>
      <c r="AH11" s="6"/>
      <c r="AI11" s="8">
        <f t="shared" si="15"/>
        <v>0</v>
      </c>
      <c r="AJ11" s="55">
        <v>104</v>
      </c>
      <c r="AK11" s="7"/>
      <c r="AL11" s="6"/>
      <c r="AM11" s="8">
        <f t="shared" si="7"/>
        <v>0</v>
      </c>
      <c r="AN11" s="55">
        <v>523</v>
      </c>
      <c r="AO11" s="7"/>
      <c r="AP11" s="6"/>
      <c r="AQ11" s="8">
        <f t="shared" si="16"/>
        <v>0</v>
      </c>
      <c r="AR11" s="55">
        <v>208</v>
      </c>
      <c r="AS11" s="69">
        <v>3</v>
      </c>
      <c r="AT11" s="14">
        <v>11</v>
      </c>
      <c r="AU11" s="7"/>
      <c r="AV11" s="56"/>
      <c r="AW11" s="59"/>
      <c r="AX11" s="105">
        <v>289</v>
      </c>
      <c r="AY11" s="9">
        <f t="shared" si="8"/>
        <v>1</v>
      </c>
      <c r="AZ11" s="15">
        <f t="shared" si="17"/>
        <v>2804.7142857142853</v>
      </c>
      <c r="BA11" s="15">
        <f t="shared" si="18"/>
        <v>38197</v>
      </c>
      <c r="BB11" s="15">
        <f t="shared" si="19"/>
        <v>4469049</v>
      </c>
      <c r="BC11" s="15">
        <f t="shared" si="20"/>
        <v>0</v>
      </c>
      <c r="BD11" s="16">
        <f t="shared" si="9"/>
        <v>0</v>
      </c>
      <c r="BE11" s="71">
        <f>IF(X11&lt;&gt;0,AVERAGE(X$11:X11)*D$5,)</f>
        <v>2589298236</v>
      </c>
      <c r="BF11" s="15">
        <f>IF(AD11+AG11&lt;&gt;0,AVERAGE(AD$11:AD11)*D$5+AVERAGE(AG$11:AG11)*D$5,)</f>
        <v>337699677</v>
      </c>
      <c r="BG11" s="15">
        <f>AVERAGE(AD$11:AD11)*D$5</f>
        <v>79946321</v>
      </c>
      <c r="BH11" s="15">
        <f>AVERAGE(AN$11:AN11)*D$5</f>
        <v>139839217</v>
      </c>
      <c r="BI11" s="15">
        <f>AVERAGE(AR$11:AR11)*D$5</f>
        <v>55614832</v>
      </c>
    </row>
    <row r="12" spans="1:61" ht="15.75">
      <c r="A12" s="47">
        <f t="shared" si="10"/>
        <v>8</v>
      </c>
      <c r="B12" s="48" t="s">
        <v>71</v>
      </c>
      <c r="C12" s="10"/>
      <c r="D12" s="6">
        <v>271765</v>
      </c>
      <c r="E12" s="8">
        <f t="shared" si="0"/>
        <v>667</v>
      </c>
      <c r="F12" s="6">
        <v>6967</v>
      </c>
      <c r="G12" s="8">
        <f t="shared" si="1"/>
        <v>1</v>
      </c>
      <c r="H12" s="60">
        <v>45406</v>
      </c>
      <c r="I12" s="8">
        <f t="shared" si="2"/>
        <v>130</v>
      </c>
      <c r="J12" s="57">
        <v>561851</v>
      </c>
      <c r="K12" s="8">
        <f t="shared" si="2"/>
        <v>124</v>
      </c>
      <c r="L12" s="7"/>
      <c r="M12" s="11" t="e">
        <f t="shared" si="11"/>
        <v>#DIV/0!</v>
      </c>
      <c r="N12" s="6">
        <v>4900</v>
      </c>
      <c r="O12" s="8">
        <f t="shared" si="3"/>
        <v>0</v>
      </c>
      <c r="P12" s="12">
        <v>87695</v>
      </c>
      <c r="Q12" s="8">
        <f t="shared" si="4"/>
        <v>11</v>
      </c>
      <c r="R12" s="12">
        <v>28</v>
      </c>
      <c r="S12" s="8">
        <f t="shared" si="5"/>
        <v>0</v>
      </c>
      <c r="T12" s="12">
        <v>186531</v>
      </c>
      <c r="U12" s="8">
        <f t="shared" si="6"/>
        <v>30</v>
      </c>
      <c r="V12" s="13"/>
      <c r="W12" s="8"/>
      <c r="X12" s="55">
        <v>9859</v>
      </c>
      <c r="Y12" s="58"/>
      <c r="Z12" s="8">
        <f t="shared" si="12"/>
        <v>0</v>
      </c>
      <c r="AA12" s="55">
        <v>2317</v>
      </c>
      <c r="AB12" s="6"/>
      <c r="AC12" s="9">
        <f t="shared" si="13"/>
        <v>0</v>
      </c>
      <c r="AD12" s="55">
        <v>306</v>
      </c>
      <c r="AE12" s="12"/>
      <c r="AF12" s="9">
        <f t="shared" si="14"/>
        <v>0</v>
      </c>
      <c r="AG12" s="55">
        <v>923</v>
      </c>
      <c r="AH12" s="6"/>
      <c r="AI12" s="8">
        <f t="shared" si="15"/>
        <v>0</v>
      </c>
      <c r="AJ12" s="55">
        <v>168</v>
      </c>
      <c r="AK12" s="7"/>
      <c r="AL12" s="6"/>
      <c r="AM12" s="8">
        <f t="shared" si="7"/>
        <v>0</v>
      </c>
      <c r="AN12" s="55">
        <v>537</v>
      </c>
      <c r="AO12" s="7"/>
      <c r="AP12" s="6"/>
      <c r="AQ12" s="8">
        <f t="shared" si="16"/>
        <v>0</v>
      </c>
      <c r="AR12" s="55">
        <v>192</v>
      </c>
      <c r="AS12" s="69">
        <v>3</v>
      </c>
      <c r="AT12" s="14">
        <v>10</v>
      </c>
      <c r="AU12" s="7"/>
      <c r="AV12" s="56"/>
      <c r="AW12" s="59"/>
      <c r="AX12" s="12">
        <v>289</v>
      </c>
      <c r="AY12" s="9">
        <f t="shared" si="8"/>
        <v>0</v>
      </c>
      <c r="AZ12" s="15">
        <f t="shared" si="17"/>
        <v>4872</v>
      </c>
      <c r="BA12" s="15">
        <f t="shared" si="18"/>
        <v>66844.75</v>
      </c>
      <c r="BB12" s="15">
        <f t="shared" si="19"/>
        <v>8255326.625</v>
      </c>
      <c r="BC12" s="15">
        <f t="shared" si="20"/>
        <v>0</v>
      </c>
      <c r="BD12" s="16">
        <f t="shared" si="9"/>
        <v>0</v>
      </c>
      <c r="BE12" s="71">
        <f>IF(X12&lt;&gt;0,AVERAGE(X$11:X12)*D$5,)</f>
        <v>2612693898.5</v>
      </c>
      <c r="BF12" s="15">
        <f>IF(AD12+AG12&lt;&gt;0,AVERAGE(AD$11:AD12)*D$5+AVERAGE(AG$11:AG12)*D$5,)</f>
        <v>333154234</v>
      </c>
      <c r="BG12" s="15">
        <f>AVERAGE(AD$11:AD12)*D$5</f>
        <v>80882147.5</v>
      </c>
      <c r="BH12" s="15">
        <f>AVERAGE(AN$11:AN12)*D$5</f>
        <v>141710870</v>
      </c>
      <c r="BI12" s="15">
        <f>AVERAGE(AR$11:AR12)*D$5</f>
        <v>53475800</v>
      </c>
    </row>
    <row r="13" spans="1:61" ht="15.75">
      <c r="A13" s="47">
        <v>9</v>
      </c>
      <c r="B13" s="48" t="s">
        <v>71</v>
      </c>
      <c r="C13" s="10"/>
      <c r="D13" s="6">
        <v>272253</v>
      </c>
      <c r="E13" s="8">
        <f t="shared" si="0"/>
        <v>488</v>
      </c>
      <c r="F13" s="6">
        <v>6967</v>
      </c>
      <c r="G13" s="8">
        <f t="shared" si="1"/>
        <v>0</v>
      </c>
      <c r="H13" s="60">
        <v>45529</v>
      </c>
      <c r="I13" s="8">
        <f t="shared" si="2"/>
        <v>123</v>
      </c>
      <c r="J13" s="57">
        <v>561970</v>
      </c>
      <c r="K13" s="8">
        <f t="shared" si="2"/>
        <v>119</v>
      </c>
      <c r="L13" s="7"/>
      <c r="M13" s="11" t="e">
        <f t="shared" si="11"/>
        <v>#DIV/0!</v>
      </c>
      <c r="N13" s="6">
        <v>4900</v>
      </c>
      <c r="O13" s="8">
        <f t="shared" si="3"/>
        <v>0</v>
      </c>
      <c r="P13" s="12">
        <v>87709</v>
      </c>
      <c r="Q13" s="8">
        <f t="shared" si="4"/>
        <v>14</v>
      </c>
      <c r="R13" s="12">
        <v>28</v>
      </c>
      <c r="S13" s="8">
        <f t="shared" si="5"/>
        <v>0</v>
      </c>
      <c r="T13" s="12">
        <v>186562</v>
      </c>
      <c r="U13" s="8">
        <f t="shared" si="6"/>
        <v>31</v>
      </c>
      <c r="V13" s="13"/>
      <c r="W13" s="8"/>
      <c r="X13" s="55">
        <v>10286</v>
      </c>
      <c r="Y13" s="58"/>
      <c r="Z13" s="8">
        <f t="shared" si="12"/>
        <v>0</v>
      </c>
      <c r="AA13" s="55">
        <v>2465</v>
      </c>
      <c r="AB13" s="6"/>
      <c r="AC13" s="9">
        <f t="shared" si="13"/>
        <v>0</v>
      </c>
      <c r="AD13" s="55">
        <v>320</v>
      </c>
      <c r="AE13" s="12"/>
      <c r="AF13" s="9">
        <f t="shared" si="14"/>
        <v>0</v>
      </c>
      <c r="AG13" s="55">
        <v>991</v>
      </c>
      <c r="AH13" s="6"/>
      <c r="AI13" s="8">
        <f t="shared" si="15"/>
        <v>0</v>
      </c>
      <c r="AJ13" s="55">
        <v>160</v>
      </c>
      <c r="AK13" s="7"/>
      <c r="AL13" s="6"/>
      <c r="AM13" s="8">
        <f t="shared" si="7"/>
        <v>0</v>
      </c>
      <c r="AN13" s="55">
        <v>522</v>
      </c>
      <c r="AO13" s="7"/>
      <c r="AP13" s="6"/>
      <c r="AQ13" s="8">
        <f t="shared" si="16"/>
        <v>0</v>
      </c>
      <c r="AR13" s="55">
        <v>232</v>
      </c>
      <c r="AS13" s="69"/>
      <c r="AT13" s="14"/>
      <c r="AU13" s="7"/>
      <c r="AV13" s="56"/>
      <c r="AW13" s="59"/>
      <c r="AX13" s="12">
        <v>289</v>
      </c>
      <c r="AY13" s="9">
        <f t="shared" si="8"/>
        <v>0</v>
      </c>
      <c r="AZ13" s="15">
        <f t="shared" si="17"/>
        <v>5903.1111111111104</v>
      </c>
      <c r="BA13" s="15">
        <f t="shared" si="18"/>
        <v>59417.555555555555</v>
      </c>
      <c r="BB13" s="15">
        <f t="shared" si="19"/>
        <v>10992247.777777778</v>
      </c>
      <c r="BC13" s="15">
        <f t="shared" si="20"/>
        <v>0</v>
      </c>
      <c r="BD13" s="16">
        <f t="shared" si="9"/>
        <v>0</v>
      </c>
      <c r="BE13" s="71">
        <f>IF(X13&lt;&gt;0,AVERAGE(X$11:X13)*D$5,)</f>
        <v>2658549397</v>
      </c>
      <c r="BF13" s="15">
        <f>IF(AD13+AG13&lt;&gt;0,AVERAGE(AD$11:AD13)*D$5+AVERAGE(AG$11:AG13)*D$5,)</f>
        <v>338947445.66666669</v>
      </c>
      <c r="BG13" s="15">
        <f>AVERAGE(AD$11:AD13)*D$5</f>
        <v>82441858.333333328</v>
      </c>
      <c r="BH13" s="15">
        <f>AVERAGE(AN$11:AN13)*D$5</f>
        <v>140997859.33333334</v>
      </c>
      <c r="BI13" s="15">
        <f>AVERAGE(AR$11:AR13)*D$5</f>
        <v>56327842.666666664</v>
      </c>
    </row>
    <row r="14" spans="1:61" ht="15.75">
      <c r="A14" s="47">
        <f>1+A13</f>
        <v>10</v>
      </c>
      <c r="B14" s="48" t="s">
        <v>71</v>
      </c>
      <c r="C14" s="10"/>
      <c r="D14" s="6">
        <v>272765</v>
      </c>
      <c r="E14" s="8">
        <f t="shared" si="0"/>
        <v>512</v>
      </c>
      <c r="F14" s="6">
        <v>6967</v>
      </c>
      <c r="G14" s="8">
        <f t="shared" si="1"/>
        <v>0</v>
      </c>
      <c r="H14" s="6">
        <v>45667</v>
      </c>
      <c r="I14" s="8">
        <f t="shared" si="2"/>
        <v>138</v>
      </c>
      <c r="J14" s="54">
        <v>562103</v>
      </c>
      <c r="K14" s="8">
        <f t="shared" si="2"/>
        <v>133</v>
      </c>
      <c r="L14" s="7"/>
      <c r="M14" s="11" t="e">
        <f t="shared" si="11"/>
        <v>#DIV/0!</v>
      </c>
      <c r="N14" s="6">
        <v>4900</v>
      </c>
      <c r="O14" s="8">
        <f t="shared" si="3"/>
        <v>0</v>
      </c>
      <c r="P14" s="12">
        <v>87723</v>
      </c>
      <c r="Q14" s="8">
        <f t="shared" si="4"/>
        <v>14</v>
      </c>
      <c r="R14" s="12">
        <v>29</v>
      </c>
      <c r="S14" s="8">
        <f t="shared" si="5"/>
        <v>1</v>
      </c>
      <c r="T14" s="12">
        <v>186594</v>
      </c>
      <c r="U14" s="8">
        <f t="shared" si="6"/>
        <v>32</v>
      </c>
      <c r="V14" s="13">
        <v>3826.6660000000002</v>
      </c>
      <c r="W14" s="8">
        <f>IF(ISBLANK(V14),0,V14-V13)*2200</f>
        <v>8418665.2000000011</v>
      </c>
      <c r="X14" s="55">
        <v>10140</v>
      </c>
      <c r="Y14" s="58">
        <v>741.44299999999998</v>
      </c>
      <c r="Z14" s="8">
        <f t="shared" si="12"/>
        <v>1631174.5999999999</v>
      </c>
      <c r="AA14" s="55">
        <v>2418</v>
      </c>
      <c r="AB14" s="6">
        <v>1691504</v>
      </c>
      <c r="AC14" s="9">
        <f t="shared" si="13"/>
        <v>1691504</v>
      </c>
      <c r="AD14" s="55">
        <v>313</v>
      </c>
      <c r="AE14" s="12">
        <v>4961742</v>
      </c>
      <c r="AF14" s="9">
        <f t="shared" si="14"/>
        <v>4961742</v>
      </c>
      <c r="AG14" s="55">
        <v>1017</v>
      </c>
      <c r="AH14" s="6">
        <v>34288</v>
      </c>
      <c r="AI14" s="8">
        <f t="shared" si="15"/>
        <v>2743040</v>
      </c>
      <c r="AJ14" s="55">
        <v>160</v>
      </c>
      <c r="AK14" s="7"/>
      <c r="AL14" s="6">
        <v>109356.5</v>
      </c>
      <c r="AM14" s="8">
        <f t="shared" si="7"/>
        <v>109356.5</v>
      </c>
      <c r="AN14" s="55">
        <v>511</v>
      </c>
      <c r="AO14" s="7"/>
      <c r="AP14" s="6">
        <v>48148</v>
      </c>
      <c r="AQ14" s="8">
        <f t="shared" si="16"/>
        <v>3851840</v>
      </c>
      <c r="AR14" s="55">
        <v>216</v>
      </c>
      <c r="AS14" s="69"/>
      <c r="AT14" s="14"/>
      <c r="AU14" s="7"/>
      <c r="AV14" s="56"/>
      <c r="AW14" s="59"/>
      <c r="AX14" s="12">
        <v>290</v>
      </c>
      <c r="AY14" s="9">
        <f t="shared" si="8"/>
        <v>1</v>
      </c>
      <c r="AZ14" s="15">
        <f t="shared" si="17"/>
        <v>6797.6</v>
      </c>
      <c r="BA14" s="15">
        <f t="shared" si="18"/>
        <v>53475.8</v>
      </c>
      <c r="BB14" s="15">
        <f t="shared" si="19"/>
        <v>13582853.199999999</v>
      </c>
      <c r="BC14" s="15">
        <f t="shared" si="20"/>
        <v>0</v>
      </c>
      <c r="BD14" s="16">
        <f t="shared" si="9"/>
        <v>225097428251.08005</v>
      </c>
      <c r="BE14" s="71">
        <f>IF(X14&lt;&gt;0,AVERAGE(X$11:X14)*D$5,)</f>
        <v>2671717812.75</v>
      </c>
      <c r="BF14" s="15">
        <f>IF(AD14+AG14&lt;&gt;0,AVERAGE(AD$11:AD14)*D$5+AVERAGE(AG$11:AG14)*D$5,)</f>
        <v>343114101.75</v>
      </c>
      <c r="BG14" s="15">
        <f>AVERAGE(AD$11:AD14)*D$5</f>
        <v>82753800.5</v>
      </c>
      <c r="BH14" s="15">
        <f>AVERAGE(AN$11:AN14)*D$5</f>
        <v>139906061.75</v>
      </c>
      <c r="BI14" s="15">
        <f>AVERAGE(AR$11:AR14)*D$5</f>
        <v>56684348</v>
      </c>
    </row>
    <row r="15" spans="1:61" ht="15.75">
      <c r="A15" s="47">
        <f>1+A14</f>
        <v>11</v>
      </c>
      <c r="B15" s="48" t="s">
        <v>71</v>
      </c>
      <c r="C15" s="10"/>
      <c r="D15" s="6">
        <v>273168</v>
      </c>
      <c r="E15" s="8">
        <f t="shared" si="0"/>
        <v>403</v>
      </c>
      <c r="F15" s="6">
        <v>6967</v>
      </c>
      <c r="G15" s="8">
        <f t="shared" si="1"/>
        <v>0</v>
      </c>
      <c r="H15" s="6">
        <v>45791</v>
      </c>
      <c r="I15" s="8">
        <f t="shared" si="2"/>
        <v>124</v>
      </c>
      <c r="J15" s="54">
        <v>562222</v>
      </c>
      <c r="K15" s="8">
        <f t="shared" si="2"/>
        <v>119</v>
      </c>
      <c r="L15" s="7"/>
      <c r="M15" s="11" t="e">
        <f t="shared" si="11"/>
        <v>#DIV/0!</v>
      </c>
      <c r="N15" s="6">
        <v>4900</v>
      </c>
      <c r="O15" s="8">
        <f t="shared" si="3"/>
        <v>0</v>
      </c>
      <c r="P15" s="12">
        <v>87736</v>
      </c>
      <c r="Q15" s="8">
        <f t="shared" si="4"/>
        <v>13</v>
      </c>
      <c r="R15" s="12">
        <v>29</v>
      </c>
      <c r="S15" s="8">
        <f t="shared" si="5"/>
        <v>0</v>
      </c>
      <c r="T15" s="12">
        <v>186626</v>
      </c>
      <c r="U15" s="8">
        <f t="shared" si="6"/>
        <v>32</v>
      </c>
      <c r="V15" s="13"/>
      <c r="W15" s="8"/>
      <c r="X15" s="55">
        <v>10280</v>
      </c>
      <c r="Y15" s="58"/>
      <c r="Z15" s="8">
        <f t="shared" si="12"/>
        <v>0</v>
      </c>
      <c r="AA15" s="55">
        <v>2542</v>
      </c>
      <c r="AB15" s="6"/>
      <c r="AC15" s="9">
        <f t="shared" si="13"/>
        <v>0</v>
      </c>
      <c r="AD15" s="55">
        <v>308</v>
      </c>
      <c r="AE15" s="12"/>
      <c r="AF15" s="9">
        <f t="shared" si="14"/>
        <v>0</v>
      </c>
      <c r="AG15" s="55">
        <v>1034</v>
      </c>
      <c r="AH15" s="6"/>
      <c r="AI15" s="8">
        <f t="shared" si="15"/>
        <v>0</v>
      </c>
      <c r="AJ15" s="55">
        <v>168</v>
      </c>
      <c r="AK15" s="7"/>
      <c r="AL15" s="6"/>
      <c r="AM15" s="8">
        <f t="shared" si="7"/>
        <v>0</v>
      </c>
      <c r="AN15" s="55">
        <v>536</v>
      </c>
      <c r="AO15" s="7"/>
      <c r="AP15" s="6"/>
      <c r="AQ15" s="8">
        <f t="shared" si="16"/>
        <v>0</v>
      </c>
      <c r="AR15" s="55">
        <v>216</v>
      </c>
      <c r="AS15" s="69">
        <v>5</v>
      </c>
      <c r="AT15" s="14">
        <v>13</v>
      </c>
      <c r="AU15" s="7"/>
      <c r="AV15" s="56"/>
      <c r="AW15" s="59"/>
      <c r="AX15" s="12">
        <v>291</v>
      </c>
      <c r="AY15" s="9">
        <f t="shared" si="8"/>
        <v>1</v>
      </c>
      <c r="AZ15" s="15">
        <f t="shared" si="17"/>
        <v>7242.090909090909</v>
      </c>
      <c r="BA15" s="15">
        <f t="shared" si="18"/>
        <v>48614.36363636364</v>
      </c>
      <c r="BB15" s="15">
        <f t="shared" si="19"/>
        <v>15362138.909090908</v>
      </c>
      <c r="BC15" s="15">
        <f t="shared" si="20"/>
        <v>0</v>
      </c>
      <c r="BD15" s="16">
        <f t="shared" si="9"/>
        <v>0</v>
      </c>
      <c r="BE15" s="71">
        <f>IF(X15&lt;&gt;0,AVERAGE(X$11:X15)*D$5,)</f>
        <v>2687105474.1999998</v>
      </c>
      <c r="BF15" s="15">
        <f>IF(AD15+AG15&lt;&gt;0,AVERAGE(AD$11:AD15)*D$5+AVERAGE(AG$11:AG15)*D$5,)</f>
        <v>346255805</v>
      </c>
      <c r="BG15" s="15">
        <f>AVERAGE(AD$11:AD15)*D$5</f>
        <v>82673586.799999997</v>
      </c>
      <c r="BH15" s="15">
        <f>AVERAGE(AN$11:AN15)*D$5</f>
        <v>140587878.19999999</v>
      </c>
      <c r="BI15" s="15">
        <f>AVERAGE(AR$11:AR15)*D$5</f>
        <v>56898251.200000003</v>
      </c>
    </row>
    <row r="16" spans="1:61" ht="15.75">
      <c r="A16" s="47">
        <f>1+A15</f>
        <v>12</v>
      </c>
      <c r="B16" s="48" t="s">
        <v>71</v>
      </c>
      <c r="C16" s="10"/>
      <c r="D16" s="6">
        <v>273768</v>
      </c>
      <c r="E16" s="8">
        <f t="shared" si="0"/>
        <v>600</v>
      </c>
      <c r="F16" s="6">
        <v>6967</v>
      </c>
      <c r="G16" s="8">
        <f t="shared" si="1"/>
        <v>0</v>
      </c>
      <c r="H16" s="6">
        <v>45928</v>
      </c>
      <c r="I16" s="8">
        <f t="shared" si="2"/>
        <v>137</v>
      </c>
      <c r="J16" s="54">
        <v>562353</v>
      </c>
      <c r="K16" s="8">
        <f t="shared" si="2"/>
        <v>131</v>
      </c>
      <c r="L16" s="7"/>
      <c r="M16" s="11" t="e">
        <f t="shared" si="11"/>
        <v>#DIV/0!</v>
      </c>
      <c r="N16" s="6">
        <v>4900</v>
      </c>
      <c r="O16" s="8">
        <f t="shared" si="3"/>
        <v>0</v>
      </c>
      <c r="P16" s="12">
        <v>87747</v>
      </c>
      <c r="Q16" s="8">
        <f t="shared" si="4"/>
        <v>11</v>
      </c>
      <c r="R16" s="12">
        <v>29</v>
      </c>
      <c r="S16" s="8">
        <f t="shared" si="5"/>
        <v>0</v>
      </c>
      <c r="T16" s="12">
        <v>186659</v>
      </c>
      <c r="U16" s="8">
        <f t="shared" si="6"/>
        <v>33</v>
      </c>
      <c r="V16" s="13"/>
      <c r="W16" s="8"/>
      <c r="X16" s="55">
        <v>10095</v>
      </c>
      <c r="Y16" s="58"/>
      <c r="Z16" s="8">
        <f t="shared" si="12"/>
        <v>0</v>
      </c>
      <c r="AA16" s="55">
        <v>2516</v>
      </c>
      <c r="AB16" s="6"/>
      <c r="AC16" s="9">
        <f t="shared" si="13"/>
        <v>0</v>
      </c>
      <c r="AD16" s="55">
        <v>308</v>
      </c>
      <c r="AE16" s="12"/>
      <c r="AF16" s="9">
        <f t="shared" si="14"/>
        <v>0</v>
      </c>
      <c r="AG16" s="55">
        <v>1111</v>
      </c>
      <c r="AH16" s="6"/>
      <c r="AI16" s="8">
        <f t="shared" si="15"/>
        <v>0</v>
      </c>
      <c r="AJ16" s="55">
        <v>152</v>
      </c>
      <c r="AK16" s="7"/>
      <c r="AL16" s="6"/>
      <c r="AM16" s="8">
        <f t="shared" si="7"/>
        <v>0</v>
      </c>
      <c r="AN16" s="55">
        <v>538</v>
      </c>
      <c r="AO16" s="7"/>
      <c r="AP16" s="6"/>
      <c r="AQ16" s="8">
        <f t="shared" si="16"/>
        <v>0</v>
      </c>
      <c r="AR16" s="55">
        <v>216</v>
      </c>
      <c r="AS16" s="69">
        <v>4</v>
      </c>
      <c r="AT16" s="14">
        <v>12</v>
      </c>
      <c r="AU16" s="7"/>
      <c r="AV16" s="56"/>
      <c r="AW16" s="59"/>
      <c r="AX16" s="12">
        <v>292</v>
      </c>
      <c r="AY16" s="9">
        <f t="shared" si="8"/>
        <v>1</v>
      </c>
      <c r="AZ16" s="15">
        <f t="shared" si="17"/>
        <v>8088.5833333333339</v>
      </c>
      <c r="BA16" s="15">
        <f t="shared" si="18"/>
        <v>44563.166666666664</v>
      </c>
      <c r="BB16" s="15">
        <f t="shared" si="19"/>
        <v>17134537.583333332</v>
      </c>
      <c r="BC16" s="15">
        <f t="shared" si="20"/>
        <v>0</v>
      </c>
      <c r="BD16" s="16">
        <f t="shared" si="9"/>
        <v>0</v>
      </c>
      <c r="BE16" s="71">
        <f>IF(X16&lt;&gt;0,AVERAGE(X$11:X16)*D$5,)</f>
        <v>2689119729.3333335</v>
      </c>
      <c r="BF16" s="15">
        <f>IF(AD16+AG16&lt;&gt;0,AVERAGE(AD$11:AD16)*D$5+AVERAGE(AG$11:AG16)*D$5,)</f>
        <v>351781637.66666663</v>
      </c>
      <c r="BG16" s="15">
        <f>AVERAGE(AD$11:AD16)*D$5</f>
        <v>82620111</v>
      </c>
      <c r="BH16" s="15">
        <f>AVERAGE(AN$11:AN16)*D$5</f>
        <v>141131548.83333334</v>
      </c>
      <c r="BI16" s="15">
        <f>AVERAGE(AR$11:AR16)*D$5</f>
        <v>57040853.333333336</v>
      </c>
    </row>
    <row r="17" spans="1:61" ht="15.75">
      <c r="A17" s="47">
        <v>13</v>
      </c>
      <c r="B17" s="48" t="s">
        <v>71</v>
      </c>
      <c r="C17" s="10"/>
      <c r="D17" s="6">
        <v>274504</v>
      </c>
      <c r="E17" s="8">
        <f t="shared" si="0"/>
        <v>736</v>
      </c>
      <c r="F17" s="6">
        <v>6967</v>
      </c>
      <c r="G17" s="8">
        <f t="shared" si="1"/>
        <v>0</v>
      </c>
      <c r="H17" s="6">
        <v>46055</v>
      </c>
      <c r="I17" s="8">
        <f t="shared" si="2"/>
        <v>127</v>
      </c>
      <c r="J17" s="54">
        <v>562475</v>
      </c>
      <c r="K17" s="8">
        <f t="shared" si="2"/>
        <v>122</v>
      </c>
      <c r="L17" s="7"/>
      <c r="M17" s="11" t="e">
        <f t="shared" si="11"/>
        <v>#DIV/0!</v>
      </c>
      <c r="N17" s="6">
        <v>4900</v>
      </c>
      <c r="O17" s="8">
        <f t="shared" si="3"/>
        <v>0</v>
      </c>
      <c r="P17" s="12">
        <v>87759</v>
      </c>
      <c r="Q17" s="8">
        <f t="shared" si="4"/>
        <v>12</v>
      </c>
      <c r="R17" s="12">
        <v>29</v>
      </c>
      <c r="S17" s="8">
        <f t="shared" si="5"/>
        <v>0</v>
      </c>
      <c r="T17" s="12">
        <v>186693</v>
      </c>
      <c r="U17" s="8">
        <f t="shared" si="6"/>
        <v>34</v>
      </c>
      <c r="V17" s="13"/>
      <c r="W17" s="8"/>
      <c r="X17" s="55">
        <v>9955</v>
      </c>
      <c r="Y17" s="58"/>
      <c r="Z17" s="8">
        <f t="shared" si="12"/>
        <v>0</v>
      </c>
      <c r="AA17" s="55">
        <v>2458</v>
      </c>
      <c r="AB17" s="6"/>
      <c r="AC17" s="9">
        <f t="shared" si="13"/>
        <v>0</v>
      </c>
      <c r="AD17" s="55">
        <v>312</v>
      </c>
      <c r="AE17" s="12"/>
      <c r="AF17" s="9">
        <f t="shared" si="14"/>
        <v>0</v>
      </c>
      <c r="AG17" s="55">
        <v>1110</v>
      </c>
      <c r="AH17" s="6"/>
      <c r="AI17" s="8">
        <f t="shared" si="15"/>
        <v>0</v>
      </c>
      <c r="AJ17" s="55">
        <v>160</v>
      </c>
      <c r="AK17" s="7"/>
      <c r="AL17" s="6"/>
      <c r="AM17" s="8">
        <f t="shared" si="7"/>
        <v>0</v>
      </c>
      <c r="AN17" s="55">
        <v>552</v>
      </c>
      <c r="AO17" s="7"/>
      <c r="AP17" s="6"/>
      <c r="AQ17" s="8">
        <f t="shared" si="16"/>
        <v>0</v>
      </c>
      <c r="AR17" s="55">
        <v>240</v>
      </c>
      <c r="AS17" s="69">
        <v>1</v>
      </c>
      <c r="AT17" s="14">
        <v>9</v>
      </c>
      <c r="AU17" s="7"/>
      <c r="AV17" s="56"/>
      <c r="AW17" s="59"/>
      <c r="AX17" s="12">
        <v>293</v>
      </c>
      <c r="AY17" s="9">
        <f t="shared" si="8"/>
        <v>1</v>
      </c>
      <c r="AZ17" s="15">
        <f t="shared" si="17"/>
        <v>9108.2307692307695</v>
      </c>
      <c r="BA17" s="15">
        <f t="shared" si="18"/>
        <v>41135.230769230773</v>
      </c>
      <c r="BB17" s="15">
        <f t="shared" si="19"/>
        <v>18428583.384615384</v>
      </c>
      <c r="BC17" s="15">
        <f t="shared" si="20"/>
        <v>0</v>
      </c>
      <c r="BD17" s="16">
        <f t="shared" si="9"/>
        <v>0</v>
      </c>
      <c r="BE17" s="71">
        <f>IF(X17&lt;&gt;0,AVERAGE(X$11:X17)*D$5,)</f>
        <v>2685210903</v>
      </c>
      <c r="BF17" s="15">
        <f>IF(AD17+AG17&lt;&gt;0,AVERAGE(AD$11:AD17)*D$5+AVERAGE(AG$11:AG17)*D$5,)</f>
        <v>355843252</v>
      </c>
      <c r="BG17" s="15">
        <f>AVERAGE(AD$11:AD17)*D$5</f>
        <v>82734702</v>
      </c>
      <c r="BH17" s="15">
        <f>AVERAGE(AN$11:AN17)*D$5</f>
        <v>142054643</v>
      </c>
      <c r="BI17" s="15">
        <f>AVERAGE(AR$11:AR17)*D$5</f>
        <v>58059440</v>
      </c>
    </row>
    <row r="18" spans="1:61" ht="15.75">
      <c r="A18" s="47">
        <f t="shared" ref="A18:A31" si="21">1+A17</f>
        <v>14</v>
      </c>
      <c r="B18" s="48" t="s">
        <v>71</v>
      </c>
      <c r="C18" s="10"/>
      <c r="D18" s="6">
        <v>275401</v>
      </c>
      <c r="E18" s="8">
        <f t="shared" si="0"/>
        <v>897</v>
      </c>
      <c r="F18" s="6">
        <v>6967</v>
      </c>
      <c r="G18" s="8">
        <f t="shared" si="1"/>
        <v>0</v>
      </c>
      <c r="H18" s="6">
        <v>46183</v>
      </c>
      <c r="I18" s="8">
        <f t="shared" si="2"/>
        <v>128</v>
      </c>
      <c r="J18" s="54">
        <v>562598</v>
      </c>
      <c r="K18" s="8">
        <f t="shared" si="2"/>
        <v>123</v>
      </c>
      <c r="L18" s="7"/>
      <c r="M18" s="11" t="e">
        <f t="shared" si="11"/>
        <v>#DIV/0!</v>
      </c>
      <c r="N18" s="6">
        <v>4900</v>
      </c>
      <c r="O18" s="8">
        <f t="shared" si="3"/>
        <v>0</v>
      </c>
      <c r="P18" s="12">
        <v>87762</v>
      </c>
      <c r="Q18" s="8">
        <f t="shared" si="4"/>
        <v>3</v>
      </c>
      <c r="R18" s="12">
        <v>29</v>
      </c>
      <c r="S18" s="8">
        <f t="shared" si="5"/>
        <v>0</v>
      </c>
      <c r="T18" s="12">
        <v>186717</v>
      </c>
      <c r="U18" s="8">
        <f t="shared" si="6"/>
        <v>24</v>
      </c>
      <c r="V18" s="13"/>
      <c r="W18" s="8"/>
      <c r="X18" s="55">
        <v>9779</v>
      </c>
      <c r="Y18" s="58"/>
      <c r="Z18" s="8">
        <f t="shared" si="12"/>
        <v>0</v>
      </c>
      <c r="AA18" s="55">
        <v>2339</v>
      </c>
      <c r="AB18" s="6"/>
      <c r="AC18" s="9">
        <f t="shared" si="13"/>
        <v>0</v>
      </c>
      <c r="AD18" s="55">
        <v>310</v>
      </c>
      <c r="AE18" s="12"/>
      <c r="AF18" s="9">
        <f t="shared" si="14"/>
        <v>0</v>
      </c>
      <c r="AG18" s="55">
        <v>936</v>
      </c>
      <c r="AH18" s="6"/>
      <c r="AI18" s="8">
        <f t="shared" si="15"/>
        <v>0</v>
      </c>
      <c r="AJ18" s="55">
        <v>144</v>
      </c>
      <c r="AK18" s="7"/>
      <c r="AL18" s="6"/>
      <c r="AM18" s="8">
        <f t="shared" si="7"/>
        <v>0</v>
      </c>
      <c r="AN18" s="55">
        <v>549</v>
      </c>
      <c r="AO18" s="7"/>
      <c r="AP18" s="6"/>
      <c r="AQ18" s="8">
        <f t="shared" si="16"/>
        <v>0</v>
      </c>
      <c r="AR18" s="55">
        <v>240</v>
      </c>
      <c r="AS18" s="69">
        <v>2</v>
      </c>
      <c r="AT18" s="14">
        <v>7</v>
      </c>
      <c r="AU18" s="7"/>
      <c r="AV18" s="56"/>
      <c r="AW18" s="59"/>
      <c r="AX18" s="12">
        <v>295</v>
      </c>
      <c r="AY18" s="9">
        <f t="shared" si="8"/>
        <v>2</v>
      </c>
      <c r="AZ18" s="15">
        <f t="shared" si="17"/>
        <v>10315.714285714286</v>
      </c>
      <c r="BA18" s="15">
        <f t="shared" si="18"/>
        <v>38197</v>
      </c>
      <c r="BB18" s="15">
        <f t="shared" si="19"/>
        <v>19556864</v>
      </c>
      <c r="BC18" s="15">
        <f t="shared" si="20"/>
        <v>0</v>
      </c>
      <c r="BD18" s="16">
        <f t="shared" si="9"/>
        <v>0</v>
      </c>
      <c r="BE18" s="71">
        <f>IF(X18&lt;&gt;0,AVERAGE(X$11:X18)*D$5,)</f>
        <v>2676396945.25</v>
      </c>
      <c r="BF18" s="15">
        <f>IF(AD18+AG18&lt;&gt;0,AVERAGE(AD$11:AD18)*D$5+AVERAGE(AG$11:AG18)*D$5,)</f>
        <v>353007124.75</v>
      </c>
      <c r="BG18" s="15">
        <f>AVERAGE(AD$11:AD18)*D$5</f>
        <v>82753800.5</v>
      </c>
      <c r="BH18" s="15">
        <f>AVERAGE(AN$11:AN18)*D$5</f>
        <v>142646696.5</v>
      </c>
      <c r="BI18" s="15">
        <f>AVERAGE(AR$11:AR18)*D$5</f>
        <v>58823380</v>
      </c>
    </row>
    <row r="19" spans="1:61" ht="15.75">
      <c r="A19" s="47">
        <f t="shared" si="21"/>
        <v>15</v>
      </c>
      <c r="B19" s="48" t="s">
        <v>71</v>
      </c>
      <c r="C19" s="10"/>
      <c r="D19" s="6">
        <v>276339</v>
      </c>
      <c r="E19" s="8">
        <f t="shared" si="0"/>
        <v>938</v>
      </c>
      <c r="F19" s="6">
        <v>6968</v>
      </c>
      <c r="G19" s="8">
        <f t="shared" si="1"/>
        <v>1</v>
      </c>
      <c r="H19" s="6">
        <v>46306</v>
      </c>
      <c r="I19" s="8">
        <f t="shared" si="2"/>
        <v>123</v>
      </c>
      <c r="J19" s="54">
        <v>562716</v>
      </c>
      <c r="K19" s="8">
        <f t="shared" si="2"/>
        <v>118</v>
      </c>
      <c r="L19" s="7"/>
      <c r="M19" s="11" t="e">
        <f t="shared" si="11"/>
        <v>#DIV/0!</v>
      </c>
      <c r="N19" s="6">
        <v>4900</v>
      </c>
      <c r="O19" s="8">
        <f t="shared" si="3"/>
        <v>0</v>
      </c>
      <c r="P19" s="12">
        <v>87764</v>
      </c>
      <c r="Q19" s="8">
        <f t="shared" si="4"/>
        <v>2</v>
      </c>
      <c r="R19" s="12">
        <v>29</v>
      </c>
      <c r="S19" s="8">
        <f t="shared" si="5"/>
        <v>0</v>
      </c>
      <c r="T19" s="12">
        <v>186741</v>
      </c>
      <c r="U19" s="8">
        <f t="shared" si="6"/>
        <v>24</v>
      </c>
      <c r="V19" s="13"/>
      <c r="W19" s="8"/>
      <c r="X19" s="55">
        <v>9898</v>
      </c>
      <c r="Y19" s="58"/>
      <c r="Z19" s="8">
        <f t="shared" si="12"/>
        <v>0</v>
      </c>
      <c r="AA19" s="55">
        <v>2350</v>
      </c>
      <c r="AB19" s="6"/>
      <c r="AC19" s="9">
        <f t="shared" si="13"/>
        <v>0</v>
      </c>
      <c r="AD19" s="55">
        <v>314</v>
      </c>
      <c r="AE19" s="12"/>
      <c r="AF19" s="9">
        <f t="shared" si="14"/>
        <v>0</v>
      </c>
      <c r="AG19" s="55">
        <v>1032</v>
      </c>
      <c r="AH19" s="6"/>
      <c r="AI19" s="8">
        <f t="shared" si="15"/>
        <v>0</v>
      </c>
      <c r="AJ19" s="55">
        <v>152</v>
      </c>
      <c r="AK19" s="7"/>
      <c r="AL19" s="6"/>
      <c r="AM19" s="8">
        <f t="shared" si="7"/>
        <v>0</v>
      </c>
      <c r="AN19" s="55">
        <v>518</v>
      </c>
      <c r="AO19" s="7"/>
      <c r="AP19" s="6"/>
      <c r="AQ19" s="8">
        <f t="shared" si="16"/>
        <v>0</v>
      </c>
      <c r="AR19" s="55">
        <v>224</v>
      </c>
      <c r="AS19" s="69">
        <v>0</v>
      </c>
      <c r="AT19" s="14">
        <v>6</v>
      </c>
      <c r="AU19" s="7"/>
      <c r="AV19" s="56"/>
      <c r="AW19" s="59"/>
      <c r="AX19" s="12">
        <v>296</v>
      </c>
      <c r="AY19" s="9">
        <f t="shared" si="8"/>
        <v>1</v>
      </c>
      <c r="AZ19" s="15">
        <f t="shared" si="17"/>
        <v>11441.466666666667</v>
      </c>
      <c r="BA19" s="15">
        <f t="shared" si="18"/>
        <v>53475.8</v>
      </c>
      <c r="BB19" s="15">
        <f t="shared" si="19"/>
        <v>20445580.866666667</v>
      </c>
      <c r="BC19" s="15">
        <f t="shared" si="20"/>
        <v>0</v>
      </c>
      <c r="BD19" s="16">
        <f t="shared" si="9"/>
        <v>0</v>
      </c>
      <c r="BE19" s="71">
        <f>IF(X19&lt;&gt;0,AVERAGE(X$11:X19)*D$5,)</f>
        <v>2673076989.3333335</v>
      </c>
      <c r="BF19" s="15">
        <f>IF(AD19+AG19&lt;&gt;0,AVERAGE(AD$11:AD19)*D$5+AVERAGE(AG$11:AG19)*D$5,)</f>
        <v>353772125.77777779</v>
      </c>
      <c r="BG19" s="15">
        <f>AVERAGE(AD$11:AD19)*D$5</f>
        <v>82887490</v>
      </c>
      <c r="BH19" s="15">
        <f>AVERAGE(AN$11:AN19)*D$5</f>
        <v>142186210.44444445</v>
      </c>
      <c r="BI19" s="15">
        <f>AVERAGE(AR$11:AR19)*D$5</f>
        <v>58942215.111111112</v>
      </c>
    </row>
    <row r="20" spans="1:61" ht="15.75">
      <c r="A20" s="47">
        <f t="shared" si="21"/>
        <v>16</v>
      </c>
      <c r="B20" s="48" t="s">
        <v>71</v>
      </c>
      <c r="C20" s="10"/>
      <c r="D20" s="6">
        <v>277167</v>
      </c>
      <c r="E20" s="8">
        <f t="shared" si="0"/>
        <v>828</v>
      </c>
      <c r="F20" s="6">
        <v>6968</v>
      </c>
      <c r="G20" s="8">
        <f t="shared" si="1"/>
        <v>0</v>
      </c>
      <c r="H20" s="6">
        <v>46451</v>
      </c>
      <c r="I20" s="8">
        <f t="shared" si="2"/>
        <v>145</v>
      </c>
      <c r="J20" s="54">
        <v>562856</v>
      </c>
      <c r="K20" s="8">
        <f t="shared" si="2"/>
        <v>140</v>
      </c>
      <c r="L20" s="7"/>
      <c r="M20" s="11" t="e">
        <f t="shared" si="11"/>
        <v>#DIV/0!</v>
      </c>
      <c r="N20" s="6">
        <v>4902</v>
      </c>
      <c r="O20" s="8">
        <f t="shared" si="3"/>
        <v>2</v>
      </c>
      <c r="P20" s="12">
        <v>87772</v>
      </c>
      <c r="Q20" s="8">
        <f t="shared" si="4"/>
        <v>8</v>
      </c>
      <c r="R20" s="12">
        <v>29</v>
      </c>
      <c r="S20" s="8">
        <f t="shared" si="5"/>
        <v>0</v>
      </c>
      <c r="T20" s="12">
        <v>186769</v>
      </c>
      <c r="U20" s="8">
        <f t="shared" si="6"/>
        <v>28</v>
      </c>
      <c r="V20" s="13"/>
      <c r="W20" s="8"/>
      <c r="X20" s="55">
        <v>10376</v>
      </c>
      <c r="Y20" s="58"/>
      <c r="Z20" s="8">
        <f t="shared" si="12"/>
        <v>0</v>
      </c>
      <c r="AA20" s="55">
        <v>2429</v>
      </c>
      <c r="AB20" s="6"/>
      <c r="AC20" s="9">
        <f t="shared" si="13"/>
        <v>0</v>
      </c>
      <c r="AD20" s="55">
        <v>311</v>
      </c>
      <c r="AE20" s="12"/>
      <c r="AF20" s="9">
        <f t="shared" si="14"/>
        <v>0</v>
      </c>
      <c r="AG20" s="55">
        <v>1181</v>
      </c>
      <c r="AH20" s="6"/>
      <c r="AI20" s="8">
        <f t="shared" si="15"/>
        <v>0</v>
      </c>
      <c r="AJ20" s="55">
        <v>144</v>
      </c>
      <c r="AK20" s="7"/>
      <c r="AL20" s="6"/>
      <c r="AM20" s="8">
        <f t="shared" si="7"/>
        <v>0</v>
      </c>
      <c r="AN20" s="55">
        <v>536</v>
      </c>
      <c r="AO20" s="7"/>
      <c r="AP20" s="6"/>
      <c r="AQ20" s="8">
        <f t="shared" si="16"/>
        <v>0</v>
      </c>
      <c r="AR20" s="55">
        <v>240</v>
      </c>
      <c r="AS20" s="69">
        <v>1</v>
      </c>
      <c r="AT20" s="14">
        <v>11</v>
      </c>
      <c r="AU20" s="7"/>
      <c r="AV20" s="56"/>
      <c r="AW20" s="59"/>
      <c r="AX20" s="12">
        <v>299</v>
      </c>
      <c r="AY20" s="9">
        <f t="shared" si="8"/>
        <v>3</v>
      </c>
      <c r="AZ20" s="15">
        <f t="shared" si="17"/>
        <v>12227.125</v>
      </c>
      <c r="BA20" s="15">
        <f t="shared" si="18"/>
        <v>50133.5625</v>
      </c>
      <c r="BB20" s="15">
        <f t="shared" si="19"/>
        <v>21590854.25</v>
      </c>
      <c r="BC20" s="15">
        <f t="shared" si="20"/>
        <v>33422.375</v>
      </c>
      <c r="BD20" s="16">
        <f t="shared" si="9"/>
        <v>0</v>
      </c>
      <c r="BE20" s="71">
        <f>IF(X20&lt;&gt;0,AVERAGE(X$11:X20)*D$5,)</f>
        <v>2683201740.8000002</v>
      </c>
      <c r="BF20" s="15">
        <f>IF(AD20+AG20&lt;&gt;0,AVERAGE(AD$11:AD20)*D$5+AVERAGE(AG$11:AG20)*D$5,)</f>
        <v>358287860</v>
      </c>
      <c r="BG20" s="15">
        <f>AVERAGE(AD$11:AD20)*D$5</f>
        <v>82914227.900000006</v>
      </c>
      <c r="BH20" s="15">
        <f>AVERAGE(AN$11:AN20)*D$5</f>
        <v>142299103.80000001</v>
      </c>
      <c r="BI20" s="15">
        <f>AVERAGE(AR$11:AR20)*D$5</f>
        <v>59465089.600000001</v>
      </c>
    </row>
    <row r="21" spans="1:61" ht="15.75">
      <c r="A21" s="47">
        <f t="shared" si="21"/>
        <v>17</v>
      </c>
      <c r="B21" s="48" t="s">
        <v>72</v>
      </c>
      <c r="C21" s="10"/>
      <c r="D21" s="6">
        <v>277848</v>
      </c>
      <c r="E21" s="8">
        <f t="shared" si="0"/>
        <v>681</v>
      </c>
      <c r="F21" s="6">
        <v>6968</v>
      </c>
      <c r="G21" s="8">
        <f t="shared" si="1"/>
        <v>0</v>
      </c>
      <c r="H21" s="6">
        <v>46605</v>
      </c>
      <c r="I21" s="8">
        <f t="shared" ref="I21:K32" si="22">IF(ISBLANK(H21),0,H21-H20)</f>
        <v>154</v>
      </c>
      <c r="J21" s="54">
        <v>563003</v>
      </c>
      <c r="K21" s="8">
        <f t="shared" si="22"/>
        <v>147</v>
      </c>
      <c r="L21" s="7"/>
      <c r="M21" s="11" t="e">
        <f t="shared" si="11"/>
        <v>#DIV/0!</v>
      </c>
      <c r="N21" s="6">
        <v>4902</v>
      </c>
      <c r="O21" s="8">
        <f t="shared" si="3"/>
        <v>0</v>
      </c>
      <c r="P21" s="12">
        <v>87784</v>
      </c>
      <c r="Q21" s="8">
        <f t="shared" si="4"/>
        <v>12</v>
      </c>
      <c r="R21" s="12">
        <v>29</v>
      </c>
      <c r="S21" s="8">
        <f t="shared" si="5"/>
        <v>0</v>
      </c>
      <c r="T21" s="12">
        <v>186806</v>
      </c>
      <c r="U21" s="8">
        <f t="shared" si="6"/>
        <v>37</v>
      </c>
      <c r="V21" s="13"/>
      <c r="W21" s="8"/>
      <c r="X21" s="55">
        <v>10637</v>
      </c>
      <c r="Y21" s="58"/>
      <c r="Z21" s="8">
        <f t="shared" si="12"/>
        <v>0</v>
      </c>
      <c r="AA21" s="55">
        <v>2601</v>
      </c>
      <c r="AB21" s="6"/>
      <c r="AC21" s="9">
        <f t="shared" si="13"/>
        <v>0</v>
      </c>
      <c r="AD21" s="55">
        <v>286</v>
      </c>
      <c r="AE21" s="12"/>
      <c r="AF21" s="9">
        <f t="shared" si="14"/>
        <v>0</v>
      </c>
      <c r="AG21" s="55">
        <v>1001</v>
      </c>
      <c r="AH21" s="6"/>
      <c r="AI21" s="8">
        <f t="shared" si="15"/>
        <v>0</v>
      </c>
      <c r="AJ21" s="55">
        <v>224</v>
      </c>
      <c r="AK21" s="7"/>
      <c r="AL21" s="6"/>
      <c r="AM21" s="8">
        <f t="shared" si="7"/>
        <v>0</v>
      </c>
      <c r="AN21" s="55">
        <v>526</v>
      </c>
      <c r="AO21" s="7"/>
      <c r="AP21" s="6"/>
      <c r="AQ21" s="8">
        <f t="shared" si="16"/>
        <v>0</v>
      </c>
      <c r="AR21" s="55">
        <v>256</v>
      </c>
      <c r="AS21" s="69">
        <v>1</v>
      </c>
      <c r="AT21" s="14">
        <v>17</v>
      </c>
      <c r="AU21" s="7"/>
      <c r="AV21" s="56"/>
      <c r="AW21" s="59"/>
      <c r="AX21" s="12">
        <v>299</v>
      </c>
      <c r="AY21" s="9">
        <v>0</v>
      </c>
      <c r="AZ21" s="15">
        <f t="shared" si="17"/>
        <v>12669.588235294117</v>
      </c>
      <c r="BA21" s="15">
        <f t="shared" si="18"/>
        <v>47184.529411764706</v>
      </c>
      <c r="BB21" s="15">
        <f t="shared" si="19"/>
        <v>22742943.176470589</v>
      </c>
      <c r="BC21" s="15">
        <f t="shared" si="20"/>
        <v>31456.352941176468</v>
      </c>
      <c r="BD21" s="16">
        <f t="shared" si="9"/>
        <v>0</v>
      </c>
      <c r="BE21" s="71">
        <f>IF(X21&lt;&gt;0,AVERAGE(X$11:X21)*D$5,)</f>
        <v>2697829802.8181815</v>
      </c>
      <c r="BF21" s="15">
        <f>IF(AD21+AG21&lt;&gt;0,AVERAGE(AD$11:AD21)*D$5+AVERAGE(AG$11:AG21)*D$5,)</f>
        <v>356999579.36363637</v>
      </c>
      <c r="BG21" s="15">
        <f>AVERAGE(AD$11:AD21)*D$5</f>
        <v>82328424.818181828</v>
      </c>
      <c r="BH21" s="15">
        <f>AVERAGE(AN$11:AN21)*D$5</f>
        <v>142148399.27272728</v>
      </c>
      <c r="BI21" s="15">
        <f>AVERAGE(AR$11:AR21)*D$5</f>
        <v>60281810.909090914</v>
      </c>
    </row>
    <row r="22" spans="1:61" ht="15.75">
      <c r="A22" s="47">
        <f t="shared" si="21"/>
        <v>18</v>
      </c>
      <c r="B22" s="48" t="s">
        <v>71</v>
      </c>
      <c r="C22" s="10"/>
      <c r="D22" s="6">
        <v>278529</v>
      </c>
      <c r="E22" s="8">
        <f t="shared" si="0"/>
        <v>681</v>
      </c>
      <c r="F22" s="6">
        <v>6969</v>
      </c>
      <c r="G22" s="8">
        <f t="shared" si="1"/>
        <v>1</v>
      </c>
      <c r="H22" s="6">
        <v>46746</v>
      </c>
      <c r="I22" s="8">
        <f t="shared" si="22"/>
        <v>141</v>
      </c>
      <c r="J22" s="54">
        <v>563140</v>
      </c>
      <c r="K22" s="8">
        <f t="shared" si="22"/>
        <v>137</v>
      </c>
      <c r="L22" s="7"/>
      <c r="M22" s="11" t="e">
        <f t="shared" si="11"/>
        <v>#DIV/0!</v>
      </c>
      <c r="N22" s="6">
        <v>4902</v>
      </c>
      <c r="O22" s="8">
        <f t="shared" si="3"/>
        <v>0</v>
      </c>
      <c r="P22" s="12">
        <v>87794</v>
      </c>
      <c r="Q22" s="8">
        <f t="shared" si="4"/>
        <v>10</v>
      </c>
      <c r="R22" s="12">
        <v>29</v>
      </c>
      <c r="S22" s="8">
        <f t="shared" si="5"/>
        <v>0</v>
      </c>
      <c r="T22" s="12">
        <v>186840</v>
      </c>
      <c r="U22" s="8">
        <f t="shared" si="6"/>
        <v>34</v>
      </c>
      <c r="V22" s="13"/>
      <c r="W22" s="8"/>
      <c r="X22" s="55">
        <v>10665</v>
      </c>
      <c r="Y22" s="58"/>
      <c r="Z22" s="8">
        <f t="shared" si="12"/>
        <v>0</v>
      </c>
      <c r="AA22" s="55">
        <v>2545</v>
      </c>
      <c r="AB22" s="6"/>
      <c r="AC22" s="9">
        <f t="shared" si="13"/>
        <v>0</v>
      </c>
      <c r="AD22" s="55">
        <v>299</v>
      </c>
      <c r="AE22" s="12"/>
      <c r="AF22" s="9">
        <f t="shared" si="14"/>
        <v>0</v>
      </c>
      <c r="AG22" s="55">
        <v>1032</v>
      </c>
      <c r="AH22" s="6"/>
      <c r="AI22" s="8">
        <f t="shared" si="15"/>
        <v>0</v>
      </c>
      <c r="AJ22" s="55">
        <v>152</v>
      </c>
      <c r="AK22" s="7"/>
      <c r="AL22" s="6"/>
      <c r="AM22" s="8">
        <f t="shared" si="7"/>
        <v>0</v>
      </c>
      <c r="AN22" s="55">
        <v>538</v>
      </c>
      <c r="AO22" s="7"/>
      <c r="AP22" s="6"/>
      <c r="AQ22" s="8">
        <f t="shared" si="16"/>
        <v>0</v>
      </c>
      <c r="AR22" s="55">
        <v>296</v>
      </c>
      <c r="AS22" s="69">
        <v>3</v>
      </c>
      <c r="AT22" s="14">
        <v>12</v>
      </c>
      <c r="AU22" s="7"/>
      <c r="AV22" s="56"/>
      <c r="AW22" s="59"/>
      <c r="AX22" s="12">
        <v>301</v>
      </c>
      <c r="AY22" s="9">
        <f t="shared" si="8"/>
        <v>2</v>
      </c>
      <c r="AZ22" s="15">
        <f t="shared" si="17"/>
        <v>13062.888888888889</v>
      </c>
      <c r="BA22" s="15">
        <f t="shared" si="18"/>
        <v>59417.555555555555</v>
      </c>
      <c r="BB22" s="15">
        <f t="shared" si="19"/>
        <v>23573915.166666668</v>
      </c>
      <c r="BC22" s="15">
        <f t="shared" si="20"/>
        <v>29708.777777777777</v>
      </c>
      <c r="BD22" s="16">
        <f t="shared" si="9"/>
        <v>0</v>
      </c>
      <c r="BE22" s="71">
        <f>IF(X22&lt;&gt;0,AVERAGE(X$11:X22)*D$5,)</f>
        <v>2710643738.8333335</v>
      </c>
      <c r="BF22" s="15">
        <f>IF(AD22+AG22&lt;&gt;0,AVERAGE(AD$11:AD22)*D$5+AVERAGE(AG$11:AG22)*D$5,)</f>
        <v>356906401.83333337</v>
      </c>
      <c r="BG22" s="15">
        <f>AVERAGE(AD$11:AD22)*D$5</f>
        <v>82129916.166666672</v>
      </c>
      <c r="BH22" s="15">
        <f>AVERAGE(AN$11:AN22)*D$5</f>
        <v>142290191.16666666</v>
      </c>
      <c r="BI22" s="15">
        <f>AVERAGE(AR$11:AR22)*D$5</f>
        <v>61853675.333333336</v>
      </c>
    </row>
    <row r="23" spans="1:61" ht="15.75">
      <c r="A23" s="47">
        <f t="shared" si="21"/>
        <v>19</v>
      </c>
      <c r="B23" s="48" t="s">
        <v>71</v>
      </c>
      <c r="C23" s="10"/>
      <c r="D23" s="6">
        <v>279047</v>
      </c>
      <c r="E23" s="8">
        <f t="shared" si="0"/>
        <v>518</v>
      </c>
      <c r="F23" s="6">
        <v>6969</v>
      </c>
      <c r="G23" s="8">
        <f t="shared" si="1"/>
        <v>0</v>
      </c>
      <c r="H23" s="6">
        <v>46893</v>
      </c>
      <c r="I23" s="8">
        <f t="shared" si="22"/>
        <v>147</v>
      </c>
      <c r="J23" s="54">
        <v>563281</v>
      </c>
      <c r="K23" s="8">
        <f t="shared" si="22"/>
        <v>141</v>
      </c>
      <c r="L23" s="7"/>
      <c r="M23" s="11" t="e">
        <f t="shared" si="11"/>
        <v>#DIV/0!</v>
      </c>
      <c r="N23" s="6">
        <v>4903</v>
      </c>
      <c r="O23" s="8">
        <f t="shared" si="3"/>
        <v>1</v>
      </c>
      <c r="P23" s="12">
        <v>87805</v>
      </c>
      <c r="Q23" s="8">
        <f t="shared" si="4"/>
        <v>11</v>
      </c>
      <c r="R23" s="12">
        <v>29</v>
      </c>
      <c r="S23" s="8">
        <f t="shared" si="5"/>
        <v>0</v>
      </c>
      <c r="T23" s="12">
        <v>186879</v>
      </c>
      <c r="U23" s="8">
        <f t="shared" si="6"/>
        <v>39</v>
      </c>
      <c r="V23" s="13"/>
      <c r="W23" s="8"/>
      <c r="X23" s="55">
        <v>10627</v>
      </c>
      <c r="Y23" s="58"/>
      <c r="Z23" s="8">
        <f t="shared" si="12"/>
        <v>0</v>
      </c>
      <c r="AA23" s="55">
        <v>2451</v>
      </c>
      <c r="AB23" s="6"/>
      <c r="AC23" s="9">
        <f t="shared" si="13"/>
        <v>0</v>
      </c>
      <c r="AD23" s="55">
        <v>316</v>
      </c>
      <c r="AE23" s="12"/>
      <c r="AF23" s="9">
        <f t="shared" si="14"/>
        <v>0</v>
      </c>
      <c r="AG23" s="55">
        <v>1078</v>
      </c>
      <c r="AH23" s="6"/>
      <c r="AI23" s="8">
        <f t="shared" si="15"/>
        <v>0</v>
      </c>
      <c r="AJ23" s="55">
        <v>144</v>
      </c>
      <c r="AK23" s="7"/>
      <c r="AL23" s="6"/>
      <c r="AM23" s="8">
        <f t="shared" si="7"/>
        <v>0</v>
      </c>
      <c r="AN23" s="55">
        <v>565</v>
      </c>
      <c r="AO23" s="7"/>
      <c r="AP23" s="6"/>
      <c r="AQ23" s="8">
        <f t="shared" si="16"/>
        <v>0</v>
      </c>
      <c r="AR23" s="55">
        <v>272</v>
      </c>
      <c r="AS23" s="69">
        <v>11</v>
      </c>
      <c r="AT23" s="14">
        <v>16</v>
      </c>
      <c r="AU23" s="7"/>
      <c r="AV23" s="56"/>
      <c r="AW23" s="59"/>
      <c r="AX23" s="12">
        <v>301</v>
      </c>
      <c r="AY23" s="9">
        <f t="shared" si="8"/>
        <v>0</v>
      </c>
      <c r="AZ23" s="15">
        <f t="shared" si="17"/>
        <v>13166</v>
      </c>
      <c r="BA23" s="15">
        <f t="shared" si="18"/>
        <v>56290.31578947368</v>
      </c>
      <c r="BB23" s="15">
        <f t="shared" si="19"/>
        <v>24401851.894736841</v>
      </c>
      <c r="BC23" s="15">
        <f t="shared" si="20"/>
        <v>42217.73684210526</v>
      </c>
      <c r="BD23" s="16">
        <f t="shared" si="9"/>
        <v>0</v>
      </c>
      <c r="BE23" s="71">
        <f>IF(X23&lt;&gt;0,AVERAGE(X$11:X23)*D$5,)</f>
        <v>2720704730.6923079</v>
      </c>
      <c r="BF23" s="15">
        <f>IF(AD23+AG23&lt;&gt;0,AVERAGE(AD$11:AD23)*D$5+AVERAGE(AG$11:AG23)*D$5,)</f>
        <v>358123319.07692307</v>
      </c>
      <c r="BG23" s="15">
        <f>AVERAGE(AD$11:AD23)*D$5</f>
        <v>82311596.769230768</v>
      </c>
      <c r="BH23" s="15">
        <f>AVERAGE(AN$11:AN23)*D$5</f>
        <v>142965494.53846154</v>
      </c>
      <c r="BI23" s="15">
        <f>AVERAGE(AR$11:AR23)*D$5</f>
        <v>62690091.692307688</v>
      </c>
    </row>
    <row r="24" spans="1:61" ht="15.75">
      <c r="A24" s="47">
        <f t="shared" si="21"/>
        <v>20</v>
      </c>
      <c r="B24" s="48" t="s">
        <v>71</v>
      </c>
      <c r="C24" s="10"/>
      <c r="D24" s="6">
        <v>279412</v>
      </c>
      <c r="E24" s="8">
        <f t="shared" si="0"/>
        <v>365</v>
      </c>
      <c r="F24" s="6">
        <v>6970</v>
      </c>
      <c r="G24" s="8">
        <f t="shared" si="1"/>
        <v>1</v>
      </c>
      <c r="H24" s="6">
        <v>47018</v>
      </c>
      <c r="I24" s="8">
        <f t="shared" si="22"/>
        <v>125</v>
      </c>
      <c r="J24" s="54">
        <v>563401</v>
      </c>
      <c r="K24" s="8">
        <f t="shared" si="22"/>
        <v>120</v>
      </c>
      <c r="L24" s="7"/>
      <c r="M24" s="11" t="e">
        <f t="shared" si="11"/>
        <v>#DIV/0!</v>
      </c>
      <c r="N24" s="6">
        <v>4903</v>
      </c>
      <c r="O24" s="8">
        <f t="shared" si="3"/>
        <v>0</v>
      </c>
      <c r="P24" s="12">
        <v>87816</v>
      </c>
      <c r="Q24" s="8">
        <f t="shared" si="4"/>
        <v>11</v>
      </c>
      <c r="R24" s="12">
        <v>29</v>
      </c>
      <c r="S24" s="8">
        <f t="shared" si="5"/>
        <v>0</v>
      </c>
      <c r="T24" s="12">
        <v>186911</v>
      </c>
      <c r="U24" s="8">
        <f t="shared" si="6"/>
        <v>32</v>
      </c>
      <c r="V24" s="13">
        <v>3877.25</v>
      </c>
      <c r="W24" s="8">
        <f>IF(ISBLANK(V24),0,V24-V23)*2200</f>
        <v>8529950</v>
      </c>
      <c r="X24" s="55">
        <v>10755</v>
      </c>
      <c r="Y24" s="58">
        <v>753.58</v>
      </c>
      <c r="Z24" s="8">
        <f t="shared" si="12"/>
        <v>1657876</v>
      </c>
      <c r="AA24" s="55">
        <v>2504</v>
      </c>
      <c r="AB24" s="6">
        <v>1694579</v>
      </c>
      <c r="AC24" s="9">
        <f t="shared" si="13"/>
        <v>1694579</v>
      </c>
      <c r="AD24" s="55">
        <v>312</v>
      </c>
      <c r="AE24" s="12">
        <v>4972204</v>
      </c>
      <c r="AF24" s="9">
        <f t="shared" si="14"/>
        <v>4972204</v>
      </c>
      <c r="AG24" s="55">
        <v>1034</v>
      </c>
      <c r="AH24" s="6">
        <v>32799.9</v>
      </c>
      <c r="AI24" s="8">
        <f t="shared" si="15"/>
        <v>2623992</v>
      </c>
      <c r="AJ24" s="55">
        <v>200</v>
      </c>
      <c r="AK24" s="7"/>
      <c r="AL24" s="6">
        <v>114782</v>
      </c>
      <c r="AM24" s="8">
        <f t="shared" si="7"/>
        <v>114782</v>
      </c>
      <c r="AN24" s="55">
        <v>567</v>
      </c>
      <c r="AO24" s="7"/>
      <c r="AP24" s="6">
        <v>46176</v>
      </c>
      <c r="AQ24" s="8">
        <f t="shared" si="16"/>
        <v>3694080</v>
      </c>
      <c r="AR24" s="55">
        <v>280</v>
      </c>
      <c r="AS24" s="69">
        <v>11</v>
      </c>
      <c r="AT24" s="14">
        <v>17</v>
      </c>
      <c r="AU24" s="7"/>
      <c r="AV24" s="56"/>
      <c r="AW24" s="59"/>
      <c r="AX24" s="12">
        <v>302</v>
      </c>
      <c r="AY24" s="9">
        <f t="shared" si="8"/>
        <v>1</v>
      </c>
      <c r="AZ24" s="15">
        <f t="shared" si="17"/>
        <v>13036.95</v>
      </c>
      <c r="BA24" s="15">
        <f t="shared" si="18"/>
        <v>66844.75</v>
      </c>
      <c r="BB24" s="15">
        <f t="shared" si="19"/>
        <v>24852878.050000001</v>
      </c>
      <c r="BC24" s="15">
        <f t="shared" si="20"/>
        <v>40106.85</v>
      </c>
      <c r="BD24" s="16">
        <f t="shared" si="9"/>
        <v>114036475052.5</v>
      </c>
      <c r="BE24" s="71">
        <f>IF(X24&lt;&gt;0,AVERAGE(X$11:X24)*D$5,)</f>
        <v>2731773046</v>
      </c>
      <c r="BF24" s="15">
        <f>IF(AD24+AG24&lt;&gt;0,AVERAGE(AD$11:AD24)*D$5+AVERAGE(AG$11:AG24)*D$5,)</f>
        <v>358249663</v>
      </c>
      <c r="BG24" s="15">
        <f>AVERAGE(AD$11:AD24)*D$5</f>
        <v>82390929</v>
      </c>
      <c r="BH24" s="15">
        <f>AVERAGE(AN$11:AN24)*D$5</f>
        <v>143582523</v>
      </c>
      <c r="BI24" s="15">
        <f>AVERAGE(AR$11:AR24)*D$5</f>
        <v>63559808</v>
      </c>
    </row>
    <row r="25" spans="1:61" ht="15.75">
      <c r="A25" s="47">
        <f t="shared" si="21"/>
        <v>21</v>
      </c>
      <c r="B25" s="48" t="s">
        <v>71</v>
      </c>
      <c r="C25" s="10"/>
      <c r="D25" s="6">
        <v>279803</v>
      </c>
      <c r="E25" s="8">
        <f t="shared" si="0"/>
        <v>391</v>
      </c>
      <c r="F25" s="6">
        <v>6970</v>
      </c>
      <c r="G25" s="8">
        <f t="shared" si="1"/>
        <v>0</v>
      </c>
      <c r="H25" s="6">
        <v>47177</v>
      </c>
      <c r="I25" s="8">
        <f t="shared" si="22"/>
        <v>159</v>
      </c>
      <c r="J25" s="54">
        <v>563554</v>
      </c>
      <c r="K25" s="8">
        <f t="shared" si="22"/>
        <v>153</v>
      </c>
      <c r="L25" s="7"/>
      <c r="M25" s="11" t="e">
        <f t="shared" si="11"/>
        <v>#DIV/0!</v>
      </c>
      <c r="N25" s="6">
        <v>4903</v>
      </c>
      <c r="O25" s="8">
        <f t="shared" si="3"/>
        <v>0</v>
      </c>
      <c r="P25" s="12">
        <v>87832</v>
      </c>
      <c r="Q25" s="8">
        <f t="shared" si="4"/>
        <v>16</v>
      </c>
      <c r="R25" s="12">
        <v>29</v>
      </c>
      <c r="S25" s="8">
        <f t="shared" si="5"/>
        <v>0</v>
      </c>
      <c r="T25" s="12">
        <v>186950</v>
      </c>
      <c r="U25" s="8">
        <f t="shared" si="6"/>
        <v>39</v>
      </c>
      <c r="V25" s="13"/>
      <c r="W25" s="8"/>
      <c r="X25" s="55">
        <v>10758</v>
      </c>
      <c r="Y25" s="58"/>
      <c r="Z25" s="8">
        <f t="shared" si="12"/>
        <v>0</v>
      </c>
      <c r="AA25" s="55">
        <v>2497</v>
      </c>
      <c r="AB25" s="6"/>
      <c r="AC25" s="9">
        <f t="shared" si="13"/>
        <v>0</v>
      </c>
      <c r="AD25" s="55">
        <v>312</v>
      </c>
      <c r="AE25" s="12"/>
      <c r="AF25" s="9">
        <f t="shared" si="14"/>
        <v>0</v>
      </c>
      <c r="AG25" s="55">
        <v>1079</v>
      </c>
      <c r="AH25" s="6"/>
      <c r="AI25" s="8">
        <f t="shared" si="15"/>
        <v>0</v>
      </c>
      <c r="AJ25" s="55">
        <v>144</v>
      </c>
      <c r="AK25" s="7"/>
      <c r="AL25" s="6"/>
      <c r="AM25" s="8">
        <f t="shared" si="7"/>
        <v>0</v>
      </c>
      <c r="AN25" s="55">
        <v>513</v>
      </c>
      <c r="AO25" s="7"/>
      <c r="AP25" s="6"/>
      <c r="AQ25" s="8">
        <f t="shared" si="16"/>
        <v>0</v>
      </c>
      <c r="AR25" s="55">
        <v>232</v>
      </c>
      <c r="AS25" s="69">
        <v>6</v>
      </c>
      <c r="AT25" s="14">
        <v>16</v>
      </c>
      <c r="AU25" s="7"/>
      <c r="AV25" s="56"/>
      <c r="AW25" s="59"/>
      <c r="AX25" s="12">
        <v>303</v>
      </c>
      <c r="AY25" s="9">
        <f t="shared" si="8"/>
        <v>1</v>
      </c>
      <c r="AZ25" s="15">
        <f t="shared" si="17"/>
        <v>12956.095238095239</v>
      </c>
      <c r="BA25" s="15">
        <f t="shared" si="18"/>
        <v>63661.666666666664</v>
      </c>
      <c r="BB25" s="15">
        <f t="shared" si="19"/>
        <v>25693848.666666668</v>
      </c>
      <c r="BC25" s="15">
        <f t="shared" si="20"/>
        <v>38197</v>
      </c>
      <c r="BD25" s="16">
        <f t="shared" si="9"/>
        <v>0</v>
      </c>
      <c r="BE25" s="71">
        <f>IF(X25&lt;&gt;0,AVERAGE(X$11:X25)*D$5,)</f>
        <v>2741419061.7333331</v>
      </c>
      <c r="BF25" s="15">
        <f>IF(AD25+AG25&lt;&gt;0,AVERAGE(AD$11:AD25)*D$5+AVERAGE(AG$11:AG25)*D$5,)</f>
        <v>359161298.0666666</v>
      </c>
      <c r="BG25" s="15">
        <f>AVERAGE(AD$11:AD25)*D$5</f>
        <v>82459683.599999994</v>
      </c>
      <c r="BH25" s="15">
        <f>AVERAGE(AN$11:AN25)*D$5</f>
        <v>143154716.59999999</v>
      </c>
      <c r="BI25" s="15">
        <f>AVERAGE(AR$11:AR25)*D$5</f>
        <v>63457949.333333336</v>
      </c>
    </row>
    <row r="26" spans="1:61" ht="15.75">
      <c r="A26" s="47">
        <f t="shared" si="21"/>
        <v>22</v>
      </c>
      <c r="B26" s="48" t="s">
        <v>71</v>
      </c>
      <c r="C26" s="10"/>
      <c r="D26" s="6">
        <v>280140</v>
      </c>
      <c r="E26" s="8">
        <f t="shared" si="0"/>
        <v>337</v>
      </c>
      <c r="F26" s="6">
        <v>6971</v>
      </c>
      <c r="G26" s="8">
        <f t="shared" si="1"/>
        <v>1</v>
      </c>
      <c r="H26" s="6">
        <v>47328</v>
      </c>
      <c r="I26" s="8">
        <f t="shared" si="22"/>
        <v>151</v>
      </c>
      <c r="J26" s="54">
        <v>563699</v>
      </c>
      <c r="K26" s="8">
        <f t="shared" si="22"/>
        <v>145</v>
      </c>
      <c r="L26" s="7"/>
      <c r="M26" s="11" t="e">
        <f t="shared" si="11"/>
        <v>#DIV/0!</v>
      </c>
      <c r="N26" s="6">
        <v>4904</v>
      </c>
      <c r="O26" s="8">
        <f t="shared" si="3"/>
        <v>1</v>
      </c>
      <c r="P26" s="12">
        <v>87848</v>
      </c>
      <c r="Q26" s="8">
        <f t="shared" si="4"/>
        <v>16</v>
      </c>
      <c r="R26" s="12">
        <v>29</v>
      </c>
      <c r="S26" s="8">
        <f t="shared" si="5"/>
        <v>0</v>
      </c>
      <c r="T26" s="12">
        <v>186989</v>
      </c>
      <c r="U26" s="8">
        <f t="shared" si="6"/>
        <v>39</v>
      </c>
      <c r="V26" s="13"/>
      <c r="W26" s="8"/>
      <c r="X26" s="55">
        <v>11329</v>
      </c>
      <c r="Y26" s="58"/>
      <c r="Z26" s="8">
        <f t="shared" si="12"/>
        <v>0</v>
      </c>
      <c r="AA26" s="55">
        <v>2670</v>
      </c>
      <c r="AB26" s="6"/>
      <c r="AC26" s="9">
        <f t="shared" si="13"/>
        <v>0</v>
      </c>
      <c r="AD26" s="55">
        <v>322</v>
      </c>
      <c r="AE26" s="12"/>
      <c r="AF26" s="9">
        <f t="shared" si="14"/>
        <v>0</v>
      </c>
      <c r="AG26" s="55">
        <v>1209</v>
      </c>
      <c r="AH26" s="6"/>
      <c r="AI26" s="8">
        <f t="shared" si="15"/>
        <v>0</v>
      </c>
      <c r="AJ26" s="55">
        <v>160</v>
      </c>
      <c r="AK26" s="7"/>
      <c r="AL26" s="6"/>
      <c r="AM26" s="8">
        <f t="shared" si="7"/>
        <v>0</v>
      </c>
      <c r="AN26" s="55">
        <v>536</v>
      </c>
      <c r="AO26" s="7"/>
      <c r="AP26" s="6"/>
      <c r="AQ26" s="8">
        <f t="shared" si="16"/>
        <v>0</v>
      </c>
      <c r="AR26" s="55">
        <v>280</v>
      </c>
      <c r="AS26" s="69">
        <v>2</v>
      </c>
      <c r="AT26" s="14">
        <v>18</v>
      </c>
      <c r="AU26" s="7"/>
      <c r="AV26" s="56"/>
      <c r="AW26" s="59"/>
      <c r="AX26" s="12">
        <v>305</v>
      </c>
      <c r="AY26" s="9">
        <f t="shared" si="8"/>
        <v>2</v>
      </c>
      <c r="AZ26" s="15">
        <f t="shared" si="17"/>
        <v>12811.40909090909</v>
      </c>
      <c r="BA26" s="15">
        <f t="shared" si="18"/>
        <v>72921.545454545456</v>
      </c>
      <c r="BB26" s="15">
        <f t="shared" si="19"/>
        <v>26361138.681818184</v>
      </c>
      <c r="BC26" s="15">
        <f t="shared" si="20"/>
        <v>48614.36363636364</v>
      </c>
      <c r="BD26" s="16">
        <f t="shared" si="9"/>
        <v>0</v>
      </c>
      <c r="BE26" s="71">
        <f>IF(X26&lt;&gt;0,AVERAGE(X$11:X26)*D$5,)</f>
        <v>2759401413.5625</v>
      </c>
      <c r="BF26" s="15">
        <f>IF(AD26+AG26&lt;&gt;0,AVERAGE(AD$11:AD26)*D$5+AVERAGE(AG$11:AG26)*D$5,)</f>
        <v>362298545</v>
      </c>
      <c r="BG26" s="15">
        <f>AVERAGE(AD$11:AD26)*D$5</f>
        <v>82686955.75</v>
      </c>
      <c r="BH26" s="15">
        <f>AVERAGE(AN$11:AN26)*D$5</f>
        <v>143164743.3125</v>
      </c>
      <c r="BI26" s="15">
        <f>AVERAGE(AR$11:AR26)*D$5</f>
        <v>64170960</v>
      </c>
    </row>
    <row r="27" spans="1:61" ht="15.75">
      <c r="A27" s="47">
        <f t="shared" si="21"/>
        <v>23</v>
      </c>
      <c r="B27" s="48" t="s">
        <v>71</v>
      </c>
      <c r="C27" s="10"/>
      <c r="D27" s="6">
        <v>280475</v>
      </c>
      <c r="E27" s="8">
        <f t="shared" si="0"/>
        <v>335</v>
      </c>
      <c r="F27" s="6">
        <v>6972</v>
      </c>
      <c r="G27" s="8">
        <f t="shared" si="1"/>
        <v>1</v>
      </c>
      <c r="H27" s="6">
        <v>47480</v>
      </c>
      <c r="I27" s="8">
        <f t="shared" si="22"/>
        <v>152</v>
      </c>
      <c r="J27" s="54">
        <v>563846</v>
      </c>
      <c r="K27" s="8">
        <f t="shared" si="22"/>
        <v>147</v>
      </c>
      <c r="L27" s="7"/>
      <c r="M27" s="11" t="e">
        <f t="shared" si="11"/>
        <v>#DIV/0!</v>
      </c>
      <c r="N27" s="6">
        <v>4904</v>
      </c>
      <c r="O27" s="8">
        <f t="shared" si="3"/>
        <v>0</v>
      </c>
      <c r="P27" s="12">
        <v>87863</v>
      </c>
      <c r="Q27" s="8">
        <f t="shared" si="4"/>
        <v>15</v>
      </c>
      <c r="R27" s="12">
        <v>29</v>
      </c>
      <c r="S27" s="8">
        <f t="shared" si="5"/>
        <v>0</v>
      </c>
      <c r="T27" s="12">
        <v>187027</v>
      </c>
      <c r="U27" s="8">
        <f t="shared" si="6"/>
        <v>38</v>
      </c>
      <c r="V27" s="13"/>
      <c r="W27" s="8"/>
      <c r="X27" s="55">
        <v>11666</v>
      </c>
      <c r="Y27" s="58"/>
      <c r="Z27" s="8">
        <f t="shared" si="12"/>
        <v>0</v>
      </c>
      <c r="AA27" s="55">
        <v>2870</v>
      </c>
      <c r="AB27" s="6"/>
      <c r="AC27" s="9">
        <f t="shared" si="13"/>
        <v>0</v>
      </c>
      <c r="AD27" s="55">
        <v>322</v>
      </c>
      <c r="AE27" s="12"/>
      <c r="AF27" s="9">
        <f t="shared" si="14"/>
        <v>0</v>
      </c>
      <c r="AG27" s="55">
        <v>1143</v>
      </c>
      <c r="AH27" s="6"/>
      <c r="AI27" s="8">
        <f t="shared" si="15"/>
        <v>0</v>
      </c>
      <c r="AJ27" s="55">
        <v>136</v>
      </c>
      <c r="AK27" s="7"/>
      <c r="AL27" s="6"/>
      <c r="AM27" s="8">
        <f t="shared" si="7"/>
        <v>0</v>
      </c>
      <c r="AN27" s="55">
        <v>548</v>
      </c>
      <c r="AO27" s="7"/>
      <c r="AP27" s="6"/>
      <c r="AQ27" s="8">
        <f t="shared" si="16"/>
        <v>0</v>
      </c>
      <c r="AR27" s="55">
        <v>248</v>
      </c>
      <c r="AS27" s="69">
        <v>3</v>
      </c>
      <c r="AT27" s="14">
        <v>18</v>
      </c>
      <c r="AU27" s="7"/>
      <c r="AV27" s="56"/>
      <c r="AW27" s="59"/>
      <c r="AX27" s="12">
        <v>306</v>
      </c>
      <c r="AY27" s="9">
        <f t="shared" si="8"/>
        <v>1</v>
      </c>
      <c r="AZ27" s="15">
        <f t="shared" si="17"/>
        <v>12676.782608695652</v>
      </c>
      <c r="BA27" s="15">
        <f t="shared" si="18"/>
        <v>81376.217391304352</v>
      </c>
      <c r="BB27" s="15">
        <f t="shared" si="19"/>
        <v>26982028.652173914</v>
      </c>
      <c r="BC27" s="15">
        <f t="shared" si="20"/>
        <v>46500.695652173912</v>
      </c>
      <c r="BD27" s="16">
        <f t="shared" si="9"/>
        <v>0</v>
      </c>
      <c r="BE27" s="71">
        <f>IF(X27&lt;&gt;0,AVERAGE(X$11:X27)*D$5,)</f>
        <v>2780568590.0588236</v>
      </c>
      <c r="BF27" s="15">
        <f>IF(AD27+AG27&lt;&gt;0,AVERAGE(AD$11:AD27)*D$5+AVERAGE(AG$11:AG27)*D$5,)</f>
        <v>364028644.41176474</v>
      </c>
      <c r="BG27" s="15">
        <f>AVERAGE(AD$11:AD27)*D$5</f>
        <v>82887490</v>
      </c>
      <c r="BH27" s="15">
        <f>AVERAGE(AN$11:AN27)*D$5</f>
        <v>143362328.52941176</v>
      </c>
      <c r="BI27" s="15">
        <f>AVERAGE(AR$11:AR27)*D$5</f>
        <v>64296785.411764704</v>
      </c>
    </row>
    <row r="28" spans="1:61" ht="15.75">
      <c r="A28" s="47">
        <f t="shared" si="21"/>
        <v>24</v>
      </c>
      <c r="B28" s="48" t="s">
        <v>71</v>
      </c>
      <c r="C28" s="10"/>
      <c r="D28" s="6">
        <v>280818</v>
      </c>
      <c r="E28" s="8">
        <f t="shared" si="0"/>
        <v>343</v>
      </c>
      <c r="F28" s="6">
        <v>6973</v>
      </c>
      <c r="G28" s="8">
        <f t="shared" si="1"/>
        <v>1</v>
      </c>
      <c r="H28" s="6">
        <v>47629</v>
      </c>
      <c r="I28" s="8">
        <f t="shared" si="22"/>
        <v>149</v>
      </c>
      <c r="J28" s="54">
        <v>563990</v>
      </c>
      <c r="K28" s="8">
        <f t="shared" si="22"/>
        <v>144</v>
      </c>
      <c r="L28" s="7"/>
      <c r="M28" s="11" t="e">
        <f t="shared" si="11"/>
        <v>#DIV/0!</v>
      </c>
      <c r="N28" s="6">
        <v>4904</v>
      </c>
      <c r="O28" s="8">
        <f t="shared" si="3"/>
        <v>0</v>
      </c>
      <c r="P28" s="12">
        <v>87878</v>
      </c>
      <c r="Q28" s="8">
        <f t="shared" si="4"/>
        <v>15</v>
      </c>
      <c r="R28" s="12">
        <v>29</v>
      </c>
      <c r="S28" s="8">
        <f t="shared" si="5"/>
        <v>0</v>
      </c>
      <c r="T28" s="12">
        <v>187063</v>
      </c>
      <c r="U28" s="8">
        <f t="shared" si="6"/>
        <v>36</v>
      </c>
      <c r="V28" s="13"/>
      <c r="W28" s="8"/>
      <c r="X28" s="55">
        <v>11637</v>
      </c>
      <c r="Y28" s="58"/>
      <c r="Z28" s="8">
        <f t="shared" si="12"/>
        <v>0</v>
      </c>
      <c r="AA28" s="55">
        <v>2824</v>
      </c>
      <c r="AB28" s="6"/>
      <c r="AC28" s="9">
        <f t="shared" si="13"/>
        <v>0</v>
      </c>
      <c r="AD28" s="55">
        <v>316</v>
      </c>
      <c r="AE28" s="12"/>
      <c r="AF28" s="9">
        <f t="shared" si="14"/>
        <v>0</v>
      </c>
      <c r="AG28" s="55">
        <v>1092</v>
      </c>
      <c r="AH28" s="6"/>
      <c r="AI28" s="8">
        <f t="shared" si="15"/>
        <v>0</v>
      </c>
      <c r="AJ28" s="55">
        <v>200</v>
      </c>
      <c r="AK28" s="7"/>
      <c r="AL28" s="6"/>
      <c r="AM28" s="8">
        <f t="shared" si="7"/>
        <v>0</v>
      </c>
      <c r="AN28" s="55">
        <v>530</v>
      </c>
      <c r="AO28" s="7"/>
      <c r="AP28" s="6"/>
      <c r="AQ28" s="8">
        <f t="shared" si="16"/>
        <v>0</v>
      </c>
      <c r="AR28" s="55">
        <v>320</v>
      </c>
      <c r="AS28" s="69">
        <v>2</v>
      </c>
      <c r="AT28" s="14">
        <v>14</v>
      </c>
      <c r="AU28" s="7"/>
      <c r="AV28" s="56"/>
      <c r="AW28" s="59"/>
      <c r="AX28" s="12">
        <v>306</v>
      </c>
      <c r="AY28" s="9">
        <f t="shared" si="8"/>
        <v>0</v>
      </c>
      <c r="AZ28" s="15">
        <f t="shared" si="17"/>
        <v>12563.041666666666</v>
      </c>
      <c r="BA28" s="15">
        <f t="shared" si="18"/>
        <v>89126.333333333328</v>
      </c>
      <c r="BB28" s="15">
        <f t="shared" si="19"/>
        <v>27517755.416666668</v>
      </c>
      <c r="BC28" s="15">
        <f t="shared" si="20"/>
        <v>44563.166666666664</v>
      </c>
      <c r="BD28" s="16">
        <f t="shared" si="9"/>
        <v>0</v>
      </c>
      <c r="BE28" s="71">
        <f>IF(X28&lt;&gt;0,AVERAGE(X$11:X28)*D$5,)</f>
        <v>2798953080.7777777</v>
      </c>
      <c r="BF28" s="15">
        <f>IF(AD28+AG28&lt;&gt;0,AVERAGE(AD$11:AD28)*D$5+AVERAGE(AG$11:AG28)*D$5,)</f>
        <v>364719810.38888884</v>
      </c>
      <c r="BG28" s="15">
        <f>AVERAGE(AD$11:AD28)*D$5</f>
        <v>82976616.333333328</v>
      </c>
      <c r="BH28" s="15">
        <f>AVERAGE(AN$11:AN28)*D$5</f>
        <v>143270580.83333334</v>
      </c>
      <c r="BI28" s="15">
        <f>AVERAGE(AR$11:AR28)*D$5</f>
        <v>65478146.222222224</v>
      </c>
    </row>
    <row r="29" spans="1:61" ht="15.75">
      <c r="A29" s="47">
        <f t="shared" si="21"/>
        <v>25</v>
      </c>
      <c r="B29" s="48" t="s">
        <v>71</v>
      </c>
      <c r="C29" s="10"/>
      <c r="D29" s="6">
        <v>281245</v>
      </c>
      <c r="E29" s="8">
        <f t="shared" si="0"/>
        <v>427</v>
      </c>
      <c r="F29" s="6">
        <v>6973</v>
      </c>
      <c r="G29" s="8">
        <f t="shared" si="1"/>
        <v>0</v>
      </c>
      <c r="H29" s="6">
        <v>47799</v>
      </c>
      <c r="I29" s="8">
        <f t="shared" si="22"/>
        <v>170</v>
      </c>
      <c r="J29" s="54">
        <v>564154</v>
      </c>
      <c r="K29" s="8">
        <f>IF(ISBLANK(J29),0,J29-J28)</f>
        <v>164</v>
      </c>
      <c r="L29" s="7"/>
      <c r="M29" s="11" t="e">
        <f t="shared" si="11"/>
        <v>#DIV/0!</v>
      </c>
      <c r="N29" s="6">
        <v>4904</v>
      </c>
      <c r="O29" s="8">
        <f t="shared" si="3"/>
        <v>0</v>
      </c>
      <c r="P29" s="12">
        <v>87893</v>
      </c>
      <c r="Q29" s="8">
        <f t="shared" si="4"/>
        <v>15</v>
      </c>
      <c r="R29" s="12">
        <v>30</v>
      </c>
      <c r="S29" s="8">
        <f t="shared" si="5"/>
        <v>1</v>
      </c>
      <c r="T29" s="12">
        <v>187107</v>
      </c>
      <c r="U29" s="8">
        <f t="shared" si="6"/>
        <v>44</v>
      </c>
      <c r="V29" s="13"/>
      <c r="W29" s="8"/>
      <c r="X29" s="55">
        <v>11725</v>
      </c>
      <c r="Y29" s="58"/>
      <c r="Z29" s="8">
        <f t="shared" si="12"/>
        <v>0</v>
      </c>
      <c r="AA29" s="55">
        <v>2844</v>
      </c>
      <c r="AB29" s="6"/>
      <c r="AC29" s="9">
        <f t="shared" si="13"/>
        <v>0</v>
      </c>
      <c r="AD29" s="55">
        <v>323</v>
      </c>
      <c r="AE29" s="12"/>
      <c r="AF29" s="9">
        <f t="shared" si="14"/>
        <v>0</v>
      </c>
      <c r="AG29" s="55">
        <v>1165</v>
      </c>
      <c r="AH29" s="6"/>
      <c r="AI29" s="8">
        <f t="shared" si="15"/>
        <v>0</v>
      </c>
      <c r="AJ29" s="55">
        <v>152</v>
      </c>
      <c r="AK29" s="7"/>
      <c r="AL29" s="6"/>
      <c r="AM29" s="8">
        <f t="shared" si="7"/>
        <v>0</v>
      </c>
      <c r="AN29" s="55">
        <v>594</v>
      </c>
      <c r="AO29" s="7"/>
      <c r="AP29" s="6"/>
      <c r="AQ29" s="8">
        <f t="shared" si="16"/>
        <v>0</v>
      </c>
      <c r="AR29" s="55">
        <v>352</v>
      </c>
      <c r="AS29" s="69">
        <v>2</v>
      </c>
      <c r="AT29" s="14">
        <v>16</v>
      </c>
      <c r="AU29" s="7"/>
      <c r="AV29" s="56"/>
      <c r="AW29" s="59"/>
      <c r="AX29" s="12">
        <v>309</v>
      </c>
      <c r="AY29" s="9">
        <f t="shared" si="8"/>
        <v>3</v>
      </c>
      <c r="AZ29" s="15">
        <f t="shared" si="17"/>
        <v>12555.84</v>
      </c>
      <c r="BA29" s="15">
        <f t="shared" si="18"/>
        <v>85561.279999999999</v>
      </c>
      <c r="BB29" s="15">
        <f t="shared" si="19"/>
        <v>28235222.399999999</v>
      </c>
      <c r="BC29" s="15">
        <f t="shared" si="20"/>
        <v>42780.639999999999</v>
      </c>
      <c r="BD29" s="16">
        <f t="shared" si="9"/>
        <v>0</v>
      </c>
      <c r="BE29" s="71">
        <f>IF(X29&lt;&gt;0,AVERAGE(X$11:X29)*D$5,)</f>
        <v>2816640748.8947368</v>
      </c>
      <c r="BF29" s="15">
        <f>IF(AD29+AG29&lt;&gt;0,AVERAGE(AD$11:AD29)*D$5+AVERAGE(AG$11:AG29)*D$5,)</f>
        <v>366464028.36842108</v>
      </c>
      <c r="BG29" s="15">
        <f>AVERAGE(AD$11:AD29)*D$5</f>
        <v>83154869</v>
      </c>
      <c r="BH29" s="15">
        <f>AVERAGE(AN$11:AN29)*D$5</f>
        <v>144089135.84210527</v>
      </c>
      <c r="BI29" s="15">
        <f>AVERAGE(AR$11:AR29)*D$5</f>
        <v>66985475.789473683</v>
      </c>
    </row>
    <row r="30" spans="1:61" ht="15.75">
      <c r="A30" s="47">
        <f t="shared" si="21"/>
        <v>26</v>
      </c>
      <c r="B30" s="48" t="s">
        <v>71</v>
      </c>
      <c r="C30" s="10"/>
      <c r="D30" s="6">
        <v>281713</v>
      </c>
      <c r="E30" s="8">
        <f t="shared" si="0"/>
        <v>468</v>
      </c>
      <c r="F30" s="6">
        <v>6974</v>
      </c>
      <c r="G30" s="8">
        <f t="shared" si="1"/>
        <v>1</v>
      </c>
      <c r="H30" s="6">
        <v>47961</v>
      </c>
      <c r="I30" s="8">
        <f t="shared" si="22"/>
        <v>162</v>
      </c>
      <c r="J30" s="54">
        <v>564310</v>
      </c>
      <c r="K30" s="8">
        <f t="shared" si="22"/>
        <v>156</v>
      </c>
      <c r="L30" s="7"/>
      <c r="M30" s="11" t="e">
        <f t="shared" si="11"/>
        <v>#DIV/0!</v>
      </c>
      <c r="N30" s="6">
        <v>4904</v>
      </c>
      <c r="O30" s="8">
        <f t="shared" si="3"/>
        <v>0</v>
      </c>
      <c r="P30" s="12">
        <v>87908</v>
      </c>
      <c r="Q30" s="8">
        <f t="shared" si="4"/>
        <v>15</v>
      </c>
      <c r="R30" s="12">
        <v>30</v>
      </c>
      <c r="S30" s="8">
        <f t="shared" si="5"/>
        <v>0</v>
      </c>
      <c r="T30" s="12">
        <v>187145</v>
      </c>
      <c r="U30" s="8">
        <f t="shared" si="6"/>
        <v>38</v>
      </c>
      <c r="V30" s="13"/>
      <c r="W30" s="8"/>
      <c r="X30" s="55">
        <v>11637</v>
      </c>
      <c r="Y30" s="58"/>
      <c r="Z30" s="8">
        <f t="shared" si="12"/>
        <v>0</v>
      </c>
      <c r="AA30" s="55">
        <v>2787</v>
      </c>
      <c r="AB30" s="6"/>
      <c r="AC30" s="9">
        <f t="shared" si="13"/>
        <v>0</v>
      </c>
      <c r="AD30" s="55">
        <v>307</v>
      </c>
      <c r="AE30" s="12"/>
      <c r="AF30" s="9">
        <f t="shared" si="14"/>
        <v>0</v>
      </c>
      <c r="AG30" s="55">
        <v>1242</v>
      </c>
      <c r="AH30" s="6"/>
      <c r="AI30" s="8">
        <f t="shared" si="15"/>
        <v>0</v>
      </c>
      <c r="AJ30" s="55">
        <v>192</v>
      </c>
      <c r="AK30" s="7"/>
      <c r="AL30" s="6"/>
      <c r="AM30" s="8">
        <f t="shared" si="7"/>
        <v>0</v>
      </c>
      <c r="AN30" s="55">
        <v>644</v>
      </c>
      <c r="AO30" s="7"/>
      <c r="AP30" s="6"/>
      <c r="AQ30" s="8">
        <f t="shared" si="16"/>
        <v>0</v>
      </c>
      <c r="AR30" s="55">
        <v>296</v>
      </c>
      <c r="AS30" s="69">
        <v>3</v>
      </c>
      <c r="AT30" s="14">
        <v>13</v>
      </c>
      <c r="AU30" s="7"/>
      <c r="AV30" s="56"/>
      <c r="AW30" s="59"/>
      <c r="AX30" s="12"/>
      <c r="AY30" s="9">
        <f t="shared" si="8"/>
        <v>0</v>
      </c>
      <c r="AZ30" s="15">
        <f t="shared" si="17"/>
        <v>12594.923076923078</v>
      </c>
      <c r="BA30" s="15">
        <f t="shared" si="18"/>
        <v>92554.269230769234</v>
      </c>
      <c r="BB30" s="15">
        <f t="shared" si="19"/>
        <v>28815229.153846156</v>
      </c>
      <c r="BC30" s="15">
        <f t="shared" si="20"/>
        <v>41135.230769230773</v>
      </c>
      <c r="BD30" s="16">
        <f t="shared" si="9"/>
        <v>0</v>
      </c>
      <c r="BE30" s="71">
        <f>IF(X30&lt;&gt;0,AVERAGE(X$11:X30)*D$5,)</f>
        <v>2831383182.5999999</v>
      </c>
      <c r="BF30" s="15">
        <f>IF(AD30+AG30&lt;&gt;0,AVERAGE(AD$11:AD30)*D$5+AVERAGE(AG$11:AG30)*D$5,)</f>
        <v>368849330.5</v>
      </c>
      <c r="BG30" s="15">
        <f>AVERAGE(AD$11:AD30)*D$5</f>
        <v>83101393.200000003</v>
      </c>
      <c r="BH30" s="15">
        <f>AVERAGE(AN$11:AN30)*D$5</f>
        <v>145494282.84999999</v>
      </c>
      <c r="BI30" s="15">
        <f>AVERAGE(AR$11:AR30)*D$5</f>
        <v>67593411.200000003</v>
      </c>
    </row>
    <row r="31" spans="1:61" ht="15.75">
      <c r="A31" s="47">
        <f t="shared" si="21"/>
        <v>27</v>
      </c>
      <c r="B31" s="48" t="s">
        <v>71</v>
      </c>
      <c r="C31" s="10"/>
      <c r="D31" s="6">
        <v>282305</v>
      </c>
      <c r="E31" s="8">
        <f t="shared" si="0"/>
        <v>592</v>
      </c>
      <c r="F31" s="6">
        <v>6975</v>
      </c>
      <c r="G31" s="8">
        <f t="shared" si="1"/>
        <v>1</v>
      </c>
      <c r="H31" s="6">
        <v>48113</v>
      </c>
      <c r="I31" s="8">
        <f t="shared" si="22"/>
        <v>152</v>
      </c>
      <c r="J31" s="54">
        <v>564456</v>
      </c>
      <c r="K31" s="8">
        <f t="shared" si="22"/>
        <v>146</v>
      </c>
      <c r="L31" s="7"/>
      <c r="M31" s="11" t="e">
        <f t="shared" si="11"/>
        <v>#DIV/0!</v>
      </c>
      <c r="N31" s="6">
        <v>4904</v>
      </c>
      <c r="O31" s="8">
        <f t="shared" si="3"/>
        <v>0</v>
      </c>
      <c r="P31" s="12">
        <v>87921</v>
      </c>
      <c r="Q31" s="8">
        <f t="shared" si="4"/>
        <v>13</v>
      </c>
      <c r="R31" s="12">
        <v>30</v>
      </c>
      <c r="S31" s="8">
        <f t="shared" si="5"/>
        <v>0</v>
      </c>
      <c r="T31" s="12">
        <v>187181</v>
      </c>
      <c r="U31" s="8">
        <f t="shared" si="6"/>
        <v>36</v>
      </c>
      <c r="V31" s="13"/>
      <c r="W31" s="8"/>
      <c r="X31" s="55">
        <v>11154</v>
      </c>
      <c r="Y31" s="58"/>
      <c r="Z31" s="8">
        <f t="shared" si="12"/>
        <v>0</v>
      </c>
      <c r="AA31" s="55">
        <v>2718</v>
      </c>
      <c r="AB31" s="6"/>
      <c r="AC31" s="9">
        <f t="shared" si="13"/>
        <v>0</v>
      </c>
      <c r="AD31" s="55">
        <v>306</v>
      </c>
      <c r="AE31" s="12"/>
      <c r="AF31" s="9">
        <f t="shared" si="14"/>
        <v>0</v>
      </c>
      <c r="AG31" s="55">
        <v>1164</v>
      </c>
      <c r="AH31" s="6"/>
      <c r="AI31" s="8">
        <f t="shared" si="15"/>
        <v>0</v>
      </c>
      <c r="AJ31" s="55">
        <v>168</v>
      </c>
      <c r="AK31" s="7"/>
      <c r="AL31" s="6"/>
      <c r="AM31" s="8">
        <f t="shared" si="7"/>
        <v>0</v>
      </c>
      <c r="AN31" s="55">
        <v>622</v>
      </c>
      <c r="AO31" s="7"/>
      <c r="AP31" s="6"/>
      <c r="AQ31" s="8">
        <f t="shared" si="16"/>
        <v>0</v>
      </c>
      <c r="AR31" s="55">
        <v>296</v>
      </c>
      <c r="AS31" s="73">
        <v>3</v>
      </c>
      <c r="AT31" s="61">
        <v>15</v>
      </c>
      <c r="AU31" s="74"/>
      <c r="AV31" s="56"/>
      <c r="AW31" s="59"/>
      <c r="AX31" s="12"/>
      <c r="AY31" s="9">
        <f t="shared" si="8"/>
        <v>0</v>
      </c>
      <c r="AZ31" s="15">
        <f t="shared" si="17"/>
        <v>12764.296296296296</v>
      </c>
      <c r="BA31" s="15">
        <f t="shared" si="18"/>
        <v>99029.259259259255</v>
      </c>
      <c r="BB31" s="15">
        <f t="shared" si="19"/>
        <v>29253243.185185183</v>
      </c>
      <c r="BC31" s="15">
        <f t="shared" si="20"/>
        <v>39611.703703703701</v>
      </c>
      <c r="BD31" s="16">
        <f t="shared" si="9"/>
        <v>0</v>
      </c>
      <c r="BE31" s="71">
        <f>IF(X31&lt;&gt;0,AVERAGE(X$11:X31)*D$5,)</f>
        <v>2838571858</v>
      </c>
      <c r="BF31" s="15">
        <f>IF(AD31+AG31&lt;&gt;0,AVERAGE(AD$11:AD31)*D$5+AVERAGE(AG$11:AG31)*D$5,)</f>
        <v>370001606.66666663</v>
      </c>
      <c r="BG31" s="15">
        <f>AVERAGE(AD$11:AD31)*D$5</f>
        <v>83040278</v>
      </c>
      <c r="BH31" s="15">
        <f>AVERAGE(AN$11:AN31)*D$5</f>
        <v>146485495</v>
      </c>
      <c r="BI31" s="15">
        <f>AVERAGE(AR$11:AR31)*D$5</f>
        <v>68143448</v>
      </c>
    </row>
    <row r="32" spans="1:61" ht="16.5" thickBot="1">
      <c r="A32" s="47">
        <v>28</v>
      </c>
      <c r="B32" s="48" t="s">
        <v>71</v>
      </c>
      <c r="C32" s="10"/>
      <c r="D32" s="6">
        <v>282907</v>
      </c>
      <c r="E32" s="8">
        <f t="shared" si="0"/>
        <v>602</v>
      </c>
      <c r="F32" s="6">
        <v>6975</v>
      </c>
      <c r="G32" s="8">
        <f t="shared" si="1"/>
        <v>0</v>
      </c>
      <c r="H32" s="6">
        <v>48244</v>
      </c>
      <c r="I32" s="8">
        <f t="shared" si="22"/>
        <v>131</v>
      </c>
      <c r="J32" s="54">
        <v>564582</v>
      </c>
      <c r="K32" s="8">
        <f t="shared" si="22"/>
        <v>126</v>
      </c>
      <c r="L32" s="7"/>
      <c r="M32" s="11" t="e">
        <f t="shared" si="11"/>
        <v>#DIV/0!</v>
      </c>
      <c r="N32" s="6">
        <v>4905</v>
      </c>
      <c r="O32" s="8">
        <f t="shared" si="3"/>
        <v>1</v>
      </c>
      <c r="P32" s="12">
        <v>87935</v>
      </c>
      <c r="Q32" s="8">
        <f t="shared" si="4"/>
        <v>14</v>
      </c>
      <c r="R32" s="12">
        <v>30</v>
      </c>
      <c r="S32" s="8">
        <f t="shared" si="5"/>
        <v>0</v>
      </c>
      <c r="T32" s="12">
        <v>187212</v>
      </c>
      <c r="U32" s="8">
        <f t="shared" si="6"/>
        <v>31</v>
      </c>
      <c r="V32" s="13">
        <v>3923.38</v>
      </c>
      <c r="W32" s="8"/>
      <c r="X32" s="55">
        <v>10705</v>
      </c>
      <c r="Y32" s="58">
        <v>764.7</v>
      </c>
      <c r="Z32" s="8">
        <f t="shared" si="12"/>
        <v>1682340</v>
      </c>
      <c r="AA32" s="55">
        <v>2641</v>
      </c>
      <c r="AB32" s="6">
        <v>1697076</v>
      </c>
      <c r="AC32" s="9">
        <f t="shared" si="13"/>
        <v>1697076</v>
      </c>
      <c r="AD32" s="55">
        <v>298</v>
      </c>
      <c r="AE32" s="12">
        <v>4981382</v>
      </c>
      <c r="AF32" s="9">
        <f t="shared" si="14"/>
        <v>4981382</v>
      </c>
      <c r="AG32" s="55">
        <v>1019</v>
      </c>
      <c r="AH32" s="6">
        <v>32800</v>
      </c>
      <c r="AI32" s="8">
        <f t="shared" si="15"/>
        <v>2624000</v>
      </c>
      <c r="AJ32" s="55">
        <v>144</v>
      </c>
      <c r="AK32" s="7"/>
      <c r="AL32" s="6">
        <v>119348</v>
      </c>
      <c r="AM32" s="8">
        <f t="shared" si="7"/>
        <v>119348</v>
      </c>
      <c r="AN32" s="55">
        <v>590</v>
      </c>
      <c r="AO32" s="7"/>
      <c r="AP32" s="6">
        <v>46205</v>
      </c>
      <c r="AQ32" s="8">
        <f t="shared" si="16"/>
        <v>3696400</v>
      </c>
      <c r="AR32" s="55">
        <v>208</v>
      </c>
      <c r="AS32" s="73">
        <v>3</v>
      </c>
      <c r="AT32" s="61">
        <v>14</v>
      </c>
      <c r="AU32" s="74"/>
      <c r="AV32" s="56"/>
      <c r="AW32" s="59"/>
      <c r="AX32" s="12"/>
      <c r="AY32" s="9">
        <f t="shared" si="8"/>
        <v>0</v>
      </c>
      <c r="AZ32" s="15">
        <f t="shared" si="17"/>
        <v>12931.928571428572</v>
      </c>
      <c r="BA32" s="15">
        <f>IF(F32&lt;&gt;0,(+F32-F$10)/$A32*D$5,0)</f>
        <v>95492.5</v>
      </c>
      <c r="BB32" s="15">
        <f>IF(H32&lt;&gt;0,(+H32-H$10)/$A32*D$5,0)</f>
        <v>29459436.25</v>
      </c>
      <c r="BC32" s="15">
        <f>IF(N32&lt;&gt;0,(+N32-N$10)/$A32*D$5,0)</f>
        <v>47746.25</v>
      </c>
      <c r="BD32" s="16">
        <f>IF(V32&lt;&gt;0,(+V32-V$10)*2200/$A32*D$5,0)</f>
        <v>82423740223</v>
      </c>
      <c r="BE32" s="71">
        <f>IF(X32&lt;&gt;0,AVERAGE(X$11:X32)*D$5,)</f>
        <v>2839650055.1363635</v>
      </c>
      <c r="BF32" s="15">
        <f>IF(AD32+AG32&lt;&gt;0,AVERAGE(AD$11:AD32)*D$5+AVERAGE(AG$11:AG32)*D$5,)</f>
        <v>369189631.04545456</v>
      </c>
      <c r="BG32" s="15">
        <f>AVERAGE(AD$11:AD32)*D$5</f>
        <v>82887490</v>
      </c>
      <c r="BH32" s="15">
        <f>AVERAGE(AN$11:AN32)*D$5</f>
        <v>146997682.04545453</v>
      </c>
      <c r="BI32" s="15">
        <f>AVERAGE(AR$11:AR32)*D$5</f>
        <v>67573965.454545453</v>
      </c>
    </row>
    <row r="33" spans="1:61" ht="16.5" hidden="1" customHeight="1" thickTop="1" thickBot="1">
      <c r="A33" s="47" t="e">
        <f>1+#REF!</f>
        <v>#REF!</v>
      </c>
      <c r="B33" s="48" t="s">
        <v>71</v>
      </c>
      <c r="C33" s="8"/>
      <c r="D33" s="6"/>
      <c r="E33" s="8">
        <f>IF(ISBLANK(D33),0,D33-#REF!)</f>
        <v>0</v>
      </c>
      <c r="F33" s="6"/>
      <c r="G33" s="8">
        <f>IF(ISBLANK(F33),0,F33-#REF!)</f>
        <v>0</v>
      </c>
      <c r="H33" s="6"/>
      <c r="I33" s="8">
        <f>IF(ISBLANK(H33),0,H33-#REF!)</f>
        <v>0</v>
      </c>
      <c r="J33" s="75"/>
      <c r="K33" s="8" t="e">
        <f>J33-#REF!</f>
        <v>#REF!</v>
      </c>
      <c r="L33" s="7"/>
      <c r="M33" s="11" t="e">
        <f>I33/L33</f>
        <v>#DIV/0!</v>
      </c>
      <c r="N33" s="6"/>
      <c r="O33" s="8">
        <f>IF(ISBLANK(N33),0,N33-#REF!)</f>
        <v>0</v>
      </c>
      <c r="P33" s="12"/>
      <c r="Q33" s="8">
        <f>IF(ISBLANK(P33),0,P33-#REF!)</f>
        <v>0</v>
      </c>
      <c r="R33" s="12"/>
      <c r="S33" s="8">
        <f>IF(ISBLANK(R33),0,R33-#REF!)</f>
        <v>0</v>
      </c>
      <c r="T33" s="12"/>
      <c r="U33" s="8">
        <f>IF(ISBLANK(T33),0,T33-#REF!)</f>
        <v>0</v>
      </c>
      <c r="V33" s="13"/>
      <c r="W33" s="8">
        <f>IF(ISBLANK(V33),0,SUM(V33-#REF!)*2200)</f>
        <v>0</v>
      </c>
      <c r="X33" s="55"/>
      <c r="Y33" s="58"/>
      <c r="Z33" s="8">
        <f>IF(ISBLANK(Y33),0,Y33-#REF!)*2200</f>
        <v>0</v>
      </c>
      <c r="AA33" s="55"/>
      <c r="AB33" s="6"/>
      <c r="AC33" s="9">
        <f>IF(ISBLANK(AB33),0,SUM(AB33-#REF!))</f>
        <v>0</v>
      </c>
      <c r="AD33" s="55"/>
      <c r="AE33" s="12"/>
      <c r="AF33" s="9">
        <f>IF(ISBLANK(AE33),0,SUM(AE33-#REF!))</f>
        <v>0</v>
      </c>
      <c r="AG33" s="55"/>
      <c r="AH33" s="6"/>
      <c r="AI33" s="8">
        <f>IF(ISBLANK(AH33),0,AH33-#REF!)*80</f>
        <v>0</v>
      </c>
      <c r="AJ33" s="55">
        <v>104</v>
      </c>
      <c r="AK33" s="7"/>
      <c r="AL33" s="6"/>
      <c r="AM33" s="8">
        <f>IF(ISBLANK(AL33),0,AL33-#REF!)</f>
        <v>0</v>
      </c>
      <c r="AN33" s="55"/>
      <c r="AO33" s="7"/>
      <c r="AP33" s="6"/>
      <c r="AQ33" s="8">
        <f>IF(ISBLANK(AP33),0,AP33-#REF!)*80</f>
        <v>0</v>
      </c>
      <c r="AR33" s="55"/>
      <c r="AS33" s="14"/>
      <c r="AT33" s="14"/>
      <c r="AU33" s="7"/>
      <c r="AV33" s="76">
        <v>58.805999999999997</v>
      </c>
      <c r="AW33" s="59" t="e">
        <f>IF(ISBLANK(AV33),0,AV33-#REF!)</f>
        <v>#REF!</v>
      </c>
      <c r="AY33" s="70" t="e">
        <f>1+#REF!</f>
        <v>#REF!</v>
      </c>
      <c r="AZ33" s="15">
        <f>IF(D33&lt;&gt;0,(+D33-D$10)/A33*29,0)</f>
        <v>0</v>
      </c>
      <c r="BA33" s="15">
        <f>IF(F33&lt;&gt;0,(+F33-F$10)/$A33*29,0)</f>
        <v>0</v>
      </c>
      <c r="BB33" s="15">
        <f>IF(H33&lt;&gt;0,(+H33-H$10)/$A33*29,0)</f>
        <v>0</v>
      </c>
      <c r="BC33" s="15">
        <f>IF(N33&lt;&gt;0,(+N33-N$10)/$A33*29,0)</f>
        <v>0</v>
      </c>
      <c r="BD33" s="16">
        <f>IF(V33&lt;&gt;0,(+V33-V$10)*2200/$A33*29,0)</f>
        <v>0</v>
      </c>
      <c r="BE33" s="71">
        <f>IF(X33&lt;&gt;0,AVERAGE(X$11:X33)*29,)</f>
        <v>0</v>
      </c>
      <c r="BF33" s="15">
        <f>IF(AD33+AG33&lt;&gt;0,AVERAGE(AD$11:AD33)*29+AVERAGE(AG$11:AG33)*29,)</f>
        <v>0</v>
      </c>
      <c r="BG33" s="15">
        <f>AVERAGE(AD$11:AD33)*29</f>
        <v>8990</v>
      </c>
      <c r="BH33" s="15">
        <f>AVERAGE(AN$11:AN33)*29</f>
        <v>15943.40909090909</v>
      </c>
      <c r="BI33" s="15">
        <f>AVERAGE(AR$11:AR33)*29</f>
        <v>7329.090909090909</v>
      </c>
    </row>
    <row r="34" spans="1:61" ht="16.5" hidden="1" customHeight="1" thickTop="1" thickBot="1">
      <c r="A34" s="47" t="e">
        <f>1+A33</f>
        <v>#REF!</v>
      </c>
      <c r="B34" s="48" t="s">
        <v>71</v>
      </c>
      <c r="C34" s="10"/>
      <c r="D34" s="6"/>
      <c r="E34" s="8">
        <f>IF(ISBLANK(D34),0,D34-D33)</f>
        <v>0</v>
      </c>
      <c r="F34" s="6"/>
      <c r="G34" s="8">
        <f>IF(ISBLANK(F34),0,F34-F33)</f>
        <v>0</v>
      </c>
      <c r="H34" s="6"/>
      <c r="I34" s="8">
        <f>IF(ISBLANK(H34),0,H34-H33)</f>
        <v>0</v>
      </c>
      <c r="J34" s="75"/>
      <c r="K34" s="8">
        <f>J34-J33</f>
        <v>0</v>
      </c>
      <c r="L34" s="7"/>
      <c r="M34" s="11" t="e">
        <f>I34/L34</f>
        <v>#DIV/0!</v>
      </c>
      <c r="N34" s="6"/>
      <c r="O34" s="8">
        <f>IF(ISBLANK(N34),0,N34-N33)</f>
        <v>0</v>
      </c>
      <c r="P34" s="12"/>
      <c r="Q34" s="8">
        <f>IF(ISBLANK(P34),0,P34-P33)</f>
        <v>0</v>
      </c>
      <c r="R34" s="12"/>
      <c r="S34" s="8">
        <f>IF(ISBLANK(R34),0,R34-R33)</f>
        <v>0</v>
      </c>
      <c r="T34" s="12"/>
      <c r="U34" s="8">
        <f>IF(ISBLANK(T34),0,T34-T33)</f>
        <v>0</v>
      </c>
      <c r="V34" s="13"/>
      <c r="W34" s="8">
        <f>IF(ISBLANK(V34),0,SUM(V34-V33)*2200)</f>
        <v>0</v>
      </c>
      <c r="X34" s="55"/>
      <c r="Y34" s="58"/>
      <c r="Z34" s="8">
        <f>IF(ISBLANK(Y34),0,Y34-Y33)*2200</f>
        <v>0</v>
      </c>
      <c r="AA34" s="55"/>
      <c r="AB34" s="6"/>
      <c r="AC34" s="9">
        <f>IF(ISBLANK(AB34),0,SUM(AB34-AB33))</f>
        <v>0</v>
      </c>
      <c r="AD34" s="55"/>
      <c r="AE34" s="12"/>
      <c r="AF34" s="9">
        <f>IF(ISBLANK(AE34),0,SUM(AE34-AE33))</f>
        <v>0</v>
      </c>
      <c r="AG34" s="55"/>
      <c r="AH34" s="6"/>
      <c r="AI34" s="8">
        <f>IF(ISBLANK(AH34),0,AH34-AH33)*80</f>
        <v>0</v>
      </c>
      <c r="AJ34" s="55">
        <v>96</v>
      </c>
      <c r="AK34" s="7"/>
      <c r="AL34" s="6"/>
      <c r="AM34" s="8">
        <f>IF(ISBLANK(AL34),0,AL34-AL33)</f>
        <v>0</v>
      </c>
      <c r="AN34" s="55"/>
      <c r="AO34" s="7"/>
      <c r="AP34" s="6"/>
      <c r="AQ34" s="8">
        <f>IF(ISBLANK(AP34),0,AP34-AP33)*80</f>
        <v>0</v>
      </c>
      <c r="AR34" s="55"/>
      <c r="AS34" s="14"/>
      <c r="AT34" s="14"/>
      <c r="AU34" s="77"/>
      <c r="AV34" s="76">
        <v>58.805999999999997</v>
      </c>
      <c r="AW34" s="59"/>
      <c r="AY34" s="70" t="e">
        <f>1+AY33</f>
        <v>#REF!</v>
      </c>
      <c r="AZ34" s="15"/>
      <c r="BA34" s="15"/>
      <c r="BB34" s="15"/>
      <c r="BC34" s="15"/>
      <c r="BD34" s="16"/>
      <c r="BE34" s="15"/>
      <c r="BF34" s="15"/>
      <c r="BG34" s="16"/>
      <c r="BH34" s="16"/>
      <c r="BI34" s="16"/>
    </row>
    <row r="35" spans="1:61" ht="16.5" hidden="1" customHeight="1" thickBot="1">
      <c r="A35" s="47" t="e">
        <f>1+A34</f>
        <v>#REF!</v>
      </c>
      <c r="B35" s="48" t="s">
        <v>71</v>
      </c>
      <c r="C35" s="10"/>
      <c r="D35" s="6"/>
      <c r="E35" s="8">
        <f>IF(ISBLANK(D35),0,D35-D34)</f>
        <v>0</v>
      </c>
      <c r="F35" s="6"/>
      <c r="G35" s="8">
        <f>IF(ISBLANK(F35),0,F35-F34)</f>
        <v>0</v>
      </c>
      <c r="H35" s="6"/>
      <c r="I35" s="8">
        <f>IF(ISBLANK(H35),0,H35-H34)</f>
        <v>0</v>
      </c>
      <c r="J35" s="75"/>
      <c r="K35" s="8">
        <f>J35-J34</f>
        <v>0</v>
      </c>
      <c r="L35" s="7"/>
      <c r="M35" s="11" t="e">
        <f>I35/L35</f>
        <v>#DIV/0!</v>
      </c>
      <c r="N35" s="6"/>
      <c r="O35" s="8">
        <f>IF(ISBLANK(N35),0,N35-N34)</f>
        <v>0</v>
      </c>
      <c r="P35" s="78"/>
      <c r="Q35" s="8">
        <f>IF(ISBLANK(P35),0,P35-P34)</f>
        <v>0</v>
      </c>
      <c r="R35" s="12"/>
      <c r="S35" s="8">
        <f>IF(ISBLANK(R35),0,R35-R34)</f>
        <v>0</v>
      </c>
      <c r="T35" s="12"/>
      <c r="U35" s="8">
        <f>IF(ISBLANK(T35),0,T35-T34)</f>
        <v>0</v>
      </c>
      <c r="V35" s="13"/>
      <c r="W35" s="8">
        <f>IF(ISBLANK(V35),0,SUM(V35-V34)*2200)</f>
        <v>0</v>
      </c>
      <c r="X35" s="79"/>
      <c r="Y35" s="58"/>
      <c r="Z35" s="8">
        <f>IF(ISBLANK(Y35),0,Y35-Y34)*2200</f>
        <v>0</v>
      </c>
      <c r="AA35" s="55"/>
      <c r="AB35" s="6"/>
      <c r="AC35" s="9">
        <f>IF(ISBLANK(AB35),0,SUM(AB35-AB34))</f>
        <v>0</v>
      </c>
      <c r="AD35" s="55"/>
      <c r="AE35" s="12"/>
      <c r="AF35" s="9">
        <f>IF(ISBLANK(AE35),0,SUM(AE35-AE34))</f>
        <v>0</v>
      </c>
      <c r="AG35" s="55"/>
      <c r="AH35" s="6"/>
      <c r="AI35" s="8">
        <f>IF(ISBLANK(AH35),0,AH35-AH34)*80</f>
        <v>0</v>
      </c>
      <c r="AJ35" s="55">
        <v>120</v>
      </c>
      <c r="AK35" s="7"/>
      <c r="AL35" s="6"/>
      <c r="AM35" s="8">
        <f>IF(ISBLANK(AL35),0,AL35-AL34)</f>
        <v>0</v>
      </c>
      <c r="AN35" s="55"/>
      <c r="AO35" s="7"/>
      <c r="AP35" s="6"/>
      <c r="AQ35" s="8">
        <f>IF(ISBLANK(AP35),0,AP35-AP34)*80</f>
        <v>0</v>
      </c>
      <c r="AR35" s="55"/>
      <c r="AS35" s="14"/>
      <c r="AT35" s="14"/>
      <c r="AU35" s="7"/>
      <c r="AV35" s="76">
        <v>58.805999999999997</v>
      </c>
      <c r="AW35" s="59"/>
      <c r="AY35" s="70" t="e">
        <f>1+AY34</f>
        <v>#REF!</v>
      </c>
      <c r="AZ35" s="15"/>
      <c r="BA35" s="15"/>
      <c r="BB35" s="15"/>
      <c r="BC35" s="15"/>
      <c r="BD35" s="16"/>
      <c r="BE35" s="15"/>
      <c r="BF35" s="15"/>
      <c r="BG35" s="16"/>
      <c r="BH35" s="16"/>
      <c r="BI35" s="16"/>
    </row>
    <row r="36" spans="1:61" ht="16.5" customHeight="1" thickTop="1" thickBot="1">
      <c r="A36" s="49" t="s">
        <v>73</v>
      </c>
      <c r="C36" s="17"/>
      <c r="D36" s="18">
        <f>D32-D4</f>
        <v>16159</v>
      </c>
      <c r="F36" s="18">
        <f>F32-F4</f>
        <v>12</v>
      </c>
      <c r="G36" s="2"/>
      <c r="H36" s="18">
        <f>H32-H4</f>
        <v>3829</v>
      </c>
      <c r="I36" s="2"/>
      <c r="J36" s="2"/>
      <c r="K36" s="2"/>
      <c r="L36" s="2"/>
      <c r="M36" s="2"/>
      <c r="N36" s="18">
        <f>N32-N4</f>
        <v>6</v>
      </c>
      <c r="O36" s="2"/>
      <c r="P36" s="18">
        <f>P32-P4</f>
        <v>318</v>
      </c>
      <c r="Q36" s="2"/>
      <c r="R36" s="18">
        <f>R32-R4</f>
        <v>6</v>
      </c>
      <c r="S36" s="2"/>
      <c r="T36" s="18">
        <f>T32-T4</f>
        <v>915</v>
      </c>
      <c r="U36" s="2"/>
      <c r="V36" s="80">
        <f>SUM(+V32-V4)*2200</f>
        <v>324236.00000000023</v>
      </c>
      <c r="W36" s="2"/>
      <c r="X36" s="81">
        <f>SUM(X5:X32)</f>
        <v>293474</v>
      </c>
      <c r="Y36" s="18">
        <f>Y32-Y4</f>
        <v>43.379999999999995</v>
      </c>
      <c r="Z36" s="2"/>
      <c r="AA36" s="81">
        <f>SUM(AA5:AA32)</f>
        <v>70711</v>
      </c>
      <c r="AB36" s="18">
        <f>AB32-AB4</f>
        <v>8672</v>
      </c>
      <c r="AC36" s="2"/>
      <c r="AD36" s="81">
        <f>SUM(AD5:AD32)</f>
        <v>8665</v>
      </c>
      <c r="AE36" s="18">
        <f>AE32-AE4</f>
        <v>29939</v>
      </c>
      <c r="AF36" s="2"/>
      <c r="AG36" s="81">
        <f>SUM(AG5:AG32)</f>
        <v>29916</v>
      </c>
      <c r="AH36" s="18">
        <f>SUM(AH32-AH4)</f>
        <v>0</v>
      </c>
      <c r="AI36" s="2"/>
      <c r="AJ36" s="81">
        <f>SUM(AJ5:AJ32)</f>
        <v>4424</v>
      </c>
      <c r="AK36" s="2"/>
      <c r="AL36" s="18">
        <f>AL32-AL4</f>
        <v>15126</v>
      </c>
      <c r="AM36" s="2"/>
      <c r="AN36" s="81">
        <f>SUM(AN5:AN32)</f>
        <v>15118</v>
      </c>
      <c r="AO36" s="2"/>
      <c r="AP36" s="18">
        <f>AP32-AP4</f>
        <v>84</v>
      </c>
      <c r="AQ36" s="2"/>
      <c r="AR36" s="81">
        <f>SUM(AR5:AR32)</f>
        <v>6728</v>
      </c>
      <c r="AS36" s="82">
        <f>AVERAGE(AS5:AS32)</f>
        <v>3.8076923076923075</v>
      </c>
      <c r="AT36" s="82">
        <f>AVERAGE(AT5:AT32)</f>
        <v>13.384615384615385</v>
      </c>
      <c r="AU36" s="19">
        <f>SUM(AU5:AU32)</f>
        <v>0</v>
      </c>
      <c r="AW36" s="1">
        <f>SUM(AV5:AV32)</f>
        <v>0</v>
      </c>
      <c r="AY36" s="20"/>
      <c r="AZ36" s="21"/>
      <c r="BA36" s="21"/>
      <c r="BB36" s="21"/>
      <c r="BC36" s="21"/>
      <c r="BD36" s="22"/>
      <c r="BE36" s="83"/>
      <c r="BF36" s="36"/>
      <c r="BG36" s="84"/>
      <c r="BH36" s="22"/>
      <c r="BI36" s="22"/>
    </row>
    <row r="37" spans="1:61" s="86" customFormat="1" ht="16.5" customHeight="1" thickTop="1" thickBot="1">
      <c r="A37" s="85" t="s">
        <v>74</v>
      </c>
      <c r="D37" s="87" t="s">
        <v>75</v>
      </c>
      <c r="E37" s="88"/>
      <c r="F37" s="87" t="s">
        <v>75</v>
      </c>
      <c r="G37" s="88"/>
      <c r="H37" s="87" t="s">
        <v>75</v>
      </c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7" t="s">
        <v>75</v>
      </c>
      <c r="Y37" s="88"/>
      <c r="Z37" s="88"/>
      <c r="AA37" s="88"/>
      <c r="AB37" s="106">
        <f>AD36+AG36</f>
        <v>38581</v>
      </c>
      <c r="AC37" s="107"/>
      <c r="AD37" s="107"/>
      <c r="AE37" s="108"/>
      <c r="AF37" s="88"/>
      <c r="AG37" s="46">
        <f>AD36+AG36</f>
        <v>38581</v>
      </c>
      <c r="AH37" s="88"/>
      <c r="AI37" s="46">
        <f>AB37+AH36</f>
        <v>38581</v>
      </c>
      <c r="AJ37" s="23">
        <f>AB37+AJ36</f>
        <v>43005</v>
      </c>
      <c r="AK37" s="88"/>
      <c r="AL37" s="88"/>
      <c r="AM37" s="88"/>
      <c r="AN37" s="88"/>
      <c r="AO37" s="88"/>
      <c r="AP37" s="88"/>
      <c r="AQ37" s="88"/>
      <c r="AR37" s="88"/>
      <c r="AS37" s="89" t="s">
        <v>76</v>
      </c>
      <c r="AT37" s="88"/>
      <c r="AU37" s="88"/>
    </row>
    <row r="38" spans="1:61" ht="17.25" thickTop="1" thickBot="1">
      <c r="A38" s="45"/>
      <c r="B38" s="45"/>
      <c r="C38" s="25"/>
      <c r="D38" s="18"/>
      <c r="E38" s="26"/>
      <c r="F38" s="18"/>
      <c r="G38" s="26"/>
      <c r="H38" s="18"/>
      <c r="I38" s="26"/>
      <c r="J38" s="26"/>
      <c r="K38" s="26"/>
      <c r="L38" s="25"/>
      <c r="M38" s="25"/>
      <c r="N38" s="18"/>
      <c r="O38" s="26"/>
      <c r="P38" s="26"/>
      <c r="Q38" s="26"/>
      <c r="R38" s="26"/>
      <c r="S38" s="26"/>
      <c r="T38" s="26"/>
      <c r="U38" s="26"/>
      <c r="V38" s="18"/>
      <c r="Y38" s="1"/>
      <c r="AB38" s="1"/>
    </row>
    <row r="39" spans="1:61" ht="16.5" thickTop="1">
      <c r="A39" s="2"/>
    </row>
    <row r="40" spans="1:61" ht="15" customHeight="1">
      <c r="A40" s="2"/>
    </row>
    <row r="41" spans="1:61" ht="16.5" customHeight="1">
      <c r="A41" s="2"/>
    </row>
  </sheetData>
  <mergeCells count="32">
    <mergeCell ref="BI1:BI3"/>
    <mergeCell ref="AU3:AV3"/>
    <mergeCell ref="BC1:BC3"/>
    <mergeCell ref="BD1:BD3"/>
    <mergeCell ref="AW1:AW2"/>
    <mergeCell ref="BH1:BH3"/>
    <mergeCell ref="AX1:AY2"/>
    <mergeCell ref="BA1:BA3"/>
    <mergeCell ref="AV1:AV2"/>
    <mergeCell ref="AU1:AU2"/>
    <mergeCell ref="AZ1:AZ3"/>
    <mergeCell ref="BE1:BE3"/>
    <mergeCell ref="BF1:BF3"/>
    <mergeCell ref="BG1:BG3"/>
    <mergeCell ref="T1:U2"/>
    <mergeCell ref="P1:Q2"/>
    <mergeCell ref="R1:S2"/>
    <mergeCell ref="AP1:AR2"/>
    <mergeCell ref="AS1:AT2"/>
    <mergeCell ref="V1:X2"/>
    <mergeCell ref="Y1:AA2"/>
    <mergeCell ref="AH1:AK2"/>
    <mergeCell ref="A1:C2"/>
    <mergeCell ref="D1:E2"/>
    <mergeCell ref="F1:G2"/>
    <mergeCell ref="H1:M2"/>
    <mergeCell ref="N1:O2"/>
    <mergeCell ref="AB37:AE37"/>
    <mergeCell ref="AL1:AO2"/>
    <mergeCell ref="BB1:BB3"/>
    <mergeCell ref="AB1:AD2"/>
    <mergeCell ref="AE1:A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E50A5-3B64-4E88-9C1B-410E837EF9D7}"/>
</file>

<file path=customXml/itemProps2.xml><?xml version="1.0" encoding="utf-8"?>
<ds:datastoreItem xmlns:ds="http://schemas.openxmlformats.org/officeDocument/2006/customXml" ds:itemID="{4AB94E35-CE1A-4E49-87D8-639AAF896BEB}"/>
</file>

<file path=customXml/itemProps3.xml><?xml version="1.0" encoding="utf-8"?>
<ds:datastoreItem xmlns:ds="http://schemas.openxmlformats.org/officeDocument/2006/customXml" ds:itemID="{F9E7D16B-8C84-4968-9047-85259B791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2023-03-08T09:52:10Z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2417000.00000000</vt:lpwstr>
  </property>
  <property fmtid="{D5CDD505-2E9C-101B-9397-08002B2CF9AE}" pid="4" name="display_urn:schemas-microsoft-com:office:office#Author">
    <vt:lpwstr>Gilberto Moretti</vt:lpwstr>
  </property>
</Properties>
</file>