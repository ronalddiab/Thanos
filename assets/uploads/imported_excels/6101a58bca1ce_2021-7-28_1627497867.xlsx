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26" i="7" l="1"/>
  <c r="T27" i="7"/>
  <c r="T28" i="7"/>
  <c r="T29" i="7"/>
  <c r="T30" i="7"/>
  <c r="T31" i="7"/>
  <c r="T32" i="7"/>
  <c r="T33" i="7"/>
  <c r="T34" i="7"/>
  <c r="T22" i="7" l="1"/>
  <c r="T23" i="7"/>
  <c r="T24" i="7"/>
  <c r="T25" i="7"/>
  <c r="T21" i="7"/>
  <c r="AV18" i="7" l="1"/>
  <c r="AV19" i="7"/>
  <c r="AV20" i="7"/>
  <c r="R19" i="7"/>
  <c r="L11" i="7" l="1"/>
  <c r="CJ10" i="7" l="1"/>
  <c r="D7" i="7" l="1"/>
  <c r="AN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E5" i="6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6" i="6" l="1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<sst xmlns="http://schemas.openxmlformats.org/spreadsheetml/2006/main" count="313" uniqueCount="148">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</sst>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7" fillId="2" borderId="3" xfId="2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7" sqref="M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2021</v>
      </c>
      <c r="E2" s="12">
        <f>Submetering!E2+Submetering!F2+Submetering!G2+Submetering!H2+Submetering!J2-Submetering!AV2</f>
        <v>7360.0000000002765</v>
      </c>
      <c r="F2" s="11">
        <v>0.58765030286592534</v>
      </c>
      <c r="G2" s="12">
        <f>(Submetering!AX2+Submetering!AY2+Submetering!AZ2+Submetering!BA2+Submetering!BB2)</f>
        <v>23.809499999999996</v>
      </c>
      <c r="H2" s="11">
        <v>0.99</v>
      </c>
      <c r="I2" s="12">
        <f>'FS Desroches Daily'!CM4</f>
        <v>52.800000000001091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2021</v>
      </c>
      <c r="E3" s="12">
        <f>Submetering!E3+Submetering!F3+Submetering!G3+Submetering!H3+Submetering!J3-Submetering!AV3</f>
        <v>8029.999999999528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67.399999999999636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2021</v>
      </c>
      <c r="E4" s="12">
        <f>Submetering!E4+Submetering!F4+Submetering!G4+Submetering!H4+Submetering!J4-Submetering!AV4</f>
        <v>8350.0000000002492</v>
      </c>
      <c r="F4" s="11">
        <f t="shared" ref="F4:F32" si="1">F3</f>
        <v>0.58765030286592534</v>
      </c>
      <c r="G4" s="12">
        <f>(Submetering!AX4+Submetering!AY4+Submetering!AZ4+Submetering!BA4+Submetering!BB4)</f>
        <v>31.1355</v>
      </c>
      <c r="H4" s="11">
        <f t="shared" ref="H4:H32" si="2">H3</f>
        <v>0.99</v>
      </c>
      <c r="I4" s="12">
        <f>'FS Desroches Daily'!CM6</f>
        <v>67.399999999999636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2021</v>
      </c>
      <c r="E5" s="12">
        <f>Submetering!E5+Submetering!F5+Submetering!G5+Submetering!H5+Submetering!J5-Submetering!AV5</f>
        <v>8479.9999999999163</v>
      </c>
      <c r="F5" s="11">
        <f t="shared" si="1"/>
        <v>0.58765030286592534</v>
      </c>
      <c r="G5" s="12">
        <f>(Submetering!AX5+Submetering!AY5+Submetering!AZ5+Submetering!BA5+Submetering!BB5)</f>
        <v>20.146499999999996</v>
      </c>
      <c r="H5" s="11">
        <f t="shared" si="2"/>
        <v>0.99</v>
      </c>
      <c r="I5" s="12">
        <f>'FS Desroches Daily'!CM7</f>
        <v>60.600000000000364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2021</v>
      </c>
      <c r="E6" s="12">
        <f>Submetering!E6+Submetering!F6+Submetering!G6+Submetering!H6+Submetering!J6-Submetering!AV6</f>
        <v>8529.9999999997272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64.700000000000728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2021</v>
      </c>
      <c r="E7" s="12">
        <f>Submetering!E7+Submetering!F7+Submetering!G7+Submetering!H7+Submetering!J7-Submetering!AV7</f>
        <v>8039.9999999998827</v>
      </c>
      <c r="F7" s="11">
        <f t="shared" si="1"/>
        <v>0.58765030286592534</v>
      </c>
      <c r="G7" s="12">
        <f>(Submetering!AX7+Submetering!AY7+Submetering!AZ7+Submetering!BA7+Submetering!BB7)</f>
        <v>25.640999999999998</v>
      </c>
      <c r="H7" s="11">
        <f t="shared" si="2"/>
        <v>0.99</v>
      </c>
      <c r="I7" s="12">
        <f>'FS Desroches Daily'!CM9</f>
        <v>66.099999999998545</v>
      </c>
      <c r="J7" s="11">
        <f t="shared" si="3"/>
        <v>10.487297712684205</v>
      </c>
      <c r="K7" s="13">
        <f>'FS Desroches Daily'!CN9</f>
        <v>11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2021</v>
      </c>
      <c r="E8" s="12">
        <f>Submetering!E8+Submetering!F8+Submetering!G8+Submetering!H8+Submetering!J8-Submetering!AV8</f>
        <v>8390.0000000003274</v>
      </c>
      <c r="F8" s="11">
        <f t="shared" si="1"/>
        <v>0.58765030286592534</v>
      </c>
      <c r="G8" s="12">
        <f>(Submetering!AX8+Submetering!AY8+Submetering!AZ8+Submetering!BA8+Submetering!BB8)</f>
        <v>43.955999999999996</v>
      </c>
      <c r="H8" s="11">
        <f t="shared" si="2"/>
        <v>0.99</v>
      </c>
      <c r="I8" s="12">
        <f>'FS Desroches Daily'!CM10</f>
        <v>58.200000000000728</v>
      </c>
      <c r="J8" s="11">
        <f t="shared" si="3"/>
        <v>10.487297712684205</v>
      </c>
      <c r="K8" s="13">
        <f>'FS Desroches Daily'!CN10</f>
        <v>14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2021</v>
      </c>
      <c r="E9" s="12">
        <f>Submetering!E9+Submetering!F9+Submetering!G9+Submetering!H9+Submetering!J9-Submetering!AV9</f>
        <v>8299.9999999997781</v>
      </c>
      <c r="F9" s="11">
        <f t="shared" si="1"/>
        <v>0.58765030286592534</v>
      </c>
      <c r="G9" s="12">
        <f>(Submetering!AX9+Submetering!AY9+Submetering!AZ9+Submetering!BA9+Submetering!BB9)</f>
        <v>38.461499999999994</v>
      </c>
      <c r="H9" s="11">
        <f t="shared" si="2"/>
        <v>0.99</v>
      </c>
      <c r="I9" s="12">
        <f>'FS Desroches Daily'!CM11</f>
        <v>76.299999999999272</v>
      </c>
      <c r="J9" s="11">
        <f t="shared" si="3"/>
        <v>10.487297712684205</v>
      </c>
      <c r="K9" s="13">
        <f>'FS Desroches Daily'!CN11</f>
        <v>12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2021</v>
      </c>
      <c r="E10" s="12">
        <f>Submetering!E10+Submetering!F10+Submetering!G10+Submetering!H10+Submetering!J10-Submetering!AV10</f>
        <v>8810.0000000004839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73.900000000001455</v>
      </c>
      <c r="J10" s="11">
        <f t="shared" si="3"/>
        <v>10.487297712684205</v>
      </c>
      <c r="K10" s="13">
        <f>'FS Desroches Daily'!CN12</f>
        <v>12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2021</v>
      </c>
      <c r="E11" s="12">
        <f>Submetering!E11+Submetering!F11+Submetering!G11+Submetering!H11+Submetering!J11-Submetering!AV11</f>
        <v>9029.9999999997472</v>
      </c>
      <c r="F11" s="11">
        <f t="shared" si="1"/>
        <v>0.58765030286592534</v>
      </c>
      <c r="G11" s="12">
        <f>(Submetering!AX11+Submetering!AY11+Submetering!AZ11+Submetering!BA11+Submetering!BB11)</f>
        <v>25.640999999999998</v>
      </c>
      <c r="H11" s="11">
        <f t="shared" si="2"/>
        <v>0.99</v>
      </c>
      <c r="I11" s="12">
        <f>'FS Desroches Daily'!CM13</f>
        <v>76.799999999999272</v>
      </c>
      <c r="J11" s="11">
        <f t="shared" si="3"/>
        <v>10.487297712684205</v>
      </c>
      <c r="K11" s="13">
        <f>'FS Desroches Daily'!CN13</f>
        <v>14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2021</v>
      </c>
      <c r="E12" s="12">
        <f>Submetering!E12+Submetering!F12+Submetering!G12+Submetering!H12+Submetering!J12-Submetering!AV12</f>
        <v>8639.9999999999272</v>
      </c>
      <c r="F12" s="11">
        <f t="shared" si="1"/>
        <v>0.58765030286592534</v>
      </c>
      <c r="G12" s="12">
        <f>(Submetering!AX12+Submetering!AY12+Submetering!AZ12+Submetering!BA12+Submetering!BB12)</f>
        <v>25.640999999999998</v>
      </c>
      <c r="H12" s="11">
        <f t="shared" si="2"/>
        <v>0.99</v>
      </c>
      <c r="I12" s="12">
        <f>'FS Desroches Daily'!CM14</f>
        <v>78</v>
      </c>
      <c r="J12" s="11">
        <f t="shared" si="3"/>
        <v>10.487297712684205</v>
      </c>
      <c r="K12" s="13">
        <f>'FS Desroches Daily'!CN14</f>
        <v>13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2021</v>
      </c>
      <c r="E13" s="12">
        <f>Submetering!E13+Submetering!F13+Submetering!G13+Submetering!H13+Submetering!J13-Submetering!AV13</f>
        <v>8900.00000000004</v>
      </c>
      <c r="F13" s="11">
        <f t="shared" si="1"/>
        <v>0.58765030286592534</v>
      </c>
      <c r="G13" s="12">
        <f>(Submetering!AX13+Submetering!AY13+Submetering!AZ13+Submetering!BA13+Submetering!BB13)</f>
        <v>18.314999999999998</v>
      </c>
      <c r="H13" s="11">
        <f t="shared" si="2"/>
        <v>0.99</v>
      </c>
      <c r="I13" s="12">
        <f>'FS Desroches Daily'!CM15</f>
        <v>61.299999999999272</v>
      </c>
      <c r="J13" s="11">
        <f t="shared" si="3"/>
        <v>10.487297712684205</v>
      </c>
      <c r="K13" s="13">
        <f>'FS Desroches Daily'!CN15</f>
        <v>13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2021</v>
      </c>
      <c r="E14" s="12">
        <f>Submetering!E14+Submetering!F14+Submetering!G14+Submetering!H14+Submetering!J14-Submetering!AV14</f>
        <v>8589.9999999996726</v>
      </c>
      <c r="F14" s="11">
        <f t="shared" si="1"/>
        <v>0.58765030286592534</v>
      </c>
      <c r="G14" s="12">
        <f>(Submetering!AX14+Submetering!AY14+Submetering!AZ14+Submetering!BA14+Submetering!BB14)</f>
        <v>9979.8435000000009</v>
      </c>
      <c r="H14" s="11">
        <f t="shared" si="2"/>
        <v>0.99</v>
      </c>
      <c r="I14" s="12">
        <f>'FS Desroches Daily'!CM16</f>
        <v>71.700000000000728</v>
      </c>
      <c r="J14" s="11">
        <f t="shared" si="3"/>
        <v>10.487297712684205</v>
      </c>
      <c r="K14" s="13">
        <f>'FS Desroches Daily'!CN16</f>
        <v>13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2021</v>
      </c>
      <c r="E15" s="12">
        <f>Submetering!E15+Submetering!F15+Submetering!G15+Submetering!H15+Submetering!J15-Submetering!AV15</f>
        <v>8390.0000000003274</v>
      </c>
      <c r="F15" s="11">
        <f t="shared" si="1"/>
        <v>0.58765030286592534</v>
      </c>
      <c r="G15" s="12">
        <f>(Submetering!AX15+Submetering!AY15+Submetering!AZ15+Submetering!BA15+Submetering!BB15)</f>
        <v>23.809499999999996</v>
      </c>
      <c r="H15" s="11">
        <f t="shared" si="2"/>
        <v>0.99</v>
      </c>
      <c r="I15" s="12">
        <f>'FS Desroches Daily'!CM17</f>
        <v>68</v>
      </c>
      <c r="J15" s="11">
        <f t="shared" si="3"/>
        <v>10.487297712684205</v>
      </c>
      <c r="K15" s="13">
        <f>'FS Desroches Daily'!CN17</f>
        <v>16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2021</v>
      </c>
      <c r="E16" s="12">
        <f>Submetering!E16+Submetering!F16+Submetering!G16+Submetering!H16+Submetering!J16-Submetering!AV16</f>
        <v>8590.0000000000837</v>
      </c>
      <c r="F16" s="11">
        <f t="shared" si="1"/>
        <v>0.58765030286592534</v>
      </c>
      <c r="G16" s="12">
        <f>(Submetering!AX16+Submetering!AY16+Submetering!AZ16+Submetering!BA16+Submetering!BB16)</f>
        <v>23.809499999999996</v>
      </c>
      <c r="H16" s="11">
        <f t="shared" si="2"/>
        <v>0.99</v>
      </c>
      <c r="I16" s="12">
        <f>'FS Desroches Daily'!CM18</f>
        <v>77</v>
      </c>
      <c r="J16" s="11">
        <f t="shared" si="3"/>
        <v>10.487297712684205</v>
      </c>
      <c r="K16" s="13">
        <f>'FS Desroches Daily'!CN18</f>
        <v>15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2021</v>
      </c>
      <c r="E17" s="12">
        <f>Submetering!E17+Submetering!F17+Submetering!G17+Submetering!H17+Submetering!J17-Submetering!AV17</f>
        <v>8689.9999999999309</v>
      </c>
      <c r="F17" s="11">
        <f t="shared" si="1"/>
        <v>0.58765030286592534</v>
      </c>
      <c r="G17" s="12">
        <f>(Submetering!AX17+Submetering!AY17+Submetering!AZ17+Submetering!BA17+Submetering!BB17)</f>
        <v>29.303999999999995</v>
      </c>
      <c r="H17" s="11">
        <f t="shared" si="2"/>
        <v>0.99</v>
      </c>
      <c r="I17" s="12">
        <f>'FS Desroches Daily'!CM19</f>
        <v>87</v>
      </c>
      <c r="J17" s="11">
        <f t="shared" si="3"/>
        <v>10.487297712684205</v>
      </c>
      <c r="K17" s="13">
        <f>'FS Desroches Daily'!CN19</f>
        <v>15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2021</v>
      </c>
      <c r="E18" s="12">
        <f>Submetering!E18+Submetering!F18+Submetering!G18+Submetering!H18+Submetering!J18-Submetering!AV18</f>
        <v>8810.0000000002656</v>
      </c>
      <c r="F18" s="11">
        <f t="shared" si="1"/>
        <v>0.58765030286592534</v>
      </c>
      <c r="G18" s="12">
        <f>(Submetering!AX18+Submetering!AY18+Submetering!AZ18+Submetering!BA18+Submetering!BB18)</f>
        <v>29.303999999999998</v>
      </c>
      <c r="H18" s="11">
        <f t="shared" si="2"/>
        <v>0.99</v>
      </c>
      <c r="I18" s="12">
        <f>'FS Desroches Daily'!CM20</f>
        <v>58</v>
      </c>
      <c r="J18" s="11">
        <f t="shared" si="3"/>
        <v>10.487297712684205</v>
      </c>
      <c r="K18" s="13">
        <f>'FS Desroches Daily'!CN20</f>
        <v>13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2021</v>
      </c>
      <c r="E19" s="12">
        <f>Submetering!E19+Submetering!F19+Submetering!G19+Submetering!H19+Submetering!J19-Submetering!AV19</f>
        <v>8859.9999999998545</v>
      </c>
      <c r="F19" s="11">
        <f t="shared" si="1"/>
        <v>0.58765030286592534</v>
      </c>
      <c r="G19" s="12">
        <f>(Submetering!AX19+Submetering!AY19+Submetering!AZ19+Submetering!BA19+Submetering!BB19)</f>
        <v>23.8095</v>
      </c>
      <c r="H19" s="11">
        <f t="shared" si="2"/>
        <v>0.99</v>
      </c>
      <c r="I19" s="12">
        <f>'FS Desroches Daily'!CM21</f>
        <v>69</v>
      </c>
      <c r="J19" s="11">
        <f t="shared" si="3"/>
        <v>10.487297712684205</v>
      </c>
      <c r="K19" s="13">
        <f>'FS Desroches Daily'!CN21</f>
        <v>15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2021</v>
      </c>
      <c r="E20" s="12">
        <f>Submetering!E20+Submetering!F20+Submetering!G20+Submetering!H20+Submetering!J20-Submetering!AV20</f>
        <v>8550.0000000001201</v>
      </c>
      <c r="F20" s="11">
        <f t="shared" si="1"/>
        <v>0.58765030286592534</v>
      </c>
      <c r="G20" s="12">
        <f>(Submetering!AX20+Submetering!AY20+Submetering!AZ20+Submetering!BA20+Submetering!BB20)</f>
        <v>27.472499999999997</v>
      </c>
      <c r="H20" s="11">
        <f t="shared" si="2"/>
        <v>0.99</v>
      </c>
      <c r="I20" s="12">
        <f>'FS Desroches Daily'!CM22</f>
        <v>67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2021</v>
      </c>
      <c r="E21" s="12">
        <f>Submetering!E21+Submetering!F21+Submetering!G21+Submetering!H21+Submetering!J21-Submetering!AV21</f>
        <v>8809.9999999997872</v>
      </c>
      <c r="F21" s="11">
        <f t="shared" si="1"/>
        <v>0.58765030286592534</v>
      </c>
      <c r="G21" s="12">
        <f>(Submetering!AX21+Submetering!AY21+Submetering!AZ21+Submetering!BA21+Submetering!BB21)</f>
        <v>25.640999999999998</v>
      </c>
      <c r="H21" s="11">
        <f t="shared" si="2"/>
        <v>0.99</v>
      </c>
      <c r="I21" s="12">
        <f>'FS Desroches Daily'!CM23</f>
        <v>67</v>
      </c>
      <c r="J21" s="11">
        <f t="shared" si="3"/>
        <v>10.487297712684205</v>
      </c>
      <c r="K21" s="13">
        <f>'FS Desroches Daily'!CN23</f>
        <v>14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2021</v>
      </c>
      <c r="E22" s="12">
        <f>Submetering!E22+Submetering!F22+Submetering!G22+Submetering!H22+Submetering!J22-Submetering!AV22</f>
        <v>8939.9999999996744</v>
      </c>
      <c r="F22" s="11">
        <f t="shared" si="1"/>
        <v>0.58765030286592534</v>
      </c>
      <c r="G22" s="12">
        <f>(Submetering!AX22+Submetering!AY22+Submetering!AZ22+Submetering!BA22+Submetering!BB22)</f>
        <v>216.11699999999999</v>
      </c>
      <c r="H22" s="11">
        <f t="shared" si="2"/>
        <v>0.99</v>
      </c>
      <c r="I22" s="12">
        <f>'FS Desroches Daily'!CM24</f>
        <v>71</v>
      </c>
      <c r="J22" s="11">
        <f t="shared" si="3"/>
        <v>10.487297712684205</v>
      </c>
      <c r="K22" s="13">
        <f>'FS Desroches Daily'!CN24</f>
        <v>14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2021</v>
      </c>
      <c r="E23" s="12">
        <f>Submetering!E23+Submetering!F23+Submetering!G23+Submetering!H23+Submetering!J23-Submetering!AV23</f>
        <v>12510.000000000313</v>
      </c>
      <c r="F23" s="11">
        <f t="shared" si="1"/>
        <v>0.58765030286592534</v>
      </c>
      <c r="G23" s="12">
        <f>(Submetering!AX23+Submetering!AY23+Submetering!AZ23+Submetering!BA23+Submetering!BB23)</f>
        <v>9.1574999999999989</v>
      </c>
      <c r="H23" s="11">
        <f t="shared" si="2"/>
        <v>0.99</v>
      </c>
      <c r="I23" s="12">
        <f>'FS Desroches Daily'!CM25</f>
        <v>121</v>
      </c>
      <c r="J23" s="11">
        <f t="shared" si="3"/>
        <v>10.487297712684205</v>
      </c>
      <c r="K23" s="13">
        <f>'FS Desroches Daily'!CN25</f>
        <v>14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2021</v>
      </c>
      <c r="E24" s="12">
        <f>Submetering!E24+Submetering!F24+Submetering!G24+Submetering!H24+Submetering!J24-Submetering!AV24</f>
        <v>5769.9999999994416</v>
      </c>
      <c r="F24" s="11">
        <f t="shared" si="1"/>
        <v>0.58765030286592534</v>
      </c>
      <c r="G24" s="12">
        <f>(Submetering!AX24+Submetering!AY24+Submetering!AZ24+Submetering!BA24+Submetering!BB24)</f>
        <v>29.303999999999998</v>
      </c>
      <c r="H24" s="11">
        <f t="shared" si="2"/>
        <v>0.99</v>
      </c>
      <c r="I24" s="12">
        <f>'FS Desroches Daily'!CM26</f>
        <v>43</v>
      </c>
      <c r="J24" s="11">
        <f t="shared" si="3"/>
        <v>10.487297712684205</v>
      </c>
      <c r="K24" s="13">
        <f>'FS Desroches Daily'!CN26</f>
        <v>14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2021</v>
      </c>
      <c r="E25" s="12">
        <f>Submetering!E25+Submetering!F25+Submetering!G25+Submetering!H25+Submetering!J25-Submetering!AV25</f>
        <v>8980.0000000010186</v>
      </c>
      <c r="F25" s="11">
        <f t="shared" si="1"/>
        <v>0.58765030286592534</v>
      </c>
      <c r="G25" s="12">
        <f>(Submetering!AX25+Submetering!AY25+Submetering!AZ25+Submetering!BA25+Submetering!BB25)</f>
        <v>20.1465</v>
      </c>
      <c r="H25" s="11">
        <f t="shared" si="2"/>
        <v>0.99</v>
      </c>
      <c r="I25" s="12">
        <f>'FS Desroches Daily'!CM27</f>
        <v>90</v>
      </c>
      <c r="J25" s="11">
        <f t="shared" si="3"/>
        <v>10.487297712684205</v>
      </c>
      <c r="K25" s="13">
        <f>'FS Desroches Daily'!CN27</f>
        <v>14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2021</v>
      </c>
      <c r="E26" s="12">
        <f>Submetering!E26+Submetering!F26+Submetering!G26+Submetering!H26+Submetering!J26-Submetering!AV26</f>
        <v>8079.9999999996708</v>
      </c>
      <c r="F26" s="11">
        <f t="shared" si="1"/>
        <v>0.58765030286592534</v>
      </c>
      <c r="G26" s="12">
        <f>(Submetering!AX26+Submetering!AY26+Submetering!AZ26+Submetering!BA26+Submetering!BB26)</f>
        <v>32.966999999999992</v>
      </c>
      <c r="H26" s="11">
        <f t="shared" si="2"/>
        <v>0.99</v>
      </c>
      <c r="I26" s="12">
        <f>'FS Desroches Daily'!CM28</f>
        <v>70</v>
      </c>
      <c r="J26" s="11">
        <f t="shared" si="3"/>
        <v>10.487297712684205</v>
      </c>
      <c r="K26" s="13">
        <f>'FS Desroches Daily'!CN28</f>
        <v>9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2021</v>
      </c>
      <c r="E27" s="12">
        <f>Submetering!E27+Submetering!F27+Submetering!G27+Submetering!H27+Submetering!J27-Submetering!AV27</f>
        <v>8260.000000000111</v>
      </c>
      <c r="F27" s="11">
        <f t="shared" si="1"/>
        <v>0.58765030286592534</v>
      </c>
      <c r="G27" s="12">
        <f>(Submetering!AX27+Submetering!AY27+Submetering!AZ27+Submetering!BA27+Submetering!BB27)</f>
        <v>7.3259999999999996</v>
      </c>
      <c r="H27" s="11">
        <f t="shared" si="2"/>
        <v>0.99</v>
      </c>
      <c r="I27" s="12">
        <f>'FS Desroches Daily'!CM29</f>
        <v>75</v>
      </c>
      <c r="J27" s="11">
        <f t="shared" si="3"/>
        <v>10.487297712684205</v>
      </c>
      <c r="K27" s="13">
        <f>'FS Desroches Daily'!CN29</f>
        <v>9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2021</v>
      </c>
      <c r="E28" s="12">
        <f>Submetering!E28+Submetering!F28+Submetering!G28+Submetering!H28+Submetering!J28-Submetering!AV28</f>
        <v>7270.0000000000227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56</v>
      </c>
      <c r="J28" s="11">
        <f t="shared" si="3"/>
        <v>10.487297712684205</v>
      </c>
      <c r="K28" s="13">
        <f>'FS Desroches Daily'!CN30</f>
        <v>9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2021</v>
      </c>
      <c r="E29" s="12" t="e">
        <f>Submetering!E29+Submetering!F29+Submetering!G29+Submetering!H29+Submetering!J29-Submetering!AV29</f>
        <v>#VALUE!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 t="e">
        <f>'FS Desroches Daily'!CM31</f>
        <v>#VALUE!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10" workbookViewId="0">
      <selection activeCell="N17" sqref="N1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2021</v>
      </c>
      <c r="E2" s="31">
        <f>'FS Desroches Daily'!D4</f>
        <v>1700.0000000000348</v>
      </c>
      <c r="F2" s="32">
        <f>'FS Desroches Daily'!F4</f>
        <v>2299.9999999999686</v>
      </c>
      <c r="G2" s="31">
        <f>'FS Desroches Daily'!H4</f>
        <v>2200.0000000002019</v>
      </c>
      <c r="H2" s="32">
        <f>'FS Desroches Daily'!J4</f>
        <v>1000.0000000001119</v>
      </c>
      <c r="I2" s="31">
        <f>'FS Desroches Daily'!L4</f>
        <v>1600.0000000002678</v>
      </c>
      <c r="J2" s="32">
        <f>'FS Desroches Daily'!N4</f>
        <v>699.99999999992292</v>
      </c>
      <c r="K2" s="13">
        <f>'FS Desroches Daily'!P4</f>
        <v>2</v>
      </c>
      <c r="L2" s="31">
        <f>'FS Desroches Daily'!R4</f>
        <v>2</v>
      </c>
      <c r="M2" s="31">
        <f>'FS Desroches Daily'!T4</f>
        <v>603.19999999995343</v>
      </c>
      <c r="N2" s="31">
        <f>'FS Desroches Daily'!V4</f>
        <v>245.80000000004657</v>
      </c>
      <c r="O2" s="31">
        <f>'FS Desroches Daily'!X4</f>
        <v>200.00000000004547</v>
      </c>
      <c r="P2" s="31">
        <f>'FS Desroches Daily'!Z4</f>
        <v>1599.9999999998238</v>
      </c>
      <c r="Q2" s="31">
        <f>'FS Desroches Daily'!AB4</f>
        <v>170.00000000001592</v>
      </c>
      <c r="R2" s="31">
        <f>'FS Desroches Daily'!AD4</f>
        <v>169.99999999995907</v>
      </c>
      <c r="S2" s="31">
        <f>'FS Desroches Daily'!AF4</f>
        <v>199.99999999993179</v>
      </c>
      <c r="T2" s="31">
        <f>'FS Desroches Daily'!AH4</f>
        <v>23</v>
      </c>
      <c r="U2" s="35">
        <f>'FS Desroches Daily'!AJ4</f>
        <v>620.00000000000455</v>
      </c>
      <c r="V2" s="35">
        <f>'FS Desroches Daily'!AL4</f>
        <v>120.00000000000455</v>
      </c>
      <c r="W2" s="35">
        <f>'FS Desroches Daily'!AN4</f>
        <v>90.000000000003411</v>
      </c>
      <c r="X2" s="35">
        <f>'FS Desroches Daily'!AP4</f>
        <v>80.000000000012506</v>
      </c>
      <c r="Y2" s="35">
        <f>'FS Desroches Daily'!AR4</f>
        <v>40.000000000020464</v>
      </c>
      <c r="Z2" s="35">
        <f>'FS Desroches Daily'!AT4</f>
        <v>90.000000000031832</v>
      </c>
      <c r="AA2" s="35">
        <f>'FS Desroches Daily'!AT4</f>
        <v>90.000000000031832</v>
      </c>
      <c r="AB2" s="35">
        <f>'FS Desroches Daily'!AV4</f>
        <v>30.000000000029559</v>
      </c>
      <c r="AC2" s="35">
        <f>'FS Desroches Daily'!AZ4</f>
        <v>29.999999999972715</v>
      </c>
      <c r="AD2" s="35">
        <f>'FS Desroches Daily'!BB4</f>
        <v>10.000000000047748</v>
      </c>
      <c r="AE2" s="35">
        <f>'FS Desroches Daily'!BD4</f>
        <v>9.9999999999909051</v>
      </c>
      <c r="AF2" s="31">
        <f>'FS Desroches Daily'!BF4</f>
        <v>25</v>
      </c>
      <c r="AG2" s="32">
        <f>'FS Desroches Daily'!BH4</f>
        <v>30.000000000001137</v>
      </c>
      <c r="AH2" s="32">
        <f>'FS Desroches Daily'!BJ4</f>
        <v>19.99999999998181</v>
      </c>
      <c r="AI2" s="32">
        <f>'FS Desroches Daily'!BL4</f>
        <v>30.000000000001137</v>
      </c>
      <c r="AJ2" s="32">
        <f>'FS Desroches Daily'!BN4</f>
        <v>30.000000000001137</v>
      </c>
      <c r="AK2" s="32">
        <f>'FS Desroches Daily'!BP4</f>
        <v>40.000000000020464</v>
      </c>
      <c r="AL2" s="32">
        <f>'FS Desroches Daily'!BR4</f>
        <v>21</v>
      </c>
      <c r="AM2" s="32">
        <f>'FS Desroches Daily'!BT4</f>
        <v>30.000000000001137</v>
      </c>
      <c r="AN2" s="32">
        <f>'FS Desroches Daily'!BV4</f>
        <v>40</v>
      </c>
      <c r="AO2" s="32">
        <f>'FS Desroches Daily'!BX4</f>
        <v>20.000000000010232</v>
      </c>
      <c r="AP2" s="32">
        <f>'FS Desroches Daily'!BZ4</f>
        <v>43</v>
      </c>
      <c r="AQ2" s="31">
        <f>'FS Desroches Daily'!CB4</f>
        <v>20.399999999997817</v>
      </c>
      <c r="AR2" s="31">
        <f>'FS Desroches Daily'!CD4</f>
        <v>4.1999999999989086</v>
      </c>
      <c r="AS2" s="31">
        <f>'FS Desroches Daily'!CF4</f>
        <v>5.3999999999996362</v>
      </c>
      <c r="AT2" s="31">
        <f>'FS Desroches Daily'!CH4</f>
        <v>30.69999999999709</v>
      </c>
      <c r="AU2" s="31">
        <f>'FS Desroches Daily'!CJ4</f>
        <v>229</v>
      </c>
      <c r="AV2" s="31">
        <f>'FS Desroches Daily'!CL4</f>
        <v>539.99999999996362</v>
      </c>
      <c r="AW2" s="31">
        <f>'FS Desroches Daily'!CM4</f>
        <v>52.800000000001091</v>
      </c>
      <c r="AX2" s="31">
        <f>IF(LPG!F9-LPG!F8&lt;0,"0",(LPG!F9-LPG!F8)*1.8315)</f>
        <v>9.1574999999999989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1.8314999999999999</v>
      </c>
      <c r="BB2" s="31">
        <f>IF(LPG!Q9-LPG!Q8&lt;0,"0",(LPG!Q9-LPG!Q8)*1.8315)</f>
        <v>7.3259999999999996</v>
      </c>
      <c r="BC2" s="13"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2021</v>
      </c>
      <c r="E3" s="31">
        <f>'FS Desroches Daily'!D5</f>
        <v>1799.9999999998017</v>
      </c>
      <c r="F3" s="32">
        <f>'FS Desroches Daily'!F5</f>
        <v>2499.9999999999468</v>
      </c>
      <c r="G3" s="31">
        <f>'FS Desroches Daily'!H5</f>
        <v>2299.9999999999686</v>
      </c>
      <c r="H3" s="32">
        <f>'FS Desroches Daily'!J5</f>
        <v>1199.9999999998679</v>
      </c>
      <c r="I3" s="31">
        <f>'FS Desroches Daily'!L5</f>
        <v>1899.9999999995687</v>
      </c>
      <c r="J3" s="32">
        <f>'FS Desroches Daily'!N5</f>
        <v>899.99999999990087</v>
      </c>
      <c r="K3" s="13">
        <f>'FS Desroches Daily'!P5</f>
        <v>6</v>
      </c>
      <c r="L3" s="31">
        <f>'FS Desroches Daily'!R5</f>
        <v>2</v>
      </c>
      <c r="M3" s="31">
        <f>'FS Desroches Daily'!T5</f>
        <v>607.40000000002328</v>
      </c>
      <c r="N3" s="31">
        <f>'FS Desroches Daily'!V5</f>
        <v>211.5</v>
      </c>
      <c r="O3" s="31">
        <f>'FS Desroches Daily'!X6</f>
        <v>240.00000000000909</v>
      </c>
      <c r="P3" s="31">
        <f>'FS Desroches Daily'!Z5</f>
        <v>2299.9999999999686</v>
      </c>
      <c r="Q3" s="31">
        <f>'FS Desroches Daily'!AB5</f>
        <v>319.99999999999318</v>
      </c>
      <c r="R3" s="31">
        <f>'FS Desroches Daily'!AD5</f>
        <v>210.00000000003638</v>
      </c>
      <c r="S3" s="31">
        <f>'FS Desroches Daily'!AF5</f>
        <v>270.0000000000955</v>
      </c>
      <c r="T3" s="31">
        <f>'FS Desroches Daily'!AH5</f>
        <v>33</v>
      </c>
      <c r="U3" s="35">
        <f>'FS Desroches Daily'!AJ5</f>
        <v>740.00000000000909</v>
      </c>
      <c r="V3" s="35">
        <f>'FS Desroches Daily'!AL5</f>
        <v>159.99999999999659</v>
      </c>
      <c r="W3" s="35">
        <f>'FS Desroches Daily'!AN5</f>
        <v>109.99999999998522</v>
      </c>
      <c r="X3" s="35">
        <f>'FS Desroches Daily'!AP5</f>
        <v>109.99999999998522</v>
      </c>
      <c r="Y3" s="35">
        <f>'FS Desroches Daily'!AR5</f>
        <v>149.99999999997726</v>
      </c>
      <c r="Z3" s="35">
        <f>'FS Desroches Daily'!AT5</f>
        <v>139.99999999998636</v>
      </c>
      <c r="AA3" s="35">
        <f>'FS Desroches Daily'!AT5</f>
        <v>139.99999999998636</v>
      </c>
      <c r="AB3" s="35">
        <f>'FS Desroches Daily'!AV5</f>
        <v>39.99999999996362</v>
      </c>
      <c r="AC3" s="35">
        <f>'FS Desroches Daily'!AZ5</f>
        <v>40.000000000020464</v>
      </c>
      <c r="AD3" s="35">
        <f>'FS Desroches Daily'!BB5</f>
        <v>29.999999999972715</v>
      </c>
      <c r="AE3" s="35">
        <f>'FS Desroches Daily'!BD5</f>
        <v>39.999999999992042</v>
      </c>
      <c r="AF3" s="31">
        <f>'FS Desroches Daily'!BF5</f>
        <v>29</v>
      </c>
      <c r="AG3" s="32">
        <f>'FS Desroches Daily'!BH5</f>
        <v>50.000000000011369</v>
      </c>
      <c r="AH3" s="32">
        <f>'FS Desroches Daily'!BJ5</f>
        <v>20.000000000038654</v>
      </c>
      <c r="AI3" s="32">
        <f>'FS Desroches Daily'!BL5</f>
        <v>20.000000000010232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38</v>
      </c>
      <c r="AO3" s="32">
        <f>'FS Desroches Daily'!BX5</f>
        <v>20.000000000010232</v>
      </c>
      <c r="AP3" s="32">
        <f>'FS Desroches Daily'!BZ5</f>
        <v>32</v>
      </c>
      <c r="AQ3" s="31">
        <f>'FS Desroches Daily'!CB5</f>
        <v>34.900000000001455</v>
      </c>
      <c r="AR3" s="31">
        <f>'FS Desroches Daily'!CD5</f>
        <v>7</v>
      </c>
      <c r="AS3" s="31">
        <f>'FS Desroches Daily'!CF5</f>
        <v>0.1000000000003638</v>
      </c>
      <c r="AT3" s="31">
        <f>'FS Desroches Daily'!CH5</f>
        <v>36.400000000001455</v>
      </c>
      <c r="AU3" s="31">
        <f>'FS Desroches Daily'!CJ5</f>
        <v>294</v>
      </c>
      <c r="AV3" s="31">
        <f>'FS Desroches Daily'!CL5</f>
        <v>669.99999999995907</v>
      </c>
      <c r="AW3" s="31">
        <f>'FS Desroches Daily'!CM5</f>
        <v>67.399999999999636</v>
      </c>
      <c r="AX3" s="31">
        <f>IF(LPG!F10-LPG!F9&lt;0,"0",(LPG!F10-LPG!F9)*1.8315)</f>
        <v>7.3259999999999996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2021</v>
      </c>
      <c r="E4" s="31">
        <f>'FS Desroches Daily'!D6</f>
        <v>1900.0000000000127</v>
      </c>
      <c r="F4" s="32">
        <f>'FS Desroches Daily'!F6</f>
        <v>2699.9999999999245</v>
      </c>
      <c r="G4" s="31">
        <f>'FS Desroches Daily'!H6</f>
        <v>2400.0000000001796</v>
      </c>
      <c r="H4" s="32">
        <f>'FS Desroches Daily'!J6</f>
        <v>1200.0000000000898</v>
      </c>
      <c r="I4" s="31">
        <f>'FS Desroches Daily'!L6</f>
        <v>1900.0000000000127</v>
      </c>
      <c r="J4" s="32">
        <f>'FS Desroches Daily'!N6</f>
        <v>800.00000000013392</v>
      </c>
      <c r="K4" s="13">
        <f>'FS Desroches Daily'!P6</f>
        <v>4</v>
      </c>
      <c r="L4" s="31">
        <f>'FS Desroches Daily'!R6</f>
        <v>2</v>
      </c>
      <c r="M4" s="31">
        <f>'FS Desroches Daily'!T6</f>
        <v>747.40000000002328</v>
      </c>
      <c r="N4" s="31">
        <f>'FS Desroches Daily'!V6</f>
        <v>264.59999999997672</v>
      </c>
      <c r="O4" s="31">
        <f>'FS Desroches Daily'!X7</f>
        <v>250</v>
      </c>
      <c r="P4" s="31">
        <f>'FS Desroches Daily'!Z6</f>
        <v>2400.0000000001796</v>
      </c>
      <c r="Q4" s="31">
        <f>'FS Desroches Daily'!AB6</f>
        <v>189.99999999999773</v>
      </c>
      <c r="R4" s="31">
        <f>'FS Desroches Daily'!AD6</f>
        <v>209.99999999997954</v>
      </c>
      <c r="S4" s="31">
        <f>'FS Desroches Daily'!AF6</f>
        <v>309.99999999994543</v>
      </c>
      <c r="T4" s="31">
        <f>'FS Desroches Daily'!AH6</f>
        <v>32</v>
      </c>
      <c r="U4" s="35">
        <f>'FS Desroches Daily'!AJ6</f>
        <v>789.99999999996362</v>
      </c>
      <c r="V4" s="35">
        <f>'FS Desroches Daily'!AL6</f>
        <v>189.99999999999773</v>
      </c>
      <c r="W4" s="35">
        <f>'FS Desroches Daily'!AN6</f>
        <v>140.00000000001478</v>
      </c>
      <c r="X4" s="35">
        <f>'FS Desroches Daily'!AP6</f>
        <v>140.00000000001478</v>
      </c>
      <c r="Y4" s="35">
        <f>'FS Desroches Daily'!AR6</f>
        <v>219.99999999999886</v>
      </c>
      <c r="Z4" s="35">
        <f>'FS Desroches Daily'!AT6</f>
        <v>110.00000000001364</v>
      </c>
      <c r="AA4" s="35">
        <f>'FS Desroches Daily'!AT6</f>
        <v>110.00000000001364</v>
      </c>
      <c r="AB4" s="35">
        <f>'FS Desroches Daily'!AV6</f>
        <v>60.000000000002274</v>
      </c>
      <c r="AC4" s="35">
        <f>'FS Desroches Daily'!AZ6</f>
        <v>29.999999999972715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26</v>
      </c>
      <c r="AG4" s="32">
        <f>'FS Desroches Daily'!BH6</f>
        <v>29.999999999972715</v>
      </c>
      <c r="AH4" s="32">
        <f>'FS Desroches Daily'!BJ6</f>
        <v>19.99999999998181</v>
      </c>
      <c r="AI4" s="32">
        <f>'FS Desroches Daily'!BL6</f>
        <v>20.000000000010232</v>
      </c>
      <c r="AJ4" s="32">
        <f>'FS Desroches Daily'!BN6</f>
        <v>39.999999999992042</v>
      </c>
      <c r="AK4" s="32">
        <f>'FS Desroches Daily'!BP6</f>
        <v>40.000000000020464</v>
      </c>
      <c r="AL4" s="32">
        <f>'FS Desroches Daily'!BR6</f>
        <v>26</v>
      </c>
      <c r="AM4" s="32">
        <f>'FS Desroches Daily'!BT6</f>
        <v>20.000000000010232</v>
      </c>
      <c r="AN4" s="32">
        <f>'FS Desroches Daily'!BV6</f>
        <v>39</v>
      </c>
      <c r="AO4" s="32">
        <f>'FS Desroches Daily'!BX6</f>
        <v>19.99999999998181</v>
      </c>
      <c r="AP4" s="32">
        <f>'FS Desroches Daily'!BZ6</f>
        <v>37</v>
      </c>
      <c r="AQ4" s="31">
        <f>'FS Desroches Daily'!CB6</f>
        <v>34.5</v>
      </c>
      <c r="AR4" s="31">
        <f>'FS Desroches Daily'!CD6</f>
        <v>7.3000000000010914</v>
      </c>
      <c r="AS4" s="31">
        <f>'FS Desroches Daily'!CF6</f>
        <v>5.1000000000003638</v>
      </c>
      <c r="AT4" s="31">
        <f>'FS Desroches Daily'!CH6</f>
        <v>39.19999999999709</v>
      </c>
      <c r="AU4" s="31">
        <f>'FS Desroches Daily'!CJ6</f>
        <v>298</v>
      </c>
      <c r="AV4" s="31">
        <f>'FS Desroches Daily'!CL6</f>
        <v>650.00000000009095</v>
      </c>
      <c r="AW4" s="31">
        <f>'FS Desroches Daily'!CM6</f>
        <v>67.399999999999636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2021</v>
      </c>
      <c r="E5" s="31">
        <f>'FS Desroches Daily'!D7</f>
        <v>1799.9999999998017</v>
      </c>
      <c r="F5" s="32">
        <f>'FS Desroches Daily'!F7</f>
        <v>2600.0000000001578</v>
      </c>
      <c r="G5" s="31">
        <f>'FS Desroches Daily'!H7</f>
        <v>2299.9999999999686</v>
      </c>
      <c r="H5" s="32">
        <f>'FS Desroches Daily'!J7</f>
        <v>1300.0000000000789</v>
      </c>
      <c r="I5" s="31">
        <f>'FS Desroches Daily'!L7</f>
        <v>1800.0000000002458</v>
      </c>
      <c r="J5" s="32">
        <f>'FS Desroches Daily'!N7</f>
        <v>999.99999999988984</v>
      </c>
      <c r="K5" s="13">
        <f>'FS Desroches Daily'!P7</f>
        <v>6</v>
      </c>
      <c r="L5" s="31">
        <f>'FS Desroches Daily'!R7</f>
        <v>3</v>
      </c>
      <c r="M5" s="31">
        <f>'FS Desroches Daily'!T7</f>
        <v>671.59999999997672</v>
      </c>
      <c r="N5" s="31">
        <f>'FS Desroches Daily'!V7</f>
        <v>252.70000000001164</v>
      </c>
      <c r="O5" s="31">
        <f>'FS Desroches Daily'!X8</f>
        <v>259.99999999999091</v>
      </c>
      <c r="P5" s="31">
        <f>'FS Desroches Daily'!Z7</f>
        <v>2400.0000000001796</v>
      </c>
      <c r="Q5" s="31">
        <f>'FS Desroches Daily'!AB7</f>
        <v>360.00000000001364</v>
      </c>
      <c r="R5" s="31">
        <f>'FS Desroches Daily'!AD7</f>
        <v>220.00000000002728</v>
      </c>
      <c r="S5" s="31">
        <f>'FS Desroches Daily'!AF7</f>
        <v>309.99999999994543</v>
      </c>
      <c r="T5" s="31">
        <f>'FS Desroches Daily'!AH7</f>
        <v>33</v>
      </c>
      <c r="U5" s="35">
        <f>'FS Desroches Daily'!AJ7</f>
        <v>529.99999999997272</v>
      </c>
      <c r="V5" s="35">
        <f>'FS Desroches Daily'!AL7</f>
        <v>189.99999999999773</v>
      </c>
      <c r="W5" s="35">
        <f>'FS Desroches Daily'!AN7</f>
        <v>209.99999999997954</v>
      </c>
      <c r="X5" s="35">
        <f>'FS Desroches Daily'!AP7</f>
        <v>99.999999999994316</v>
      </c>
      <c r="Y5" s="35">
        <f>'FS Desroches Daily'!AR7</f>
        <v>170.00000000001592</v>
      </c>
      <c r="Z5" s="35">
        <f>'FS Desroches Daily'!AT7</f>
        <v>149.99999999997726</v>
      </c>
      <c r="AA5" s="35">
        <f>'FS Desroches Daily'!AT7</f>
        <v>149.99999999997726</v>
      </c>
      <c r="AB5" s="35">
        <f>'FS Desroches Daily'!AV7</f>
        <v>100.00000000002274</v>
      </c>
      <c r="AC5" s="35">
        <f>'FS Desroches Daily'!AZ7</f>
        <v>50.000000000011369</v>
      </c>
      <c r="AD5" s="35">
        <f>'FS Desroches Daily'!BB7</f>
        <v>30.000000000029559</v>
      </c>
      <c r="AE5" s="35">
        <f>'FS Desroches Daily'!BD7</f>
        <v>30.000000000001137</v>
      </c>
      <c r="AF5" s="31">
        <f>'FS Desroches Daily'!BF7</f>
        <v>25</v>
      </c>
      <c r="AG5" s="32">
        <f>'FS Desroches Daily'!BH7</f>
        <v>40.000000000020464</v>
      </c>
      <c r="AH5" s="32">
        <f>'FS Desroches Daily'!BJ7</f>
        <v>19.99999999998181</v>
      </c>
      <c r="AI5" s="32">
        <f>'FS Desroches Daily'!BL7</f>
        <v>29.999999999972715</v>
      </c>
      <c r="AJ5" s="32">
        <f>'FS Desroches Daily'!BN7</f>
        <v>40.000000000020464</v>
      </c>
      <c r="AK5" s="32">
        <f>'FS Desroches Daily'!BP7</f>
        <v>50.000000000011369</v>
      </c>
      <c r="AL5" s="32">
        <f>'FS Desroches Daily'!BR7</f>
        <v>35</v>
      </c>
      <c r="AM5" s="32">
        <f>'FS Desroches Daily'!BT7</f>
        <v>39.999999999992042</v>
      </c>
      <c r="AN5" s="32">
        <f>'FS Desroches Daily'!BV7</f>
        <v>50</v>
      </c>
      <c r="AO5" s="32">
        <f>'FS Desroches Daily'!BX7</f>
        <v>20.000000000010232</v>
      </c>
      <c r="AP5" s="32">
        <f>'FS Desroches Daily'!BZ7</f>
        <v>45</v>
      </c>
      <c r="AQ5" s="31">
        <f>'FS Desroches Daily'!CB7</f>
        <v>37.700000000000728</v>
      </c>
      <c r="AR5" s="31">
        <f>'FS Desroches Daily'!CD7</f>
        <v>8.2999999999992724</v>
      </c>
      <c r="AS5" s="31">
        <f>'FS Desroches Daily'!CF7</f>
        <v>10.299999999999272</v>
      </c>
      <c r="AT5" s="31">
        <f>'FS Desroches Daily'!CH7</f>
        <v>35.900000000001455</v>
      </c>
      <c r="AU5" s="31">
        <f>'FS Desroches Daily'!CJ7</f>
        <v>272</v>
      </c>
      <c r="AV5" s="31">
        <f>'FS Desroches Daily'!CL7</f>
        <v>519.99999999998181</v>
      </c>
      <c r="AW5" s="31">
        <f>'FS Desroches Daily'!CM7</f>
        <v>60.600000000000364</v>
      </c>
      <c r="AX5" s="31">
        <f>IF(LPG!F12-LPG!F11&lt;0,"0",(LPG!F12-LPG!F11)*1.8315)</f>
        <v>9.1574999999999989</v>
      </c>
      <c r="AY5" s="31">
        <f>IF(LPG!H12-LPG!H11&lt;0,"0",(LPG!H12-LPG!H11)*1.8315)</f>
        <v>5.4944999999999995</v>
      </c>
      <c r="AZ5" s="31" t="str">
        <f>IF(LPG!J12-LPG!J13&lt;0,"0",(LPG!J12-LPG!J13)*1.8315)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3.6629999999999998</v>
      </c>
      <c r="BC5" s="13"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2021</v>
      </c>
      <c r="E6" s="31">
        <f>'FS Desroches Daily'!D8</f>
        <v>1900.0000000000127</v>
      </c>
      <c r="F6" s="32">
        <f>'FS Desroches Daily'!F8</f>
        <v>2699.9999999999245</v>
      </c>
      <c r="G6" s="31">
        <f>'FS Desroches Daily'!H8</f>
        <v>2199.9999999997576</v>
      </c>
      <c r="H6" s="32">
        <f>'FS Desroches Daily'!J8</f>
        <v>1199.9999999998679</v>
      </c>
      <c r="I6" s="31">
        <f>'FS Desroches Daily'!L8</f>
        <v>1900.0000000000127</v>
      </c>
      <c r="J6" s="32">
        <f>'FS Desroches Daily'!N8</f>
        <v>1100.000000000101</v>
      </c>
      <c r="K6" s="13">
        <f>'FS Desroches Daily'!P8</f>
        <v>5</v>
      </c>
      <c r="L6" s="31">
        <f>'FS Desroches Daily'!R8</f>
        <v>2</v>
      </c>
      <c r="M6" s="31">
        <f>'FS Desroches Daily'!T8</f>
        <v>600.80000000004657</v>
      </c>
      <c r="N6" s="31">
        <f>'FS Desroches Daily'!V8</f>
        <v>267.79999999998836</v>
      </c>
      <c r="O6" s="31">
        <f>'FS Desroches Daily'!X8</f>
        <v>259.99999999999091</v>
      </c>
      <c r="P6" s="31">
        <f>'FS Desroches Daily'!Z8</f>
        <v>2399.9999999997358</v>
      </c>
      <c r="Q6" s="31">
        <f>'FS Desroches Daily'!AB8</f>
        <v>319.99999999999318</v>
      </c>
      <c r="R6" s="31">
        <f>'FS Desroches Daily'!AD8</f>
        <v>239.99999999995225</v>
      </c>
      <c r="S6" s="31">
        <f>'FS Desroches Daily'!AF8</f>
        <v>380.00000000010914</v>
      </c>
      <c r="T6" s="31">
        <f>'FS Desroches Daily'!AH8</f>
        <v>37</v>
      </c>
      <c r="U6" s="35">
        <f>'FS Desroches Daily'!AJ8</f>
        <v>490.00000000000909</v>
      </c>
      <c r="V6" s="35">
        <f>'FS Desroches Daily'!AL8</f>
        <v>200.00000000001705</v>
      </c>
      <c r="W6" s="35">
        <f>'FS Desroches Daily'!AN8</f>
        <v>189.99999999999773</v>
      </c>
      <c r="X6" s="35">
        <f>'FS Desroches Daily'!AP8</f>
        <v>120.00000000000455</v>
      </c>
      <c r="Y6" s="35">
        <f>'FS Desroches Daily'!AR8</f>
        <v>169.99999999998749</v>
      </c>
      <c r="Z6" s="35">
        <f>'FS Desroches Daily'!AT8</f>
        <v>180.00000000000682</v>
      </c>
      <c r="AA6" s="35">
        <f>'FS Desroches Daily'!AT8</f>
        <v>180.00000000000682</v>
      </c>
      <c r="AB6" s="35">
        <f>'FS Desroches Daily'!AV8</f>
        <v>110.00000000001364</v>
      </c>
      <c r="AC6" s="35">
        <f>'FS Desroches Daily'!AZ8</f>
        <v>50.000000000011369</v>
      </c>
      <c r="AD6" s="35">
        <f>'FS Desroches Daily'!BB8</f>
        <v>19.99999999998181</v>
      </c>
      <c r="AE6" s="35">
        <f>'FS Desroches Daily'!BD8</f>
        <v>39.999999999992042</v>
      </c>
      <c r="AF6" s="31">
        <f>'FS Desroches Daily'!BF8</f>
        <v>31</v>
      </c>
      <c r="AG6" s="32">
        <f>'FS Desroches Daily'!BH8</f>
        <v>39.999999999992042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30.000000000001137</v>
      </c>
      <c r="AK6" s="32">
        <f>'FS Desroches Daily'!BP8</f>
        <v>39.99999999996362</v>
      </c>
      <c r="AL6" s="32">
        <f>'FS Desroches Daily'!BR8</f>
        <v>30</v>
      </c>
      <c r="AM6" s="32">
        <f>'FS Desroches Daily'!BT8</f>
        <v>20.000000000010232</v>
      </c>
      <c r="AN6" s="32">
        <f>'FS Desroches Daily'!BV8</f>
        <v>39</v>
      </c>
      <c r="AO6" s="32">
        <f>'FS Desroches Daily'!BX8</f>
        <v>30.000000000001137</v>
      </c>
      <c r="AP6" s="32">
        <f>'FS Desroches Daily'!BZ8</f>
        <v>44</v>
      </c>
      <c r="AQ6" s="31">
        <f>'FS Desroches Daily'!CB8</f>
        <v>41.099999999998545</v>
      </c>
      <c r="AR6" s="31">
        <f>'FS Desroches Daily'!CD8</f>
        <v>18.299999999999272</v>
      </c>
      <c r="AS6" s="31">
        <f>'FS Desroches Daily'!CF8</f>
        <v>0.1000000000003638</v>
      </c>
      <c r="AT6" s="31">
        <f>'FS Desroches Daily'!CH8</f>
        <v>21.900000000001455</v>
      </c>
      <c r="AU6" s="31">
        <f>'FS Desroches Daily'!CJ8</f>
        <v>259</v>
      </c>
      <c r="AV6" s="31">
        <f>'FS Desroches Daily'!CL8</f>
        <v>569.99999999993634</v>
      </c>
      <c r="AW6" s="31">
        <f>'FS Desroches Daily'!CM8</f>
        <v>64.700000000000728</v>
      </c>
      <c r="AX6" s="31">
        <f>IF(LPG!F13-LPG!F12&lt;0,"0",(LPG!F13-LPG!F12)*1.8315)</f>
        <v>9.1574999999999989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2021</v>
      </c>
      <c r="E7" s="31">
        <f>'FS Desroches Daily'!D9</f>
        <v>1800.0000000002458</v>
      </c>
      <c r="F7" s="32">
        <f>'FS Desroches Daily'!F9</f>
        <v>2399.9999999997358</v>
      </c>
      <c r="G7" s="31">
        <f>'FS Desroches Daily'!H9</f>
        <v>2299.9999999999686</v>
      </c>
      <c r="H7" s="32">
        <f>'FS Desroches Daily'!J9</f>
        <v>1300.0000000000789</v>
      </c>
      <c r="I7" s="31">
        <f>'FS Desroches Daily'!L9</f>
        <v>1900.0000000000127</v>
      </c>
      <c r="J7" s="32">
        <f>'FS Desroches Daily'!N9</f>
        <v>799.99999999991189</v>
      </c>
      <c r="K7" s="13">
        <f>'FS Desroches Daily'!P9</f>
        <v>5</v>
      </c>
      <c r="L7" s="31">
        <f>'FS Desroches Daily'!R9</f>
        <v>2</v>
      </c>
      <c r="M7" s="31">
        <f>'FS Desroches Daily'!T9</f>
        <v>742</v>
      </c>
      <c r="N7" s="31">
        <f>'FS Desroches Daily'!V9</f>
        <v>349.40000000002328</v>
      </c>
      <c r="O7" s="31">
        <f>'FS Desroches Daily'!X9</f>
        <v>250</v>
      </c>
      <c r="P7" s="31">
        <f>'FS Desroches Daily'!Z9</f>
        <v>2099.9999999999909</v>
      </c>
      <c r="Q7" s="31">
        <f>'FS Desroches Daily'!AB9</f>
        <v>189.99999999999773</v>
      </c>
      <c r="R7" s="31">
        <f>'FS Desroches Daily'!AD9</f>
        <v>210.00000000003638</v>
      </c>
      <c r="S7" s="31">
        <f>'FS Desroches Daily'!AF9</f>
        <v>289.99999999996362</v>
      </c>
      <c r="T7" s="31">
        <f>'FS Desroches Daily'!AH9</f>
        <v>32</v>
      </c>
      <c r="U7" s="35">
        <f>'FS Desroches Daily'!AJ9</f>
        <v>519.99999999998181</v>
      </c>
      <c r="V7" s="35">
        <f>'FS Desroches Daily'!AL9</f>
        <v>189.99999999999773</v>
      </c>
      <c r="W7" s="35">
        <f>'FS Desroches Daily'!AN9</f>
        <v>170.00000000001592</v>
      </c>
      <c r="X7" s="35">
        <f>'FS Desroches Daily'!AP9</f>
        <v>120.00000000000455</v>
      </c>
      <c r="Y7" s="35">
        <f>'FS Desroches Daily'!AR9</f>
        <v>159.99999999999659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89.999999999974989</v>
      </c>
      <c r="AC7" s="35">
        <f>'FS Desroches Daily'!AZ9</f>
        <v>60.000000000002274</v>
      </c>
      <c r="AD7" s="35">
        <f>'FS Desroches Daily'!BB9</f>
        <v>30.000000000029559</v>
      </c>
      <c r="AE7" s="35">
        <f>'FS Desroches Daily'!BD9</f>
        <v>30.000000000001137</v>
      </c>
      <c r="AF7" s="31">
        <f>'FS Desroches Daily'!BF9</f>
        <v>31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30.000000000001137</v>
      </c>
      <c r="AJ7" s="32">
        <f>'FS Desroches Daily'!BN9</f>
        <v>39.999999999992042</v>
      </c>
      <c r="AK7" s="32">
        <f>'FS Desroches Daily'!BP9</f>
        <v>50.000000000011369</v>
      </c>
      <c r="AL7" s="32">
        <f>'FS Desroches Daily'!BR9</f>
        <v>33</v>
      </c>
      <c r="AM7" s="32">
        <f>'FS Desroches Daily'!BT9</f>
        <v>39.999999999992042</v>
      </c>
      <c r="AN7" s="32">
        <f>'FS Desroches Daily'!BV9</f>
        <v>41</v>
      </c>
      <c r="AO7" s="32">
        <f>'FS Desroches Daily'!BX9</f>
        <v>19.99999999998181</v>
      </c>
      <c r="AP7" s="32">
        <f>'FS Desroches Daily'!BZ9</f>
        <v>58</v>
      </c>
      <c r="AQ7" s="31">
        <f>'FS Desroches Daily'!CB9</f>
        <v>31.5</v>
      </c>
      <c r="AR7" s="31">
        <f>'FS Desroches Daily'!CD9</f>
        <v>9.3000000000010914</v>
      </c>
      <c r="AS7" s="31">
        <f>'FS Desroches Daily'!CF9</f>
        <v>18</v>
      </c>
      <c r="AT7" s="31">
        <f>'FS Desroches Daily'!CH9</f>
        <v>29.19999999999709</v>
      </c>
      <c r="AU7" s="31">
        <f>'FS Desroches Daily'!CJ9</f>
        <v>265</v>
      </c>
      <c r="AV7" s="31">
        <f>'FS Desroches Daily'!CL9</f>
        <v>560.00000000005912</v>
      </c>
      <c r="AW7" s="31">
        <f>'FS Desroches Daily'!CM9</f>
        <v>66.099999999998545</v>
      </c>
      <c r="AX7" s="31">
        <f>IF(LPG!F14-LPG!F13&lt;0,"0",(LPG!F14-LPG!F13)*1.8315)</f>
        <v>9.1574999999999989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7.3259999999999996</v>
      </c>
      <c r="BC7" s="13">
        <f>'FS Desroches Daily'!CN9</f>
        <v>11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2021</v>
      </c>
      <c r="E8" s="31">
        <f>'FS Desroches Daily'!D10</f>
        <v>1900.0000000000127</v>
      </c>
      <c r="F8" s="32">
        <f>'FS Desroches Daily'!F10</f>
        <v>2600.0000000001578</v>
      </c>
      <c r="G8" s="31">
        <f>'FS Desroches Daily'!H10</f>
        <v>2400.0000000001796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900.0000000001229</v>
      </c>
      <c r="K8" s="13">
        <f>'FS Desroches Daily'!P10</f>
        <v>4</v>
      </c>
      <c r="L8" s="31">
        <f>'FS Desroches Daily'!R10</f>
        <v>2</v>
      </c>
      <c r="M8" s="31">
        <f>'FS Desroches Daily'!T10</f>
        <v>738.79999999993015</v>
      </c>
      <c r="N8" s="31">
        <f>'FS Desroches Daily'!V10</f>
        <v>275.79999999998836</v>
      </c>
      <c r="O8" s="31">
        <f>'FS Desroches Daily'!X10</f>
        <v>259.99999999999091</v>
      </c>
      <c r="P8" s="31">
        <f>'FS Desroches Daily'!Z10</f>
        <v>2400.0000000001796</v>
      </c>
      <c r="Q8" s="31">
        <f>'FS Desroches Daily'!AB10</f>
        <v>310.00000000000227</v>
      </c>
      <c r="R8" s="31">
        <f>'FS Desroches Daily'!AD10</f>
        <v>219.99999999997044</v>
      </c>
      <c r="S8" s="31">
        <f>'FS Desroches Daily'!AF10</f>
        <v>259.99999999999091</v>
      </c>
      <c r="T8" s="31">
        <f>'FS Desroches Daily'!AH10</f>
        <v>30</v>
      </c>
      <c r="U8" s="35">
        <f>'FS Desroches Daily'!AJ10</f>
        <v>580.00000000004093</v>
      </c>
      <c r="V8" s="35">
        <f>'FS Desroches Daily'!AL10</f>
        <v>169.99999999998749</v>
      </c>
      <c r="W8" s="35">
        <f>'FS Desroches Daily'!AN10</f>
        <v>169.99999999998749</v>
      </c>
      <c r="X8" s="35">
        <f>'FS Desroches Daily'!AP10</f>
        <v>90.000000000003411</v>
      </c>
      <c r="Y8" s="35">
        <f>'FS Desroches Daily'!AR10</f>
        <v>170.00000000001592</v>
      </c>
      <c r="Z8" s="35">
        <f>'FS Desroches Daily'!AT10</f>
        <v>229.99999999996135</v>
      </c>
      <c r="AA8" s="35">
        <f>'FS Desroches Daily'!AT10</f>
        <v>229.99999999996135</v>
      </c>
      <c r="AB8" s="35">
        <f>'FS Desroches Daily'!AV10</f>
        <v>150.00000000003411</v>
      </c>
      <c r="AC8" s="35">
        <f>'FS Desroches Daily'!AZ10</f>
        <v>50.000000000011369</v>
      </c>
      <c r="AD8" s="35">
        <f>'FS Desroches Daily'!BB10</f>
        <v>29.999999999972715</v>
      </c>
      <c r="AE8" s="35">
        <f>'FS Desroches Daily'!BD10</f>
        <v>90.000000000003411</v>
      </c>
      <c r="AF8" s="31">
        <f>'FS Desroches Daily'!BF10</f>
        <v>28</v>
      </c>
      <c r="AG8" s="32">
        <f>'FS Desroches Daily'!BH10</f>
        <v>30.000000000001137</v>
      </c>
      <c r="AH8" s="32">
        <f>'FS Desroches Daily'!BJ10</f>
        <v>30.000000000029559</v>
      </c>
      <c r="AI8" s="32">
        <f>'FS Desroches Daily'!BL10</f>
        <v>30.000000000001137</v>
      </c>
      <c r="AJ8" s="32">
        <f>'FS Desroches Daily'!BN10</f>
        <v>39.999999999992042</v>
      </c>
      <c r="AK8" s="32">
        <f>'FS Desroches Daily'!BP10</f>
        <v>29.999999999972715</v>
      </c>
      <c r="AL8" s="32">
        <f>'FS Desroches Daily'!BR10</f>
        <v>24</v>
      </c>
      <c r="AM8" s="32">
        <f>'FS Desroches Daily'!BT10</f>
        <v>30.000000000001137</v>
      </c>
      <c r="AN8" s="32">
        <f>'FS Desroches Daily'!BV10</f>
        <v>39</v>
      </c>
      <c r="AO8" s="32">
        <f>'FS Desroches Daily'!BX10</f>
        <v>30.000000000001137</v>
      </c>
      <c r="AP8" s="32">
        <f>'FS Desroches Daily'!BZ10</f>
        <v>52</v>
      </c>
      <c r="AQ8" s="31">
        <f>'FS Desroches Daily'!CB10</f>
        <v>37.299999999999272</v>
      </c>
      <c r="AR8" s="31">
        <f>'FS Desroches Daily'!CD10</f>
        <v>6.2999999999992724</v>
      </c>
      <c r="AS8" s="31">
        <f>'FS Desroches Daily'!CF10</f>
        <v>5</v>
      </c>
      <c r="AT8" s="31">
        <f>'FS Desroches Daily'!CH10</f>
        <v>30.80000000000291</v>
      </c>
      <c r="AU8" s="31">
        <f>'FS Desroches Daily'!CJ10</f>
        <v>200</v>
      </c>
      <c r="AV8" s="31">
        <f>'FS Desroches Daily'!CL10</f>
        <v>610.00000000001364</v>
      </c>
      <c r="AW8" s="31">
        <f>'FS Desroches Daily'!CM10</f>
        <v>58.200000000000728</v>
      </c>
      <c r="AX8" s="31">
        <f>IF(LPG!F16-LPG!F14&lt;0,"0",(LPG!F16-LPG!F14)*1.8315)</f>
        <v>16.483499999999999</v>
      </c>
      <c r="AY8" s="31">
        <f>IF(LPG!H16-LPG!H14&lt;0,"0",(LPG!H16-LPG!H14)*1.8315)</f>
        <v>12.820499999999999</v>
      </c>
      <c r="AZ8" s="31">
        <f>IF(LPG!J16-LPG!J14&lt;0,"0",(LPG!J16-LPG!J14)*1.8315)</f>
        <v>3.6629999999999998</v>
      </c>
      <c r="BA8" s="31">
        <f>IF(LPG!M16-LPG!M14&lt;0,"0",(LPG!M16-LPG!M14)*1.8315)</f>
        <v>1.8314999999999999</v>
      </c>
      <c r="BB8" s="31">
        <f>IF(LPG!Q15-LPG!Q14&lt;0,"0",(LPG!Q15-LPG!Q14)*1.8315)</f>
        <v>9.1574999999999989</v>
      </c>
      <c r="BC8" s="13">
        <f>'FS Desroches Daily'!CN10</f>
        <v>14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2021</v>
      </c>
      <c r="E9" s="31">
        <f>'FS Desroches Daily'!D11</f>
        <v>1799.9999999998017</v>
      </c>
      <c r="F9" s="32">
        <f>'FS Desroches Daily'!F11</f>
        <v>2600.0000000001578</v>
      </c>
      <c r="G9" s="31">
        <f>'FS Desroches Daily'!H11</f>
        <v>2399.9999999997358</v>
      </c>
      <c r="H9" s="32">
        <f>'FS Desroches Daily'!J11</f>
        <v>1200.0000000000898</v>
      </c>
      <c r="I9" s="31">
        <f>'FS Desroches Daily'!L11</f>
        <v>1799.9999999998017</v>
      </c>
      <c r="J9" s="32">
        <f>'FS Desroches Daily'!N11</f>
        <v>899.99999999990087</v>
      </c>
      <c r="K9" s="13">
        <f>'FS Desroches Daily'!P11</f>
        <v>4</v>
      </c>
      <c r="L9" s="31">
        <f>'FS Desroches Daily'!R11</f>
        <v>2</v>
      </c>
      <c r="M9" s="31">
        <f>'FS Desroches Daily'!T11</f>
        <v>54.099999999976717</v>
      </c>
      <c r="N9" s="31">
        <f>'FS Desroches Daily'!V11</f>
        <v>287.79999999998836</v>
      </c>
      <c r="O9" s="31">
        <f>'FS Desroches Daily'!X11</f>
        <v>269.99999999998181</v>
      </c>
      <c r="P9" s="31">
        <f>'FS Desroches Daily'!Z11</f>
        <v>2299.9999999999686</v>
      </c>
      <c r="Q9" s="31">
        <f>'FS Desroches Daily'!AB11</f>
        <v>180.00000000000682</v>
      </c>
      <c r="R9" s="31">
        <f>'FS Desroches Daily'!AD11</f>
        <v>290.00000000002046</v>
      </c>
      <c r="S9" s="31">
        <f>'FS Desroches Daily'!AF11</f>
        <v>340.00000000003183</v>
      </c>
      <c r="T9" s="31">
        <f>'FS Desroches Daily'!AH11</f>
        <v>27</v>
      </c>
      <c r="U9" s="35">
        <f>'FS Desroches Daily'!AJ11</f>
        <v>529.99999999997272</v>
      </c>
      <c r="V9" s="35">
        <f>'FS Desroches Daily'!AL11</f>
        <v>150.00000000000568</v>
      </c>
      <c r="W9" s="35">
        <f>'FS Desroches Daily'!AN11</f>
        <v>150.00000000000568</v>
      </c>
      <c r="X9" s="35">
        <f>'FS Desroches Daily'!AP11</f>
        <v>109.99999999998522</v>
      </c>
      <c r="Y9" s="35">
        <f>'FS Desroches Daily'!AR11</f>
        <v>150.00000000000568</v>
      </c>
      <c r="Z9" s="35">
        <f>'FS Desroches Daily'!AT11</f>
        <v>210.00000000003638</v>
      </c>
      <c r="AA9" s="35">
        <f>'FS Desroches Daily'!AT11</f>
        <v>210.00000000003638</v>
      </c>
      <c r="AB9" s="35">
        <f>'FS Desroches Daily'!AV11</f>
        <v>49.999999999954525</v>
      </c>
      <c r="AC9" s="35">
        <f>'FS Desroches Daily'!AZ11</f>
        <v>49.999999999954525</v>
      </c>
      <c r="AD9" s="35">
        <f>'FS Desroches Daily'!BB11</f>
        <v>19.99999999998181</v>
      </c>
      <c r="AE9" s="35">
        <f>'FS Desroches Daily'!BD11</f>
        <v>69.999999999993179</v>
      </c>
      <c r="AF9" s="31">
        <f>'FS Desroches Daily'!BF11</f>
        <v>43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40.000000000020464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23</v>
      </c>
      <c r="AM9" s="32">
        <f>'FS Desroches Daily'!BT11</f>
        <v>30.000000000001137</v>
      </c>
      <c r="AN9" s="32">
        <f>'FS Desroches Daily'!BV11</f>
        <v>39</v>
      </c>
      <c r="AO9" s="32">
        <f>'FS Desroches Daily'!BX11</f>
        <v>20.000000000010232</v>
      </c>
      <c r="AP9" s="32">
        <f>'FS Desroches Daily'!BZ11</f>
        <v>40</v>
      </c>
      <c r="AQ9" s="31">
        <f>'FS Desroches Daily'!CB11</f>
        <v>42.600000000002183</v>
      </c>
      <c r="AR9" s="31">
        <f>'FS Desroches Daily'!CD11</f>
        <v>15.100000000000364</v>
      </c>
      <c r="AS9" s="31">
        <f>'FS Desroches Daily'!CF11</f>
        <v>0</v>
      </c>
      <c r="AT9" s="31">
        <f>'FS Desroches Daily'!CH11</f>
        <v>37.400000000001455</v>
      </c>
      <c r="AU9" s="31">
        <f>'FS Desroches Daily'!CJ11</f>
        <v>326</v>
      </c>
      <c r="AV9" s="31">
        <f>'FS Desroches Daily'!CL11</f>
        <v>599.99999999990905</v>
      </c>
      <c r="AW9" s="31">
        <f>'FS Desroches Daily'!CM11</f>
        <v>76.299999999999272</v>
      </c>
      <c r="AX9" s="31">
        <f>IF(LPG!F17-LPG!F15&lt;0,"0",(LPG!F17-LPG!F15)*1.8315)</f>
        <v>18.314999999999998</v>
      </c>
      <c r="AY9" s="31">
        <f>IF(LPG!H17-LPG!H15&lt;0,"0",(LPG!H17-LPG!H15)*1.8315)</f>
        <v>9.1574999999999989</v>
      </c>
      <c r="AZ9" s="31">
        <f>IF(LPG!J17-LPG!J15&lt;0,"0",(LPG!J17-LPG!J15)*1.8315)</f>
        <v>1.8314999999999999</v>
      </c>
      <c r="BA9" s="31">
        <f>IF(LPG!M17-LPG!M15&lt;0,"0",(LPG!M17-LPG!M15)*1.8315)</f>
        <v>1.8314999999999999</v>
      </c>
      <c r="BB9" s="31">
        <f>IF(LPG!Q16-LPG!Q15&lt;0,"0",(LPG!Q16-LPG!Q15)*1.8315)</f>
        <v>7.3259999999999996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2021</v>
      </c>
      <c r="E10" s="31">
        <f>'FS Desroches Daily'!D12</f>
        <v>2000.0000000002237</v>
      </c>
      <c r="F10" s="32">
        <f>'FS Desroches Daily'!F12</f>
        <v>2699.9999999999245</v>
      </c>
      <c r="G10" s="31">
        <f>'FS Desroches Daily'!H12</f>
        <v>2400.0000000001796</v>
      </c>
      <c r="H10" s="32">
        <f>'FS Desroches Daily'!J12</f>
        <v>1200.0000000000898</v>
      </c>
      <c r="I10" s="31">
        <f>'FS Desroches Daily'!L12</f>
        <v>1900.0000000000127</v>
      </c>
      <c r="J10" s="32">
        <f>'FS Desroches Daily'!N12</f>
        <v>1100.000000000101</v>
      </c>
      <c r="K10" s="13">
        <f>'FS Desroches Daily'!P12</f>
        <v>1</v>
      </c>
      <c r="L10" s="31">
        <f>'FS Desroches Daily'!R12</f>
        <v>2</v>
      </c>
      <c r="M10" s="31">
        <f>'FS Desroches Daily'!T12</f>
        <v>999.70000000006985</v>
      </c>
      <c r="N10" s="31">
        <f>'FS Desroches Daily'!V12</f>
        <v>295.90000000002328</v>
      </c>
      <c r="O10" s="31">
        <f>'FS Desroches Daily'!X12</f>
        <v>250</v>
      </c>
      <c r="P10" s="31">
        <f>'FS Desroches Daily'!Z12</f>
        <v>2400.0000000001796</v>
      </c>
      <c r="Q10" s="31">
        <f>'FS Desroches Daily'!AB12</f>
        <v>279.99999999997272</v>
      </c>
      <c r="R10" s="31">
        <f>'FS Desroches Daily'!AD12</f>
        <v>339.99999999997499</v>
      </c>
      <c r="S10" s="31">
        <f>'FS Desroches Daily'!AF12</f>
        <v>389.99999999998636</v>
      </c>
      <c r="T10" s="31">
        <f>'FS Desroches Daily'!AH12</f>
        <v>35</v>
      </c>
      <c r="U10" s="35">
        <f>'FS Desroches Daily'!AJ12</f>
        <v>670.00000000007276</v>
      </c>
      <c r="V10" s="35">
        <f>'FS Desroches Daily'!AL12</f>
        <v>200.00000000001705</v>
      </c>
      <c r="W10" s="35">
        <f>'FS Desroches Daily'!AN12</f>
        <v>99.999999999994316</v>
      </c>
      <c r="X10" s="35">
        <f>'FS Desroches Daily'!AP12</f>
        <v>110.00000000001364</v>
      </c>
      <c r="Y10" s="35">
        <f>'FS Desroches Daily'!AR12</f>
        <v>189.99999999999773</v>
      </c>
      <c r="Z10" s="35">
        <f>'FS Desroches Daily'!AT12</f>
        <v>209.99999999997954</v>
      </c>
      <c r="AA10" s="35">
        <f>'FS Desroches Daily'!AT12</f>
        <v>209.99999999997954</v>
      </c>
      <c r="AB10" s="35">
        <f>'FS Desroches Daily'!AV12</f>
        <v>100.00000000002274</v>
      </c>
      <c r="AC10" s="35">
        <f>'FS Desroches Daily'!AZ12</f>
        <v>50.000000000011369</v>
      </c>
      <c r="AD10" s="35">
        <f>'FS Desroches Daily'!BB12</f>
        <v>30.000000000029559</v>
      </c>
      <c r="AE10" s="35">
        <f>'FS Desroches Daily'!BD12</f>
        <v>90.000000000003411</v>
      </c>
      <c r="AF10" s="31">
        <f>'FS Desroches Daily'!BF12</f>
        <v>29</v>
      </c>
      <c r="AG10" s="32">
        <f>'FS Desroches Daily'!BH12</f>
        <v>30.000000000001137</v>
      </c>
      <c r="AH10" s="32">
        <f>'FS Desroches Daily'!BJ12</f>
        <v>30.000000000029559</v>
      </c>
      <c r="AI10" s="32">
        <f>'FS Desroches Daily'!BL12</f>
        <v>30.000000000001137</v>
      </c>
      <c r="AJ10" s="32">
        <f>'FS Desroches Daily'!BN12</f>
        <v>30.000000000001137</v>
      </c>
      <c r="AK10" s="32">
        <f>'FS Desroches Daily'!BP12</f>
        <v>29.999999999972715</v>
      </c>
      <c r="AL10" s="32">
        <f>'FS Desroches Daily'!BR12</f>
        <v>20</v>
      </c>
      <c r="AM10" s="32">
        <f>'FS Desroches Daily'!BT12</f>
        <v>30.000000000001137</v>
      </c>
      <c r="AN10" s="32">
        <f>'FS Desroches Daily'!BV12</f>
        <v>39</v>
      </c>
      <c r="AO10" s="32">
        <f>'FS Desroches Daily'!BX12</f>
        <v>20.000000000010232</v>
      </c>
      <c r="AP10" s="32">
        <f>'FS Desroches Daily'!BZ12</f>
        <v>37</v>
      </c>
      <c r="AQ10" s="31">
        <f>'FS Desroches Daily'!CB12</f>
        <v>38</v>
      </c>
      <c r="AR10" s="31">
        <f>'FS Desroches Daily'!CD12</f>
        <v>8.7000000000007276</v>
      </c>
      <c r="AS10" s="31">
        <f>'FS Desroches Daily'!CF12</f>
        <v>0.6999999999998181</v>
      </c>
      <c r="AT10" s="31">
        <f>'FS Desroches Daily'!CH12</f>
        <v>30.599999999998545</v>
      </c>
      <c r="AU10" s="31">
        <f>'FS Desroches Daily'!CJ12</f>
        <v>268</v>
      </c>
      <c r="AV10" s="31">
        <f>'FS Desroches Daily'!CL12</f>
        <v>590.00000000003183</v>
      </c>
      <c r="AW10" s="31">
        <f>'FS Desroches Daily'!CM12</f>
        <v>73.900000000001455</v>
      </c>
      <c r="AX10" s="31">
        <f>IF(LPG!F18-LPG!F16&lt;0,"0",(LPG!F18-LPG!F16)*1.8315)</f>
        <v>18.314999999999998</v>
      </c>
      <c r="AY10" s="31">
        <f>IF(LPG!H18-LPG!H16&lt;0,"0",(LPG!H18-LPG!H16)*1.8315)</f>
        <v>9.1574999999999989</v>
      </c>
      <c r="AZ10" s="31">
        <f>IF(LPG!J18-LPG!J16&lt;0,"0",(LPG!J18-LPG!J16)*1.8315)</f>
        <v>3.6629999999999998</v>
      </c>
      <c r="BA10" s="31">
        <f>IF(LPG!M18-LPG!M16&lt;0,"0",(LPG!M18-LPG!M16)*1.8315)</f>
        <v>3.6629999999999998</v>
      </c>
      <c r="BB10" s="31">
        <f>IF(LPG!Q17-LPG!Q16&lt;0,"0",(LPG!Q17-LPG!Q16)*1.8315)</f>
        <v>9.1574999999999989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2021</v>
      </c>
      <c r="E11" s="31">
        <f>'FS Desroches Daily'!D13</f>
        <v>2099.9999999999909</v>
      </c>
      <c r="F11" s="32">
        <f>'FS Desroches Daily'!F13</f>
        <v>2600.0000000001578</v>
      </c>
      <c r="G11" s="31">
        <f>'FS Desroches Daily'!H13</f>
        <v>2699.9999999999245</v>
      </c>
      <c r="H11" s="32">
        <f>'FS Desroches Daily'!J13</f>
        <v>1299.9999999998568</v>
      </c>
      <c r="I11" s="31">
        <f>'FS Desroches Daily'!L13</f>
        <v>1800.0000000002458</v>
      </c>
      <c r="J11" s="32">
        <f>'FS Desroches Daily'!N13</f>
        <v>999.99999999988984</v>
      </c>
      <c r="K11" s="13">
        <f>'FS Desroches Daily'!P13</f>
        <v>5</v>
      </c>
      <c r="L11" s="31">
        <f>'FS Desroches Daily'!R13</f>
        <v>3</v>
      </c>
      <c r="M11" s="31">
        <f>'FS Desroches Daily'!T13</f>
        <v>499.59999999997672</v>
      </c>
      <c r="N11" s="31">
        <f>'FS Desroches Daily'!V13</f>
        <v>119.79999999998836</v>
      </c>
      <c r="O11" s="31">
        <f>'FS Desroches Daily'!X13</f>
        <v>260.00000000004775</v>
      </c>
      <c r="P11" s="31">
        <f>'FS Desroches Daily'!Z13</f>
        <v>2399.9999999997358</v>
      </c>
      <c r="Q11" s="31">
        <f>'FS Desroches Daily'!AB13</f>
        <v>199.99999999998863</v>
      </c>
      <c r="R11" s="31">
        <f>'FS Desroches Daily'!AD13</f>
        <v>340.00000000003183</v>
      </c>
      <c r="S11" s="31">
        <f>'FS Desroches Daily'!AF13</f>
        <v>309.99999999994543</v>
      </c>
      <c r="T11" s="31">
        <f>'FS Desroches Daily'!AH13</f>
        <v>35</v>
      </c>
      <c r="U11" s="35">
        <f>'FS Desroches Daily'!AJ13</f>
        <v>849.99999999990905</v>
      </c>
      <c r="V11" s="35">
        <f>'FS Desroches Daily'!AL13</f>
        <v>139.99999999998636</v>
      </c>
      <c r="W11" s="35">
        <f>'FS Desroches Daily'!AN13</f>
        <v>99.999999999994316</v>
      </c>
      <c r="X11" s="35">
        <f>'FS Desroches Daily'!AP13</f>
        <v>79.999999999984084</v>
      </c>
      <c r="Y11" s="35">
        <f>'FS Desroches Daily'!AR13</f>
        <v>209.99999999997954</v>
      </c>
      <c r="Z11" s="35">
        <f>'FS Desroches Daily'!AT13</f>
        <v>180.00000000000682</v>
      </c>
      <c r="AA11" s="35">
        <f>'FS Desroches Daily'!AT13</f>
        <v>180.00000000000682</v>
      </c>
      <c r="AB11" s="35">
        <f>'FS Desroches Daily'!AV13</f>
        <v>60.000000000002274</v>
      </c>
      <c r="AC11" s="35">
        <f>'FS Desroches Daily'!AZ13</f>
        <v>50.000000000011369</v>
      </c>
      <c r="AD11" s="35">
        <f>'FS Desroches Daily'!BB13</f>
        <v>19.99999999998181</v>
      </c>
      <c r="AE11" s="35">
        <f>'FS Desroches Daily'!BD13</f>
        <v>140.00000000001478</v>
      </c>
      <c r="AF11" s="31">
        <f>'FS Desroches Daily'!BF13</f>
        <v>21</v>
      </c>
      <c r="AG11" s="32">
        <f>'FS Desroches Daily'!BH13</f>
        <v>50.000000000011369</v>
      </c>
      <c r="AH11" s="32">
        <f>'FS Desroches Daily'!BJ13</f>
        <v>39.99999999996362</v>
      </c>
      <c r="AI11" s="32">
        <f>'FS Desroches Daily'!BL13</f>
        <v>30.000000000001137</v>
      </c>
      <c r="AJ11" s="32">
        <f>'FS Desroches Daily'!BN13</f>
        <v>40.000000000020464</v>
      </c>
      <c r="AK11" s="32">
        <f>'FS Desroches Daily'!BP13</f>
        <v>40.000000000020464</v>
      </c>
      <c r="AL11" s="32">
        <f>'FS Desroches Daily'!BR13</f>
        <v>28</v>
      </c>
      <c r="AM11" s="32">
        <f>'FS Desroches Daily'!BT13</f>
        <v>30.000000000001137</v>
      </c>
      <c r="AN11" s="32">
        <f>'FS Desroches Daily'!BV13</f>
        <v>41</v>
      </c>
      <c r="AO11" s="32">
        <f>'FS Desroches Daily'!BX13</f>
        <v>30.000000000001137</v>
      </c>
      <c r="AP11" s="32">
        <f>'FS Desroches Daily'!BZ13</f>
        <v>41</v>
      </c>
      <c r="AQ11" s="31">
        <f>'FS Desroches Daily'!CB13</f>
        <v>32.19999999999709</v>
      </c>
      <c r="AR11" s="31">
        <f>'FS Desroches Daily'!CD13</f>
        <v>8.2999999999992724</v>
      </c>
      <c r="AS11" s="31">
        <f>'FS Desroches Daily'!CF13</f>
        <v>4.3000000000001819</v>
      </c>
      <c r="AT11" s="31">
        <f>'FS Desroches Daily'!CH13</f>
        <v>39.69999999999709</v>
      </c>
      <c r="AU11" s="31">
        <f>'FS Desroches Daily'!CJ13</f>
        <v>292</v>
      </c>
      <c r="AV11" s="31">
        <f>'FS Desroches Daily'!CL13</f>
        <v>670.00000000007276</v>
      </c>
      <c r="AW11" s="31">
        <f>'FS Desroches Daily'!CM13</f>
        <v>76.799999999999272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3.6629999999999998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14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2021</v>
      </c>
      <c r="E12" s="31">
        <f>'FS Desroches Daily'!D14</f>
        <v>1999.9999999997797</v>
      </c>
      <c r="F12" s="32">
        <f>'FS Desroches Daily'!F14</f>
        <v>2599.9999999997135</v>
      </c>
      <c r="G12" s="31">
        <f>'FS Desroches Daily'!H14</f>
        <v>2400.0000000001796</v>
      </c>
      <c r="H12" s="32">
        <f>'FS Desroches Daily'!J14</f>
        <v>1200.0000000000898</v>
      </c>
      <c r="I12" s="31">
        <f>'FS Desroches Daily'!L14</f>
        <v>1799.9999999998017</v>
      </c>
      <c r="J12" s="32">
        <f>'FS Desroches Daily'!N14</f>
        <v>1000.0000000001119</v>
      </c>
      <c r="K12" s="13">
        <f>'FS Desroches Daily'!P14</f>
        <v>7</v>
      </c>
      <c r="L12" s="31">
        <f>'FS Desroches Daily'!R14</f>
        <v>2</v>
      </c>
      <c r="M12" s="31">
        <f>'FS Desroches Daily'!T14</f>
        <v>2100</v>
      </c>
      <c r="N12" s="31">
        <f>'FS Desroches Daily'!V14</f>
        <v>492.5</v>
      </c>
      <c r="O12" s="31">
        <f>'FS Desroches Daily'!X14</f>
        <v>269.99999999998181</v>
      </c>
      <c r="P12" s="31">
        <f>'FS Desroches Daily'!Z14</f>
        <v>2200.0000000002019</v>
      </c>
      <c r="Q12" s="31">
        <f>'FS Desroches Daily'!AB14</f>
        <v>320.00000000005002</v>
      </c>
      <c r="R12" s="31">
        <f>'FS Desroches Daily'!AD14</f>
        <v>279.99999999997272</v>
      </c>
      <c r="S12" s="31">
        <f>'FS Desroches Daily'!AF14</f>
        <v>320.00000000005002</v>
      </c>
      <c r="T12" s="31">
        <f>'FS Desroches Daily'!AH14</f>
        <v>35</v>
      </c>
      <c r="U12" s="35">
        <f>'FS Desroches Daily'!AJ14</f>
        <v>790.00000000007731</v>
      </c>
      <c r="V12" s="35">
        <f>'FS Desroches Daily'!AL14</f>
        <v>189.99999999999773</v>
      </c>
      <c r="W12" s="35">
        <f>'FS Desroches Daily'!AN14</f>
        <v>110.00000000001364</v>
      </c>
      <c r="X12" s="35">
        <f>'FS Desroches Daily'!AP14</f>
        <v>110.00000000001364</v>
      </c>
      <c r="Y12" s="35">
        <f>'FS Desroches Daily'!AR14</f>
        <v>180.00000000000682</v>
      </c>
      <c r="Z12" s="35">
        <f>'FS Desroches Daily'!AT14</f>
        <v>170.00000000001592</v>
      </c>
      <c r="AA12" s="35">
        <f>'FS Desroches Daily'!AT14</f>
        <v>170.00000000001592</v>
      </c>
      <c r="AB12" s="35">
        <f>'FS Desroches Daily'!AV14</f>
        <v>40.000000000020464</v>
      </c>
      <c r="AC12" s="35">
        <f>'FS Desroches Daily'!AZ14</f>
        <v>29.999999999972715</v>
      </c>
      <c r="AD12" s="35">
        <f>'FS Desroches Daily'!BB14</f>
        <v>19.99999999998181</v>
      </c>
      <c r="AE12" s="35">
        <f>'FS Desroches Daily'!BD14</f>
        <v>139.99999999998636</v>
      </c>
      <c r="AF12" s="31">
        <f>'FS Desroches Daily'!BF14</f>
        <v>30</v>
      </c>
      <c r="AG12" s="32">
        <f>'FS Desroches Daily'!BH14</f>
        <v>30.000000000001137</v>
      </c>
      <c r="AH12" s="32">
        <f>'FS Desroches Daily'!BJ14</f>
        <v>19.99999999998181</v>
      </c>
      <c r="AI12" s="32">
        <f>'FS Desroches Daily'!BL14</f>
        <v>19.99999999998181</v>
      </c>
      <c r="AJ12" s="32">
        <f>'FS Desroches Daily'!BN14</f>
        <v>39.999999999992042</v>
      </c>
      <c r="AK12" s="32">
        <f>'FS Desroches Daily'!BP14</f>
        <v>19.99999999998181</v>
      </c>
      <c r="AL12" s="32">
        <f>'FS Desroches Daily'!BR14</f>
        <v>21</v>
      </c>
      <c r="AM12" s="32">
        <f>'FS Desroches Daily'!BT14</f>
        <v>30.000000000001137</v>
      </c>
      <c r="AN12" s="32">
        <f>'FS Desroches Daily'!BV14</f>
        <v>35</v>
      </c>
      <c r="AO12" s="32">
        <f>'FS Desroches Daily'!BX14</f>
        <v>30.000000000001137</v>
      </c>
      <c r="AP12" s="32">
        <f>'FS Desroches Daily'!BZ14</f>
        <v>38</v>
      </c>
      <c r="AQ12" s="31">
        <f>'FS Desroches Daily'!CB14</f>
        <v>30.30000000000291</v>
      </c>
      <c r="AR12" s="31">
        <f>'FS Desroches Daily'!CD14</f>
        <v>10</v>
      </c>
      <c r="AS12" s="31">
        <f>'FS Desroches Daily'!CF14</f>
        <v>5</v>
      </c>
      <c r="AT12" s="31">
        <f>'FS Desroches Daily'!CH14</f>
        <v>40.30000000000291</v>
      </c>
      <c r="AU12" s="31">
        <f>'FS Desroches Daily'!CJ14</f>
        <v>275</v>
      </c>
      <c r="AV12" s="31">
        <f>'FS Desroches Daily'!CL14</f>
        <v>559.99999999994543</v>
      </c>
      <c r="AW12" s="31">
        <f>'FS Desroches Daily'!CM14</f>
        <v>78</v>
      </c>
      <c r="AX12" s="31">
        <f>IF(LPG!F19-LPG!F18&lt;0,"0",(LPG!F19-LPG!F18)*1.8315)</f>
        <v>9.1574999999999989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13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2021</v>
      </c>
      <c r="E13" s="31">
        <f>'FS Desroches Daily'!D15</f>
        <v>2200.0000000002019</v>
      </c>
      <c r="F13" s="32">
        <f>'FS Desroches Daily'!F15</f>
        <v>2600.0000000001578</v>
      </c>
      <c r="G13" s="31">
        <f>'FS Desroches Daily'!H15</f>
        <v>2499.9999999999468</v>
      </c>
      <c r="H13" s="32">
        <f>'FS Desroches Daily'!J15</f>
        <v>1199.9999999998679</v>
      </c>
      <c r="I13" s="31">
        <f>'FS Desroches Daily'!L15</f>
        <v>1800.0000000002458</v>
      </c>
      <c r="J13" s="32">
        <f>'FS Desroches Daily'!N15</f>
        <v>999.99999999988984</v>
      </c>
      <c r="K13" s="13">
        <f>'FS Desroches Daily'!P15</f>
        <v>4</v>
      </c>
      <c r="L13" s="31">
        <f>'FS Desroches Daily'!R15</f>
        <v>2</v>
      </c>
      <c r="M13" s="31">
        <f>'FS Desroches Daily'!T15</f>
        <v>300</v>
      </c>
      <c r="N13" s="31">
        <f>'FS Desroches Daily'!V15</f>
        <v>307</v>
      </c>
      <c r="O13" s="31">
        <f>'FS Desroches Daily'!X15</f>
        <v>259.99999999999091</v>
      </c>
      <c r="P13" s="31">
        <f>'FS Desroches Daily'!Z15</f>
        <v>2399.9999999997358</v>
      </c>
      <c r="Q13" s="31">
        <f>'FS Desroches Daily'!AB15</f>
        <v>209.99999999997954</v>
      </c>
      <c r="R13" s="31">
        <f>'FS Desroches Daily'!AD15</f>
        <v>290.00000000002046</v>
      </c>
      <c r="S13" s="31">
        <f>'FS Desroches Daily'!AF15</f>
        <v>370.00000000000455</v>
      </c>
      <c r="T13" s="31">
        <f>'FS Desroches Daily'!AH15</f>
        <v>35</v>
      </c>
      <c r="U13" s="35">
        <f>'FS Desroches Daily'!AJ15</f>
        <v>799.99999999995453</v>
      </c>
      <c r="V13" s="35">
        <f>'FS Desroches Daily'!AL15</f>
        <v>170.00000000001592</v>
      </c>
      <c r="W13" s="35">
        <f>'FS Desroches Daily'!AN15</f>
        <v>99.999999999994316</v>
      </c>
      <c r="X13" s="35">
        <f>'FS Desroches Daily'!AP15</f>
        <v>109.99999999998522</v>
      </c>
      <c r="Y13" s="35">
        <f>'FS Desroches Daily'!AR15</f>
        <v>189.99999999999773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39.99999999996362</v>
      </c>
      <c r="AC13" s="35">
        <f>'FS Desroches Daily'!AZ15</f>
        <v>50.000000000011369</v>
      </c>
      <c r="AD13" s="35">
        <f>'FS Desroches Daily'!BB15</f>
        <v>20.000000000038654</v>
      </c>
      <c r="AE13" s="35">
        <f>'FS Desroches Daily'!BD15</f>
        <v>159.99999999999659</v>
      </c>
      <c r="AF13" s="31">
        <f>'FS Desroches Daily'!BF15</f>
        <v>32</v>
      </c>
      <c r="AG13" s="32">
        <f>'FS Desroches Daily'!BH15</f>
        <v>49.999999999982947</v>
      </c>
      <c r="AH13" s="32">
        <f>'FS Desroches Daily'!BJ15</f>
        <v>30.000000000029559</v>
      </c>
      <c r="AI13" s="32">
        <f>'FS Desroches Daily'!BL15</f>
        <v>30.000000000001137</v>
      </c>
      <c r="AJ13" s="32">
        <f>'FS Desroches Daily'!BN15</f>
        <v>39.999999999992042</v>
      </c>
      <c r="AK13" s="32">
        <f>'FS Desroches Daily'!BP15</f>
        <v>30.000000000029559</v>
      </c>
      <c r="AL13" s="32">
        <f>'FS Desroches Daily'!BR15</f>
        <v>22</v>
      </c>
      <c r="AM13" s="32">
        <f>'FS Desroches Daily'!BT15</f>
        <v>30.000000000001137</v>
      </c>
      <c r="AN13" s="32">
        <f>'FS Desroches Daily'!BV15</f>
        <v>43</v>
      </c>
      <c r="AO13" s="32">
        <f>'FS Desroches Daily'!BX15</f>
        <v>19.99999999998181</v>
      </c>
      <c r="AP13" s="32">
        <f>'FS Desroches Daily'!BZ15</f>
        <v>43</v>
      </c>
      <c r="AQ13" s="31">
        <f>'FS Desroches Daily'!CB15</f>
        <v>35.69999999999709</v>
      </c>
      <c r="AR13" s="31">
        <f>'FS Desroches Daily'!CD15</f>
        <v>7.5</v>
      </c>
      <c r="AS13" s="31">
        <f>'FS Desroches Daily'!CF15</f>
        <v>0</v>
      </c>
      <c r="AT13" s="31">
        <f>'FS Desroches Daily'!CH15</f>
        <v>38.30000000000291</v>
      </c>
      <c r="AU13" s="31">
        <f>'FS Desroches Daily'!CJ15</f>
        <v>276</v>
      </c>
      <c r="AV13" s="31">
        <f>'FS Desroches Daily'!CL15</f>
        <v>600.00000000002274</v>
      </c>
      <c r="AW13" s="31">
        <f>'FS Desroches Daily'!CM15</f>
        <v>61.299999999999272</v>
      </c>
      <c r="AX13" s="31" t="str">
        <f>IF(LPG!G21-LPG!F19&lt;0,"0",(LPG!G21-LPG!F19)*1.8315)</f>
        <v>0</v>
      </c>
      <c r="AY13" s="31">
        <f>IF(LPG!H20-LPG!H19&lt;0,"0",(LPG!H20-LPG!H19)*1.8315)</f>
        <v>7.3259999999999996</v>
      </c>
      <c r="AZ13" s="31">
        <f>IF(LPG!J20-LPG!J19&lt;0,"0",(LPG!J20-LPG!J19)*1.8315)</f>
        <v>1.8314999999999999</v>
      </c>
      <c r="BA13" s="31">
        <f>IF(LPG!M20-LPG!M19&lt;0,"0",(LPG!M20-LPG!M19)*1.8315)</f>
        <v>3.6629999999999998</v>
      </c>
      <c r="BB13" s="31">
        <f>IF(LPG!Q20-LPG!Q19&lt;0,"0",(LPG!Q20-LPG!Q19)*1.8315)</f>
        <v>5.4944999999999995</v>
      </c>
      <c r="BC13" s="13">
        <f>'FS Desroches Daily'!CN15</f>
        <v>13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2021</v>
      </c>
      <c r="E14" s="31">
        <f>'FS Desroches Daily'!D16</f>
        <v>1999.9999999997797</v>
      </c>
      <c r="F14" s="32">
        <f>'FS Desroches Daily'!F16</f>
        <v>2499.9999999999468</v>
      </c>
      <c r="G14" s="31">
        <f>'FS Desroches Daily'!H16</f>
        <v>2399.9999999997358</v>
      </c>
      <c r="H14" s="32">
        <f>'FS Desroches Daily'!J16</f>
        <v>1300.0000000000789</v>
      </c>
      <c r="I14" s="31">
        <f>'FS Desroches Daily'!L16</f>
        <v>1799.9999999998017</v>
      </c>
      <c r="J14" s="32">
        <f>'FS Desroches Daily'!N16</f>
        <v>900.0000000001229</v>
      </c>
      <c r="K14" s="13">
        <f>'FS Desroches Daily'!P16</f>
        <v>4</v>
      </c>
      <c r="L14" s="31">
        <f>'FS Desroches Daily'!R16</f>
        <v>1</v>
      </c>
      <c r="M14" s="31">
        <f>'FS Desroches Daily'!T16</f>
        <v>900</v>
      </c>
      <c r="N14" s="31">
        <f>'FS Desroches Daily'!V16</f>
        <v>342.20000000001164</v>
      </c>
      <c r="O14" s="31">
        <f>'FS Desroches Daily'!X16</f>
        <v>250</v>
      </c>
      <c r="P14" s="31">
        <f>'FS Desroches Daily'!Z16</f>
        <v>2299.9999999999686</v>
      </c>
      <c r="Q14" s="31">
        <f>'FS Desroches Daily'!AB16</f>
        <v>300.00000000001137</v>
      </c>
      <c r="R14" s="31">
        <f>'FS Desroches Daily'!AD16</f>
        <v>180.00000000000682</v>
      </c>
      <c r="S14" s="31">
        <f>'FS Desroches Daily'!AF16</f>
        <v>299.99999999995453</v>
      </c>
      <c r="T14" s="31">
        <f>'FS Desroches Daily'!AH16</f>
        <v>35</v>
      </c>
      <c r="U14" s="35">
        <f>'FS Desroches Daily'!AJ16</f>
        <v>769.99999999998181</v>
      </c>
      <c r="V14" s="35">
        <f>'FS Desroches Daily'!AL16</f>
        <v>159.99999999999659</v>
      </c>
      <c r="W14" s="35">
        <f>'FS Desroches Daily'!AN16</f>
        <v>140.00000000001478</v>
      </c>
      <c r="X14" s="35">
        <f>'FS Desroches Daily'!AP16</f>
        <v>100.00000000002274</v>
      </c>
      <c r="Y14" s="35">
        <f>'FS Desroches Daily'!AR16</f>
        <v>170.00000000001592</v>
      </c>
      <c r="Z14" s="35">
        <f>'FS Desroches Daily'!AT16</f>
        <v>160.00000000002501</v>
      </c>
      <c r="AA14" s="35">
        <f>'FS Desroches Daily'!AT16</f>
        <v>160.00000000002501</v>
      </c>
      <c r="AB14" s="35">
        <f>'FS Desroches Daily'!AV16</f>
        <v>60.000000000002274</v>
      </c>
      <c r="AC14" s="35">
        <f>'FS Desroches Daily'!AZ16</f>
        <v>50.000000000011369</v>
      </c>
      <c r="AD14" s="35">
        <f>'FS Desroches Daily'!BB16</f>
        <v>29.999999999972715</v>
      </c>
      <c r="AE14" s="35">
        <f>'FS Desroches Daily'!BD16</f>
        <v>140.00000000001478</v>
      </c>
      <c r="AF14" s="31">
        <f>'FS Desroches Daily'!BF16</f>
        <v>30</v>
      </c>
      <c r="AG14" s="32">
        <f>'FS Desroches Daily'!BH16</f>
        <v>40.000000000020464</v>
      </c>
      <c r="AH14" s="32">
        <f>'FS Desroches Daily'!BJ16</f>
        <v>29.999999999972715</v>
      </c>
      <c r="AI14" s="32">
        <f>'FS Desroches Daily'!BL16</f>
        <v>30.000000000001137</v>
      </c>
      <c r="AJ14" s="32">
        <f>'FS Desroches Daily'!BN16</f>
        <v>39.999999999992042</v>
      </c>
      <c r="AK14" s="32">
        <f>'FS Desroches Daily'!BP16</f>
        <v>40.000000000020464</v>
      </c>
      <c r="AL14" s="32">
        <f>'FS Desroches Daily'!BR16</f>
        <v>27</v>
      </c>
      <c r="AM14" s="32">
        <f>'FS Desroches Daily'!BT16</f>
        <v>20.000000000010232</v>
      </c>
      <c r="AN14" s="32">
        <f>'FS Desroches Daily'!BV16</f>
        <v>36</v>
      </c>
      <c r="AO14" s="32">
        <f>'FS Desroches Daily'!BX16</f>
        <v>30.000000000001137</v>
      </c>
      <c r="AP14" s="32">
        <f>'FS Desroches Daily'!BZ16</f>
        <v>46</v>
      </c>
      <c r="AQ14" s="31">
        <f>'FS Desroches Daily'!CB16</f>
        <v>38.5</v>
      </c>
      <c r="AR14" s="31">
        <f>'FS Desroches Daily'!CD16</f>
        <v>10.299999999999272</v>
      </c>
      <c r="AS14" s="31">
        <f>'FS Desroches Daily'!CF16</f>
        <v>11.399999999999636</v>
      </c>
      <c r="AT14" s="31">
        <f>'FS Desroches Daily'!CH16</f>
        <v>29</v>
      </c>
      <c r="AU14" s="31">
        <f>'FS Desroches Daily'!CJ16</f>
        <v>263</v>
      </c>
      <c r="AV14" s="31">
        <f>'FS Desroches Daily'!CL16</f>
        <v>509.99999999999091</v>
      </c>
      <c r="AW14" s="31">
        <f>'FS Desroches Daily'!CM16</f>
        <v>71.700000000000728</v>
      </c>
      <c r="AX14" s="31">
        <f>IF(LPG!F21-LPG!G21&lt;0,"0",(LPG!F21-LPG!G21)*1.8315)</f>
        <v>9967.0229999999992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1.8314999999999999</v>
      </c>
      <c r="BB14" s="31">
        <f>IF(LPG!Q21-LPG!Q20&lt;0,"0",(LPG!Q21-LPG!Q20)*1.8315)</f>
        <v>5.4944999999999995</v>
      </c>
      <c r="BC14" s="13">
        <f>'FS Desroches Daily'!CN16</f>
        <v>13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2021</v>
      </c>
      <c r="E15" s="31">
        <f>'FS Desroches Daily'!D17</f>
        <v>2000.0000000002237</v>
      </c>
      <c r="F15" s="32">
        <f>'FS Desroches Daily'!F17</f>
        <v>2499.9999999999468</v>
      </c>
      <c r="G15" s="31">
        <f>'FS Desroches Daily'!H17</f>
        <v>2400.0000000001796</v>
      </c>
      <c r="H15" s="32">
        <f>'FS Desroches Daily'!J17</f>
        <v>1200.0000000000898</v>
      </c>
      <c r="I15" s="31">
        <f>'FS Desroches Daily'!L17</f>
        <v>1799.9999999998017</v>
      </c>
      <c r="J15" s="32">
        <f>'FS Desroches Daily'!N17</f>
        <v>899.99999999990087</v>
      </c>
      <c r="K15" s="13">
        <f>'FS Desroches Daily'!P17</f>
        <v>6</v>
      </c>
      <c r="L15" s="31">
        <f>'FS Desroches Daily'!R17</f>
        <v>2</v>
      </c>
      <c r="M15" s="31">
        <f>'FS Desroches Daily'!T17</f>
        <v>800</v>
      </c>
      <c r="N15" s="31">
        <f>'FS Desroches Daily'!V17</f>
        <v>284</v>
      </c>
      <c r="O15" s="31">
        <f>'FS Desroches Daily'!X17</f>
        <v>230.00000000001819</v>
      </c>
      <c r="P15" s="31">
        <f>'FS Desroches Daily'!Z17</f>
        <v>2200.0000000002019</v>
      </c>
      <c r="Q15" s="31">
        <f>'FS Desroches Daily'!AB17</f>
        <v>319.99999999999318</v>
      </c>
      <c r="R15" s="31">
        <f>'FS Desroches Daily'!AD17</f>
        <v>199.99999999998863</v>
      </c>
      <c r="S15" s="31">
        <f>'FS Desroches Daily'!AF17</f>
        <v>320.00000000005002</v>
      </c>
      <c r="T15" s="31">
        <f>'FS Desroches Daily'!AH17</f>
        <v>34</v>
      </c>
      <c r="U15" s="35">
        <f>'FS Desroches Daily'!AJ17</f>
        <v>740.00000000000909</v>
      </c>
      <c r="V15" s="35">
        <f>'FS Desroches Daily'!AL17</f>
        <v>139.99999999998636</v>
      </c>
      <c r="W15" s="35">
        <f>'FS Desroches Daily'!AN17</f>
        <v>139.99999999998636</v>
      </c>
      <c r="X15" s="35">
        <f>'FS Desroches Daily'!AP17</f>
        <v>89.999999999974989</v>
      </c>
      <c r="Y15" s="35">
        <f>'FS Desroches Daily'!AR17</f>
        <v>159.99999999999659</v>
      </c>
      <c r="Z15" s="35">
        <f>'FS Desroches Daily'!AT17</f>
        <v>179.99999999994998</v>
      </c>
      <c r="AA15" s="35">
        <f>'FS Desroches Daily'!AT17</f>
        <v>179.99999999994998</v>
      </c>
      <c r="AB15" s="35">
        <f>'FS Desroches Daily'!AV17</f>
        <v>60.000000000002274</v>
      </c>
      <c r="AC15" s="35">
        <f>'FS Desroches Daily'!AZ17</f>
        <v>60.000000000002274</v>
      </c>
      <c r="AD15" s="35">
        <f>'FS Desroches Daily'!BB17</f>
        <v>20.000000000038654</v>
      </c>
      <c r="AE15" s="35">
        <f>'FS Desroches Daily'!BD17</f>
        <v>129.99999999999545</v>
      </c>
      <c r="AF15" s="31">
        <f>'FS Desroches Daily'!BF17</f>
        <v>28</v>
      </c>
      <c r="AG15" s="32">
        <f>'FS Desroches Daily'!BH17</f>
        <v>49.999999999982947</v>
      </c>
      <c r="AH15" s="32">
        <f>'FS Desroches Daily'!BJ17</f>
        <v>30.000000000029559</v>
      </c>
      <c r="AI15" s="32">
        <f>'FS Desroches Daily'!BL17</f>
        <v>20.000000000010232</v>
      </c>
      <c r="AJ15" s="32">
        <f>'FS Desroches Daily'!BN17</f>
        <v>40.000000000020464</v>
      </c>
      <c r="AK15" s="32">
        <f>'FS Desroches Daily'!BP17</f>
        <v>29.999999999972715</v>
      </c>
      <c r="AL15" s="32">
        <f>'FS Desroches Daily'!BR17</f>
        <v>33</v>
      </c>
      <c r="AM15" s="32">
        <f>'FS Desroches Daily'!BT17</f>
        <v>30.000000000001137</v>
      </c>
      <c r="AN15" s="32">
        <f>'FS Desroches Daily'!BV17</f>
        <v>37</v>
      </c>
      <c r="AO15" s="32">
        <f>'FS Desroches Daily'!BX17</f>
        <v>20.000000000010232</v>
      </c>
      <c r="AP15" s="32">
        <f>'FS Desroches Daily'!BZ17</f>
        <v>46</v>
      </c>
      <c r="AQ15" s="31">
        <f>'FS Desroches Daily'!CB17</f>
        <v>30.5</v>
      </c>
      <c r="AR15" s="31">
        <f>'FS Desroches Daily'!CD17</f>
        <v>7.1000000000003638</v>
      </c>
      <c r="AS15" s="31">
        <f>'FS Desroches Daily'!CF17</f>
        <v>4.6000000000003638</v>
      </c>
      <c r="AT15" s="31">
        <f>'FS Desroches Daily'!CH17</f>
        <v>29.19999999999709</v>
      </c>
      <c r="AU15" s="31">
        <f>'FS Desroches Daily'!CJ17</f>
        <v>262</v>
      </c>
      <c r="AV15" s="31">
        <f>'FS Desroches Daily'!CL17</f>
        <v>610.00000000001364</v>
      </c>
      <c r="AW15" s="31">
        <f>'FS Desroches Daily'!CM17</f>
        <v>68</v>
      </c>
      <c r="AX15" s="31">
        <f>IF(LPG!F22-LPG!F21&lt;0,"0",(LPG!F22-LPG!F21)*1.8315)</f>
        <v>9.1574999999999989</v>
      </c>
      <c r="AY15" s="31">
        <f>IF(LPG!H22-LPG!H21&lt;0,"0",(LPG!H22-LPG!H21)*1.8315)</f>
        <v>5.4944999999999995</v>
      </c>
      <c r="AZ15" s="31">
        <f>IF(LPG!J22-LPG!J21&lt;0,"0",(LPG!J22-LPG!J21)*1.8315)</f>
        <v>1.8314999999999999</v>
      </c>
      <c r="BA15" s="31">
        <f>IF(LPG!M22-LPG!M21&lt;0,"0",(LPG!M22-LPG!M21)*1.8315)</f>
        <v>0</v>
      </c>
      <c r="BB15" s="31">
        <f>IF(LPG!Q22-LPG!Q21&lt;0,"0",(LPG!Q22-LPG!Q21)*1.8315)</f>
        <v>7.3259999999999996</v>
      </c>
      <c r="BC15" s="13">
        <f>'FS Desroches Daily'!CN17</f>
        <v>16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2021</v>
      </c>
      <c r="E16" s="31">
        <f>'FS Desroches Daily'!D18</f>
        <v>2299.9999999999686</v>
      </c>
      <c r="F16" s="32">
        <f>'FS Desroches Daily'!F18</f>
        <v>2299.9999999999686</v>
      </c>
      <c r="G16" s="31">
        <f>'FS Desroches Daily'!H18</f>
        <v>2600.0000000001578</v>
      </c>
      <c r="H16" s="32">
        <f>'FS Desroches Daily'!J18</f>
        <v>1199.9999999998679</v>
      </c>
      <c r="I16" s="31">
        <f>'FS Desroches Daily'!L18</f>
        <v>1900.0000000000127</v>
      </c>
      <c r="J16" s="32">
        <f>'FS Desroches Daily'!N18</f>
        <v>800.00000000013392</v>
      </c>
      <c r="K16" s="13">
        <f>'FS Desroches Daily'!P18</f>
        <v>4</v>
      </c>
      <c r="L16" s="31">
        <f>'FS Desroches Daily'!R18</f>
        <v>1</v>
      </c>
      <c r="M16" s="31">
        <f>'FS Desroches Daily'!T18</f>
        <v>800</v>
      </c>
      <c r="N16" s="31">
        <f>'FS Desroches Daily'!V18</f>
        <v>319.09999999997672</v>
      </c>
      <c r="O16" s="31">
        <f>'FS Desroches Daily'!X18</f>
        <v>240.00000000000909</v>
      </c>
      <c r="P16" s="31">
        <f>'FS Desroches Daily'!Z18</f>
        <v>1999.9999999997797</v>
      </c>
      <c r="Q16" s="31">
        <f>'FS Desroches Daily'!AB18</f>
        <v>189.99999999999773</v>
      </c>
      <c r="R16" s="31">
        <f>'FS Desroches Daily'!AD18</f>
        <v>230.00000000001819</v>
      </c>
      <c r="S16" s="31">
        <f>'FS Desroches Daily'!AF18</f>
        <v>289.99999999996362</v>
      </c>
      <c r="T16" s="31">
        <f>'FS Desroches Daily'!AH18</f>
        <v>32</v>
      </c>
      <c r="U16" s="35">
        <f>'FS Desroches Daily'!AJ18</f>
        <v>730.00000000001819</v>
      </c>
      <c r="V16" s="35">
        <f>'FS Desroches Daily'!AL18</f>
        <v>159.99999999999659</v>
      </c>
      <c r="W16" s="35">
        <f>'FS Desroches Daily'!AN18</f>
        <v>140.00000000001478</v>
      </c>
      <c r="X16" s="35">
        <f>'FS Desroches Daily'!AP18</f>
        <v>90.000000000003411</v>
      </c>
      <c r="Y16" s="35">
        <f>'FS Desroches Daily'!AR18</f>
        <v>150.00000000000568</v>
      </c>
      <c r="Z16" s="35">
        <f>'FS Desroches Daily'!AT18</f>
        <v>220.00000000002728</v>
      </c>
      <c r="AA16" s="35">
        <f>'FS Desroches Daily'!AT18</f>
        <v>220.00000000002728</v>
      </c>
      <c r="AB16" s="35">
        <f>'FS Desroches Daily'!AV18</f>
        <v>60.000000000002274</v>
      </c>
      <c r="AC16" s="35">
        <f>'FS Desroches Daily'!AZ18</f>
        <v>40.000000000020464</v>
      </c>
      <c r="AD16" s="35">
        <f>'FS Desroches Daily'!BB18</f>
        <v>39.99999999996362</v>
      </c>
      <c r="AE16" s="35">
        <f>'FS Desroches Daily'!BD18</f>
        <v>139.99999999998636</v>
      </c>
      <c r="AF16" s="31">
        <f>'FS Desroches Daily'!BF18</f>
        <v>31</v>
      </c>
      <c r="AG16" s="32">
        <f>'FS Desroches Daily'!BH18</f>
        <v>40.000000000020464</v>
      </c>
      <c r="AH16" s="32">
        <f>'FS Desroches Daily'!BJ18</f>
        <v>29.999999999972715</v>
      </c>
      <c r="AI16" s="32">
        <f>'FS Desroches Daily'!BL18</f>
        <v>30.000000000001137</v>
      </c>
      <c r="AJ16" s="32">
        <f>'FS Desroches Daily'!BN18</f>
        <v>30.000000000001137</v>
      </c>
      <c r="AK16" s="32">
        <f>'FS Desroches Daily'!BP18</f>
        <v>40.000000000020464</v>
      </c>
      <c r="AL16" s="32">
        <f>'FS Desroches Daily'!BR18</f>
        <v>28</v>
      </c>
      <c r="AM16" s="32">
        <f>'FS Desroches Daily'!BT18</f>
        <v>30.000000000001137</v>
      </c>
      <c r="AN16" s="32">
        <f>'FS Desroches Daily'!BV18</f>
        <v>33</v>
      </c>
      <c r="AO16" s="32">
        <f>'FS Desroches Daily'!BX18</f>
        <v>20.000000000010232</v>
      </c>
      <c r="AP16" s="32">
        <f>'FS Desroches Daily'!BZ18</f>
        <v>41</v>
      </c>
      <c r="AQ16" s="31">
        <f>'FS Desroches Daily'!CB18</f>
        <v>38.900000000001455</v>
      </c>
      <c r="AR16" s="31">
        <f>'FS Desroches Daily'!CD18</f>
        <v>7.1000000000003638</v>
      </c>
      <c r="AS16" s="31">
        <f>'FS Desroches Daily'!CF18</f>
        <v>1.5</v>
      </c>
      <c r="AT16" s="31">
        <f>'FS Desroches Daily'!CH18</f>
        <v>33.5</v>
      </c>
      <c r="AU16" s="31">
        <f>'FS Desroches Daily'!CJ18</f>
        <v>261</v>
      </c>
      <c r="AV16" s="31">
        <f>'FS Desroches Daily'!CL18</f>
        <v>610.00000000001364</v>
      </c>
      <c r="AW16" s="31">
        <f>'FS Desroches Daily'!CM18</f>
        <v>77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3.6629999999999998</v>
      </c>
      <c r="BB16" s="31">
        <f>IF(LPG!Q23-LPG!Q22&lt;0,"0",(LPG!Q23-LPG!Q22)*1.8315)</f>
        <v>5.4944999999999995</v>
      </c>
      <c r="BC16" s="13">
        <f>'FS Desroches Daily'!CN18</f>
        <v>15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2021</v>
      </c>
      <c r="E17" s="31">
        <f>'FS Desroches Daily'!D19</f>
        <v>2099.9999999999909</v>
      </c>
      <c r="F17" s="32">
        <f>'FS Desroches Daily'!F19</f>
        <v>2499.9999999999468</v>
      </c>
      <c r="G17" s="31">
        <f>'FS Desroches Daily'!H19</f>
        <v>2499.9999999999468</v>
      </c>
      <c r="H17" s="32">
        <f>'FS Desroches Daily'!J19</f>
        <v>1300.0000000000789</v>
      </c>
      <c r="I17" s="31">
        <f>'FS Desroches Daily'!L19</f>
        <v>2000.0000000002237</v>
      </c>
      <c r="J17" s="32">
        <f>'FS Desroches Daily'!N19</f>
        <v>999.99999999988984</v>
      </c>
      <c r="K17" s="13">
        <f>'FS Desroches Daily'!P19</f>
        <v>0</v>
      </c>
      <c r="L17" s="31">
        <f>'FS Desroches Daily'!R19</f>
        <v>2</v>
      </c>
      <c r="M17" s="31">
        <f>'FS Desroches Daily'!T19</f>
        <v>800</v>
      </c>
      <c r="N17" s="31">
        <f>'FS Desroches Daily'!V19</f>
        <v>276.20000000001164</v>
      </c>
      <c r="O17" s="31">
        <f>'FS Desroches Daily'!X19</f>
        <v>229.99999999996135</v>
      </c>
      <c r="P17" s="31">
        <f>'FS Desroches Daily'!Z19</f>
        <v>2299.9999999999686</v>
      </c>
      <c r="Q17" s="31">
        <f>'FS Desroches Daily'!AB19</f>
        <v>300.00000000001137</v>
      </c>
      <c r="R17" s="31">
        <f>'FS Desroches Daily'!AD19</f>
        <v>250</v>
      </c>
      <c r="S17" s="31">
        <f>'FS Desroches Daily'!AF19</f>
        <v>350.00000000002274</v>
      </c>
      <c r="T17" s="31">
        <f>'FS Desroches Daily'!AH19</f>
        <v>37</v>
      </c>
      <c r="U17" s="35">
        <f>'FS Desroches Daily'!AJ19</f>
        <v>680.00000000006366</v>
      </c>
      <c r="V17" s="35">
        <f>'FS Desroches Daily'!AL19</f>
        <v>150.00000000000568</v>
      </c>
      <c r="W17" s="35">
        <f>'FS Desroches Daily'!AN19</f>
        <v>159.99999999999659</v>
      </c>
      <c r="X17" s="35">
        <f>'FS Desroches Daily'!AP19</f>
        <v>99.999999999994316</v>
      </c>
      <c r="Y17" s="35">
        <f>'FS Desroches Daily'!AR19</f>
        <v>99.999999999994316</v>
      </c>
      <c r="Z17" s="35">
        <f>'FS Desroches Daily'!AU20</f>
        <v>286.88</v>
      </c>
      <c r="AA17" s="35">
        <f>'FS Desroches Daily'!AU20</f>
        <v>286.88</v>
      </c>
      <c r="AB17" s="35">
        <f>'FS Desroches Daily'!AV19</f>
        <v>69.999999999993179</v>
      </c>
      <c r="AC17" s="35">
        <f>'FS Desroches Daily'!AZ19</f>
        <v>29.999999999972715</v>
      </c>
      <c r="AD17" s="35">
        <f>'FS Desroches Daily'!BB19</f>
        <v>20.000000000038654</v>
      </c>
      <c r="AE17" s="35">
        <f>'FS Desroches Daily'!BD19</f>
        <v>140.00000000001478</v>
      </c>
      <c r="AF17" s="31">
        <f>'FS Desroches Daily'!BF19</f>
        <v>23</v>
      </c>
      <c r="AG17" s="32">
        <f>'FS Desroches Daily'!BH19</f>
        <v>49.999999999982947</v>
      </c>
      <c r="AH17" s="32">
        <f>'FS Desroches Daily'!BJ19</f>
        <v>30.000000000029559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29.999999999972715</v>
      </c>
      <c r="AL17" s="32">
        <f>'FS Desroches Daily'!BR19</f>
        <v>36</v>
      </c>
      <c r="AM17" s="32">
        <f>'FS Desroches Daily'!BT19</f>
        <v>30.000000000001137</v>
      </c>
      <c r="AN17" s="32">
        <f>'FS Desroches Daily'!BV19</f>
        <v>35</v>
      </c>
      <c r="AO17" s="32">
        <f>'FS Desroches Daily'!BX19</f>
        <v>19.99999999998181</v>
      </c>
      <c r="AP17" s="32">
        <f>'FS Desroches Daily'!BZ19</f>
        <v>46</v>
      </c>
      <c r="AQ17" s="31">
        <f>'FS Desroches Daily'!CB19</f>
        <v>31.900000000001455</v>
      </c>
      <c r="AR17" s="31">
        <f>'FS Desroches Daily'!CD19</f>
        <v>8.7000000000007276</v>
      </c>
      <c r="AS17" s="31">
        <f>'FS Desroches Daily'!CF19</f>
        <v>8.3000000000001819</v>
      </c>
      <c r="AT17" s="31">
        <f>'FS Desroches Daily'!CH19</f>
        <v>35.19999999999709</v>
      </c>
      <c r="AU17" s="31">
        <f>'FS Desroches Daily'!CJ19</f>
        <v>278</v>
      </c>
      <c r="AV17" s="31">
        <f>'FS Desroches Daily'!CL19</f>
        <v>709.99999999992269</v>
      </c>
      <c r="AW17" s="31">
        <f>'FS Desroches Daily'!CM19</f>
        <v>87</v>
      </c>
      <c r="AX17" s="31">
        <f>IF(LPG!F24-LPG!F23&lt;0,"0",(LPG!F24-LPG!F23)*1.8315)</f>
        <v>10.988999999999999</v>
      </c>
      <c r="AY17" s="31">
        <f>IF(LPG!H24-LPG!H23&lt;0,"0",(LPG!H24-LPG!H23)*1.8315)</f>
        <v>5.4944999999999995</v>
      </c>
      <c r="AZ17" s="31">
        <f>IF(LPG!J24-LPG!J23&lt;0,"0",(LPG!J24-LPG!J23)*1.8315)</f>
        <v>1.8314999999999999</v>
      </c>
      <c r="BA17" s="31">
        <f>IF(LPG!M24-LPG!M23&lt;0,"0",(LPG!M24-LPG!M23)*1.8315)</f>
        <v>1.8314999999999999</v>
      </c>
      <c r="BB17" s="31">
        <f>IF(LPG!Q24-LPG!Q23&lt;0,"0",(LPG!Q24-LPG!Q23)*1.8315)</f>
        <v>9.1574999999999989</v>
      </c>
      <c r="BC17" s="13">
        <f>'FS Desroches Daily'!CN19</f>
        <v>15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2021</v>
      </c>
      <c r="E18" s="31">
        <f>'FS Desroches Daily'!D20</f>
        <v>1900.0000000000127</v>
      </c>
      <c r="F18" s="32">
        <f>'FS Desroches Daily'!F20</f>
        <v>2600.0000000001578</v>
      </c>
      <c r="G18" s="31">
        <f>'FS Desroches Daily'!H20</f>
        <v>2699.9999999999245</v>
      </c>
      <c r="H18" s="32">
        <f>'FS Desroches Daily'!J20</f>
        <v>1200.0000000000898</v>
      </c>
      <c r="I18" s="31">
        <f>'FS Desroches Daily'!L20</f>
        <v>1999.9999999997797</v>
      </c>
      <c r="J18" s="32">
        <f>'FS Desroches Daily'!N20</f>
        <v>1000.0000000001119</v>
      </c>
      <c r="K18" s="13">
        <f>'FS Desroches Daily'!P20</f>
        <v>6</v>
      </c>
      <c r="L18" s="31">
        <f>'FS Desroches Daily'!R20</f>
        <v>2</v>
      </c>
      <c r="M18" s="31">
        <f>'FS Desroches Daily'!T20</f>
        <v>1000</v>
      </c>
      <c r="N18" s="31">
        <f>'FS Desroches Daily'!V20</f>
        <v>341.20000000001164</v>
      </c>
      <c r="O18" s="31">
        <f>'FS Desroches Daily'!X20</f>
        <v>240.00000000000909</v>
      </c>
      <c r="P18" s="31">
        <f>'FS Desroches Daily'!Z20</f>
        <v>2300.0000000004129</v>
      </c>
      <c r="Q18" s="31">
        <f>'FS Desroches Daily'!AB20</f>
        <v>279.99999999997272</v>
      </c>
      <c r="R18" s="31">
        <f>'FS Desroches Daily'!AD20</f>
        <v>269.99999999998181</v>
      </c>
      <c r="S18" s="31">
        <f>'FS Desroches Daily'!AF20</f>
        <v>299.99999999995453</v>
      </c>
      <c r="T18" s="31">
        <f>'FS Desroches Daily'!AH20</f>
        <v>38</v>
      </c>
      <c r="U18" s="35">
        <f>'FS Desroches Daily'!AJ20</f>
        <v>699.99999999993179</v>
      </c>
      <c r="V18" s="35">
        <f>'FS Desroches Daily'!AL20</f>
        <v>140.00000000001478</v>
      </c>
      <c r="W18" s="35">
        <f>'FS Desroches Daily'!AN20</f>
        <v>139.99999999998636</v>
      </c>
      <c r="X18" s="35">
        <f>'FS Desroches Daily'!AP20</f>
        <v>130.00000000002387</v>
      </c>
      <c r="Y18" s="35">
        <f>'FS Desroches Daily'!AR20</f>
        <v>79.999999999984084</v>
      </c>
      <c r="Z18" s="35">
        <f>'FS Desroches Daily'!AT20</f>
        <v>200.00000000004547</v>
      </c>
      <c r="AA18" s="35">
        <f>'FS Desroches Daily'!AT20</f>
        <v>200.00000000004547</v>
      </c>
      <c r="AB18" s="35">
        <f>'FS Desroches Daily'!AV20</f>
        <v>50.000000000011369</v>
      </c>
      <c r="AC18" s="35">
        <f>'FS Desroches Daily'!AZ20</f>
        <v>30.000000000029559</v>
      </c>
      <c r="AD18" s="35">
        <f>'FS Desroches Daily'!BB20</f>
        <v>19.99999999998181</v>
      </c>
      <c r="AE18" s="35">
        <f>'FS Desroches Daily'!BD20</f>
        <v>129.99999999999545</v>
      </c>
      <c r="AF18" s="31">
        <f>'FS Desroches Daily'!BF20</f>
        <v>35</v>
      </c>
      <c r="AG18" s="32">
        <f>'FS Desroches Daily'!BH20</f>
        <v>30.000000000001137</v>
      </c>
      <c r="AH18" s="32">
        <f>'FS Desroches Daily'!BJ20</f>
        <v>19.99999999998181</v>
      </c>
      <c r="AI18" s="32">
        <f>'FS Desroches Daily'!BL20</f>
        <v>19.99999999998181</v>
      </c>
      <c r="AJ18" s="32">
        <f>'FS Desroches Daily'!BN20</f>
        <v>30.000000000001137</v>
      </c>
      <c r="AK18" s="32">
        <f>'FS Desroches Daily'!BP20</f>
        <v>19.99999999998181</v>
      </c>
      <c r="AL18" s="32">
        <f>'FS Desroches Daily'!BR20</f>
        <v>33</v>
      </c>
      <c r="AM18" s="32">
        <f>'FS Desroches Daily'!BT20</f>
        <v>30.000000000001137</v>
      </c>
      <c r="AN18" s="32">
        <f>'FS Desroches Daily'!BV20</f>
        <v>34</v>
      </c>
      <c r="AO18" s="32">
        <f>'FS Desroches Daily'!BX20</f>
        <v>20.000000000010232</v>
      </c>
      <c r="AP18" s="32">
        <f>'FS Desroches Daily'!BZ20</f>
        <v>41</v>
      </c>
      <c r="AQ18" s="31">
        <f>'FS Desroches Daily'!CB20</f>
        <v>27.799999999999272</v>
      </c>
      <c r="AR18" s="31">
        <f>'FS Desroches Daily'!CD20</f>
        <v>7.8999999999996362</v>
      </c>
      <c r="AS18" s="31">
        <f>'FS Desroches Daily'!CF20</f>
        <v>5.3999999999996362</v>
      </c>
      <c r="AT18" s="31">
        <f>'FS Desroches Daily'!CH20</f>
        <v>29.5</v>
      </c>
      <c r="AU18" s="31">
        <f>'FS Desroches Daily'!CJ20</f>
        <v>276</v>
      </c>
      <c r="AV18" s="31">
        <f>'FS Desroches Daily'!CL20</f>
        <v>590.00000000003183</v>
      </c>
      <c r="AW18" s="31">
        <f>'FS Desroches Daily'!CM20</f>
        <v>58</v>
      </c>
      <c r="AX18" s="31">
        <f>IF(LPG!F25-LPG!F24&lt;0,"0",(LPG!F25-LPG!F24)*1.8315)</f>
        <v>9.1574999999999989</v>
      </c>
      <c r="AY18" s="31">
        <f>IF(LPG!H25-LPG!H24&lt;0,"0",(LPG!H25-LPG!H24)*1.8315)</f>
        <v>7.3259999999999996</v>
      </c>
      <c r="AZ18" s="31">
        <f>IF(LPG!J25-LPG!J24&lt;0,"0",(LPG!J25-LPG!J24)*1.8315)</f>
        <v>1.8314999999999999</v>
      </c>
      <c r="BA18" s="31">
        <f>IF(LPG!M25-LPG!M24&lt;0,"0",(LPG!M25-LPG!M24)*1.8315)</f>
        <v>3.6629999999999998</v>
      </c>
      <c r="BB18" s="31">
        <f>IF(LPG!Q25-LPG!Q24&lt;0,"0",(LPG!Q25-LPG!Q24)*1.8315)</f>
        <v>7.3259999999999996</v>
      </c>
      <c r="BC18" s="13">
        <f>'FS Desroches Daily'!CN20</f>
        <v>13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2021</v>
      </c>
      <c r="E19" s="31">
        <f>'FS Desroches Daily'!D21</f>
        <v>2099.9999999999909</v>
      </c>
      <c r="F19" s="32">
        <f>'FS Desroches Daily'!F21</f>
        <v>2499.9999999999468</v>
      </c>
      <c r="G19" s="31">
        <f>'FS Desroches Daily'!H21</f>
        <v>2600.0000000001578</v>
      </c>
      <c r="H19" s="32">
        <f>'FS Desroches Daily'!J21</f>
        <v>1299.9999999998568</v>
      </c>
      <c r="I19" s="31">
        <f>'FS Desroches Daily'!L21</f>
        <v>2000.0000000002237</v>
      </c>
      <c r="J19" s="32">
        <f>'FS Desroches Daily'!N21</f>
        <v>999.99999999988984</v>
      </c>
      <c r="K19" s="13">
        <f>'FS Desroches Daily'!P21</f>
        <v>6</v>
      </c>
      <c r="L19" s="31">
        <f>'FS Desroches Daily'!R21</f>
        <v>2</v>
      </c>
      <c r="M19" s="31" t="str">
        <f>'FS Desroches Daily'!T21</f>
        <v>0</v>
      </c>
      <c r="N19" s="31">
        <f>'FS Desroches Daily'!V21</f>
        <v>283.89999999996508</v>
      </c>
      <c r="O19" s="31">
        <f>'FS Desroches Daily'!X21</f>
        <v>230.00000000001819</v>
      </c>
      <c r="P19" s="31">
        <f>'FS Desroches Daily'!Z21</f>
        <v>2399.9999999997358</v>
      </c>
      <c r="Q19" s="31">
        <f>'FS Desroches Daily'!AB21</f>
        <v>350.00000000002274</v>
      </c>
      <c r="R19" s="31">
        <f>'FS Desroches Daily'!AD21</f>
        <v>240.00000000000909</v>
      </c>
      <c r="S19" s="31">
        <f>'FS Desroches Daily'!AF21</f>
        <v>250</v>
      </c>
      <c r="T19" s="31">
        <f>'FS Desroches Daily'!AH21</f>
        <v>35</v>
      </c>
      <c r="U19" s="35">
        <f>'FS Desroches Daily'!AJ21</f>
        <v>860.00000000001364</v>
      </c>
      <c r="V19" s="35">
        <f>'FS Desroches Daily'!AL21</f>
        <v>89.999999999974989</v>
      </c>
      <c r="W19" s="35">
        <f>'FS Desroches Daily'!AN21</f>
        <v>159.99999999999659</v>
      </c>
      <c r="X19" s="35">
        <f>'FS Desroches Daily'!AP21</f>
        <v>99.999999999994316</v>
      </c>
      <c r="Y19" s="35">
        <f>'FS Desroches Daily'!AR21</f>
        <v>80.000000000012506</v>
      </c>
      <c r="Z19" s="35">
        <f>'FS Desroches Daily'!AT21</f>
        <v>129.99999999999545</v>
      </c>
      <c r="AA19" s="35">
        <f>'FS Desroches Daily'!AT21</f>
        <v>129.99999999999545</v>
      </c>
      <c r="AB19" s="35">
        <f>'FS Desroches Daily'!AV21</f>
        <v>69.999999999993179</v>
      </c>
      <c r="AC19" s="35">
        <f>'FS Desroches Daily'!AZ21</f>
        <v>39.99999999996362</v>
      </c>
      <c r="AD19" s="35">
        <f>'FS Desroches Daily'!BB21</f>
        <v>19.99999999998181</v>
      </c>
      <c r="AE19" s="35">
        <f>'FS Desroches Daily'!BD21</f>
        <v>129.99999999999545</v>
      </c>
      <c r="AF19" s="31">
        <f>'FS Desroches Daily'!BF21</f>
        <v>19</v>
      </c>
      <c r="AG19" s="32">
        <f>'FS Desroches Daily'!BH21</f>
        <v>30.000000000001137</v>
      </c>
      <c r="AH19" s="32">
        <f>'FS Desroches Daily'!BJ21</f>
        <v>30.000000000029559</v>
      </c>
      <c r="AI19" s="32">
        <f>'FS Desroches Daily'!BL21</f>
        <v>30.000000000001137</v>
      </c>
      <c r="AJ19" s="32">
        <f>'FS Desroches Daily'!BN21</f>
        <v>39.999999999992042</v>
      </c>
      <c r="AK19" s="32">
        <f>'FS Desroches Daily'!BP21</f>
        <v>30.000000000029559</v>
      </c>
      <c r="AL19" s="32">
        <f>'FS Desroches Daily'!BR21</f>
        <v>31</v>
      </c>
      <c r="AM19" s="32">
        <f>'FS Desroches Daily'!BT21</f>
        <v>19.99999999998181</v>
      </c>
      <c r="AN19" s="32">
        <f>'FS Desroches Daily'!BV21</f>
        <v>43</v>
      </c>
      <c r="AO19" s="32">
        <f>'FS Desroches Daily'!BX21</f>
        <v>30.000000000001137</v>
      </c>
      <c r="AP19" s="32">
        <f>'FS Desroches Daily'!BZ21</f>
        <v>48</v>
      </c>
      <c r="AQ19" s="31">
        <f>'FS Desroches Daily'!CB21</f>
        <v>42.299999999999272</v>
      </c>
      <c r="AR19" s="31">
        <f>'FS Desroches Daily'!CD21</f>
        <v>10.100000000000364</v>
      </c>
      <c r="AS19" s="31">
        <f>'FS Desroches Daily'!CF21</f>
        <v>11.400000000000546</v>
      </c>
      <c r="AT19" s="31">
        <f>'FS Desroches Daily'!CH21</f>
        <v>21.100000000005821</v>
      </c>
      <c r="AU19" s="31">
        <f>'FS Desroches Daily'!CJ21</f>
        <v>261</v>
      </c>
      <c r="AV19" s="31">
        <f>'FS Desroches Daily'!CL21</f>
        <v>639.99999999998636</v>
      </c>
      <c r="AW19" s="31">
        <f>'FS Desroches Daily'!CM21</f>
        <v>69</v>
      </c>
      <c r="AX19" s="31">
        <f>IF(LPG!F26-LPG!F25&lt;0,"0",(LPG!F26-LPG!F25)*1.8315)</f>
        <v>10.988999999999999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15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2021</v>
      </c>
      <c r="E20" s="31">
        <f>'FS Desroches Daily'!D22</f>
        <v>2099.9999999999909</v>
      </c>
      <c r="F20" s="32">
        <f>'FS Desroches Daily'!F22</f>
        <v>2600.0000000001578</v>
      </c>
      <c r="G20" s="31">
        <f>'FS Desroches Daily'!H22</f>
        <v>2499.9999999999468</v>
      </c>
      <c r="H20" s="32">
        <f>'FS Desroches Daily'!J22</f>
        <v>1200.0000000000898</v>
      </c>
      <c r="I20" s="31">
        <f>'FS Desroches Daily'!L22</f>
        <v>2099.9999999999909</v>
      </c>
      <c r="J20" s="32">
        <f>'FS Desroches Daily'!N22</f>
        <v>799.99999999991189</v>
      </c>
      <c r="K20" s="13">
        <f>'FS Desroches Daily'!P22</f>
        <v>6</v>
      </c>
      <c r="L20" s="31">
        <f>'FS Desroches Daily'!R22</f>
        <v>2</v>
      </c>
      <c r="M20" s="31">
        <f>'FS Desroches Daily'!T22</f>
        <v>899.99999999997726</v>
      </c>
      <c r="N20" s="31">
        <f>'FS Desroches Daily'!V22</f>
        <v>302.79999999998836</v>
      </c>
      <c r="O20" s="31">
        <f>'FS Desroches Daily'!X22</f>
        <v>240.00000000000909</v>
      </c>
      <c r="P20" s="31">
        <f>'FS Desroches Daily'!Z22</f>
        <v>2400.0000000001796</v>
      </c>
      <c r="Q20" s="31">
        <f>'FS Desroches Daily'!AB22</f>
        <v>199.99999999998863</v>
      </c>
      <c r="R20" s="31">
        <f>'FS Desroches Daily'!AD22</f>
        <v>199.99999999998863</v>
      </c>
      <c r="S20" s="31">
        <f>'FS Desroches Daily'!AF22</f>
        <v>290.00000000007731</v>
      </c>
      <c r="T20" s="31">
        <f>'FS Desroches Daily'!AH22</f>
        <v>36</v>
      </c>
      <c r="U20" s="35">
        <f>'FS Desroches Daily'!AJ22</f>
        <v>809.99999999994543</v>
      </c>
      <c r="V20" s="35">
        <f>'FS Desroches Daily'!AL22</f>
        <v>150.00000000000568</v>
      </c>
      <c r="W20" s="35">
        <f>'FS Desroches Daily'!AN22</f>
        <v>150.00000000000568</v>
      </c>
      <c r="X20" s="35">
        <f>'FS Desroches Daily'!AP22</f>
        <v>109.99999999998522</v>
      </c>
      <c r="Y20" s="35">
        <f>'FS Desroches Daily'!AR22</f>
        <v>90.000000000003411</v>
      </c>
      <c r="Z20" s="35">
        <f>'FS Desroches Daily'!AT22</f>
        <v>120.00000000000455</v>
      </c>
      <c r="AA20" s="35">
        <f>'FS Desroches Daily'!AT22</f>
        <v>120.00000000000455</v>
      </c>
      <c r="AB20" s="35">
        <f>'FS Desroches Daily'!AV22</f>
        <v>90.000000000031832</v>
      </c>
      <c r="AC20" s="35">
        <f>'FS Desroches Daily'!AZ22</f>
        <v>40.000000000020464</v>
      </c>
      <c r="AD20" s="35">
        <f>'FS Desroches Daily'!BB22</f>
        <v>20.000000000038654</v>
      </c>
      <c r="AE20" s="35">
        <f>'FS Desroches Daily'!BD22</f>
        <v>150.00000000000568</v>
      </c>
      <c r="AF20" s="31">
        <f>'FS Desroches Daily'!BF22</f>
        <v>31</v>
      </c>
      <c r="AG20" s="32">
        <f>'FS Desroches Daily'!BH22</f>
        <v>20.000000000010232</v>
      </c>
      <c r="AH20" s="32">
        <f>'FS Desroches Daily'!BJ22</f>
        <v>19.99999999998181</v>
      </c>
      <c r="AI20" s="32">
        <f>'FS Desroches Daily'!BL22</f>
        <v>30.000000000001137</v>
      </c>
      <c r="AJ20" s="32">
        <f>'FS Desroches Daily'!BN22</f>
        <v>39.999999999992042</v>
      </c>
      <c r="AK20" s="32">
        <f>'FS Desroches Daily'!BP22</f>
        <v>29.999999999972715</v>
      </c>
      <c r="AL20" s="32">
        <f>'FS Desroches Daily'!BR22</f>
        <v>29</v>
      </c>
      <c r="AM20" s="32">
        <f>'FS Desroches Daily'!BT22</f>
        <v>30.000000000001137</v>
      </c>
      <c r="AN20" s="32">
        <f>'FS Desroches Daily'!BV22</f>
        <v>45</v>
      </c>
      <c r="AO20" s="32">
        <f>'FS Desroches Daily'!BX22</f>
        <v>30.000000000001137</v>
      </c>
      <c r="AP20" s="32">
        <f>'FS Desroches Daily'!BZ22</f>
        <v>45</v>
      </c>
      <c r="AQ20" s="31">
        <f>'FS Desroches Daily'!CB22</f>
        <v>26.299999999999272</v>
      </c>
      <c r="AR20" s="31">
        <f>'FS Desroches Daily'!CD22</f>
        <v>9.0999999999985448</v>
      </c>
      <c r="AS20" s="31">
        <f>'FS Desroches Daily'!CF22</f>
        <v>0.7999999999992724</v>
      </c>
      <c r="AT20" s="31">
        <f>'FS Desroches Daily'!CH22</f>
        <v>17.799999999995634</v>
      </c>
      <c r="AU20" s="31">
        <f>'FS Desroches Daily'!CJ22</f>
        <v>292</v>
      </c>
      <c r="AV20" s="31">
        <f>'FS Desroches Daily'!CL22</f>
        <v>649.99999999997726</v>
      </c>
      <c r="AW20" s="31">
        <f>'FS Desroches Daily'!CM22</f>
        <v>67</v>
      </c>
      <c r="AX20" s="31">
        <f>IF(LPG!F27-LPG!F26&lt;0,"0",(LPG!F27-LPG!F26)*1.8315)</f>
        <v>9.1574999999999989</v>
      </c>
      <c r="AY20" s="31">
        <f>IF(LPG!H27-LPG!H26&lt;0,"0",(LPG!H27-LPG!H26)*1.8315)</f>
        <v>7.3259999999999996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2021</v>
      </c>
      <c r="E21" s="31">
        <f>'FS Desroches Daily'!D23</f>
        <v>2099.9999999999909</v>
      </c>
      <c r="F21" s="32">
        <f>'FS Desroches Daily'!F23</f>
        <v>2699.9999999999245</v>
      </c>
      <c r="G21" s="31">
        <f>'FS Desroches Daily'!H23</f>
        <v>2699.9999999999245</v>
      </c>
      <c r="H21" s="32">
        <f>'FS Desroches Daily'!J23</f>
        <v>1199.9999999998679</v>
      </c>
      <c r="I21" s="31">
        <f>'FS Desroches Daily'!L23</f>
        <v>2199.9999999997576</v>
      </c>
      <c r="J21" s="32">
        <f>'FS Desroches Daily'!N23</f>
        <v>800.00000000013392</v>
      </c>
      <c r="K21" s="13">
        <f>'FS Desroches Daily'!P23</f>
        <v>6</v>
      </c>
      <c r="L21" s="31">
        <f>'FS Desroches Daily'!R23</f>
        <v>2</v>
      </c>
      <c r="M21" s="31">
        <f>'FS Desroches Daily'!T23</f>
        <v>799.99999999995453</v>
      </c>
      <c r="N21" s="31">
        <f>'FS Desroches Daily'!V23</f>
        <v>329.30000000004657</v>
      </c>
      <c r="O21" s="31">
        <f>'FS Desroches Daily'!X23</f>
        <v>229.99999999996135</v>
      </c>
      <c r="P21" s="31">
        <f>'FS Desroches Daily'!Z23</f>
        <v>2399.9999999997358</v>
      </c>
      <c r="Q21" s="31">
        <f>'FS Desroches Daily'!AB23</f>
        <v>259.99999999999091</v>
      </c>
      <c r="R21" s="31">
        <f>'FS Desroches Daily'!AD23</f>
        <v>250</v>
      </c>
      <c r="S21" s="31">
        <f>'FS Desroches Daily'!AF23</f>
        <v>250</v>
      </c>
      <c r="T21" s="31">
        <f>'FS Desroches Daily'!AH23</f>
        <v>36</v>
      </c>
      <c r="U21" s="35">
        <f>'FS Desroches Daily'!AJ23</f>
        <v>790.00000000007731</v>
      </c>
      <c r="V21" s="35">
        <f>'FS Desroches Daily'!AL23</f>
        <v>129.99999999999545</v>
      </c>
      <c r="W21" s="35">
        <f>'FS Desroches Daily'!AN23</f>
        <v>150.00000000000568</v>
      </c>
      <c r="X21" s="35">
        <f>'FS Desroches Daily'!AP23</f>
        <v>120.00000000000455</v>
      </c>
      <c r="Y21" s="35">
        <f>'FS Desroches Daily'!AR23</f>
        <v>109.99999999998522</v>
      </c>
      <c r="Z21" s="35">
        <f>'FS Desroches Daily'!AT23</f>
        <v>109.9999999999568</v>
      </c>
      <c r="AA21" s="35">
        <f>'FS Desroches Daily'!AT23</f>
        <v>109.9999999999568</v>
      </c>
      <c r="AB21" s="35">
        <f>'FS Desroches Daily'!AV23</f>
        <v>99.999999999965894</v>
      </c>
      <c r="AC21" s="35">
        <f>'FS Desroches Daily'!AZ23</f>
        <v>50.000000000011369</v>
      </c>
      <c r="AD21" s="35">
        <f>'FS Desroches Daily'!BB23</f>
        <v>39.99999999996362</v>
      </c>
      <c r="AE21" s="35">
        <f>'FS Desroches Daily'!BD23</f>
        <v>169.99999999998749</v>
      </c>
      <c r="AF21" s="31">
        <f>'FS Desroches Daily'!BF23</f>
        <v>20</v>
      </c>
      <c r="AG21" s="32">
        <f>'FS Desroches Daily'!BH23</f>
        <v>30.000000000001137</v>
      </c>
      <c r="AH21" s="32">
        <f>'FS Desroches Daily'!BJ23</f>
        <v>29.999999999972715</v>
      </c>
      <c r="AI21" s="32">
        <f>'FS Desroches Daily'!BL23</f>
        <v>30.000000000001137</v>
      </c>
      <c r="AJ21" s="32">
        <f>'FS Desroches Daily'!BN23</f>
        <v>40.000000000020464</v>
      </c>
      <c r="AK21" s="32">
        <f>'FS Desroches Daily'!BP23</f>
        <v>40.000000000020464</v>
      </c>
      <c r="AL21" s="32">
        <f>'FS Desroches Daily'!BR23</f>
        <v>35</v>
      </c>
      <c r="AM21" s="32">
        <f>'FS Desroches Daily'!BT23</f>
        <v>30.000000000001137</v>
      </c>
      <c r="AN21" s="32">
        <f>'FS Desroches Daily'!BV23</f>
        <v>42</v>
      </c>
      <c r="AO21" s="32">
        <f>'FS Desroches Daily'!BX23</f>
        <v>19.99999999998181</v>
      </c>
      <c r="AP21" s="32">
        <f>'FS Desroches Daily'!BZ23</f>
        <v>52</v>
      </c>
      <c r="AQ21" s="31">
        <f>'FS Desroches Daily'!CB23</f>
        <v>35.600000000002183</v>
      </c>
      <c r="AR21" s="31">
        <f>'FS Desroches Daily'!CD23</f>
        <v>8.6000000000003638</v>
      </c>
      <c r="AS21" s="31">
        <f>'FS Desroches Daily'!CF23</f>
        <v>8.9000000000005457</v>
      </c>
      <c r="AT21" s="31">
        <f>'FS Desroches Daily'!CH23</f>
        <v>33.099999999998545</v>
      </c>
      <c r="AU21" s="31">
        <f>'FS Desroches Daily'!CJ23</f>
        <v>272</v>
      </c>
      <c r="AV21" s="31">
        <f>'FS Desroches Daily'!CL23</f>
        <v>690.00000000005457</v>
      </c>
      <c r="AW21" s="31">
        <f>'FS Desroches Daily'!CM23</f>
        <v>67</v>
      </c>
      <c r="AX21" s="31">
        <f>IF(LPG!F28-LPG!F27&lt;0,"0",(LPG!F28-LPG!F27)*1.8315)</f>
        <v>9.1574999999999989</v>
      </c>
      <c r="AY21" s="31">
        <f>IF(LPG!H28-LPG!H27&lt;0,"0",(LPG!H28-LPG!H27)*1.8315)</f>
        <v>5.4944999999999995</v>
      </c>
      <c r="AZ21" s="31">
        <f>IF(LPG!J28-LPG!J27&lt;0,"0",(LPG!J28-LPG!J27)*1.8315)</f>
        <v>0</v>
      </c>
      <c r="BA21" s="31">
        <f>IF(LPG!M28-LPG!M27&lt;0,"0",(LPG!M28-LPG!M27)*1.8315)</f>
        <v>3.6629999999999998</v>
      </c>
      <c r="BB21" s="31">
        <f>IF(LPG!Q28-LPG!Q27&lt;0,"0",(LPG!Q28-LPG!Q27)*1.8315)</f>
        <v>7.3259999999999996</v>
      </c>
      <c r="BC21" s="13">
        <f>'FS Desroches Daily'!CN23</f>
        <v>14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2021</v>
      </c>
      <c r="E22" s="31">
        <f>'FS Desroches Daily'!D24</f>
        <v>2099.9999999999909</v>
      </c>
      <c r="F22" s="32">
        <f>'FS Desroches Daily'!F24</f>
        <v>2599.9999999997135</v>
      </c>
      <c r="G22" s="31">
        <f>'FS Desroches Daily'!H24</f>
        <v>2699.9999999999245</v>
      </c>
      <c r="H22" s="32">
        <f>'FS Desroches Daily'!J24</f>
        <v>1300.0000000000789</v>
      </c>
      <c r="I22" s="31">
        <f>'FS Desroches Daily'!L24</f>
        <v>2100.0000000004347</v>
      </c>
      <c r="J22" s="32">
        <f>'FS Desroches Daily'!N24</f>
        <v>799.99999999991189</v>
      </c>
      <c r="K22" s="13">
        <f>'FS Desroches Daily'!P24</f>
        <v>0</v>
      </c>
      <c r="L22" s="31">
        <f>'FS Desroches Daily'!R24</f>
        <v>2</v>
      </c>
      <c r="M22" s="31">
        <f>'FS Desroches Daily'!T24</f>
        <v>1100.0000000000227</v>
      </c>
      <c r="N22" s="31">
        <f>'FS Desroches Daily'!V24</f>
        <v>402.09999999997672</v>
      </c>
      <c r="O22" s="31">
        <f>'FS Desroches Daily'!X24</f>
        <v>240.00000000000909</v>
      </c>
      <c r="P22" s="31">
        <f>'FS Desroches Daily'!Z24</f>
        <v>2400.0000000001796</v>
      </c>
      <c r="Q22" s="31">
        <f>'FS Desroches Daily'!AB24</f>
        <v>259.99999999999091</v>
      </c>
      <c r="R22" s="31">
        <f>'FS Desroches Daily'!AD24</f>
        <v>240.00000000000909</v>
      </c>
      <c r="S22" s="31">
        <f>'FS Desroches Daily'!AF24</f>
        <v>209.99999999992269</v>
      </c>
      <c r="T22" s="31">
        <f>'FS Desroches Daily'!AH24</f>
        <v>25</v>
      </c>
      <c r="U22" s="35">
        <f>'FS Desroches Daily'!AJ24</f>
        <v>799.99999999995453</v>
      </c>
      <c r="V22" s="35">
        <f>'FS Desroches Daily'!AL24</f>
        <v>110.00000000001364</v>
      </c>
      <c r="W22" s="35">
        <f>'FS Desroches Daily'!AN24</f>
        <v>159.99999999999659</v>
      </c>
      <c r="X22" s="35">
        <f>'FS Desroches Daily'!AP24</f>
        <v>90.000000000003411</v>
      </c>
      <c r="Y22" s="35">
        <f>'FS Desroches Daily'!AR24</f>
        <v>80.000000000012506</v>
      </c>
      <c r="Z22" s="35">
        <f>'FS Desroches Daily'!AT24</f>
        <v>120.00000000000455</v>
      </c>
      <c r="AA22" s="35">
        <f>'FS Desroches Daily'!AT24</f>
        <v>120.00000000000455</v>
      </c>
      <c r="AB22" s="35">
        <f>'FS Desroches Daily'!AV24</f>
        <v>90.000000000031832</v>
      </c>
      <c r="AC22" s="35">
        <f>'FS Desroches Daily'!AZ24</f>
        <v>39.99999999996362</v>
      </c>
      <c r="AD22" s="35">
        <f>'FS Desroches Daily'!BB24</f>
        <v>30.000000000029559</v>
      </c>
      <c r="AE22" s="35">
        <f>'FS Desroches Daily'!BD24</f>
        <v>130.00000000002387</v>
      </c>
      <c r="AF22" s="31">
        <f>'FS Desroches Daily'!BF24</f>
        <v>21</v>
      </c>
      <c r="AG22" s="32">
        <f>'FS Desroches Daily'!BH24</f>
        <v>19.99999999998181</v>
      </c>
      <c r="AH22" s="32">
        <f>'FS Desroches Daily'!BJ24</f>
        <v>30.000000000029559</v>
      </c>
      <c r="AI22" s="32">
        <f>'FS Desroches Daily'!BL24</f>
        <v>20.000000000010232</v>
      </c>
      <c r="AJ22" s="32">
        <f>'FS Desroches Daily'!BN24</f>
        <v>39.999999999992042</v>
      </c>
      <c r="AK22" s="32">
        <f>'FS Desroches Daily'!BP24</f>
        <v>40.000000000020464</v>
      </c>
      <c r="AL22" s="32">
        <f>'FS Desroches Daily'!BR24</f>
        <v>32</v>
      </c>
      <c r="AM22" s="32">
        <f>'FS Desroches Daily'!BT24</f>
        <v>30.000000000001137</v>
      </c>
      <c r="AN22" s="32">
        <f>'FS Desroches Daily'!BV24</f>
        <v>37</v>
      </c>
      <c r="AO22" s="32">
        <f>'FS Desroches Daily'!BX24</f>
        <v>30.000000000001137</v>
      </c>
      <c r="AP22" s="32">
        <f>'FS Desroches Daily'!BZ24</f>
        <v>47</v>
      </c>
      <c r="AQ22" s="31">
        <f>'FS Desroches Daily'!CB24</f>
        <v>26.299999999999272</v>
      </c>
      <c r="AR22" s="31">
        <f>'FS Desroches Daily'!CD24</f>
        <v>8.6000000000003638</v>
      </c>
      <c r="AS22" s="31">
        <f>'FS Desroches Daily'!CF24</f>
        <v>11.899999999999636</v>
      </c>
      <c r="AT22" s="31">
        <f>'FS Desroches Daily'!CH24</f>
        <v>33.200000000004366</v>
      </c>
      <c r="AU22" s="31">
        <f>'FS Desroches Daily'!CJ24</f>
        <v>268</v>
      </c>
      <c r="AV22" s="31">
        <f>'FS Desroches Daily'!CL24</f>
        <v>559.99999999994543</v>
      </c>
      <c r="AW22" s="31">
        <f>'FS Desroches Daily'!CM24</f>
        <v>71</v>
      </c>
      <c r="AX22" s="31">
        <f>IF(LPG!F29-LPG!F28&lt;0,"0",(LPG!F29-LPG!F28)*1.8315)</f>
        <v>194.13899999999998</v>
      </c>
      <c r="AY22" s="31">
        <f>IF(LPG!H29-LPG!H28&lt;0,"0",(LPG!H29-LPG!H28)*1.8315)</f>
        <v>9.1574999999999989</v>
      </c>
      <c r="AZ22" s="31">
        <f>IF(LPG!J29-LPG!J28&lt;0,"0",(LPG!J29-LPG!J28)*1.8315)</f>
        <v>0</v>
      </c>
      <c r="BA22" s="31">
        <f>IF(LPG!M29-LPG!M28&lt;0,"0",(LPG!M29-LPG!M28)*1.8315)</f>
        <v>1.8314999999999999</v>
      </c>
      <c r="BB22" s="31">
        <f>IF(LPG!Q29-LPG!Q28&lt;0,"0",(LPG!Q29-LPG!Q28)*1.8315)</f>
        <v>10.988999999999999</v>
      </c>
      <c r="BC22" s="13">
        <f>'FS Desroches Daily'!CN24</f>
        <v>14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2021</v>
      </c>
      <c r="E23" s="31">
        <f>'FS Desroches Daily'!D25</f>
        <v>3299.9999999998586</v>
      </c>
      <c r="F23" s="32">
        <f>'FS Desroches Daily'!F25</f>
        <v>3400.0000000000696</v>
      </c>
      <c r="G23" s="31">
        <f>'FS Desroches Daily'!H25</f>
        <v>3900.0000000002365</v>
      </c>
      <c r="H23" s="32">
        <f>'FS Desroches Daily'!J25</f>
        <v>1500.0000000000568</v>
      </c>
      <c r="I23" s="31">
        <f>'FS Desroches Daily'!L25</f>
        <v>2699.9999999999245</v>
      </c>
      <c r="J23" s="32">
        <f>'FS Desroches Daily'!N25</f>
        <v>1300.0000000000789</v>
      </c>
      <c r="K23" s="13">
        <f>'FS Desroches Daily'!P25</f>
        <v>8</v>
      </c>
      <c r="L23" s="31">
        <f>'FS Desroches Daily'!R25</f>
        <v>2</v>
      </c>
      <c r="M23" s="31">
        <f>'FS Desroches Daily'!T25</f>
        <v>1399.9999999999773</v>
      </c>
      <c r="N23" s="31">
        <f>'FS Desroches Daily'!V25</f>
        <v>484.59999999997672</v>
      </c>
      <c r="O23" s="31">
        <f>'FS Desroches Daily'!X25</f>
        <v>329.99999999998408</v>
      </c>
      <c r="P23" s="31">
        <f>'FS Desroches Daily'!Z25</f>
        <v>3099.9999999998809</v>
      </c>
      <c r="Q23" s="31">
        <f>'FS Desroches Daily'!AB25</f>
        <v>410.00000000002501</v>
      </c>
      <c r="R23" s="31">
        <f>'FS Desroches Daily'!AD25</f>
        <v>430.00000000000682</v>
      </c>
      <c r="S23" s="31">
        <f>'FS Desroches Daily'!AF25</f>
        <v>279.99999999997272</v>
      </c>
      <c r="T23" s="31">
        <f>'FS Desroches Daily'!AH25</f>
        <v>56</v>
      </c>
      <c r="U23" s="35">
        <f>'FS Desroches Daily'!AJ25</f>
        <v>850.00000000002274</v>
      </c>
      <c r="V23" s="35">
        <f>'FS Desroches Daily'!AL25</f>
        <v>120.00000000000455</v>
      </c>
      <c r="W23" s="35">
        <f>'FS Desroches Daily'!AN25</f>
        <v>250</v>
      </c>
      <c r="X23" s="35">
        <f>'FS Desroches Daily'!AP25</f>
        <v>120.00000000000455</v>
      </c>
      <c r="Y23" s="35">
        <f>'FS Desroches Daily'!AR25</f>
        <v>439.99999999999773</v>
      </c>
      <c r="Z23" s="35">
        <f>'FS Desroches Daily'!AT25</f>
        <v>430.00000000000682</v>
      </c>
      <c r="AA23" s="35">
        <f>'FS Desroches Daily'!AT25</f>
        <v>430.00000000000682</v>
      </c>
      <c r="AB23" s="35">
        <f>'FS Desroches Daily'!AV25</f>
        <v>349.99999999996589</v>
      </c>
      <c r="AC23" s="35">
        <f>'FS Desroches Daily'!AZ25</f>
        <v>80.000000000040927</v>
      </c>
      <c r="AD23" s="35">
        <f>'FS Desroches Daily'!BB25</f>
        <v>39.99999999996362</v>
      </c>
      <c r="AE23" s="35">
        <f>'FS Desroches Daily'!BD25</f>
        <v>189.99999999999773</v>
      </c>
      <c r="AF23" s="31">
        <f>'FS Desroches Daily'!BF25</f>
        <v>50</v>
      </c>
      <c r="AG23" s="32">
        <f>'FS Desroches Daily'!BH25</f>
        <v>20.000000000010232</v>
      </c>
      <c r="AH23" s="32">
        <f>'FS Desroches Daily'!BJ25</f>
        <v>29.999999999972715</v>
      </c>
      <c r="AI23" s="32">
        <f>'FS Desroches Daily'!BL25</f>
        <v>39.999999999992042</v>
      </c>
      <c r="AJ23" s="32">
        <f>'FS Desroches Daily'!BN25</f>
        <v>39.999999999992042</v>
      </c>
      <c r="AK23" s="32">
        <f>'FS Desroches Daily'!BP25</f>
        <v>29.999999999972715</v>
      </c>
      <c r="AL23" s="32">
        <f>'FS Desroches Daily'!BR25</f>
        <v>34</v>
      </c>
      <c r="AM23" s="32">
        <f>'FS Desroches Daily'!BT25</f>
        <v>30.000000000001137</v>
      </c>
      <c r="AN23" s="32">
        <f>'FS Desroches Daily'!BV25</f>
        <v>49</v>
      </c>
      <c r="AO23" s="32">
        <f>'FS Desroches Daily'!BX25</f>
        <v>30.000000000001137</v>
      </c>
      <c r="AP23" s="32">
        <f>'FS Desroches Daily'!BZ25</f>
        <v>48</v>
      </c>
      <c r="AQ23" s="31">
        <f>'FS Desroches Daily'!CB25</f>
        <v>60.600000000002183</v>
      </c>
      <c r="AR23" s="31">
        <f>'FS Desroches Daily'!CD25</f>
        <v>13.5</v>
      </c>
      <c r="AS23" s="31">
        <f>'FS Desroches Daily'!CF25</f>
        <v>1.4000000000005457</v>
      </c>
      <c r="AT23" s="31">
        <f>'FS Desroches Daily'!CH25</f>
        <v>61.19999999999709</v>
      </c>
      <c r="AU23" s="31">
        <f>'FS Desroches Daily'!CJ25</f>
        <v>346</v>
      </c>
      <c r="AV23" s="31">
        <f>'FS Desroches Daily'!CL25</f>
        <v>889.99999999998636</v>
      </c>
      <c r="AW23" s="31">
        <f>'FS Desroches Daily'!CM25</f>
        <v>121</v>
      </c>
      <c r="AX23" s="31" t="str">
        <f>IF(LPG!F30-LPG!F29&lt;0,"0",(LPG!F30-LPG!F29)*1.8315)</f>
        <v>0</v>
      </c>
      <c r="AY23" s="31">
        <f>IF(LPG!H30-LPG!H29&lt;0,"0",(LPG!H30-LPG!H29)*1.8315)</f>
        <v>1.8314999999999999</v>
      </c>
      <c r="AZ23" s="31">
        <f>IF(LPG!J30-LPG!J29&lt;0,"0",(LPG!J30-LPG!J29)*1.8315)</f>
        <v>1.8314999999999999</v>
      </c>
      <c r="BA23" s="31">
        <f>IF(LPG!M30-LPG!M29&lt;0,"0",(LPG!M30-LPG!M29)*1.8315)</f>
        <v>3.6629999999999998</v>
      </c>
      <c r="BB23" s="31">
        <f>IF(LPG!Q30-LPG!Q29&lt;0,"0",(LPG!Q30-LPG!Q29)*1.8315)</f>
        <v>1.8314999999999999</v>
      </c>
      <c r="BC23" s="13">
        <f>'FS Desroches Daily'!CN25</f>
        <v>14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2021</v>
      </c>
      <c r="E24" s="31">
        <f>'FS Desroches Daily'!D26</f>
        <v>1500.0000000000568</v>
      </c>
      <c r="F24" s="32">
        <f>'FS Desroches Daily'!F26</f>
        <v>1700.0000000000348</v>
      </c>
      <c r="G24" s="31">
        <f>'FS Desroches Daily'!H26</f>
        <v>1499.9999999996128</v>
      </c>
      <c r="H24" s="32">
        <f>'FS Desroches Daily'!J26</f>
        <v>899.99999999990087</v>
      </c>
      <c r="I24" s="31">
        <f>'FS Desroches Daily'!L26</f>
        <v>1500.0000000000568</v>
      </c>
      <c r="J24" s="32">
        <f>'FS Desroches Daily'!N26</f>
        <v>699.99999999992292</v>
      </c>
      <c r="K24" s="13">
        <f>'FS Desroches Daily'!P26</f>
        <v>1</v>
      </c>
      <c r="L24" s="31">
        <f>'FS Desroches Daily'!R26</f>
        <v>1</v>
      </c>
      <c r="M24" s="31">
        <f>'FS Desroches Daily'!T26</f>
        <v>300.00000000006821</v>
      </c>
      <c r="N24" s="31">
        <f>'FS Desroches Daily'!V26</f>
        <v>138.60000000003492</v>
      </c>
      <c r="O24" s="31">
        <f>'FS Desroches Daily'!X26</f>
        <v>180.00000000000682</v>
      </c>
      <c r="P24" s="31">
        <f>'FS Desroches Daily'!Z26</f>
        <v>1400.0000000002899</v>
      </c>
      <c r="Q24" s="31">
        <f>'FS Desroches Daily'!AB26</f>
        <v>259.99999999999091</v>
      </c>
      <c r="R24" s="31">
        <f>'FS Desroches Daily'!AD26</f>
        <v>189.99999999999773</v>
      </c>
      <c r="S24" s="31">
        <f>'FS Desroches Daily'!AF26</f>
        <v>150.00000000009095</v>
      </c>
      <c r="T24" s="31">
        <f>'FS Desroches Daily'!AH26</f>
        <v>24</v>
      </c>
      <c r="U24" s="35">
        <f>'FS Desroches Daily'!AJ26</f>
        <v>259.99999999999091</v>
      </c>
      <c r="V24" s="35">
        <f>'FS Desroches Daily'!AL26</f>
        <v>60.000000000002274</v>
      </c>
      <c r="W24" s="35">
        <f>'FS Desroches Daily'!AN26</f>
        <v>90.000000000003411</v>
      </c>
      <c r="X24" s="35">
        <f>'FS Desroches Daily'!AP26</f>
        <v>50.000000000011369</v>
      </c>
      <c r="Y24" s="35">
        <f>'FS Desroches Daily'!AR26</f>
        <v>189.99999999999773</v>
      </c>
      <c r="Z24" s="35">
        <f>'FS Desroches Daily'!AT26</f>
        <v>199.99999999998863</v>
      </c>
      <c r="AA24" s="35">
        <f>'FS Desroches Daily'!AT26</f>
        <v>199.99999999998863</v>
      </c>
      <c r="AB24" s="35">
        <f>'FS Desroches Daily'!AV26</f>
        <v>189.99999999999773</v>
      </c>
      <c r="AC24" s="35">
        <f>'FS Desroches Daily'!AZ26</f>
        <v>19.99999999998181</v>
      </c>
      <c r="AD24" s="35">
        <f>'FS Desroches Daily'!BB26</f>
        <v>20.000000000038654</v>
      </c>
      <c r="AE24" s="35">
        <f>'FS Desroches Daily'!BD26</f>
        <v>120.00000000000455</v>
      </c>
      <c r="AF24" s="31">
        <f>'FS Desroches Daily'!BF26</f>
        <v>42</v>
      </c>
      <c r="AG24" s="32">
        <f>'FS Desroches Daily'!BH26</f>
        <v>20.000000000010232</v>
      </c>
      <c r="AH24" s="32">
        <f>'FS Desroches Daily'!BJ26</f>
        <v>20.000000000038654</v>
      </c>
      <c r="AI24" s="32">
        <f>'FS Desroches Daily'!BL26</f>
        <v>20.000000000010232</v>
      </c>
      <c r="AJ24" s="32">
        <f>'FS Desroches Daily'!BN26</f>
        <v>20.000000000010232</v>
      </c>
      <c r="AK24" s="32">
        <f>'FS Desroches Daily'!BP26</f>
        <v>30.000000000029559</v>
      </c>
      <c r="AL24" s="32">
        <f>'FS Desroches Daily'!BR26</f>
        <v>23</v>
      </c>
      <c r="AM24" s="32">
        <f>'FS Desroches Daily'!BT26</f>
        <v>30.000000000001137</v>
      </c>
      <c r="AN24" s="32">
        <f>'FS Desroches Daily'!BV26</f>
        <v>27</v>
      </c>
      <c r="AO24" s="32">
        <f>'FS Desroches Daily'!BX26</f>
        <v>10.000000000019327</v>
      </c>
      <c r="AP24" s="32">
        <f>'FS Desroches Daily'!BZ26</f>
        <v>29</v>
      </c>
      <c r="AQ24" s="31">
        <f>'FS Desroches Daily'!CB26</f>
        <v>25</v>
      </c>
      <c r="AR24" s="31">
        <f>'FS Desroches Daily'!CD26</f>
        <v>2.2000000000007276</v>
      </c>
      <c r="AS24" s="31">
        <f>'FS Desroches Daily'!CF26</f>
        <v>4.0999999999994543</v>
      </c>
      <c r="AT24" s="31">
        <f>'FS Desroches Daily'!CH26</f>
        <v>19.200000000004366</v>
      </c>
      <c r="AU24" s="31">
        <f>'FS Desroches Daily'!CJ26</f>
        <v>184</v>
      </c>
      <c r="AV24" s="31">
        <f>'FS Desroches Daily'!CL26</f>
        <v>530.0000000000864</v>
      </c>
      <c r="AW24" s="31">
        <f>'FS Desroches Daily'!CM26</f>
        <v>43</v>
      </c>
      <c r="AX24" s="31">
        <f>IF(LPG!F31-LPG!F30&lt;0,"0",(LPG!F31-LPG!F30)*1.8315)</f>
        <v>10.988999999999999</v>
      </c>
      <c r="AY24" s="31">
        <f>IF(LPG!H31-LPG!H30&lt;0,"0",(LPG!H31-LPG!H30)*1.8315)</f>
        <v>5.4944999999999995</v>
      </c>
      <c r="AZ24" s="31">
        <f>IF(LPG!J31-LPG!J30&lt;0,"0",(LPG!J31-LPG!J30)*1.8315)</f>
        <v>1.8314999999999999</v>
      </c>
      <c r="BA24" s="31">
        <f>IF(LPG!M31-LPG!M30&lt;0,"0",(LPG!M31-LPG!M30)*1.8315)</f>
        <v>3.6629999999999998</v>
      </c>
      <c r="BB24" s="31">
        <f>IF(LPG!Q31-LPG!Q30&lt;0,"0",(LPG!Q31-LPG!Q30)*1.8315)</f>
        <v>7.3259999999999996</v>
      </c>
      <c r="BC24" s="13">
        <f>'FS Desroches Daily'!CN26</f>
        <v>14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2021</v>
      </c>
      <c r="E25" s="31">
        <f>'FS Desroches Daily'!D27</f>
        <v>2200.0000000002019</v>
      </c>
      <c r="F25" s="32">
        <f>'FS Desroches Daily'!F27</f>
        <v>2600.0000000001578</v>
      </c>
      <c r="G25" s="31">
        <f>'FS Desroches Daily'!H27</f>
        <v>2900.0000000003465</v>
      </c>
      <c r="H25" s="32">
        <f>'FS Desroches Daily'!J27</f>
        <v>1200.0000000000898</v>
      </c>
      <c r="I25" s="31">
        <f>'FS Desroches Daily'!L27</f>
        <v>2299.9999999999686</v>
      </c>
      <c r="J25" s="32">
        <f>'FS Desroches Daily'!N27</f>
        <v>800.00000000013392</v>
      </c>
      <c r="K25" s="13">
        <f>'FS Desroches Daily'!P27</f>
        <v>6</v>
      </c>
      <c r="L25" s="31">
        <f>'FS Desroches Daily'!R27</f>
        <v>2</v>
      </c>
      <c r="M25" s="31">
        <f>'FS Desroches Daily'!T27</f>
        <v>1000</v>
      </c>
      <c r="N25" s="31">
        <f>'FS Desroches Daily'!V27</f>
        <v>323.20000000001164</v>
      </c>
      <c r="O25" s="31">
        <f>'FS Desroches Daily'!X27</f>
        <v>270.00000000003865</v>
      </c>
      <c r="P25" s="31">
        <f>'FS Desroches Daily'!Z27</f>
        <v>2399.9999999997358</v>
      </c>
      <c r="Q25" s="31">
        <f>'FS Desroches Daily'!AB27</f>
        <v>300.00000000001137</v>
      </c>
      <c r="R25" s="31">
        <f>'FS Desroches Daily'!AD27</f>
        <v>209.99999999997954</v>
      </c>
      <c r="S25" s="31">
        <f>'FS Desroches Daily'!AF27</f>
        <v>199.99999999993179</v>
      </c>
      <c r="T25" s="31">
        <f>'FS Desroches Daily'!AH27</f>
        <v>35</v>
      </c>
      <c r="U25" s="35">
        <f>'FS Desroches Daily'!AJ27</f>
        <v>350.00000000002274</v>
      </c>
      <c r="V25" s="35">
        <f>'FS Desroches Daily'!AL27</f>
        <v>159.99999999999659</v>
      </c>
      <c r="W25" s="35">
        <f>'FS Desroches Daily'!AN27</f>
        <v>129.99999999999545</v>
      </c>
      <c r="X25" s="35">
        <f>'FS Desroches Daily'!AP27</f>
        <v>79.999999999984084</v>
      </c>
      <c r="Y25" s="35">
        <f>'FS Desroches Daily'!AR27</f>
        <v>310.00000000000227</v>
      </c>
      <c r="Z25" s="35">
        <f>'FS Desroches Daily'!AT27</f>
        <v>300.00000000001137</v>
      </c>
      <c r="AA25" s="35">
        <f>'FS Desroches Daily'!AT27</f>
        <v>300.00000000001137</v>
      </c>
      <c r="AB25" s="35">
        <f>'FS Desroches Daily'!AV27</f>
        <v>300.00000000001137</v>
      </c>
      <c r="AC25" s="35">
        <f>'FS Desroches Daily'!AZ27</f>
        <v>40.000000000020464</v>
      </c>
      <c r="AD25" s="35">
        <f>'FS Desroches Daily'!BB27</f>
        <v>29.999999999972715</v>
      </c>
      <c r="AE25" s="35">
        <f>'FS Desroches Daily'!BD27</f>
        <v>79.999999999984084</v>
      </c>
      <c r="AF25" s="31">
        <f>'FS Desroches Daily'!BF27</f>
        <v>28</v>
      </c>
      <c r="AG25" s="32">
        <f>'FS Desroches Daily'!BH27</f>
        <v>39.999999999992042</v>
      </c>
      <c r="AH25" s="32">
        <f>'FS Desroches Daily'!BJ27</f>
        <v>19.99999999998181</v>
      </c>
      <c r="AI25" s="32">
        <f>'FS Desroches Daily'!BL27</f>
        <v>19.99999999998181</v>
      </c>
      <c r="AJ25" s="32">
        <f>'FS Desroches Daily'!BN27</f>
        <v>30.000000000001137</v>
      </c>
      <c r="AK25" s="32">
        <f>'FS Desroches Daily'!BP27</f>
        <v>29.999999999972715</v>
      </c>
      <c r="AL25" s="32">
        <f>'FS Desroches Daily'!BR27</f>
        <v>30</v>
      </c>
      <c r="AM25" s="32">
        <f>'FS Desroches Daily'!BT27</f>
        <v>20.000000000010232</v>
      </c>
      <c r="AN25" s="32">
        <f>'FS Desroches Daily'!BV27</f>
        <v>34</v>
      </c>
      <c r="AO25" s="32">
        <f>'FS Desroches Daily'!BX27</f>
        <v>19.99999999998181</v>
      </c>
      <c r="AP25" s="32">
        <f>'FS Desroches Daily'!BZ27</f>
        <v>41</v>
      </c>
      <c r="AQ25" s="31">
        <f>'FS Desroches Daily'!CB27</f>
        <v>49.899999999994179</v>
      </c>
      <c r="AR25" s="31">
        <f>'FS Desroches Daily'!CD27</f>
        <v>7.3999999999996362</v>
      </c>
      <c r="AS25" s="31">
        <f>'FS Desroches Daily'!CF27</f>
        <v>3.9000000000005457</v>
      </c>
      <c r="AT25" s="31">
        <f>'FS Desroches Daily'!CH27</f>
        <v>33.399999999994179</v>
      </c>
      <c r="AU25" s="31">
        <f>'FS Desroches Daily'!CJ27</f>
        <v>259</v>
      </c>
      <c r="AV25" s="31">
        <f>'FS Desroches Daily'!CL27</f>
        <v>719.9999999999136</v>
      </c>
      <c r="AW25" s="31">
        <f>'FS Desroches Daily'!CM27</f>
        <v>90</v>
      </c>
      <c r="AX25" s="31">
        <f>IF(LPG!F32-LPG!F31&lt;0,"0",(LPG!F32-LPG!F31)*1.8315)</f>
        <v>9.1574999999999989</v>
      </c>
      <c r="AY25" s="31">
        <f>IF(LPG!H32-LPG!H31&lt;0,"0",(LPG!H32-LPG!H31)*1.8315)</f>
        <v>3.6629999999999998</v>
      </c>
      <c r="AZ25" s="31">
        <f>IF(LPG!J32-LPG!J31&lt;0,"0",(LPG!J32-LPG!J31)*1.8315)</f>
        <v>1.8314999999999999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14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2021</v>
      </c>
      <c r="E26" s="31">
        <f>'FS Desroches Daily'!D28</f>
        <v>1700.0000000000348</v>
      </c>
      <c r="F26" s="32">
        <f>'FS Desroches Daily'!F28</f>
        <v>2299.9999999999686</v>
      </c>
      <c r="G26" s="31">
        <f>'FS Desroches Daily'!H28</f>
        <v>2899.9999999999027</v>
      </c>
      <c r="H26" s="32">
        <f>'FS Desroches Daily'!J28</f>
        <v>1099.9999999998788</v>
      </c>
      <c r="I26" s="31">
        <f>'FS Desroches Daily'!L28</f>
        <v>2099.9999999999909</v>
      </c>
      <c r="J26" s="32">
        <f>'FS Desroches Daily'!N28</f>
        <v>799.99999999991189</v>
      </c>
      <c r="K26" s="13">
        <f>'FS Desroches Daily'!P28</f>
        <v>7</v>
      </c>
      <c r="L26" s="31">
        <f>'FS Desroches Daily'!R28</f>
        <v>1</v>
      </c>
      <c r="M26" s="31">
        <f>'FS Desroches Daily'!T28</f>
        <v>1100.0000000000227</v>
      </c>
      <c r="N26" s="31">
        <f>'FS Desroches Daily'!V28</f>
        <v>328.59999999997672</v>
      </c>
      <c r="O26" s="31">
        <f>'FS Desroches Daily'!X28</f>
        <v>219.99999999997044</v>
      </c>
      <c r="P26" s="31">
        <f>'FS Desroches Daily'!Z28</f>
        <v>2000.0000000002237</v>
      </c>
      <c r="Q26" s="31">
        <f>'FS Desroches Daily'!AB28</f>
        <v>379.99999999999545</v>
      </c>
      <c r="R26" s="31">
        <f>'FS Desroches Daily'!AD28</f>
        <v>220.00000000002728</v>
      </c>
      <c r="S26" s="31">
        <f>'FS Desroches Daily'!AF28</f>
        <v>180.00000000006366</v>
      </c>
      <c r="T26" s="31">
        <f>'FS Desroches Daily'!AH28</f>
        <v>32</v>
      </c>
      <c r="U26" s="35">
        <f>'FS Desroches Daily'!AJ28</f>
        <v>439.99999999994088</v>
      </c>
      <c r="V26" s="35">
        <f>'FS Desroches Daily'!AL28</f>
        <v>180.00000000000682</v>
      </c>
      <c r="W26" s="35">
        <f>'FS Desroches Daily'!AN28</f>
        <v>150.00000000000568</v>
      </c>
      <c r="X26" s="35">
        <f>'FS Desroches Daily'!AP28</f>
        <v>129.99999999999545</v>
      </c>
      <c r="Y26" s="35">
        <f>'FS Desroches Daily'!AR28</f>
        <v>159.99999999999659</v>
      </c>
      <c r="Z26" s="35">
        <f>'FS Desroches Daily'!AT28</f>
        <v>180.00000000000682</v>
      </c>
      <c r="AA26" s="35">
        <f>'FS Desroches Daily'!AT28</f>
        <v>180.00000000000682</v>
      </c>
      <c r="AB26" s="35">
        <f>'FS Desroches Daily'!AV28</f>
        <v>180.00000000000682</v>
      </c>
      <c r="AC26" s="35">
        <f>'FS Desroches Daily'!AZ28</f>
        <v>29.999999999972715</v>
      </c>
      <c r="AD26" s="35">
        <f>'FS Desroches Daily'!BB28</f>
        <v>19.99999999998181</v>
      </c>
      <c r="AE26" s="35">
        <f>'FS Desroches Daily'!BD28</f>
        <v>39.999999999992042</v>
      </c>
      <c r="AF26" s="31">
        <f>'FS Desroches Daily'!BF28</f>
        <v>30</v>
      </c>
      <c r="AG26" s="32">
        <f>'FS Desroches Daily'!BH28</f>
        <v>39.999999999992042</v>
      </c>
      <c r="AH26" s="32">
        <f>'FS Desroches Daily'!BJ28</f>
        <v>30.000000000029559</v>
      </c>
      <c r="AI26" s="32">
        <f>'FS Desroches Daily'!BL28</f>
        <v>30.000000000001137</v>
      </c>
      <c r="AJ26" s="32">
        <f>'FS Desroches Daily'!BN28</f>
        <v>39.999999999992042</v>
      </c>
      <c r="AK26" s="32">
        <f>'FS Desroches Daily'!BP28</f>
        <v>30.000000000029559</v>
      </c>
      <c r="AL26" s="32">
        <f>'FS Desroches Daily'!BR28</f>
        <v>31</v>
      </c>
      <c r="AM26" s="32">
        <f>'FS Desroches Daily'!BT28</f>
        <v>30.000000000001137</v>
      </c>
      <c r="AN26" s="32">
        <f>'FS Desroches Daily'!BV28</f>
        <v>29</v>
      </c>
      <c r="AO26" s="32">
        <f>'FS Desroches Daily'!BX28</f>
        <v>10.000000000019327</v>
      </c>
      <c r="AP26" s="32">
        <f>'FS Desroches Daily'!BZ28</f>
        <v>27</v>
      </c>
      <c r="AQ26" s="31">
        <f>'FS Desroches Daily'!CB28</f>
        <v>40</v>
      </c>
      <c r="AR26" s="31">
        <f>'FS Desroches Daily'!CD28</f>
        <v>8.3999999999996362</v>
      </c>
      <c r="AS26" s="31">
        <f>'FS Desroches Daily'!CF28</f>
        <v>3.8999999999996362</v>
      </c>
      <c r="AT26" s="31">
        <f>'FS Desroches Daily'!CH28</f>
        <v>39.400000000001455</v>
      </c>
      <c r="AU26" s="31">
        <f>'FS Desroches Daily'!CJ28</f>
        <v>262</v>
      </c>
      <c r="AV26" s="31">
        <f>'FS Desroches Daily'!CL28</f>
        <v>720.00000000002728</v>
      </c>
      <c r="AW26" s="31">
        <f>'FS Desroches Daily'!CM28</f>
        <v>70</v>
      </c>
      <c r="AX26" s="31">
        <f>IF(LPG!F33-LPG!F32&lt;0,"0",(LPG!F33-LPG!F32)*1.8315)</f>
        <v>10.988999999999999</v>
      </c>
      <c r="AY26" s="31">
        <f>IF(LPG!H33-LPG!H32&lt;0,"0",(LPG!H33-LPG!H32)*1.8315)</f>
        <v>9.1574999999999989</v>
      </c>
      <c r="AZ26" s="31">
        <f>IF(LPG!J33-LPG!J32&lt;0,"0",(LPG!J33-LPG!J32)*1.8315)</f>
        <v>0</v>
      </c>
      <c r="BA26" s="31">
        <f>IF(LPG!M33-LPG!M32&lt;0,"0",(LPG!M33-LPG!M32)*1.8315)</f>
        <v>1.8314999999999999</v>
      </c>
      <c r="BB26" s="31">
        <f>IF(LPG!Q33-LPG!Q32&lt;0,"0",(LPG!Q33-LPG!Q32)*1.8315)</f>
        <v>10.988999999999999</v>
      </c>
      <c r="BC26" s="13">
        <f>'FS Desroches Daily'!CN28</f>
        <v>9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2021</v>
      </c>
      <c r="E27" s="31">
        <f>'FS Desroches Daily'!D29</f>
        <v>1700.0000000000348</v>
      </c>
      <c r="F27" s="32">
        <f>'FS Desroches Daily'!F29</f>
        <v>2499.9999999999468</v>
      </c>
      <c r="G27" s="31">
        <f>'FS Desroches Daily'!H29</f>
        <v>2800.0000000001355</v>
      </c>
      <c r="H27" s="32">
        <f>'FS Desroches Daily'!J29</f>
        <v>1200.0000000000898</v>
      </c>
      <c r="I27" s="31">
        <f>'FS Desroches Daily'!L29</f>
        <v>2399.9999999997358</v>
      </c>
      <c r="J27" s="32">
        <f>'FS Desroches Daily'!N29</f>
        <v>799.99999999991189</v>
      </c>
      <c r="K27" s="13">
        <f>'FS Desroches Daily'!P29</f>
        <v>6</v>
      </c>
      <c r="L27" s="31">
        <f>'FS Desroches Daily'!R29</f>
        <v>1</v>
      </c>
      <c r="M27" s="31">
        <f>'FS Desroches Daily'!T29</f>
        <v>899.99999999997726</v>
      </c>
      <c r="N27" s="31">
        <f>'FS Desroches Daily'!V29</f>
        <v>321.70000000001164</v>
      </c>
      <c r="O27" s="31">
        <f>'FS Desroches Daily'!X29</f>
        <v>250</v>
      </c>
      <c r="P27" s="31">
        <f>'FS Desroches Daily'!Z29</f>
        <v>2399.9999999997358</v>
      </c>
      <c r="Q27" s="31">
        <f>'FS Desroches Daily'!AB29</f>
        <v>219.99999999997044</v>
      </c>
      <c r="R27" s="31">
        <f>'FS Desroches Daily'!AD29</f>
        <v>229.99999999996135</v>
      </c>
      <c r="S27" s="31">
        <f>'FS Desroches Daily'!AF29</f>
        <v>209.99999999992269</v>
      </c>
      <c r="T27" s="31">
        <f>'FS Desroches Daily'!AH29</f>
        <v>38</v>
      </c>
      <c r="U27" s="35">
        <f>'FS Desroches Daily'!AJ29</f>
        <v>210.00000000003638</v>
      </c>
      <c r="V27" s="35">
        <f>'FS Desroches Daily'!AL29</f>
        <v>179.9999999999784</v>
      </c>
      <c r="W27" s="35">
        <f>'FS Desroches Daily'!AN29</f>
        <v>150.00000000000568</v>
      </c>
      <c r="X27" s="35">
        <f>'FS Desroches Daily'!AP29</f>
        <v>140.00000000001478</v>
      </c>
      <c r="Y27" s="35">
        <f>'FS Desroches Daily'!AR29</f>
        <v>110.00000000001364</v>
      </c>
      <c r="Z27" s="35">
        <f>'FS Desroches Daily'!AT29</f>
        <v>149.99999999997726</v>
      </c>
      <c r="AA27" s="35">
        <f>'FS Desroches Daily'!AT29</f>
        <v>149.99999999997726</v>
      </c>
      <c r="AB27" s="35">
        <f>'FS Desroches Daily'!AV29</f>
        <v>100.00000000002274</v>
      </c>
      <c r="AC27" s="35">
        <f>'FS Desroches Daily'!AZ29</f>
        <v>60.000000000002274</v>
      </c>
      <c r="AD27" s="35">
        <f>'FS Desroches Daily'!BB29</f>
        <v>50.000000000011369</v>
      </c>
      <c r="AE27" s="35">
        <f>'FS Desroches Daily'!BD29</f>
        <v>60.000000000002274</v>
      </c>
      <c r="AF27" s="31">
        <f>'FS Desroches Daily'!BF29</f>
        <v>15</v>
      </c>
      <c r="AG27" s="32">
        <f>'FS Desroches Daily'!BH29</f>
        <v>30.000000000001137</v>
      </c>
      <c r="AH27" s="32">
        <f>'FS Desroches Daily'!BJ29</f>
        <v>29.999999999972715</v>
      </c>
      <c r="AI27" s="32">
        <f>'FS Desroches Daily'!BL29</f>
        <v>20.000000000010232</v>
      </c>
      <c r="AJ27" s="32">
        <f>'FS Desroches Daily'!BN29</f>
        <v>30.000000000001137</v>
      </c>
      <c r="AK27" s="32">
        <f>'FS Desroches Daily'!BP29</f>
        <v>29.999999999972715</v>
      </c>
      <c r="AL27" s="32">
        <f>'FS Desroches Daily'!BR29</f>
        <v>28</v>
      </c>
      <c r="AM27" s="32">
        <f>'FS Desroches Daily'!BT29</f>
        <v>19.99999999998181</v>
      </c>
      <c r="AN27" s="32">
        <f>'FS Desroches Daily'!BV29</f>
        <v>33</v>
      </c>
      <c r="AO27" s="32">
        <f>'FS Desroches Daily'!BX29</f>
        <v>9.9999999999909051</v>
      </c>
      <c r="AP27" s="32">
        <f>'FS Desroches Daily'!BZ29</f>
        <v>46</v>
      </c>
      <c r="AQ27" s="31">
        <f>'FS Desroches Daily'!CB29</f>
        <v>42.600000000005821</v>
      </c>
      <c r="AR27" s="31">
        <f>'FS Desroches Daily'!CD29</f>
        <v>18.200000000000728</v>
      </c>
      <c r="AS27" s="31">
        <f>'FS Desroches Daily'!CF29</f>
        <v>0.3999999999996362</v>
      </c>
      <c r="AT27" s="31">
        <f>'FS Desroches Daily'!CH29</f>
        <v>54.900000000001455</v>
      </c>
      <c r="AU27" s="31">
        <f>'FS Desroches Daily'!CJ29</f>
        <v>313</v>
      </c>
      <c r="AV27" s="31">
        <f>'FS Desroches Daily'!CL29</f>
        <v>740.00000000000909</v>
      </c>
      <c r="AW27" s="31">
        <f>'FS Desroches Daily'!CM29</f>
        <v>75</v>
      </c>
      <c r="AX27" s="31" t="str">
        <f>IF(LPG!F35-LPG!F33&lt;0,"0",(LPG!F35-LPG!F33)*1.8315)</f>
        <v>0</v>
      </c>
      <c r="AY27" s="31" t="str">
        <f>IF(LPG!H35-LPG!H33&lt;0,"0",(LPG!H35-LPG!H33)*1.8315)</f>
        <v>0</v>
      </c>
      <c r="AZ27" s="31" t="str">
        <f>IF(LPG!J35-LPG!J33&lt;0,"0",(LPG!J35-LPG!J33)*1.8315)</f>
        <v>0</v>
      </c>
      <c r="BA27" s="31" t="str">
        <f>IF(LPG!M35-LPG!M33&lt;0,"0",(LPG!M35-LPG!M33)*1.8315)</f>
        <v>0</v>
      </c>
      <c r="BB27" s="31">
        <f>IF(LPG!Q34-LPG!Q33&lt;0,"0",(LPG!Q34-LPG!Q33)*1.8315)</f>
        <v>7.3259999999999996</v>
      </c>
      <c r="BC27" s="13">
        <f>'FS Desroches Daily'!CN29</f>
        <v>9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2021</v>
      </c>
      <c r="E28" s="31">
        <f>'FS Desroches Daily'!D30</f>
        <v>1399.9999999998458</v>
      </c>
      <c r="F28" s="32">
        <f>'FS Desroches Daily'!F30</f>
        <v>2299.9999999999686</v>
      </c>
      <c r="G28" s="31">
        <f>'FS Desroches Daily'!H30</f>
        <v>2299.9999999999686</v>
      </c>
      <c r="H28" s="32">
        <f>'FS Desroches Daily'!J30</f>
        <v>1200.0000000000898</v>
      </c>
      <c r="I28" s="31">
        <f>'FS Desroches Daily'!L30</f>
        <v>2000.0000000002237</v>
      </c>
      <c r="J28" s="32">
        <f>'FS Desroches Daily'!N30</f>
        <v>700.00000000014495</v>
      </c>
      <c r="K28" s="13">
        <f>'FS Desroches Daily'!P30</f>
        <v>2</v>
      </c>
      <c r="L28" s="31">
        <f>'FS Desroches Daily'!R30</f>
        <v>2</v>
      </c>
      <c r="M28" s="31">
        <f>'FS Desroches Daily'!T30</f>
        <v>600.00000000002274</v>
      </c>
      <c r="N28" s="31">
        <f>'FS Desroches Daily'!V30</f>
        <v>241.59999999997672</v>
      </c>
      <c r="O28" s="31">
        <f>'FS Desroches Daily'!X30</f>
        <v>209.99999999997954</v>
      </c>
      <c r="P28" s="31">
        <f>'FS Desroches Daily'!Z30</f>
        <v>1900.0000000000127</v>
      </c>
      <c r="Q28" s="31">
        <f>'FS Desroches Daily'!AB30</f>
        <v>180.00000000000682</v>
      </c>
      <c r="R28" s="31">
        <f>'FS Desroches Daily'!AD30</f>
        <v>180.00000000000682</v>
      </c>
      <c r="S28" s="31">
        <f>'FS Desroches Daily'!AF30</f>
        <v>170.00000000007276</v>
      </c>
      <c r="T28" s="31">
        <f>'FS Desroches Daily'!AH30</f>
        <v>33</v>
      </c>
      <c r="U28" s="35">
        <f>'FS Desroches Daily'!AJ30</f>
        <v>240.00000000000909</v>
      </c>
      <c r="V28" s="35">
        <f>'FS Desroches Daily'!AL30</f>
        <v>159.99999999999659</v>
      </c>
      <c r="W28" s="35">
        <f>'FS Desroches Daily'!AN30</f>
        <v>129.99999999999545</v>
      </c>
      <c r="X28" s="35">
        <f>'FS Desroches Daily'!AP30</f>
        <v>129.99999999999545</v>
      </c>
      <c r="Y28" s="35">
        <f>'FS Desroches Daily'!AR30</f>
        <v>90.000000000003411</v>
      </c>
      <c r="Z28" s="35">
        <f>'FS Desroches Daily'!AT30</f>
        <v>90.000000000031832</v>
      </c>
      <c r="AA28" s="35">
        <f>'FS Desroches Daily'!AT30</f>
        <v>90.000000000031832</v>
      </c>
      <c r="AB28" s="35">
        <f>'FS Desroches Daily'!AV30</f>
        <v>79.999999999984084</v>
      </c>
      <c r="AC28" s="35">
        <f>'FS Desroches Daily'!AZ30</f>
        <v>29.999999999972715</v>
      </c>
      <c r="AD28" s="35">
        <f>'FS Desroches Daily'!BB30</f>
        <v>20.000000000038654</v>
      </c>
      <c r="AE28" s="35">
        <f>'FS Desroches Daily'!BD30</f>
        <v>60.000000000002274</v>
      </c>
      <c r="AF28" s="31">
        <f>'FS Desroches Daily'!BF30</f>
        <v>14</v>
      </c>
      <c r="AG28" s="32">
        <f>'FS Desroches Daily'!BH30</f>
        <v>30.000000000001137</v>
      </c>
      <c r="AH28" s="32">
        <f>'FS Desroches Daily'!BJ30</f>
        <v>19.99999999998181</v>
      </c>
      <c r="AI28" s="32">
        <f>'FS Desroches Daily'!BL30</f>
        <v>20.000000000010232</v>
      </c>
      <c r="AJ28" s="32">
        <f>'FS Desroches Daily'!BN30</f>
        <v>39.999999999992042</v>
      </c>
      <c r="AK28" s="32">
        <f>'FS Desroches Daily'!BP30</f>
        <v>30.000000000029559</v>
      </c>
      <c r="AL28" s="32">
        <f>'FS Desroches Daily'!BR30</f>
        <v>30</v>
      </c>
      <c r="AM28" s="32">
        <f>'FS Desroches Daily'!BT30</f>
        <v>30.000000000001137</v>
      </c>
      <c r="AN28" s="32">
        <f>'FS Desroches Daily'!BV30</f>
        <v>31</v>
      </c>
      <c r="AO28" s="32">
        <f>'FS Desroches Daily'!BX30</f>
        <v>20.000000000010232</v>
      </c>
      <c r="AP28" s="32">
        <f>'FS Desroches Daily'!BZ30</f>
        <v>37</v>
      </c>
      <c r="AQ28" s="31">
        <f>'FS Desroches Daily'!CB30</f>
        <v>25.19999999999709</v>
      </c>
      <c r="AR28" s="31">
        <f>'FS Desroches Daily'!CD30</f>
        <v>3.7999999999992724</v>
      </c>
      <c r="AS28" s="31">
        <f>'FS Desroches Daily'!CF30</f>
        <v>9.3000000000001819</v>
      </c>
      <c r="AT28" s="31">
        <f>'FS Desroches Daily'!CH30</f>
        <v>26.900000000001455</v>
      </c>
      <c r="AU28" s="31">
        <f>'FS Desroches Daily'!CJ30</f>
        <v>288</v>
      </c>
      <c r="AV28" s="31">
        <f>'FS Desroches Daily'!CL30</f>
        <v>629.99999999999545</v>
      </c>
      <c r="AW28" s="31">
        <f>'FS Desroches Daily'!CM30</f>
        <v>56</v>
      </c>
      <c r="AX28" s="31" t="str">
        <f>IF(LPG!F36-LPG!F34&lt;0,"0",(LPG!F36-LPG!F34)*1.8315)</f>
        <v>0</v>
      </c>
      <c r="AY28" s="31" t="str">
        <f>IF(LPG!H36-LPG!H34&lt;0,"0",(LPG!H36-LPG!H34)*1.8315)</f>
        <v>0</v>
      </c>
      <c r="AZ28" s="31" t="str">
        <f>IF(LPG!J36-LPG!J34&lt;0,"0",(LPG!J36-LPG!J34)*1.8315)</f>
        <v>0</v>
      </c>
      <c r="BA28" s="31" t="str">
        <f>IF(LPG!M36-LPG!M34&lt;0,"0",(LPG!M36-LPG!M34)*1.8315)</f>
        <v>0</v>
      </c>
      <c r="BB28" s="31" t="str">
        <f>IF(LPG!Q35-LPG!Q34&lt;0,"0",(LPG!Q35-LPG!Q34)*1.8315)</f>
        <v>0</v>
      </c>
      <c r="BC28" s="13">
        <f>'FS Desroches Daily'!CN30</f>
        <v>9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2021</v>
      </c>
      <c r="E29" s="31" t="str">
        <f>'FS Desroches Daily'!D31</f>
        <v>0</v>
      </c>
      <c r="F29" s="32" t="str">
        <f>'FS Desroches Daily'!F31</f>
        <v>0</v>
      </c>
      <c r="G29" s="31" t="str">
        <f>'FS Desroches Daily'!H31</f>
        <v>0</v>
      </c>
      <c r="H29" s="32" t="str">
        <f>'FS Desroches Daily'!J31</f>
        <v>0</v>
      </c>
      <c r="I29" s="31" t="str">
        <f>'FS Desroches Daily'!L31</f>
        <v>0</v>
      </c>
      <c r="J29" s="32" t="str">
        <f>'FS Desroches Daily'!N31</f>
        <v/>
      </c>
      <c r="K29" s="13" t="str">
        <f>'FS Desroches Daily'!P31</f>
        <v/>
      </c>
      <c r="L29" s="31" t="str">
        <f>'FS Desroches Daily'!R31</f>
        <v/>
      </c>
      <c r="M29" s="31" t="str">
        <f>'FS Desroches Daily'!T31</f>
        <v>0</v>
      </c>
      <c r="N29" s="31" t="str">
        <f>'FS Desroches Daily'!V31</f>
        <v/>
      </c>
      <c r="O29" s="31" t="str">
        <f>'FS Desroches Daily'!X31</f>
        <v/>
      </c>
      <c r="P29" s="31" t="str">
        <f>'FS Desroches Daily'!Z31</f>
        <v/>
      </c>
      <c r="Q29" s="31" t="str">
        <f>'FS Desroches Daily'!AB31</f>
        <v/>
      </c>
      <c r="R29" s="31" t="str">
        <f>'FS Desroches Daily'!AD31</f>
        <v/>
      </c>
      <c r="S29" s="31" t="str">
        <f>'FS Desroches Daily'!AF31</f>
        <v/>
      </c>
      <c r="T29" s="31" t="str">
        <f>'FS Desroches Daily'!AH31</f>
        <v/>
      </c>
      <c r="U29" s="35" t="str">
        <f>'FS Desroches Daily'!AJ31</f>
        <v/>
      </c>
      <c r="V29" s="35" t="str">
        <f>'FS Desroches Daily'!AL31</f>
        <v/>
      </c>
      <c r="W29" s="35" t="str">
        <f>'FS Desroches Daily'!AN31</f>
        <v/>
      </c>
      <c r="X29" s="35" t="str">
        <f>'FS Desroches Daily'!AP31</f>
        <v/>
      </c>
      <c r="Y29" s="35" t="str">
        <f>'FS Desroches Daily'!AR31</f>
        <v/>
      </c>
      <c r="Z29" s="35" t="str">
        <f>'FS Desroches Daily'!AT31</f>
        <v/>
      </c>
      <c r="AA29" s="35" t="str">
        <f>'FS Desroches Daily'!AT31</f>
        <v/>
      </c>
      <c r="AB29" s="35" t="str">
        <f>'FS Desroches Daily'!AV31</f>
        <v/>
      </c>
      <c r="AC29" s="35" t="str">
        <f>'FS Desroches Daily'!AZ31</f>
        <v/>
      </c>
      <c r="AD29" s="35" t="str">
        <f>'FS Desroches Daily'!BB31</f>
        <v/>
      </c>
      <c r="AE29" s="35" t="str">
        <f>'FS Desroches Daily'!BD31</f>
        <v/>
      </c>
      <c r="AF29" s="31" t="str">
        <f>'FS Desroches Daily'!BF31</f>
        <v/>
      </c>
      <c r="AG29" s="32" t="str">
        <f>'FS Desroches Daily'!BH31</f>
        <v/>
      </c>
      <c r="AH29" s="32" t="str">
        <f>'FS Desroches Daily'!BJ31</f>
        <v/>
      </c>
      <c r="AI29" s="32" t="str">
        <f>'FS Desroches Daily'!BL31</f>
        <v/>
      </c>
      <c r="AJ29" s="32" t="str">
        <f>'FS Desroches Daily'!BN31</f>
        <v/>
      </c>
      <c r="AK29" s="32" t="str">
        <f>'FS Desroches Daily'!BP31</f>
        <v/>
      </c>
      <c r="AL29" s="32" t="str">
        <f>'FS Desroches Daily'!BR31</f>
        <v/>
      </c>
      <c r="AM29" s="32" t="str">
        <f>'FS Desroches Daily'!BT31</f>
        <v/>
      </c>
      <c r="AN29" s="32" t="str">
        <f>'FS Desroches Daily'!BV31</f>
        <v/>
      </c>
      <c r="AO29" s="32" t="str">
        <f>'FS Desroches Daily'!BX31</f>
        <v/>
      </c>
      <c r="AP29" s="32" t="str">
        <f>'FS Desroches Daily'!BZ31</f>
        <v/>
      </c>
      <c r="AQ29" s="31" t="str">
        <f>'FS Desroches Daily'!CB31</f>
        <v/>
      </c>
      <c r="AR29" s="31" t="str">
        <f>'FS Desroches Daily'!CD31</f>
        <v/>
      </c>
      <c r="AS29" s="31" t="str">
        <f>'FS Desroches Daily'!CF31</f>
        <v/>
      </c>
      <c r="AT29" s="31" t="str">
        <f>'FS Desroches Daily'!CH31</f>
        <v/>
      </c>
      <c r="AU29" s="31" t="str">
        <f>'FS Desroches Daily'!CJ31</f>
        <v/>
      </c>
      <c r="AV29" s="31" t="str">
        <f>'FS Desroches Daily'!CL31</f>
        <v/>
      </c>
      <c r="AW29" s="31" t="e">
        <f>'FS Desroches Daily'!CM31</f>
        <v>#VALUE!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53399.999999999905</v>
      </c>
      <c r="F33" s="17">
        <f t="shared" ref="F33:BC33" si="1">SUM(F2:F32)</f>
        <v>68499.999999999811</v>
      </c>
      <c r="G33" s="17">
        <f t="shared" si="1"/>
        <v>67900.000000000306</v>
      </c>
      <c r="H33" s="17">
        <f t="shared" si="1"/>
        <v>32800.000000000175</v>
      </c>
      <c r="I33" s="17">
        <f t="shared" si="1"/>
        <v>52900.000000000196</v>
      </c>
      <c r="J33" s="17">
        <f t="shared" si="1"/>
        <v>24299.999999999993</v>
      </c>
      <c r="K33" s="17">
        <f t="shared" si="1"/>
        <v>121</v>
      </c>
      <c r="L33" s="17">
        <f t="shared" si="1"/>
        <v>51</v>
      </c>
      <c r="M33" s="17">
        <f t="shared" si="1"/>
        <v>21064.600000000002</v>
      </c>
      <c r="N33" s="17">
        <f t="shared" si="1"/>
        <v>8089.7000000000116</v>
      </c>
      <c r="O33" s="17">
        <f t="shared" si="1"/>
        <v>6620.0000000000055</v>
      </c>
      <c r="P33" s="17">
        <f t="shared" si="1"/>
        <v>61199.999999999949</v>
      </c>
      <c r="Q33" s="17">
        <f t="shared" si="1"/>
        <v>7259.9999999999909</v>
      </c>
      <c r="R33" s="17">
        <f t="shared" si="1"/>
        <v>6539.9999999999654</v>
      </c>
      <c r="S33" s="17">
        <f t="shared" si="1"/>
        <v>7500</v>
      </c>
      <c r="T33" s="17">
        <f t="shared" si="1"/>
        <v>913</v>
      </c>
      <c r="U33" s="35">
        <f t="shared" si="1"/>
        <v>17139.999999999985</v>
      </c>
      <c r="V33" s="35">
        <f t="shared" si="1"/>
        <v>4159.9999999999964</v>
      </c>
      <c r="W33" s="35">
        <f t="shared" si="1"/>
        <v>3879.9999999999945</v>
      </c>
      <c r="X33" s="35">
        <f t="shared" si="1"/>
        <v>2860.0000000000136</v>
      </c>
      <c r="Y33" s="35">
        <f t="shared" si="1"/>
        <v>4320.0000000000227</v>
      </c>
      <c r="Z33" s="35">
        <f t="shared" si="1"/>
        <v>4976.8800000000556</v>
      </c>
      <c r="AA33" s="35">
        <f t="shared" si="1"/>
        <v>4976.8800000000556</v>
      </c>
      <c r="AB33" s="35">
        <f t="shared" si="1"/>
        <v>2720.0000000000273</v>
      </c>
      <c r="AC33" s="35">
        <f t="shared" si="1"/>
        <v>1179.99999999995</v>
      </c>
      <c r="AD33" s="35">
        <f t="shared" si="1"/>
        <v>690.00000000005457</v>
      </c>
      <c r="AE33" s="35">
        <f t="shared" si="1"/>
        <v>2669.9999999999873</v>
      </c>
      <c r="AF33" s="17">
        <f t="shared" si="1"/>
        <v>767</v>
      </c>
      <c r="AG33" s="32">
        <f t="shared" si="1"/>
        <v>939.99999999999773</v>
      </c>
      <c r="AH33" s="32">
        <f t="shared" si="1"/>
        <v>709.99999999997954</v>
      </c>
      <c r="AI33" s="32">
        <f t="shared" si="1"/>
        <v>730.00000000001819</v>
      </c>
      <c r="AJ33" s="32">
        <f t="shared" si="1"/>
        <v>979.99999999998977</v>
      </c>
      <c r="AK33" s="32">
        <f t="shared" si="1"/>
        <v>910.00000000002501</v>
      </c>
      <c r="AL33" s="32">
        <f t="shared" si="1"/>
        <v>768</v>
      </c>
      <c r="AM33" s="32">
        <f t="shared" si="1"/>
        <v>759.99999999999091</v>
      </c>
      <c r="AN33" s="32">
        <f t="shared" si="1"/>
        <v>1028</v>
      </c>
      <c r="AO33" s="32">
        <f t="shared" si="1"/>
        <v>600.00000000002274</v>
      </c>
      <c r="AP33" s="32">
        <f t="shared" si="1"/>
        <v>1150</v>
      </c>
      <c r="AQ33" s="17">
        <f t="shared" si="1"/>
        <v>957.59999999999854</v>
      </c>
      <c r="AR33" s="17">
        <f t="shared" si="1"/>
        <v>241.29999999999927</v>
      </c>
      <c r="AS33" s="17">
        <f t="shared" si="1"/>
        <v>141.19999999999982</v>
      </c>
      <c r="AT33" s="17">
        <f t="shared" si="1"/>
        <v>907</v>
      </c>
      <c r="AU33" s="17">
        <f t="shared" si="1"/>
        <v>7339</v>
      </c>
      <c r="AV33" s="17">
        <f t="shared" si="1"/>
        <v>16939.999999999942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190.47599999999997</v>
      </c>
      <c r="BC33" s="17">
        <f t="shared" si="1"/>
        <v>273</v>
      </c>
    </row>
    <row r="35" spans="5:55" x14ac:dyDescent="0.25">
      <c r="E35" s="38">
        <f>E33/E37</f>
        <v>0.22433392987674181</v>
      </c>
      <c r="G35" s="29">
        <f>G33-M36</f>
        <v>38745.700000000288</v>
      </c>
      <c r="AE35" s="35">
        <f>SUM(U33:AE33)</f>
        <v>49573.76000000014</v>
      </c>
      <c r="AG35" s="32">
        <f>SUM(AG33:AP33)</f>
        <v>8576.0000000000255</v>
      </c>
    </row>
    <row r="36" spans="5:55" x14ac:dyDescent="0.25">
      <c r="G36" s="29">
        <f>G35-633*14</f>
        <v>29883.700000000288</v>
      </c>
      <c r="M36" s="29">
        <f>M33+N33</f>
        <v>29154.300000000014</v>
      </c>
    </row>
    <row r="37" spans="5:55" x14ac:dyDescent="0.25">
      <c r="E37" s="17">
        <f>E33+F33+G33+H33+J33-633*14</f>
        <v>238038.00000000017</v>
      </c>
      <c r="G37" s="37">
        <f>M36/E37</f>
        <v>0.12247750359186345</v>
      </c>
      <c r="M37" s="35">
        <f>AE35</f>
        <v>49573.76000000014</v>
      </c>
    </row>
    <row r="38" spans="5:55" x14ac:dyDescent="0.25">
      <c r="L38" s="27">
        <f>M38/E37</f>
        <v>3.6027861097807992E-2</v>
      </c>
      <c r="M38" s="29">
        <f>AG35</f>
        <v>8576.0000000000255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B1" zoomScale="80" zoomScaleNormal="80" workbookViewId="0">
      <pane ySplit="1" topLeftCell="A8" activePane="bottomLeft" state="frozen"/>
      <selection pane="bottomLeft" activeCell="CZ31" sqref="CZ31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5" t="s">
        <v>119</v>
      </c>
      <c r="X1" s="86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44377</v>
      </c>
      <c r="B3" s="68"/>
      <c r="C3" s="58">
        <v>2.2972000000000001</v>
      </c>
      <c r="D3" s="64">
        <v>0</v>
      </c>
      <c r="E3" s="58">
        <v>3.2707000000000002</v>
      </c>
      <c r="F3" s="64"/>
      <c r="G3" s="58">
        <v>3.3277999999999999</v>
      </c>
      <c r="H3" s="64"/>
      <c r="I3" s="58">
        <v>1.6416999999999999</v>
      </c>
      <c r="J3" s="64"/>
      <c r="K3" s="58">
        <v>2.6516999999999999</v>
      </c>
      <c r="L3" s="64"/>
      <c r="M3" s="58">
        <v>1.4611000000000001</v>
      </c>
      <c r="N3" s="64"/>
      <c r="O3" s="58">
        <v>14415</v>
      </c>
      <c r="P3" s="67"/>
      <c r="Q3" s="58">
        <v>1034</v>
      </c>
      <c r="R3" s="67"/>
      <c r="S3" s="58">
        <v>995235.4</v>
      </c>
      <c r="T3" s="67"/>
      <c r="U3" s="58">
        <v>418434.1</v>
      </c>
      <c r="V3" s="67"/>
      <c r="W3" s="58">
        <v>398.96</v>
      </c>
      <c r="X3" s="65"/>
      <c r="Y3" s="58">
        <v>2.8588</v>
      </c>
      <c r="Z3" s="65"/>
      <c r="AA3" s="58">
        <v>397.01</v>
      </c>
      <c r="AB3" s="65"/>
      <c r="AC3" s="58">
        <v>371.35</v>
      </c>
      <c r="AD3" s="65"/>
      <c r="AE3" s="58">
        <v>567.47</v>
      </c>
      <c r="AF3" s="65"/>
      <c r="AG3" s="58">
        <v>4581</v>
      </c>
      <c r="AH3" s="67"/>
      <c r="AI3" s="58">
        <v>615.86</v>
      </c>
      <c r="AJ3" s="65"/>
      <c r="AK3" s="58">
        <v>205.23</v>
      </c>
      <c r="AL3" s="65"/>
      <c r="AM3" s="58">
        <v>195.52</v>
      </c>
      <c r="AN3" s="65"/>
      <c r="AO3" s="58">
        <v>189.73</v>
      </c>
      <c r="AP3" s="65"/>
      <c r="AQ3" s="58">
        <v>247.51</v>
      </c>
      <c r="AR3" s="65"/>
      <c r="AS3" s="58">
        <v>373.15</v>
      </c>
      <c r="AT3" s="65"/>
      <c r="AU3" s="58">
        <v>285.70999999999998</v>
      </c>
      <c r="AV3" s="65"/>
      <c r="AW3" s="58">
        <v>320.38</v>
      </c>
      <c r="AX3" s="65"/>
      <c r="AY3" s="58">
        <v>361.66</v>
      </c>
      <c r="AZ3" s="65"/>
      <c r="BA3" s="58">
        <v>381.28</v>
      </c>
      <c r="BB3" s="65"/>
      <c r="BC3" s="58">
        <v>241.93</v>
      </c>
      <c r="BD3" s="65"/>
      <c r="BE3" s="59">
        <v>40460</v>
      </c>
      <c r="BF3" s="67"/>
      <c r="BG3" s="60">
        <v>234.28</v>
      </c>
      <c r="BH3" s="65"/>
      <c r="BI3" s="60">
        <v>293.25</v>
      </c>
      <c r="BJ3" s="65"/>
      <c r="BK3" s="60">
        <v>237.04</v>
      </c>
      <c r="BL3" s="65"/>
      <c r="BM3" s="60">
        <v>223.94</v>
      </c>
      <c r="BN3" s="65"/>
      <c r="BO3" s="60">
        <v>287.75</v>
      </c>
      <c r="BP3" s="65"/>
      <c r="BQ3" s="60">
        <v>45344</v>
      </c>
      <c r="BR3" s="65"/>
      <c r="BS3" s="60">
        <v>200.84</v>
      </c>
      <c r="BT3" s="65"/>
      <c r="BU3" s="60">
        <v>40798</v>
      </c>
      <c r="BV3" s="65"/>
      <c r="BW3" s="60">
        <v>232.01</v>
      </c>
      <c r="BX3" s="65"/>
      <c r="BY3" s="60">
        <v>60477</v>
      </c>
      <c r="BZ3" s="67"/>
      <c r="CA3" s="60">
        <v>32040.400000000001</v>
      </c>
      <c r="CB3" s="67"/>
      <c r="CC3" s="60">
        <v>12190.2</v>
      </c>
      <c r="CD3" s="67"/>
      <c r="CE3" s="60">
        <v>6424</v>
      </c>
      <c r="CF3" s="67"/>
      <c r="CG3" s="60">
        <v>59652.4</v>
      </c>
      <c r="CH3" s="67"/>
      <c r="CI3" s="60">
        <v>949584</v>
      </c>
      <c r="CJ3" s="67"/>
      <c r="CK3" s="60">
        <v>765.96</v>
      </c>
      <c r="CL3" s="64"/>
      <c r="CM3" s="65"/>
      <c r="CN3" s="62">
        <v>10</v>
      </c>
      <c r="CO3" s="62">
        <v>25</v>
      </c>
      <c r="CP3" s="68">
        <v>9741.7999999999993</v>
      </c>
      <c r="CQ3" s="68"/>
      <c r="CR3" s="68">
        <v>14248</v>
      </c>
      <c r="CS3" s="68"/>
      <c r="CT3" s="75">
        <v>6490</v>
      </c>
      <c r="CU3" s="68"/>
      <c r="CV3" s="68">
        <v>15410</v>
      </c>
      <c r="CW3" s="75"/>
      <c r="CX3" s="76"/>
    </row>
    <row r="4" spans="1:102" ht="25.5" customHeight="1" thickBot="1" x14ac:dyDescent="0.45">
      <c r="A4" s="63">
        <v>44378</v>
      </c>
      <c r="B4" s="68"/>
      <c r="C4" s="58">
        <v>2.2989000000000002</v>
      </c>
      <c r="D4" s="64">
        <f t="shared" ref="D4:D34" si="0">IF((C4-C3&lt;0), "0",(C4-C3)*1000000)</f>
        <v>1700.0000000000348</v>
      </c>
      <c r="E4" s="58">
        <v>3.2730000000000001</v>
      </c>
      <c r="F4" s="64">
        <f t="shared" ref="F4:F34" si="1">IF((E4-E3&lt;0), "0",(E4-E3)*1000000)</f>
        <v>2299.9999999999686</v>
      </c>
      <c r="G4" s="58">
        <v>3.33</v>
      </c>
      <c r="H4" s="64">
        <f t="shared" ref="H4:H34" si="2">IF((G4-G3&lt;0), "0",(G4-G3)*1000000)</f>
        <v>2200.0000000002019</v>
      </c>
      <c r="I4" s="58">
        <v>1.6427</v>
      </c>
      <c r="J4" s="64">
        <f t="shared" ref="J4:J34" si="3">IF((I4-I3&lt;0), "0",(I4-I3)*1000000)</f>
        <v>1000.0000000001119</v>
      </c>
      <c r="K4" s="58">
        <v>2.6533000000000002</v>
      </c>
      <c r="L4" s="64">
        <f t="shared" ref="L4:L34" si="4">IF((K4-K3&lt;0), "0",(K4-K3)*1000000)</f>
        <v>1600.0000000002678</v>
      </c>
      <c r="M4" s="58">
        <v>1.4618</v>
      </c>
      <c r="N4" s="64">
        <f t="shared" ref="N4:N34" si="5">IF((M4-M3&lt;0), "",(M4-M3)*1000000)</f>
        <v>699.99999999992292</v>
      </c>
      <c r="O4" s="58">
        <v>14417</v>
      </c>
      <c r="P4" s="67">
        <f>IF((O4-O3&lt;0), "",O4-O3)</f>
        <v>2</v>
      </c>
      <c r="Q4" s="58">
        <v>1036</v>
      </c>
      <c r="R4" s="67">
        <f t="shared" ref="R4:R34" si="6">IF((Q4-Q3&lt;0), "",Q4-Q3)</f>
        <v>2</v>
      </c>
      <c r="S4" s="58">
        <v>995838.6</v>
      </c>
      <c r="T4" s="67">
        <f t="shared" ref="T4:T20" si="7">IF((S4-S3&lt;0), "",S4-S3)</f>
        <v>603.19999999995343</v>
      </c>
      <c r="U4" s="58">
        <v>418679.9</v>
      </c>
      <c r="V4" s="67">
        <f t="shared" ref="V4:V34" si="8">IF((U4-U3&lt;0), "",U4-U3)</f>
        <v>245.80000000004657</v>
      </c>
      <c r="W4" s="58">
        <v>399.16</v>
      </c>
      <c r="X4" s="65">
        <f t="shared" ref="X4:X34" si="9">IF((W4-W3&lt;0), "",(W4-W3)*1000)</f>
        <v>200.00000000004547</v>
      </c>
      <c r="Y4" s="58">
        <v>2.8603999999999998</v>
      </c>
      <c r="Z4" s="65">
        <f t="shared" ref="Z4:Z34" si="10">IF((Y4-Y3&lt;0), "",(Y4-Y3)*1000000)</f>
        <v>1599.9999999998238</v>
      </c>
      <c r="AA4" s="58">
        <v>397.18</v>
      </c>
      <c r="AB4" s="65">
        <f t="shared" ref="AB4:AB34" si="11">IF((AA4-AA3&lt;0), "",(AA4-AA3)*1000)</f>
        <v>170.00000000001592</v>
      </c>
      <c r="AC4" s="58">
        <v>371.52</v>
      </c>
      <c r="AD4" s="65">
        <f t="shared" ref="AD4:AD34" si="12">IF((AC4-AC3&lt;0), "",(AC4-AC3)*1000)</f>
        <v>169.99999999995907</v>
      </c>
      <c r="AE4" s="58">
        <v>567.66999999999996</v>
      </c>
      <c r="AF4" s="65">
        <f t="shared" ref="AF4:AF34" si="13">IF((AE4-AE3&lt;0), "",(AE4-AE3)*1000)</f>
        <v>199.99999999993179</v>
      </c>
      <c r="AG4" s="58">
        <v>4604</v>
      </c>
      <c r="AH4" s="67">
        <f t="shared" ref="AH4:AH34" si="14">IF((AG4-AG3&lt;0), "",AG4-AG3)</f>
        <v>23</v>
      </c>
      <c r="AI4" s="58">
        <v>616.48</v>
      </c>
      <c r="AJ4" s="65">
        <f t="shared" ref="AJ4:AP34" si="15">IF((AI4-AI3&lt;0), "",(AI4-AI3)*1000)</f>
        <v>620.00000000000455</v>
      </c>
      <c r="AK4" s="58">
        <v>205.35</v>
      </c>
      <c r="AL4" s="65">
        <f t="shared" si="15"/>
        <v>120.00000000000455</v>
      </c>
      <c r="AM4" s="58">
        <v>195.61</v>
      </c>
      <c r="AN4" s="65">
        <f t="shared" si="15"/>
        <v>90.000000000003411</v>
      </c>
      <c r="AO4" s="58">
        <v>189.81</v>
      </c>
      <c r="AP4" s="65">
        <f t="shared" si="15"/>
        <v>80.000000000012506</v>
      </c>
      <c r="AQ4" s="58">
        <v>247.55</v>
      </c>
      <c r="AR4" s="65">
        <f t="shared" ref="AR4:AR34" si="16">IF((AQ4-AQ3&lt;0), "",(AQ4-AQ3)*1000)</f>
        <v>40.000000000020464</v>
      </c>
      <c r="AS4" s="58">
        <v>373.24</v>
      </c>
      <c r="AT4" s="65">
        <f t="shared" ref="AT4:AT34" si="17">IF((AS4-AS3&lt;0), "",(AS4-AS3)*1000)</f>
        <v>90.000000000031832</v>
      </c>
      <c r="AU4" s="58">
        <v>285.74</v>
      </c>
      <c r="AV4" s="65">
        <f t="shared" ref="AV4:AV34" si="18">IF((AU4-AU3&lt;0), "",(AU4-AU3)*1000)</f>
        <v>30.000000000029559</v>
      </c>
      <c r="AW4" s="58">
        <v>320.41000000000003</v>
      </c>
      <c r="AX4" s="65">
        <f t="shared" ref="AX4:AX34" si="19">IF((AW4-AW3&lt;0), "",(AW4-AW3)*1000)</f>
        <v>30.000000000029559</v>
      </c>
      <c r="AY4" s="58">
        <v>361.69</v>
      </c>
      <c r="AZ4" s="65">
        <f t="shared" ref="AZ4:AZ34" si="20">IF((AY4-AY3&lt;0), "",(AY4-AY3)*1000)</f>
        <v>29.999999999972715</v>
      </c>
      <c r="BA4" s="58">
        <v>381.29</v>
      </c>
      <c r="BB4" s="65">
        <f t="shared" ref="BB4:BB34" si="21">IF((BA4-BA3&lt;0), "",(BA4-BA3)*1000)</f>
        <v>10.000000000047748</v>
      </c>
      <c r="BC4" s="58">
        <v>241.94</v>
      </c>
      <c r="BD4" s="65">
        <f t="shared" ref="BD4:BD34" si="22">IF((BC4-BC3&lt;0), "",(BC4-BC3)*1000)</f>
        <v>9.9999999999909051</v>
      </c>
      <c r="BE4" s="59">
        <v>40485</v>
      </c>
      <c r="BF4" s="67">
        <f>IF((BE4-BE3&lt;0), "",BE4-BE3)</f>
        <v>25</v>
      </c>
      <c r="BG4" s="60">
        <v>234.31</v>
      </c>
      <c r="BH4" s="65">
        <f t="shared" ref="BH4:BH34" si="23">IF((BG4-BG3&lt;0), "",(BG4-BG3)*1000)</f>
        <v>30.000000000001137</v>
      </c>
      <c r="BI4" s="60">
        <v>293.27</v>
      </c>
      <c r="BJ4" s="65">
        <f>IF((BI4-BI3&lt;0), "",(BI4-BI3)*1000)</f>
        <v>19.99999999998181</v>
      </c>
      <c r="BK4" s="60">
        <v>237.07</v>
      </c>
      <c r="BL4" s="65">
        <f t="shared" ref="BL4:BL34" si="24">IF((BK4-BK3&lt;0), "",(BK4-BK3)*1000)</f>
        <v>30.000000000001137</v>
      </c>
      <c r="BM4" s="60">
        <v>223.97</v>
      </c>
      <c r="BN4" s="65">
        <f t="shared" ref="BN4:BN33" si="25">IF((BM4-BM3&lt;0), "",(BM4-BM3)*1000)</f>
        <v>30.000000000001137</v>
      </c>
      <c r="BO4" s="60">
        <v>287.79000000000002</v>
      </c>
      <c r="BP4" s="65">
        <f t="shared" ref="BP4:BP34" si="26">IF((BO4-BO3&lt;0), "",(BO4-BO3)*1000)</f>
        <v>40.000000000020464</v>
      </c>
      <c r="BQ4" s="60">
        <v>45365</v>
      </c>
      <c r="BR4" s="65">
        <f t="shared" ref="BR4:BR34" si="27">IF((BQ4-BQ3&lt;0), "",BQ4-BQ3)</f>
        <v>21</v>
      </c>
      <c r="BS4" s="60">
        <v>200.87</v>
      </c>
      <c r="BT4" s="65">
        <f t="shared" ref="BT4" si="28">IF((BS4-BS3&lt;0), "",(BS4-BS3)*1000)</f>
        <v>30.000000000001137</v>
      </c>
      <c r="BU4" s="60">
        <v>40838</v>
      </c>
      <c r="BV4" s="65">
        <f t="shared" ref="BV4:BV35" si="29">IF((BU4-BU3&lt;0), "",BU4-BU3)</f>
        <v>40</v>
      </c>
      <c r="BW4" s="60">
        <v>232.03</v>
      </c>
      <c r="BX4" s="65">
        <f t="shared" ref="BX4:BX34" si="30">IF((BW4-BW3&lt;0), "",(BW4-BW3)*1000)</f>
        <v>20.000000000010232</v>
      </c>
      <c r="BY4" s="60">
        <v>60520</v>
      </c>
      <c r="BZ4" s="67">
        <f t="shared" ref="BZ4:BZ34" si="31">IF((BY4-BY3&lt;0), "",BY4-BY3)</f>
        <v>43</v>
      </c>
      <c r="CA4" s="60">
        <v>32060.799999999999</v>
      </c>
      <c r="CB4" s="67">
        <f t="shared" ref="CB4:CB33" si="32">IF((CA4-CA3&lt;0), "",CA4-CA3)</f>
        <v>20.399999999997817</v>
      </c>
      <c r="CC4" s="60">
        <v>12194.4</v>
      </c>
      <c r="CD4" s="67">
        <f t="shared" ref="CD4:CD34" si="33">IF((CC4-CC3&lt;0), "",CC4-CC3)</f>
        <v>4.1999999999989086</v>
      </c>
      <c r="CE4" s="60">
        <v>6429.4</v>
      </c>
      <c r="CF4" s="67">
        <f t="shared" ref="CF4:CF33" si="34">IF((CE4-CE3&lt;0), "",CE4-CE3)</f>
        <v>5.3999999999996362</v>
      </c>
      <c r="CG4" s="60">
        <v>59683.1</v>
      </c>
      <c r="CH4" s="67">
        <f t="shared" ref="CH4:CH34" si="35">IF((CG4-CG3&lt;0), "",CG4-CG3)</f>
        <v>30.69999999999709</v>
      </c>
      <c r="CI4" s="60">
        <v>949813</v>
      </c>
      <c r="CJ4" s="67">
        <f t="shared" ref="CJ4:CJ34" si="36">IF((CI4-CI3&lt;0), "",CI4-CI3)</f>
        <v>229</v>
      </c>
      <c r="CK4" s="60">
        <v>766.5</v>
      </c>
      <c r="CL4" s="64">
        <f t="shared" ref="CL4:CL34" si="37">IF((CK4-CK3&lt;0), "",(CK4-CK3)*1000)</f>
        <v>539.99999999996362</v>
      </c>
      <c r="CM4" s="65">
        <f>CQ4+CS4</f>
        <v>52.800000000001091</v>
      </c>
      <c r="CN4" s="62">
        <v>10</v>
      </c>
      <c r="CO4" s="62">
        <v>25</v>
      </c>
      <c r="CP4" s="68">
        <v>9780.6</v>
      </c>
      <c r="CQ4" s="67">
        <f t="shared" ref="CQ4:CW34" si="38">IF((CP4-CP3&lt;0), "",CP4-CP3)</f>
        <v>38.800000000001091</v>
      </c>
      <c r="CR4" s="68">
        <v>14262</v>
      </c>
      <c r="CS4" s="67">
        <f t="shared" si="38"/>
        <v>14</v>
      </c>
      <c r="CT4" s="75">
        <v>6498</v>
      </c>
      <c r="CU4" s="67">
        <f t="shared" si="38"/>
        <v>8</v>
      </c>
      <c r="CV4" s="68">
        <v>15427</v>
      </c>
      <c r="CW4" s="67">
        <f t="shared" si="38"/>
        <v>17</v>
      </c>
    </row>
    <row r="5" spans="1:102" ht="25.5" customHeight="1" thickBot="1" x14ac:dyDescent="0.45">
      <c r="A5" s="63">
        <v>44379</v>
      </c>
      <c r="B5" s="44"/>
      <c r="C5" s="58">
        <v>2.3007</v>
      </c>
      <c r="D5" s="64">
        <f t="shared" si="0"/>
        <v>1799.9999999998017</v>
      </c>
      <c r="E5" s="58">
        <v>3.2755000000000001</v>
      </c>
      <c r="F5" s="64">
        <f t="shared" si="1"/>
        <v>2499.9999999999468</v>
      </c>
      <c r="G5" s="58">
        <v>3.3323</v>
      </c>
      <c r="H5" s="64">
        <f t="shared" si="2"/>
        <v>2299.9999999999686</v>
      </c>
      <c r="I5" s="58">
        <v>1.6438999999999999</v>
      </c>
      <c r="J5" s="64">
        <f t="shared" si="3"/>
        <v>1199.9999999998679</v>
      </c>
      <c r="K5" s="58">
        <v>2.6551999999999998</v>
      </c>
      <c r="L5" s="64">
        <f t="shared" si="4"/>
        <v>1899.9999999995687</v>
      </c>
      <c r="M5" s="58">
        <v>1.4626999999999999</v>
      </c>
      <c r="N5" s="64">
        <f t="shared" si="5"/>
        <v>899.99999999990087</v>
      </c>
      <c r="O5" s="58">
        <v>14423</v>
      </c>
      <c r="P5" s="67">
        <f>IF((O5-O4&lt;0), "",O5-O4)</f>
        <v>6</v>
      </c>
      <c r="Q5" s="58">
        <v>1038</v>
      </c>
      <c r="R5" s="67">
        <f t="shared" si="6"/>
        <v>2</v>
      </c>
      <c r="S5" s="58">
        <v>996446</v>
      </c>
      <c r="T5" s="67">
        <f t="shared" si="7"/>
        <v>607.40000000002328</v>
      </c>
      <c r="U5" s="58">
        <v>418891.4</v>
      </c>
      <c r="V5" s="67">
        <f t="shared" si="8"/>
        <v>211.5</v>
      </c>
      <c r="W5" s="58">
        <v>399.43</v>
      </c>
      <c r="X5" s="65">
        <f t="shared" si="9"/>
        <v>269.99999999998181</v>
      </c>
      <c r="Y5" s="58">
        <v>2.8626999999999998</v>
      </c>
      <c r="Z5" s="65">
        <f t="shared" si="10"/>
        <v>2299.9999999999686</v>
      </c>
      <c r="AA5" s="58">
        <v>397.5</v>
      </c>
      <c r="AB5" s="65">
        <f t="shared" si="11"/>
        <v>319.99999999999318</v>
      </c>
      <c r="AC5" s="58">
        <v>371.73</v>
      </c>
      <c r="AD5" s="65">
        <f t="shared" si="12"/>
        <v>210.00000000003638</v>
      </c>
      <c r="AE5" s="58">
        <v>567.94000000000005</v>
      </c>
      <c r="AF5" s="65">
        <f t="shared" si="13"/>
        <v>270.0000000000955</v>
      </c>
      <c r="AG5" s="58">
        <v>4637</v>
      </c>
      <c r="AH5" s="67">
        <f t="shared" si="14"/>
        <v>33</v>
      </c>
      <c r="AI5" s="58">
        <v>617.22</v>
      </c>
      <c r="AJ5" s="65">
        <f t="shared" si="15"/>
        <v>740.00000000000909</v>
      </c>
      <c r="AK5" s="58">
        <v>205.51</v>
      </c>
      <c r="AL5" s="65">
        <f t="shared" si="15"/>
        <v>159.99999999999659</v>
      </c>
      <c r="AM5" s="58">
        <v>195.72</v>
      </c>
      <c r="AN5" s="65">
        <f t="shared" si="15"/>
        <v>109.99999999998522</v>
      </c>
      <c r="AO5" s="58">
        <v>189.92</v>
      </c>
      <c r="AP5" s="65">
        <f t="shared" si="15"/>
        <v>109.99999999998522</v>
      </c>
      <c r="AQ5" s="58">
        <v>247.7</v>
      </c>
      <c r="AR5" s="65">
        <f t="shared" si="16"/>
        <v>149.99999999997726</v>
      </c>
      <c r="AS5" s="58">
        <v>373.38</v>
      </c>
      <c r="AT5" s="65">
        <f t="shared" si="17"/>
        <v>139.99999999998636</v>
      </c>
      <c r="AU5" s="58">
        <v>285.77999999999997</v>
      </c>
      <c r="AV5" s="65">
        <f t="shared" si="18"/>
        <v>39.99999999996362</v>
      </c>
      <c r="AW5" s="58">
        <v>320.45</v>
      </c>
      <c r="AX5" s="65">
        <f t="shared" si="19"/>
        <v>39.99999999996362</v>
      </c>
      <c r="AY5" s="58">
        <v>361.73</v>
      </c>
      <c r="AZ5" s="65">
        <f t="shared" si="20"/>
        <v>40.000000000020464</v>
      </c>
      <c r="BA5" s="58">
        <v>381.32</v>
      </c>
      <c r="BB5" s="65">
        <f t="shared" si="21"/>
        <v>29.999999999972715</v>
      </c>
      <c r="BC5" s="58">
        <v>241.98</v>
      </c>
      <c r="BD5" s="65">
        <f t="shared" si="22"/>
        <v>39.999999999992042</v>
      </c>
      <c r="BE5" s="59">
        <v>40514</v>
      </c>
      <c r="BF5" s="67">
        <f t="shared" ref="BF5:BF34" si="39">IF((BE5-BE4&lt;0), "",BE5-BE4)</f>
        <v>29</v>
      </c>
      <c r="BG5" s="60">
        <v>234.36</v>
      </c>
      <c r="BH5" s="65">
        <f t="shared" si="23"/>
        <v>50.000000000011369</v>
      </c>
      <c r="BI5" s="60">
        <v>293.29000000000002</v>
      </c>
      <c r="BJ5" s="65">
        <f t="shared" ref="BJ5:BJ34" si="40">IF((BI5-BI4&lt;0), "",(BI5-BI4)*1000)</f>
        <v>20.000000000038654</v>
      </c>
      <c r="BK5" s="60">
        <v>237.09</v>
      </c>
      <c r="BL5" s="65">
        <f t="shared" si="24"/>
        <v>20.000000000010232</v>
      </c>
      <c r="BM5" s="60">
        <v>224</v>
      </c>
      <c r="BN5" s="65">
        <f t="shared" si="25"/>
        <v>30.000000000001137</v>
      </c>
      <c r="BO5" s="60">
        <v>287.82</v>
      </c>
      <c r="BP5" s="65">
        <f t="shared" si="26"/>
        <v>29.999999999972715</v>
      </c>
      <c r="BQ5" s="60">
        <v>45390</v>
      </c>
      <c r="BR5" s="65">
        <f t="shared" si="27"/>
        <v>25</v>
      </c>
      <c r="BS5" s="60">
        <v>200.89</v>
      </c>
      <c r="BT5" s="65">
        <f>IF((BS5-BS4&lt;0), "",(BS5-BS4)*1000)</f>
        <v>19.99999999998181</v>
      </c>
      <c r="BU5" s="60">
        <v>40876</v>
      </c>
      <c r="BV5" s="65">
        <f t="shared" si="29"/>
        <v>38</v>
      </c>
      <c r="BW5" s="60">
        <v>232.05</v>
      </c>
      <c r="BX5" s="65">
        <f t="shared" si="30"/>
        <v>20.000000000010232</v>
      </c>
      <c r="BY5" s="60">
        <v>60552</v>
      </c>
      <c r="BZ5" s="67">
        <f t="shared" si="31"/>
        <v>32</v>
      </c>
      <c r="CA5" s="60">
        <v>32095.7</v>
      </c>
      <c r="CB5" s="67">
        <f t="shared" si="32"/>
        <v>34.900000000001455</v>
      </c>
      <c r="CC5" s="60">
        <v>12201.4</v>
      </c>
      <c r="CD5" s="67">
        <f t="shared" si="33"/>
        <v>7</v>
      </c>
      <c r="CE5" s="60">
        <v>6429.5</v>
      </c>
      <c r="CF5" s="67">
        <f t="shared" si="34"/>
        <v>0.1000000000003638</v>
      </c>
      <c r="CG5" s="60">
        <v>59719.5</v>
      </c>
      <c r="CH5" s="67">
        <f t="shared" si="35"/>
        <v>36.400000000001455</v>
      </c>
      <c r="CI5" s="60">
        <v>950107</v>
      </c>
      <c r="CJ5" s="67">
        <f t="shared" si="36"/>
        <v>294</v>
      </c>
      <c r="CK5" s="60">
        <v>767.17</v>
      </c>
      <c r="CL5" s="64">
        <f t="shared" si="37"/>
        <v>669.99999999995907</v>
      </c>
      <c r="CM5" s="65">
        <f t="shared" ref="CM5:CM34" si="41">CQ5+CS5</f>
        <v>67.399999999999636</v>
      </c>
      <c r="CN5" s="62">
        <v>10</v>
      </c>
      <c r="CO5" s="62">
        <v>25</v>
      </c>
      <c r="CP5" s="68">
        <v>9829</v>
      </c>
      <c r="CQ5" s="67">
        <f t="shared" si="38"/>
        <v>48.399999999999636</v>
      </c>
      <c r="CR5" s="68">
        <v>14281</v>
      </c>
      <c r="CS5" s="67">
        <f t="shared" si="38"/>
        <v>19</v>
      </c>
      <c r="CT5" s="75">
        <v>6510</v>
      </c>
      <c r="CU5" s="67">
        <f t="shared" si="38"/>
        <v>12</v>
      </c>
      <c r="CV5" s="68">
        <v>15447</v>
      </c>
      <c r="CW5" s="67">
        <f t="shared" si="38"/>
        <v>20</v>
      </c>
    </row>
    <row r="6" spans="1:102" ht="24.75" customHeight="1" thickBot="1" x14ac:dyDescent="0.45">
      <c r="A6" s="63">
        <v>44380</v>
      </c>
      <c r="B6" s="44"/>
      <c r="C6" s="58">
        <v>2.3026</v>
      </c>
      <c r="D6" s="64">
        <f t="shared" si="0"/>
        <v>1900.0000000000127</v>
      </c>
      <c r="E6" s="58">
        <v>3.2782</v>
      </c>
      <c r="F6" s="64">
        <f t="shared" si="1"/>
        <v>2699.9999999999245</v>
      </c>
      <c r="G6" s="58">
        <v>3.3347000000000002</v>
      </c>
      <c r="H6" s="64">
        <f t="shared" si="2"/>
        <v>2400.0000000001796</v>
      </c>
      <c r="I6" s="58">
        <v>1.6451</v>
      </c>
      <c r="J6" s="64">
        <f t="shared" si="3"/>
        <v>1200.0000000000898</v>
      </c>
      <c r="K6" s="58">
        <v>2.6570999999999998</v>
      </c>
      <c r="L6" s="64">
        <f t="shared" si="4"/>
        <v>1900.0000000000127</v>
      </c>
      <c r="M6" s="58">
        <v>1.4635</v>
      </c>
      <c r="N6" s="64">
        <f t="shared" si="5"/>
        <v>800.00000000013392</v>
      </c>
      <c r="O6" s="58">
        <v>14427</v>
      </c>
      <c r="P6" s="67">
        <f>IF((O6-O5&lt;0), "",O6-O5)</f>
        <v>4</v>
      </c>
      <c r="Q6" s="58">
        <v>1040</v>
      </c>
      <c r="R6" s="67">
        <f t="shared" si="6"/>
        <v>2</v>
      </c>
      <c r="S6" s="58">
        <v>997193.4</v>
      </c>
      <c r="T6" s="67">
        <f t="shared" si="7"/>
        <v>747.40000000002328</v>
      </c>
      <c r="U6" s="58">
        <v>419156</v>
      </c>
      <c r="V6" s="67">
        <f t="shared" si="8"/>
        <v>264.59999999997672</v>
      </c>
      <c r="W6" s="58">
        <v>399.67</v>
      </c>
      <c r="X6" s="65">
        <f t="shared" si="9"/>
        <v>240.00000000000909</v>
      </c>
      <c r="Y6" s="58">
        <v>2.8651</v>
      </c>
      <c r="Z6" s="65">
        <f t="shared" si="10"/>
        <v>2400.0000000001796</v>
      </c>
      <c r="AA6" s="58">
        <v>397.69</v>
      </c>
      <c r="AB6" s="65">
        <f t="shared" si="11"/>
        <v>189.99999999999773</v>
      </c>
      <c r="AC6" s="58">
        <v>371.94</v>
      </c>
      <c r="AD6" s="65">
        <f t="shared" si="12"/>
        <v>209.99999999997954</v>
      </c>
      <c r="AE6" s="58">
        <v>568.25</v>
      </c>
      <c r="AF6" s="65">
        <f t="shared" si="13"/>
        <v>309.99999999994543</v>
      </c>
      <c r="AG6" s="58">
        <v>4669</v>
      </c>
      <c r="AH6" s="67">
        <f t="shared" si="14"/>
        <v>32</v>
      </c>
      <c r="AI6" s="58">
        <v>618.01</v>
      </c>
      <c r="AJ6" s="65">
        <f t="shared" si="15"/>
        <v>789.99999999996362</v>
      </c>
      <c r="AK6" s="58">
        <v>205.7</v>
      </c>
      <c r="AL6" s="65">
        <f t="shared" si="15"/>
        <v>189.99999999999773</v>
      </c>
      <c r="AM6" s="58">
        <v>195.86</v>
      </c>
      <c r="AN6" s="65">
        <f t="shared" si="15"/>
        <v>140.00000000001478</v>
      </c>
      <c r="AO6" s="58">
        <v>190.06</v>
      </c>
      <c r="AP6" s="65">
        <f t="shared" si="15"/>
        <v>140.00000000001478</v>
      </c>
      <c r="AQ6" s="58">
        <v>247.92</v>
      </c>
      <c r="AR6" s="65">
        <f t="shared" si="16"/>
        <v>219.99999999999886</v>
      </c>
      <c r="AS6" s="58">
        <v>373.49</v>
      </c>
      <c r="AT6" s="65">
        <f t="shared" si="17"/>
        <v>110.00000000001364</v>
      </c>
      <c r="AU6" s="58">
        <v>285.83999999999997</v>
      </c>
      <c r="AV6" s="65">
        <f t="shared" si="18"/>
        <v>60.000000000002274</v>
      </c>
      <c r="AW6" s="58">
        <v>320.48</v>
      </c>
      <c r="AX6" s="65">
        <f t="shared" si="19"/>
        <v>30.000000000029559</v>
      </c>
      <c r="AY6" s="58">
        <v>361.76</v>
      </c>
      <c r="AZ6" s="65">
        <f t="shared" si="20"/>
        <v>29.999999999972715</v>
      </c>
      <c r="BA6" s="58">
        <v>381.33</v>
      </c>
      <c r="BB6" s="65">
        <f t="shared" si="21"/>
        <v>9.9999999999909051</v>
      </c>
      <c r="BC6" s="58">
        <v>242</v>
      </c>
      <c r="BD6" s="65">
        <f t="shared" si="22"/>
        <v>20.000000000010232</v>
      </c>
      <c r="BE6" s="59">
        <v>40540</v>
      </c>
      <c r="BF6" s="67">
        <f t="shared" si="39"/>
        <v>26</v>
      </c>
      <c r="BG6" s="60">
        <v>234.39</v>
      </c>
      <c r="BH6" s="65">
        <f t="shared" si="23"/>
        <v>29.999999999972715</v>
      </c>
      <c r="BI6" s="60">
        <v>293.31</v>
      </c>
      <c r="BJ6" s="65">
        <f t="shared" si="40"/>
        <v>19.99999999998181</v>
      </c>
      <c r="BK6" s="60">
        <v>237.11</v>
      </c>
      <c r="BL6" s="65">
        <f t="shared" si="24"/>
        <v>20.000000000010232</v>
      </c>
      <c r="BM6" s="60">
        <v>224.04</v>
      </c>
      <c r="BN6" s="65">
        <f t="shared" si="25"/>
        <v>39.999999999992042</v>
      </c>
      <c r="BO6" s="60">
        <v>287.86</v>
      </c>
      <c r="BP6" s="65">
        <f t="shared" si="26"/>
        <v>40.000000000020464</v>
      </c>
      <c r="BQ6" s="60">
        <v>45416</v>
      </c>
      <c r="BR6" s="65">
        <f t="shared" si="27"/>
        <v>26</v>
      </c>
      <c r="BS6" s="60">
        <v>200.91</v>
      </c>
      <c r="BT6" s="65">
        <f t="shared" ref="BT6:BT35" si="42">IF((BS6-BS5&lt;0), "",(BS6-BS5)*1000)</f>
        <v>20.000000000010232</v>
      </c>
      <c r="BU6" s="60">
        <v>40915</v>
      </c>
      <c r="BV6" s="65">
        <f t="shared" si="29"/>
        <v>39</v>
      </c>
      <c r="BW6" s="60">
        <v>232.07</v>
      </c>
      <c r="BX6" s="65">
        <f t="shared" si="30"/>
        <v>19.99999999998181</v>
      </c>
      <c r="BY6" s="60">
        <v>60589</v>
      </c>
      <c r="BZ6" s="67">
        <f t="shared" si="31"/>
        <v>37</v>
      </c>
      <c r="CA6" s="60">
        <v>32130.2</v>
      </c>
      <c r="CB6" s="67">
        <f t="shared" si="32"/>
        <v>34.5</v>
      </c>
      <c r="CC6" s="60">
        <v>12208.7</v>
      </c>
      <c r="CD6" s="67">
        <f t="shared" si="33"/>
        <v>7.3000000000010914</v>
      </c>
      <c r="CE6" s="60">
        <v>6434.6</v>
      </c>
      <c r="CF6" s="67">
        <f t="shared" si="34"/>
        <v>5.1000000000003638</v>
      </c>
      <c r="CG6" s="60">
        <v>59758.7</v>
      </c>
      <c r="CH6" s="67">
        <f t="shared" si="35"/>
        <v>39.19999999999709</v>
      </c>
      <c r="CI6" s="60">
        <v>950405</v>
      </c>
      <c r="CJ6" s="67">
        <f t="shared" si="36"/>
        <v>298</v>
      </c>
      <c r="CK6" s="60">
        <v>767.82</v>
      </c>
      <c r="CL6" s="64">
        <f t="shared" si="37"/>
        <v>650.00000000009095</v>
      </c>
      <c r="CM6" s="65">
        <f t="shared" si="41"/>
        <v>67.399999999999636</v>
      </c>
      <c r="CN6" s="62">
        <v>8</v>
      </c>
      <c r="CO6" s="62">
        <v>20</v>
      </c>
      <c r="CP6" s="68">
        <v>9875.4</v>
      </c>
      <c r="CQ6" s="67">
        <f t="shared" si="38"/>
        <v>46.399999999999636</v>
      </c>
      <c r="CR6" s="68">
        <v>14302</v>
      </c>
      <c r="CS6" s="67">
        <f t="shared" si="38"/>
        <v>21</v>
      </c>
      <c r="CT6" s="75">
        <v>6522</v>
      </c>
      <c r="CU6" s="67">
        <f t="shared" si="38"/>
        <v>12</v>
      </c>
      <c r="CV6" s="68">
        <v>15474</v>
      </c>
      <c r="CW6" s="67">
        <f t="shared" si="38"/>
        <v>27</v>
      </c>
    </row>
    <row r="7" spans="1:102" ht="25.5" customHeight="1" thickBot="1" x14ac:dyDescent="0.45">
      <c r="A7" s="63">
        <v>44381</v>
      </c>
      <c r="B7" s="44"/>
      <c r="C7" s="58">
        <v>2.3043999999999998</v>
      </c>
      <c r="D7" s="64">
        <f t="shared" si="0"/>
        <v>1799.9999999998017</v>
      </c>
      <c r="E7" s="58">
        <v>3.2808000000000002</v>
      </c>
      <c r="F7" s="64">
        <f t="shared" si="1"/>
        <v>2600.0000000001578</v>
      </c>
      <c r="G7" s="58">
        <v>3.3370000000000002</v>
      </c>
      <c r="H7" s="64">
        <f t="shared" si="2"/>
        <v>2299.9999999999686</v>
      </c>
      <c r="I7" s="58">
        <v>1.6464000000000001</v>
      </c>
      <c r="J7" s="64">
        <f t="shared" si="3"/>
        <v>1300.0000000000789</v>
      </c>
      <c r="K7" s="58">
        <v>2.6589</v>
      </c>
      <c r="L7" s="64">
        <f t="shared" si="4"/>
        <v>1800.0000000002458</v>
      </c>
      <c r="M7" s="58">
        <v>1.4644999999999999</v>
      </c>
      <c r="N7" s="64">
        <f t="shared" si="5"/>
        <v>999.99999999988984</v>
      </c>
      <c r="O7" s="58">
        <v>14433</v>
      </c>
      <c r="P7" s="67">
        <f t="shared" ref="P7:P10" si="43">IF((O7-O6&lt;0), "",O7-O6)</f>
        <v>6</v>
      </c>
      <c r="Q7" s="58">
        <v>1043</v>
      </c>
      <c r="R7" s="67">
        <f t="shared" si="6"/>
        <v>3</v>
      </c>
      <c r="S7" s="58">
        <v>997865</v>
      </c>
      <c r="T7" s="67">
        <f t="shared" si="7"/>
        <v>671.59999999997672</v>
      </c>
      <c r="U7" s="58">
        <v>419408.7</v>
      </c>
      <c r="V7" s="67">
        <f t="shared" si="8"/>
        <v>252.70000000001164</v>
      </c>
      <c r="W7" s="58">
        <v>399.92</v>
      </c>
      <c r="X7" s="65">
        <f t="shared" si="9"/>
        <v>250</v>
      </c>
      <c r="Y7" s="58">
        <v>2.8675000000000002</v>
      </c>
      <c r="Z7" s="65">
        <f t="shared" si="10"/>
        <v>2400.0000000001796</v>
      </c>
      <c r="AA7" s="58">
        <v>398.05</v>
      </c>
      <c r="AB7" s="65">
        <f t="shared" si="11"/>
        <v>360.00000000001364</v>
      </c>
      <c r="AC7" s="58">
        <v>372.16</v>
      </c>
      <c r="AD7" s="65">
        <f t="shared" si="12"/>
        <v>220.00000000002728</v>
      </c>
      <c r="AE7" s="58">
        <v>568.55999999999995</v>
      </c>
      <c r="AF7" s="65">
        <f t="shared" si="13"/>
        <v>309.99999999994543</v>
      </c>
      <c r="AG7" s="58">
        <v>4702</v>
      </c>
      <c r="AH7" s="67">
        <f t="shared" si="14"/>
        <v>33</v>
      </c>
      <c r="AI7" s="58">
        <v>618.54</v>
      </c>
      <c r="AJ7" s="65">
        <f t="shared" si="15"/>
        <v>529.99999999997272</v>
      </c>
      <c r="AK7" s="58">
        <v>205.89</v>
      </c>
      <c r="AL7" s="65">
        <f t="shared" si="15"/>
        <v>189.99999999999773</v>
      </c>
      <c r="AM7" s="58">
        <v>196.07</v>
      </c>
      <c r="AN7" s="65">
        <f t="shared" si="15"/>
        <v>209.99999999997954</v>
      </c>
      <c r="AO7" s="58">
        <v>190.16</v>
      </c>
      <c r="AP7" s="65">
        <f t="shared" si="15"/>
        <v>99.999999999994316</v>
      </c>
      <c r="AQ7" s="58">
        <v>248.09</v>
      </c>
      <c r="AR7" s="65">
        <f t="shared" si="16"/>
        <v>170.00000000001592</v>
      </c>
      <c r="AS7" s="58">
        <v>373.64</v>
      </c>
      <c r="AT7" s="65">
        <f t="shared" si="17"/>
        <v>149.99999999997726</v>
      </c>
      <c r="AU7" s="58">
        <v>285.94</v>
      </c>
      <c r="AV7" s="65">
        <f t="shared" si="18"/>
        <v>100.00000000002274</v>
      </c>
      <c r="AW7" s="58">
        <v>320.52999999999997</v>
      </c>
      <c r="AX7" s="65">
        <f t="shared" si="19"/>
        <v>49.999999999954525</v>
      </c>
      <c r="AY7" s="58">
        <v>361.81</v>
      </c>
      <c r="AZ7" s="65">
        <f t="shared" si="20"/>
        <v>50.000000000011369</v>
      </c>
      <c r="BA7" s="58">
        <v>381.36</v>
      </c>
      <c r="BB7" s="65">
        <f t="shared" si="21"/>
        <v>30.000000000029559</v>
      </c>
      <c r="BC7" s="58">
        <v>242.03</v>
      </c>
      <c r="BD7" s="65">
        <f t="shared" si="22"/>
        <v>30.000000000001137</v>
      </c>
      <c r="BE7" s="59">
        <v>40565</v>
      </c>
      <c r="BF7" s="67">
        <f t="shared" si="39"/>
        <v>25</v>
      </c>
      <c r="BG7" s="60">
        <v>234.43</v>
      </c>
      <c r="BH7" s="65">
        <f t="shared" si="23"/>
        <v>40.000000000020464</v>
      </c>
      <c r="BI7" s="60">
        <v>293.33</v>
      </c>
      <c r="BJ7" s="65">
        <f t="shared" si="40"/>
        <v>19.99999999998181</v>
      </c>
      <c r="BK7" s="60">
        <v>237.14</v>
      </c>
      <c r="BL7" s="65">
        <f t="shared" si="24"/>
        <v>29.999999999972715</v>
      </c>
      <c r="BM7" s="60">
        <v>224.08</v>
      </c>
      <c r="BN7" s="65">
        <f t="shared" si="25"/>
        <v>40.000000000020464</v>
      </c>
      <c r="BO7" s="60">
        <v>287.91000000000003</v>
      </c>
      <c r="BP7" s="65">
        <f t="shared" si="26"/>
        <v>50.000000000011369</v>
      </c>
      <c r="BQ7" s="60">
        <v>45451</v>
      </c>
      <c r="BR7" s="65">
        <f t="shared" si="27"/>
        <v>35</v>
      </c>
      <c r="BS7" s="60">
        <v>200.95</v>
      </c>
      <c r="BT7" s="65">
        <f t="shared" si="42"/>
        <v>39.999999999992042</v>
      </c>
      <c r="BU7" s="60">
        <v>40965</v>
      </c>
      <c r="BV7" s="65">
        <f t="shared" si="29"/>
        <v>50</v>
      </c>
      <c r="BW7" s="60">
        <v>232.09</v>
      </c>
      <c r="BX7" s="65">
        <f t="shared" si="30"/>
        <v>20.000000000010232</v>
      </c>
      <c r="BY7" s="60">
        <v>60634</v>
      </c>
      <c r="BZ7" s="67">
        <f t="shared" si="31"/>
        <v>45</v>
      </c>
      <c r="CA7" s="60">
        <v>32167.9</v>
      </c>
      <c r="CB7" s="67">
        <f t="shared" si="32"/>
        <v>37.700000000000728</v>
      </c>
      <c r="CC7" s="60">
        <v>12217</v>
      </c>
      <c r="CD7" s="67">
        <f t="shared" si="33"/>
        <v>8.2999999999992724</v>
      </c>
      <c r="CE7" s="60">
        <v>6444.9</v>
      </c>
      <c r="CF7" s="67">
        <f t="shared" si="34"/>
        <v>10.299999999999272</v>
      </c>
      <c r="CG7" s="60">
        <v>59794.6</v>
      </c>
      <c r="CH7" s="67">
        <f t="shared" si="35"/>
        <v>35.900000000001455</v>
      </c>
      <c r="CI7" s="60">
        <v>950677</v>
      </c>
      <c r="CJ7" s="67">
        <f t="shared" si="36"/>
        <v>272</v>
      </c>
      <c r="CK7" s="60">
        <v>768.34</v>
      </c>
      <c r="CL7" s="64">
        <f t="shared" si="37"/>
        <v>519.99999999998181</v>
      </c>
      <c r="CM7" s="65">
        <f t="shared" si="41"/>
        <v>60.600000000000364</v>
      </c>
      <c r="CN7" s="62">
        <v>8</v>
      </c>
      <c r="CO7" s="62">
        <v>20</v>
      </c>
      <c r="CP7" s="68">
        <v>9919</v>
      </c>
      <c r="CQ7" s="67">
        <f t="shared" si="38"/>
        <v>43.600000000000364</v>
      </c>
      <c r="CR7" s="68">
        <v>14319</v>
      </c>
      <c r="CS7" s="67">
        <f t="shared" si="38"/>
        <v>17</v>
      </c>
      <c r="CT7" s="75">
        <v>6534</v>
      </c>
      <c r="CU7" s="67">
        <f t="shared" si="38"/>
        <v>12</v>
      </c>
      <c r="CV7" s="68">
        <v>15513</v>
      </c>
      <c r="CW7" s="67">
        <f t="shared" si="38"/>
        <v>39</v>
      </c>
    </row>
    <row r="8" spans="1:102" ht="25.5" customHeight="1" thickBot="1" x14ac:dyDescent="0.45">
      <c r="A8" s="63">
        <v>44382</v>
      </c>
      <c r="B8" s="44"/>
      <c r="C8" s="58">
        <v>2.3062999999999998</v>
      </c>
      <c r="D8" s="64">
        <f t="shared" si="0"/>
        <v>1900.0000000000127</v>
      </c>
      <c r="E8" s="58">
        <v>3.2835000000000001</v>
      </c>
      <c r="F8" s="64">
        <f t="shared" si="1"/>
        <v>2699.9999999999245</v>
      </c>
      <c r="G8" s="58">
        <v>3.3391999999999999</v>
      </c>
      <c r="H8" s="64">
        <f t="shared" si="2"/>
        <v>2199.9999999997576</v>
      </c>
      <c r="I8" s="58">
        <v>1.6476</v>
      </c>
      <c r="J8" s="64">
        <f t="shared" si="3"/>
        <v>1199.9999999998679</v>
      </c>
      <c r="K8" s="58">
        <v>2.6608000000000001</v>
      </c>
      <c r="L8" s="64">
        <f t="shared" si="4"/>
        <v>1900.0000000000127</v>
      </c>
      <c r="M8" s="58">
        <v>1.4656</v>
      </c>
      <c r="N8" s="64">
        <f t="shared" si="5"/>
        <v>1100.000000000101</v>
      </c>
      <c r="O8" s="58">
        <v>14438</v>
      </c>
      <c r="P8" s="67">
        <f t="shared" si="43"/>
        <v>5</v>
      </c>
      <c r="Q8" s="58">
        <v>1045</v>
      </c>
      <c r="R8" s="67">
        <f t="shared" si="6"/>
        <v>2</v>
      </c>
      <c r="S8" s="58">
        <v>998465.8</v>
      </c>
      <c r="T8" s="67">
        <f t="shared" si="7"/>
        <v>600.80000000004657</v>
      </c>
      <c r="U8" s="58">
        <v>419676.5</v>
      </c>
      <c r="V8" s="67">
        <f t="shared" si="8"/>
        <v>267.79999999998836</v>
      </c>
      <c r="W8" s="58">
        <v>400.18</v>
      </c>
      <c r="X8" s="65">
        <f t="shared" si="9"/>
        <v>259.99999999999091</v>
      </c>
      <c r="Y8" s="58">
        <v>2.8698999999999999</v>
      </c>
      <c r="Z8" s="65">
        <f t="shared" si="10"/>
        <v>2399.9999999997358</v>
      </c>
      <c r="AA8" s="58">
        <v>398.37</v>
      </c>
      <c r="AB8" s="65">
        <f t="shared" si="11"/>
        <v>319.99999999999318</v>
      </c>
      <c r="AC8" s="58">
        <v>372.4</v>
      </c>
      <c r="AD8" s="65">
        <f t="shared" si="12"/>
        <v>239.99999999995225</v>
      </c>
      <c r="AE8" s="58">
        <v>568.94000000000005</v>
      </c>
      <c r="AF8" s="65">
        <f t="shared" si="13"/>
        <v>380.00000000010914</v>
      </c>
      <c r="AG8" s="58">
        <v>4739</v>
      </c>
      <c r="AH8" s="67">
        <f t="shared" si="14"/>
        <v>37</v>
      </c>
      <c r="AI8" s="58">
        <v>619.03</v>
      </c>
      <c r="AJ8" s="65">
        <f t="shared" si="15"/>
        <v>490.00000000000909</v>
      </c>
      <c r="AK8" s="58">
        <v>206.09</v>
      </c>
      <c r="AL8" s="65">
        <f t="shared" si="15"/>
        <v>200.00000000001705</v>
      </c>
      <c r="AM8" s="58">
        <v>196.26</v>
      </c>
      <c r="AN8" s="65">
        <f t="shared" si="15"/>
        <v>189.99999999999773</v>
      </c>
      <c r="AO8" s="58">
        <v>190.28</v>
      </c>
      <c r="AP8" s="65">
        <f t="shared" si="15"/>
        <v>120.00000000000455</v>
      </c>
      <c r="AQ8" s="58">
        <v>248.26</v>
      </c>
      <c r="AR8" s="65">
        <f t="shared" si="16"/>
        <v>169.99999999998749</v>
      </c>
      <c r="AS8" s="58">
        <v>373.82</v>
      </c>
      <c r="AT8" s="65">
        <f t="shared" si="17"/>
        <v>180.00000000000682</v>
      </c>
      <c r="AU8" s="58">
        <v>286.05</v>
      </c>
      <c r="AV8" s="65">
        <f t="shared" si="18"/>
        <v>110.00000000001364</v>
      </c>
      <c r="AW8" s="58">
        <v>320.57</v>
      </c>
      <c r="AX8" s="65">
        <f t="shared" si="19"/>
        <v>40.000000000020464</v>
      </c>
      <c r="AY8" s="58">
        <v>361.86</v>
      </c>
      <c r="AZ8" s="65">
        <f t="shared" si="20"/>
        <v>50.000000000011369</v>
      </c>
      <c r="BA8" s="58">
        <v>381.38</v>
      </c>
      <c r="BB8" s="65">
        <f t="shared" si="21"/>
        <v>19.99999999998181</v>
      </c>
      <c r="BC8" s="58">
        <v>242.07</v>
      </c>
      <c r="BD8" s="65">
        <f t="shared" si="22"/>
        <v>39.999999999992042</v>
      </c>
      <c r="BE8" s="59">
        <v>40596</v>
      </c>
      <c r="BF8" s="67">
        <f t="shared" si="39"/>
        <v>31</v>
      </c>
      <c r="BG8" s="60">
        <v>234.47</v>
      </c>
      <c r="BH8" s="65">
        <f t="shared" si="23"/>
        <v>39.999999999992042</v>
      </c>
      <c r="BI8" s="60">
        <v>293.36</v>
      </c>
      <c r="BJ8" s="65">
        <f t="shared" si="40"/>
        <v>30.000000000029559</v>
      </c>
      <c r="BK8" s="60">
        <v>237.17</v>
      </c>
      <c r="BL8" s="65">
        <f t="shared" si="24"/>
        <v>30.000000000001137</v>
      </c>
      <c r="BM8" s="60">
        <v>224.11</v>
      </c>
      <c r="BN8" s="65">
        <f t="shared" si="25"/>
        <v>30.000000000001137</v>
      </c>
      <c r="BO8" s="60">
        <v>287.95</v>
      </c>
      <c r="BP8" s="65">
        <f t="shared" si="26"/>
        <v>39.99999999996362</v>
      </c>
      <c r="BQ8" s="60">
        <v>45481</v>
      </c>
      <c r="BR8" s="65">
        <f t="shared" si="27"/>
        <v>30</v>
      </c>
      <c r="BS8" s="60">
        <v>200.97</v>
      </c>
      <c r="BT8" s="65">
        <f t="shared" si="42"/>
        <v>20.000000000010232</v>
      </c>
      <c r="BU8" s="60">
        <v>41004</v>
      </c>
      <c r="BV8" s="65">
        <f t="shared" si="29"/>
        <v>39</v>
      </c>
      <c r="BW8" s="60">
        <v>232.12</v>
      </c>
      <c r="BX8" s="65">
        <f t="shared" si="30"/>
        <v>30.000000000001137</v>
      </c>
      <c r="BY8" s="60">
        <v>60678</v>
      </c>
      <c r="BZ8" s="67">
        <f t="shared" si="31"/>
        <v>44</v>
      </c>
      <c r="CA8" s="60">
        <v>32209</v>
      </c>
      <c r="CB8" s="67">
        <f t="shared" si="32"/>
        <v>41.099999999998545</v>
      </c>
      <c r="CC8" s="60">
        <v>12235.3</v>
      </c>
      <c r="CD8" s="67">
        <f t="shared" si="33"/>
        <v>18.299999999999272</v>
      </c>
      <c r="CE8" s="60">
        <v>6445</v>
      </c>
      <c r="CF8" s="67">
        <f t="shared" si="34"/>
        <v>0.1000000000003638</v>
      </c>
      <c r="CG8" s="60">
        <v>59816.5</v>
      </c>
      <c r="CH8" s="67">
        <f t="shared" si="35"/>
        <v>21.900000000001455</v>
      </c>
      <c r="CI8" s="60">
        <v>950936</v>
      </c>
      <c r="CJ8" s="67">
        <f t="shared" si="36"/>
        <v>259</v>
      </c>
      <c r="CK8" s="60">
        <v>768.91</v>
      </c>
      <c r="CL8" s="64">
        <f t="shared" si="37"/>
        <v>569.99999999993634</v>
      </c>
      <c r="CM8" s="65">
        <f t="shared" si="41"/>
        <v>64.700000000000728</v>
      </c>
      <c r="CN8" s="62">
        <v>0</v>
      </c>
      <c r="CO8" s="62">
        <v>0</v>
      </c>
      <c r="CP8" s="68">
        <v>9957.7000000000007</v>
      </c>
      <c r="CQ8" s="67">
        <f t="shared" si="38"/>
        <v>38.700000000000728</v>
      </c>
      <c r="CR8" s="68">
        <v>14345</v>
      </c>
      <c r="CS8" s="67">
        <f t="shared" si="38"/>
        <v>26</v>
      </c>
      <c r="CT8" s="75">
        <v>6547</v>
      </c>
      <c r="CU8" s="67">
        <f t="shared" si="38"/>
        <v>13</v>
      </c>
      <c r="CV8" s="68">
        <v>15535</v>
      </c>
      <c r="CW8" s="67">
        <f t="shared" si="38"/>
        <v>22</v>
      </c>
    </row>
    <row r="9" spans="1:102" ht="25.5" customHeight="1" thickBot="1" x14ac:dyDescent="0.45">
      <c r="A9" s="63">
        <v>44383</v>
      </c>
      <c r="B9" s="44"/>
      <c r="C9" s="58">
        <v>2.3081</v>
      </c>
      <c r="D9" s="64">
        <f t="shared" si="0"/>
        <v>1800.0000000002458</v>
      </c>
      <c r="E9" s="58">
        <v>3.2858999999999998</v>
      </c>
      <c r="F9" s="64">
        <f t="shared" si="1"/>
        <v>2399.9999999997358</v>
      </c>
      <c r="G9" s="58">
        <v>3.3414999999999999</v>
      </c>
      <c r="H9" s="64">
        <f t="shared" si="2"/>
        <v>2299.9999999999686</v>
      </c>
      <c r="I9" s="58">
        <v>1.6489</v>
      </c>
      <c r="J9" s="64">
        <f t="shared" si="3"/>
        <v>1300.0000000000789</v>
      </c>
      <c r="K9" s="58">
        <v>2.6627000000000001</v>
      </c>
      <c r="L9" s="64">
        <f t="shared" si="4"/>
        <v>1900.0000000000127</v>
      </c>
      <c r="M9" s="58">
        <v>1.4663999999999999</v>
      </c>
      <c r="N9" s="64">
        <f t="shared" si="5"/>
        <v>799.99999999991189</v>
      </c>
      <c r="O9" s="58">
        <v>14443</v>
      </c>
      <c r="P9" s="67">
        <f t="shared" si="43"/>
        <v>5</v>
      </c>
      <c r="Q9" s="58">
        <v>1047</v>
      </c>
      <c r="R9" s="67">
        <f t="shared" si="6"/>
        <v>2</v>
      </c>
      <c r="S9" s="58">
        <v>999207.8</v>
      </c>
      <c r="T9" s="67">
        <f t="shared" si="7"/>
        <v>742</v>
      </c>
      <c r="U9" s="58">
        <v>420025.9</v>
      </c>
      <c r="V9" s="67">
        <f t="shared" si="8"/>
        <v>349.40000000002328</v>
      </c>
      <c r="W9" s="58">
        <v>400.43</v>
      </c>
      <c r="X9" s="65">
        <f t="shared" si="9"/>
        <v>250</v>
      </c>
      <c r="Y9" s="58">
        <v>2.8719999999999999</v>
      </c>
      <c r="Z9" s="65">
        <f t="shared" si="10"/>
        <v>2099.9999999999909</v>
      </c>
      <c r="AA9" s="58">
        <v>398.56</v>
      </c>
      <c r="AB9" s="65">
        <f t="shared" si="11"/>
        <v>189.99999999999773</v>
      </c>
      <c r="AC9" s="58">
        <v>372.61</v>
      </c>
      <c r="AD9" s="65">
        <f t="shared" si="12"/>
        <v>210.00000000003638</v>
      </c>
      <c r="AE9" s="58">
        <v>569.23</v>
      </c>
      <c r="AF9" s="65">
        <f t="shared" si="13"/>
        <v>289.99999999996362</v>
      </c>
      <c r="AG9" s="58">
        <v>4771</v>
      </c>
      <c r="AH9" s="67">
        <f t="shared" si="14"/>
        <v>32</v>
      </c>
      <c r="AI9" s="58">
        <v>619.54999999999995</v>
      </c>
      <c r="AJ9" s="65">
        <f t="shared" si="15"/>
        <v>519.99999999998181</v>
      </c>
      <c r="AK9" s="58">
        <v>206.28</v>
      </c>
      <c r="AL9" s="65">
        <f t="shared" si="15"/>
        <v>189.99999999999773</v>
      </c>
      <c r="AM9" s="58">
        <v>196.43</v>
      </c>
      <c r="AN9" s="65">
        <f t="shared" si="15"/>
        <v>170.00000000001592</v>
      </c>
      <c r="AO9" s="58">
        <v>190.4</v>
      </c>
      <c r="AP9" s="65">
        <f t="shared" si="15"/>
        <v>120.00000000000455</v>
      </c>
      <c r="AQ9" s="58">
        <v>248.42</v>
      </c>
      <c r="AR9" s="65">
        <f t="shared" si="16"/>
        <v>159.99999999999659</v>
      </c>
      <c r="AS9" s="58">
        <v>374.05</v>
      </c>
      <c r="AT9" s="65">
        <f t="shared" si="17"/>
        <v>230.00000000001819</v>
      </c>
      <c r="AU9" s="58">
        <v>286.14</v>
      </c>
      <c r="AV9" s="65">
        <f t="shared" si="18"/>
        <v>89.999999999974989</v>
      </c>
      <c r="AW9" s="58">
        <v>320.62</v>
      </c>
      <c r="AX9" s="65">
        <f t="shared" si="19"/>
        <v>50.000000000011369</v>
      </c>
      <c r="AY9" s="58">
        <v>361.92</v>
      </c>
      <c r="AZ9" s="65">
        <f t="shared" si="20"/>
        <v>60.000000000002274</v>
      </c>
      <c r="BA9" s="58">
        <v>381.41</v>
      </c>
      <c r="BB9" s="65">
        <f t="shared" si="21"/>
        <v>30.000000000029559</v>
      </c>
      <c r="BC9" s="58">
        <v>242.1</v>
      </c>
      <c r="BD9" s="65">
        <f t="shared" si="22"/>
        <v>30.000000000001137</v>
      </c>
      <c r="BE9" s="59">
        <v>40627</v>
      </c>
      <c r="BF9" s="67">
        <f t="shared" si="39"/>
        <v>31</v>
      </c>
      <c r="BG9" s="60">
        <v>234.51</v>
      </c>
      <c r="BH9" s="65">
        <f t="shared" si="23"/>
        <v>39.999999999992042</v>
      </c>
      <c r="BI9" s="60">
        <v>293.39</v>
      </c>
      <c r="BJ9" s="65">
        <f t="shared" si="40"/>
        <v>29.999999999972715</v>
      </c>
      <c r="BK9" s="60">
        <v>237.2</v>
      </c>
      <c r="BL9" s="65">
        <f t="shared" si="24"/>
        <v>30.000000000001137</v>
      </c>
      <c r="BM9" s="60">
        <v>224.15</v>
      </c>
      <c r="BN9" s="65">
        <f t="shared" si="25"/>
        <v>39.999999999992042</v>
      </c>
      <c r="BO9" s="60">
        <v>288</v>
      </c>
      <c r="BP9" s="65">
        <f t="shared" si="26"/>
        <v>50.000000000011369</v>
      </c>
      <c r="BQ9" s="60">
        <v>45514</v>
      </c>
      <c r="BR9" s="65">
        <f t="shared" si="27"/>
        <v>33</v>
      </c>
      <c r="BS9" s="60">
        <v>201.01</v>
      </c>
      <c r="BT9" s="65">
        <f t="shared" si="42"/>
        <v>39.999999999992042</v>
      </c>
      <c r="BU9" s="60">
        <v>41045</v>
      </c>
      <c r="BV9" s="65">
        <f t="shared" si="29"/>
        <v>41</v>
      </c>
      <c r="BW9" s="60">
        <v>232.14</v>
      </c>
      <c r="BX9" s="65">
        <f t="shared" si="30"/>
        <v>19.99999999998181</v>
      </c>
      <c r="BY9" s="60">
        <v>60736</v>
      </c>
      <c r="BZ9" s="67">
        <f t="shared" si="31"/>
        <v>58</v>
      </c>
      <c r="CA9" s="60">
        <v>32240.5</v>
      </c>
      <c r="CB9" s="67">
        <f t="shared" si="32"/>
        <v>31.5</v>
      </c>
      <c r="CC9" s="60">
        <v>12244.6</v>
      </c>
      <c r="CD9" s="67">
        <f t="shared" si="33"/>
        <v>9.3000000000010914</v>
      </c>
      <c r="CE9" s="60">
        <v>6463</v>
      </c>
      <c r="CF9" s="67">
        <f t="shared" si="34"/>
        <v>18</v>
      </c>
      <c r="CG9" s="60">
        <v>59845.7</v>
      </c>
      <c r="CH9" s="67">
        <f t="shared" si="35"/>
        <v>29.19999999999709</v>
      </c>
      <c r="CI9" s="60">
        <v>951201</v>
      </c>
      <c r="CJ9" s="67">
        <f t="shared" si="36"/>
        <v>265</v>
      </c>
      <c r="CK9" s="60">
        <v>769.47</v>
      </c>
      <c r="CL9" s="64">
        <f t="shared" si="37"/>
        <v>560.00000000005912</v>
      </c>
      <c r="CM9" s="65">
        <f t="shared" si="41"/>
        <v>66.099999999998545</v>
      </c>
      <c r="CN9" s="62">
        <v>11</v>
      </c>
      <c r="CO9" s="62">
        <v>27</v>
      </c>
      <c r="CP9" s="68">
        <v>10000.799999999999</v>
      </c>
      <c r="CQ9" s="67">
        <f t="shared" si="38"/>
        <v>43.099999999998545</v>
      </c>
      <c r="CR9" s="68">
        <v>14368</v>
      </c>
      <c r="CS9" s="67">
        <f t="shared" si="38"/>
        <v>23</v>
      </c>
      <c r="CT9" s="75">
        <v>6558</v>
      </c>
      <c r="CU9" s="67">
        <f t="shared" si="38"/>
        <v>11</v>
      </c>
      <c r="CV9" s="68">
        <v>15553</v>
      </c>
      <c r="CW9" s="67">
        <f t="shared" si="38"/>
        <v>18</v>
      </c>
    </row>
    <row r="10" spans="1:102" ht="25.5" customHeight="1" thickBot="1" x14ac:dyDescent="0.45">
      <c r="A10" s="63">
        <v>44384</v>
      </c>
      <c r="B10" s="44"/>
      <c r="C10" s="58">
        <v>2.31</v>
      </c>
      <c r="D10" s="64">
        <f t="shared" si="0"/>
        <v>1900.0000000000127</v>
      </c>
      <c r="E10" s="58">
        <v>3.2885</v>
      </c>
      <c r="F10" s="64">
        <f t="shared" si="1"/>
        <v>2600.0000000001578</v>
      </c>
      <c r="G10" s="58">
        <v>3.3439000000000001</v>
      </c>
      <c r="H10" s="64">
        <f t="shared" si="2"/>
        <v>2400.0000000001796</v>
      </c>
      <c r="I10" s="58">
        <v>1.6500999999999999</v>
      </c>
      <c r="J10" s="64">
        <f t="shared" si="3"/>
        <v>1199.9999999998679</v>
      </c>
      <c r="K10" s="58">
        <v>2.6646000000000001</v>
      </c>
      <c r="L10" s="64">
        <f t="shared" si="4"/>
        <v>1900.0000000000127</v>
      </c>
      <c r="M10" s="58">
        <v>1.4673</v>
      </c>
      <c r="N10" s="64">
        <f t="shared" si="5"/>
        <v>900.0000000001229</v>
      </c>
      <c r="O10" s="58">
        <v>14447</v>
      </c>
      <c r="P10" s="67">
        <f t="shared" si="43"/>
        <v>4</v>
      </c>
      <c r="Q10" s="58">
        <v>1049</v>
      </c>
      <c r="R10" s="67">
        <f t="shared" si="6"/>
        <v>2</v>
      </c>
      <c r="S10" s="58">
        <v>999946.6</v>
      </c>
      <c r="T10" s="67">
        <f t="shared" si="7"/>
        <v>738.79999999993015</v>
      </c>
      <c r="U10" s="58">
        <v>420301.7</v>
      </c>
      <c r="V10" s="67">
        <f t="shared" si="8"/>
        <v>275.79999999998836</v>
      </c>
      <c r="W10" s="58">
        <v>400.69</v>
      </c>
      <c r="X10" s="65">
        <f t="shared" si="9"/>
        <v>259.99999999999091</v>
      </c>
      <c r="Y10" s="58">
        <v>2.8744000000000001</v>
      </c>
      <c r="Z10" s="65">
        <f t="shared" si="10"/>
        <v>2400.0000000001796</v>
      </c>
      <c r="AA10" s="58">
        <v>398.87</v>
      </c>
      <c r="AB10" s="65">
        <f t="shared" si="11"/>
        <v>310.00000000000227</v>
      </c>
      <c r="AC10" s="58">
        <v>372.83</v>
      </c>
      <c r="AD10" s="65">
        <f t="shared" si="12"/>
        <v>219.99999999997044</v>
      </c>
      <c r="AE10" s="58">
        <v>569.49</v>
      </c>
      <c r="AF10" s="65">
        <f t="shared" si="13"/>
        <v>259.99999999999091</v>
      </c>
      <c r="AG10" s="58">
        <v>4801</v>
      </c>
      <c r="AH10" s="67">
        <f t="shared" si="14"/>
        <v>30</v>
      </c>
      <c r="AI10" s="58">
        <v>620.13</v>
      </c>
      <c r="AJ10" s="65">
        <f t="shared" si="15"/>
        <v>580.00000000004093</v>
      </c>
      <c r="AK10" s="58">
        <v>206.45</v>
      </c>
      <c r="AL10" s="65">
        <f t="shared" si="15"/>
        <v>169.99999999998749</v>
      </c>
      <c r="AM10" s="58">
        <v>196.6</v>
      </c>
      <c r="AN10" s="65">
        <f t="shared" si="15"/>
        <v>169.99999999998749</v>
      </c>
      <c r="AO10" s="58">
        <v>190.49</v>
      </c>
      <c r="AP10" s="65">
        <f t="shared" si="15"/>
        <v>90.000000000003411</v>
      </c>
      <c r="AQ10" s="58">
        <v>248.59</v>
      </c>
      <c r="AR10" s="65">
        <f t="shared" si="16"/>
        <v>170.00000000001592</v>
      </c>
      <c r="AS10" s="58">
        <v>374.28</v>
      </c>
      <c r="AT10" s="65">
        <f t="shared" si="17"/>
        <v>229.99999999996135</v>
      </c>
      <c r="AU10" s="58">
        <v>286.29000000000002</v>
      </c>
      <c r="AV10" s="65">
        <f t="shared" si="18"/>
        <v>150.00000000003411</v>
      </c>
      <c r="AW10" s="58">
        <v>320.66000000000003</v>
      </c>
      <c r="AX10" s="65">
        <f t="shared" si="19"/>
        <v>40.000000000020464</v>
      </c>
      <c r="AY10" s="58">
        <v>361.97</v>
      </c>
      <c r="AZ10" s="65">
        <f t="shared" si="20"/>
        <v>50.000000000011369</v>
      </c>
      <c r="BA10" s="58">
        <v>381.44</v>
      </c>
      <c r="BB10" s="65">
        <f t="shared" si="21"/>
        <v>29.999999999972715</v>
      </c>
      <c r="BC10" s="58">
        <v>242.19</v>
      </c>
      <c r="BD10" s="65">
        <f t="shared" si="22"/>
        <v>90.000000000003411</v>
      </c>
      <c r="BE10" s="59">
        <v>40655</v>
      </c>
      <c r="BF10" s="67">
        <f t="shared" si="39"/>
        <v>28</v>
      </c>
      <c r="BG10" s="60">
        <v>234.54</v>
      </c>
      <c r="BH10" s="65">
        <f t="shared" si="23"/>
        <v>30.000000000001137</v>
      </c>
      <c r="BI10" s="60">
        <v>293.42</v>
      </c>
      <c r="BJ10" s="65">
        <f t="shared" si="40"/>
        <v>30.000000000029559</v>
      </c>
      <c r="BK10" s="60">
        <v>237.23</v>
      </c>
      <c r="BL10" s="65">
        <f t="shared" si="24"/>
        <v>30.000000000001137</v>
      </c>
      <c r="BM10" s="60">
        <v>224.19</v>
      </c>
      <c r="BN10" s="65">
        <f t="shared" si="25"/>
        <v>39.999999999992042</v>
      </c>
      <c r="BO10" s="60">
        <v>288.02999999999997</v>
      </c>
      <c r="BP10" s="65">
        <f t="shared" si="26"/>
        <v>29.999999999972715</v>
      </c>
      <c r="BQ10" s="60">
        <v>45538</v>
      </c>
      <c r="BR10" s="65">
        <f t="shared" si="27"/>
        <v>24</v>
      </c>
      <c r="BS10" s="60">
        <v>201.04</v>
      </c>
      <c r="BT10" s="65">
        <f t="shared" si="42"/>
        <v>30.000000000001137</v>
      </c>
      <c r="BU10" s="60">
        <v>41084</v>
      </c>
      <c r="BV10" s="65">
        <f t="shared" si="29"/>
        <v>39</v>
      </c>
      <c r="BW10" s="60">
        <v>232.17</v>
      </c>
      <c r="BX10" s="65">
        <f t="shared" si="30"/>
        <v>30.000000000001137</v>
      </c>
      <c r="BY10" s="60">
        <v>60788</v>
      </c>
      <c r="BZ10" s="67">
        <f t="shared" si="31"/>
        <v>52</v>
      </c>
      <c r="CA10" s="60">
        <v>32277.8</v>
      </c>
      <c r="CB10" s="67">
        <f t="shared" si="32"/>
        <v>37.299999999999272</v>
      </c>
      <c r="CC10" s="60">
        <v>12250.9</v>
      </c>
      <c r="CD10" s="67">
        <f t="shared" si="33"/>
        <v>6.2999999999992724</v>
      </c>
      <c r="CE10" s="60">
        <v>6468</v>
      </c>
      <c r="CF10" s="67">
        <f t="shared" si="34"/>
        <v>5</v>
      </c>
      <c r="CG10" s="60">
        <v>59876.5</v>
      </c>
      <c r="CH10" s="67">
        <f t="shared" si="35"/>
        <v>30.80000000000291</v>
      </c>
      <c r="CI10" s="60">
        <v>951401</v>
      </c>
      <c r="CJ10" s="67">
        <f t="shared" si="36"/>
        <v>200</v>
      </c>
      <c r="CK10" s="60">
        <v>770.08</v>
      </c>
      <c r="CL10" s="64">
        <f t="shared" si="37"/>
        <v>610.00000000001364</v>
      </c>
      <c r="CM10" s="65">
        <f t="shared" si="41"/>
        <v>58.200000000000728</v>
      </c>
      <c r="CN10" s="62">
        <v>14</v>
      </c>
      <c r="CO10" s="62">
        <v>31</v>
      </c>
      <c r="CP10" s="68">
        <v>10041</v>
      </c>
      <c r="CQ10" s="67">
        <f>IF((CP10-CP9&lt;0), "",CP10-CP9)</f>
        <v>40.200000000000728</v>
      </c>
      <c r="CR10" s="68">
        <v>14386</v>
      </c>
      <c r="CS10" s="67">
        <f t="shared" si="38"/>
        <v>18</v>
      </c>
      <c r="CT10" s="75">
        <v>6570</v>
      </c>
      <c r="CU10" s="67">
        <f t="shared" si="38"/>
        <v>12</v>
      </c>
      <c r="CV10" s="68">
        <v>15575</v>
      </c>
      <c r="CW10" s="67">
        <f t="shared" si="38"/>
        <v>22</v>
      </c>
    </row>
    <row r="11" spans="1:102" ht="25.5" customHeight="1" thickBot="1" x14ac:dyDescent="0.45">
      <c r="A11" s="63">
        <v>44385</v>
      </c>
      <c r="B11" s="44"/>
      <c r="C11" s="58">
        <v>2.3117999999999999</v>
      </c>
      <c r="D11" s="64">
        <f t="shared" si="0"/>
        <v>1799.9999999998017</v>
      </c>
      <c r="E11" s="58">
        <v>3.2911000000000001</v>
      </c>
      <c r="F11" s="64">
        <f t="shared" si="1"/>
        <v>2600.0000000001578</v>
      </c>
      <c r="G11" s="58">
        <v>3.3462999999999998</v>
      </c>
      <c r="H11" s="64">
        <f t="shared" si="2"/>
        <v>2399.9999999997358</v>
      </c>
      <c r="I11" s="58">
        <v>1.6513</v>
      </c>
      <c r="J11" s="64">
        <f t="shared" si="3"/>
        <v>1200.0000000000898</v>
      </c>
      <c r="K11" s="58">
        <v>2.6663999999999999</v>
      </c>
      <c r="L11" s="64">
        <f t="shared" si="4"/>
        <v>1799.9999999998017</v>
      </c>
      <c r="M11" s="58">
        <v>1.4681999999999999</v>
      </c>
      <c r="N11" s="64">
        <f t="shared" si="5"/>
        <v>899.99999999990087</v>
      </c>
      <c r="O11" s="58">
        <v>14451</v>
      </c>
      <c r="P11" s="67">
        <f t="shared" ref="P11:P34" si="44">IF((O11-O10&lt;0), "",O11-O10)</f>
        <v>4</v>
      </c>
      <c r="Q11" s="58">
        <v>1051</v>
      </c>
      <c r="R11" s="67">
        <f t="shared" si="6"/>
        <v>2</v>
      </c>
      <c r="S11" s="58">
        <v>1000000.7</v>
      </c>
      <c r="T11" s="67">
        <f t="shared" si="7"/>
        <v>54.099999999976717</v>
      </c>
      <c r="U11" s="58">
        <v>420589.5</v>
      </c>
      <c r="V11" s="67">
        <f t="shared" si="8"/>
        <v>287.79999999998836</v>
      </c>
      <c r="W11" s="58">
        <v>400.96</v>
      </c>
      <c r="X11" s="65">
        <f t="shared" si="9"/>
        <v>269.99999999998181</v>
      </c>
      <c r="Y11" s="58">
        <v>2.8767</v>
      </c>
      <c r="Z11" s="65">
        <f t="shared" si="10"/>
        <v>2299.9999999999686</v>
      </c>
      <c r="AA11" s="58">
        <v>399.05</v>
      </c>
      <c r="AB11" s="65">
        <f t="shared" si="11"/>
        <v>180.00000000000682</v>
      </c>
      <c r="AC11" s="58">
        <v>373.12</v>
      </c>
      <c r="AD11" s="65">
        <f t="shared" si="12"/>
        <v>290.00000000002046</v>
      </c>
      <c r="AE11" s="58">
        <v>569.83000000000004</v>
      </c>
      <c r="AF11" s="65">
        <f t="shared" si="13"/>
        <v>340.00000000003183</v>
      </c>
      <c r="AG11" s="58">
        <v>4828</v>
      </c>
      <c r="AH11" s="67">
        <f t="shared" si="14"/>
        <v>27</v>
      </c>
      <c r="AI11" s="58">
        <v>620.66</v>
      </c>
      <c r="AJ11" s="65">
        <f t="shared" si="15"/>
        <v>529.99999999997272</v>
      </c>
      <c r="AK11" s="58">
        <v>206.6</v>
      </c>
      <c r="AL11" s="65">
        <f t="shared" si="15"/>
        <v>150.00000000000568</v>
      </c>
      <c r="AM11" s="58">
        <v>196.75</v>
      </c>
      <c r="AN11" s="65">
        <f t="shared" si="15"/>
        <v>150.00000000000568</v>
      </c>
      <c r="AO11" s="58">
        <v>190.6</v>
      </c>
      <c r="AP11" s="65">
        <f t="shared" si="15"/>
        <v>109.99999999998522</v>
      </c>
      <c r="AQ11" s="58">
        <v>248.74</v>
      </c>
      <c r="AR11" s="65">
        <f t="shared" si="16"/>
        <v>150.00000000000568</v>
      </c>
      <c r="AS11" s="58">
        <v>374.49</v>
      </c>
      <c r="AT11" s="65">
        <f t="shared" si="17"/>
        <v>210.00000000003638</v>
      </c>
      <c r="AU11" s="58">
        <v>286.33999999999997</v>
      </c>
      <c r="AV11" s="65">
        <f t="shared" si="18"/>
        <v>49.999999999954525</v>
      </c>
      <c r="AW11" s="58">
        <v>320.70999999999998</v>
      </c>
      <c r="AX11" s="65">
        <f t="shared" si="19"/>
        <v>49.999999999954525</v>
      </c>
      <c r="AY11" s="58">
        <v>362.02</v>
      </c>
      <c r="AZ11" s="65">
        <f t="shared" si="20"/>
        <v>49.999999999954525</v>
      </c>
      <c r="BA11" s="58">
        <v>381.46</v>
      </c>
      <c r="BB11" s="65">
        <f t="shared" si="21"/>
        <v>19.99999999998181</v>
      </c>
      <c r="BC11" s="58">
        <v>242.26</v>
      </c>
      <c r="BD11" s="65">
        <f>IF((BC11-BC10&lt;0), "",(BC11-BC10)*1000)</f>
        <v>69.999999999993179</v>
      </c>
      <c r="BE11" s="59">
        <v>40698</v>
      </c>
      <c r="BF11" s="67">
        <f t="shared" si="39"/>
        <v>43</v>
      </c>
      <c r="BG11" s="60">
        <v>234.57</v>
      </c>
      <c r="BH11" s="65">
        <f t="shared" si="23"/>
        <v>30.000000000001137</v>
      </c>
      <c r="BI11" s="60">
        <v>293.44</v>
      </c>
      <c r="BJ11" s="65">
        <f t="shared" si="40"/>
        <v>19.99999999998181</v>
      </c>
      <c r="BK11" s="60">
        <v>237.27</v>
      </c>
      <c r="BL11" s="65">
        <f t="shared" si="24"/>
        <v>40.000000000020464</v>
      </c>
      <c r="BM11" s="60">
        <v>224.23</v>
      </c>
      <c r="BN11" s="65">
        <f t="shared" si="25"/>
        <v>39.999999999992042</v>
      </c>
      <c r="BO11" s="60">
        <v>288.06</v>
      </c>
      <c r="BP11" s="65">
        <f t="shared" si="26"/>
        <v>30.000000000029559</v>
      </c>
      <c r="BQ11" s="60">
        <v>45561</v>
      </c>
      <c r="BR11" s="65">
        <f t="shared" si="27"/>
        <v>23</v>
      </c>
      <c r="BS11" s="60">
        <v>201.07</v>
      </c>
      <c r="BT11" s="65">
        <f t="shared" si="42"/>
        <v>30.000000000001137</v>
      </c>
      <c r="BU11" s="60">
        <v>41123</v>
      </c>
      <c r="BV11" s="65">
        <f t="shared" si="29"/>
        <v>39</v>
      </c>
      <c r="BW11" s="60">
        <v>232.19</v>
      </c>
      <c r="BX11" s="65">
        <f t="shared" si="30"/>
        <v>20.000000000010232</v>
      </c>
      <c r="BY11" s="60">
        <v>60828</v>
      </c>
      <c r="BZ11" s="67">
        <f t="shared" si="31"/>
        <v>40</v>
      </c>
      <c r="CA11" s="60">
        <v>32320.400000000001</v>
      </c>
      <c r="CB11" s="67">
        <f t="shared" si="32"/>
        <v>42.600000000002183</v>
      </c>
      <c r="CC11" s="60">
        <v>12266</v>
      </c>
      <c r="CD11" s="67">
        <f t="shared" si="33"/>
        <v>15.100000000000364</v>
      </c>
      <c r="CE11" s="60">
        <v>6468</v>
      </c>
      <c r="CF11" s="67">
        <f t="shared" si="34"/>
        <v>0</v>
      </c>
      <c r="CG11" s="60">
        <v>59913.9</v>
      </c>
      <c r="CH11" s="67">
        <f t="shared" si="35"/>
        <v>37.400000000001455</v>
      </c>
      <c r="CI11" s="60">
        <v>951727</v>
      </c>
      <c r="CJ11" s="67">
        <f t="shared" si="36"/>
        <v>326</v>
      </c>
      <c r="CK11" s="60">
        <v>770.68</v>
      </c>
      <c r="CL11" s="64">
        <f t="shared" si="37"/>
        <v>599.99999999990905</v>
      </c>
      <c r="CM11" s="65">
        <f t="shared" si="41"/>
        <v>76.299999999999272</v>
      </c>
      <c r="CN11" s="62">
        <v>12</v>
      </c>
      <c r="CO11" s="62">
        <v>29</v>
      </c>
      <c r="CP11" s="68">
        <v>10089.299999999999</v>
      </c>
      <c r="CQ11" s="67">
        <f>IF((CP11-CP10&lt;0), "",CP11-CP10)</f>
        <v>48.299999999999272</v>
      </c>
      <c r="CR11" s="68">
        <v>14414</v>
      </c>
      <c r="CS11" s="67">
        <f t="shared" si="38"/>
        <v>28</v>
      </c>
      <c r="CT11" s="75">
        <v>6583</v>
      </c>
      <c r="CU11" s="67">
        <f t="shared" si="38"/>
        <v>13</v>
      </c>
      <c r="CV11" s="68">
        <v>15591</v>
      </c>
      <c r="CW11" s="67">
        <f t="shared" si="38"/>
        <v>16</v>
      </c>
    </row>
    <row r="12" spans="1:102" ht="25.5" customHeight="1" thickBot="1" x14ac:dyDescent="0.45">
      <c r="A12" s="63">
        <v>44386</v>
      </c>
      <c r="B12" s="44"/>
      <c r="C12" s="58">
        <v>2.3138000000000001</v>
      </c>
      <c r="D12" s="64">
        <f t="shared" si="0"/>
        <v>2000.0000000002237</v>
      </c>
      <c r="E12" s="58">
        <v>3.2938000000000001</v>
      </c>
      <c r="F12" s="64">
        <f t="shared" si="1"/>
        <v>2699.9999999999245</v>
      </c>
      <c r="G12" s="58">
        <v>3.3487</v>
      </c>
      <c r="H12" s="64">
        <f t="shared" si="2"/>
        <v>2400.0000000001796</v>
      </c>
      <c r="I12" s="58">
        <v>1.6525000000000001</v>
      </c>
      <c r="J12" s="64">
        <f t="shared" si="3"/>
        <v>1200.0000000000898</v>
      </c>
      <c r="K12" s="58">
        <v>2.6682999999999999</v>
      </c>
      <c r="L12" s="64">
        <f t="shared" si="4"/>
        <v>1900.0000000000127</v>
      </c>
      <c r="M12" s="58">
        <v>1.4693000000000001</v>
      </c>
      <c r="N12" s="64">
        <f t="shared" si="5"/>
        <v>1100.000000000101</v>
      </c>
      <c r="O12" s="58">
        <v>14452</v>
      </c>
      <c r="P12" s="67">
        <f t="shared" si="44"/>
        <v>1</v>
      </c>
      <c r="Q12" s="58">
        <v>1053</v>
      </c>
      <c r="R12" s="67">
        <f t="shared" si="6"/>
        <v>2</v>
      </c>
      <c r="S12" s="58">
        <v>1001000.4</v>
      </c>
      <c r="T12" s="67">
        <f t="shared" si="7"/>
        <v>999.70000000006985</v>
      </c>
      <c r="U12" s="58">
        <v>420885.4</v>
      </c>
      <c r="V12" s="67">
        <f t="shared" si="8"/>
        <v>295.90000000002328</v>
      </c>
      <c r="W12" s="58">
        <v>401.21</v>
      </c>
      <c r="X12" s="65">
        <f t="shared" si="9"/>
        <v>250</v>
      </c>
      <c r="Y12" s="58">
        <v>2.8791000000000002</v>
      </c>
      <c r="Z12" s="65">
        <f t="shared" si="10"/>
        <v>2400.0000000001796</v>
      </c>
      <c r="AA12" s="58">
        <v>399.33</v>
      </c>
      <c r="AB12" s="65">
        <f t="shared" si="11"/>
        <v>279.99999999997272</v>
      </c>
      <c r="AC12" s="58">
        <v>373.46</v>
      </c>
      <c r="AD12" s="65">
        <f t="shared" si="12"/>
        <v>339.99999999997499</v>
      </c>
      <c r="AE12" s="58">
        <v>570.22</v>
      </c>
      <c r="AF12" s="65">
        <f t="shared" si="13"/>
        <v>389.99999999998636</v>
      </c>
      <c r="AG12" s="58">
        <v>4863</v>
      </c>
      <c r="AH12" s="67">
        <f t="shared" si="14"/>
        <v>35</v>
      </c>
      <c r="AI12" s="58">
        <v>621.33000000000004</v>
      </c>
      <c r="AJ12" s="65">
        <f t="shared" si="15"/>
        <v>670.00000000007276</v>
      </c>
      <c r="AK12" s="58">
        <v>206.8</v>
      </c>
      <c r="AL12" s="65">
        <f t="shared" si="15"/>
        <v>200.00000000001705</v>
      </c>
      <c r="AM12" s="58">
        <v>196.85</v>
      </c>
      <c r="AN12" s="65">
        <f t="shared" si="15"/>
        <v>99.999999999994316</v>
      </c>
      <c r="AO12" s="58">
        <v>190.71</v>
      </c>
      <c r="AP12" s="65">
        <f t="shared" si="15"/>
        <v>110.00000000001364</v>
      </c>
      <c r="AQ12" s="58">
        <v>248.93</v>
      </c>
      <c r="AR12" s="65">
        <f t="shared" si="16"/>
        <v>189.99999999999773</v>
      </c>
      <c r="AS12" s="58">
        <v>374.7</v>
      </c>
      <c r="AT12" s="65">
        <f t="shared" si="17"/>
        <v>209.99999999997954</v>
      </c>
      <c r="AU12" s="58">
        <v>286.44</v>
      </c>
      <c r="AV12" s="65">
        <f t="shared" si="18"/>
        <v>100.00000000002274</v>
      </c>
      <c r="AW12" s="58">
        <v>320.76</v>
      </c>
      <c r="AX12" s="65">
        <f t="shared" si="19"/>
        <v>50.000000000011369</v>
      </c>
      <c r="AY12" s="58">
        <v>362.07</v>
      </c>
      <c r="AZ12" s="65">
        <f t="shared" si="20"/>
        <v>50.000000000011369</v>
      </c>
      <c r="BA12" s="58">
        <v>381.49</v>
      </c>
      <c r="BB12" s="65">
        <f t="shared" si="21"/>
        <v>30.000000000029559</v>
      </c>
      <c r="BC12" s="58">
        <v>242.35</v>
      </c>
      <c r="BD12" s="65">
        <f t="shared" si="22"/>
        <v>90.000000000003411</v>
      </c>
      <c r="BE12" s="59">
        <v>40727</v>
      </c>
      <c r="BF12" s="67">
        <f t="shared" si="39"/>
        <v>29</v>
      </c>
      <c r="BG12" s="60">
        <v>234.6</v>
      </c>
      <c r="BH12" s="65">
        <f t="shared" si="23"/>
        <v>30.000000000001137</v>
      </c>
      <c r="BI12" s="60">
        <v>293.47000000000003</v>
      </c>
      <c r="BJ12" s="65">
        <f t="shared" si="40"/>
        <v>30.000000000029559</v>
      </c>
      <c r="BK12" s="60">
        <v>237.3</v>
      </c>
      <c r="BL12" s="65">
        <f t="shared" si="24"/>
        <v>30.000000000001137</v>
      </c>
      <c r="BM12" s="60">
        <v>224.26</v>
      </c>
      <c r="BN12" s="65">
        <f t="shared" si="25"/>
        <v>30.000000000001137</v>
      </c>
      <c r="BO12" s="60">
        <v>288.08999999999997</v>
      </c>
      <c r="BP12" s="65">
        <f t="shared" si="26"/>
        <v>29.999999999972715</v>
      </c>
      <c r="BQ12" s="60">
        <v>45581</v>
      </c>
      <c r="BR12" s="65">
        <f t="shared" si="27"/>
        <v>20</v>
      </c>
      <c r="BS12" s="60">
        <v>201.1</v>
      </c>
      <c r="BT12" s="65">
        <f t="shared" si="42"/>
        <v>30.000000000001137</v>
      </c>
      <c r="BU12" s="60">
        <v>41162</v>
      </c>
      <c r="BV12" s="65">
        <f t="shared" si="29"/>
        <v>39</v>
      </c>
      <c r="BW12" s="60">
        <v>232.21</v>
      </c>
      <c r="BX12" s="65">
        <f t="shared" si="30"/>
        <v>20.000000000010232</v>
      </c>
      <c r="BY12" s="60">
        <v>60865</v>
      </c>
      <c r="BZ12" s="67">
        <f t="shared" si="31"/>
        <v>37</v>
      </c>
      <c r="CA12" s="60">
        <v>32358.400000000001</v>
      </c>
      <c r="CB12" s="67">
        <f t="shared" si="32"/>
        <v>38</v>
      </c>
      <c r="CC12" s="60">
        <v>12274.7</v>
      </c>
      <c r="CD12" s="67">
        <f t="shared" si="33"/>
        <v>8.7000000000007276</v>
      </c>
      <c r="CE12" s="60">
        <v>6468.7</v>
      </c>
      <c r="CF12" s="67">
        <f t="shared" si="34"/>
        <v>0.6999999999998181</v>
      </c>
      <c r="CG12" s="60">
        <v>59944.5</v>
      </c>
      <c r="CH12" s="67">
        <f t="shared" si="35"/>
        <v>30.599999999998545</v>
      </c>
      <c r="CI12" s="60">
        <v>951995</v>
      </c>
      <c r="CJ12" s="67">
        <f t="shared" si="36"/>
        <v>268</v>
      </c>
      <c r="CK12" s="60">
        <v>771.27</v>
      </c>
      <c r="CL12" s="64">
        <f t="shared" si="37"/>
        <v>590.00000000003183</v>
      </c>
      <c r="CM12" s="65">
        <f t="shared" si="41"/>
        <v>73.900000000001455</v>
      </c>
      <c r="CN12" s="62">
        <v>12</v>
      </c>
      <c r="CO12" s="62">
        <v>29</v>
      </c>
      <c r="CP12" s="68">
        <v>10143.200000000001</v>
      </c>
      <c r="CQ12" s="67">
        <f>IF((CP12-CP11&lt;0), "",CP12-CP11)</f>
        <v>53.900000000001455</v>
      </c>
      <c r="CR12" s="68">
        <v>14434</v>
      </c>
      <c r="CS12" s="67">
        <f t="shared" si="38"/>
        <v>20</v>
      </c>
      <c r="CT12" s="75">
        <v>6594</v>
      </c>
      <c r="CU12" s="67">
        <f t="shared" si="38"/>
        <v>11</v>
      </c>
      <c r="CV12" s="68">
        <v>15624</v>
      </c>
      <c r="CW12" s="67">
        <f t="shared" si="38"/>
        <v>33</v>
      </c>
    </row>
    <row r="13" spans="1:102" ht="25.5" customHeight="1" thickBot="1" x14ac:dyDescent="0.45">
      <c r="A13" s="63">
        <v>44387</v>
      </c>
      <c r="B13" s="44"/>
      <c r="C13" s="58">
        <v>2.3159000000000001</v>
      </c>
      <c r="D13" s="64">
        <f t="shared" si="0"/>
        <v>2099.9999999999909</v>
      </c>
      <c r="E13" s="58">
        <v>3.2964000000000002</v>
      </c>
      <c r="F13" s="64">
        <f t="shared" si="1"/>
        <v>2600.0000000001578</v>
      </c>
      <c r="G13" s="58">
        <v>3.3513999999999999</v>
      </c>
      <c r="H13" s="64">
        <f t="shared" si="2"/>
        <v>2699.9999999999245</v>
      </c>
      <c r="I13" s="58">
        <v>1.6537999999999999</v>
      </c>
      <c r="J13" s="64">
        <f t="shared" si="3"/>
        <v>1299.9999999998568</v>
      </c>
      <c r="K13" s="58">
        <v>2.6701000000000001</v>
      </c>
      <c r="L13" s="64">
        <f t="shared" si="4"/>
        <v>1800.0000000002458</v>
      </c>
      <c r="M13" s="58">
        <v>1.4702999999999999</v>
      </c>
      <c r="N13" s="64">
        <f t="shared" si="5"/>
        <v>999.99999999988984</v>
      </c>
      <c r="O13" s="58">
        <v>14457</v>
      </c>
      <c r="P13" s="67">
        <f t="shared" si="44"/>
        <v>5</v>
      </c>
      <c r="Q13" s="58">
        <v>1056</v>
      </c>
      <c r="R13" s="67">
        <f t="shared" si="6"/>
        <v>3</v>
      </c>
      <c r="S13" s="58">
        <v>1001500</v>
      </c>
      <c r="T13" s="67">
        <f t="shared" si="7"/>
        <v>499.59999999997672</v>
      </c>
      <c r="U13" s="58">
        <v>421005.2</v>
      </c>
      <c r="V13" s="67">
        <f t="shared" si="8"/>
        <v>119.79999999998836</v>
      </c>
      <c r="W13" s="58">
        <v>401.47</v>
      </c>
      <c r="X13" s="65">
        <f t="shared" si="9"/>
        <v>260.00000000004775</v>
      </c>
      <c r="Y13" s="58">
        <v>2.8815</v>
      </c>
      <c r="Z13" s="65">
        <f t="shared" si="10"/>
        <v>2399.9999999997358</v>
      </c>
      <c r="AA13" s="58">
        <v>399.53</v>
      </c>
      <c r="AB13" s="65">
        <f t="shared" si="11"/>
        <v>199.99999999998863</v>
      </c>
      <c r="AC13" s="58">
        <v>373.8</v>
      </c>
      <c r="AD13" s="65">
        <f t="shared" si="12"/>
        <v>340.00000000003183</v>
      </c>
      <c r="AE13" s="58">
        <v>570.53</v>
      </c>
      <c r="AF13" s="65">
        <f t="shared" si="13"/>
        <v>309.99999999994543</v>
      </c>
      <c r="AG13" s="58">
        <v>4898</v>
      </c>
      <c r="AH13" s="67">
        <f t="shared" si="14"/>
        <v>35</v>
      </c>
      <c r="AI13" s="58">
        <v>622.17999999999995</v>
      </c>
      <c r="AJ13" s="65">
        <f t="shared" si="15"/>
        <v>849.99999999990905</v>
      </c>
      <c r="AK13" s="58">
        <v>206.94</v>
      </c>
      <c r="AL13" s="65">
        <f t="shared" si="15"/>
        <v>139.99999999998636</v>
      </c>
      <c r="AM13" s="58">
        <v>196.95</v>
      </c>
      <c r="AN13" s="65">
        <f t="shared" si="15"/>
        <v>99.999999999994316</v>
      </c>
      <c r="AO13" s="58">
        <v>190.79</v>
      </c>
      <c r="AP13" s="65">
        <f t="shared" si="15"/>
        <v>79.999999999984084</v>
      </c>
      <c r="AQ13" s="58">
        <v>249.14</v>
      </c>
      <c r="AR13" s="65">
        <f t="shared" si="16"/>
        <v>209.99999999997954</v>
      </c>
      <c r="AS13" s="58">
        <v>374.88</v>
      </c>
      <c r="AT13" s="65">
        <f t="shared" si="17"/>
        <v>180.00000000000682</v>
      </c>
      <c r="AU13" s="58">
        <v>286.5</v>
      </c>
      <c r="AV13" s="65">
        <f t="shared" si="18"/>
        <v>60.000000000002274</v>
      </c>
      <c r="AW13" s="58">
        <v>320.8</v>
      </c>
      <c r="AX13" s="65">
        <f t="shared" si="19"/>
        <v>40.000000000020464</v>
      </c>
      <c r="AY13" s="58">
        <v>362.12</v>
      </c>
      <c r="AZ13" s="65">
        <f t="shared" si="20"/>
        <v>50.000000000011369</v>
      </c>
      <c r="BA13" s="58">
        <v>381.51</v>
      </c>
      <c r="BB13" s="65">
        <f t="shared" si="21"/>
        <v>19.99999999998181</v>
      </c>
      <c r="BC13" s="58">
        <v>242.49</v>
      </c>
      <c r="BD13" s="65">
        <f t="shared" si="22"/>
        <v>140.00000000001478</v>
      </c>
      <c r="BE13" s="59">
        <v>40748</v>
      </c>
      <c r="BF13" s="67">
        <f t="shared" si="39"/>
        <v>21</v>
      </c>
      <c r="BG13" s="60">
        <v>234.65</v>
      </c>
      <c r="BH13" s="65">
        <f t="shared" si="23"/>
        <v>50.000000000011369</v>
      </c>
      <c r="BI13" s="60">
        <v>293.51</v>
      </c>
      <c r="BJ13" s="65">
        <f t="shared" si="40"/>
        <v>39.99999999996362</v>
      </c>
      <c r="BK13" s="60">
        <v>237.33</v>
      </c>
      <c r="BL13" s="65">
        <f t="shared" si="24"/>
        <v>30.000000000001137</v>
      </c>
      <c r="BM13" s="60">
        <v>224.3</v>
      </c>
      <c r="BN13" s="65">
        <f t="shared" si="25"/>
        <v>40.000000000020464</v>
      </c>
      <c r="BO13" s="60">
        <v>288.13</v>
      </c>
      <c r="BP13" s="65">
        <f t="shared" si="26"/>
        <v>40.000000000020464</v>
      </c>
      <c r="BQ13" s="60">
        <v>45609</v>
      </c>
      <c r="BR13" s="65">
        <f t="shared" si="27"/>
        <v>28</v>
      </c>
      <c r="BS13" s="60">
        <v>201.13</v>
      </c>
      <c r="BT13" s="65">
        <f t="shared" si="42"/>
        <v>30.000000000001137</v>
      </c>
      <c r="BU13" s="60">
        <v>41203</v>
      </c>
      <c r="BV13" s="65">
        <f t="shared" si="29"/>
        <v>41</v>
      </c>
      <c r="BW13" s="60">
        <v>232.24</v>
      </c>
      <c r="BX13" s="65">
        <f t="shared" si="30"/>
        <v>30.000000000001137</v>
      </c>
      <c r="BY13" s="60">
        <v>60906</v>
      </c>
      <c r="BZ13" s="67">
        <f t="shared" si="31"/>
        <v>41</v>
      </c>
      <c r="CA13" s="60">
        <v>32390.6</v>
      </c>
      <c r="CB13" s="67">
        <f t="shared" si="32"/>
        <v>32.19999999999709</v>
      </c>
      <c r="CC13" s="60">
        <v>12283</v>
      </c>
      <c r="CD13" s="67">
        <f t="shared" si="33"/>
        <v>8.2999999999992724</v>
      </c>
      <c r="CE13" s="60">
        <v>6473</v>
      </c>
      <c r="CF13" s="67">
        <f t="shared" si="34"/>
        <v>4.3000000000001819</v>
      </c>
      <c r="CG13" s="60">
        <v>59984.2</v>
      </c>
      <c r="CH13" s="67">
        <f t="shared" si="35"/>
        <v>39.69999999999709</v>
      </c>
      <c r="CI13" s="60">
        <v>952287</v>
      </c>
      <c r="CJ13" s="67">
        <f t="shared" si="36"/>
        <v>292</v>
      </c>
      <c r="CK13" s="60">
        <v>771.94</v>
      </c>
      <c r="CL13" s="64">
        <f t="shared" si="37"/>
        <v>670.00000000007276</v>
      </c>
      <c r="CM13" s="65">
        <f t="shared" si="41"/>
        <v>76.799999999999272</v>
      </c>
      <c r="CN13" s="62">
        <v>14</v>
      </c>
      <c r="CO13" s="62">
        <v>46</v>
      </c>
      <c r="CP13" s="68">
        <v>10204</v>
      </c>
      <c r="CQ13" s="67">
        <f>IF((CP13-CP12&lt;0), "",CP13-CP12)</f>
        <v>60.799999999999272</v>
      </c>
      <c r="CR13" s="68">
        <v>14450</v>
      </c>
      <c r="CS13" s="67">
        <f t="shared" si="38"/>
        <v>16</v>
      </c>
      <c r="CT13" s="75">
        <v>6607</v>
      </c>
      <c r="CU13" s="67">
        <f t="shared" si="38"/>
        <v>13</v>
      </c>
      <c r="CV13" s="68">
        <v>15664</v>
      </c>
      <c r="CW13" s="67">
        <f t="shared" si="38"/>
        <v>40</v>
      </c>
    </row>
    <row r="14" spans="1:102" ht="25.5" customHeight="1" thickBot="1" x14ac:dyDescent="0.45">
      <c r="A14" s="63">
        <v>44388</v>
      </c>
      <c r="B14" s="44"/>
      <c r="C14" s="58">
        <v>2.3178999999999998</v>
      </c>
      <c r="D14" s="64">
        <f t="shared" si="0"/>
        <v>1999.9999999997797</v>
      </c>
      <c r="E14" s="58">
        <v>3.2989999999999999</v>
      </c>
      <c r="F14" s="64">
        <f t="shared" si="1"/>
        <v>2599.9999999997135</v>
      </c>
      <c r="G14" s="58">
        <v>3.3538000000000001</v>
      </c>
      <c r="H14" s="64">
        <f t="shared" si="2"/>
        <v>2400.0000000001796</v>
      </c>
      <c r="I14" s="58">
        <v>1.655</v>
      </c>
      <c r="J14" s="64">
        <f t="shared" si="3"/>
        <v>1200.0000000000898</v>
      </c>
      <c r="K14" s="58">
        <v>2.6718999999999999</v>
      </c>
      <c r="L14" s="64">
        <f t="shared" si="4"/>
        <v>1799.9999999998017</v>
      </c>
      <c r="M14" s="58">
        <v>1.4713000000000001</v>
      </c>
      <c r="N14" s="64">
        <f t="shared" si="5"/>
        <v>1000.0000000001119</v>
      </c>
      <c r="O14" s="58">
        <v>14464</v>
      </c>
      <c r="P14" s="67">
        <f t="shared" si="44"/>
        <v>7</v>
      </c>
      <c r="Q14" s="58">
        <v>1058</v>
      </c>
      <c r="R14" s="67">
        <f t="shared" si="6"/>
        <v>2</v>
      </c>
      <c r="S14" s="79">
        <v>1003600</v>
      </c>
      <c r="T14" s="67">
        <f t="shared" si="7"/>
        <v>2100</v>
      </c>
      <c r="U14" s="58">
        <v>421497.7</v>
      </c>
      <c r="V14" s="67">
        <f t="shared" si="8"/>
        <v>492.5</v>
      </c>
      <c r="W14" s="58">
        <v>401.74</v>
      </c>
      <c r="X14" s="65">
        <f t="shared" si="9"/>
        <v>269.99999999998181</v>
      </c>
      <c r="Y14" s="58">
        <v>2.8837000000000002</v>
      </c>
      <c r="Z14" s="65">
        <f t="shared" si="10"/>
        <v>2200.0000000002019</v>
      </c>
      <c r="AA14" s="58">
        <v>399.85</v>
      </c>
      <c r="AB14" s="65">
        <f t="shared" si="11"/>
        <v>320.00000000005002</v>
      </c>
      <c r="AC14" s="58">
        <v>374.08</v>
      </c>
      <c r="AD14" s="65">
        <f t="shared" si="12"/>
        <v>279.99999999997272</v>
      </c>
      <c r="AE14" s="58">
        <v>570.85</v>
      </c>
      <c r="AF14" s="65">
        <f t="shared" si="13"/>
        <v>320.00000000005002</v>
      </c>
      <c r="AG14" s="58">
        <v>4933</v>
      </c>
      <c r="AH14" s="67">
        <f t="shared" si="14"/>
        <v>35</v>
      </c>
      <c r="AI14" s="58">
        <v>622.97</v>
      </c>
      <c r="AJ14" s="65">
        <f t="shared" si="15"/>
        <v>790.00000000007731</v>
      </c>
      <c r="AK14" s="58">
        <v>207.13</v>
      </c>
      <c r="AL14" s="65">
        <f t="shared" si="15"/>
        <v>189.99999999999773</v>
      </c>
      <c r="AM14" s="58">
        <v>197.06</v>
      </c>
      <c r="AN14" s="65">
        <f t="shared" si="15"/>
        <v>110.00000000001364</v>
      </c>
      <c r="AO14" s="58">
        <v>190.9</v>
      </c>
      <c r="AP14" s="65">
        <f t="shared" si="15"/>
        <v>110.00000000001364</v>
      </c>
      <c r="AQ14" s="58">
        <v>249.32</v>
      </c>
      <c r="AR14" s="65">
        <f t="shared" si="16"/>
        <v>180.00000000000682</v>
      </c>
      <c r="AS14" s="58">
        <v>375.05</v>
      </c>
      <c r="AT14" s="65">
        <f t="shared" si="17"/>
        <v>170.00000000001592</v>
      </c>
      <c r="AU14" s="58">
        <v>286.54000000000002</v>
      </c>
      <c r="AV14" s="65">
        <f t="shared" si="18"/>
        <v>40.000000000020464</v>
      </c>
      <c r="AW14" s="58">
        <v>320.83</v>
      </c>
      <c r="AX14" s="65">
        <f t="shared" si="19"/>
        <v>29.999999999972715</v>
      </c>
      <c r="AY14" s="58">
        <v>362.15</v>
      </c>
      <c r="AZ14" s="65">
        <f t="shared" si="20"/>
        <v>29.999999999972715</v>
      </c>
      <c r="BA14" s="58">
        <v>381.53</v>
      </c>
      <c r="BB14" s="65">
        <f t="shared" si="21"/>
        <v>19.99999999998181</v>
      </c>
      <c r="BC14" s="58">
        <v>242.63</v>
      </c>
      <c r="BD14" s="65">
        <f t="shared" si="22"/>
        <v>139.99999999998636</v>
      </c>
      <c r="BE14" s="59">
        <v>40778</v>
      </c>
      <c r="BF14" s="67">
        <f t="shared" si="39"/>
        <v>30</v>
      </c>
      <c r="BG14" s="60">
        <v>234.68</v>
      </c>
      <c r="BH14" s="65">
        <f t="shared" si="23"/>
        <v>30.000000000001137</v>
      </c>
      <c r="BI14" s="60">
        <v>293.52999999999997</v>
      </c>
      <c r="BJ14" s="65">
        <f t="shared" si="40"/>
        <v>19.99999999998181</v>
      </c>
      <c r="BK14" s="60">
        <v>237.35</v>
      </c>
      <c r="BL14" s="65">
        <f t="shared" si="24"/>
        <v>19.99999999998181</v>
      </c>
      <c r="BM14" s="60">
        <v>224.34</v>
      </c>
      <c r="BN14" s="65">
        <f t="shared" si="25"/>
        <v>39.999999999992042</v>
      </c>
      <c r="BO14" s="60">
        <v>288.14999999999998</v>
      </c>
      <c r="BP14" s="65">
        <f t="shared" si="26"/>
        <v>19.99999999998181</v>
      </c>
      <c r="BQ14" s="60">
        <v>45630</v>
      </c>
      <c r="BR14" s="65">
        <f t="shared" si="27"/>
        <v>21</v>
      </c>
      <c r="BS14" s="60">
        <v>201.16</v>
      </c>
      <c r="BT14" s="65">
        <f t="shared" si="42"/>
        <v>30.000000000001137</v>
      </c>
      <c r="BU14" s="60">
        <v>41238</v>
      </c>
      <c r="BV14" s="65">
        <f t="shared" si="29"/>
        <v>35</v>
      </c>
      <c r="BW14" s="60">
        <v>232.27</v>
      </c>
      <c r="BX14" s="65">
        <f t="shared" si="30"/>
        <v>30.000000000001137</v>
      </c>
      <c r="BY14" s="60">
        <v>60944</v>
      </c>
      <c r="BZ14" s="67">
        <f t="shared" si="31"/>
        <v>38</v>
      </c>
      <c r="CA14" s="60">
        <v>32420.9</v>
      </c>
      <c r="CB14" s="67">
        <f t="shared" si="32"/>
        <v>30.30000000000291</v>
      </c>
      <c r="CC14" s="60">
        <v>12293</v>
      </c>
      <c r="CD14" s="67">
        <f t="shared" si="33"/>
        <v>10</v>
      </c>
      <c r="CE14" s="60">
        <v>6478</v>
      </c>
      <c r="CF14" s="67">
        <f t="shared" si="34"/>
        <v>5</v>
      </c>
      <c r="CG14" s="60">
        <v>60024.5</v>
      </c>
      <c r="CH14" s="67">
        <f t="shared" si="35"/>
        <v>40.30000000000291</v>
      </c>
      <c r="CI14" s="60">
        <v>952562</v>
      </c>
      <c r="CJ14" s="67">
        <f t="shared" si="36"/>
        <v>275</v>
      </c>
      <c r="CK14" s="60">
        <v>772.5</v>
      </c>
      <c r="CL14" s="64">
        <f t="shared" si="37"/>
        <v>559.99999999994543</v>
      </c>
      <c r="CM14" s="65">
        <f t="shared" si="41"/>
        <v>78</v>
      </c>
      <c r="CN14" s="62">
        <v>13</v>
      </c>
      <c r="CO14" s="62">
        <v>45</v>
      </c>
      <c r="CP14" s="68">
        <v>10252</v>
      </c>
      <c r="CQ14" s="67">
        <f t="shared" si="38"/>
        <v>48</v>
      </c>
      <c r="CR14" s="68">
        <v>14480</v>
      </c>
      <c r="CS14" s="67">
        <f t="shared" si="38"/>
        <v>30</v>
      </c>
      <c r="CT14" s="75">
        <v>6617</v>
      </c>
      <c r="CU14" s="67">
        <f t="shared" si="38"/>
        <v>10</v>
      </c>
      <c r="CV14" s="68">
        <v>15696</v>
      </c>
      <c r="CW14" s="67">
        <f t="shared" si="38"/>
        <v>32</v>
      </c>
    </row>
    <row r="15" spans="1:102" ht="25.5" customHeight="1" thickBot="1" x14ac:dyDescent="0.45">
      <c r="A15" s="63">
        <v>44389</v>
      </c>
      <c r="B15" s="44"/>
      <c r="C15" s="58">
        <v>2.3201000000000001</v>
      </c>
      <c r="D15" s="64">
        <f t="shared" si="0"/>
        <v>2200.0000000002019</v>
      </c>
      <c r="E15" s="58">
        <v>3.3016000000000001</v>
      </c>
      <c r="F15" s="64">
        <f t="shared" si="1"/>
        <v>2600.0000000001578</v>
      </c>
      <c r="G15" s="58">
        <v>3.3563000000000001</v>
      </c>
      <c r="H15" s="64">
        <f t="shared" si="2"/>
        <v>2499.9999999999468</v>
      </c>
      <c r="I15" s="58">
        <v>1.6561999999999999</v>
      </c>
      <c r="J15" s="64">
        <f t="shared" si="3"/>
        <v>1199.9999999998679</v>
      </c>
      <c r="K15" s="58">
        <v>2.6737000000000002</v>
      </c>
      <c r="L15" s="64">
        <f t="shared" si="4"/>
        <v>1800.0000000002458</v>
      </c>
      <c r="M15" s="58">
        <v>1.4722999999999999</v>
      </c>
      <c r="N15" s="64">
        <f t="shared" si="5"/>
        <v>999.99999999988984</v>
      </c>
      <c r="O15" s="58">
        <v>14468</v>
      </c>
      <c r="P15" s="67">
        <f t="shared" si="44"/>
        <v>4</v>
      </c>
      <c r="Q15" s="58">
        <v>1060</v>
      </c>
      <c r="R15" s="67">
        <f t="shared" si="6"/>
        <v>2</v>
      </c>
      <c r="S15" s="58">
        <v>1003900</v>
      </c>
      <c r="T15" s="67">
        <f t="shared" si="7"/>
        <v>300</v>
      </c>
      <c r="U15" s="58">
        <v>421804.7</v>
      </c>
      <c r="V15" s="67">
        <f t="shared" si="8"/>
        <v>307</v>
      </c>
      <c r="W15" s="58">
        <v>402</v>
      </c>
      <c r="X15" s="65">
        <f t="shared" si="9"/>
        <v>259.99999999999091</v>
      </c>
      <c r="Y15" s="58">
        <v>2.8860999999999999</v>
      </c>
      <c r="Z15" s="65">
        <f t="shared" si="10"/>
        <v>2399.9999999997358</v>
      </c>
      <c r="AA15" s="58">
        <v>400.06</v>
      </c>
      <c r="AB15" s="65">
        <f t="shared" si="11"/>
        <v>209.99999999997954</v>
      </c>
      <c r="AC15" s="58">
        <v>374.37</v>
      </c>
      <c r="AD15" s="65">
        <f t="shared" si="12"/>
        <v>290.00000000002046</v>
      </c>
      <c r="AE15" s="58">
        <v>571.22</v>
      </c>
      <c r="AF15" s="65">
        <f t="shared" si="13"/>
        <v>370.00000000000455</v>
      </c>
      <c r="AG15" s="58">
        <v>4968</v>
      </c>
      <c r="AH15" s="67">
        <f t="shared" si="14"/>
        <v>35</v>
      </c>
      <c r="AI15" s="58">
        <v>623.77</v>
      </c>
      <c r="AJ15" s="65">
        <f t="shared" si="15"/>
        <v>799.99999999995453</v>
      </c>
      <c r="AK15" s="58">
        <v>207.3</v>
      </c>
      <c r="AL15" s="65">
        <f t="shared" si="15"/>
        <v>170.00000000001592</v>
      </c>
      <c r="AM15" s="58">
        <v>197.16</v>
      </c>
      <c r="AN15" s="65">
        <f t="shared" si="15"/>
        <v>99.999999999994316</v>
      </c>
      <c r="AO15" s="58">
        <v>191.01</v>
      </c>
      <c r="AP15" s="65">
        <f t="shared" si="15"/>
        <v>109.99999999998522</v>
      </c>
      <c r="AQ15" s="58">
        <v>249.51</v>
      </c>
      <c r="AR15" s="65">
        <f t="shared" si="16"/>
        <v>189.99999999999773</v>
      </c>
      <c r="AS15" s="58">
        <v>375.25</v>
      </c>
      <c r="AT15" s="65">
        <f t="shared" si="17"/>
        <v>199.99999999998863</v>
      </c>
      <c r="AU15" s="58">
        <v>286.58</v>
      </c>
      <c r="AV15" s="65">
        <f t="shared" si="18"/>
        <v>39.99999999996362</v>
      </c>
      <c r="AW15" s="58">
        <v>320.87</v>
      </c>
      <c r="AX15" s="65">
        <f t="shared" si="19"/>
        <v>40.000000000020464</v>
      </c>
      <c r="AY15" s="58">
        <v>362.2</v>
      </c>
      <c r="AZ15" s="65">
        <f t="shared" si="20"/>
        <v>50.000000000011369</v>
      </c>
      <c r="BA15" s="58">
        <v>381.55</v>
      </c>
      <c r="BB15" s="65">
        <f t="shared" si="21"/>
        <v>20.000000000038654</v>
      </c>
      <c r="BC15" s="58">
        <v>242.79</v>
      </c>
      <c r="BD15" s="65">
        <f t="shared" si="22"/>
        <v>159.99999999999659</v>
      </c>
      <c r="BE15" s="59">
        <v>40810</v>
      </c>
      <c r="BF15" s="67">
        <f t="shared" si="39"/>
        <v>32</v>
      </c>
      <c r="BG15" s="60">
        <v>234.73</v>
      </c>
      <c r="BH15" s="65">
        <f t="shared" si="23"/>
        <v>49.999999999982947</v>
      </c>
      <c r="BI15" s="60">
        <v>293.56</v>
      </c>
      <c r="BJ15" s="65">
        <f t="shared" si="40"/>
        <v>30.000000000029559</v>
      </c>
      <c r="BK15" s="60">
        <v>237.38</v>
      </c>
      <c r="BL15" s="65">
        <f t="shared" si="24"/>
        <v>30.000000000001137</v>
      </c>
      <c r="BM15" s="60">
        <v>224.38</v>
      </c>
      <c r="BN15" s="65">
        <f t="shared" si="25"/>
        <v>39.999999999992042</v>
      </c>
      <c r="BO15" s="60">
        <v>288.18</v>
      </c>
      <c r="BP15" s="65">
        <f t="shared" si="26"/>
        <v>30.000000000029559</v>
      </c>
      <c r="BQ15" s="60">
        <v>45652</v>
      </c>
      <c r="BR15" s="65">
        <f t="shared" si="27"/>
        <v>22</v>
      </c>
      <c r="BS15" s="60">
        <v>201.19</v>
      </c>
      <c r="BT15" s="65">
        <f t="shared" si="42"/>
        <v>30.000000000001137</v>
      </c>
      <c r="BU15" s="60">
        <v>41281</v>
      </c>
      <c r="BV15" s="65">
        <f t="shared" si="29"/>
        <v>43</v>
      </c>
      <c r="BW15" s="60">
        <v>232.29</v>
      </c>
      <c r="BX15" s="65">
        <f t="shared" si="30"/>
        <v>19.99999999998181</v>
      </c>
      <c r="BY15" s="60">
        <v>60987</v>
      </c>
      <c r="BZ15" s="67">
        <f t="shared" si="31"/>
        <v>43</v>
      </c>
      <c r="CA15" s="60">
        <v>32456.6</v>
      </c>
      <c r="CB15" s="67">
        <f t="shared" si="32"/>
        <v>35.69999999999709</v>
      </c>
      <c r="CC15" s="60">
        <v>12300.5</v>
      </c>
      <c r="CD15" s="67">
        <f t="shared" si="33"/>
        <v>7.5</v>
      </c>
      <c r="CE15" s="60">
        <v>6478</v>
      </c>
      <c r="CF15" s="67">
        <f t="shared" si="34"/>
        <v>0</v>
      </c>
      <c r="CG15" s="60">
        <v>60062.8</v>
      </c>
      <c r="CH15" s="67">
        <f t="shared" si="35"/>
        <v>38.30000000000291</v>
      </c>
      <c r="CI15" s="60">
        <v>952838</v>
      </c>
      <c r="CJ15" s="67">
        <f t="shared" si="36"/>
        <v>276</v>
      </c>
      <c r="CK15" s="60">
        <v>773.1</v>
      </c>
      <c r="CL15" s="64">
        <f t="shared" si="37"/>
        <v>600.00000000002274</v>
      </c>
      <c r="CM15" s="65">
        <f t="shared" si="41"/>
        <v>61.299999999999272</v>
      </c>
      <c r="CN15" s="62">
        <v>13</v>
      </c>
      <c r="CO15" s="62">
        <v>45</v>
      </c>
      <c r="CP15" s="68">
        <v>10294.299999999999</v>
      </c>
      <c r="CQ15" s="67">
        <f t="shared" si="38"/>
        <v>42.299999999999272</v>
      </c>
      <c r="CR15" s="68">
        <v>14499</v>
      </c>
      <c r="CS15" s="67">
        <f t="shared" si="38"/>
        <v>19</v>
      </c>
      <c r="CT15" s="75">
        <v>6629</v>
      </c>
      <c r="CU15" s="67">
        <f t="shared" si="38"/>
        <v>12</v>
      </c>
      <c r="CV15" s="68">
        <v>15715</v>
      </c>
      <c r="CW15" s="67">
        <f t="shared" si="38"/>
        <v>19</v>
      </c>
    </row>
    <row r="16" spans="1:102" ht="25.5" customHeight="1" thickBot="1" x14ac:dyDescent="0.45">
      <c r="A16" s="63">
        <v>44390</v>
      </c>
      <c r="B16" s="44"/>
      <c r="C16" s="58">
        <v>2.3220999999999998</v>
      </c>
      <c r="D16" s="64">
        <f t="shared" si="0"/>
        <v>1999.9999999997797</v>
      </c>
      <c r="E16" s="58">
        <v>3.3041</v>
      </c>
      <c r="F16" s="64">
        <f t="shared" si="1"/>
        <v>2499.9999999999468</v>
      </c>
      <c r="G16" s="58">
        <v>3.3586999999999998</v>
      </c>
      <c r="H16" s="64">
        <f t="shared" si="2"/>
        <v>2399.9999999997358</v>
      </c>
      <c r="I16" s="58">
        <v>1.6575</v>
      </c>
      <c r="J16" s="64">
        <f t="shared" si="3"/>
        <v>1300.0000000000789</v>
      </c>
      <c r="K16" s="58">
        <v>2.6755</v>
      </c>
      <c r="L16" s="64">
        <f t="shared" si="4"/>
        <v>1799.9999999998017</v>
      </c>
      <c r="M16" s="58">
        <v>1.4732000000000001</v>
      </c>
      <c r="N16" s="64">
        <f t="shared" si="5"/>
        <v>900.0000000001229</v>
      </c>
      <c r="O16" s="58">
        <v>14472</v>
      </c>
      <c r="P16" s="67">
        <f t="shared" si="44"/>
        <v>4</v>
      </c>
      <c r="Q16" s="58">
        <v>1061</v>
      </c>
      <c r="R16" s="67">
        <f t="shared" si="6"/>
        <v>1</v>
      </c>
      <c r="S16" s="58">
        <v>1004800</v>
      </c>
      <c r="T16" s="67">
        <f t="shared" si="7"/>
        <v>900</v>
      </c>
      <c r="U16" s="58">
        <v>422146.9</v>
      </c>
      <c r="V16" s="67">
        <f t="shared" si="8"/>
        <v>342.20000000001164</v>
      </c>
      <c r="W16" s="58">
        <v>402.25</v>
      </c>
      <c r="X16" s="65">
        <f t="shared" si="9"/>
        <v>250</v>
      </c>
      <c r="Y16" s="58">
        <v>2.8883999999999999</v>
      </c>
      <c r="Z16" s="65">
        <f t="shared" si="10"/>
        <v>2299.9999999999686</v>
      </c>
      <c r="AA16" s="58">
        <v>400.36</v>
      </c>
      <c r="AB16" s="65">
        <f t="shared" si="11"/>
        <v>300.00000000001137</v>
      </c>
      <c r="AC16" s="58">
        <v>374.55</v>
      </c>
      <c r="AD16" s="65">
        <f t="shared" si="12"/>
        <v>180.00000000000682</v>
      </c>
      <c r="AE16" s="58">
        <v>571.52</v>
      </c>
      <c r="AF16" s="65">
        <f t="shared" si="13"/>
        <v>299.99999999995453</v>
      </c>
      <c r="AG16" s="58">
        <v>5003</v>
      </c>
      <c r="AH16" s="67">
        <f t="shared" si="14"/>
        <v>35</v>
      </c>
      <c r="AI16" s="58">
        <v>624.54</v>
      </c>
      <c r="AJ16" s="65">
        <f t="shared" si="15"/>
        <v>769.99999999998181</v>
      </c>
      <c r="AK16" s="58">
        <v>207.46</v>
      </c>
      <c r="AL16" s="65">
        <f t="shared" si="15"/>
        <v>159.99999999999659</v>
      </c>
      <c r="AM16" s="58">
        <v>197.3</v>
      </c>
      <c r="AN16" s="65">
        <f t="shared" si="15"/>
        <v>140.00000000001478</v>
      </c>
      <c r="AO16" s="58">
        <v>191.11</v>
      </c>
      <c r="AP16" s="65">
        <f t="shared" si="15"/>
        <v>100.00000000002274</v>
      </c>
      <c r="AQ16" s="58">
        <v>249.68</v>
      </c>
      <c r="AR16" s="65">
        <f t="shared" si="16"/>
        <v>170.00000000001592</v>
      </c>
      <c r="AS16" s="58">
        <v>375.41</v>
      </c>
      <c r="AT16" s="65">
        <f t="shared" si="17"/>
        <v>160.00000000002501</v>
      </c>
      <c r="AU16" s="58">
        <v>286.64</v>
      </c>
      <c r="AV16" s="65">
        <f t="shared" si="18"/>
        <v>60.000000000002274</v>
      </c>
      <c r="AW16" s="58">
        <v>320.91000000000003</v>
      </c>
      <c r="AX16" s="65">
        <f t="shared" si="19"/>
        <v>40.000000000020464</v>
      </c>
      <c r="AY16" s="58">
        <v>362.25</v>
      </c>
      <c r="AZ16" s="65">
        <f t="shared" si="20"/>
        <v>50.000000000011369</v>
      </c>
      <c r="BA16" s="58">
        <v>381.58</v>
      </c>
      <c r="BB16" s="65">
        <f t="shared" si="21"/>
        <v>29.999999999972715</v>
      </c>
      <c r="BC16" s="58">
        <v>242.93</v>
      </c>
      <c r="BD16" s="65">
        <f t="shared" si="22"/>
        <v>140.00000000001478</v>
      </c>
      <c r="BE16" s="59">
        <v>40840</v>
      </c>
      <c r="BF16" s="67">
        <f t="shared" si="39"/>
        <v>30</v>
      </c>
      <c r="BG16" s="60">
        <v>234.77</v>
      </c>
      <c r="BH16" s="65">
        <f t="shared" si="23"/>
        <v>40.000000000020464</v>
      </c>
      <c r="BI16" s="60">
        <v>293.58999999999997</v>
      </c>
      <c r="BJ16" s="65">
        <f t="shared" si="40"/>
        <v>29.999999999972715</v>
      </c>
      <c r="BK16" s="60">
        <v>237.41</v>
      </c>
      <c r="BL16" s="65">
        <f t="shared" si="24"/>
        <v>30.000000000001137</v>
      </c>
      <c r="BM16" s="60">
        <v>224.42</v>
      </c>
      <c r="BN16" s="65">
        <f t="shared" si="25"/>
        <v>39.999999999992042</v>
      </c>
      <c r="BO16" s="60">
        <v>288.22000000000003</v>
      </c>
      <c r="BP16" s="65">
        <f t="shared" si="26"/>
        <v>40.000000000020464</v>
      </c>
      <c r="BQ16" s="60">
        <v>45679</v>
      </c>
      <c r="BR16" s="65">
        <f t="shared" si="27"/>
        <v>27</v>
      </c>
      <c r="BS16" s="60">
        <v>201.21</v>
      </c>
      <c r="BT16" s="65">
        <f t="shared" si="42"/>
        <v>20.000000000010232</v>
      </c>
      <c r="BU16" s="60">
        <v>41317</v>
      </c>
      <c r="BV16" s="65">
        <f t="shared" si="29"/>
        <v>36</v>
      </c>
      <c r="BW16" s="60">
        <v>232.32</v>
      </c>
      <c r="BX16" s="65">
        <f t="shared" si="30"/>
        <v>30.000000000001137</v>
      </c>
      <c r="BY16" s="60">
        <v>61033</v>
      </c>
      <c r="BZ16" s="67">
        <f t="shared" si="31"/>
        <v>46</v>
      </c>
      <c r="CA16" s="60">
        <v>32495.1</v>
      </c>
      <c r="CB16" s="67">
        <f t="shared" si="32"/>
        <v>38.5</v>
      </c>
      <c r="CC16" s="60">
        <v>12310.8</v>
      </c>
      <c r="CD16" s="67">
        <f t="shared" si="33"/>
        <v>10.299999999999272</v>
      </c>
      <c r="CE16" s="60">
        <v>6489.4</v>
      </c>
      <c r="CF16" s="67">
        <f t="shared" si="34"/>
        <v>11.399999999999636</v>
      </c>
      <c r="CG16" s="60">
        <v>60091.8</v>
      </c>
      <c r="CH16" s="67">
        <f t="shared" si="35"/>
        <v>29</v>
      </c>
      <c r="CI16" s="60">
        <v>953101</v>
      </c>
      <c r="CJ16" s="67">
        <f t="shared" si="36"/>
        <v>263</v>
      </c>
      <c r="CK16" s="60">
        <v>773.61</v>
      </c>
      <c r="CL16" s="64">
        <f t="shared" si="37"/>
        <v>509.99999999999091</v>
      </c>
      <c r="CM16" s="65">
        <f t="shared" si="41"/>
        <v>71.700000000000728</v>
      </c>
      <c r="CN16" s="62">
        <v>13</v>
      </c>
      <c r="CO16" s="62">
        <v>50</v>
      </c>
      <c r="CP16" s="68">
        <v>10348</v>
      </c>
      <c r="CQ16" s="67">
        <f t="shared" si="38"/>
        <v>53.700000000000728</v>
      </c>
      <c r="CR16" s="68">
        <v>14517</v>
      </c>
      <c r="CS16" s="67">
        <f t="shared" si="38"/>
        <v>18</v>
      </c>
      <c r="CT16" s="75">
        <v>6643</v>
      </c>
      <c r="CU16" s="67">
        <f t="shared" si="38"/>
        <v>14</v>
      </c>
      <c r="CV16" s="68">
        <v>15729</v>
      </c>
      <c r="CW16" s="67">
        <f t="shared" si="38"/>
        <v>14</v>
      </c>
    </row>
    <row r="17" spans="1:101" ht="25.5" customHeight="1" thickBot="1" x14ac:dyDescent="0.45">
      <c r="A17" s="63">
        <v>44391</v>
      </c>
      <c r="B17" s="44"/>
      <c r="C17" s="58">
        <v>2.3241000000000001</v>
      </c>
      <c r="D17" s="64">
        <f t="shared" si="0"/>
        <v>2000.0000000002237</v>
      </c>
      <c r="E17" s="58">
        <v>3.3066</v>
      </c>
      <c r="F17" s="64">
        <f t="shared" si="1"/>
        <v>2499.9999999999468</v>
      </c>
      <c r="G17" s="58">
        <v>3.3611</v>
      </c>
      <c r="H17" s="64">
        <f t="shared" si="2"/>
        <v>2400.0000000001796</v>
      </c>
      <c r="I17" s="58">
        <v>1.6587000000000001</v>
      </c>
      <c r="J17" s="64">
        <f t="shared" si="3"/>
        <v>1200.0000000000898</v>
      </c>
      <c r="K17" s="58">
        <v>2.6772999999999998</v>
      </c>
      <c r="L17" s="64">
        <f t="shared" si="4"/>
        <v>1799.9999999998017</v>
      </c>
      <c r="M17" s="58">
        <v>1.4741</v>
      </c>
      <c r="N17" s="64">
        <f t="shared" si="5"/>
        <v>899.99999999990087</v>
      </c>
      <c r="O17" s="58">
        <v>14478</v>
      </c>
      <c r="P17" s="67">
        <f t="shared" si="44"/>
        <v>6</v>
      </c>
      <c r="Q17" s="58">
        <v>1063</v>
      </c>
      <c r="R17" s="67">
        <f t="shared" si="6"/>
        <v>2</v>
      </c>
      <c r="S17" s="58">
        <v>1005600</v>
      </c>
      <c r="T17" s="67">
        <f t="shared" si="7"/>
        <v>800</v>
      </c>
      <c r="U17" s="58">
        <v>422430.9</v>
      </c>
      <c r="V17" s="67">
        <f t="shared" si="8"/>
        <v>284</v>
      </c>
      <c r="W17" s="58">
        <v>402.48</v>
      </c>
      <c r="X17" s="65">
        <f t="shared" si="9"/>
        <v>230.00000000001819</v>
      </c>
      <c r="Y17" s="58">
        <v>2.8906000000000001</v>
      </c>
      <c r="Z17" s="65">
        <f t="shared" si="10"/>
        <v>2200.0000000002019</v>
      </c>
      <c r="AA17" s="58">
        <v>400.68</v>
      </c>
      <c r="AB17" s="65">
        <f t="shared" si="11"/>
        <v>319.99999999999318</v>
      </c>
      <c r="AC17" s="58">
        <v>374.75</v>
      </c>
      <c r="AD17" s="65">
        <f t="shared" si="12"/>
        <v>199.99999999998863</v>
      </c>
      <c r="AE17" s="58">
        <v>571.84</v>
      </c>
      <c r="AF17" s="65">
        <f t="shared" si="13"/>
        <v>320.00000000005002</v>
      </c>
      <c r="AG17" s="58">
        <v>5037</v>
      </c>
      <c r="AH17" s="67">
        <f t="shared" si="14"/>
        <v>34</v>
      </c>
      <c r="AI17" s="58">
        <v>625.28</v>
      </c>
      <c r="AJ17" s="65">
        <f t="shared" si="15"/>
        <v>740.00000000000909</v>
      </c>
      <c r="AK17" s="58">
        <v>207.6</v>
      </c>
      <c r="AL17" s="65">
        <f t="shared" si="15"/>
        <v>139.99999999998636</v>
      </c>
      <c r="AM17" s="58">
        <v>197.44</v>
      </c>
      <c r="AN17" s="65">
        <f t="shared" si="15"/>
        <v>139.99999999998636</v>
      </c>
      <c r="AO17" s="58">
        <v>191.2</v>
      </c>
      <c r="AP17" s="65">
        <f t="shared" si="15"/>
        <v>89.999999999974989</v>
      </c>
      <c r="AQ17" s="58">
        <v>249.84</v>
      </c>
      <c r="AR17" s="65">
        <f t="shared" si="16"/>
        <v>159.99999999999659</v>
      </c>
      <c r="AS17" s="58">
        <v>375.59</v>
      </c>
      <c r="AT17" s="65">
        <f t="shared" si="17"/>
        <v>179.99999999994998</v>
      </c>
      <c r="AU17" s="58">
        <v>286.7</v>
      </c>
      <c r="AV17" s="65">
        <f t="shared" si="18"/>
        <v>60.000000000002274</v>
      </c>
      <c r="AW17" s="58">
        <v>320.97000000000003</v>
      </c>
      <c r="AX17" s="65">
        <f t="shared" si="19"/>
        <v>60.000000000002274</v>
      </c>
      <c r="AY17" s="58">
        <v>362.31</v>
      </c>
      <c r="AZ17" s="65">
        <f t="shared" si="20"/>
        <v>60.000000000002274</v>
      </c>
      <c r="BA17" s="58">
        <v>381.6</v>
      </c>
      <c r="BB17" s="65">
        <f t="shared" si="21"/>
        <v>20.000000000038654</v>
      </c>
      <c r="BC17" s="58">
        <v>243.06</v>
      </c>
      <c r="BD17" s="65">
        <f t="shared" si="22"/>
        <v>129.99999999999545</v>
      </c>
      <c r="BE17" s="59">
        <v>40868</v>
      </c>
      <c r="BF17" s="67">
        <f t="shared" si="39"/>
        <v>28</v>
      </c>
      <c r="BG17" s="60">
        <v>234.82</v>
      </c>
      <c r="BH17" s="65">
        <f t="shared" si="23"/>
        <v>49.999999999982947</v>
      </c>
      <c r="BI17" s="60">
        <v>293.62</v>
      </c>
      <c r="BJ17" s="65">
        <f t="shared" si="40"/>
        <v>30.000000000029559</v>
      </c>
      <c r="BK17" s="60">
        <v>237.43</v>
      </c>
      <c r="BL17" s="65">
        <f t="shared" si="24"/>
        <v>20.000000000010232</v>
      </c>
      <c r="BM17" s="60">
        <v>224.46</v>
      </c>
      <c r="BN17" s="65">
        <f t="shared" si="25"/>
        <v>40.000000000020464</v>
      </c>
      <c r="BO17" s="60">
        <v>288.25</v>
      </c>
      <c r="BP17" s="65">
        <f t="shared" si="26"/>
        <v>29.999999999972715</v>
      </c>
      <c r="BQ17" s="60">
        <v>45712</v>
      </c>
      <c r="BR17" s="65">
        <f t="shared" si="27"/>
        <v>33</v>
      </c>
      <c r="BS17" s="60">
        <v>201.24</v>
      </c>
      <c r="BT17" s="65">
        <f t="shared" si="42"/>
        <v>30.000000000001137</v>
      </c>
      <c r="BU17" s="60">
        <v>41354</v>
      </c>
      <c r="BV17" s="65">
        <f t="shared" si="29"/>
        <v>37</v>
      </c>
      <c r="BW17" s="60">
        <v>232.34</v>
      </c>
      <c r="BX17" s="65">
        <f t="shared" si="30"/>
        <v>20.000000000010232</v>
      </c>
      <c r="BY17" s="60">
        <v>61079</v>
      </c>
      <c r="BZ17" s="67">
        <f t="shared" si="31"/>
        <v>46</v>
      </c>
      <c r="CA17" s="60">
        <v>32525.599999999999</v>
      </c>
      <c r="CB17" s="67">
        <f t="shared" si="32"/>
        <v>30.5</v>
      </c>
      <c r="CC17" s="60">
        <v>12317.9</v>
      </c>
      <c r="CD17" s="67">
        <f t="shared" si="33"/>
        <v>7.1000000000003638</v>
      </c>
      <c r="CE17" s="60">
        <v>6494</v>
      </c>
      <c r="CF17" s="67">
        <f t="shared" si="34"/>
        <v>4.6000000000003638</v>
      </c>
      <c r="CG17" s="60">
        <v>60121</v>
      </c>
      <c r="CH17" s="67">
        <f t="shared" si="35"/>
        <v>29.19999999999709</v>
      </c>
      <c r="CI17" s="60">
        <v>953363</v>
      </c>
      <c r="CJ17" s="67">
        <f t="shared" si="36"/>
        <v>262</v>
      </c>
      <c r="CK17" s="60">
        <v>774.22</v>
      </c>
      <c r="CL17" s="64">
        <f t="shared" si="37"/>
        <v>610.00000000001364</v>
      </c>
      <c r="CM17" s="65">
        <f t="shared" si="41"/>
        <v>68</v>
      </c>
      <c r="CN17" s="62">
        <v>16</v>
      </c>
      <c r="CO17" s="62">
        <v>59</v>
      </c>
      <c r="CP17" s="68">
        <v>10397</v>
      </c>
      <c r="CQ17" s="67">
        <f t="shared" si="38"/>
        <v>49</v>
      </c>
      <c r="CR17" s="68">
        <v>14536</v>
      </c>
      <c r="CS17" s="67">
        <f t="shared" si="38"/>
        <v>19</v>
      </c>
      <c r="CT17" s="75">
        <v>6654</v>
      </c>
      <c r="CU17" s="67">
        <f t="shared" si="38"/>
        <v>11</v>
      </c>
      <c r="CV17" s="68">
        <v>15757</v>
      </c>
      <c r="CW17" s="67">
        <f t="shared" si="38"/>
        <v>28</v>
      </c>
    </row>
    <row r="18" spans="1:101" ht="25.5" customHeight="1" thickBot="1" x14ac:dyDescent="0.45">
      <c r="A18" s="63">
        <v>44392</v>
      </c>
      <c r="B18" s="44"/>
      <c r="C18" s="58">
        <v>2.3264</v>
      </c>
      <c r="D18" s="64">
        <f t="shared" si="0"/>
        <v>2299.9999999999686</v>
      </c>
      <c r="E18" s="58">
        <v>3.3089</v>
      </c>
      <c r="F18" s="64">
        <f t="shared" si="1"/>
        <v>2299.9999999999686</v>
      </c>
      <c r="G18" s="58">
        <v>3.3637000000000001</v>
      </c>
      <c r="H18" s="64">
        <f t="shared" si="2"/>
        <v>2600.0000000001578</v>
      </c>
      <c r="I18" s="58">
        <v>1.6598999999999999</v>
      </c>
      <c r="J18" s="64">
        <f t="shared" si="3"/>
        <v>1199.9999999998679</v>
      </c>
      <c r="K18" s="58">
        <v>2.6791999999999998</v>
      </c>
      <c r="L18" s="64">
        <f t="shared" si="4"/>
        <v>1900.0000000000127</v>
      </c>
      <c r="M18" s="58">
        <v>1.4749000000000001</v>
      </c>
      <c r="N18" s="64">
        <f t="shared" si="5"/>
        <v>800.00000000013392</v>
      </c>
      <c r="O18" s="58">
        <v>14482</v>
      </c>
      <c r="P18" s="67">
        <f t="shared" si="44"/>
        <v>4</v>
      </c>
      <c r="Q18" s="58">
        <v>1064</v>
      </c>
      <c r="R18" s="67">
        <f t="shared" si="6"/>
        <v>1</v>
      </c>
      <c r="S18" s="58">
        <v>1006400</v>
      </c>
      <c r="T18" s="67">
        <f t="shared" si="7"/>
        <v>800</v>
      </c>
      <c r="U18" s="58">
        <v>422750</v>
      </c>
      <c r="V18" s="67">
        <f t="shared" si="8"/>
        <v>319.09999999997672</v>
      </c>
      <c r="W18" s="58">
        <v>402.72</v>
      </c>
      <c r="X18" s="65">
        <f t="shared" si="9"/>
        <v>240.00000000000909</v>
      </c>
      <c r="Y18" s="58">
        <v>2.8925999999999998</v>
      </c>
      <c r="Z18" s="65">
        <f t="shared" si="10"/>
        <v>1999.9999999997797</v>
      </c>
      <c r="AA18" s="58">
        <v>400.87</v>
      </c>
      <c r="AB18" s="65">
        <f t="shared" si="11"/>
        <v>189.99999999999773</v>
      </c>
      <c r="AC18" s="58">
        <v>374.98</v>
      </c>
      <c r="AD18" s="65">
        <f t="shared" si="12"/>
        <v>230.00000000001819</v>
      </c>
      <c r="AE18" s="58">
        <v>572.13</v>
      </c>
      <c r="AF18" s="65">
        <f t="shared" si="13"/>
        <v>289.99999999996362</v>
      </c>
      <c r="AG18" s="58">
        <v>5069</v>
      </c>
      <c r="AH18" s="67">
        <f t="shared" si="14"/>
        <v>32</v>
      </c>
      <c r="AI18" s="58">
        <v>626.01</v>
      </c>
      <c r="AJ18" s="65">
        <f t="shared" si="15"/>
        <v>730.00000000001819</v>
      </c>
      <c r="AK18" s="58">
        <v>207.76</v>
      </c>
      <c r="AL18" s="65">
        <f t="shared" si="15"/>
        <v>159.99999999999659</v>
      </c>
      <c r="AM18" s="58">
        <v>197.58</v>
      </c>
      <c r="AN18" s="65">
        <f t="shared" si="15"/>
        <v>140.00000000001478</v>
      </c>
      <c r="AO18" s="58">
        <v>191.29</v>
      </c>
      <c r="AP18" s="65">
        <f t="shared" si="15"/>
        <v>90.000000000003411</v>
      </c>
      <c r="AQ18" s="58">
        <v>249.99</v>
      </c>
      <c r="AR18" s="65">
        <f t="shared" si="16"/>
        <v>150.00000000000568</v>
      </c>
      <c r="AS18" s="58">
        <v>375.81</v>
      </c>
      <c r="AT18" s="65">
        <f t="shared" si="17"/>
        <v>220.00000000002728</v>
      </c>
      <c r="AU18" s="58">
        <v>286.76</v>
      </c>
      <c r="AV18" s="65">
        <f>IF((AU18-AU17&lt;0), "",(AU18-AU17)*1000)</f>
        <v>60.000000000002274</v>
      </c>
      <c r="AW18" s="58">
        <v>321.2</v>
      </c>
      <c r="AX18" s="65">
        <f t="shared" si="19"/>
        <v>229.99999999996135</v>
      </c>
      <c r="AY18" s="58">
        <v>362.35</v>
      </c>
      <c r="AZ18" s="65">
        <f t="shared" si="20"/>
        <v>40.000000000020464</v>
      </c>
      <c r="BA18" s="58">
        <v>381.64</v>
      </c>
      <c r="BB18" s="65">
        <f t="shared" si="21"/>
        <v>39.99999999996362</v>
      </c>
      <c r="BC18" s="58">
        <v>243.2</v>
      </c>
      <c r="BD18" s="65">
        <f t="shared" si="22"/>
        <v>139.99999999998636</v>
      </c>
      <c r="BE18" s="59">
        <v>40899</v>
      </c>
      <c r="BF18" s="67">
        <f t="shared" si="39"/>
        <v>31</v>
      </c>
      <c r="BG18" s="60">
        <v>234.86</v>
      </c>
      <c r="BH18" s="65">
        <f t="shared" si="23"/>
        <v>40.000000000020464</v>
      </c>
      <c r="BI18" s="60">
        <v>293.64999999999998</v>
      </c>
      <c r="BJ18" s="65">
        <f t="shared" si="40"/>
        <v>29.999999999972715</v>
      </c>
      <c r="BK18" s="60">
        <v>237.46</v>
      </c>
      <c r="BL18" s="65">
        <f t="shared" si="24"/>
        <v>30.000000000001137</v>
      </c>
      <c r="BM18" s="60">
        <v>224.49</v>
      </c>
      <c r="BN18" s="65">
        <f t="shared" si="25"/>
        <v>30.000000000001137</v>
      </c>
      <c r="BO18" s="60">
        <v>288.29000000000002</v>
      </c>
      <c r="BP18" s="65">
        <f t="shared" si="26"/>
        <v>40.000000000020464</v>
      </c>
      <c r="BQ18" s="60">
        <v>45740</v>
      </c>
      <c r="BR18" s="65">
        <f t="shared" si="27"/>
        <v>28</v>
      </c>
      <c r="BS18" s="60">
        <v>201.27</v>
      </c>
      <c r="BT18" s="65">
        <f t="shared" si="42"/>
        <v>30.000000000001137</v>
      </c>
      <c r="BU18" s="60">
        <v>41387</v>
      </c>
      <c r="BV18" s="65">
        <f t="shared" si="29"/>
        <v>33</v>
      </c>
      <c r="BW18" s="60">
        <v>232.36</v>
      </c>
      <c r="BX18" s="65">
        <f t="shared" si="30"/>
        <v>20.000000000010232</v>
      </c>
      <c r="BY18" s="60">
        <v>61120</v>
      </c>
      <c r="BZ18" s="67">
        <f t="shared" si="31"/>
        <v>41</v>
      </c>
      <c r="CA18" s="60">
        <v>32564.5</v>
      </c>
      <c r="CB18" s="67">
        <f t="shared" si="32"/>
        <v>38.900000000001455</v>
      </c>
      <c r="CC18" s="60">
        <v>12325</v>
      </c>
      <c r="CD18" s="67">
        <f t="shared" si="33"/>
        <v>7.1000000000003638</v>
      </c>
      <c r="CE18" s="60">
        <v>6495.5</v>
      </c>
      <c r="CF18" s="67">
        <f t="shared" si="34"/>
        <v>1.5</v>
      </c>
      <c r="CG18" s="60">
        <v>60154.5</v>
      </c>
      <c r="CH18" s="67">
        <f t="shared" si="35"/>
        <v>33.5</v>
      </c>
      <c r="CI18" s="60">
        <v>953624</v>
      </c>
      <c r="CJ18" s="67">
        <f t="shared" si="36"/>
        <v>261</v>
      </c>
      <c r="CK18" s="60">
        <v>774.83</v>
      </c>
      <c r="CL18" s="64">
        <f t="shared" si="37"/>
        <v>610.00000000001364</v>
      </c>
      <c r="CM18" s="65">
        <f t="shared" si="41"/>
        <v>77</v>
      </c>
      <c r="CN18" s="62">
        <v>15</v>
      </c>
      <c r="CO18" s="62">
        <v>58</v>
      </c>
      <c r="CP18" s="68">
        <v>10450</v>
      </c>
      <c r="CQ18" s="67">
        <f t="shared" si="38"/>
        <v>53</v>
      </c>
      <c r="CR18" s="68">
        <v>14560</v>
      </c>
      <c r="CS18" s="67">
        <f t="shared" si="38"/>
        <v>24</v>
      </c>
      <c r="CT18" s="75">
        <v>6666</v>
      </c>
      <c r="CU18" s="67">
        <f t="shared" si="38"/>
        <v>12</v>
      </c>
      <c r="CV18" s="68">
        <v>15776</v>
      </c>
      <c r="CW18" s="67">
        <f t="shared" si="38"/>
        <v>19</v>
      </c>
    </row>
    <row r="19" spans="1:101" ht="25.5" customHeight="1" thickBot="1" x14ac:dyDescent="0.45">
      <c r="A19" s="63">
        <v>44393</v>
      </c>
      <c r="B19" s="44"/>
      <c r="C19" s="58">
        <v>2.3285</v>
      </c>
      <c r="D19" s="64">
        <f t="shared" si="0"/>
        <v>2099.9999999999909</v>
      </c>
      <c r="E19" s="58">
        <v>3.3113999999999999</v>
      </c>
      <c r="F19" s="64">
        <f t="shared" si="1"/>
        <v>2499.9999999999468</v>
      </c>
      <c r="G19" s="58">
        <v>3.3662000000000001</v>
      </c>
      <c r="H19" s="64">
        <f t="shared" si="2"/>
        <v>2499.9999999999468</v>
      </c>
      <c r="I19" s="58">
        <v>1.6612</v>
      </c>
      <c r="J19" s="64">
        <f t="shared" si="3"/>
        <v>1300.0000000000789</v>
      </c>
      <c r="K19" s="58">
        <v>2.6812</v>
      </c>
      <c r="L19" s="64">
        <f t="shared" si="4"/>
        <v>2000.0000000002237</v>
      </c>
      <c r="M19" s="58">
        <v>1.4759</v>
      </c>
      <c r="N19" s="64">
        <f t="shared" si="5"/>
        <v>999.99999999988984</v>
      </c>
      <c r="O19" s="58">
        <v>14482</v>
      </c>
      <c r="P19" s="67">
        <f t="shared" si="44"/>
        <v>0</v>
      </c>
      <c r="Q19" s="58">
        <v>1066</v>
      </c>
      <c r="R19" s="67">
        <f t="shared" si="6"/>
        <v>2</v>
      </c>
      <c r="S19" s="58">
        <v>1007200</v>
      </c>
      <c r="T19" s="67">
        <f t="shared" si="7"/>
        <v>800</v>
      </c>
      <c r="U19" s="58">
        <v>423026.2</v>
      </c>
      <c r="V19" s="67">
        <f t="shared" si="8"/>
        <v>276.20000000001164</v>
      </c>
      <c r="W19" s="58">
        <v>402.95</v>
      </c>
      <c r="X19" s="65">
        <f t="shared" si="9"/>
        <v>229.99999999996135</v>
      </c>
      <c r="Y19" s="58">
        <v>2.8948999999999998</v>
      </c>
      <c r="Z19" s="65">
        <f t="shared" si="10"/>
        <v>2299.9999999999686</v>
      </c>
      <c r="AA19" s="58">
        <v>401.17</v>
      </c>
      <c r="AB19" s="65">
        <f t="shared" si="11"/>
        <v>300.00000000001137</v>
      </c>
      <c r="AC19" s="58">
        <v>375.23</v>
      </c>
      <c r="AD19" s="65">
        <f t="shared" si="12"/>
        <v>250</v>
      </c>
      <c r="AE19" s="58">
        <v>572.48</v>
      </c>
      <c r="AF19" s="65">
        <f t="shared" si="13"/>
        <v>350.00000000002274</v>
      </c>
      <c r="AG19" s="58">
        <v>5106</v>
      </c>
      <c r="AH19" s="67">
        <f t="shared" si="14"/>
        <v>37</v>
      </c>
      <c r="AI19" s="58">
        <v>626.69000000000005</v>
      </c>
      <c r="AJ19" s="65">
        <f t="shared" si="15"/>
        <v>680.00000000006366</v>
      </c>
      <c r="AK19" s="58">
        <v>207.91</v>
      </c>
      <c r="AL19" s="65">
        <f t="shared" si="15"/>
        <v>150.00000000000568</v>
      </c>
      <c r="AM19" s="58">
        <v>197.74</v>
      </c>
      <c r="AN19" s="65">
        <f t="shared" si="15"/>
        <v>159.99999999999659</v>
      </c>
      <c r="AO19" s="58">
        <v>191.39</v>
      </c>
      <c r="AP19" s="65">
        <f t="shared" si="15"/>
        <v>99.999999999994316</v>
      </c>
      <c r="AQ19" s="58">
        <v>250.09</v>
      </c>
      <c r="AR19" s="65">
        <f t="shared" si="16"/>
        <v>99.999999999994316</v>
      </c>
      <c r="AS19" s="58">
        <v>376.02</v>
      </c>
      <c r="AT19" s="65">
        <f t="shared" si="17"/>
        <v>209.99999999997954</v>
      </c>
      <c r="AU19" s="58">
        <v>286.83</v>
      </c>
      <c r="AV19" s="65">
        <f>IF((AU19-AU18&lt;0), "",(AU19-AU18)*1000)</f>
        <v>69.999999999993179</v>
      </c>
      <c r="AW19" s="58">
        <v>321.33</v>
      </c>
      <c r="AX19" s="65">
        <f t="shared" si="19"/>
        <v>129.99999999999545</v>
      </c>
      <c r="AY19" s="58">
        <v>362.38</v>
      </c>
      <c r="AZ19" s="65">
        <f t="shared" si="20"/>
        <v>29.999999999972715</v>
      </c>
      <c r="BA19" s="58">
        <v>381.66</v>
      </c>
      <c r="BB19" s="65">
        <f t="shared" si="21"/>
        <v>20.000000000038654</v>
      </c>
      <c r="BC19" s="58">
        <v>243.34</v>
      </c>
      <c r="BD19" s="65">
        <f t="shared" si="22"/>
        <v>140.00000000001478</v>
      </c>
      <c r="BE19" s="59">
        <v>40922</v>
      </c>
      <c r="BF19" s="67">
        <f t="shared" si="39"/>
        <v>23</v>
      </c>
      <c r="BG19" s="60">
        <v>234.91</v>
      </c>
      <c r="BH19" s="65">
        <f t="shared" si="23"/>
        <v>49.999999999982947</v>
      </c>
      <c r="BI19" s="60">
        <v>293.68</v>
      </c>
      <c r="BJ19" s="65">
        <f t="shared" si="40"/>
        <v>30.000000000029559</v>
      </c>
      <c r="BK19" s="60">
        <v>237.49</v>
      </c>
      <c r="BL19" s="65">
        <f t="shared" si="24"/>
        <v>30.000000000001137</v>
      </c>
      <c r="BM19" s="60">
        <v>224.53</v>
      </c>
      <c r="BN19" s="65">
        <f t="shared" si="25"/>
        <v>39.999999999992042</v>
      </c>
      <c r="BO19" s="60">
        <v>288.32</v>
      </c>
      <c r="BP19" s="65">
        <f t="shared" si="26"/>
        <v>29.999999999972715</v>
      </c>
      <c r="BQ19" s="60">
        <v>45776</v>
      </c>
      <c r="BR19" s="65">
        <f t="shared" si="27"/>
        <v>36</v>
      </c>
      <c r="BS19" s="60">
        <v>201.3</v>
      </c>
      <c r="BT19" s="65">
        <f t="shared" si="42"/>
        <v>30.000000000001137</v>
      </c>
      <c r="BU19" s="60">
        <v>41422</v>
      </c>
      <c r="BV19" s="65">
        <f t="shared" si="29"/>
        <v>35</v>
      </c>
      <c r="BW19" s="60">
        <v>232.38</v>
      </c>
      <c r="BX19" s="65">
        <f t="shared" si="30"/>
        <v>19.99999999998181</v>
      </c>
      <c r="BY19" s="60">
        <v>61166</v>
      </c>
      <c r="BZ19" s="67">
        <f t="shared" si="31"/>
        <v>46</v>
      </c>
      <c r="CA19" s="60">
        <v>32596.400000000001</v>
      </c>
      <c r="CB19" s="67">
        <f t="shared" si="32"/>
        <v>31.900000000001455</v>
      </c>
      <c r="CC19" s="60">
        <v>12333.7</v>
      </c>
      <c r="CD19" s="67">
        <f t="shared" si="33"/>
        <v>8.7000000000007276</v>
      </c>
      <c r="CE19" s="60">
        <v>6503.8</v>
      </c>
      <c r="CF19" s="67">
        <f t="shared" si="34"/>
        <v>8.3000000000001819</v>
      </c>
      <c r="CG19" s="60">
        <v>60189.7</v>
      </c>
      <c r="CH19" s="67">
        <f t="shared" si="35"/>
        <v>35.19999999999709</v>
      </c>
      <c r="CI19" s="60">
        <v>953902</v>
      </c>
      <c r="CJ19" s="67">
        <f t="shared" si="36"/>
        <v>278</v>
      </c>
      <c r="CK19" s="60">
        <v>775.54</v>
      </c>
      <c r="CL19" s="64">
        <f t="shared" si="37"/>
        <v>709.99999999992269</v>
      </c>
      <c r="CM19" s="65">
        <f t="shared" si="41"/>
        <v>87</v>
      </c>
      <c r="CN19" s="62">
        <v>15</v>
      </c>
      <c r="CO19" s="62">
        <v>58</v>
      </c>
      <c r="CP19" s="68">
        <v>10496</v>
      </c>
      <c r="CQ19" s="67">
        <f t="shared" si="38"/>
        <v>46</v>
      </c>
      <c r="CR19" s="68">
        <v>14601</v>
      </c>
      <c r="CS19" s="67">
        <f t="shared" si="38"/>
        <v>41</v>
      </c>
      <c r="CT19" s="75">
        <v>6677</v>
      </c>
      <c r="CU19" s="67">
        <f t="shared" si="38"/>
        <v>11</v>
      </c>
      <c r="CV19" s="68">
        <v>15794</v>
      </c>
      <c r="CW19" s="67">
        <f t="shared" si="38"/>
        <v>18</v>
      </c>
    </row>
    <row r="20" spans="1:101" ht="25.5" customHeight="1" thickBot="1" x14ac:dyDescent="0.45">
      <c r="A20" s="63">
        <v>44394</v>
      </c>
      <c r="B20" s="44"/>
      <c r="C20" s="58">
        <v>2.3304</v>
      </c>
      <c r="D20" s="64">
        <f t="shared" si="0"/>
        <v>1900.0000000000127</v>
      </c>
      <c r="E20" s="58">
        <v>3.3140000000000001</v>
      </c>
      <c r="F20" s="64">
        <f t="shared" si="1"/>
        <v>2600.0000000001578</v>
      </c>
      <c r="G20" s="58">
        <v>3.3689</v>
      </c>
      <c r="H20" s="64">
        <f t="shared" si="2"/>
        <v>2699.9999999999245</v>
      </c>
      <c r="I20" s="58">
        <v>1.6624000000000001</v>
      </c>
      <c r="J20" s="64">
        <f t="shared" si="3"/>
        <v>1200.0000000000898</v>
      </c>
      <c r="K20" s="58">
        <v>2.6831999999999998</v>
      </c>
      <c r="L20" s="64">
        <f t="shared" si="4"/>
        <v>1999.9999999997797</v>
      </c>
      <c r="M20" s="58">
        <v>1.4769000000000001</v>
      </c>
      <c r="N20" s="64">
        <f t="shared" si="5"/>
        <v>1000.0000000001119</v>
      </c>
      <c r="O20" s="58">
        <v>14488</v>
      </c>
      <c r="P20" s="67">
        <f t="shared" si="44"/>
        <v>6</v>
      </c>
      <c r="Q20" s="58">
        <v>1068</v>
      </c>
      <c r="R20" s="67">
        <f t="shared" si="6"/>
        <v>2</v>
      </c>
      <c r="S20" s="58">
        <v>1008200</v>
      </c>
      <c r="T20" s="67">
        <f t="shared" si="7"/>
        <v>1000</v>
      </c>
      <c r="U20" s="58">
        <v>423367.4</v>
      </c>
      <c r="V20" s="67">
        <f t="shared" si="8"/>
        <v>341.20000000001164</v>
      </c>
      <c r="W20" s="58">
        <v>403.19</v>
      </c>
      <c r="X20" s="65">
        <f t="shared" si="9"/>
        <v>240.00000000000909</v>
      </c>
      <c r="Y20" s="58">
        <v>2.8972000000000002</v>
      </c>
      <c r="Z20" s="65">
        <f t="shared" si="10"/>
        <v>2300.0000000004129</v>
      </c>
      <c r="AA20" s="58">
        <v>401.45</v>
      </c>
      <c r="AB20" s="65">
        <f t="shared" si="11"/>
        <v>279.99999999997272</v>
      </c>
      <c r="AC20" s="58">
        <v>375.5</v>
      </c>
      <c r="AD20" s="65">
        <f t="shared" si="12"/>
        <v>269.99999999998181</v>
      </c>
      <c r="AE20" s="58">
        <v>572.78</v>
      </c>
      <c r="AF20" s="65">
        <f t="shared" si="13"/>
        <v>299.99999999995453</v>
      </c>
      <c r="AG20" s="58">
        <v>5144</v>
      </c>
      <c r="AH20" s="67">
        <f t="shared" si="14"/>
        <v>38</v>
      </c>
      <c r="AI20" s="58">
        <v>627.39</v>
      </c>
      <c r="AJ20" s="65">
        <f t="shared" si="15"/>
        <v>699.99999999993179</v>
      </c>
      <c r="AK20" s="58">
        <v>208.05</v>
      </c>
      <c r="AL20" s="65">
        <f t="shared" si="15"/>
        <v>140.00000000001478</v>
      </c>
      <c r="AM20" s="58">
        <v>197.88</v>
      </c>
      <c r="AN20" s="65">
        <f t="shared" si="15"/>
        <v>139.99999999998636</v>
      </c>
      <c r="AO20" s="58">
        <v>191.52</v>
      </c>
      <c r="AP20" s="65">
        <f t="shared" si="15"/>
        <v>130.00000000002387</v>
      </c>
      <c r="AQ20" s="58">
        <v>250.17</v>
      </c>
      <c r="AR20" s="65">
        <f t="shared" si="16"/>
        <v>79.999999999984084</v>
      </c>
      <c r="AS20" s="58">
        <v>376.22</v>
      </c>
      <c r="AT20" s="65">
        <f t="shared" si="17"/>
        <v>200.00000000004547</v>
      </c>
      <c r="AU20" s="58">
        <v>286.88</v>
      </c>
      <c r="AV20" s="65">
        <f>IF((AU20-AU19&lt;0), "",(AU20-AU19)*1000)</f>
        <v>50.000000000011369</v>
      </c>
      <c r="AW20" s="58">
        <v>321.47000000000003</v>
      </c>
      <c r="AX20" s="65">
        <f t="shared" si="19"/>
        <v>140.0000000000432</v>
      </c>
      <c r="AY20" s="58">
        <v>362.41</v>
      </c>
      <c r="AZ20" s="65">
        <f t="shared" si="20"/>
        <v>30.000000000029559</v>
      </c>
      <c r="BA20" s="58">
        <v>381.68</v>
      </c>
      <c r="BB20" s="65">
        <f t="shared" si="21"/>
        <v>19.99999999998181</v>
      </c>
      <c r="BC20" s="58">
        <v>243.47</v>
      </c>
      <c r="BD20" s="65">
        <f t="shared" si="22"/>
        <v>129.99999999999545</v>
      </c>
      <c r="BE20" s="59">
        <v>40957</v>
      </c>
      <c r="BF20" s="67">
        <f t="shared" si="39"/>
        <v>35</v>
      </c>
      <c r="BG20" s="60">
        <v>234.94</v>
      </c>
      <c r="BH20" s="65">
        <f t="shared" si="23"/>
        <v>30.000000000001137</v>
      </c>
      <c r="BI20" s="60">
        <v>293.7</v>
      </c>
      <c r="BJ20" s="65">
        <f t="shared" si="40"/>
        <v>19.99999999998181</v>
      </c>
      <c r="BK20" s="60">
        <v>237.51</v>
      </c>
      <c r="BL20" s="65">
        <f t="shared" si="24"/>
        <v>19.99999999998181</v>
      </c>
      <c r="BM20" s="60">
        <v>224.56</v>
      </c>
      <c r="BN20" s="65">
        <f t="shared" si="25"/>
        <v>30.000000000001137</v>
      </c>
      <c r="BO20" s="60">
        <v>288.33999999999997</v>
      </c>
      <c r="BP20" s="65">
        <f t="shared" si="26"/>
        <v>19.99999999998181</v>
      </c>
      <c r="BQ20" s="60">
        <v>45809</v>
      </c>
      <c r="BR20" s="65">
        <f t="shared" si="27"/>
        <v>33</v>
      </c>
      <c r="BS20" s="60">
        <v>201.33</v>
      </c>
      <c r="BT20" s="65">
        <f t="shared" si="42"/>
        <v>30.000000000001137</v>
      </c>
      <c r="BU20" s="60">
        <v>41456</v>
      </c>
      <c r="BV20" s="65">
        <f t="shared" si="29"/>
        <v>34</v>
      </c>
      <c r="BW20" s="60">
        <v>232.4</v>
      </c>
      <c r="BX20" s="65">
        <f t="shared" si="30"/>
        <v>20.000000000010232</v>
      </c>
      <c r="BY20" s="60">
        <v>61207</v>
      </c>
      <c r="BZ20" s="67">
        <f t="shared" si="31"/>
        <v>41</v>
      </c>
      <c r="CA20" s="60">
        <v>32624.2</v>
      </c>
      <c r="CB20" s="67">
        <f t="shared" si="32"/>
        <v>27.799999999999272</v>
      </c>
      <c r="CC20" s="60">
        <v>12341.6</v>
      </c>
      <c r="CD20" s="67">
        <f t="shared" si="33"/>
        <v>7.8999999999996362</v>
      </c>
      <c r="CE20" s="60">
        <v>6509.2</v>
      </c>
      <c r="CF20" s="67">
        <f t="shared" si="34"/>
        <v>5.3999999999996362</v>
      </c>
      <c r="CG20" s="60">
        <v>60219.199999999997</v>
      </c>
      <c r="CH20" s="67">
        <f t="shared" si="35"/>
        <v>29.5</v>
      </c>
      <c r="CI20" s="60">
        <v>954178</v>
      </c>
      <c r="CJ20" s="67">
        <f t="shared" si="36"/>
        <v>276</v>
      </c>
      <c r="CK20" s="60">
        <v>776.13</v>
      </c>
      <c r="CL20" s="64">
        <f t="shared" si="37"/>
        <v>590.00000000003183</v>
      </c>
      <c r="CM20" s="65">
        <f t="shared" si="41"/>
        <v>58</v>
      </c>
      <c r="CN20" s="62">
        <v>13</v>
      </c>
      <c r="CO20" s="62">
        <v>45</v>
      </c>
      <c r="CP20" s="68">
        <v>10544</v>
      </c>
      <c r="CQ20" s="67">
        <f t="shared" si="38"/>
        <v>48</v>
      </c>
      <c r="CR20" s="68">
        <v>14611</v>
      </c>
      <c r="CS20" s="67">
        <f t="shared" si="38"/>
        <v>10</v>
      </c>
      <c r="CT20" s="75">
        <v>6691</v>
      </c>
      <c r="CU20" s="67">
        <f t="shared" si="38"/>
        <v>14</v>
      </c>
      <c r="CV20" s="68">
        <v>15812</v>
      </c>
      <c r="CW20" s="67">
        <f t="shared" si="38"/>
        <v>18</v>
      </c>
    </row>
    <row r="21" spans="1:101" ht="25.5" customHeight="1" thickBot="1" x14ac:dyDescent="0.45">
      <c r="A21" s="63">
        <v>44395</v>
      </c>
      <c r="B21" s="44"/>
      <c r="C21" s="58">
        <v>2.3325</v>
      </c>
      <c r="D21" s="64">
        <f t="shared" si="0"/>
        <v>2099.9999999999909</v>
      </c>
      <c r="E21" s="58">
        <v>3.3165</v>
      </c>
      <c r="F21" s="64">
        <f t="shared" si="1"/>
        <v>2499.9999999999468</v>
      </c>
      <c r="G21" s="58">
        <v>3.3715000000000002</v>
      </c>
      <c r="H21" s="64">
        <f t="shared" si="2"/>
        <v>2600.0000000001578</v>
      </c>
      <c r="I21" s="58">
        <v>1.6637</v>
      </c>
      <c r="J21" s="64">
        <f t="shared" si="3"/>
        <v>1299.9999999998568</v>
      </c>
      <c r="K21" s="58">
        <v>2.6852</v>
      </c>
      <c r="L21" s="64">
        <f t="shared" si="4"/>
        <v>2000.0000000002237</v>
      </c>
      <c r="M21" s="58">
        <v>1.4779</v>
      </c>
      <c r="N21" s="64">
        <f t="shared" si="5"/>
        <v>999.99999999988984</v>
      </c>
      <c r="O21" s="58">
        <v>14494</v>
      </c>
      <c r="P21" s="67">
        <f t="shared" si="44"/>
        <v>6</v>
      </c>
      <c r="Q21" s="58">
        <v>1070</v>
      </c>
      <c r="R21" s="67">
        <f t="shared" si="6"/>
        <v>2</v>
      </c>
      <c r="S21" s="58">
        <v>1009.1</v>
      </c>
      <c r="T21" s="64" t="str">
        <f>IF((S21-S20&lt;0), "0",(S21-S20)*1000)</f>
        <v>0</v>
      </c>
      <c r="U21" s="58">
        <v>423651.3</v>
      </c>
      <c r="V21" s="67">
        <f t="shared" si="8"/>
        <v>283.89999999996508</v>
      </c>
      <c r="W21" s="58">
        <v>403.42</v>
      </c>
      <c r="X21" s="65">
        <f t="shared" si="9"/>
        <v>230.00000000001819</v>
      </c>
      <c r="Y21" s="58">
        <v>2.8996</v>
      </c>
      <c r="Z21" s="65">
        <f t="shared" si="10"/>
        <v>2399.9999999997358</v>
      </c>
      <c r="AA21" s="58">
        <v>401.8</v>
      </c>
      <c r="AB21" s="65">
        <f t="shared" si="11"/>
        <v>350.00000000002274</v>
      </c>
      <c r="AC21" s="58">
        <v>375.74</v>
      </c>
      <c r="AD21" s="65">
        <f t="shared" si="12"/>
        <v>240.00000000000909</v>
      </c>
      <c r="AE21" s="58">
        <v>573.03</v>
      </c>
      <c r="AF21" s="65">
        <f t="shared" si="13"/>
        <v>250</v>
      </c>
      <c r="AG21" s="58">
        <v>5179</v>
      </c>
      <c r="AH21" s="67">
        <f t="shared" si="14"/>
        <v>35</v>
      </c>
      <c r="AI21" s="58">
        <v>628.25</v>
      </c>
      <c r="AJ21" s="65">
        <f t="shared" si="15"/>
        <v>860.00000000001364</v>
      </c>
      <c r="AK21" s="58">
        <v>208.14</v>
      </c>
      <c r="AL21" s="65">
        <f t="shared" si="15"/>
        <v>89.999999999974989</v>
      </c>
      <c r="AM21" s="58">
        <v>198.04</v>
      </c>
      <c r="AN21" s="65">
        <f t="shared" si="15"/>
        <v>159.99999999999659</v>
      </c>
      <c r="AO21" s="58">
        <v>191.62</v>
      </c>
      <c r="AP21" s="65">
        <f t="shared" si="15"/>
        <v>99.999999999994316</v>
      </c>
      <c r="AQ21" s="58">
        <v>250.25</v>
      </c>
      <c r="AR21" s="65">
        <f t="shared" si="16"/>
        <v>80.000000000012506</v>
      </c>
      <c r="AS21" s="58">
        <v>376.35</v>
      </c>
      <c r="AT21" s="65">
        <f t="shared" si="17"/>
        <v>129.99999999999545</v>
      </c>
      <c r="AU21" s="58">
        <v>286.95</v>
      </c>
      <c r="AV21" s="65">
        <f t="shared" si="18"/>
        <v>69.999999999993179</v>
      </c>
      <c r="AW21" s="58">
        <v>321.61</v>
      </c>
      <c r="AX21" s="65">
        <f t="shared" si="19"/>
        <v>139.99999999998636</v>
      </c>
      <c r="AY21" s="58">
        <v>362.45</v>
      </c>
      <c r="AZ21" s="65">
        <f t="shared" si="20"/>
        <v>39.99999999996362</v>
      </c>
      <c r="BA21" s="58">
        <v>381.7</v>
      </c>
      <c r="BB21" s="65">
        <f t="shared" si="21"/>
        <v>19.99999999998181</v>
      </c>
      <c r="BC21" s="58">
        <v>243.6</v>
      </c>
      <c r="BD21" s="65">
        <f t="shared" si="22"/>
        <v>129.99999999999545</v>
      </c>
      <c r="BE21" s="59">
        <v>40976</v>
      </c>
      <c r="BF21" s="67">
        <f t="shared" si="39"/>
        <v>19</v>
      </c>
      <c r="BG21" s="60">
        <v>234.97</v>
      </c>
      <c r="BH21" s="65">
        <f t="shared" si="23"/>
        <v>30.000000000001137</v>
      </c>
      <c r="BI21" s="60">
        <v>293.73</v>
      </c>
      <c r="BJ21" s="65">
        <f t="shared" si="40"/>
        <v>30.000000000029559</v>
      </c>
      <c r="BK21" s="60">
        <v>237.54</v>
      </c>
      <c r="BL21" s="65">
        <f t="shared" si="24"/>
        <v>30.000000000001137</v>
      </c>
      <c r="BM21" s="60">
        <v>224.6</v>
      </c>
      <c r="BN21" s="65">
        <f t="shared" si="25"/>
        <v>39.999999999992042</v>
      </c>
      <c r="BO21" s="60">
        <v>288.37</v>
      </c>
      <c r="BP21" s="65">
        <f t="shared" si="26"/>
        <v>30.000000000029559</v>
      </c>
      <c r="BQ21" s="60">
        <v>45840</v>
      </c>
      <c r="BR21" s="65">
        <f t="shared" si="27"/>
        <v>31</v>
      </c>
      <c r="BS21" s="60">
        <v>201.35</v>
      </c>
      <c r="BT21" s="65">
        <f t="shared" si="42"/>
        <v>19.99999999998181</v>
      </c>
      <c r="BU21" s="60">
        <v>41499</v>
      </c>
      <c r="BV21" s="65">
        <f t="shared" si="29"/>
        <v>43</v>
      </c>
      <c r="BW21" s="60">
        <v>232.43</v>
      </c>
      <c r="BX21" s="65">
        <f t="shared" si="30"/>
        <v>30.000000000001137</v>
      </c>
      <c r="BY21" s="60">
        <v>61255</v>
      </c>
      <c r="BZ21" s="67">
        <f t="shared" si="31"/>
        <v>48</v>
      </c>
      <c r="CA21" s="60">
        <v>32666.5</v>
      </c>
      <c r="CB21" s="67">
        <f t="shared" si="32"/>
        <v>42.299999999999272</v>
      </c>
      <c r="CC21" s="60">
        <v>12351.7</v>
      </c>
      <c r="CD21" s="67">
        <f t="shared" si="33"/>
        <v>10.100000000000364</v>
      </c>
      <c r="CE21" s="60">
        <v>6520.6</v>
      </c>
      <c r="CF21" s="67">
        <f t="shared" si="34"/>
        <v>11.400000000000546</v>
      </c>
      <c r="CG21" s="60">
        <v>60240.3</v>
      </c>
      <c r="CH21" s="67">
        <f t="shared" si="35"/>
        <v>21.100000000005821</v>
      </c>
      <c r="CI21" s="60">
        <v>954439</v>
      </c>
      <c r="CJ21" s="67">
        <f t="shared" si="36"/>
        <v>261</v>
      </c>
      <c r="CK21" s="60">
        <v>776.77</v>
      </c>
      <c r="CL21" s="64">
        <f t="shared" si="37"/>
        <v>639.99999999998636</v>
      </c>
      <c r="CM21" s="65">
        <f t="shared" si="41"/>
        <v>69</v>
      </c>
      <c r="CN21" s="62">
        <v>15</v>
      </c>
      <c r="CO21" s="62">
        <v>51</v>
      </c>
      <c r="CP21" s="68">
        <v>10592</v>
      </c>
      <c r="CQ21" s="67">
        <f t="shared" si="38"/>
        <v>48</v>
      </c>
      <c r="CR21" s="68">
        <v>14632</v>
      </c>
      <c r="CS21" s="67">
        <f t="shared" si="38"/>
        <v>21</v>
      </c>
      <c r="CT21" s="75">
        <v>6704</v>
      </c>
      <c r="CU21" s="67">
        <f t="shared" si="38"/>
        <v>13</v>
      </c>
      <c r="CV21" s="68">
        <v>15874</v>
      </c>
      <c r="CW21" s="67">
        <f t="shared" si="38"/>
        <v>62</v>
      </c>
    </row>
    <row r="22" spans="1:101" ht="25.5" customHeight="1" thickBot="1" x14ac:dyDescent="0.45">
      <c r="A22" s="63">
        <v>44396</v>
      </c>
      <c r="B22" s="44"/>
      <c r="C22" s="58">
        <v>2.3346</v>
      </c>
      <c r="D22" s="64">
        <f t="shared" si="0"/>
        <v>2099.9999999999909</v>
      </c>
      <c r="E22" s="58">
        <v>3.3191000000000002</v>
      </c>
      <c r="F22" s="64">
        <f t="shared" si="1"/>
        <v>2600.0000000001578</v>
      </c>
      <c r="G22" s="58">
        <v>3.3740000000000001</v>
      </c>
      <c r="H22" s="64">
        <f t="shared" si="2"/>
        <v>2499.9999999999468</v>
      </c>
      <c r="I22" s="58">
        <v>1.6649</v>
      </c>
      <c r="J22" s="64">
        <f t="shared" si="3"/>
        <v>1200.0000000000898</v>
      </c>
      <c r="K22" s="58">
        <v>2.6873</v>
      </c>
      <c r="L22" s="64">
        <f t="shared" si="4"/>
        <v>2099.9999999999909</v>
      </c>
      <c r="M22" s="58">
        <v>1.4786999999999999</v>
      </c>
      <c r="N22" s="64">
        <f t="shared" si="5"/>
        <v>799.99999999991189</v>
      </c>
      <c r="O22" s="58">
        <v>14500</v>
      </c>
      <c r="P22" s="67">
        <f t="shared" si="44"/>
        <v>6</v>
      </c>
      <c r="Q22" s="58">
        <v>1072</v>
      </c>
      <c r="R22" s="67">
        <f t="shared" si="6"/>
        <v>2</v>
      </c>
      <c r="S22" s="58">
        <v>1010</v>
      </c>
      <c r="T22" s="64">
        <f t="shared" ref="T22:T34" si="45">IF((S22-S21&lt;0), "0",(S22-S21)*1000)</f>
        <v>899.99999999997726</v>
      </c>
      <c r="U22" s="58">
        <v>423954.1</v>
      </c>
      <c r="V22" s="67">
        <f t="shared" si="8"/>
        <v>302.79999999998836</v>
      </c>
      <c r="W22" s="58">
        <v>403.66</v>
      </c>
      <c r="X22" s="65">
        <f t="shared" si="9"/>
        <v>240.00000000000909</v>
      </c>
      <c r="Y22" s="58">
        <v>2.9020000000000001</v>
      </c>
      <c r="Z22" s="65">
        <f t="shared" si="10"/>
        <v>2400.0000000001796</v>
      </c>
      <c r="AA22" s="58">
        <v>402</v>
      </c>
      <c r="AB22" s="65">
        <f t="shared" si="11"/>
        <v>199.99999999998863</v>
      </c>
      <c r="AC22" s="58">
        <v>375.94</v>
      </c>
      <c r="AD22" s="65">
        <f t="shared" si="12"/>
        <v>199.99999999998863</v>
      </c>
      <c r="AE22" s="58">
        <v>573.32000000000005</v>
      </c>
      <c r="AF22" s="65">
        <f t="shared" si="13"/>
        <v>290.00000000007731</v>
      </c>
      <c r="AG22" s="58">
        <v>5215</v>
      </c>
      <c r="AH22" s="67">
        <f t="shared" si="14"/>
        <v>36</v>
      </c>
      <c r="AI22" s="58">
        <v>629.05999999999995</v>
      </c>
      <c r="AJ22" s="65">
        <f t="shared" si="15"/>
        <v>809.99999999994543</v>
      </c>
      <c r="AK22" s="58">
        <v>208.29</v>
      </c>
      <c r="AL22" s="65">
        <f t="shared" si="15"/>
        <v>150.00000000000568</v>
      </c>
      <c r="AM22" s="58">
        <v>198.19</v>
      </c>
      <c r="AN22" s="65">
        <f t="shared" si="15"/>
        <v>150.00000000000568</v>
      </c>
      <c r="AO22" s="58">
        <v>191.73</v>
      </c>
      <c r="AP22" s="65">
        <f t="shared" si="15"/>
        <v>109.99999999998522</v>
      </c>
      <c r="AQ22" s="58">
        <v>250.34</v>
      </c>
      <c r="AR22" s="65">
        <f t="shared" si="16"/>
        <v>90.000000000003411</v>
      </c>
      <c r="AS22" s="58">
        <v>376.47</v>
      </c>
      <c r="AT22" s="65">
        <f t="shared" si="17"/>
        <v>120.00000000000455</v>
      </c>
      <c r="AU22" s="58">
        <v>287.04000000000002</v>
      </c>
      <c r="AV22" s="65">
        <f t="shared" si="18"/>
        <v>90.000000000031832</v>
      </c>
      <c r="AW22" s="58">
        <v>321.76</v>
      </c>
      <c r="AX22" s="65">
        <f t="shared" si="19"/>
        <v>149.99999999997726</v>
      </c>
      <c r="AY22" s="58">
        <v>362.49</v>
      </c>
      <c r="AZ22" s="65">
        <f t="shared" si="20"/>
        <v>40.000000000020464</v>
      </c>
      <c r="BA22" s="58">
        <v>381.72</v>
      </c>
      <c r="BB22" s="65">
        <f t="shared" si="21"/>
        <v>20.000000000038654</v>
      </c>
      <c r="BC22" s="58">
        <v>243.75</v>
      </c>
      <c r="BD22" s="65">
        <f t="shared" si="22"/>
        <v>150.00000000000568</v>
      </c>
      <c r="BE22" s="59">
        <v>41007</v>
      </c>
      <c r="BF22" s="67">
        <f t="shared" si="39"/>
        <v>31</v>
      </c>
      <c r="BG22" s="60">
        <v>234.99</v>
      </c>
      <c r="BH22" s="65">
        <f t="shared" si="23"/>
        <v>20.000000000010232</v>
      </c>
      <c r="BI22" s="60">
        <v>293.75</v>
      </c>
      <c r="BJ22" s="65">
        <f t="shared" si="40"/>
        <v>19.99999999998181</v>
      </c>
      <c r="BK22" s="60">
        <v>237.57</v>
      </c>
      <c r="BL22" s="65">
        <f t="shared" si="24"/>
        <v>30.000000000001137</v>
      </c>
      <c r="BM22" s="60">
        <v>224.64</v>
      </c>
      <c r="BN22" s="65">
        <f t="shared" si="25"/>
        <v>39.999999999992042</v>
      </c>
      <c r="BO22" s="60">
        <v>288.39999999999998</v>
      </c>
      <c r="BP22" s="65">
        <f t="shared" si="26"/>
        <v>29.999999999972715</v>
      </c>
      <c r="BQ22" s="60">
        <v>45869</v>
      </c>
      <c r="BR22" s="65">
        <f t="shared" si="27"/>
        <v>29</v>
      </c>
      <c r="BS22" s="60">
        <v>201.38</v>
      </c>
      <c r="BT22" s="65">
        <f t="shared" si="42"/>
        <v>30.000000000001137</v>
      </c>
      <c r="BU22" s="60">
        <v>41544</v>
      </c>
      <c r="BV22" s="65">
        <f t="shared" si="29"/>
        <v>45</v>
      </c>
      <c r="BW22" s="60">
        <v>232.46</v>
      </c>
      <c r="BX22" s="65">
        <f t="shared" si="30"/>
        <v>30.000000000001137</v>
      </c>
      <c r="BY22" s="60">
        <v>61300</v>
      </c>
      <c r="BZ22" s="67">
        <f t="shared" si="31"/>
        <v>45</v>
      </c>
      <c r="CA22" s="60">
        <v>32692.799999999999</v>
      </c>
      <c r="CB22" s="67">
        <f t="shared" si="32"/>
        <v>26.299999999999272</v>
      </c>
      <c r="CC22" s="60">
        <v>12360.8</v>
      </c>
      <c r="CD22" s="67">
        <f t="shared" si="33"/>
        <v>9.0999999999985448</v>
      </c>
      <c r="CE22" s="60">
        <v>6521.4</v>
      </c>
      <c r="CF22" s="67">
        <f t="shared" si="34"/>
        <v>0.7999999999992724</v>
      </c>
      <c r="CG22" s="60">
        <v>60258.1</v>
      </c>
      <c r="CH22" s="67">
        <f t="shared" si="35"/>
        <v>17.799999999995634</v>
      </c>
      <c r="CI22" s="60">
        <v>954731</v>
      </c>
      <c r="CJ22" s="67">
        <f t="shared" si="36"/>
        <v>292</v>
      </c>
      <c r="CK22" s="60">
        <v>777.42</v>
      </c>
      <c r="CL22" s="64">
        <f t="shared" si="37"/>
        <v>649.99999999997726</v>
      </c>
      <c r="CM22" s="65">
        <f t="shared" si="41"/>
        <v>67</v>
      </c>
      <c r="CN22" s="62">
        <v>0</v>
      </c>
      <c r="CO22" s="62">
        <v>0</v>
      </c>
      <c r="CP22" s="68">
        <v>10634</v>
      </c>
      <c r="CQ22" s="67">
        <f t="shared" si="38"/>
        <v>42</v>
      </c>
      <c r="CR22" s="68">
        <v>14657</v>
      </c>
      <c r="CS22" s="67">
        <f t="shared" si="38"/>
        <v>25</v>
      </c>
      <c r="CT22" s="75">
        <v>6715</v>
      </c>
      <c r="CU22" s="67">
        <f t="shared" si="38"/>
        <v>11</v>
      </c>
      <c r="CV22" s="68">
        <v>15913</v>
      </c>
      <c r="CW22" s="67">
        <f t="shared" si="38"/>
        <v>39</v>
      </c>
    </row>
    <row r="23" spans="1:101" ht="25.5" customHeight="1" thickBot="1" x14ac:dyDescent="0.45">
      <c r="A23" s="63">
        <v>44397</v>
      </c>
      <c r="B23" s="44"/>
      <c r="C23" s="58">
        <v>2.3367</v>
      </c>
      <c r="D23" s="64">
        <f t="shared" si="0"/>
        <v>2099.9999999999909</v>
      </c>
      <c r="E23" s="58">
        <v>3.3218000000000001</v>
      </c>
      <c r="F23" s="64">
        <f t="shared" si="1"/>
        <v>2699.9999999999245</v>
      </c>
      <c r="G23" s="58">
        <v>3.3767</v>
      </c>
      <c r="H23" s="64">
        <f t="shared" si="2"/>
        <v>2699.9999999999245</v>
      </c>
      <c r="I23" s="58">
        <v>1.6660999999999999</v>
      </c>
      <c r="J23" s="64">
        <f t="shared" si="3"/>
        <v>1199.9999999998679</v>
      </c>
      <c r="K23" s="58">
        <v>2.6894999999999998</v>
      </c>
      <c r="L23" s="64">
        <f t="shared" si="4"/>
        <v>2199.9999999997576</v>
      </c>
      <c r="M23" s="58">
        <v>1.4795</v>
      </c>
      <c r="N23" s="64">
        <f t="shared" si="5"/>
        <v>800.00000000013392</v>
      </c>
      <c r="O23" s="58">
        <v>14506</v>
      </c>
      <c r="P23" s="67">
        <f t="shared" si="44"/>
        <v>6</v>
      </c>
      <c r="Q23" s="58">
        <v>1074</v>
      </c>
      <c r="R23" s="67">
        <f t="shared" si="6"/>
        <v>2</v>
      </c>
      <c r="S23" s="58">
        <v>1010.8</v>
      </c>
      <c r="T23" s="64">
        <f t="shared" si="45"/>
        <v>799.99999999995453</v>
      </c>
      <c r="U23" s="58">
        <v>424283.4</v>
      </c>
      <c r="V23" s="67">
        <f t="shared" si="8"/>
        <v>329.30000000004657</v>
      </c>
      <c r="W23" s="58">
        <v>403.89</v>
      </c>
      <c r="X23" s="65">
        <f t="shared" si="9"/>
        <v>229.99999999996135</v>
      </c>
      <c r="Y23" s="58">
        <v>2.9043999999999999</v>
      </c>
      <c r="Z23" s="65">
        <f t="shared" si="10"/>
        <v>2399.9999999997358</v>
      </c>
      <c r="AA23" s="58">
        <v>402.26</v>
      </c>
      <c r="AB23" s="65">
        <f t="shared" si="11"/>
        <v>259.99999999999091</v>
      </c>
      <c r="AC23" s="58">
        <v>376.19</v>
      </c>
      <c r="AD23" s="65">
        <f t="shared" si="12"/>
        <v>250</v>
      </c>
      <c r="AE23" s="58">
        <v>573.57000000000005</v>
      </c>
      <c r="AF23" s="65">
        <f t="shared" si="13"/>
        <v>250</v>
      </c>
      <c r="AG23" s="58">
        <v>5251</v>
      </c>
      <c r="AH23" s="67">
        <f t="shared" si="14"/>
        <v>36</v>
      </c>
      <c r="AI23" s="58">
        <v>629.85</v>
      </c>
      <c r="AJ23" s="65">
        <f t="shared" si="15"/>
        <v>790.00000000007731</v>
      </c>
      <c r="AK23" s="58">
        <v>208.42</v>
      </c>
      <c r="AL23" s="65">
        <f t="shared" si="15"/>
        <v>129.99999999999545</v>
      </c>
      <c r="AM23" s="58">
        <v>198.34</v>
      </c>
      <c r="AN23" s="65">
        <f t="shared" si="15"/>
        <v>150.00000000000568</v>
      </c>
      <c r="AO23" s="58">
        <v>191.85</v>
      </c>
      <c r="AP23" s="65">
        <f t="shared" si="15"/>
        <v>120.00000000000455</v>
      </c>
      <c r="AQ23" s="58">
        <v>250.45</v>
      </c>
      <c r="AR23" s="65">
        <f t="shared" si="16"/>
        <v>109.99999999998522</v>
      </c>
      <c r="AS23" s="58">
        <v>376.58</v>
      </c>
      <c r="AT23" s="65">
        <f t="shared" si="17"/>
        <v>109.9999999999568</v>
      </c>
      <c r="AU23" s="58">
        <v>287.14</v>
      </c>
      <c r="AV23" s="65">
        <f t="shared" si="18"/>
        <v>99.999999999965894</v>
      </c>
      <c r="AW23" s="58">
        <v>321.88</v>
      </c>
      <c r="AX23" s="65">
        <f t="shared" si="19"/>
        <v>120.00000000000455</v>
      </c>
      <c r="AY23" s="58">
        <v>362.54</v>
      </c>
      <c r="AZ23" s="65">
        <f t="shared" si="20"/>
        <v>50.000000000011369</v>
      </c>
      <c r="BA23" s="58">
        <v>381.76</v>
      </c>
      <c r="BB23" s="65">
        <f t="shared" si="21"/>
        <v>39.99999999996362</v>
      </c>
      <c r="BC23" s="58">
        <v>243.92</v>
      </c>
      <c r="BD23" s="65">
        <f t="shared" si="22"/>
        <v>169.99999999998749</v>
      </c>
      <c r="BE23" s="59">
        <v>41027</v>
      </c>
      <c r="BF23" s="67">
        <f t="shared" si="39"/>
        <v>20</v>
      </c>
      <c r="BG23" s="60">
        <v>235.02</v>
      </c>
      <c r="BH23" s="65">
        <f t="shared" si="23"/>
        <v>30.000000000001137</v>
      </c>
      <c r="BI23" s="60">
        <v>293.77999999999997</v>
      </c>
      <c r="BJ23" s="65">
        <f t="shared" si="40"/>
        <v>29.999999999972715</v>
      </c>
      <c r="BK23" s="60">
        <v>237.6</v>
      </c>
      <c r="BL23" s="65">
        <f t="shared" si="24"/>
        <v>30.000000000001137</v>
      </c>
      <c r="BM23" s="60">
        <v>224.68</v>
      </c>
      <c r="BN23" s="65">
        <f t="shared" si="25"/>
        <v>40.000000000020464</v>
      </c>
      <c r="BO23" s="60">
        <v>288.44</v>
      </c>
      <c r="BP23" s="65">
        <f t="shared" si="26"/>
        <v>40.000000000020464</v>
      </c>
      <c r="BQ23" s="60">
        <v>45904</v>
      </c>
      <c r="BR23" s="65">
        <f t="shared" si="27"/>
        <v>35</v>
      </c>
      <c r="BS23" s="60">
        <v>201.41</v>
      </c>
      <c r="BT23" s="65">
        <f t="shared" si="42"/>
        <v>30.000000000001137</v>
      </c>
      <c r="BU23" s="60">
        <v>41586</v>
      </c>
      <c r="BV23" s="65">
        <f t="shared" si="29"/>
        <v>42</v>
      </c>
      <c r="BW23" s="60">
        <v>232.48</v>
      </c>
      <c r="BX23" s="65">
        <f t="shared" si="30"/>
        <v>19.99999999998181</v>
      </c>
      <c r="BY23" s="60">
        <v>61352</v>
      </c>
      <c r="BZ23" s="67">
        <f t="shared" si="31"/>
        <v>52</v>
      </c>
      <c r="CA23" s="60">
        <v>32728.400000000001</v>
      </c>
      <c r="CB23" s="67">
        <f t="shared" si="32"/>
        <v>35.600000000002183</v>
      </c>
      <c r="CC23" s="60">
        <v>12369.4</v>
      </c>
      <c r="CD23" s="67">
        <f t="shared" si="33"/>
        <v>8.6000000000003638</v>
      </c>
      <c r="CE23" s="60">
        <v>6530.3</v>
      </c>
      <c r="CF23" s="67">
        <f t="shared" si="34"/>
        <v>8.9000000000005457</v>
      </c>
      <c r="CG23" s="60">
        <v>60291.199999999997</v>
      </c>
      <c r="CH23" s="67">
        <f t="shared" si="35"/>
        <v>33.099999999998545</v>
      </c>
      <c r="CI23" s="60">
        <v>955003</v>
      </c>
      <c r="CJ23" s="67">
        <f t="shared" si="36"/>
        <v>272</v>
      </c>
      <c r="CK23" s="60">
        <v>778.11</v>
      </c>
      <c r="CL23" s="64">
        <f t="shared" si="37"/>
        <v>690.00000000005457</v>
      </c>
      <c r="CM23" s="65">
        <f t="shared" si="41"/>
        <v>67</v>
      </c>
      <c r="CN23" s="62">
        <v>14</v>
      </c>
      <c r="CO23" s="62">
        <v>49</v>
      </c>
      <c r="CP23" s="68">
        <v>10677</v>
      </c>
      <c r="CQ23" s="67">
        <f t="shared" si="38"/>
        <v>43</v>
      </c>
      <c r="CR23" s="68">
        <v>14681</v>
      </c>
      <c r="CS23" s="67">
        <f t="shared" si="38"/>
        <v>24</v>
      </c>
      <c r="CT23" s="75">
        <v>6727</v>
      </c>
      <c r="CU23" s="67">
        <f t="shared" si="38"/>
        <v>12</v>
      </c>
      <c r="CV23" s="68">
        <v>15959</v>
      </c>
      <c r="CW23" s="67">
        <f t="shared" si="38"/>
        <v>46</v>
      </c>
    </row>
    <row r="24" spans="1:101" ht="25.5" customHeight="1" thickBot="1" x14ac:dyDescent="0.45">
      <c r="A24" s="63">
        <v>44398</v>
      </c>
      <c r="B24" s="44"/>
      <c r="C24" s="58">
        <v>2.3388</v>
      </c>
      <c r="D24" s="64">
        <f t="shared" si="0"/>
        <v>2099.9999999999909</v>
      </c>
      <c r="E24" s="58">
        <v>3.3243999999999998</v>
      </c>
      <c r="F24" s="64">
        <f t="shared" si="1"/>
        <v>2599.9999999997135</v>
      </c>
      <c r="G24" s="58">
        <v>3.3794</v>
      </c>
      <c r="H24" s="64">
        <f t="shared" si="2"/>
        <v>2699.9999999999245</v>
      </c>
      <c r="I24" s="58">
        <v>1.6674</v>
      </c>
      <c r="J24" s="64">
        <f t="shared" si="3"/>
        <v>1300.0000000000789</v>
      </c>
      <c r="K24" s="58">
        <v>2.6916000000000002</v>
      </c>
      <c r="L24" s="64">
        <f t="shared" si="4"/>
        <v>2100.0000000004347</v>
      </c>
      <c r="M24" s="58">
        <v>1.4802999999999999</v>
      </c>
      <c r="N24" s="64">
        <f t="shared" si="5"/>
        <v>799.99999999991189</v>
      </c>
      <c r="O24" s="58">
        <v>14506</v>
      </c>
      <c r="P24" s="67">
        <f t="shared" si="44"/>
        <v>0</v>
      </c>
      <c r="Q24" s="58">
        <v>1076</v>
      </c>
      <c r="R24" s="67">
        <f t="shared" si="6"/>
        <v>2</v>
      </c>
      <c r="S24" s="58">
        <v>1011.9</v>
      </c>
      <c r="T24" s="64">
        <f t="shared" si="45"/>
        <v>1100.0000000000227</v>
      </c>
      <c r="U24" s="58">
        <v>424685.5</v>
      </c>
      <c r="V24" s="67">
        <f t="shared" si="8"/>
        <v>402.09999999997672</v>
      </c>
      <c r="W24" s="58">
        <v>404.13</v>
      </c>
      <c r="X24" s="65">
        <f t="shared" si="9"/>
        <v>240.00000000000909</v>
      </c>
      <c r="Y24" s="58">
        <v>2.9068000000000001</v>
      </c>
      <c r="Z24" s="65">
        <f t="shared" si="10"/>
        <v>2400.0000000001796</v>
      </c>
      <c r="AA24" s="58">
        <v>402.52</v>
      </c>
      <c r="AB24" s="65">
        <f t="shared" si="11"/>
        <v>259.99999999999091</v>
      </c>
      <c r="AC24" s="58">
        <v>376.43</v>
      </c>
      <c r="AD24" s="65">
        <f t="shared" si="12"/>
        <v>240.00000000000909</v>
      </c>
      <c r="AE24" s="58">
        <v>573.78</v>
      </c>
      <c r="AF24" s="65">
        <f t="shared" si="13"/>
        <v>209.99999999992269</v>
      </c>
      <c r="AG24" s="58">
        <v>5276</v>
      </c>
      <c r="AH24" s="67">
        <f t="shared" si="14"/>
        <v>25</v>
      </c>
      <c r="AI24" s="58">
        <v>630.65</v>
      </c>
      <c r="AJ24" s="65">
        <f t="shared" si="15"/>
        <v>799.99999999995453</v>
      </c>
      <c r="AK24" s="58">
        <v>208.53</v>
      </c>
      <c r="AL24" s="65">
        <f t="shared" si="15"/>
        <v>110.00000000001364</v>
      </c>
      <c r="AM24" s="58">
        <v>198.5</v>
      </c>
      <c r="AN24" s="65">
        <f t="shared" si="15"/>
        <v>159.99999999999659</v>
      </c>
      <c r="AO24" s="58">
        <v>191.94</v>
      </c>
      <c r="AP24" s="65">
        <f t="shared" si="15"/>
        <v>90.000000000003411</v>
      </c>
      <c r="AQ24" s="58">
        <v>250.53</v>
      </c>
      <c r="AR24" s="65">
        <f t="shared" si="16"/>
        <v>80.000000000012506</v>
      </c>
      <c r="AS24" s="58">
        <v>376.7</v>
      </c>
      <c r="AT24" s="65">
        <f t="shared" si="17"/>
        <v>120.00000000000455</v>
      </c>
      <c r="AU24" s="58">
        <v>287.23</v>
      </c>
      <c r="AV24" s="65">
        <f t="shared" si="18"/>
        <v>90.000000000031832</v>
      </c>
      <c r="AW24" s="58">
        <v>322.01</v>
      </c>
      <c r="AX24" s="65">
        <f t="shared" si="19"/>
        <v>129.99999999999545</v>
      </c>
      <c r="AY24" s="58">
        <v>362.58</v>
      </c>
      <c r="AZ24" s="65">
        <f t="shared" si="20"/>
        <v>39.99999999996362</v>
      </c>
      <c r="BA24" s="58">
        <v>381.79</v>
      </c>
      <c r="BB24" s="65">
        <f t="shared" si="21"/>
        <v>30.000000000029559</v>
      </c>
      <c r="BC24" s="58">
        <v>244.05</v>
      </c>
      <c r="BD24" s="65">
        <f t="shared" si="22"/>
        <v>130.00000000002387</v>
      </c>
      <c r="BE24" s="59">
        <v>41048</v>
      </c>
      <c r="BF24" s="67">
        <f t="shared" si="39"/>
        <v>21</v>
      </c>
      <c r="BG24" s="60">
        <v>235.04</v>
      </c>
      <c r="BH24" s="65">
        <f t="shared" si="23"/>
        <v>19.99999999998181</v>
      </c>
      <c r="BI24" s="60">
        <v>293.81</v>
      </c>
      <c r="BJ24" s="65">
        <f t="shared" si="40"/>
        <v>30.000000000029559</v>
      </c>
      <c r="BK24" s="60">
        <v>237.62</v>
      </c>
      <c r="BL24" s="65">
        <f t="shared" si="24"/>
        <v>20.000000000010232</v>
      </c>
      <c r="BM24" s="60">
        <v>224.72</v>
      </c>
      <c r="BN24" s="65">
        <f t="shared" si="25"/>
        <v>39.999999999992042</v>
      </c>
      <c r="BO24" s="60">
        <v>288.48</v>
      </c>
      <c r="BP24" s="65">
        <f t="shared" si="26"/>
        <v>40.000000000020464</v>
      </c>
      <c r="BQ24" s="60">
        <v>45936</v>
      </c>
      <c r="BR24" s="65">
        <f t="shared" si="27"/>
        <v>32</v>
      </c>
      <c r="BS24" s="60">
        <v>201.44</v>
      </c>
      <c r="BT24" s="65">
        <f t="shared" si="42"/>
        <v>30.000000000001137</v>
      </c>
      <c r="BU24" s="60">
        <v>41623</v>
      </c>
      <c r="BV24" s="65">
        <f t="shared" si="29"/>
        <v>37</v>
      </c>
      <c r="BW24" s="60">
        <v>232.51</v>
      </c>
      <c r="BX24" s="65">
        <f t="shared" si="30"/>
        <v>30.000000000001137</v>
      </c>
      <c r="BY24" s="60">
        <v>61399</v>
      </c>
      <c r="BZ24" s="67">
        <f t="shared" si="31"/>
        <v>47</v>
      </c>
      <c r="CA24" s="60">
        <v>32754.7</v>
      </c>
      <c r="CB24" s="67">
        <f t="shared" si="32"/>
        <v>26.299999999999272</v>
      </c>
      <c r="CC24" s="60">
        <v>12378</v>
      </c>
      <c r="CD24" s="67">
        <f t="shared" si="33"/>
        <v>8.6000000000003638</v>
      </c>
      <c r="CE24" s="60">
        <v>6542.2</v>
      </c>
      <c r="CF24" s="67">
        <f t="shared" si="34"/>
        <v>11.899999999999636</v>
      </c>
      <c r="CG24" s="60">
        <v>60324.4</v>
      </c>
      <c r="CH24" s="67">
        <f t="shared" si="35"/>
        <v>33.200000000004366</v>
      </c>
      <c r="CI24" s="60">
        <v>955271</v>
      </c>
      <c r="CJ24" s="67">
        <f t="shared" si="36"/>
        <v>268</v>
      </c>
      <c r="CK24" s="60">
        <v>778.67</v>
      </c>
      <c r="CL24" s="64">
        <f t="shared" si="37"/>
        <v>559.99999999994543</v>
      </c>
      <c r="CM24" s="65">
        <f t="shared" si="41"/>
        <v>71</v>
      </c>
      <c r="CN24" s="62">
        <v>14</v>
      </c>
      <c r="CO24" s="62">
        <v>49</v>
      </c>
      <c r="CP24" s="68">
        <v>10727</v>
      </c>
      <c r="CQ24" s="67">
        <f t="shared" si="38"/>
        <v>50</v>
      </c>
      <c r="CR24" s="68">
        <v>14702</v>
      </c>
      <c r="CS24" s="67">
        <f t="shared" si="38"/>
        <v>21</v>
      </c>
      <c r="CT24" s="75">
        <v>6739</v>
      </c>
      <c r="CU24" s="67">
        <f t="shared" si="38"/>
        <v>12</v>
      </c>
      <c r="CV24" s="68">
        <v>16011</v>
      </c>
      <c r="CW24" s="67">
        <f t="shared" si="38"/>
        <v>52</v>
      </c>
    </row>
    <row r="25" spans="1:101" ht="25.5" customHeight="1" thickBot="1" x14ac:dyDescent="0.45">
      <c r="A25" s="63">
        <v>44399</v>
      </c>
      <c r="B25" s="44"/>
      <c r="C25" s="58">
        <v>2.3420999999999998</v>
      </c>
      <c r="D25" s="64">
        <f t="shared" si="0"/>
        <v>3299.9999999998586</v>
      </c>
      <c r="E25" s="58">
        <v>3.3277999999999999</v>
      </c>
      <c r="F25" s="64">
        <f t="shared" si="1"/>
        <v>3400.0000000000696</v>
      </c>
      <c r="G25" s="58">
        <v>3.3833000000000002</v>
      </c>
      <c r="H25" s="64">
        <f t="shared" si="2"/>
        <v>3900.0000000002365</v>
      </c>
      <c r="I25" s="58">
        <v>1.6689000000000001</v>
      </c>
      <c r="J25" s="64">
        <f t="shared" si="3"/>
        <v>1500.0000000000568</v>
      </c>
      <c r="K25" s="58">
        <v>2.6943000000000001</v>
      </c>
      <c r="L25" s="64">
        <f t="shared" si="4"/>
        <v>2699.9999999999245</v>
      </c>
      <c r="M25" s="58">
        <v>1.4816</v>
      </c>
      <c r="N25" s="64">
        <f t="shared" si="5"/>
        <v>1300.0000000000789</v>
      </c>
      <c r="O25" s="58">
        <v>14514</v>
      </c>
      <c r="P25" s="67">
        <f t="shared" si="44"/>
        <v>8</v>
      </c>
      <c r="Q25" s="58">
        <v>1078</v>
      </c>
      <c r="R25" s="67">
        <f t="shared" si="6"/>
        <v>2</v>
      </c>
      <c r="S25" s="58">
        <v>1013.3</v>
      </c>
      <c r="T25" s="64">
        <f t="shared" si="45"/>
        <v>1399.9999999999773</v>
      </c>
      <c r="U25" s="58">
        <v>425170.1</v>
      </c>
      <c r="V25" s="67">
        <f t="shared" si="8"/>
        <v>484.59999999997672</v>
      </c>
      <c r="W25" s="58">
        <v>404.46</v>
      </c>
      <c r="X25" s="65">
        <f t="shared" si="9"/>
        <v>329.99999999998408</v>
      </c>
      <c r="Y25" s="58">
        <v>2.9098999999999999</v>
      </c>
      <c r="Z25" s="65">
        <f t="shared" si="10"/>
        <v>3099.9999999998809</v>
      </c>
      <c r="AA25" s="58">
        <v>402.93</v>
      </c>
      <c r="AB25" s="65">
        <f t="shared" si="11"/>
        <v>410.00000000002501</v>
      </c>
      <c r="AC25" s="58">
        <v>376.86</v>
      </c>
      <c r="AD25" s="65">
        <f t="shared" si="12"/>
        <v>430.00000000000682</v>
      </c>
      <c r="AE25" s="58">
        <v>574.05999999999995</v>
      </c>
      <c r="AF25" s="65">
        <f t="shared" si="13"/>
        <v>279.99999999997272</v>
      </c>
      <c r="AG25" s="58">
        <v>5332</v>
      </c>
      <c r="AH25" s="67">
        <f t="shared" si="14"/>
        <v>56</v>
      </c>
      <c r="AI25" s="58">
        <v>631.5</v>
      </c>
      <c r="AJ25" s="65">
        <f t="shared" si="15"/>
        <v>850.00000000002274</v>
      </c>
      <c r="AK25" s="58">
        <v>208.65</v>
      </c>
      <c r="AL25" s="65">
        <f t="shared" si="15"/>
        <v>120.00000000000455</v>
      </c>
      <c r="AM25" s="58">
        <v>198.75</v>
      </c>
      <c r="AN25" s="65">
        <f t="shared" si="15"/>
        <v>250</v>
      </c>
      <c r="AO25" s="58">
        <v>192.06</v>
      </c>
      <c r="AP25" s="65">
        <f t="shared" si="15"/>
        <v>120.00000000000455</v>
      </c>
      <c r="AQ25" s="58">
        <v>250.97</v>
      </c>
      <c r="AR25" s="65">
        <f t="shared" si="16"/>
        <v>439.99999999999773</v>
      </c>
      <c r="AS25" s="58">
        <v>377.13</v>
      </c>
      <c r="AT25" s="65">
        <f t="shared" si="17"/>
        <v>430.00000000000682</v>
      </c>
      <c r="AU25" s="58">
        <v>287.58</v>
      </c>
      <c r="AV25" s="65">
        <f t="shared" si="18"/>
        <v>349.99999999996589</v>
      </c>
      <c r="AW25" s="58">
        <v>322.20999999999998</v>
      </c>
      <c r="AX25" s="65">
        <f t="shared" si="19"/>
        <v>199.99999999998863</v>
      </c>
      <c r="AY25" s="58">
        <v>362.66</v>
      </c>
      <c r="AZ25" s="65">
        <f t="shared" si="20"/>
        <v>80.000000000040927</v>
      </c>
      <c r="BA25" s="58">
        <v>381.83</v>
      </c>
      <c r="BB25" s="65">
        <f t="shared" si="21"/>
        <v>39.99999999996362</v>
      </c>
      <c r="BC25" s="58">
        <v>244.24</v>
      </c>
      <c r="BD25" s="65">
        <f t="shared" si="22"/>
        <v>189.99999999999773</v>
      </c>
      <c r="BE25" s="59">
        <v>41098</v>
      </c>
      <c r="BF25" s="67">
        <f t="shared" si="39"/>
        <v>50</v>
      </c>
      <c r="BG25" s="60">
        <v>235.06</v>
      </c>
      <c r="BH25" s="65">
        <f t="shared" si="23"/>
        <v>20.000000000010232</v>
      </c>
      <c r="BI25" s="60">
        <v>293.83999999999997</v>
      </c>
      <c r="BJ25" s="65">
        <f t="shared" si="40"/>
        <v>29.999999999972715</v>
      </c>
      <c r="BK25" s="60">
        <v>237.66</v>
      </c>
      <c r="BL25" s="65">
        <f t="shared" si="24"/>
        <v>39.999999999992042</v>
      </c>
      <c r="BM25" s="60">
        <v>224.76</v>
      </c>
      <c r="BN25" s="65">
        <f t="shared" si="25"/>
        <v>39.999999999992042</v>
      </c>
      <c r="BO25" s="60">
        <v>288.51</v>
      </c>
      <c r="BP25" s="65">
        <f t="shared" si="26"/>
        <v>29.999999999972715</v>
      </c>
      <c r="BQ25" s="60">
        <v>45970</v>
      </c>
      <c r="BR25" s="65">
        <f t="shared" si="27"/>
        <v>34</v>
      </c>
      <c r="BS25" s="60">
        <v>201.47</v>
      </c>
      <c r="BT25" s="65">
        <f t="shared" si="42"/>
        <v>30.000000000001137</v>
      </c>
      <c r="BU25" s="60">
        <v>41672</v>
      </c>
      <c r="BV25" s="65">
        <f t="shared" si="29"/>
        <v>49</v>
      </c>
      <c r="BW25" s="60">
        <v>232.54</v>
      </c>
      <c r="BX25" s="65">
        <f t="shared" si="30"/>
        <v>30.000000000001137</v>
      </c>
      <c r="BY25" s="60">
        <v>61447</v>
      </c>
      <c r="BZ25" s="67">
        <f t="shared" si="31"/>
        <v>48</v>
      </c>
      <c r="CA25" s="60">
        <v>32815.300000000003</v>
      </c>
      <c r="CB25" s="67">
        <f t="shared" si="32"/>
        <v>60.600000000002183</v>
      </c>
      <c r="CC25" s="60">
        <v>12391.5</v>
      </c>
      <c r="CD25" s="67">
        <f t="shared" si="33"/>
        <v>13.5</v>
      </c>
      <c r="CE25" s="60">
        <v>6543.6</v>
      </c>
      <c r="CF25" s="67">
        <f t="shared" si="34"/>
        <v>1.4000000000005457</v>
      </c>
      <c r="CG25" s="60">
        <v>60385.599999999999</v>
      </c>
      <c r="CH25" s="67">
        <f t="shared" si="35"/>
        <v>61.19999999999709</v>
      </c>
      <c r="CI25" s="60">
        <v>955617</v>
      </c>
      <c r="CJ25" s="67">
        <f t="shared" si="36"/>
        <v>346</v>
      </c>
      <c r="CK25" s="60">
        <v>779.56</v>
      </c>
      <c r="CL25" s="64">
        <f t="shared" si="37"/>
        <v>889.99999999998636</v>
      </c>
      <c r="CM25" s="65">
        <f t="shared" si="41"/>
        <v>121</v>
      </c>
      <c r="CN25" s="62">
        <v>14</v>
      </c>
      <c r="CO25" s="62">
        <v>49</v>
      </c>
      <c r="CP25" s="68">
        <v>10815</v>
      </c>
      <c r="CQ25" s="67">
        <f t="shared" si="38"/>
        <v>88</v>
      </c>
      <c r="CR25" s="68">
        <v>14735</v>
      </c>
      <c r="CS25" s="67">
        <f t="shared" si="38"/>
        <v>33</v>
      </c>
      <c r="CT25" s="75">
        <v>6753</v>
      </c>
      <c r="CU25" s="67">
        <f t="shared" si="38"/>
        <v>14</v>
      </c>
      <c r="CV25" s="68">
        <v>16049</v>
      </c>
      <c r="CW25" s="67">
        <f t="shared" si="38"/>
        <v>38</v>
      </c>
    </row>
    <row r="26" spans="1:101" ht="25.5" customHeight="1" thickBot="1" x14ac:dyDescent="0.45">
      <c r="A26" s="63">
        <v>44400</v>
      </c>
      <c r="B26" s="44"/>
      <c r="C26" s="58">
        <v>2.3435999999999999</v>
      </c>
      <c r="D26" s="64">
        <f t="shared" si="0"/>
        <v>1500.0000000000568</v>
      </c>
      <c r="E26" s="58">
        <v>3.3294999999999999</v>
      </c>
      <c r="F26" s="64">
        <f t="shared" si="1"/>
        <v>1700.0000000000348</v>
      </c>
      <c r="G26" s="58">
        <v>3.3847999999999998</v>
      </c>
      <c r="H26" s="64">
        <f t="shared" si="2"/>
        <v>1499.9999999996128</v>
      </c>
      <c r="I26" s="58">
        <v>1.6698</v>
      </c>
      <c r="J26" s="64">
        <f t="shared" si="3"/>
        <v>899.99999999990087</v>
      </c>
      <c r="K26" s="58">
        <v>2.6958000000000002</v>
      </c>
      <c r="L26" s="64">
        <f t="shared" si="4"/>
        <v>1500.0000000000568</v>
      </c>
      <c r="M26" s="58">
        <v>1.4823</v>
      </c>
      <c r="N26" s="64">
        <f t="shared" si="5"/>
        <v>699.99999999992292</v>
      </c>
      <c r="O26" s="58">
        <v>14515</v>
      </c>
      <c r="P26" s="67">
        <f t="shared" si="44"/>
        <v>1</v>
      </c>
      <c r="Q26" s="58">
        <v>1079</v>
      </c>
      <c r="R26" s="67">
        <f t="shared" si="6"/>
        <v>1</v>
      </c>
      <c r="S26" s="58">
        <v>1013.6</v>
      </c>
      <c r="T26" s="64">
        <f t="shared" si="45"/>
        <v>300.00000000006821</v>
      </c>
      <c r="U26" s="58">
        <v>425308.7</v>
      </c>
      <c r="V26" s="67">
        <f t="shared" si="8"/>
        <v>138.60000000003492</v>
      </c>
      <c r="W26" s="58">
        <v>404.64</v>
      </c>
      <c r="X26" s="65">
        <f t="shared" si="9"/>
        <v>180.00000000000682</v>
      </c>
      <c r="Y26" s="58">
        <v>2.9113000000000002</v>
      </c>
      <c r="Z26" s="65">
        <f t="shared" si="10"/>
        <v>1400.0000000002899</v>
      </c>
      <c r="AA26" s="58">
        <v>403.19</v>
      </c>
      <c r="AB26" s="65">
        <f t="shared" si="11"/>
        <v>259.99999999999091</v>
      </c>
      <c r="AC26" s="58">
        <v>377.05</v>
      </c>
      <c r="AD26" s="65">
        <f t="shared" si="12"/>
        <v>189.99999999999773</v>
      </c>
      <c r="AE26" s="58">
        <v>574.21</v>
      </c>
      <c r="AF26" s="65">
        <f t="shared" si="13"/>
        <v>150.00000000009095</v>
      </c>
      <c r="AG26" s="58">
        <v>5356</v>
      </c>
      <c r="AH26" s="67">
        <f t="shared" si="14"/>
        <v>24</v>
      </c>
      <c r="AI26" s="58">
        <v>631.76</v>
      </c>
      <c r="AJ26" s="65">
        <f t="shared" si="15"/>
        <v>259.99999999999091</v>
      </c>
      <c r="AK26" s="58">
        <v>208.71</v>
      </c>
      <c r="AL26" s="65">
        <f t="shared" si="15"/>
        <v>60.000000000002274</v>
      </c>
      <c r="AM26" s="58">
        <v>198.84</v>
      </c>
      <c r="AN26" s="65">
        <f t="shared" si="15"/>
        <v>90.000000000003411</v>
      </c>
      <c r="AO26" s="58">
        <v>192.11</v>
      </c>
      <c r="AP26" s="65">
        <f t="shared" si="15"/>
        <v>50.000000000011369</v>
      </c>
      <c r="AQ26" s="58">
        <v>251.16</v>
      </c>
      <c r="AR26" s="65">
        <f t="shared" si="16"/>
        <v>189.99999999999773</v>
      </c>
      <c r="AS26" s="58">
        <v>377.33</v>
      </c>
      <c r="AT26" s="65">
        <f t="shared" si="17"/>
        <v>199.99999999998863</v>
      </c>
      <c r="AU26" s="58">
        <v>287.77</v>
      </c>
      <c r="AV26" s="65">
        <f t="shared" si="18"/>
        <v>189.99999999999773</v>
      </c>
      <c r="AW26" s="58">
        <v>322.29000000000002</v>
      </c>
      <c r="AX26" s="65">
        <f t="shared" si="19"/>
        <v>80.000000000040927</v>
      </c>
      <c r="AY26" s="58">
        <v>362.68</v>
      </c>
      <c r="AZ26" s="65">
        <f t="shared" si="20"/>
        <v>19.99999999998181</v>
      </c>
      <c r="BA26" s="58">
        <v>381.85</v>
      </c>
      <c r="BB26" s="65">
        <f t="shared" si="21"/>
        <v>20.000000000038654</v>
      </c>
      <c r="BC26" s="58">
        <v>244.36</v>
      </c>
      <c r="BD26" s="65">
        <f t="shared" si="22"/>
        <v>120.00000000000455</v>
      </c>
      <c r="BE26" s="59">
        <v>41140</v>
      </c>
      <c r="BF26" s="67">
        <f t="shared" si="39"/>
        <v>42</v>
      </c>
      <c r="BG26" s="60">
        <v>235.08</v>
      </c>
      <c r="BH26" s="65">
        <f t="shared" si="23"/>
        <v>20.000000000010232</v>
      </c>
      <c r="BI26" s="60">
        <v>293.86</v>
      </c>
      <c r="BJ26" s="65">
        <f t="shared" si="40"/>
        <v>20.000000000038654</v>
      </c>
      <c r="BK26" s="60">
        <v>237.68</v>
      </c>
      <c r="BL26" s="65">
        <f t="shared" si="24"/>
        <v>20.000000000010232</v>
      </c>
      <c r="BM26" s="60">
        <v>224.78</v>
      </c>
      <c r="BN26" s="65">
        <f t="shared" si="25"/>
        <v>20.000000000010232</v>
      </c>
      <c r="BO26" s="60">
        <v>288.54000000000002</v>
      </c>
      <c r="BP26" s="65">
        <f t="shared" si="26"/>
        <v>30.000000000029559</v>
      </c>
      <c r="BQ26" s="60">
        <v>45993</v>
      </c>
      <c r="BR26" s="65">
        <f t="shared" si="27"/>
        <v>23</v>
      </c>
      <c r="BS26" s="60">
        <v>201.5</v>
      </c>
      <c r="BT26" s="65">
        <f t="shared" si="42"/>
        <v>30.000000000001137</v>
      </c>
      <c r="BU26" s="60">
        <v>41699</v>
      </c>
      <c r="BV26" s="65">
        <f t="shared" si="29"/>
        <v>27</v>
      </c>
      <c r="BW26" s="60">
        <v>232.55</v>
      </c>
      <c r="BX26" s="65">
        <f t="shared" si="30"/>
        <v>10.000000000019327</v>
      </c>
      <c r="BY26" s="60">
        <v>61476</v>
      </c>
      <c r="BZ26" s="67">
        <f t="shared" si="31"/>
        <v>29</v>
      </c>
      <c r="CA26" s="60">
        <v>32840.300000000003</v>
      </c>
      <c r="CB26" s="67">
        <f t="shared" si="32"/>
        <v>25</v>
      </c>
      <c r="CC26" s="60">
        <v>12393.7</v>
      </c>
      <c r="CD26" s="67">
        <f t="shared" si="33"/>
        <v>2.2000000000007276</v>
      </c>
      <c r="CE26" s="60">
        <v>6547.7</v>
      </c>
      <c r="CF26" s="67">
        <f t="shared" si="34"/>
        <v>4.0999999999994543</v>
      </c>
      <c r="CG26" s="60">
        <v>60404.800000000003</v>
      </c>
      <c r="CH26" s="67">
        <f t="shared" si="35"/>
        <v>19.200000000004366</v>
      </c>
      <c r="CI26" s="60">
        <v>955801</v>
      </c>
      <c r="CJ26" s="67">
        <f t="shared" si="36"/>
        <v>184</v>
      </c>
      <c r="CK26" s="60">
        <v>780.09</v>
      </c>
      <c r="CL26" s="64">
        <f t="shared" si="37"/>
        <v>530.0000000000864</v>
      </c>
      <c r="CM26" s="65">
        <f t="shared" si="41"/>
        <v>43</v>
      </c>
      <c r="CN26" s="62">
        <v>14</v>
      </c>
      <c r="CO26" s="62">
        <v>49</v>
      </c>
      <c r="CP26" s="68">
        <v>10839</v>
      </c>
      <c r="CQ26" s="67">
        <f t="shared" si="38"/>
        <v>24</v>
      </c>
      <c r="CR26" s="68">
        <v>14754</v>
      </c>
      <c r="CS26" s="67">
        <f t="shared" si="38"/>
        <v>19</v>
      </c>
      <c r="CT26" s="75">
        <v>6762</v>
      </c>
      <c r="CU26" s="67">
        <f t="shared" si="38"/>
        <v>9</v>
      </c>
      <c r="CV26" s="68">
        <v>16071</v>
      </c>
      <c r="CW26" s="67">
        <f t="shared" si="38"/>
        <v>22</v>
      </c>
    </row>
    <row r="27" spans="1:101" ht="25.5" customHeight="1" thickBot="1" x14ac:dyDescent="0.45">
      <c r="A27" s="63">
        <v>44401</v>
      </c>
      <c r="B27" s="44"/>
      <c r="C27" s="58">
        <v>2.3458000000000001</v>
      </c>
      <c r="D27" s="64">
        <f t="shared" si="0"/>
        <v>2200.0000000002019</v>
      </c>
      <c r="E27" s="58">
        <v>3.3321000000000001</v>
      </c>
      <c r="F27" s="64">
        <f t="shared" si="1"/>
        <v>2600.0000000001578</v>
      </c>
      <c r="G27" s="58">
        <v>3.3877000000000002</v>
      </c>
      <c r="H27" s="64">
        <f t="shared" si="2"/>
        <v>2900.0000000003465</v>
      </c>
      <c r="I27" s="58">
        <v>1.671</v>
      </c>
      <c r="J27" s="64">
        <f t="shared" si="3"/>
        <v>1200.0000000000898</v>
      </c>
      <c r="K27" s="58">
        <v>2.6981000000000002</v>
      </c>
      <c r="L27" s="64">
        <f t="shared" si="4"/>
        <v>2299.9999999999686</v>
      </c>
      <c r="M27" s="58">
        <v>1.4831000000000001</v>
      </c>
      <c r="N27" s="64">
        <f t="shared" si="5"/>
        <v>800.00000000013392</v>
      </c>
      <c r="O27" s="58">
        <v>14521</v>
      </c>
      <c r="P27" s="67">
        <f t="shared" si="44"/>
        <v>6</v>
      </c>
      <c r="Q27" s="58">
        <v>1081</v>
      </c>
      <c r="R27" s="67">
        <f t="shared" si="6"/>
        <v>2</v>
      </c>
      <c r="S27" s="58">
        <v>1014.6</v>
      </c>
      <c r="T27" s="64">
        <f t="shared" si="45"/>
        <v>1000</v>
      </c>
      <c r="U27" s="58">
        <v>425631.9</v>
      </c>
      <c r="V27" s="67">
        <f t="shared" si="8"/>
        <v>323.20000000001164</v>
      </c>
      <c r="W27" s="58">
        <v>404.91</v>
      </c>
      <c r="X27" s="65">
        <f t="shared" si="9"/>
        <v>270.00000000003865</v>
      </c>
      <c r="Y27" s="58">
        <v>2.9137</v>
      </c>
      <c r="Z27" s="65">
        <f t="shared" si="10"/>
        <v>2399.9999999997358</v>
      </c>
      <c r="AA27" s="58">
        <v>403.49</v>
      </c>
      <c r="AB27" s="65">
        <f t="shared" si="11"/>
        <v>300.00000000001137</v>
      </c>
      <c r="AC27" s="58">
        <v>377.26</v>
      </c>
      <c r="AD27" s="65">
        <f t="shared" si="12"/>
        <v>209.99999999997954</v>
      </c>
      <c r="AE27" s="58">
        <v>574.41</v>
      </c>
      <c r="AF27" s="65">
        <f t="shared" si="13"/>
        <v>199.99999999993179</v>
      </c>
      <c r="AG27" s="58">
        <v>5391</v>
      </c>
      <c r="AH27" s="67">
        <f t="shared" si="14"/>
        <v>35</v>
      </c>
      <c r="AI27" s="58">
        <v>632.11</v>
      </c>
      <c r="AJ27" s="65">
        <f t="shared" si="15"/>
        <v>350.00000000002274</v>
      </c>
      <c r="AK27" s="58">
        <v>208.87</v>
      </c>
      <c r="AL27" s="65">
        <f t="shared" si="15"/>
        <v>159.99999999999659</v>
      </c>
      <c r="AM27" s="58">
        <v>198.97</v>
      </c>
      <c r="AN27" s="65">
        <f t="shared" si="15"/>
        <v>129.99999999999545</v>
      </c>
      <c r="AO27" s="58">
        <v>192.19</v>
      </c>
      <c r="AP27" s="65">
        <f t="shared" si="15"/>
        <v>79.999999999984084</v>
      </c>
      <c r="AQ27" s="58">
        <v>251.47</v>
      </c>
      <c r="AR27" s="65">
        <f t="shared" si="16"/>
        <v>310.00000000000227</v>
      </c>
      <c r="AS27" s="58">
        <v>377.63</v>
      </c>
      <c r="AT27" s="65">
        <f t="shared" si="17"/>
        <v>300.00000000001137</v>
      </c>
      <c r="AU27" s="58">
        <v>288.07</v>
      </c>
      <c r="AV27" s="65">
        <f t="shared" si="18"/>
        <v>300.00000000001137</v>
      </c>
      <c r="AW27" s="58">
        <v>322.41000000000003</v>
      </c>
      <c r="AX27" s="65">
        <f t="shared" si="19"/>
        <v>120.00000000000455</v>
      </c>
      <c r="AY27" s="58">
        <v>362.72</v>
      </c>
      <c r="AZ27" s="65">
        <f t="shared" si="20"/>
        <v>40.000000000020464</v>
      </c>
      <c r="BA27" s="58">
        <v>381.88</v>
      </c>
      <c r="BB27" s="65">
        <f t="shared" si="21"/>
        <v>29.999999999972715</v>
      </c>
      <c r="BC27" s="58">
        <v>244.44</v>
      </c>
      <c r="BD27" s="65">
        <f t="shared" si="22"/>
        <v>79.999999999984084</v>
      </c>
      <c r="BE27" s="59">
        <v>41168</v>
      </c>
      <c r="BF27" s="67">
        <f t="shared" si="39"/>
        <v>28</v>
      </c>
      <c r="BG27" s="60">
        <v>235.12</v>
      </c>
      <c r="BH27" s="65">
        <f t="shared" si="23"/>
        <v>39.999999999992042</v>
      </c>
      <c r="BI27" s="60">
        <v>293.88</v>
      </c>
      <c r="BJ27" s="65">
        <f t="shared" si="40"/>
        <v>19.99999999998181</v>
      </c>
      <c r="BK27" s="60">
        <v>237.7</v>
      </c>
      <c r="BL27" s="65">
        <f t="shared" si="24"/>
        <v>19.99999999998181</v>
      </c>
      <c r="BM27" s="60">
        <v>224.81</v>
      </c>
      <c r="BN27" s="65">
        <f t="shared" si="25"/>
        <v>30.000000000001137</v>
      </c>
      <c r="BO27" s="60">
        <v>288.57</v>
      </c>
      <c r="BP27" s="65">
        <f t="shared" si="26"/>
        <v>29.999999999972715</v>
      </c>
      <c r="BQ27" s="60">
        <v>46023</v>
      </c>
      <c r="BR27" s="65">
        <f t="shared" si="27"/>
        <v>30</v>
      </c>
      <c r="BS27" s="60">
        <v>201.52</v>
      </c>
      <c r="BT27" s="65">
        <f t="shared" si="42"/>
        <v>20.000000000010232</v>
      </c>
      <c r="BU27" s="60">
        <v>41733</v>
      </c>
      <c r="BV27" s="65">
        <f t="shared" si="29"/>
        <v>34</v>
      </c>
      <c r="BW27" s="60">
        <v>232.57</v>
      </c>
      <c r="BX27" s="65">
        <f t="shared" si="30"/>
        <v>19.99999999998181</v>
      </c>
      <c r="BY27" s="60">
        <v>61517</v>
      </c>
      <c r="BZ27" s="67">
        <f t="shared" si="31"/>
        <v>41</v>
      </c>
      <c r="CA27" s="60">
        <v>32890.199999999997</v>
      </c>
      <c r="CB27" s="67">
        <f t="shared" si="32"/>
        <v>49.899999999994179</v>
      </c>
      <c r="CC27" s="60">
        <v>12401.1</v>
      </c>
      <c r="CD27" s="67">
        <f t="shared" si="33"/>
        <v>7.3999999999996362</v>
      </c>
      <c r="CE27" s="60">
        <v>6551.6</v>
      </c>
      <c r="CF27" s="67">
        <f t="shared" si="34"/>
        <v>3.9000000000005457</v>
      </c>
      <c r="CG27" s="60">
        <v>60438.2</v>
      </c>
      <c r="CH27" s="67">
        <f t="shared" si="35"/>
        <v>33.399999999994179</v>
      </c>
      <c r="CI27" s="60">
        <v>956060</v>
      </c>
      <c r="CJ27" s="67">
        <f t="shared" si="36"/>
        <v>259</v>
      </c>
      <c r="CK27" s="60">
        <v>780.81</v>
      </c>
      <c r="CL27" s="64">
        <f t="shared" si="37"/>
        <v>719.9999999999136</v>
      </c>
      <c r="CM27" s="65">
        <f t="shared" si="41"/>
        <v>90</v>
      </c>
      <c r="CN27" s="62">
        <v>14</v>
      </c>
      <c r="CO27" s="62">
        <v>49</v>
      </c>
      <c r="CP27" s="68">
        <v>10888</v>
      </c>
      <c r="CQ27" s="67">
        <f t="shared" si="38"/>
        <v>49</v>
      </c>
      <c r="CR27" s="68">
        <v>14795</v>
      </c>
      <c r="CS27" s="67">
        <f t="shared" si="38"/>
        <v>41</v>
      </c>
      <c r="CT27" s="75">
        <v>6775</v>
      </c>
      <c r="CU27" s="67">
        <f t="shared" si="38"/>
        <v>13</v>
      </c>
      <c r="CV27" s="68">
        <v>16105</v>
      </c>
      <c r="CW27" s="67">
        <f t="shared" si="38"/>
        <v>34</v>
      </c>
    </row>
    <row r="28" spans="1:101" ht="25.5" customHeight="1" thickBot="1" x14ac:dyDescent="0.45">
      <c r="A28" s="63">
        <v>44402</v>
      </c>
      <c r="B28" s="44"/>
      <c r="C28" s="58">
        <v>2.3475000000000001</v>
      </c>
      <c r="D28" s="64">
        <f t="shared" si="0"/>
        <v>1700.0000000000348</v>
      </c>
      <c r="E28" s="58">
        <v>3.3344</v>
      </c>
      <c r="F28" s="64">
        <f t="shared" si="1"/>
        <v>2299.9999999999686</v>
      </c>
      <c r="G28" s="58">
        <v>3.3906000000000001</v>
      </c>
      <c r="H28" s="64">
        <f t="shared" si="2"/>
        <v>2899.9999999999027</v>
      </c>
      <c r="I28" s="58">
        <v>1.6720999999999999</v>
      </c>
      <c r="J28" s="64">
        <f t="shared" si="3"/>
        <v>1099.9999999998788</v>
      </c>
      <c r="K28" s="58">
        <v>2.7002000000000002</v>
      </c>
      <c r="L28" s="64">
        <f t="shared" si="4"/>
        <v>2099.9999999999909</v>
      </c>
      <c r="M28" s="58">
        <v>1.4839</v>
      </c>
      <c r="N28" s="64">
        <f t="shared" si="5"/>
        <v>799.99999999991189</v>
      </c>
      <c r="O28" s="58">
        <v>14528</v>
      </c>
      <c r="P28" s="67">
        <f t="shared" si="44"/>
        <v>7</v>
      </c>
      <c r="Q28" s="58">
        <v>1082</v>
      </c>
      <c r="R28" s="67">
        <f t="shared" si="6"/>
        <v>1</v>
      </c>
      <c r="S28" s="58">
        <v>1015.7</v>
      </c>
      <c r="T28" s="64">
        <f t="shared" si="45"/>
        <v>1100.0000000000227</v>
      </c>
      <c r="U28" s="58">
        <v>425960.5</v>
      </c>
      <c r="V28" s="67">
        <f t="shared" si="8"/>
        <v>328.59999999997672</v>
      </c>
      <c r="W28" s="58">
        <v>405.13</v>
      </c>
      <c r="X28" s="65">
        <f t="shared" si="9"/>
        <v>219.99999999997044</v>
      </c>
      <c r="Y28" s="58">
        <v>2.9157000000000002</v>
      </c>
      <c r="Z28" s="65">
        <f t="shared" si="10"/>
        <v>2000.0000000002237</v>
      </c>
      <c r="AA28" s="58">
        <v>403.87</v>
      </c>
      <c r="AB28" s="65">
        <f t="shared" si="11"/>
        <v>379.99999999999545</v>
      </c>
      <c r="AC28" s="58">
        <v>377.48</v>
      </c>
      <c r="AD28" s="65">
        <f t="shared" si="12"/>
        <v>220.00000000002728</v>
      </c>
      <c r="AE28" s="58">
        <v>574.59</v>
      </c>
      <c r="AF28" s="65">
        <f t="shared" si="13"/>
        <v>180.00000000006366</v>
      </c>
      <c r="AG28" s="58">
        <v>5423</v>
      </c>
      <c r="AH28" s="67">
        <f t="shared" si="14"/>
        <v>32</v>
      </c>
      <c r="AI28" s="58">
        <v>632.54999999999995</v>
      </c>
      <c r="AJ28" s="65">
        <f t="shared" si="15"/>
        <v>439.99999999994088</v>
      </c>
      <c r="AK28" s="58">
        <v>209.05</v>
      </c>
      <c r="AL28" s="65">
        <f t="shared" si="15"/>
        <v>180.00000000000682</v>
      </c>
      <c r="AM28" s="58">
        <v>199.12</v>
      </c>
      <c r="AN28" s="65">
        <f t="shared" si="15"/>
        <v>150.00000000000568</v>
      </c>
      <c r="AO28" s="58">
        <v>192.32</v>
      </c>
      <c r="AP28" s="65">
        <f t="shared" si="15"/>
        <v>129.99999999999545</v>
      </c>
      <c r="AQ28" s="58">
        <v>251.63</v>
      </c>
      <c r="AR28" s="65">
        <f t="shared" si="16"/>
        <v>159.99999999999659</v>
      </c>
      <c r="AS28" s="58">
        <v>377.81</v>
      </c>
      <c r="AT28" s="65">
        <f t="shared" si="17"/>
        <v>180.00000000000682</v>
      </c>
      <c r="AU28" s="58">
        <v>288.25</v>
      </c>
      <c r="AV28" s="65">
        <f t="shared" si="18"/>
        <v>180.00000000000682</v>
      </c>
      <c r="AW28" s="58">
        <v>322.51</v>
      </c>
      <c r="AX28" s="65">
        <f t="shared" si="19"/>
        <v>99.999999999965894</v>
      </c>
      <c r="AY28" s="58">
        <v>362.75</v>
      </c>
      <c r="AZ28" s="65">
        <f t="shared" si="20"/>
        <v>29.999999999972715</v>
      </c>
      <c r="BA28" s="58">
        <v>381.9</v>
      </c>
      <c r="BB28" s="65">
        <f t="shared" si="21"/>
        <v>19.99999999998181</v>
      </c>
      <c r="BC28" s="58">
        <v>244.48</v>
      </c>
      <c r="BD28" s="65">
        <f t="shared" si="22"/>
        <v>39.999999999992042</v>
      </c>
      <c r="BE28" s="59">
        <v>41198</v>
      </c>
      <c r="BF28" s="67">
        <f t="shared" si="39"/>
        <v>30</v>
      </c>
      <c r="BG28" s="60">
        <v>235.16</v>
      </c>
      <c r="BH28" s="65">
        <f t="shared" si="23"/>
        <v>39.999999999992042</v>
      </c>
      <c r="BI28" s="60">
        <v>293.91000000000003</v>
      </c>
      <c r="BJ28" s="65">
        <f t="shared" si="40"/>
        <v>30.000000000029559</v>
      </c>
      <c r="BK28" s="60">
        <v>237.73</v>
      </c>
      <c r="BL28" s="65">
        <f t="shared" si="24"/>
        <v>30.000000000001137</v>
      </c>
      <c r="BM28" s="60">
        <v>224.85</v>
      </c>
      <c r="BN28" s="65">
        <f t="shared" si="25"/>
        <v>39.999999999992042</v>
      </c>
      <c r="BO28" s="60">
        <v>288.60000000000002</v>
      </c>
      <c r="BP28" s="65">
        <f t="shared" si="26"/>
        <v>30.000000000029559</v>
      </c>
      <c r="BQ28" s="60">
        <v>46054</v>
      </c>
      <c r="BR28" s="65">
        <f t="shared" si="27"/>
        <v>31</v>
      </c>
      <c r="BS28" s="60">
        <v>201.55</v>
      </c>
      <c r="BT28" s="65">
        <f t="shared" si="42"/>
        <v>30.000000000001137</v>
      </c>
      <c r="BU28" s="60">
        <v>41762</v>
      </c>
      <c r="BV28" s="65">
        <f t="shared" si="29"/>
        <v>29</v>
      </c>
      <c r="BW28" s="60">
        <v>232.58</v>
      </c>
      <c r="BX28" s="65">
        <f t="shared" si="30"/>
        <v>10.000000000019327</v>
      </c>
      <c r="BY28" s="60">
        <v>61544</v>
      </c>
      <c r="BZ28" s="67">
        <f t="shared" si="31"/>
        <v>27</v>
      </c>
      <c r="CA28" s="60">
        <v>32930.199999999997</v>
      </c>
      <c r="CB28" s="67">
        <f t="shared" si="32"/>
        <v>40</v>
      </c>
      <c r="CC28" s="60">
        <v>12409.5</v>
      </c>
      <c r="CD28" s="67">
        <f t="shared" si="33"/>
        <v>8.3999999999996362</v>
      </c>
      <c r="CE28" s="60">
        <v>6555.5</v>
      </c>
      <c r="CF28" s="67">
        <f t="shared" si="34"/>
        <v>3.8999999999996362</v>
      </c>
      <c r="CG28" s="60">
        <v>60477.599999999999</v>
      </c>
      <c r="CH28" s="67">
        <f t="shared" si="35"/>
        <v>39.400000000001455</v>
      </c>
      <c r="CI28" s="60">
        <v>956322</v>
      </c>
      <c r="CJ28" s="67">
        <f t="shared" si="36"/>
        <v>262</v>
      </c>
      <c r="CK28" s="60">
        <v>781.53</v>
      </c>
      <c r="CL28" s="64">
        <f t="shared" si="37"/>
        <v>720.00000000002728</v>
      </c>
      <c r="CM28" s="65">
        <f t="shared" si="41"/>
        <v>70</v>
      </c>
      <c r="CN28" s="62">
        <v>9</v>
      </c>
      <c r="CO28" s="62">
        <v>27</v>
      </c>
      <c r="CP28" s="68">
        <v>10934</v>
      </c>
      <c r="CQ28" s="67">
        <f t="shared" si="38"/>
        <v>46</v>
      </c>
      <c r="CR28" s="68">
        <v>14819</v>
      </c>
      <c r="CS28" s="67">
        <f t="shared" si="38"/>
        <v>24</v>
      </c>
      <c r="CT28" s="75">
        <v>6781</v>
      </c>
      <c r="CU28" s="67">
        <f t="shared" si="38"/>
        <v>6</v>
      </c>
      <c r="CV28" s="68">
        <v>16145</v>
      </c>
      <c r="CW28" s="67">
        <f t="shared" si="38"/>
        <v>40</v>
      </c>
    </row>
    <row r="29" spans="1:101" ht="25.5" customHeight="1" thickBot="1" x14ac:dyDescent="0.45">
      <c r="A29" s="63">
        <v>44403</v>
      </c>
      <c r="B29" s="44"/>
      <c r="C29" s="58">
        <v>2.3492000000000002</v>
      </c>
      <c r="D29" s="64">
        <f t="shared" si="0"/>
        <v>1700.0000000000348</v>
      </c>
      <c r="E29" s="58">
        <v>3.3369</v>
      </c>
      <c r="F29" s="64">
        <f t="shared" si="1"/>
        <v>2499.9999999999468</v>
      </c>
      <c r="G29" s="58">
        <v>3.3934000000000002</v>
      </c>
      <c r="H29" s="64">
        <f t="shared" si="2"/>
        <v>2800.0000000001355</v>
      </c>
      <c r="I29" s="58">
        <v>1.6733</v>
      </c>
      <c r="J29" s="64">
        <f t="shared" si="3"/>
        <v>1200.0000000000898</v>
      </c>
      <c r="K29" s="58">
        <v>2.7025999999999999</v>
      </c>
      <c r="L29" s="64">
        <f t="shared" si="4"/>
        <v>2399.9999999997358</v>
      </c>
      <c r="M29" s="58">
        <v>1.4846999999999999</v>
      </c>
      <c r="N29" s="64">
        <f t="shared" si="5"/>
        <v>799.99999999991189</v>
      </c>
      <c r="O29" s="58">
        <v>14534</v>
      </c>
      <c r="P29" s="67">
        <f t="shared" si="44"/>
        <v>6</v>
      </c>
      <c r="Q29" s="58">
        <v>1083</v>
      </c>
      <c r="R29" s="67">
        <f t="shared" si="6"/>
        <v>1</v>
      </c>
      <c r="S29" s="58">
        <v>1016.6</v>
      </c>
      <c r="T29" s="64">
        <f t="shared" si="45"/>
        <v>899.99999999997726</v>
      </c>
      <c r="U29" s="58">
        <v>426282.2</v>
      </c>
      <c r="V29" s="67">
        <f t="shared" si="8"/>
        <v>321.70000000001164</v>
      </c>
      <c r="W29" s="58">
        <v>405.38</v>
      </c>
      <c r="X29" s="65">
        <f t="shared" si="9"/>
        <v>250</v>
      </c>
      <c r="Y29" s="58">
        <v>2.9180999999999999</v>
      </c>
      <c r="Z29" s="65">
        <f t="shared" si="10"/>
        <v>2399.9999999997358</v>
      </c>
      <c r="AA29" s="58">
        <v>404.09</v>
      </c>
      <c r="AB29" s="65">
        <f t="shared" si="11"/>
        <v>219.99999999997044</v>
      </c>
      <c r="AC29" s="58">
        <v>377.71</v>
      </c>
      <c r="AD29" s="65">
        <f t="shared" si="12"/>
        <v>229.99999999996135</v>
      </c>
      <c r="AE29" s="58">
        <v>574.79999999999995</v>
      </c>
      <c r="AF29" s="65">
        <f t="shared" si="13"/>
        <v>209.99999999992269</v>
      </c>
      <c r="AG29" s="58">
        <v>5461</v>
      </c>
      <c r="AH29" s="67">
        <f t="shared" si="14"/>
        <v>38</v>
      </c>
      <c r="AI29" s="58">
        <v>632.76</v>
      </c>
      <c r="AJ29" s="65">
        <f t="shared" si="15"/>
        <v>210.00000000003638</v>
      </c>
      <c r="AK29" s="58">
        <v>209.23</v>
      </c>
      <c r="AL29" s="65">
        <f t="shared" si="15"/>
        <v>179.9999999999784</v>
      </c>
      <c r="AM29" s="58">
        <v>199.27</v>
      </c>
      <c r="AN29" s="65">
        <f t="shared" si="15"/>
        <v>150.00000000000568</v>
      </c>
      <c r="AO29" s="58">
        <v>192.46</v>
      </c>
      <c r="AP29" s="65">
        <f t="shared" si="15"/>
        <v>140.00000000001478</v>
      </c>
      <c r="AQ29" s="58">
        <v>251.74</v>
      </c>
      <c r="AR29" s="65">
        <f t="shared" si="16"/>
        <v>110.00000000001364</v>
      </c>
      <c r="AS29" s="58">
        <v>377.96</v>
      </c>
      <c r="AT29" s="65">
        <f t="shared" si="17"/>
        <v>149.99999999997726</v>
      </c>
      <c r="AU29" s="58">
        <v>288.35000000000002</v>
      </c>
      <c r="AV29" s="65">
        <f t="shared" si="18"/>
        <v>100.00000000002274</v>
      </c>
      <c r="AW29" s="58">
        <v>322.66000000000003</v>
      </c>
      <c r="AX29" s="65">
        <f t="shared" si="19"/>
        <v>150.00000000003411</v>
      </c>
      <c r="AY29" s="58">
        <v>362.81</v>
      </c>
      <c r="AZ29" s="65">
        <f t="shared" si="20"/>
        <v>60.000000000002274</v>
      </c>
      <c r="BA29" s="58">
        <v>381.95</v>
      </c>
      <c r="BB29" s="65">
        <f t="shared" si="21"/>
        <v>50.000000000011369</v>
      </c>
      <c r="BC29" s="58">
        <v>244.54</v>
      </c>
      <c r="BD29" s="65">
        <f t="shared" si="22"/>
        <v>60.000000000002274</v>
      </c>
      <c r="BE29" s="59">
        <v>41213</v>
      </c>
      <c r="BF29" s="67">
        <f t="shared" si="39"/>
        <v>15</v>
      </c>
      <c r="BG29" s="60">
        <v>235.19</v>
      </c>
      <c r="BH29" s="65">
        <f t="shared" si="23"/>
        <v>30.000000000001137</v>
      </c>
      <c r="BI29" s="60">
        <v>293.94</v>
      </c>
      <c r="BJ29" s="65">
        <f t="shared" si="40"/>
        <v>29.999999999972715</v>
      </c>
      <c r="BK29" s="60">
        <v>237.75</v>
      </c>
      <c r="BL29" s="65">
        <f t="shared" si="24"/>
        <v>20.000000000010232</v>
      </c>
      <c r="BM29" s="60">
        <v>224.88</v>
      </c>
      <c r="BN29" s="65">
        <f t="shared" si="25"/>
        <v>30.000000000001137</v>
      </c>
      <c r="BO29" s="60">
        <v>288.63</v>
      </c>
      <c r="BP29" s="65">
        <f t="shared" si="26"/>
        <v>29.999999999972715</v>
      </c>
      <c r="BQ29" s="60">
        <v>46082</v>
      </c>
      <c r="BR29" s="65">
        <f t="shared" si="27"/>
        <v>28</v>
      </c>
      <c r="BS29" s="60">
        <v>201.57</v>
      </c>
      <c r="BT29" s="65">
        <f t="shared" si="42"/>
        <v>19.99999999998181</v>
      </c>
      <c r="BU29" s="60">
        <v>41795</v>
      </c>
      <c r="BV29" s="65">
        <f t="shared" si="29"/>
        <v>33</v>
      </c>
      <c r="BW29" s="60">
        <v>232.59</v>
      </c>
      <c r="BX29" s="65">
        <f t="shared" si="30"/>
        <v>9.9999999999909051</v>
      </c>
      <c r="BY29" s="60">
        <v>61590</v>
      </c>
      <c r="BZ29" s="67">
        <f t="shared" si="31"/>
        <v>46</v>
      </c>
      <c r="CA29" s="60">
        <v>32972.800000000003</v>
      </c>
      <c r="CB29" s="67">
        <f t="shared" si="32"/>
        <v>42.600000000005821</v>
      </c>
      <c r="CC29" s="60">
        <v>12427.7</v>
      </c>
      <c r="CD29" s="67">
        <f t="shared" si="33"/>
        <v>18.200000000000728</v>
      </c>
      <c r="CE29" s="60">
        <v>6555.9</v>
      </c>
      <c r="CF29" s="67">
        <f t="shared" si="34"/>
        <v>0.3999999999996362</v>
      </c>
      <c r="CG29" s="60">
        <v>60532.5</v>
      </c>
      <c r="CH29" s="67">
        <f t="shared" si="35"/>
        <v>54.900000000001455</v>
      </c>
      <c r="CI29" s="60">
        <v>956635</v>
      </c>
      <c r="CJ29" s="67">
        <f t="shared" si="36"/>
        <v>313</v>
      </c>
      <c r="CK29" s="60">
        <v>782.27</v>
      </c>
      <c r="CL29" s="64">
        <f t="shared" si="37"/>
        <v>740.00000000000909</v>
      </c>
      <c r="CM29" s="65">
        <f t="shared" si="41"/>
        <v>75</v>
      </c>
      <c r="CN29" s="62">
        <v>9</v>
      </c>
      <c r="CO29" s="62">
        <v>27</v>
      </c>
      <c r="CP29" s="68">
        <v>10982</v>
      </c>
      <c r="CQ29" s="67">
        <f t="shared" si="38"/>
        <v>48</v>
      </c>
      <c r="CR29" s="68">
        <v>14846</v>
      </c>
      <c r="CS29" s="67">
        <f t="shared" si="38"/>
        <v>27</v>
      </c>
      <c r="CT29" s="75">
        <v>6783</v>
      </c>
      <c r="CU29" s="67">
        <f t="shared" si="38"/>
        <v>2</v>
      </c>
      <c r="CV29" s="68">
        <v>16198</v>
      </c>
      <c r="CW29" s="67">
        <f t="shared" si="38"/>
        <v>53</v>
      </c>
    </row>
    <row r="30" spans="1:101" ht="25.5" customHeight="1" thickBot="1" x14ac:dyDescent="0.45">
      <c r="A30" s="63">
        <v>44404</v>
      </c>
      <c r="B30" s="44"/>
      <c r="C30" s="58">
        <v>2.3506</v>
      </c>
      <c r="D30" s="64">
        <f t="shared" si="0"/>
        <v>1399.9999999998458</v>
      </c>
      <c r="E30" s="58">
        <v>3.3391999999999999</v>
      </c>
      <c r="F30" s="64">
        <f t="shared" si="1"/>
        <v>2299.9999999999686</v>
      </c>
      <c r="G30" s="58">
        <v>3.3957000000000002</v>
      </c>
      <c r="H30" s="64">
        <f t="shared" si="2"/>
        <v>2299.9999999999686</v>
      </c>
      <c r="I30" s="58">
        <v>1.6745000000000001</v>
      </c>
      <c r="J30" s="64">
        <f t="shared" si="3"/>
        <v>1200.0000000000898</v>
      </c>
      <c r="K30" s="58">
        <v>2.7046000000000001</v>
      </c>
      <c r="L30" s="64">
        <f t="shared" si="4"/>
        <v>2000.0000000002237</v>
      </c>
      <c r="M30" s="58">
        <v>1.4854000000000001</v>
      </c>
      <c r="N30" s="64">
        <f t="shared" si="5"/>
        <v>700.00000000014495</v>
      </c>
      <c r="O30" s="58">
        <v>14536</v>
      </c>
      <c r="P30" s="67">
        <f t="shared" si="44"/>
        <v>2</v>
      </c>
      <c r="Q30" s="58">
        <v>1085</v>
      </c>
      <c r="R30" s="67">
        <f t="shared" si="6"/>
        <v>2</v>
      </c>
      <c r="S30" s="58">
        <v>1017.2</v>
      </c>
      <c r="T30" s="64">
        <f t="shared" si="45"/>
        <v>600.00000000002274</v>
      </c>
      <c r="U30" s="58">
        <v>426523.8</v>
      </c>
      <c r="V30" s="67">
        <f t="shared" si="8"/>
        <v>241.59999999997672</v>
      </c>
      <c r="W30" s="58">
        <v>405.59</v>
      </c>
      <c r="X30" s="65">
        <f t="shared" si="9"/>
        <v>209.99999999997954</v>
      </c>
      <c r="Y30" s="58">
        <v>2.92</v>
      </c>
      <c r="Z30" s="65">
        <f t="shared" si="10"/>
        <v>1900.0000000000127</v>
      </c>
      <c r="AA30" s="58">
        <v>404.27</v>
      </c>
      <c r="AB30" s="65">
        <f t="shared" si="11"/>
        <v>180.00000000000682</v>
      </c>
      <c r="AC30" s="58">
        <v>377.89</v>
      </c>
      <c r="AD30" s="65">
        <f t="shared" si="12"/>
        <v>180.00000000000682</v>
      </c>
      <c r="AE30" s="58">
        <v>574.97</v>
      </c>
      <c r="AF30" s="65">
        <f t="shared" si="13"/>
        <v>170.00000000007276</v>
      </c>
      <c r="AG30" s="58">
        <v>5494</v>
      </c>
      <c r="AH30" s="67">
        <f t="shared" si="14"/>
        <v>33</v>
      </c>
      <c r="AI30" s="58">
        <v>633</v>
      </c>
      <c r="AJ30" s="65">
        <f t="shared" si="15"/>
        <v>240.00000000000909</v>
      </c>
      <c r="AK30" s="58">
        <v>209.39</v>
      </c>
      <c r="AL30" s="65">
        <f t="shared" si="15"/>
        <v>159.99999999999659</v>
      </c>
      <c r="AM30" s="58">
        <v>199.4</v>
      </c>
      <c r="AN30" s="65">
        <f t="shared" si="15"/>
        <v>129.99999999999545</v>
      </c>
      <c r="AO30" s="58">
        <v>192.59</v>
      </c>
      <c r="AP30" s="65">
        <f t="shared" si="15"/>
        <v>129.99999999999545</v>
      </c>
      <c r="AQ30" s="58">
        <v>251.83</v>
      </c>
      <c r="AR30" s="65">
        <f t="shared" si="16"/>
        <v>90.000000000003411</v>
      </c>
      <c r="AS30" s="58">
        <v>378.05</v>
      </c>
      <c r="AT30" s="65">
        <f t="shared" si="17"/>
        <v>90.000000000031832</v>
      </c>
      <c r="AU30" s="58">
        <v>288.43</v>
      </c>
      <c r="AV30" s="65">
        <f t="shared" si="18"/>
        <v>79.999999999984084</v>
      </c>
      <c r="AW30" s="58">
        <v>322.77</v>
      </c>
      <c r="AX30" s="65">
        <f t="shared" si="19"/>
        <v>109.9999999999568</v>
      </c>
      <c r="AY30" s="58">
        <v>362.84</v>
      </c>
      <c r="AZ30" s="65">
        <f t="shared" si="20"/>
        <v>29.999999999972715</v>
      </c>
      <c r="BA30" s="58">
        <v>381.97</v>
      </c>
      <c r="BB30" s="65">
        <f t="shared" si="21"/>
        <v>20.000000000038654</v>
      </c>
      <c r="BC30" s="58">
        <v>244.6</v>
      </c>
      <c r="BD30" s="65">
        <f t="shared" si="22"/>
        <v>60.000000000002274</v>
      </c>
      <c r="BE30" s="59">
        <v>41227</v>
      </c>
      <c r="BF30" s="67">
        <f t="shared" si="39"/>
        <v>14</v>
      </c>
      <c r="BG30" s="60">
        <v>235.22</v>
      </c>
      <c r="BH30" s="65">
        <f t="shared" si="23"/>
        <v>30.000000000001137</v>
      </c>
      <c r="BI30" s="60">
        <v>293.95999999999998</v>
      </c>
      <c r="BJ30" s="65">
        <f t="shared" si="40"/>
        <v>19.99999999998181</v>
      </c>
      <c r="BK30" s="60">
        <v>237.77</v>
      </c>
      <c r="BL30" s="65">
        <f t="shared" si="24"/>
        <v>20.000000000010232</v>
      </c>
      <c r="BM30" s="60">
        <v>224.92</v>
      </c>
      <c r="BN30" s="65">
        <f t="shared" si="25"/>
        <v>39.999999999992042</v>
      </c>
      <c r="BO30" s="60">
        <v>288.66000000000003</v>
      </c>
      <c r="BP30" s="65">
        <f t="shared" si="26"/>
        <v>30.000000000029559</v>
      </c>
      <c r="BQ30" s="60">
        <v>46112</v>
      </c>
      <c r="BR30" s="65">
        <f t="shared" si="27"/>
        <v>30</v>
      </c>
      <c r="BS30" s="60">
        <v>201.6</v>
      </c>
      <c r="BT30" s="65">
        <f t="shared" si="42"/>
        <v>30.000000000001137</v>
      </c>
      <c r="BU30" s="60">
        <v>41826</v>
      </c>
      <c r="BV30" s="65">
        <f t="shared" si="29"/>
        <v>31</v>
      </c>
      <c r="BW30" s="60">
        <v>232.61</v>
      </c>
      <c r="BX30" s="65">
        <f t="shared" si="30"/>
        <v>20.000000000010232</v>
      </c>
      <c r="BY30" s="60">
        <v>61627</v>
      </c>
      <c r="BZ30" s="67">
        <f t="shared" si="31"/>
        <v>37</v>
      </c>
      <c r="CA30" s="60">
        <v>32998</v>
      </c>
      <c r="CB30" s="67">
        <f t="shared" si="32"/>
        <v>25.19999999999709</v>
      </c>
      <c r="CC30" s="60">
        <v>12431.5</v>
      </c>
      <c r="CD30" s="67">
        <f t="shared" si="33"/>
        <v>3.7999999999992724</v>
      </c>
      <c r="CE30" s="60">
        <v>6565.2</v>
      </c>
      <c r="CF30" s="67">
        <f t="shared" si="34"/>
        <v>9.3000000000001819</v>
      </c>
      <c r="CG30" s="60">
        <v>60559.4</v>
      </c>
      <c r="CH30" s="67">
        <f t="shared" si="35"/>
        <v>26.900000000001455</v>
      </c>
      <c r="CI30" s="60">
        <v>956923</v>
      </c>
      <c r="CJ30" s="67">
        <f t="shared" si="36"/>
        <v>288</v>
      </c>
      <c r="CK30" s="60">
        <v>782.9</v>
      </c>
      <c r="CL30" s="64">
        <f t="shared" si="37"/>
        <v>629.99999999999545</v>
      </c>
      <c r="CM30" s="65">
        <f t="shared" si="41"/>
        <v>56</v>
      </c>
      <c r="CN30" s="62">
        <v>9</v>
      </c>
      <c r="CO30" s="62">
        <v>27</v>
      </c>
      <c r="CP30" s="68">
        <v>11021</v>
      </c>
      <c r="CQ30" s="67">
        <f t="shared" si="38"/>
        <v>39</v>
      </c>
      <c r="CR30" s="68">
        <v>14863</v>
      </c>
      <c r="CS30" s="67">
        <f t="shared" si="38"/>
        <v>17</v>
      </c>
      <c r="CT30" s="75">
        <v>6784</v>
      </c>
      <c r="CU30" s="67">
        <f t="shared" si="38"/>
        <v>1</v>
      </c>
      <c r="CV30" s="68">
        <v>16232</v>
      </c>
      <c r="CW30" s="67">
        <f t="shared" si="38"/>
        <v>34</v>
      </c>
    </row>
    <row r="31" spans="1:101" ht="25.5" customHeight="1" thickBot="1" x14ac:dyDescent="0.45">
      <c r="A31" s="63">
        <v>44405</v>
      </c>
      <c r="B31" s="66"/>
      <c r="C31" s="58"/>
      <c r="D31" s="64" t="str">
        <f t="shared" si="0"/>
        <v>0</v>
      </c>
      <c r="E31" s="58"/>
      <c r="F31" s="64" t="str">
        <f t="shared" si="1"/>
        <v>0</v>
      </c>
      <c r="G31" s="58"/>
      <c r="H31" s="64" t="str">
        <f t="shared" si="2"/>
        <v>0</v>
      </c>
      <c r="I31" s="58"/>
      <c r="J31" s="64" t="str">
        <f t="shared" si="3"/>
        <v>0</v>
      </c>
      <c r="K31" s="58"/>
      <c r="L31" s="64" t="str">
        <f t="shared" si="4"/>
        <v>0</v>
      </c>
      <c r="M31" s="58"/>
      <c r="N31" s="64" t="str">
        <f t="shared" si="5"/>
        <v/>
      </c>
      <c r="O31" s="58"/>
      <c r="P31" s="67" t="str">
        <f t="shared" si="44"/>
        <v/>
      </c>
      <c r="Q31" s="58"/>
      <c r="R31" s="67" t="str">
        <f t="shared" si="6"/>
        <v/>
      </c>
      <c r="S31" s="58"/>
      <c r="T31" s="64" t="str">
        <f t="shared" si="45"/>
        <v>0</v>
      </c>
      <c r="U31" s="58"/>
      <c r="V31" s="67" t="str">
        <f t="shared" si="8"/>
        <v/>
      </c>
      <c r="W31" s="58"/>
      <c r="X31" s="65" t="str">
        <f t="shared" si="9"/>
        <v/>
      </c>
      <c r="Y31" s="58"/>
      <c r="Z31" s="65" t="str">
        <f t="shared" si="10"/>
        <v/>
      </c>
      <c r="AA31" s="58"/>
      <c r="AB31" s="65" t="str">
        <f t="shared" si="11"/>
        <v/>
      </c>
      <c r="AC31" s="58"/>
      <c r="AD31" s="65" t="str">
        <f t="shared" si="12"/>
        <v/>
      </c>
      <c r="AE31" s="58"/>
      <c r="AF31" s="65" t="str">
        <f t="shared" si="13"/>
        <v/>
      </c>
      <c r="AG31" s="58"/>
      <c r="AH31" s="67" t="str">
        <f t="shared" si="14"/>
        <v/>
      </c>
      <c r="AI31" s="58"/>
      <c r="AJ31" s="65" t="str">
        <f t="shared" si="15"/>
        <v/>
      </c>
      <c r="AK31" s="58"/>
      <c r="AL31" s="65" t="str">
        <f t="shared" si="15"/>
        <v/>
      </c>
      <c r="AM31" s="58"/>
      <c r="AN31" s="65" t="str">
        <f t="shared" si="15"/>
        <v/>
      </c>
      <c r="AO31" s="58"/>
      <c r="AP31" s="65" t="str">
        <f t="shared" si="15"/>
        <v/>
      </c>
      <c r="AQ31" s="58"/>
      <c r="AR31" s="65" t="str">
        <f t="shared" si="16"/>
        <v/>
      </c>
      <c r="AS31" s="58"/>
      <c r="AT31" s="65" t="str">
        <f t="shared" si="17"/>
        <v/>
      </c>
      <c r="AU31" s="58"/>
      <c r="AV31" s="65" t="str">
        <f t="shared" si="18"/>
        <v/>
      </c>
      <c r="AW31" s="58"/>
      <c r="AX31" s="65" t="str">
        <f t="shared" si="19"/>
        <v/>
      </c>
      <c r="AY31" s="58"/>
      <c r="AZ31" s="65" t="str">
        <f t="shared" si="20"/>
        <v/>
      </c>
      <c r="BA31" s="58"/>
      <c r="BB31" s="65" t="str">
        <f t="shared" si="21"/>
        <v/>
      </c>
      <c r="BC31" s="58"/>
      <c r="BD31" s="65" t="str">
        <f t="shared" si="22"/>
        <v/>
      </c>
      <c r="BE31" s="59"/>
      <c r="BF31" s="67" t="str">
        <f t="shared" si="39"/>
        <v/>
      </c>
      <c r="BG31" s="60"/>
      <c r="BH31" s="65" t="str">
        <f t="shared" si="23"/>
        <v/>
      </c>
      <c r="BI31" s="60"/>
      <c r="BJ31" s="65" t="str">
        <f t="shared" si="40"/>
        <v/>
      </c>
      <c r="BK31" s="60"/>
      <c r="BL31" s="65" t="str">
        <f t="shared" si="24"/>
        <v/>
      </c>
      <c r="BM31" s="60"/>
      <c r="BN31" s="65" t="str">
        <f t="shared" si="25"/>
        <v/>
      </c>
      <c r="BO31" s="60"/>
      <c r="BP31" s="65" t="str">
        <f t="shared" si="26"/>
        <v/>
      </c>
      <c r="BQ31" s="60"/>
      <c r="BR31" s="65" t="str">
        <f t="shared" si="27"/>
        <v/>
      </c>
      <c r="BS31" s="60"/>
      <c r="BT31" s="65" t="str">
        <f t="shared" si="42"/>
        <v/>
      </c>
      <c r="BU31" s="60"/>
      <c r="BV31" s="65" t="str">
        <f t="shared" si="29"/>
        <v/>
      </c>
      <c r="BW31" s="60"/>
      <c r="BX31" s="65" t="str">
        <f t="shared" si="30"/>
        <v/>
      </c>
      <c r="BY31" s="60"/>
      <c r="BZ31" s="67" t="str">
        <f t="shared" si="31"/>
        <v/>
      </c>
      <c r="CA31" s="60"/>
      <c r="CB31" s="67" t="str">
        <f t="shared" si="32"/>
        <v/>
      </c>
      <c r="CC31" s="60"/>
      <c r="CD31" s="67" t="str">
        <f t="shared" si="33"/>
        <v/>
      </c>
      <c r="CE31" s="60"/>
      <c r="CF31" s="67" t="str">
        <f t="shared" si="34"/>
        <v/>
      </c>
      <c r="CG31" s="60"/>
      <c r="CH31" s="67" t="str">
        <f t="shared" si="35"/>
        <v/>
      </c>
      <c r="CI31" s="60"/>
      <c r="CJ31" s="67" t="str">
        <f t="shared" si="36"/>
        <v/>
      </c>
      <c r="CK31" s="60"/>
      <c r="CL31" s="64" t="str">
        <f t="shared" si="37"/>
        <v/>
      </c>
      <c r="CM31" s="65" t="e">
        <f t="shared" si="41"/>
        <v>#VALUE!</v>
      </c>
      <c r="CN31" s="62">
        <v>0</v>
      </c>
      <c r="CO31" s="62">
        <v>0</v>
      </c>
      <c r="CP31" s="68"/>
      <c r="CQ31" s="67" t="str">
        <f t="shared" si="38"/>
        <v/>
      </c>
      <c r="CR31" s="68"/>
      <c r="CS31" s="67" t="str">
        <f t="shared" si="38"/>
        <v/>
      </c>
      <c r="CT31" s="75"/>
      <c r="CU31" s="67" t="str">
        <f t="shared" si="38"/>
        <v/>
      </c>
      <c r="CV31" s="68"/>
      <c r="CW31" s="67" t="str">
        <f t="shared" si="38"/>
        <v/>
      </c>
    </row>
    <row r="32" spans="1:101" ht="25.5" customHeight="1" thickBot="1" x14ac:dyDescent="0.45">
      <c r="A32" s="63">
        <v>44406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4">
        <f t="shared" si="45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44407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4">
        <f t="shared" si="45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44408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4">
        <f t="shared" si="45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6">IF((CA34-CA33&lt;0), "",CA34-CA33)</f>
        <v>0</v>
      </c>
      <c r="CC34" s="60"/>
      <c r="CD34" s="67">
        <f t="shared" si="33"/>
        <v>0</v>
      </c>
      <c r="CE34" s="60"/>
      <c r="CF34" s="67">
        <f t="shared" ref="CF34" si="47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8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1.75" x14ac:dyDescent="0.4">
      <c r="AX37" s="65"/>
    </row>
    <row r="38" spans="1:101" x14ac:dyDescent="0.3">
      <c r="Q38" s="71"/>
      <c r="R38" s="57"/>
      <c r="AK38" s="61"/>
      <c r="CJ38" s="61"/>
      <c r="CL38" s="72"/>
      <c r="CM38" s="72"/>
      <c r="CN38" s="57"/>
      <c r="CO38" s="57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C35" sqref="C3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44012</v>
      </c>
      <c r="B7" s="40">
        <v>0</v>
      </c>
      <c r="C7" s="40">
        <v>10</v>
      </c>
      <c r="D7" s="40">
        <v>25</v>
      </c>
      <c r="E7" s="41">
        <v>85</v>
      </c>
      <c r="F7" s="41">
        <v>5376</v>
      </c>
      <c r="G7" s="41">
        <v>40</v>
      </c>
      <c r="H7" s="41">
        <v>1539</v>
      </c>
      <c r="I7" s="41">
        <v>85</v>
      </c>
      <c r="J7" s="41">
        <v>360</v>
      </c>
      <c r="K7" s="42">
        <v>85</v>
      </c>
      <c r="L7" s="42">
        <v>80</v>
      </c>
      <c r="M7" s="42">
        <v>1349</v>
      </c>
      <c r="N7" s="39">
        <v>85</v>
      </c>
      <c r="O7" s="39">
        <v>65</v>
      </c>
      <c r="P7" s="39">
        <v>85</v>
      </c>
      <c r="Q7" s="39">
        <v>3884</v>
      </c>
      <c r="R7" s="78">
        <v>70</v>
      </c>
      <c r="S7" s="78">
        <v>198</v>
      </c>
    </row>
    <row r="8" spans="1:20" x14ac:dyDescent="0.25">
      <c r="A8" s="73">
        <v>44013</v>
      </c>
      <c r="B8" s="40">
        <v>0</v>
      </c>
      <c r="C8" s="40">
        <v>10</v>
      </c>
      <c r="D8" s="40">
        <v>25</v>
      </c>
      <c r="E8" s="41">
        <v>85</v>
      </c>
      <c r="F8" s="41">
        <v>5379</v>
      </c>
      <c r="G8" s="41">
        <v>30</v>
      </c>
      <c r="H8" s="41">
        <v>1540</v>
      </c>
      <c r="I8" s="41">
        <v>85</v>
      </c>
      <c r="J8" s="41">
        <v>360</v>
      </c>
      <c r="K8" s="42">
        <v>85</v>
      </c>
      <c r="L8" s="42">
        <v>80</v>
      </c>
      <c r="M8" s="42">
        <v>1349</v>
      </c>
      <c r="N8" s="39">
        <v>85</v>
      </c>
      <c r="O8" s="39">
        <v>60</v>
      </c>
      <c r="P8" s="39">
        <v>85</v>
      </c>
      <c r="Q8" s="39">
        <v>3886</v>
      </c>
      <c r="R8" s="78">
        <v>70</v>
      </c>
      <c r="S8" s="78">
        <v>198</v>
      </c>
      <c r="T8">
        <f>S8-S7</f>
        <v>0</v>
      </c>
    </row>
    <row r="9" spans="1:20" x14ac:dyDescent="0.25">
      <c r="A9" s="73">
        <v>44014</v>
      </c>
      <c r="B9" s="40">
        <v>0</v>
      </c>
      <c r="C9" s="40">
        <v>10</v>
      </c>
      <c r="D9" s="40">
        <v>25</v>
      </c>
      <c r="E9" s="41">
        <v>85</v>
      </c>
      <c r="F9" s="41">
        <v>5384</v>
      </c>
      <c r="G9" s="41">
        <v>25</v>
      </c>
      <c r="H9" s="41">
        <v>1543</v>
      </c>
      <c r="I9" s="41">
        <v>85</v>
      </c>
      <c r="J9" s="41">
        <v>360</v>
      </c>
      <c r="K9" s="42">
        <v>85</v>
      </c>
      <c r="L9" s="42">
        <v>80</v>
      </c>
      <c r="M9" s="42">
        <v>1350</v>
      </c>
      <c r="N9" s="39">
        <v>85</v>
      </c>
      <c r="O9" s="39">
        <v>55</v>
      </c>
      <c r="P9" s="39">
        <v>85</v>
      </c>
      <c r="Q9" s="39">
        <v>3890</v>
      </c>
      <c r="R9" s="78">
        <v>70</v>
      </c>
      <c r="S9" s="78">
        <v>198</v>
      </c>
      <c r="T9">
        <f t="shared" ref="T9:T39" si="0">S9-S8</f>
        <v>0</v>
      </c>
    </row>
    <row r="10" spans="1:20" x14ac:dyDescent="0.25">
      <c r="A10" s="73">
        <v>44015</v>
      </c>
      <c r="B10" s="40">
        <v>0</v>
      </c>
      <c r="C10" s="40">
        <v>8</v>
      </c>
      <c r="D10" s="40">
        <v>20</v>
      </c>
      <c r="E10" s="41">
        <v>85</v>
      </c>
      <c r="F10" s="41">
        <v>5388</v>
      </c>
      <c r="G10" s="41">
        <v>17</v>
      </c>
      <c r="H10" s="41">
        <v>1545</v>
      </c>
      <c r="I10" s="41">
        <v>85</v>
      </c>
      <c r="J10" s="41">
        <v>361</v>
      </c>
      <c r="K10" s="42">
        <v>85</v>
      </c>
      <c r="L10" s="42">
        <v>80</v>
      </c>
      <c r="M10" s="42">
        <v>1350</v>
      </c>
      <c r="N10" s="39">
        <v>85</v>
      </c>
      <c r="O10" s="39">
        <v>50</v>
      </c>
      <c r="P10" s="39">
        <v>85</v>
      </c>
      <c r="Q10" s="39">
        <v>3894</v>
      </c>
      <c r="R10" s="78">
        <v>70</v>
      </c>
      <c r="S10" s="78">
        <v>198</v>
      </c>
      <c r="T10">
        <f t="shared" si="0"/>
        <v>0</v>
      </c>
    </row>
    <row r="11" spans="1:20" x14ac:dyDescent="0.25">
      <c r="A11" s="73">
        <v>44016</v>
      </c>
      <c r="B11" s="40">
        <v>0</v>
      </c>
      <c r="C11" s="40">
        <v>8</v>
      </c>
      <c r="D11" s="40">
        <v>20</v>
      </c>
      <c r="E11" s="41">
        <v>85</v>
      </c>
      <c r="F11" s="41">
        <v>5393</v>
      </c>
      <c r="G11" s="41">
        <v>9</v>
      </c>
      <c r="H11" s="41">
        <v>1547</v>
      </c>
      <c r="I11" s="41">
        <v>85</v>
      </c>
      <c r="J11" s="41">
        <v>362</v>
      </c>
      <c r="K11" s="42">
        <v>85</v>
      </c>
      <c r="L11" s="42">
        <v>75</v>
      </c>
      <c r="M11" s="42">
        <v>1352</v>
      </c>
      <c r="N11" s="39">
        <v>85</v>
      </c>
      <c r="O11" s="39">
        <v>48</v>
      </c>
      <c r="P11" s="39">
        <v>85</v>
      </c>
      <c r="Q11" s="39">
        <v>3898</v>
      </c>
      <c r="R11" s="78">
        <v>70</v>
      </c>
      <c r="S11" s="78">
        <v>198</v>
      </c>
      <c r="T11">
        <f t="shared" si="0"/>
        <v>0</v>
      </c>
    </row>
    <row r="12" spans="1:20" x14ac:dyDescent="0.25">
      <c r="A12" s="73">
        <v>44017</v>
      </c>
      <c r="B12" s="40">
        <v>0</v>
      </c>
      <c r="C12" s="40">
        <v>8</v>
      </c>
      <c r="D12" s="40">
        <v>20</v>
      </c>
      <c r="E12" s="41">
        <v>85</v>
      </c>
      <c r="F12" s="41">
        <v>5398</v>
      </c>
      <c r="G12" s="41">
        <v>0</v>
      </c>
      <c r="H12" s="41">
        <v>1550</v>
      </c>
      <c r="I12" s="41">
        <v>85</v>
      </c>
      <c r="J12" s="41">
        <v>363</v>
      </c>
      <c r="K12" s="42">
        <v>85</v>
      </c>
      <c r="L12" s="42">
        <v>74</v>
      </c>
      <c r="M12" s="42">
        <v>1353</v>
      </c>
      <c r="N12" s="39">
        <v>85</v>
      </c>
      <c r="O12" s="39">
        <v>45</v>
      </c>
      <c r="P12" s="39">
        <v>85</v>
      </c>
      <c r="Q12" s="39">
        <v>3900</v>
      </c>
      <c r="R12" s="78">
        <v>70</v>
      </c>
      <c r="S12" s="78">
        <v>198</v>
      </c>
      <c r="T12">
        <f t="shared" si="0"/>
        <v>0</v>
      </c>
    </row>
    <row r="13" spans="1:20" x14ac:dyDescent="0.25">
      <c r="A13" s="73">
        <v>44018</v>
      </c>
      <c r="B13" s="40">
        <v>0</v>
      </c>
      <c r="C13" s="40">
        <v>11</v>
      </c>
      <c r="D13" s="40">
        <v>27</v>
      </c>
      <c r="E13" s="41">
        <v>85</v>
      </c>
      <c r="F13" s="41">
        <v>5403</v>
      </c>
      <c r="G13" s="41">
        <v>0</v>
      </c>
      <c r="H13" s="41">
        <v>1553</v>
      </c>
      <c r="I13" s="41">
        <v>83</v>
      </c>
      <c r="J13" s="41">
        <v>365</v>
      </c>
      <c r="K13" s="42">
        <v>85</v>
      </c>
      <c r="L13" s="42">
        <v>74</v>
      </c>
      <c r="M13" s="42">
        <v>1353</v>
      </c>
      <c r="N13" s="39">
        <v>85</v>
      </c>
      <c r="O13" s="39">
        <v>40</v>
      </c>
      <c r="P13" s="39">
        <v>85</v>
      </c>
      <c r="Q13" s="39">
        <v>3905</v>
      </c>
      <c r="R13" s="78">
        <v>70</v>
      </c>
      <c r="S13" s="78">
        <v>198</v>
      </c>
      <c r="T13">
        <f t="shared" si="0"/>
        <v>0</v>
      </c>
    </row>
    <row r="14" spans="1:20" x14ac:dyDescent="0.25">
      <c r="A14" s="73">
        <v>44019</v>
      </c>
      <c r="B14" s="40">
        <v>0</v>
      </c>
      <c r="C14" s="40">
        <v>14</v>
      </c>
      <c r="D14" s="40">
        <v>31</v>
      </c>
      <c r="E14" s="41">
        <v>85</v>
      </c>
      <c r="F14" s="41">
        <v>5408</v>
      </c>
      <c r="G14" s="41">
        <v>0</v>
      </c>
      <c r="H14" s="41">
        <v>1556</v>
      </c>
      <c r="I14" s="41">
        <v>73</v>
      </c>
      <c r="J14" s="41">
        <v>365</v>
      </c>
      <c r="K14" s="42">
        <v>85</v>
      </c>
      <c r="L14" s="42">
        <v>70</v>
      </c>
      <c r="M14" s="42">
        <v>1355</v>
      </c>
      <c r="N14" s="39">
        <v>85</v>
      </c>
      <c r="O14" s="39">
        <v>35</v>
      </c>
      <c r="P14" s="39">
        <v>85</v>
      </c>
      <c r="Q14" s="39">
        <v>3909</v>
      </c>
      <c r="R14" s="78">
        <v>70</v>
      </c>
      <c r="S14" s="78">
        <v>198</v>
      </c>
      <c r="T14">
        <f t="shared" si="0"/>
        <v>0</v>
      </c>
    </row>
    <row r="15" spans="1:20" x14ac:dyDescent="0.25">
      <c r="A15" s="73">
        <v>44020</v>
      </c>
      <c r="B15" s="40">
        <v>0</v>
      </c>
      <c r="C15" s="40">
        <v>12</v>
      </c>
      <c r="D15" s="40">
        <v>29</v>
      </c>
      <c r="E15" s="41">
        <v>85</v>
      </c>
      <c r="F15" s="41">
        <v>5412</v>
      </c>
      <c r="G15" s="41">
        <v>0</v>
      </c>
      <c r="H15" s="41">
        <v>1561</v>
      </c>
      <c r="I15" s="41">
        <v>65</v>
      </c>
      <c r="J15" s="41">
        <v>366</v>
      </c>
      <c r="K15" s="42">
        <v>85</v>
      </c>
      <c r="L15" s="42">
        <v>70</v>
      </c>
      <c r="M15" s="42">
        <v>1355</v>
      </c>
      <c r="N15" s="39">
        <v>85</v>
      </c>
      <c r="O15" s="39">
        <v>30</v>
      </c>
      <c r="P15" s="39">
        <v>85</v>
      </c>
      <c r="Q15" s="39">
        <v>3914</v>
      </c>
      <c r="R15" s="78">
        <v>70</v>
      </c>
      <c r="S15" s="78">
        <v>198</v>
      </c>
      <c r="T15">
        <f t="shared" si="0"/>
        <v>0</v>
      </c>
    </row>
    <row r="16" spans="1:20" x14ac:dyDescent="0.25">
      <c r="A16" s="73">
        <v>44021</v>
      </c>
      <c r="B16" s="40">
        <v>0</v>
      </c>
      <c r="C16" s="40">
        <v>12</v>
      </c>
      <c r="D16" s="40">
        <v>29</v>
      </c>
      <c r="E16" s="41">
        <v>85</v>
      </c>
      <c r="F16" s="41">
        <v>5417</v>
      </c>
      <c r="G16" s="41">
        <v>0</v>
      </c>
      <c r="H16" s="41">
        <v>1563</v>
      </c>
      <c r="I16" s="41">
        <v>50</v>
      </c>
      <c r="J16" s="41">
        <v>367</v>
      </c>
      <c r="K16" s="42">
        <v>85</v>
      </c>
      <c r="L16" s="42">
        <v>70</v>
      </c>
      <c r="M16" s="42">
        <v>1356</v>
      </c>
      <c r="N16" s="39">
        <v>85</v>
      </c>
      <c r="O16" s="39">
        <v>20</v>
      </c>
      <c r="P16" s="39">
        <v>85</v>
      </c>
      <c r="Q16" s="39">
        <v>3918</v>
      </c>
      <c r="R16" s="78">
        <v>70</v>
      </c>
      <c r="S16" s="78">
        <v>198</v>
      </c>
      <c r="T16">
        <f t="shared" si="0"/>
        <v>0</v>
      </c>
    </row>
    <row r="17" spans="1:20" x14ac:dyDescent="0.25">
      <c r="A17" s="73">
        <v>44022</v>
      </c>
      <c r="B17" s="40">
        <v>0</v>
      </c>
      <c r="C17" s="40">
        <v>14</v>
      </c>
      <c r="D17" s="40">
        <v>46</v>
      </c>
      <c r="E17" s="41">
        <v>85</v>
      </c>
      <c r="F17" s="41">
        <v>5422</v>
      </c>
      <c r="G17" s="41">
        <v>0</v>
      </c>
      <c r="H17" s="41">
        <v>1566</v>
      </c>
      <c r="I17" s="41">
        <v>45</v>
      </c>
      <c r="J17" s="41">
        <v>367</v>
      </c>
      <c r="K17" s="42">
        <v>85</v>
      </c>
      <c r="L17" s="42">
        <v>70</v>
      </c>
      <c r="M17" s="42">
        <v>1356</v>
      </c>
      <c r="N17" s="39">
        <v>85</v>
      </c>
      <c r="O17" s="39">
        <v>20</v>
      </c>
      <c r="P17" s="39">
        <v>85</v>
      </c>
      <c r="Q17" s="39">
        <v>3923</v>
      </c>
      <c r="R17" s="78">
        <v>70</v>
      </c>
      <c r="S17" s="78">
        <v>198</v>
      </c>
      <c r="T17">
        <f t="shared" si="0"/>
        <v>0</v>
      </c>
    </row>
    <row r="18" spans="1:20" x14ac:dyDescent="0.25">
      <c r="A18" s="73">
        <v>44023</v>
      </c>
      <c r="B18" s="40">
        <v>0</v>
      </c>
      <c r="C18" s="40">
        <v>13</v>
      </c>
      <c r="D18" s="40">
        <v>45</v>
      </c>
      <c r="E18" s="41">
        <v>85</v>
      </c>
      <c r="F18" s="41">
        <v>5427</v>
      </c>
      <c r="G18" s="41">
        <v>0</v>
      </c>
      <c r="H18" s="41">
        <v>1568</v>
      </c>
      <c r="I18" s="41">
        <v>30</v>
      </c>
      <c r="J18" s="41">
        <v>369</v>
      </c>
      <c r="K18" s="42">
        <v>85</v>
      </c>
      <c r="L18" s="42">
        <v>70</v>
      </c>
      <c r="M18" s="42">
        <v>1358</v>
      </c>
      <c r="N18" s="39">
        <v>85</v>
      </c>
      <c r="O18" s="39">
        <v>15</v>
      </c>
      <c r="P18" s="39">
        <v>85</v>
      </c>
      <c r="Q18" s="39">
        <v>3926</v>
      </c>
      <c r="R18" s="78">
        <v>70</v>
      </c>
      <c r="S18" s="78">
        <v>198</v>
      </c>
      <c r="T18">
        <f t="shared" si="0"/>
        <v>0</v>
      </c>
    </row>
    <row r="19" spans="1:20" x14ac:dyDescent="0.25">
      <c r="A19" s="73">
        <v>44024</v>
      </c>
      <c r="B19" s="40">
        <v>0</v>
      </c>
      <c r="C19" s="40">
        <v>13</v>
      </c>
      <c r="D19" s="40">
        <v>45</v>
      </c>
      <c r="E19" s="41">
        <v>85</v>
      </c>
      <c r="F19" s="41">
        <v>5432</v>
      </c>
      <c r="G19" s="41">
        <v>0</v>
      </c>
      <c r="H19" s="41">
        <v>1571</v>
      </c>
      <c r="I19" s="41">
        <v>20</v>
      </c>
      <c r="J19" s="41">
        <v>369</v>
      </c>
      <c r="K19" s="42">
        <v>85</v>
      </c>
      <c r="L19" s="42">
        <v>70</v>
      </c>
      <c r="M19" s="42">
        <v>1358</v>
      </c>
      <c r="N19" s="39">
        <v>85</v>
      </c>
      <c r="O19" s="39">
        <v>10</v>
      </c>
      <c r="P19" s="39">
        <v>85</v>
      </c>
      <c r="Q19" s="39">
        <v>3929</v>
      </c>
      <c r="R19" s="78">
        <v>70</v>
      </c>
      <c r="S19" s="78">
        <v>198</v>
      </c>
      <c r="T19">
        <f t="shared" si="0"/>
        <v>0</v>
      </c>
    </row>
    <row r="20" spans="1:20" x14ac:dyDescent="0.25">
      <c r="A20" s="73">
        <v>44025</v>
      </c>
      <c r="B20" s="40">
        <v>0</v>
      </c>
      <c r="C20" s="40">
        <v>13</v>
      </c>
      <c r="D20" s="40">
        <v>50</v>
      </c>
      <c r="E20" s="41">
        <v>85</v>
      </c>
      <c r="F20" s="41">
        <v>5437</v>
      </c>
      <c r="G20" s="41">
        <v>0</v>
      </c>
      <c r="H20" s="41">
        <v>1575</v>
      </c>
      <c r="I20" s="41">
        <v>8</v>
      </c>
      <c r="J20" s="41">
        <v>370</v>
      </c>
      <c r="K20" s="42">
        <v>85</v>
      </c>
      <c r="L20" s="42">
        <v>65</v>
      </c>
      <c r="M20" s="42">
        <v>1360</v>
      </c>
      <c r="N20" s="39">
        <v>85</v>
      </c>
      <c r="O20" s="39">
        <v>10</v>
      </c>
      <c r="P20" s="39">
        <v>85</v>
      </c>
      <c r="Q20" s="39">
        <v>3932</v>
      </c>
      <c r="R20" s="78">
        <v>70</v>
      </c>
      <c r="S20" s="78">
        <v>198</v>
      </c>
      <c r="T20">
        <f t="shared" si="0"/>
        <v>0</v>
      </c>
    </row>
    <row r="21" spans="1:20" x14ac:dyDescent="0.25">
      <c r="A21" s="73">
        <v>44026</v>
      </c>
      <c r="B21" s="40">
        <v>0</v>
      </c>
      <c r="C21" s="40">
        <v>16</v>
      </c>
      <c r="D21" s="40">
        <v>59</v>
      </c>
      <c r="E21" s="41">
        <v>85</v>
      </c>
      <c r="F21" s="41">
        <v>5442</v>
      </c>
      <c r="G21" s="41">
        <v>0</v>
      </c>
      <c r="H21" s="41">
        <v>1577</v>
      </c>
      <c r="I21" s="41">
        <v>8</v>
      </c>
      <c r="J21" s="41">
        <v>371</v>
      </c>
      <c r="K21" s="42">
        <v>85</v>
      </c>
      <c r="L21" s="42">
        <v>65</v>
      </c>
      <c r="M21" s="42">
        <v>1361</v>
      </c>
      <c r="N21" s="39">
        <v>85</v>
      </c>
      <c r="O21" s="39">
        <v>5</v>
      </c>
      <c r="P21" s="39">
        <v>85</v>
      </c>
      <c r="Q21" s="39">
        <v>3935</v>
      </c>
      <c r="R21" s="78">
        <v>70</v>
      </c>
      <c r="S21" s="78">
        <v>198</v>
      </c>
      <c r="T21">
        <f t="shared" si="0"/>
        <v>0</v>
      </c>
    </row>
    <row r="22" spans="1:20" x14ac:dyDescent="0.25">
      <c r="A22" s="73">
        <v>44027</v>
      </c>
      <c r="B22" s="40">
        <v>0</v>
      </c>
      <c r="C22" s="40">
        <v>15</v>
      </c>
      <c r="D22" s="40">
        <v>58</v>
      </c>
      <c r="E22" s="41">
        <v>75</v>
      </c>
      <c r="F22" s="41">
        <v>5447</v>
      </c>
      <c r="G22" s="41">
        <v>0</v>
      </c>
      <c r="H22" s="41">
        <v>1580</v>
      </c>
      <c r="I22" s="41">
        <v>8</v>
      </c>
      <c r="J22" s="41">
        <v>372</v>
      </c>
      <c r="K22" s="42">
        <v>85</v>
      </c>
      <c r="L22" s="42">
        <v>60</v>
      </c>
      <c r="M22" s="42">
        <v>1361</v>
      </c>
      <c r="N22" s="39">
        <v>85</v>
      </c>
      <c r="O22" s="39">
        <v>5</v>
      </c>
      <c r="P22" s="39">
        <v>85</v>
      </c>
      <c r="Q22" s="39">
        <v>3939</v>
      </c>
      <c r="R22" s="78">
        <v>70</v>
      </c>
      <c r="S22" s="78">
        <v>198</v>
      </c>
      <c r="T22">
        <f t="shared" si="0"/>
        <v>0</v>
      </c>
    </row>
    <row r="23" spans="1:20" x14ac:dyDescent="0.25">
      <c r="A23" s="73">
        <v>44028</v>
      </c>
      <c r="B23" s="40">
        <v>0</v>
      </c>
      <c r="C23" s="40">
        <v>15</v>
      </c>
      <c r="D23" s="40">
        <v>58</v>
      </c>
      <c r="E23" s="41">
        <v>65</v>
      </c>
      <c r="F23" s="41">
        <v>5452</v>
      </c>
      <c r="G23" s="41">
        <v>0</v>
      </c>
      <c r="H23" s="41">
        <v>1582</v>
      </c>
      <c r="I23" s="41">
        <v>8</v>
      </c>
      <c r="J23" s="41">
        <v>373</v>
      </c>
      <c r="K23" s="42">
        <v>85</v>
      </c>
      <c r="L23" s="42">
        <v>60</v>
      </c>
      <c r="M23" s="42">
        <v>1363</v>
      </c>
      <c r="N23" s="39">
        <v>85</v>
      </c>
      <c r="O23" s="39">
        <v>0</v>
      </c>
      <c r="P23" s="39">
        <v>85</v>
      </c>
      <c r="Q23" s="39">
        <v>3942</v>
      </c>
      <c r="R23" s="78">
        <v>70</v>
      </c>
      <c r="S23" s="78">
        <v>198</v>
      </c>
      <c r="T23">
        <f t="shared" si="0"/>
        <v>0</v>
      </c>
    </row>
    <row r="24" spans="1:20" x14ac:dyDescent="0.25">
      <c r="A24" s="73">
        <v>44029</v>
      </c>
      <c r="B24" s="40">
        <v>0</v>
      </c>
      <c r="C24" s="40">
        <v>13</v>
      </c>
      <c r="D24" s="40">
        <v>45</v>
      </c>
      <c r="E24" s="41">
        <v>50</v>
      </c>
      <c r="F24" s="41">
        <v>5458</v>
      </c>
      <c r="G24" s="41">
        <v>0</v>
      </c>
      <c r="H24" s="41">
        <v>1585</v>
      </c>
      <c r="I24" s="41">
        <v>8</v>
      </c>
      <c r="J24" s="41">
        <v>374</v>
      </c>
      <c r="K24" s="42">
        <v>85</v>
      </c>
      <c r="L24" s="42">
        <v>60</v>
      </c>
      <c r="M24" s="42">
        <v>1364</v>
      </c>
      <c r="N24" s="39">
        <v>85</v>
      </c>
      <c r="O24" s="39">
        <v>0</v>
      </c>
      <c r="P24" s="39">
        <v>80</v>
      </c>
      <c r="Q24" s="39">
        <v>3947</v>
      </c>
      <c r="R24" s="78">
        <v>70</v>
      </c>
      <c r="S24" s="78">
        <v>198</v>
      </c>
      <c r="T24">
        <f t="shared" si="0"/>
        <v>0</v>
      </c>
    </row>
    <row r="25" spans="1:20" x14ac:dyDescent="0.25">
      <c r="A25" s="73">
        <v>44030</v>
      </c>
      <c r="B25" s="40">
        <v>0</v>
      </c>
      <c r="C25" s="40">
        <v>15</v>
      </c>
      <c r="D25" s="40">
        <v>51</v>
      </c>
      <c r="E25" s="41">
        <v>50</v>
      </c>
      <c r="F25" s="41">
        <v>5463</v>
      </c>
      <c r="G25" s="41">
        <v>0</v>
      </c>
      <c r="H25" s="41">
        <v>1589</v>
      </c>
      <c r="I25" s="41">
        <v>7</v>
      </c>
      <c r="J25" s="41">
        <v>375</v>
      </c>
      <c r="K25" s="42">
        <v>85</v>
      </c>
      <c r="L25" s="42">
        <v>60</v>
      </c>
      <c r="M25" s="42">
        <v>1366</v>
      </c>
      <c r="N25" s="39">
        <v>85</v>
      </c>
      <c r="O25" s="39">
        <v>0</v>
      </c>
      <c r="P25" s="39">
        <v>78</v>
      </c>
      <c r="Q25" s="39">
        <v>3951</v>
      </c>
      <c r="R25" s="78">
        <v>70</v>
      </c>
      <c r="S25" s="78">
        <v>198</v>
      </c>
      <c r="T25">
        <f t="shared" si="0"/>
        <v>0</v>
      </c>
    </row>
    <row r="26" spans="1:20" x14ac:dyDescent="0.25">
      <c r="A26" s="73">
        <v>44031</v>
      </c>
      <c r="B26" s="40">
        <v>0</v>
      </c>
      <c r="C26" s="40">
        <v>15</v>
      </c>
      <c r="D26" s="40">
        <v>51</v>
      </c>
      <c r="E26" s="41">
        <v>30</v>
      </c>
      <c r="F26" s="41">
        <v>5469</v>
      </c>
      <c r="G26" s="41">
        <v>0</v>
      </c>
      <c r="H26" s="41">
        <v>1592</v>
      </c>
      <c r="I26" s="41">
        <v>0</v>
      </c>
      <c r="J26" s="41">
        <v>375</v>
      </c>
      <c r="K26" s="42">
        <v>85</v>
      </c>
      <c r="L26" s="42">
        <v>60</v>
      </c>
      <c r="M26" s="42">
        <v>1366</v>
      </c>
      <c r="N26" s="39">
        <v>85</v>
      </c>
      <c r="O26" s="39">
        <v>0</v>
      </c>
      <c r="P26" s="39">
        <v>75</v>
      </c>
      <c r="Q26" s="39">
        <v>3955</v>
      </c>
      <c r="R26" s="78">
        <v>70</v>
      </c>
      <c r="S26" s="78">
        <v>198</v>
      </c>
      <c r="T26">
        <f t="shared" si="0"/>
        <v>0</v>
      </c>
    </row>
    <row r="27" spans="1:20" x14ac:dyDescent="0.25">
      <c r="A27" s="73">
        <v>44032</v>
      </c>
      <c r="B27" s="40">
        <v>0</v>
      </c>
      <c r="C27" s="40">
        <v>14</v>
      </c>
      <c r="D27" s="40">
        <v>49</v>
      </c>
      <c r="E27" s="41">
        <v>20</v>
      </c>
      <c r="F27" s="41">
        <v>5474</v>
      </c>
      <c r="G27" s="41">
        <v>0</v>
      </c>
      <c r="H27" s="41">
        <v>1596</v>
      </c>
      <c r="I27" s="41">
        <v>0</v>
      </c>
      <c r="J27" s="41">
        <v>376</v>
      </c>
      <c r="K27" s="42">
        <v>85</v>
      </c>
      <c r="L27" s="42">
        <v>55</v>
      </c>
      <c r="M27" s="42">
        <v>1367</v>
      </c>
      <c r="N27" s="39">
        <v>85</v>
      </c>
      <c r="O27" s="39">
        <v>0</v>
      </c>
      <c r="P27" s="39">
        <v>69</v>
      </c>
      <c r="Q27" s="39">
        <v>3959</v>
      </c>
      <c r="R27" s="78">
        <v>70</v>
      </c>
      <c r="S27" s="78">
        <v>198</v>
      </c>
      <c r="T27">
        <f t="shared" si="0"/>
        <v>0</v>
      </c>
    </row>
    <row r="28" spans="1:20" x14ac:dyDescent="0.25">
      <c r="A28" s="73">
        <v>44033</v>
      </c>
      <c r="B28" s="40">
        <v>0</v>
      </c>
      <c r="C28" s="40">
        <v>14</v>
      </c>
      <c r="D28" s="40">
        <v>49</v>
      </c>
      <c r="E28" s="41">
        <v>85</v>
      </c>
      <c r="F28" s="41">
        <v>5479</v>
      </c>
      <c r="G28" s="41">
        <v>85</v>
      </c>
      <c r="H28" s="41">
        <v>1599</v>
      </c>
      <c r="I28" s="41">
        <v>85</v>
      </c>
      <c r="J28" s="41">
        <v>376</v>
      </c>
      <c r="K28" s="42">
        <v>85</v>
      </c>
      <c r="L28" s="42">
        <v>55</v>
      </c>
      <c r="M28" s="42">
        <v>1369</v>
      </c>
      <c r="N28" s="39">
        <v>85</v>
      </c>
      <c r="O28" s="39">
        <v>0</v>
      </c>
      <c r="P28" s="39">
        <v>65</v>
      </c>
      <c r="Q28" s="39">
        <v>3963</v>
      </c>
      <c r="R28" s="78">
        <v>68</v>
      </c>
      <c r="S28" s="78">
        <v>200</v>
      </c>
      <c r="T28">
        <f t="shared" si="0"/>
        <v>2</v>
      </c>
    </row>
    <row r="29" spans="1:20" x14ac:dyDescent="0.25">
      <c r="A29" s="73">
        <v>44034</v>
      </c>
      <c r="B29" s="40">
        <v>0</v>
      </c>
      <c r="C29" s="40">
        <v>14</v>
      </c>
      <c r="D29" s="40">
        <v>49</v>
      </c>
      <c r="E29" s="41">
        <v>85</v>
      </c>
      <c r="F29" s="41">
        <v>5585</v>
      </c>
      <c r="G29" s="41">
        <v>70</v>
      </c>
      <c r="H29" s="41">
        <v>1604</v>
      </c>
      <c r="I29" s="41">
        <v>85</v>
      </c>
      <c r="J29" s="41">
        <v>376</v>
      </c>
      <c r="K29" s="42">
        <v>85</v>
      </c>
      <c r="L29" s="42">
        <v>50</v>
      </c>
      <c r="M29" s="42">
        <v>1370</v>
      </c>
      <c r="N29" s="39">
        <v>55</v>
      </c>
      <c r="O29" s="39">
        <v>0</v>
      </c>
      <c r="P29" s="39">
        <v>85</v>
      </c>
      <c r="Q29" s="39">
        <v>3969</v>
      </c>
      <c r="R29" s="78">
        <v>68</v>
      </c>
      <c r="S29" s="78">
        <v>200</v>
      </c>
      <c r="T29">
        <f t="shared" si="0"/>
        <v>0</v>
      </c>
    </row>
    <row r="30" spans="1:20" x14ac:dyDescent="0.25">
      <c r="A30" s="73">
        <v>44035</v>
      </c>
      <c r="B30" s="40">
        <v>0</v>
      </c>
      <c r="C30" s="40">
        <v>14</v>
      </c>
      <c r="D30" s="40">
        <v>49</v>
      </c>
      <c r="E30" s="41">
        <v>85</v>
      </c>
      <c r="F30" s="41">
        <v>5488</v>
      </c>
      <c r="G30" s="41">
        <v>60</v>
      </c>
      <c r="H30" s="41">
        <v>1605</v>
      </c>
      <c r="I30" s="41">
        <v>85</v>
      </c>
      <c r="J30" s="41">
        <v>377</v>
      </c>
      <c r="K30" s="42">
        <v>85</v>
      </c>
      <c r="L30" s="42">
        <v>50</v>
      </c>
      <c r="M30" s="42">
        <v>1372</v>
      </c>
      <c r="N30" s="39">
        <v>55</v>
      </c>
      <c r="O30" s="39">
        <v>0</v>
      </c>
      <c r="P30" s="39">
        <v>85</v>
      </c>
      <c r="Q30" s="39">
        <v>3970</v>
      </c>
      <c r="R30" s="78">
        <v>68</v>
      </c>
      <c r="S30" s="78">
        <v>200</v>
      </c>
      <c r="T30">
        <f t="shared" si="0"/>
        <v>0</v>
      </c>
    </row>
    <row r="31" spans="1:20" x14ac:dyDescent="0.25">
      <c r="A31" s="73">
        <v>44036</v>
      </c>
      <c r="B31" s="40">
        <v>0</v>
      </c>
      <c r="C31" s="40">
        <v>14</v>
      </c>
      <c r="D31" s="40">
        <v>49</v>
      </c>
      <c r="E31" s="41">
        <v>85</v>
      </c>
      <c r="F31" s="41">
        <v>5494</v>
      </c>
      <c r="G31" s="41">
        <v>50</v>
      </c>
      <c r="H31" s="41">
        <v>1608</v>
      </c>
      <c r="I31" s="41">
        <v>85</v>
      </c>
      <c r="J31" s="41">
        <v>378</v>
      </c>
      <c r="K31" s="42">
        <v>85</v>
      </c>
      <c r="L31" s="42">
        <v>50</v>
      </c>
      <c r="M31" s="42">
        <v>1374</v>
      </c>
      <c r="N31" s="39">
        <v>50</v>
      </c>
      <c r="O31" s="39">
        <v>0</v>
      </c>
      <c r="P31" s="39">
        <v>85</v>
      </c>
      <c r="Q31" s="39">
        <v>3974</v>
      </c>
      <c r="R31" s="78">
        <v>68</v>
      </c>
      <c r="S31" s="78">
        <v>200</v>
      </c>
      <c r="T31">
        <f t="shared" si="0"/>
        <v>0</v>
      </c>
    </row>
    <row r="32" spans="1:20" x14ac:dyDescent="0.25">
      <c r="A32" s="73">
        <v>44037</v>
      </c>
      <c r="B32" s="40">
        <v>0</v>
      </c>
      <c r="C32" s="40">
        <v>9</v>
      </c>
      <c r="D32" s="40">
        <v>27</v>
      </c>
      <c r="E32" s="41">
        <v>85</v>
      </c>
      <c r="F32" s="41">
        <v>5499</v>
      </c>
      <c r="G32" s="41">
        <v>45</v>
      </c>
      <c r="H32" s="41">
        <v>1610</v>
      </c>
      <c r="I32" s="41">
        <v>85</v>
      </c>
      <c r="J32" s="41">
        <v>379</v>
      </c>
      <c r="K32" s="42">
        <v>85</v>
      </c>
      <c r="L32" s="42">
        <v>45</v>
      </c>
      <c r="M32" s="42">
        <v>1374</v>
      </c>
      <c r="N32" s="39">
        <v>45</v>
      </c>
      <c r="O32" s="39">
        <v>0</v>
      </c>
      <c r="P32" s="39">
        <v>85</v>
      </c>
      <c r="Q32" s="39">
        <v>3977</v>
      </c>
      <c r="R32" s="78">
        <v>68</v>
      </c>
      <c r="S32" s="78">
        <v>200</v>
      </c>
      <c r="T32">
        <f t="shared" si="0"/>
        <v>0</v>
      </c>
    </row>
    <row r="33" spans="1:20" x14ac:dyDescent="0.25">
      <c r="A33" s="73">
        <v>44038</v>
      </c>
      <c r="B33" s="40">
        <v>0</v>
      </c>
      <c r="C33" s="40">
        <v>9</v>
      </c>
      <c r="D33" s="40">
        <v>27</v>
      </c>
      <c r="E33" s="41">
        <v>85</v>
      </c>
      <c r="F33" s="41">
        <v>5505</v>
      </c>
      <c r="G33" s="41">
        <v>25</v>
      </c>
      <c r="H33" s="41">
        <v>1615</v>
      </c>
      <c r="I33" s="41">
        <v>85</v>
      </c>
      <c r="J33" s="41">
        <v>379</v>
      </c>
      <c r="K33" s="42">
        <v>85</v>
      </c>
      <c r="L33" s="42">
        <v>40</v>
      </c>
      <c r="M33" s="42">
        <v>1375</v>
      </c>
      <c r="N33" s="39">
        <v>40</v>
      </c>
      <c r="O33" s="39">
        <v>0</v>
      </c>
      <c r="P33" s="39">
        <v>85</v>
      </c>
      <c r="Q33" s="39">
        <v>3983</v>
      </c>
      <c r="R33" s="78">
        <v>70</v>
      </c>
      <c r="S33" s="78">
        <v>200</v>
      </c>
      <c r="T33">
        <f t="shared" si="0"/>
        <v>0</v>
      </c>
    </row>
    <row r="34" spans="1:20" x14ac:dyDescent="0.25">
      <c r="A34" s="73">
        <v>44039</v>
      </c>
      <c r="B34" s="40">
        <v>0</v>
      </c>
      <c r="C34" s="40">
        <v>9</v>
      </c>
      <c r="D34" s="40">
        <v>27</v>
      </c>
      <c r="E34" s="41">
        <v>85</v>
      </c>
      <c r="F34" s="41">
        <v>5509</v>
      </c>
      <c r="G34" s="41">
        <v>20</v>
      </c>
      <c r="H34" s="41">
        <v>1617</v>
      </c>
      <c r="I34" s="41">
        <v>85</v>
      </c>
      <c r="J34" s="41">
        <v>380</v>
      </c>
      <c r="K34" s="42">
        <v>85</v>
      </c>
      <c r="L34" s="42">
        <v>40</v>
      </c>
      <c r="M34" s="42">
        <v>1375</v>
      </c>
      <c r="N34" s="39">
        <v>35</v>
      </c>
      <c r="O34" s="39">
        <v>0</v>
      </c>
      <c r="P34" s="39">
        <v>85</v>
      </c>
      <c r="Q34" s="39">
        <v>3987</v>
      </c>
      <c r="R34" s="78">
        <v>70</v>
      </c>
      <c r="S34" s="78">
        <v>200</v>
      </c>
      <c r="T34">
        <f t="shared" si="0"/>
        <v>0</v>
      </c>
    </row>
    <row r="35" spans="1:20" x14ac:dyDescent="0.25">
      <c r="A35" s="73">
        <v>44040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-200</v>
      </c>
    </row>
    <row r="36" spans="1:20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2021-07-28T12:02:43Z</dcterms:modified>
</cp:coreProperties>
</file>