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AG32" i="5" l="1"/>
  <c r="Q31" i="1"/>
  <c r="I30" i="1" l="1"/>
  <c r="E29" i="2"/>
  <c r="E30" i="2"/>
  <c r="G33" i="5" l="1"/>
  <c r="G34" i="5" s="1"/>
  <c r="G36" i="5" s="1"/>
  <c r="AE33" i="5"/>
  <c r="D25" i="73" l="1"/>
  <c r="D26" i="73"/>
  <c r="D27" i="73"/>
  <c r="D28" i="73"/>
  <c r="D29" i="73"/>
  <c r="D30" i="73"/>
  <c r="D31" i="73"/>
  <c r="D32" i="73"/>
  <c r="D33" i="73"/>
  <c r="D34" i="73"/>
  <c r="D35" i="73"/>
  <c r="AV25" i="7" l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8" i="7" s="1"/>
  <c r="AV19" i="7" s="1"/>
  <c r="AV20" i="7" s="1"/>
  <c r="AV21" i="7" s="1"/>
  <c r="AV22" i="7" s="1"/>
  <c r="AV23" i="7" s="1"/>
  <c r="AV24" i="7" s="1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32" i="1" s="1"/>
  <c r="C33" i="1" s="1"/>
  <c r="B11" i="1"/>
  <c r="B12" i="1" s="1"/>
  <c r="B13" i="1" s="1"/>
  <c r="B17" i="1" s="1"/>
  <c r="B18" i="1" s="1"/>
  <c r="B19" i="1" s="1"/>
  <c r="B25" i="1" s="1"/>
  <c r="B26" i="1" s="1"/>
  <c r="B32" i="1" s="1"/>
  <c r="B33" i="1" s="1"/>
  <c r="P10" i="2"/>
  <c r="P11" i="2" s="1"/>
  <c r="P12" i="2" s="1"/>
  <c r="P16" i="2" s="1"/>
  <c r="P17" i="2" s="1"/>
  <c r="P18" i="2" s="1"/>
  <c r="P24" i="2" s="1"/>
  <c r="P25" i="2" s="1"/>
  <c r="P31" i="2" s="1"/>
  <c r="P32" i="2" s="1"/>
  <c r="L10" i="2"/>
  <c r="L11" i="2" s="1"/>
  <c r="L12" i="2" s="1"/>
  <c r="L16" i="2" s="1"/>
  <c r="L17" i="2" s="1"/>
  <c r="L18" i="2" s="1"/>
  <c r="L24" i="2" s="1"/>
  <c r="L25" i="2" s="1"/>
  <c r="L31" i="2" s="1"/>
  <c r="L32" i="2" s="1"/>
  <c r="J10" i="2"/>
  <c r="J11" i="2" s="1"/>
  <c r="J12" i="2" s="1"/>
  <c r="J16" i="2" s="1"/>
  <c r="J17" i="2" s="1"/>
  <c r="J18" i="2" s="1"/>
  <c r="J24" i="2" s="1"/>
  <c r="J25" i="2" s="1"/>
  <c r="J31" i="2" s="1"/>
  <c r="J32" i="2" s="1"/>
  <c r="H10" i="2"/>
  <c r="H11" i="2" s="1"/>
  <c r="H12" i="2" s="1"/>
  <c r="H16" i="2" s="1"/>
  <c r="H17" i="2" s="1"/>
  <c r="H18" i="2" s="1"/>
  <c r="H24" i="2" s="1"/>
  <c r="H25" i="2" s="1"/>
  <c r="H31" i="2" s="1"/>
  <c r="H32" i="2" s="1"/>
  <c r="F10" i="2"/>
  <c r="F11" i="2" s="1"/>
  <c r="F12" i="2" s="1"/>
  <c r="F16" i="2" s="1"/>
  <c r="F17" i="2" s="1"/>
  <c r="F18" i="2" s="1"/>
  <c r="F24" i="2" s="1"/>
  <c r="F25" i="2" s="1"/>
  <c r="F31" i="2" s="1"/>
  <c r="F32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30" i="3" s="1"/>
  <c r="B31" i="3" s="1"/>
  <c r="B32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9" i="1" s="1"/>
  <c r="Z30" i="1" s="1"/>
  <c r="Z31" i="1" s="1"/>
  <c r="Z32" i="1" s="1"/>
  <c r="Z33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30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32" i="1" s="1"/>
  <c r="H33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32" i="1" s="1"/>
  <c r="F33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31" i="2" s="1"/>
  <c r="D32" i="2" s="1"/>
  <c r="D24" i="73" l="1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2" i="5" s="1"/>
  <c r="T33" i="5" s="1"/>
  <c r="T34" i="5" s="1"/>
  <c r="T35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2" i="3" l="1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F31" i="5" l="1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T34" i="76" s="1"/>
  <c r="F32" i="81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D29" i="1" l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F31" i="3"/>
  <c r="AB31" i="3" s="1"/>
  <c r="AA31" i="3"/>
  <c r="AC31" i="3" s="1"/>
  <c r="AH31" i="3" s="1"/>
  <c r="AA33" i="3" l="1"/>
  <c r="AC33" i="3" s="1"/>
  <c r="AH33" i="3" s="1"/>
  <c r="F33" i="3"/>
  <c r="AB33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<sst xmlns="http://schemas.openxmlformats.org/spreadsheetml/2006/main" count="666" uniqueCount="418">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</sst>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2969</c:v>
                </c:pt>
                <c:pt idx="27">
                  <c:v>3410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03200"/>
        <c:axId val="205503584"/>
      </c:lineChart>
      <c:catAx>
        <c:axId val="205503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503584"/>
        <c:crosses val="autoZero"/>
        <c:auto val="1"/>
        <c:lblAlgn val="ctr"/>
        <c:lblOffset val="100"/>
        <c:noMultiLvlLbl val="0"/>
      </c:catAx>
      <c:valAx>
        <c:axId val="2055035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50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24728"/>
        <c:axId val="164625112"/>
      </c:lineChart>
      <c:catAx>
        <c:axId val="164624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5112"/>
        <c:crosses val="autoZero"/>
        <c:auto val="1"/>
        <c:lblAlgn val="ctr"/>
        <c:lblOffset val="100"/>
        <c:noMultiLvlLbl val="0"/>
      </c:catAx>
      <c:valAx>
        <c:axId val="164625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24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899144"/>
        <c:axId val="164899528"/>
      </c:lineChart>
      <c:catAx>
        <c:axId val="164899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9528"/>
        <c:crosses val="autoZero"/>
        <c:auto val="1"/>
        <c:lblAlgn val="ctr"/>
        <c:lblOffset val="100"/>
        <c:noMultiLvlLbl val="0"/>
      </c:catAx>
      <c:valAx>
        <c:axId val="1648995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9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05720"/>
        <c:axId val="164906104"/>
      </c:lineChart>
      <c:catAx>
        <c:axId val="164905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06104"/>
        <c:crosses val="autoZero"/>
        <c:auto val="1"/>
        <c:lblAlgn val="ctr"/>
        <c:lblOffset val="100"/>
        <c:noMultiLvlLbl val="0"/>
      </c:catAx>
      <c:valAx>
        <c:axId val="1649061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05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02744"/>
        <c:axId val="204500832"/>
      </c:lineChart>
      <c:catAx>
        <c:axId val="165102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500832"/>
        <c:crosses val="autoZero"/>
        <c:auto val="1"/>
        <c:lblAlgn val="ctr"/>
        <c:lblOffset val="100"/>
        <c:noMultiLvlLbl val="0"/>
      </c:catAx>
      <c:valAx>
        <c:axId val="204500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02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50456"/>
        <c:axId val="205948104"/>
      </c:lineChart>
      <c:catAx>
        <c:axId val="205950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8104"/>
        <c:crosses val="autoZero"/>
        <c:auto val="1"/>
        <c:lblAlgn val="ctr"/>
        <c:lblOffset val="100"/>
        <c:noMultiLvlLbl val="0"/>
      </c:catAx>
      <c:valAx>
        <c:axId val="205948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50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52024"/>
        <c:axId val="205952416"/>
      </c:lineChart>
      <c:catAx>
        <c:axId val="205952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52416"/>
        <c:crosses val="autoZero"/>
        <c:auto val="1"/>
        <c:lblAlgn val="ctr"/>
        <c:lblOffset val="100"/>
        <c:noMultiLvlLbl val="0"/>
      </c:catAx>
      <c:valAx>
        <c:axId val="2059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52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88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7320"/>
        <c:axId val="205949672"/>
      </c:lineChart>
      <c:catAx>
        <c:axId val="205947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9672"/>
        <c:crosses val="autoZero"/>
        <c:auto val="1"/>
        <c:lblAlgn val="ctr"/>
        <c:lblOffset val="100"/>
        <c:noMultiLvlLbl val="0"/>
      </c:catAx>
      <c:valAx>
        <c:axId val="205949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7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8496"/>
        <c:axId val="205947712"/>
      </c:lineChart>
      <c:catAx>
        <c:axId val="20594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7712"/>
        <c:crosses val="autoZero"/>
        <c:auto val="1"/>
        <c:lblAlgn val="ctr"/>
        <c:lblOffset val="100"/>
        <c:noMultiLvlLbl val="0"/>
      </c:catAx>
      <c:valAx>
        <c:axId val="205947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6144"/>
        <c:axId val="205950848"/>
      </c:lineChart>
      <c:catAx>
        <c:axId val="20594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50848"/>
        <c:crosses val="autoZero"/>
        <c:auto val="1"/>
        <c:lblAlgn val="ctr"/>
        <c:lblOffset val="100"/>
        <c:noMultiLvlLbl val="0"/>
      </c:catAx>
      <c:valAx>
        <c:axId val="205950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5360"/>
        <c:axId val="205946536"/>
      </c:lineChart>
      <c:catAx>
        <c:axId val="20594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6536"/>
        <c:crosses val="autoZero"/>
        <c:auto val="1"/>
        <c:lblAlgn val="ctr"/>
        <c:lblOffset val="100"/>
        <c:noMultiLvlLbl val="0"/>
      </c:catAx>
      <c:valAx>
        <c:axId val="20594653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948888"/>
        <c:axId val="204501616"/>
      </c:lineChart>
      <c:catAx>
        <c:axId val="205948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501616"/>
        <c:crosses val="autoZero"/>
        <c:auto val="1"/>
        <c:lblAlgn val="ctr"/>
        <c:lblOffset val="100"/>
        <c:noMultiLvlLbl val="0"/>
      </c:catAx>
      <c:valAx>
        <c:axId val="20450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48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190</c:v>
                </c:pt>
                <c:pt idx="24">
                  <c:v>158</c:v>
                </c:pt>
                <c:pt idx="25">
                  <c:v>112</c:v>
                </c:pt>
                <c:pt idx="26">
                  <c:v>35</c:v>
                </c:pt>
                <c:pt idx="27">
                  <c:v>65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502400"/>
        <c:axId val="204500048"/>
      </c:lineChart>
      <c:catAx>
        <c:axId val="20450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500048"/>
        <c:crosses val="autoZero"/>
        <c:auto val="1"/>
        <c:lblAlgn val="ctr"/>
        <c:lblOffset val="100"/>
        <c:noMultiLvlLbl val="0"/>
      </c:catAx>
      <c:valAx>
        <c:axId val="20450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50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1952"/>
        <c:axId val="165643520"/>
      </c:lineChart>
      <c:catAx>
        <c:axId val="16564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3520"/>
        <c:crosses val="autoZero"/>
        <c:auto val="1"/>
        <c:lblAlgn val="ctr"/>
        <c:lblOffset val="100"/>
        <c:noMultiLvlLbl val="0"/>
      </c:catAx>
      <c:valAx>
        <c:axId val="1656435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2969</c:v>
                </c:pt>
                <c:pt idx="27">
                  <c:v>3410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3912"/>
        <c:axId val="165648616"/>
      </c:lineChart>
      <c:catAx>
        <c:axId val="165643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8616"/>
        <c:crosses val="autoZero"/>
        <c:auto val="1"/>
        <c:lblAlgn val="ctr"/>
        <c:lblOffset val="100"/>
        <c:noMultiLvlLbl val="0"/>
      </c:catAx>
      <c:valAx>
        <c:axId val="1656486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3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3128"/>
        <c:axId val="165644696"/>
      </c:lineChart>
      <c:catAx>
        <c:axId val="165643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4696"/>
        <c:crosses val="autoZero"/>
        <c:auto val="1"/>
        <c:lblAlgn val="ctr"/>
        <c:lblOffset val="100"/>
        <c:noMultiLvlLbl val="0"/>
      </c:catAx>
      <c:valAx>
        <c:axId val="165644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3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5088"/>
        <c:axId val="165647048"/>
      </c:lineChart>
      <c:catAx>
        <c:axId val="16564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7048"/>
        <c:crosses val="autoZero"/>
        <c:auto val="1"/>
        <c:lblAlgn val="ctr"/>
        <c:lblOffset val="100"/>
        <c:noMultiLvlLbl val="0"/>
      </c:catAx>
      <c:valAx>
        <c:axId val="1656470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-1533.3870967741677</c:v>
                </c:pt>
                <c:pt idx="23">
                  <c:v>-1156.7096774193633</c:v>
                </c:pt>
                <c:pt idx="24">
                  <c:v>-990.03225806454429</c:v>
                </c:pt>
                <c:pt idx="25">
                  <c:v>-1226.7096774193342</c:v>
                </c:pt>
                <c:pt idx="26">
                  <c:v>-623.1612903225905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5872"/>
        <c:axId val="165647440"/>
      </c:lineChart>
      <c:catAx>
        <c:axId val="16564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7440"/>
        <c:crosses val="autoZero"/>
        <c:auto val="1"/>
        <c:lblAlgn val="ctr"/>
        <c:lblOffset val="100"/>
        <c:noMultiLvlLbl val="0"/>
      </c:catAx>
      <c:valAx>
        <c:axId val="165647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7832"/>
        <c:axId val="165649008"/>
      </c:lineChart>
      <c:catAx>
        <c:axId val="165647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9008"/>
        <c:crosses val="autoZero"/>
        <c:auto val="1"/>
        <c:lblAlgn val="ctr"/>
        <c:lblOffset val="100"/>
        <c:noMultiLvlLbl val="0"/>
      </c:catAx>
      <c:valAx>
        <c:axId val="16564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7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42736"/>
        <c:axId val="166559832"/>
      </c:lineChart>
      <c:catAx>
        <c:axId val="16564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59832"/>
        <c:crosses val="autoZero"/>
        <c:auto val="1"/>
        <c:lblAlgn val="ctr"/>
        <c:lblOffset val="100"/>
        <c:noMultiLvlLbl val="0"/>
      </c:catAx>
      <c:valAx>
        <c:axId val="1665598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5712"/>
        <c:axId val="166560224"/>
      </c:lineChart>
      <c:catAx>
        <c:axId val="16656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0224"/>
        <c:crosses val="autoZero"/>
        <c:auto val="1"/>
        <c:lblAlgn val="ctr"/>
        <c:lblOffset val="100"/>
        <c:noMultiLvlLbl val="0"/>
      </c:catAx>
      <c:valAx>
        <c:axId val="1665602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6104"/>
        <c:axId val="166564928"/>
      </c:lineChart>
      <c:catAx>
        <c:axId val="166566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4928"/>
        <c:crosses val="autoZero"/>
        <c:auto val="1"/>
        <c:lblAlgn val="ctr"/>
        <c:lblOffset val="100"/>
        <c:noMultiLvlLbl val="0"/>
      </c:catAx>
      <c:valAx>
        <c:axId val="16656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6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88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3752"/>
        <c:axId val="166565320"/>
      </c:lineChart>
      <c:catAx>
        <c:axId val="166563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5320"/>
        <c:crosses val="autoZero"/>
        <c:auto val="1"/>
        <c:lblAlgn val="ctr"/>
        <c:lblOffset val="100"/>
        <c:noMultiLvlLbl val="0"/>
      </c:catAx>
      <c:valAx>
        <c:axId val="166565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3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6888"/>
        <c:axId val="166566496"/>
      </c:lineChart>
      <c:catAx>
        <c:axId val="166566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6496"/>
        <c:crosses val="autoZero"/>
        <c:auto val="1"/>
        <c:lblAlgn val="ctr"/>
        <c:lblOffset val="100"/>
        <c:noMultiLvlLbl val="0"/>
      </c:catAx>
      <c:valAx>
        <c:axId val="166566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6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1792"/>
        <c:axId val="166564536"/>
      </c:lineChart>
      <c:catAx>
        <c:axId val="166561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4536"/>
        <c:crosses val="autoZero"/>
        <c:auto val="1"/>
        <c:lblAlgn val="ctr"/>
        <c:lblOffset val="100"/>
        <c:noMultiLvlLbl val="0"/>
      </c:catAx>
      <c:valAx>
        <c:axId val="16656453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560616"/>
        <c:axId val="166561008"/>
      </c:lineChart>
      <c:catAx>
        <c:axId val="166560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1008"/>
        <c:crosses val="autoZero"/>
        <c:auto val="1"/>
        <c:lblAlgn val="ctr"/>
        <c:lblOffset val="100"/>
        <c:noMultiLvlLbl val="0"/>
      </c:catAx>
      <c:valAx>
        <c:axId val="1665610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0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64256"/>
        <c:axId val="165165432"/>
      </c:lineChart>
      <c:catAx>
        <c:axId val="16516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5432"/>
        <c:crosses val="autoZero"/>
        <c:auto val="1"/>
        <c:lblAlgn val="ctr"/>
        <c:lblOffset val="100"/>
        <c:noMultiLvlLbl val="0"/>
      </c:catAx>
      <c:valAx>
        <c:axId val="165165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62296"/>
        <c:axId val="165162688"/>
      </c:lineChart>
      <c:catAx>
        <c:axId val="165162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2688"/>
        <c:crosses val="autoZero"/>
        <c:auto val="1"/>
        <c:lblAlgn val="ctr"/>
        <c:lblOffset val="100"/>
        <c:noMultiLvlLbl val="0"/>
      </c:catAx>
      <c:valAx>
        <c:axId val="16516268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62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70" t="s">
        <v>338</v>
      </c>
      <c r="B1" s="570" t="s">
        <v>198</v>
      </c>
      <c r="C1" s="570" t="s">
        <v>339</v>
      </c>
      <c r="D1" s="570" t="s">
        <v>340</v>
      </c>
      <c r="E1" s="571" t="s">
        <v>350</v>
      </c>
      <c r="F1" s="571" t="s">
        <v>351</v>
      </c>
      <c r="G1" s="571" t="s">
        <v>411</v>
      </c>
      <c r="H1" s="571" t="s">
        <v>352</v>
      </c>
      <c r="I1" s="571" t="s">
        <v>353</v>
      </c>
      <c r="J1" s="571" t="s">
        <v>354</v>
      </c>
      <c r="K1" s="571" t="s">
        <v>355</v>
      </c>
      <c r="L1" s="571" t="s">
        <v>356</v>
      </c>
      <c r="M1" s="572" t="s">
        <v>397</v>
      </c>
      <c r="N1" s="467" t="s">
        <v>398</v>
      </c>
      <c r="O1" s="571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4">
        <f>SUM('EDl log'!T4)</f>
        <v>0</v>
      </c>
      <c r="G2" s="203">
        <f>-tanks!AW6</f>
        <v>0</v>
      </c>
      <c r="H2" s="314">
        <f>tanks!AV6</f>
        <v>0</v>
      </c>
      <c r="I2" s="10">
        <f>('B5'!AU5)*0.51</f>
        <v>-45.9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4">
        <f>SUM('EDl log'!T5)</f>
        <v>-1.4707316829920059</v>
      </c>
      <c r="G3" s="203">
        <f>-tanks!AW7</f>
        <v>294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199</v>
      </c>
      <c r="L3" s="315">
        <f>SUM(WATER!J7)</f>
        <v>1.2157562003566218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4">
        <f>SUM('EDl log'!T6)</f>
        <v>0.39132747978073945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4">
        <f>SUM('EDl log'!T7)</f>
        <v>0.35041416430181005</v>
      </c>
      <c r="G5" s="203">
        <f>-tanks!AW9</f>
        <v>144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4">
        <f>SUM('EDl log'!T8)</f>
        <v>0.32173229907808482</v>
      </c>
      <c r="G6" s="203">
        <f>-tanks!AW10</f>
        <v>64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4">
        <f>SUM('EDl log'!T9)</f>
        <v>0.23952106725182501</v>
      </c>
      <c r="G7" s="203">
        <f>-tanks!AW11</f>
        <v>61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-12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4">
        <f>SUM('EDl log'!T13)</f>
        <v>0.36860493477692347</v>
      </c>
      <c r="G11" s="203">
        <f>-tanks!AW15</f>
        <v>173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4">
        <f>SUM('EDl log'!T14)</f>
        <v>0.45640985695252412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20</v>
      </c>
      <c r="L12" s="315">
        <f>SUM(WATER!J16)</f>
        <v>12.096774193548388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4">
        <f>SUM('EDl log'!T15)</f>
        <v>8.594189194610212E-3</v>
      </c>
      <c r="G13" s="203">
        <f>-tanks!AW17</f>
        <v>172</v>
      </c>
      <c r="H13" s="314">
        <f>tanks!AV17</f>
        <v>1.03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4">
        <f>SUM('EDl log'!T19)</f>
        <v>0.32798057465952218</v>
      </c>
      <c r="G17" s="203">
        <f>-tanks!AW21</f>
        <v>305</v>
      </c>
      <c r="H17" s="314">
        <f>tanks!AV21</f>
        <v>1.03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4">
        <f>SUM('EDl log'!T20)</f>
        <v>0.36753319851485516</v>
      </c>
      <c r="G18" s="203">
        <f>-tanks!AW22</f>
        <v>116</v>
      </c>
      <c r="H18" s="314">
        <f>tanks!AV22</f>
        <v>1.03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4">
        <f>SUM('EDl log'!T21)</f>
        <v>0.35477543048638821</v>
      </c>
      <c r="G19" s="203">
        <f>-tanks!AW23</f>
        <v>0</v>
      </c>
      <c r="H19" s="314">
        <f>tanks!AV23</f>
        <v>1.03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4">
        <f>SUM('EDl log'!T22)</f>
        <v>0.33336806969267552</v>
      </c>
      <c r="G20" s="203">
        <f>-tanks!AW24</f>
        <v>107</v>
      </c>
      <c r="H20" s="314">
        <f>tanks!AV24</f>
        <v>1.03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4">
        <f>SUM('EDl log'!T23)</f>
        <v>-0.20071226106711623</v>
      </c>
      <c r="G21" s="203">
        <f>-tanks!AW25</f>
        <v>38</v>
      </c>
      <c r="H21" s="314">
        <f>tanks!AV25</f>
        <v>1.0549999999999999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1.0549999999999999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1.0549999999999999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3654.2000000001863</v>
      </c>
      <c r="F24" s="314">
        <f>SUM('EDl log'!T26)</f>
        <v>0.32911306826511344</v>
      </c>
      <c r="G24" s="203">
        <f>-tanks!AW28</f>
        <v>190</v>
      </c>
      <c r="H24" s="314">
        <f>tanks!AV28</f>
        <v>1.0549999999999999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2879.7999999998137</v>
      </c>
      <c r="F25" s="314">
        <f>SUM('EDl log'!T27)</f>
        <v>0.32425744390504607</v>
      </c>
      <c r="G25" s="203">
        <f>-tanks!AW29</f>
        <v>158</v>
      </c>
      <c r="H25" s="314">
        <f>tanks!AV29</f>
        <v>1.0549999999999999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3149</v>
      </c>
      <c r="F26" s="314">
        <f>SUM('EDl log'!T28)</f>
        <v>0.26664598280753649</v>
      </c>
      <c r="G26" s="203">
        <f>-tanks!AW30</f>
        <v>112</v>
      </c>
      <c r="H26" s="314">
        <f>tanks!AV30</f>
        <v>1.0549999999999999</v>
      </c>
      <c r="I26" s="10">
        <f>('B5'!AU29)*0.51</f>
        <v>0</v>
      </c>
      <c r="J26" s="295">
        <f>'B5'!AX29/0.51</f>
        <v>1.5686274509803921</v>
      </c>
      <c r="K26" s="203">
        <f>WATER!I30</f>
        <v>73</v>
      </c>
      <c r="L26" s="315">
        <f>SUM(WATER!J30)</f>
        <v>3.3141847105612019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2969</v>
      </c>
      <c r="F27" s="314">
        <f>SUM('EDl log'!T29)</f>
        <v>0.36521946344145123</v>
      </c>
      <c r="G27" s="203">
        <f>-tanks!AW31</f>
        <v>35</v>
      </c>
      <c r="H27" s="314">
        <f>tanks!AV31</f>
        <v>1.0549999999999999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3410</v>
      </c>
      <c r="F28" s="314">
        <f>SUM('EDl log'!T30)</f>
        <v>0.17307004252850691</v>
      </c>
      <c r="G28" s="203">
        <f>-tanks!AW32</f>
        <v>65</v>
      </c>
      <c r="H28" s="314">
        <f>tanks!AV32</f>
        <v>1.0349999999999999</v>
      </c>
      <c r="I28" s="10">
        <f>('B5'!AU31)*0.51</f>
        <v>0</v>
      </c>
      <c r="J28" s="295">
        <f>'B5'!AX31/0.51</f>
        <v>1.5686274509803921</v>
      </c>
      <c r="K28" s="203">
        <f>WATER!I32</f>
        <v>88</v>
      </c>
      <c r="L28" s="315">
        <f>SUM(WATER!J32)</f>
        <v>2.7492668621700882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1.0349999999999999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1.0349999999999999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4203</v>
      </c>
      <c r="F31" s="314">
        <f>SUM('EDl log'!T33)</f>
        <v>0.3356301120987914</v>
      </c>
      <c r="G31" s="203">
        <f>-tanks!AW35</f>
        <v>160</v>
      </c>
      <c r="H31" s="314">
        <f>tanks!AV35</f>
        <v>1.0349999999999999</v>
      </c>
      <c r="I31" s="10">
        <f>('B5'!AU34)*0.51</f>
        <v>0</v>
      </c>
      <c r="J31" s="295">
        <f>'B5'!AX34/0.51</f>
        <v>1.5686274509803921</v>
      </c>
      <c r="K31" s="203">
        <f>WATER!I35</f>
        <v>50</v>
      </c>
      <c r="L31" s="315">
        <f>SUM(WATER!J35)</f>
        <v>4.838709677419355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2800</v>
      </c>
      <c r="F32" s="314">
        <f>SUM('EDl log'!T34)</f>
        <v>0.21222136170147846</v>
      </c>
      <c r="G32" s="203">
        <f>-tanks!AW36</f>
        <v>120</v>
      </c>
      <c r="H32" s="314">
        <f>tanks!AV36</f>
        <v>1.0349999999999999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952</v>
      </c>
      <c r="F24" s="203">
        <f>ELEC!K26</f>
        <v>746</v>
      </c>
      <c r="G24" s="203">
        <f>ELEC!I26</f>
        <v>432</v>
      </c>
      <c r="H24" s="203">
        <f>ELEC!E26</f>
        <v>1060</v>
      </c>
      <c r="I24" s="203">
        <f>ELEC!G26</f>
        <v>464.20000000018626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784</v>
      </c>
      <c r="F25" s="203">
        <f>ELEC!K27</f>
        <v>700</v>
      </c>
      <c r="G25" s="203">
        <f>ELEC!I27</f>
        <v>336</v>
      </c>
      <c r="H25" s="203">
        <f>ELEC!E27</f>
        <v>630</v>
      </c>
      <c r="I25" s="203">
        <f>ELEC!G27</f>
        <v>429.79999999981374</v>
      </c>
      <c r="J25" s="203">
        <f>WATER!Y29</f>
        <v>57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906</v>
      </c>
      <c r="F26" s="203">
        <f>ELEC!K28</f>
        <v>808</v>
      </c>
      <c r="G26" s="203">
        <f>ELEC!I28</f>
        <v>408</v>
      </c>
      <c r="H26" s="203">
        <f>ELEC!E28</f>
        <v>720</v>
      </c>
      <c r="I26" s="203">
        <f>ELEC!G28</f>
        <v>307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846</v>
      </c>
      <c r="F27" s="203">
        <f>ELEC!K29</f>
        <v>744</v>
      </c>
      <c r="G27" s="203">
        <f>ELEC!I29</f>
        <v>364</v>
      </c>
      <c r="H27" s="203">
        <f>ELEC!E29</f>
        <v>680</v>
      </c>
      <c r="I27" s="203">
        <f>ELEC!G29</f>
        <v>335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968</v>
      </c>
      <c r="F28" s="203">
        <f>ELEC!K30</f>
        <v>748</v>
      </c>
      <c r="G28" s="203">
        <f>ELEC!I30</f>
        <v>436</v>
      </c>
      <c r="H28" s="203">
        <f>ELEC!E30</f>
        <v>830</v>
      </c>
      <c r="I28" s="203">
        <f>ELEC!G30</f>
        <v>428</v>
      </c>
      <c r="J28" s="203">
        <f>WATER!Y32</f>
        <v>0</v>
      </c>
      <c r="K28" s="203">
        <f>WATER!AJ32</f>
        <v>31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1104</v>
      </c>
      <c r="F31" s="203">
        <f>ELEC!K33</f>
        <v>770</v>
      </c>
      <c r="G31" s="203">
        <f>ELEC!I33</f>
        <v>446</v>
      </c>
      <c r="H31" s="203">
        <f>ELEC!E33</f>
        <v>1410</v>
      </c>
      <c r="I31" s="203">
        <f>ELEC!G33</f>
        <v>473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1148</v>
      </c>
      <c r="F32" s="203">
        <f>ELEC!K34</f>
        <v>246</v>
      </c>
      <c r="G32" s="203">
        <f>ELEC!I34</f>
        <v>362</v>
      </c>
      <c r="H32" s="203">
        <f>ELEC!E34</f>
        <v>700</v>
      </c>
      <c r="I32" s="203">
        <f>ELEC!G34</f>
        <v>344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AD34" sqref="AD34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[2]ELEC!$C$33</f>
        <v>44834</v>
      </c>
      <c r="D3" s="584">
        <f>[2]ELEC!$D$34</f>
        <v>376630</v>
      </c>
      <c r="E3" s="584">
        <f>[3]ELEC!E34</f>
        <v>920</v>
      </c>
      <c r="F3" s="584">
        <f>[2]ELEC!$F$34</f>
        <v>4168766</v>
      </c>
      <c r="G3" s="584">
        <f>[3]ELEC!G34</f>
        <v>602.79999999981374</v>
      </c>
      <c r="H3" s="584">
        <f>[2]ELEC!$H$34</f>
        <v>18082090</v>
      </c>
      <c r="I3" s="584">
        <f>[3]ELEC!I34</f>
        <v>568</v>
      </c>
      <c r="J3" s="584">
        <f>[2]ELEC!$J$34</f>
        <v>29857148</v>
      </c>
      <c r="K3" s="584">
        <f>[3]ELEC!K34</f>
        <v>878</v>
      </c>
      <c r="L3" s="584">
        <f>[2]ELEC!$L$34</f>
        <v>24671166</v>
      </c>
      <c r="M3" s="584">
        <f>[3]ELEC!M34</f>
        <v>1110</v>
      </c>
      <c r="N3" s="584">
        <f>M3+K3+I3+G3+E3</f>
        <v>4078.7999999998137</v>
      </c>
      <c r="O3" s="584">
        <f>[3]ELEC!O34</f>
        <v>0</v>
      </c>
      <c r="P3" s="584">
        <f>[2]ELEC!$P$34</f>
        <v>19535.339</v>
      </c>
      <c r="Q3" s="584">
        <f>[3]ELEC!Q34</f>
        <v>4102.999999999156</v>
      </c>
      <c r="R3" s="584">
        <f>[3]ELEC!R34</f>
        <v>-24.199999999342253</v>
      </c>
      <c r="S3" s="584">
        <v>10175</v>
      </c>
      <c r="T3" s="584">
        <f>[3]ELEC!T34</f>
        <v>0</v>
      </c>
      <c r="U3" s="584">
        <f>[3]ELEC!U34</f>
        <v>429166</v>
      </c>
      <c r="V3" s="584">
        <f>[3]ELEC!V34</f>
        <v>0</v>
      </c>
      <c r="W3" s="584">
        <f>[2]ELEC!$W$34</f>
        <v>33498</v>
      </c>
      <c r="X3" s="584">
        <f>[3]ELEC!X34</f>
        <v>0</v>
      </c>
      <c r="Y3" s="584">
        <f>[2]ELEC!$Y$34</f>
        <v>999659</v>
      </c>
      <c r="Z3" s="584">
        <f>[3]ELEC!Z34</f>
        <v>0</v>
      </c>
      <c r="AA3" s="584">
        <f>[2]ELEC!$AA$34</f>
        <v>36801</v>
      </c>
      <c r="AB3" s="584">
        <f>[3]ELEC!AB34</f>
        <v>0</v>
      </c>
      <c r="AC3" s="584">
        <f>[2]ELEC!$AC$34</f>
        <v>1171535</v>
      </c>
      <c r="AD3" s="584">
        <f>[3]ELEC!AD34</f>
        <v>0</v>
      </c>
      <c r="AE3" s="584">
        <f>[3]ELEC!AE34</f>
        <v>0</v>
      </c>
      <c r="AF3" s="584">
        <f>[3]ELEC!AF34</f>
        <v>0</v>
      </c>
      <c r="AG3" s="584">
        <f>[3]ELEC!AG34</f>
        <v>0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44835</v>
      </c>
      <c r="D4" s="584">
        <f>[2]ELEC!$D$34</f>
        <v>376630</v>
      </c>
      <c r="E4" s="573">
        <f>D4-D3</f>
        <v>0</v>
      </c>
      <c r="F4" s="584">
        <f>[2]ELEC!$F$34</f>
        <v>4168766</v>
      </c>
      <c r="G4" s="574">
        <f>F4-F3</f>
        <v>0</v>
      </c>
      <c r="H4" s="584">
        <f>[2]ELEC!$H$34</f>
        <v>18082090</v>
      </c>
      <c r="I4" s="574">
        <f>H4-H3</f>
        <v>0</v>
      </c>
      <c r="J4" s="584">
        <f>[2]ELEC!$J$34</f>
        <v>29857148</v>
      </c>
      <c r="K4" s="574">
        <f>J4-J3</f>
        <v>0</v>
      </c>
      <c r="L4" s="584">
        <f>[2]ELEC!$L$34</f>
        <v>24671166</v>
      </c>
      <c r="M4" s="574">
        <f>L4-L3</f>
        <v>0</v>
      </c>
      <c r="N4" s="426">
        <f>M4+K4+I4+G4+E4</f>
        <v>0</v>
      </c>
      <c r="O4" s="437">
        <f t="shared" ref="O4:O10" si="0">IF(B4&gt;0,N4/B4,0)</f>
        <v>0</v>
      </c>
      <c r="P4" s="584">
        <f>[2]ELEC!$P$34</f>
        <v>19535.339</v>
      </c>
      <c r="Q4" s="445">
        <f t="shared" ref="Q4:Q31" si="1">(P4-P3)*1000</f>
        <v>0</v>
      </c>
      <c r="R4" s="544">
        <f>+N4-Q4</f>
        <v>0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4">
        <f>[2]ELEC!$W$34</f>
        <v>33498</v>
      </c>
      <c r="X4" s="438">
        <f t="shared" ref="X4:X9" si="3">W4-W3</f>
        <v>0</v>
      </c>
      <c r="Y4" s="584">
        <f>[2]ELEC!$Y$34</f>
        <v>999659</v>
      </c>
      <c r="Z4" s="438">
        <f>Y4-Y3</f>
        <v>0</v>
      </c>
      <c r="AA4" s="584">
        <f>[2]ELEC!$AA$34</f>
        <v>36801</v>
      </c>
      <c r="AB4" s="438">
        <f>AA4-AA3</f>
        <v>0</v>
      </c>
      <c r="AC4" s="584">
        <f>[2]ELEC!$AC$34</f>
        <v>1171535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44836</v>
      </c>
      <c r="D5" s="584">
        <v>377400</v>
      </c>
      <c r="E5" s="573">
        <f t="shared" ref="E5:E34" si="7">D5-D4</f>
        <v>770</v>
      </c>
      <c r="F5" s="565">
        <v>4169133</v>
      </c>
      <c r="G5" s="448">
        <f>F5-F4</f>
        <v>367</v>
      </c>
      <c r="H5" s="425">
        <v>18082500</v>
      </c>
      <c r="I5" s="448">
        <f>H5-H4</f>
        <v>410</v>
      </c>
      <c r="J5" s="425">
        <v>29857514</v>
      </c>
      <c r="K5" s="448">
        <f>J5-J4</f>
        <v>366</v>
      </c>
      <c r="L5" s="425">
        <v>24671906</v>
      </c>
      <c r="M5" s="448">
        <f>L5-L4</f>
        <v>740</v>
      </c>
      <c r="N5" s="296">
        <f>M5+K5+I5+G5+E5</f>
        <v>2653</v>
      </c>
      <c r="O5" s="444">
        <f t="shared" si="0"/>
        <v>0</v>
      </c>
      <c r="P5" s="559">
        <v>19537.923999999999</v>
      </c>
      <c r="Q5" s="445">
        <f t="shared" si="1"/>
        <v>2584.9999999991269</v>
      </c>
      <c r="R5" s="427">
        <f>N5-Q5</f>
        <v>68.000000000873115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4">
        <v>33498</v>
      </c>
      <c r="X5" s="427">
        <f t="shared" si="3"/>
        <v>0</v>
      </c>
      <c r="Y5" s="584">
        <f>[2]ELEC!$Y$34</f>
        <v>999659</v>
      </c>
      <c r="Z5" s="427">
        <f>Y5-Y4</f>
        <v>0</v>
      </c>
      <c r="AA5" s="584">
        <f>[2]ELEC!$AA$34</f>
        <v>36801</v>
      </c>
      <c r="AB5" s="447">
        <f>AA5-AA4</f>
        <v>0</v>
      </c>
      <c r="AC5" s="584">
        <f>[2]ELEC!$AC$34</f>
        <v>1171535</v>
      </c>
      <c r="AD5" s="448">
        <f>AC5-AC4</f>
        <v>0</v>
      </c>
      <c r="AE5" s="449">
        <f t="shared" ref="AE5:AE31" si="10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44837</v>
      </c>
      <c r="D6" s="585">
        <v>378120</v>
      </c>
      <c r="E6" s="573">
        <f t="shared" ref="E6:E7" si="11">D6-D5</f>
        <v>720</v>
      </c>
      <c r="F6" s="565">
        <v>4169494</v>
      </c>
      <c r="G6" s="448">
        <f t="shared" ref="G6:G7" si="12">F6-F5</f>
        <v>361</v>
      </c>
      <c r="H6" s="425">
        <v>18082908</v>
      </c>
      <c r="I6" s="448">
        <f t="shared" ref="I6:I7" si="13">H6-H5</f>
        <v>408</v>
      </c>
      <c r="J6" s="425">
        <v>29858020</v>
      </c>
      <c r="K6" s="448">
        <f t="shared" ref="K6:K7" si="14">J6-J5</f>
        <v>506</v>
      </c>
      <c r="L6" s="425">
        <v>24672658</v>
      </c>
      <c r="M6" s="448">
        <f t="shared" ref="M6:M7" si="15">L6-L5</f>
        <v>752</v>
      </c>
      <c r="N6" s="296">
        <f t="shared" ref="N6:N7" si="16">M6+K6+I6+G6+E6</f>
        <v>2747</v>
      </c>
      <c r="O6" s="444">
        <f t="shared" ref="O6:O7" si="17">IF(B6&gt;0,N6/B6,0)</f>
        <v>0</v>
      </c>
      <c r="P6" s="559">
        <v>19540.732</v>
      </c>
      <c r="Q6" s="445">
        <f t="shared" ref="Q6:Q7" si="18">(P6-P5)*1000</f>
        <v>2808.0000000009022</v>
      </c>
      <c r="R6" s="427">
        <f>N6-Q6</f>
        <v>-61.000000000902219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19">U6-U5</f>
        <v>0</v>
      </c>
      <c r="W6" s="584">
        <f>[2]ELEC!$W$34</f>
        <v>33498</v>
      </c>
      <c r="X6" s="427">
        <f t="shared" si="3"/>
        <v>0</v>
      </c>
      <c r="Y6" s="584">
        <f>[2]ELEC!$Y$34</f>
        <v>999659</v>
      </c>
      <c r="Z6" s="427">
        <f>Y6-Y5</f>
        <v>0</v>
      </c>
      <c r="AA6" s="584">
        <f>[2]ELEC!$AA$34</f>
        <v>36801</v>
      </c>
      <c r="AB6" s="427">
        <f t="shared" ref="AB6:AB31" si="20">AA6-AA5</f>
        <v>0</v>
      </c>
      <c r="AC6" s="584">
        <f>[2]ELEC!$AC$34</f>
        <v>1171535</v>
      </c>
      <c r="AD6" s="427">
        <f t="shared" ref="AD6:AD17" si="21">AC6-AC5</f>
        <v>0</v>
      </c>
      <c r="AE6" s="449">
        <f t="shared" si="10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44838</v>
      </c>
      <c r="D7" s="585">
        <v>378790</v>
      </c>
      <c r="E7" s="573">
        <f t="shared" si="11"/>
        <v>670</v>
      </c>
      <c r="F7" s="565">
        <v>4169830</v>
      </c>
      <c r="G7" s="448">
        <f t="shared" si="12"/>
        <v>336</v>
      </c>
      <c r="H7" s="425">
        <v>18083294</v>
      </c>
      <c r="I7" s="448">
        <f t="shared" si="13"/>
        <v>386</v>
      </c>
      <c r="J7" s="425">
        <v>29858600</v>
      </c>
      <c r="K7" s="448">
        <f t="shared" si="14"/>
        <v>580</v>
      </c>
      <c r="L7" s="425">
        <v>24673382</v>
      </c>
      <c r="M7" s="448">
        <f t="shared" si="15"/>
        <v>724</v>
      </c>
      <c r="N7" s="296">
        <f t="shared" si="16"/>
        <v>2696</v>
      </c>
      <c r="O7" s="444">
        <f t="shared" si="17"/>
        <v>0</v>
      </c>
      <c r="P7" s="559">
        <v>19543.491000000002</v>
      </c>
      <c r="Q7" s="445">
        <f t="shared" si="18"/>
        <v>2759.0000000018335</v>
      </c>
      <c r="R7" s="427">
        <f t="shared" ref="R7:R18" si="22">N7-Q7</f>
        <v>-63.000000001833541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19"/>
        <v>0</v>
      </c>
      <c r="W7" s="584">
        <f>[2]ELEC!$W$34</f>
        <v>33498</v>
      </c>
      <c r="X7" s="427">
        <f t="shared" si="3"/>
        <v>0</v>
      </c>
      <c r="Y7" s="584">
        <f>[2]ELEC!$Y$34</f>
        <v>999659</v>
      </c>
      <c r="Z7" s="427">
        <f t="shared" ref="Z7:Z31" si="23">Y7-Y6</f>
        <v>0</v>
      </c>
      <c r="AA7" s="584">
        <f>[2]ELEC!$AA$34</f>
        <v>36801</v>
      </c>
      <c r="AB7" s="427">
        <f t="shared" si="20"/>
        <v>0</v>
      </c>
      <c r="AC7" s="584">
        <f>[2]ELEC!$AC$34</f>
        <v>1171535</v>
      </c>
      <c r="AD7" s="427">
        <f t="shared" si="21"/>
        <v>0</v>
      </c>
      <c r="AE7" s="449">
        <f t="shared" si="10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44839</v>
      </c>
      <c r="D8" s="585">
        <v>379970</v>
      </c>
      <c r="E8" s="573">
        <f t="shared" si="7"/>
        <v>1180</v>
      </c>
      <c r="F8" s="565">
        <v>4170234</v>
      </c>
      <c r="G8" s="448">
        <f t="shared" ref="G8:G34" si="24">F8-F7</f>
        <v>404</v>
      </c>
      <c r="H8" s="425">
        <v>18083746</v>
      </c>
      <c r="I8" s="448">
        <f t="shared" ref="I8:I34" si="25">H8-H7</f>
        <v>452</v>
      </c>
      <c r="J8" s="425">
        <v>29858960</v>
      </c>
      <c r="K8" s="448">
        <f t="shared" ref="K8:K34" si="26">J8-J7</f>
        <v>360</v>
      </c>
      <c r="L8" s="425">
        <v>24674286</v>
      </c>
      <c r="M8" s="448">
        <f t="shared" ref="M8:M31" si="27">L8-L7</f>
        <v>904</v>
      </c>
      <c r="N8" s="296">
        <f t="shared" ref="N8:N31" si="28">M8+K8+I8+G8+E8</f>
        <v>3300</v>
      </c>
      <c r="O8" s="444">
        <f t="shared" si="0"/>
        <v>0</v>
      </c>
      <c r="P8" s="559">
        <v>19547.010999999999</v>
      </c>
      <c r="Q8" s="445">
        <f t="shared" si="1"/>
        <v>3519.9999999967986</v>
      </c>
      <c r="R8" s="427">
        <f t="shared" si="22"/>
        <v>-219.99999999679858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19"/>
        <v>0</v>
      </c>
      <c r="W8" s="584">
        <v>33498</v>
      </c>
      <c r="X8" s="427">
        <f t="shared" si="3"/>
        <v>0</v>
      </c>
      <c r="Y8" s="584">
        <f>[2]ELEC!$Y$34</f>
        <v>999659</v>
      </c>
      <c r="Z8" s="427">
        <f t="shared" si="23"/>
        <v>0</v>
      </c>
      <c r="AA8" s="584">
        <f>[2]ELEC!$AA$34</f>
        <v>36801</v>
      </c>
      <c r="AB8" s="427">
        <f t="shared" si="20"/>
        <v>0</v>
      </c>
      <c r="AC8" s="584">
        <f>[2]ELEC!$AC$34</f>
        <v>1171535</v>
      </c>
      <c r="AD8" s="427">
        <f t="shared" si="21"/>
        <v>0</v>
      </c>
      <c r="AE8" s="449">
        <f t="shared" si="10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44840</v>
      </c>
      <c r="D9" s="585">
        <v>380700</v>
      </c>
      <c r="E9" s="573">
        <f t="shared" si="7"/>
        <v>730</v>
      </c>
      <c r="F9" s="565">
        <v>4170589</v>
      </c>
      <c r="G9" s="448">
        <f t="shared" si="24"/>
        <v>355</v>
      </c>
      <c r="H9" s="425">
        <v>18084160</v>
      </c>
      <c r="I9" s="448">
        <f t="shared" si="25"/>
        <v>414</v>
      </c>
      <c r="J9" s="425">
        <v>29859338</v>
      </c>
      <c r="K9" s="448">
        <f t="shared" si="26"/>
        <v>378</v>
      </c>
      <c r="L9" s="425">
        <v>24675082</v>
      </c>
      <c r="M9" s="448">
        <f t="shared" si="27"/>
        <v>796</v>
      </c>
      <c r="N9" s="296">
        <f t="shared" si="28"/>
        <v>2673</v>
      </c>
      <c r="O9" s="444">
        <f t="shared" si="0"/>
        <v>0</v>
      </c>
      <c r="P9" s="559">
        <v>19549.607</v>
      </c>
      <c r="Q9" s="445">
        <f t="shared" si="1"/>
        <v>2596.0000000013679</v>
      </c>
      <c r="R9" s="427">
        <f t="shared" si="22"/>
        <v>76.99999999863212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19"/>
        <v>0</v>
      </c>
      <c r="W9" s="584">
        <f>[2]ELEC!$W$34</f>
        <v>33498</v>
      </c>
      <c r="X9" s="427">
        <f t="shared" si="3"/>
        <v>0</v>
      </c>
      <c r="Y9" s="584">
        <f>[2]ELEC!$Y$34</f>
        <v>999659</v>
      </c>
      <c r="Z9" s="427">
        <f t="shared" si="23"/>
        <v>0</v>
      </c>
      <c r="AA9" s="584">
        <f>[2]ELEC!$AA$34</f>
        <v>36801</v>
      </c>
      <c r="AB9" s="427">
        <f t="shared" si="20"/>
        <v>0</v>
      </c>
      <c r="AC9" s="584">
        <f>[2]ELEC!$AC$34</f>
        <v>1171535</v>
      </c>
      <c r="AD9" s="427">
        <f t="shared" si="21"/>
        <v>0</v>
      </c>
      <c r="AE9" s="449">
        <f t="shared" si="10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44841</v>
      </c>
      <c r="D10" s="585">
        <f t="shared" ref="D10:D34" si="29">D9</f>
        <v>380700</v>
      </c>
      <c r="E10" s="573">
        <f t="shared" si="7"/>
        <v>0</v>
      </c>
      <c r="F10" s="565">
        <f t="shared" ref="F10:F34" si="30">F9</f>
        <v>4170589</v>
      </c>
      <c r="G10" s="448">
        <f t="shared" si="24"/>
        <v>0</v>
      </c>
      <c r="H10" s="425">
        <f t="shared" ref="H10:H34" si="31">H9</f>
        <v>18084160</v>
      </c>
      <c r="I10" s="448">
        <f t="shared" si="25"/>
        <v>0</v>
      </c>
      <c r="J10" s="425">
        <f t="shared" ref="J10:J34" si="32">J9</f>
        <v>29859338</v>
      </c>
      <c r="K10" s="448">
        <f t="shared" si="26"/>
        <v>0</v>
      </c>
      <c r="L10" s="425">
        <f t="shared" ref="L10:L34" si="33">L9</f>
        <v>24675082</v>
      </c>
      <c r="M10" s="448">
        <f t="shared" si="27"/>
        <v>0</v>
      </c>
      <c r="N10" s="296">
        <f t="shared" si="28"/>
        <v>0</v>
      </c>
      <c r="O10" s="444">
        <f t="shared" si="0"/>
        <v>0</v>
      </c>
      <c r="P10" s="559">
        <f t="shared" ref="P10:P34" si="34">P9</f>
        <v>19549.607</v>
      </c>
      <c r="Q10" s="445">
        <f t="shared" si="1"/>
        <v>0</v>
      </c>
      <c r="R10" s="427">
        <f t="shared" si="22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19"/>
        <v>0</v>
      </c>
      <c r="W10" s="584">
        <f>[2]ELEC!$W$34</f>
        <v>33498</v>
      </c>
      <c r="X10" s="427">
        <f t="shared" ref="X10:X31" si="35">W10-W9</f>
        <v>0</v>
      </c>
      <c r="Y10" s="584">
        <f>[2]ELEC!$Y$34</f>
        <v>999659</v>
      </c>
      <c r="Z10" s="427">
        <f t="shared" si="23"/>
        <v>0</v>
      </c>
      <c r="AA10" s="584">
        <f>[2]ELEC!$AA$34</f>
        <v>36801</v>
      </c>
      <c r="AB10" s="427">
        <f t="shared" si="20"/>
        <v>0</v>
      </c>
      <c r="AC10" s="584">
        <f>[2]ELEC!$AC$34</f>
        <v>1171535</v>
      </c>
      <c r="AD10" s="427">
        <f t="shared" si="21"/>
        <v>0</v>
      </c>
      <c r="AE10" s="449">
        <f t="shared" si="10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44842</v>
      </c>
      <c r="D11" s="585">
        <f t="shared" si="29"/>
        <v>380700</v>
      </c>
      <c r="E11" s="573">
        <f t="shared" si="7"/>
        <v>0</v>
      </c>
      <c r="F11" s="565">
        <f t="shared" si="30"/>
        <v>4170589</v>
      </c>
      <c r="G11" s="448">
        <f t="shared" si="24"/>
        <v>0</v>
      </c>
      <c r="H11" s="425">
        <f t="shared" si="31"/>
        <v>18084160</v>
      </c>
      <c r="I11" s="448">
        <f t="shared" si="25"/>
        <v>0</v>
      </c>
      <c r="J11" s="425">
        <f t="shared" si="32"/>
        <v>29859338</v>
      </c>
      <c r="K11" s="448">
        <f t="shared" si="26"/>
        <v>0</v>
      </c>
      <c r="L11" s="425">
        <f t="shared" si="33"/>
        <v>24675082</v>
      </c>
      <c r="M11" s="448">
        <f t="shared" si="27"/>
        <v>0</v>
      </c>
      <c r="N11" s="296">
        <f t="shared" si="28"/>
        <v>0</v>
      </c>
      <c r="O11" s="444">
        <f t="shared" ref="O11:O31" si="36">IF(B11&gt;0,N11/B11,0)</f>
        <v>0</v>
      </c>
      <c r="P11" s="559">
        <f t="shared" si="34"/>
        <v>19549.607</v>
      </c>
      <c r="Q11" s="445">
        <f t="shared" si="1"/>
        <v>0</v>
      </c>
      <c r="R11" s="427">
        <f t="shared" si="22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19"/>
        <v>0</v>
      </c>
      <c r="W11" s="584">
        <f>[2]ELEC!$W$34</f>
        <v>33498</v>
      </c>
      <c r="X11" s="427">
        <f t="shared" si="35"/>
        <v>0</v>
      </c>
      <c r="Y11" s="584">
        <f>[2]ELEC!$Y$34</f>
        <v>999659</v>
      </c>
      <c r="Z11" s="427">
        <f t="shared" si="23"/>
        <v>0</v>
      </c>
      <c r="AA11" s="584">
        <f>[2]ELEC!$AA$34</f>
        <v>36801</v>
      </c>
      <c r="AB11" s="427">
        <f t="shared" si="20"/>
        <v>0</v>
      </c>
      <c r="AC11" s="584">
        <f>[2]ELEC!$AC$34</f>
        <v>1171535</v>
      </c>
      <c r="AD11" s="427">
        <f t="shared" si="21"/>
        <v>0</v>
      </c>
      <c r="AE11" s="449">
        <f t="shared" si="10"/>
        <v>0</v>
      </c>
      <c r="AF11" s="450">
        <f t="shared" si="4"/>
        <v>0</v>
      </c>
      <c r="AG11" s="442">
        <f t="shared" ref="AG11:AG32" si="37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44843</v>
      </c>
      <c r="D12" s="585">
        <f t="shared" si="29"/>
        <v>380700</v>
      </c>
      <c r="E12" s="573">
        <f>D12-D11</f>
        <v>0</v>
      </c>
      <c r="F12" s="565">
        <f t="shared" si="30"/>
        <v>4170589</v>
      </c>
      <c r="G12" s="448">
        <f t="shared" si="24"/>
        <v>0</v>
      </c>
      <c r="H12" s="425">
        <f t="shared" si="31"/>
        <v>18084160</v>
      </c>
      <c r="I12" s="448">
        <f t="shared" si="25"/>
        <v>0</v>
      </c>
      <c r="J12" s="425">
        <f t="shared" si="32"/>
        <v>29859338</v>
      </c>
      <c r="K12" s="448">
        <f t="shared" si="26"/>
        <v>0</v>
      </c>
      <c r="L12" s="425">
        <f t="shared" si="33"/>
        <v>24675082</v>
      </c>
      <c r="M12" s="448">
        <f t="shared" si="27"/>
        <v>0</v>
      </c>
      <c r="N12" s="296">
        <f>M12+K12+I12+G12+E12</f>
        <v>0</v>
      </c>
      <c r="O12" s="444">
        <f t="shared" si="36"/>
        <v>0</v>
      </c>
      <c r="P12" s="559">
        <f t="shared" si="34"/>
        <v>19549.607</v>
      </c>
      <c r="Q12" s="445">
        <f t="shared" si="1"/>
        <v>0</v>
      </c>
      <c r="R12" s="586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19"/>
        <v>0</v>
      </c>
      <c r="W12" s="584">
        <f>[2]ELEC!$W$34</f>
        <v>33498</v>
      </c>
      <c r="X12" s="427">
        <f t="shared" si="35"/>
        <v>0</v>
      </c>
      <c r="Y12" s="584">
        <f>[2]ELEC!$Y$34</f>
        <v>999659</v>
      </c>
      <c r="Z12" s="427">
        <f t="shared" si="23"/>
        <v>0</v>
      </c>
      <c r="AA12" s="584">
        <f>[2]ELEC!$AA$34</f>
        <v>36801</v>
      </c>
      <c r="AB12" s="427">
        <f t="shared" si="20"/>
        <v>0</v>
      </c>
      <c r="AC12" s="584">
        <f>[2]ELEC!$AC$34</f>
        <v>1171535</v>
      </c>
      <c r="AD12" s="427">
        <f t="shared" si="21"/>
        <v>0</v>
      </c>
      <c r="AE12" s="449">
        <f t="shared" si="10"/>
        <v>0</v>
      </c>
      <c r="AF12" s="450">
        <f t="shared" si="4"/>
        <v>0</v>
      </c>
      <c r="AG12" s="442">
        <f t="shared" si="37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44844</v>
      </c>
      <c r="D13" s="585">
        <v>381460</v>
      </c>
      <c r="E13" s="573">
        <f t="shared" si="7"/>
        <v>760</v>
      </c>
      <c r="F13" s="565">
        <v>4170987</v>
      </c>
      <c r="G13" s="448">
        <f t="shared" si="24"/>
        <v>398</v>
      </c>
      <c r="H13" s="425">
        <v>18084610</v>
      </c>
      <c r="I13" s="448">
        <f t="shared" si="25"/>
        <v>450</v>
      </c>
      <c r="J13" s="425">
        <v>29859542</v>
      </c>
      <c r="K13" s="448">
        <f t="shared" si="26"/>
        <v>204</v>
      </c>
      <c r="L13" s="425">
        <v>24676022</v>
      </c>
      <c r="M13" s="448">
        <f t="shared" si="27"/>
        <v>940</v>
      </c>
      <c r="N13" s="296">
        <f>M13+K13+I13+G13+E13</f>
        <v>2752</v>
      </c>
      <c r="O13" s="444">
        <f t="shared" si="36"/>
        <v>0</v>
      </c>
      <c r="P13" s="559">
        <v>19552.552</v>
      </c>
      <c r="Q13" s="445">
        <f t="shared" si="1"/>
        <v>2944.999999999709</v>
      </c>
      <c r="R13" s="427">
        <f t="shared" si="22"/>
        <v>-192.99999999970896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19"/>
        <v>0</v>
      </c>
      <c r="W13" s="584">
        <f>[2]ELEC!$W$34</f>
        <v>33498</v>
      </c>
      <c r="X13" s="427">
        <f t="shared" si="35"/>
        <v>0</v>
      </c>
      <c r="Y13" s="584">
        <f>[2]ELEC!$Y$34</f>
        <v>999659</v>
      </c>
      <c r="Z13" s="427">
        <f t="shared" si="23"/>
        <v>0</v>
      </c>
      <c r="AA13" s="584">
        <f>[2]ELEC!$AA$34</f>
        <v>36801</v>
      </c>
      <c r="AB13" s="427">
        <f t="shared" si="20"/>
        <v>0</v>
      </c>
      <c r="AC13" s="584">
        <f>[2]ELEC!$AC$34</f>
        <v>1171535</v>
      </c>
      <c r="AD13" s="427">
        <f t="shared" si="21"/>
        <v>0</v>
      </c>
      <c r="AE13" s="449">
        <f t="shared" si="10"/>
        <v>0</v>
      </c>
      <c r="AF13" s="450">
        <f t="shared" si="4"/>
        <v>0</v>
      </c>
      <c r="AG13" s="442">
        <f t="shared" si="37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44845</v>
      </c>
      <c r="D14" s="585">
        <v>382110</v>
      </c>
      <c r="E14" s="573">
        <f t="shared" si="7"/>
        <v>650</v>
      </c>
      <c r="F14" s="565">
        <v>4171342</v>
      </c>
      <c r="G14" s="448">
        <f t="shared" si="24"/>
        <v>355</v>
      </c>
      <c r="H14" s="425">
        <v>18084954</v>
      </c>
      <c r="I14" s="448">
        <f t="shared" si="25"/>
        <v>344</v>
      </c>
      <c r="J14" s="425">
        <v>29859770</v>
      </c>
      <c r="K14" s="448">
        <f t="shared" si="26"/>
        <v>228</v>
      </c>
      <c r="L14" s="425">
        <v>24676798</v>
      </c>
      <c r="M14" s="448">
        <f t="shared" si="27"/>
        <v>776</v>
      </c>
      <c r="N14" s="296">
        <f>M14+K14+I14+G14+E14</f>
        <v>2353</v>
      </c>
      <c r="O14" s="444">
        <f t="shared" si="36"/>
        <v>0</v>
      </c>
      <c r="P14" s="559">
        <v>19554.852999999999</v>
      </c>
      <c r="Q14" s="445">
        <f t="shared" si="1"/>
        <v>2300.9999999994761</v>
      </c>
      <c r="R14" s="427">
        <f t="shared" si="22"/>
        <v>52.000000000523869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19"/>
        <v>0</v>
      </c>
      <c r="W14" s="584">
        <f>[2]ELEC!$W$34</f>
        <v>33498</v>
      </c>
      <c r="X14" s="427">
        <f t="shared" si="35"/>
        <v>0</v>
      </c>
      <c r="Y14" s="584">
        <f>[2]ELEC!$Y$34</f>
        <v>999659</v>
      </c>
      <c r="Z14" s="427">
        <f t="shared" si="23"/>
        <v>0</v>
      </c>
      <c r="AA14" s="584">
        <f>[2]ELEC!$AA$34</f>
        <v>36801</v>
      </c>
      <c r="AB14" s="427">
        <f t="shared" si="20"/>
        <v>0</v>
      </c>
      <c r="AC14" s="584">
        <f>[2]ELEC!$AC$34</f>
        <v>1171535</v>
      </c>
      <c r="AD14" s="427">
        <f t="shared" si="21"/>
        <v>0</v>
      </c>
      <c r="AE14" s="449">
        <f t="shared" si="10"/>
        <v>0</v>
      </c>
      <c r="AF14" s="450">
        <f t="shared" si="4"/>
        <v>0</v>
      </c>
      <c r="AG14" s="442">
        <f t="shared" si="37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44846</v>
      </c>
      <c r="D15" s="585">
        <v>383040</v>
      </c>
      <c r="E15" s="573">
        <f t="shared" si="7"/>
        <v>930</v>
      </c>
      <c r="F15" s="565">
        <v>4171872</v>
      </c>
      <c r="G15" s="448">
        <f t="shared" si="24"/>
        <v>530</v>
      </c>
      <c r="H15" s="425">
        <v>18085458</v>
      </c>
      <c r="I15" s="448">
        <f t="shared" si="25"/>
        <v>504</v>
      </c>
      <c r="J15" s="425">
        <v>29860086</v>
      </c>
      <c r="K15" s="448">
        <f t="shared" si="26"/>
        <v>316</v>
      </c>
      <c r="L15" s="425">
        <v>24677810</v>
      </c>
      <c r="M15" s="448">
        <f t="shared" si="27"/>
        <v>1012</v>
      </c>
      <c r="N15" s="296">
        <f t="shared" si="28"/>
        <v>3292</v>
      </c>
      <c r="O15" s="444">
        <f t="shared" si="36"/>
        <v>0</v>
      </c>
      <c r="P15" s="559">
        <v>19558.222000000002</v>
      </c>
      <c r="Q15" s="445">
        <f t="shared" si="1"/>
        <v>3369.0000000024156</v>
      </c>
      <c r="R15" s="586">
        <f>N15-Q15</f>
        <v>-77.000000002415618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19"/>
        <v>0</v>
      </c>
      <c r="W15" s="584">
        <f>[2]ELEC!$W$34</f>
        <v>33498</v>
      </c>
      <c r="X15" s="427">
        <f t="shared" si="35"/>
        <v>0</v>
      </c>
      <c r="Y15" s="584">
        <f>[2]ELEC!$Y$34</f>
        <v>999659</v>
      </c>
      <c r="Z15" s="427">
        <f t="shared" si="23"/>
        <v>0</v>
      </c>
      <c r="AA15" s="584">
        <f>[2]ELEC!$AA$34</f>
        <v>36801</v>
      </c>
      <c r="AB15" s="427">
        <f t="shared" si="20"/>
        <v>0</v>
      </c>
      <c r="AC15" s="584">
        <f>[2]ELEC!$AC$34</f>
        <v>1171535</v>
      </c>
      <c r="AD15" s="427">
        <f t="shared" si="21"/>
        <v>0</v>
      </c>
      <c r="AE15" s="449">
        <f t="shared" si="10"/>
        <v>0</v>
      </c>
      <c r="AF15" s="450">
        <f t="shared" si="4"/>
        <v>0</v>
      </c>
      <c r="AG15" s="442">
        <f t="shared" si="37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44847</v>
      </c>
      <c r="D16" s="585">
        <v>383040</v>
      </c>
      <c r="E16" s="573">
        <f t="shared" si="7"/>
        <v>0</v>
      </c>
      <c r="F16" s="565">
        <f t="shared" si="30"/>
        <v>4171872</v>
      </c>
      <c r="G16" s="448">
        <f t="shared" si="24"/>
        <v>0</v>
      </c>
      <c r="H16" s="425">
        <f t="shared" si="31"/>
        <v>18085458</v>
      </c>
      <c r="I16" s="448">
        <f t="shared" si="25"/>
        <v>0</v>
      </c>
      <c r="J16" s="425">
        <f t="shared" si="32"/>
        <v>29860086</v>
      </c>
      <c r="K16" s="448">
        <f t="shared" si="26"/>
        <v>0</v>
      </c>
      <c r="L16" s="425">
        <f t="shared" si="33"/>
        <v>24677810</v>
      </c>
      <c r="M16" s="448">
        <f t="shared" si="27"/>
        <v>0</v>
      </c>
      <c r="N16" s="296">
        <f t="shared" si="28"/>
        <v>0</v>
      </c>
      <c r="O16" s="444">
        <f t="shared" si="36"/>
        <v>0</v>
      </c>
      <c r="P16" s="559">
        <f t="shared" si="34"/>
        <v>19558.222000000002</v>
      </c>
      <c r="Q16" s="445">
        <f t="shared" si="1"/>
        <v>0</v>
      </c>
      <c r="R16" s="427">
        <f t="shared" si="22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19"/>
        <v>0</v>
      </c>
      <c r="W16" s="584">
        <f>[2]ELEC!$W$34</f>
        <v>33498</v>
      </c>
      <c r="X16" s="427">
        <f t="shared" si="35"/>
        <v>0</v>
      </c>
      <c r="Y16" s="584">
        <f>[2]ELEC!$Y$34</f>
        <v>999659</v>
      </c>
      <c r="Z16" s="427">
        <f t="shared" si="23"/>
        <v>0</v>
      </c>
      <c r="AA16" s="584">
        <f>[2]ELEC!$AA$34</f>
        <v>36801</v>
      </c>
      <c r="AB16" s="427">
        <f t="shared" si="20"/>
        <v>0</v>
      </c>
      <c r="AC16" s="584">
        <f>[2]ELEC!$AC$34</f>
        <v>1171535</v>
      </c>
      <c r="AD16" s="427">
        <f t="shared" si="21"/>
        <v>0</v>
      </c>
      <c r="AE16" s="449">
        <f t="shared" si="10"/>
        <v>0</v>
      </c>
      <c r="AF16" s="450">
        <f t="shared" si="4"/>
        <v>0</v>
      </c>
      <c r="AG16" s="442">
        <f t="shared" si="37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44848</v>
      </c>
      <c r="D17" s="585">
        <f t="shared" si="29"/>
        <v>383040</v>
      </c>
      <c r="E17" s="573">
        <f t="shared" si="7"/>
        <v>0</v>
      </c>
      <c r="F17" s="565">
        <f t="shared" si="30"/>
        <v>4171872</v>
      </c>
      <c r="G17" s="448">
        <f t="shared" si="24"/>
        <v>0</v>
      </c>
      <c r="H17" s="425">
        <f t="shared" si="31"/>
        <v>18085458</v>
      </c>
      <c r="I17" s="448">
        <f t="shared" si="25"/>
        <v>0</v>
      </c>
      <c r="J17" s="425">
        <f t="shared" si="32"/>
        <v>29860086</v>
      </c>
      <c r="K17" s="448">
        <f t="shared" si="26"/>
        <v>0</v>
      </c>
      <c r="L17" s="425">
        <f t="shared" si="33"/>
        <v>24677810</v>
      </c>
      <c r="M17" s="448">
        <f t="shared" si="27"/>
        <v>0</v>
      </c>
      <c r="N17" s="296">
        <f t="shared" si="28"/>
        <v>0</v>
      </c>
      <c r="O17" s="444">
        <f t="shared" si="36"/>
        <v>0</v>
      </c>
      <c r="P17" s="559">
        <f t="shared" si="34"/>
        <v>19558.222000000002</v>
      </c>
      <c r="Q17" s="445">
        <f t="shared" si="1"/>
        <v>0</v>
      </c>
      <c r="R17" s="427">
        <f t="shared" si="22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19"/>
        <v>0</v>
      </c>
      <c r="W17" s="584">
        <f>[2]ELEC!$W$34</f>
        <v>33498</v>
      </c>
      <c r="X17" s="427">
        <f>W17-W16</f>
        <v>0</v>
      </c>
      <c r="Y17" s="584">
        <f>[2]ELEC!$Y$34</f>
        <v>999659</v>
      </c>
      <c r="Z17" s="427">
        <f>Y17-Y16</f>
        <v>0</v>
      </c>
      <c r="AA17" s="584">
        <f>[2]ELEC!$AA$34</f>
        <v>36801</v>
      </c>
      <c r="AB17" s="427">
        <f>AA17-AA16</f>
        <v>0</v>
      </c>
      <c r="AC17" s="584">
        <f>[2]ELEC!$AC$34</f>
        <v>1171535</v>
      </c>
      <c r="AD17" s="427">
        <f t="shared" si="21"/>
        <v>0</v>
      </c>
      <c r="AE17" s="449">
        <f t="shared" si="10"/>
        <v>0</v>
      </c>
      <c r="AF17" s="450">
        <f t="shared" si="4"/>
        <v>0</v>
      </c>
      <c r="AG17" s="442">
        <f t="shared" si="37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44849</v>
      </c>
      <c r="D18" s="585">
        <f t="shared" si="29"/>
        <v>383040</v>
      </c>
      <c r="E18" s="573">
        <f t="shared" si="7"/>
        <v>0</v>
      </c>
      <c r="F18" s="565">
        <f t="shared" si="30"/>
        <v>4171872</v>
      </c>
      <c r="G18" s="448">
        <f t="shared" si="24"/>
        <v>0</v>
      </c>
      <c r="H18" s="425">
        <f t="shared" si="31"/>
        <v>18085458</v>
      </c>
      <c r="I18" s="448">
        <f t="shared" si="25"/>
        <v>0</v>
      </c>
      <c r="J18" s="425">
        <f t="shared" si="32"/>
        <v>29860086</v>
      </c>
      <c r="K18" s="448">
        <f t="shared" si="26"/>
        <v>0</v>
      </c>
      <c r="L18" s="425">
        <f t="shared" si="33"/>
        <v>24677810</v>
      </c>
      <c r="M18" s="448">
        <f t="shared" si="27"/>
        <v>0</v>
      </c>
      <c r="N18" s="296">
        <f>M18+K18+I18+G18+E18</f>
        <v>0</v>
      </c>
      <c r="O18" s="444">
        <f t="shared" si="36"/>
        <v>0</v>
      </c>
      <c r="P18" s="559">
        <f t="shared" si="34"/>
        <v>19558.222000000002</v>
      </c>
      <c r="Q18" s="445">
        <f t="shared" si="1"/>
        <v>0</v>
      </c>
      <c r="R18" s="427">
        <f t="shared" si="22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19"/>
        <v>0</v>
      </c>
      <c r="W18" s="584">
        <f>[2]ELEC!$W$34</f>
        <v>33498</v>
      </c>
      <c r="X18" s="427">
        <f t="shared" si="35"/>
        <v>0</v>
      </c>
      <c r="Y18" s="584">
        <f>[2]ELEC!$Y$34</f>
        <v>999659</v>
      </c>
      <c r="Z18" s="427">
        <f t="shared" si="23"/>
        <v>0</v>
      </c>
      <c r="AA18" s="584">
        <f>[2]ELEC!$AA$34</f>
        <v>36801</v>
      </c>
      <c r="AB18" s="427">
        <f t="shared" si="20"/>
        <v>0</v>
      </c>
      <c r="AC18" s="584">
        <f>[2]ELEC!$AC$34</f>
        <v>1171535</v>
      </c>
      <c r="AD18" s="427">
        <f t="shared" ref="AD18:AD31" si="38">AC18-AC17</f>
        <v>0</v>
      </c>
      <c r="AE18" s="449">
        <f t="shared" si="10"/>
        <v>0</v>
      </c>
      <c r="AF18" s="450">
        <f t="shared" si="4"/>
        <v>0</v>
      </c>
      <c r="AG18" s="442">
        <f t="shared" si="37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44850</v>
      </c>
      <c r="D19" s="585">
        <v>384390</v>
      </c>
      <c r="E19" s="573">
        <f t="shared" si="7"/>
        <v>1350</v>
      </c>
      <c r="F19" s="565">
        <v>4172652</v>
      </c>
      <c r="G19" s="448">
        <f t="shared" si="24"/>
        <v>780</v>
      </c>
      <c r="H19" s="425">
        <v>18086246</v>
      </c>
      <c r="I19" s="448">
        <f t="shared" si="25"/>
        <v>788</v>
      </c>
      <c r="J19" s="425">
        <v>29860582</v>
      </c>
      <c r="K19" s="448">
        <f t="shared" si="26"/>
        <v>496</v>
      </c>
      <c r="L19" s="425">
        <v>24679248</v>
      </c>
      <c r="M19" s="448">
        <f t="shared" si="27"/>
        <v>1438</v>
      </c>
      <c r="N19" s="296">
        <f t="shared" si="28"/>
        <v>4852</v>
      </c>
      <c r="O19" s="444">
        <f t="shared" si="36"/>
        <v>0</v>
      </c>
      <c r="P19" s="559">
        <v>19563.221000000001</v>
      </c>
      <c r="Q19" s="445">
        <f>(P19-P18)*1000</f>
        <v>4998.9999999997963</v>
      </c>
      <c r="R19" s="586">
        <f>N19-Q19</f>
        <v>-146.99999999979627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19"/>
        <v>0</v>
      </c>
      <c r="W19" s="584">
        <f>[2]ELEC!$W$34</f>
        <v>33498</v>
      </c>
      <c r="X19" s="427">
        <f t="shared" si="35"/>
        <v>0</v>
      </c>
      <c r="Y19" s="584">
        <f>[2]ELEC!$Y$34</f>
        <v>999659</v>
      </c>
      <c r="Z19" s="427">
        <f t="shared" si="23"/>
        <v>0</v>
      </c>
      <c r="AA19" s="584">
        <f>[2]ELEC!$AA$34</f>
        <v>36801</v>
      </c>
      <c r="AB19" s="427">
        <f t="shared" si="20"/>
        <v>0</v>
      </c>
      <c r="AC19" s="584">
        <f>[2]ELEC!$AC$34</f>
        <v>1171535</v>
      </c>
      <c r="AD19" s="427">
        <f t="shared" si="38"/>
        <v>0</v>
      </c>
      <c r="AE19" s="449">
        <f t="shared" si="10"/>
        <v>0</v>
      </c>
      <c r="AF19" s="450">
        <f t="shared" si="4"/>
        <v>0</v>
      </c>
      <c r="AG19" s="442">
        <f t="shared" si="37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44851</v>
      </c>
      <c r="D20" s="585">
        <v>384930</v>
      </c>
      <c r="E20" s="573">
        <f t="shared" si="7"/>
        <v>540</v>
      </c>
      <c r="F20" s="565">
        <v>4172963</v>
      </c>
      <c r="G20" s="448">
        <f t="shared" si="24"/>
        <v>311</v>
      </c>
      <c r="H20" s="425">
        <v>18086546</v>
      </c>
      <c r="I20" s="448">
        <f t="shared" si="25"/>
        <v>300</v>
      </c>
      <c r="J20" s="425">
        <v>29860786</v>
      </c>
      <c r="K20" s="448">
        <f t="shared" si="26"/>
        <v>204</v>
      </c>
      <c r="L20" s="425">
        <v>24679872</v>
      </c>
      <c r="M20" s="448">
        <f t="shared" si="27"/>
        <v>624</v>
      </c>
      <c r="N20" s="296">
        <f t="shared" si="28"/>
        <v>1979</v>
      </c>
      <c r="O20" s="444">
        <f t="shared" si="36"/>
        <v>0</v>
      </c>
      <c r="P20" s="559">
        <v>19565.237000000001</v>
      </c>
      <c r="Q20" s="445">
        <f>(P20-P19)*1000</f>
        <v>2015.9999999996217</v>
      </c>
      <c r="R20" s="586">
        <f>N20-Q20</f>
        <v>-36.99999999962165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19"/>
        <v>0</v>
      </c>
      <c r="W20" s="584">
        <f>[2]ELEC!$W$34</f>
        <v>33498</v>
      </c>
      <c r="X20" s="427">
        <f t="shared" si="35"/>
        <v>0</v>
      </c>
      <c r="Y20" s="584">
        <f>[2]ELEC!$Y$34</f>
        <v>999659</v>
      </c>
      <c r="Z20" s="427">
        <f t="shared" si="23"/>
        <v>0</v>
      </c>
      <c r="AA20" s="584">
        <f>[2]ELEC!$AA$34</f>
        <v>36801</v>
      </c>
      <c r="AB20" s="427">
        <f t="shared" si="20"/>
        <v>0</v>
      </c>
      <c r="AC20" s="584">
        <f>[2]ELEC!$AC$34</f>
        <v>1171535</v>
      </c>
      <c r="AD20" s="427">
        <f t="shared" si="38"/>
        <v>0</v>
      </c>
      <c r="AE20" s="449">
        <f t="shared" si="10"/>
        <v>0</v>
      </c>
      <c r="AF20" s="450">
        <f t="shared" si="4"/>
        <v>0</v>
      </c>
      <c r="AG20" s="442">
        <f t="shared" si="37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44852</v>
      </c>
      <c r="D21" s="585">
        <v>385750</v>
      </c>
      <c r="E21" s="573">
        <f t="shared" si="7"/>
        <v>820</v>
      </c>
      <c r="F21" s="565">
        <v>4173416</v>
      </c>
      <c r="G21" s="448">
        <f t="shared" si="24"/>
        <v>453</v>
      </c>
      <c r="H21" s="425">
        <v>18086968</v>
      </c>
      <c r="I21" s="448">
        <f t="shared" si="25"/>
        <v>422</v>
      </c>
      <c r="J21" s="425">
        <v>29860910</v>
      </c>
      <c r="K21" s="448">
        <f t="shared" si="26"/>
        <v>124</v>
      </c>
      <c r="L21" s="425">
        <v>24680666</v>
      </c>
      <c r="M21" s="448">
        <f t="shared" si="27"/>
        <v>794</v>
      </c>
      <c r="N21" s="296">
        <f t="shared" si="28"/>
        <v>2613</v>
      </c>
      <c r="O21" s="444">
        <f t="shared" si="36"/>
        <v>0</v>
      </c>
      <c r="P21" s="559">
        <v>19567.909</v>
      </c>
      <c r="Q21" s="445">
        <f t="shared" si="1"/>
        <v>2671.9999999986612</v>
      </c>
      <c r="R21" s="586">
        <f t="shared" ref="R21:R31" si="39">N21-Q21</f>
        <v>-58.999999998661224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19"/>
        <v>0</v>
      </c>
      <c r="W21" s="584">
        <f>[2]ELEC!$W$34</f>
        <v>33498</v>
      </c>
      <c r="X21" s="427">
        <f t="shared" si="35"/>
        <v>0</v>
      </c>
      <c r="Y21" s="584">
        <f>[2]ELEC!$Y$34</f>
        <v>999659</v>
      </c>
      <c r="Z21" s="427">
        <f t="shared" si="23"/>
        <v>0</v>
      </c>
      <c r="AA21" s="584">
        <f>[2]ELEC!$AA$34</f>
        <v>36801</v>
      </c>
      <c r="AB21" s="427">
        <f t="shared" si="20"/>
        <v>0</v>
      </c>
      <c r="AC21" s="584">
        <f>[2]ELEC!$AC$34</f>
        <v>1171535</v>
      </c>
      <c r="AD21" s="427">
        <f t="shared" si="38"/>
        <v>0</v>
      </c>
      <c r="AE21" s="449">
        <f t="shared" si="10"/>
        <v>0</v>
      </c>
      <c r="AF21" s="450">
        <f t="shared" si="4"/>
        <v>0</v>
      </c>
      <c r="AG21" s="442">
        <f t="shared" si="37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44853</v>
      </c>
      <c r="D22" s="585">
        <v>386460</v>
      </c>
      <c r="E22" s="573">
        <f t="shared" ref="E22" si="40">D22-D21</f>
        <v>710</v>
      </c>
      <c r="F22" s="565">
        <v>4173836</v>
      </c>
      <c r="G22" s="448">
        <f t="shared" ref="G22" si="41">F22-F21</f>
        <v>420</v>
      </c>
      <c r="H22" s="425">
        <v>18087354</v>
      </c>
      <c r="I22" s="448">
        <f t="shared" si="25"/>
        <v>386</v>
      </c>
      <c r="J22" s="425">
        <v>29861126</v>
      </c>
      <c r="K22" s="448">
        <f t="shared" ref="K22" si="42">J22-J21</f>
        <v>216</v>
      </c>
      <c r="L22" s="425">
        <v>24681370</v>
      </c>
      <c r="M22" s="448">
        <f t="shared" ref="M22" si="43">L22-L21</f>
        <v>704</v>
      </c>
      <c r="N22" s="296">
        <f t="shared" ref="N22" si="44">M22+K22+I22+G22+E22</f>
        <v>2436</v>
      </c>
      <c r="O22" s="444">
        <f t="shared" ref="O22" si="45">IF(B22&gt;0,N22/B22,0)</f>
        <v>0</v>
      </c>
      <c r="P22" s="559">
        <v>19570.351999999999</v>
      </c>
      <c r="Q22" s="445">
        <f t="shared" ref="Q22" si="46">(P22-P21)*1000</f>
        <v>2442.9999999993015</v>
      </c>
      <c r="R22" s="586">
        <f t="shared" ref="R22" si="47">N22-Q22</f>
        <v>-6.9999999993015081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19"/>
        <v>0</v>
      </c>
      <c r="W22" s="584">
        <f>[2]ELEC!$W$34</f>
        <v>33498</v>
      </c>
      <c r="X22" s="427">
        <f t="shared" si="35"/>
        <v>0</v>
      </c>
      <c r="Y22" s="584">
        <f>[2]ELEC!$Y$34</f>
        <v>999659</v>
      </c>
      <c r="Z22" s="427">
        <f t="shared" si="23"/>
        <v>0</v>
      </c>
      <c r="AA22" s="584">
        <f>[2]ELEC!$AA$34</f>
        <v>36801</v>
      </c>
      <c r="AB22" s="427">
        <f t="shared" si="20"/>
        <v>0</v>
      </c>
      <c r="AC22" s="584">
        <f>[2]ELEC!$AC$34</f>
        <v>1171535</v>
      </c>
      <c r="AD22" s="448">
        <f>AC22-AC21</f>
        <v>0</v>
      </c>
      <c r="AE22" s="449">
        <f t="shared" si="10"/>
        <v>0</v>
      </c>
      <c r="AF22" s="450">
        <f t="shared" si="4"/>
        <v>0</v>
      </c>
      <c r="AG22" s="442">
        <f t="shared" si="37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44854</v>
      </c>
      <c r="D23" s="585">
        <v>387020</v>
      </c>
      <c r="E23" s="573">
        <f t="shared" si="7"/>
        <v>560</v>
      </c>
      <c r="F23" s="565">
        <v>4174229</v>
      </c>
      <c r="G23" s="448">
        <f t="shared" si="24"/>
        <v>393</v>
      </c>
      <c r="H23" s="425">
        <v>18087690</v>
      </c>
      <c r="I23" s="448">
        <f t="shared" si="25"/>
        <v>336</v>
      </c>
      <c r="J23" s="425">
        <v>29861336</v>
      </c>
      <c r="K23" s="448">
        <f t="shared" si="26"/>
        <v>210</v>
      </c>
      <c r="L23" s="425">
        <v>24682066</v>
      </c>
      <c r="M23" s="448">
        <f t="shared" si="27"/>
        <v>696</v>
      </c>
      <c r="N23" s="296">
        <f t="shared" si="28"/>
        <v>2195</v>
      </c>
      <c r="O23" s="444">
        <f t="shared" si="36"/>
        <v>0</v>
      </c>
      <c r="P23" s="559">
        <v>19572.436000000002</v>
      </c>
      <c r="Q23" s="445">
        <f t="shared" si="1"/>
        <v>2084.0000000025611</v>
      </c>
      <c r="R23" s="586">
        <f t="shared" si="39"/>
        <v>110.99999999743886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19"/>
        <v>0</v>
      </c>
      <c r="W23" s="584">
        <f>[2]ELEC!$W$34</f>
        <v>33498</v>
      </c>
      <c r="X23" s="427">
        <f t="shared" si="35"/>
        <v>0</v>
      </c>
      <c r="Y23" s="584">
        <f>[2]ELEC!$Y$34</f>
        <v>999659</v>
      </c>
      <c r="Z23" s="427">
        <f t="shared" si="23"/>
        <v>0</v>
      </c>
      <c r="AA23" s="584">
        <f>[2]ELEC!$AA$34</f>
        <v>36801</v>
      </c>
      <c r="AB23" s="427">
        <f t="shared" si="20"/>
        <v>0</v>
      </c>
      <c r="AC23" s="584">
        <f>[2]ELEC!$AC$34</f>
        <v>1171535</v>
      </c>
      <c r="AD23" s="427">
        <f t="shared" si="38"/>
        <v>0</v>
      </c>
      <c r="AE23" s="449">
        <f t="shared" si="10"/>
        <v>0</v>
      </c>
      <c r="AF23" s="450">
        <f t="shared" si="4"/>
        <v>0</v>
      </c>
      <c r="AG23" s="442">
        <f t="shared" si="37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44855</v>
      </c>
      <c r="D24" s="585">
        <f t="shared" si="29"/>
        <v>387020</v>
      </c>
      <c r="E24" s="573">
        <f t="shared" si="7"/>
        <v>0</v>
      </c>
      <c r="F24" s="565">
        <f t="shared" si="30"/>
        <v>4174229</v>
      </c>
      <c r="G24" s="448">
        <f t="shared" si="24"/>
        <v>0</v>
      </c>
      <c r="H24" s="425">
        <f t="shared" si="31"/>
        <v>18087690</v>
      </c>
      <c r="I24" s="589">
        <f t="shared" si="25"/>
        <v>0</v>
      </c>
      <c r="J24" s="425">
        <f t="shared" si="32"/>
        <v>29861336</v>
      </c>
      <c r="K24" s="448">
        <f t="shared" si="26"/>
        <v>0</v>
      </c>
      <c r="L24" s="425">
        <f t="shared" si="33"/>
        <v>24682066</v>
      </c>
      <c r="M24" s="448">
        <f t="shared" si="27"/>
        <v>0</v>
      </c>
      <c r="N24" s="296">
        <f t="shared" si="28"/>
        <v>0</v>
      </c>
      <c r="O24" s="444">
        <f t="shared" si="36"/>
        <v>0</v>
      </c>
      <c r="P24" s="559">
        <f t="shared" si="34"/>
        <v>19572.436000000002</v>
      </c>
      <c r="Q24" s="445">
        <f t="shared" si="1"/>
        <v>0</v>
      </c>
      <c r="R24" s="586">
        <f t="shared" si="39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19"/>
        <v>0</v>
      </c>
      <c r="W24" s="584">
        <f>[2]ELEC!$W$34</f>
        <v>33498</v>
      </c>
      <c r="X24" s="427">
        <f t="shared" si="35"/>
        <v>0</v>
      </c>
      <c r="Y24" s="584">
        <f>[2]ELEC!$Y$34</f>
        <v>999659</v>
      </c>
      <c r="Z24" s="427">
        <f t="shared" si="23"/>
        <v>0</v>
      </c>
      <c r="AA24" s="584">
        <f>[2]ELEC!$AA$34</f>
        <v>36801</v>
      </c>
      <c r="AB24" s="427">
        <f t="shared" si="20"/>
        <v>0</v>
      </c>
      <c r="AC24" s="584">
        <f>[2]ELEC!$AC$34</f>
        <v>1171535</v>
      </c>
      <c r="AD24" s="427">
        <f t="shared" si="38"/>
        <v>0</v>
      </c>
      <c r="AE24" s="449">
        <f t="shared" si="10"/>
        <v>0</v>
      </c>
      <c r="AF24" s="450">
        <f t="shared" si="4"/>
        <v>0</v>
      </c>
      <c r="AG24" s="442">
        <f t="shared" si="37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44856</v>
      </c>
      <c r="D25" s="585">
        <f t="shared" si="29"/>
        <v>387020</v>
      </c>
      <c r="E25" s="573">
        <f t="shared" si="7"/>
        <v>0</v>
      </c>
      <c r="F25" s="565">
        <f t="shared" si="30"/>
        <v>4174229</v>
      </c>
      <c r="G25" s="448">
        <f t="shared" si="24"/>
        <v>0</v>
      </c>
      <c r="H25" s="425">
        <f t="shared" si="31"/>
        <v>18087690</v>
      </c>
      <c r="I25" s="448">
        <f t="shared" si="25"/>
        <v>0</v>
      </c>
      <c r="J25" s="425">
        <f t="shared" si="32"/>
        <v>29861336</v>
      </c>
      <c r="K25" s="448">
        <f t="shared" si="26"/>
        <v>0</v>
      </c>
      <c r="L25" s="425">
        <f t="shared" si="33"/>
        <v>24682066</v>
      </c>
      <c r="M25" s="448">
        <f t="shared" si="27"/>
        <v>0</v>
      </c>
      <c r="N25" s="296">
        <f t="shared" si="28"/>
        <v>0</v>
      </c>
      <c r="O25" s="444">
        <f t="shared" si="36"/>
        <v>0</v>
      </c>
      <c r="P25" s="559">
        <f t="shared" si="34"/>
        <v>19572.436000000002</v>
      </c>
      <c r="Q25" s="445">
        <f t="shared" si="1"/>
        <v>0</v>
      </c>
      <c r="R25" s="586">
        <f t="shared" si="39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19"/>
        <v>0</v>
      </c>
      <c r="W25" s="584">
        <f>[2]ELEC!$W$34</f>
        <v>33498</v>
      </c>
      <c r="X25" s="427">
        <f t="shared" si="35"/>
        <v>0</v>
      </c>
      <c r="Y25" s="584">
        <f>[2]ELEC!$Y$34</f>
        <v>999659</v>
      </c>
      <c r="Z25" s="427">
        <f t="shared" si="23"/>
        <v>0</v>
      </c>
      <c r="AA25" s="584">
        <f>[2]ELEC!$AA$34</f>
        <v>36801</v>
      </c>
      <c r="AB25" s="427">
        <f t="shared" si="20"/>
        <v>0</v>
      </c>
      <c r="AC25" s="584">
        <f>[2]ELEC!$AC$34</f>
        <v>1171535</v>
      </c>
      <c r="AD25" s="427">
        <f t="shared" si="38"/>
        <v>0</v>
      </c>
      <c r="AE25" s="449">
        <f t="shared" si="10"/>
        <v>0</v>
      </c>
      <c r="AF25" s="450">
        <f t="shared" si="4"/>
        <v>0</v>
      </c>
      <c r="AG25" s="442">
        <f t="shared" si="37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44857</v>
      </c>
      <c r="D26" s="585">
        <v>388080</v>
      </c>
      <c r="E26" s="573">
        <f t="shared" si="7"/>
        <v>1060</v>
      </c>
      <c r="F26" s="565">
        <v>4174693.2</v>
      </c>
      <c r="G26" s="448">
        <f t="shared" si="24"/>
        <v>464.20000000018626</v>
      </c>
      <c r="H26" s="425">
        <v>18088122</v>
      </c>
      <c r="I26" s="448">
        <f t="shared" si="25"/>
        <v>432</v>
      </c>
      <c r="J26" s="425">
        <v>29862082</v>
      </c>
      <c r="K26" s="448">
        <f t="shared" si="26"/>
        <v>746</v>
      </c>
      <c r="L26" s="425">
        <v>24683018</v>
      </c>
      <c r="M26" s="448">
        <f t="shared" si="27"/>
        <v>952</v>
      </c>
      <c r="N26" s="296">
        <f t="shared" si="28"/>
        <v>3654.2000000001863</v>
      </c>
      <c r="O26" s="444">
        <f t="shared" si="36"/>
        <v>0</v>
      </c>
      <c r="P26" s="559">
        <v>19576.177</v>
      </c>
      <c r="Q26" s="445">
        <f t="shared" si="1"/>
        <v>3740.9999999981665</v>
      </c>
      <c r="R26" s="586">
        <f t="shared" si="39"/>
        <v>-86.799999997980194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19"/>
        <v>0</v>
      </c>
      <c r="W26" s="584">
        <f>[2]ELEC!$W$34</f>
        <v>33498</v>
      </c>
      <c r="X26" s="427">
        <f t="shared" si="35"/>
        <v>0</v>
      </c>
      <c r="Y26" s="584">
        <f>[2]ELEC!$Y$34</f>
        <v>999659</v>
      </c>
      <c r="Z26" s="427">
        <f t="shared" si="23"/>
        <v>0</v>
      </c>
      <c r="AA26" s="584">
        <f>[2]ELEC!$AA$34</f>
        <v>36801</v>
      </c>
      <c r="AB26" s="427">
        <f t="shared" si="20"/>
        <v>0</v>
      </c>
      <c r="AC26" s="584">
        <f>[2]ELEC!$AC$34</f>
        <v>1171535</v>
      </c>
      <c r="AD26" s="427">
        <f t="shared" si="38"/>
        <v>0</v>
      </c>
      <c r="AE26" s="449">
        <f t="shared" si="10"/>
        <v>0</v>
      </c>
      <c r="AF26" s="450">
        <f t="shared" si="4"/>
        <v>0</v>
      </c>
      <c r="AG26" s="442">
        <f t="shared" si="37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44858</v>
      </c>
      <c r="D27" s="585">
        <v>388710</v>
      </c>
      <c r="E27" s="573">
        <f t="shared" si="7"/>
        <v>630</v>
      </c>
      <c r="F27" s="565">
        <v>4175123</v>
      </c>
      <c r="G27" s="448">
        <f t="shared" si="24"/>
        <v>429.79999999981374</v>
      </c>
      <c r="H27" s="425">
        <v>18088458</v>
      </c>
      <c r="I27" s="448">
        <f t="shared" si="25"/>
        <v>336</v>
      </c>
      <c r="J27" s="425">
        <v>29862782</v>
      </c>
      <c r="K27" s="448">
        <f t="shared" si="26"/>
        <v>700</v>
      </c>
      <c r="L27" s="425">
        <v>24683802</v>
      </c>
      <c r="M27" s="448">
        <f t="shared" si="27"/>
        <v>784</v>
      </c>
      <c r="N27" s="296">
        <f t="shared" si="28"/>
        <v>2879.7999999998137</v>
      </c>
      <c r="O27" s="444">
        <f t="shared" si="36"/>
        <v>0</v>
      </c>
      <c r="P27" s="559">
        <v>19579.019</v>
      </c>
      <c r="Q27" s="445">
        <f t="shared" si="1"/>
        <v>2842.000000000553</v>
      </c>
      <c r="R27" s="586">
        <f t="shared" si="39"/>
        <v>37.799999999260763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19"/>
        <v>0</v>
      </c>
      <c r="W27" s="584">
        <f>[2]ELEC!$W$34</f>
        <v>33498</v>
      </c>
      <c r="X27" s="427">
        <f t="shared" si="35"/>
        <v>0</v>
      </c>
      <c r="Y27" s="584">
        <f>[2]ELEC!$Y$34</f>
        <v>999659</v>
      </c>
      <c r="Z27" s="427">
        <f t="shared" si="23"/>
        <v>0</v>
      </c>
      <c r="AA27" s="584">
        <f>[2]ELEC!$AA$34</f>
        <v>36801</v>
      </c>
      <c r="AB27" s="427">
        <f t="shared" si="20"/>
        <v>0</v>
      </c>
      <c r="AC27" s="584">
        <f>[2]ELEC!$AC$34</f>
        <v>1171535</v>
      </c>
      <c r="AD27" s="427">
        <f t="shared" si="38"/>
        <v>0</v>
      </c>
      <c r="AE27" s="449">
        <f t="shared" si="10"/>
        <v>0</v>
      </c>
      <c r="AF27" s="450">
        <f t="shared" si="4"/>
        <v>0</v>
      </c>
      <c r="AG27" s="442">
        <f t="shared" si="37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44859</v>
      </c>
      <c r="D28" s="585">
        <v>389430</v>
      </c>
      <c r="E28" s="573">
        <f t="shared" si="7"/>
        <v>720</v>
      </c>
      <c r="F28" s="565">
        <v>4175430</v>
      </c>
      <c r="G28" s="448">
        <f>F28-F27</f>
        <v>307</v>
      </c>
      <c r="H28" s="425">
        <v>18088866</v>
      </c>
      <c r="I28" s="448">
        <f t="shared" si="25"/>
        <v>408</v>
      </c>
      <c r="J28" s="425">
        <v>29863590</v>
      </c>
      <c r="K28" s="448">
        <f t="shared" si="26"/>
        <v>808</v>
      </c>
      <c r="L28" s="425">
        <v>24684708</v>
      </c>
      <c r="M28" s="448">
        <f t="shared" si="27"/>
        <v>906</v>
      </c>
      <c r="N28" s="296">
        <f t="shared" si="28"/>
        <v>3149</v>
      </c>
      <c r="O28" s="444">
        <f t="shared" si="36"/>
        <v>0</v>
      </c>
      <c r="P28" s="559">
        <v>19582.329000000002</v>
      </c>
      <c r="Q28" s="445">
        <f t="shared" si="1"/>
        <v>3310.0000000013097</v>
      </c>
      <c r="R28" s="586">
        <f>N28-Q28</f>
        <v>-161.00000000130967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19"/>
        <v>0</v>
      </c>
      <c r="W28" s="584">
        <f>[2]ELEC!$W$34</f>
        <v>33498</v>
      </c>
      <c r="X28" s="427">
        <f t="shared" si="35"/>
        <v>0</v>
      </c>
      <c r="Y28" s="584">
        <f>[2]ELEC!$Y$34</f>
        <v>999659</v>
      </c>
      <c r="Z28" s="427">
        <f t="shared" si="23"/>
        <v>0</v>
      </c>
      <c r="AA28" s="584">
        <f>[2]ELEC!$AA$34</f>
        <v>36801</v>
      </c>
      <c r="AB28" s="427">
        <f t="shared" si="20"/>
        <v>0</v>
      </c>
      <c r="AC28" s="584">
        <f>[2]ELEC!$AC$34</f>
        <v>1171535</v>
      </c>
      <c r="AD28" s="427">
        <f t="shared" si="38"/>
        <v>0</v>
      </c>
      <c r="AE28" s="449">
        <f t="shared" si="10"/>
        <v>0</v>
      </c>
      <c r="AF28" s="450">
        <f t="shared" si="4"/>
        <v>0</v>
      </c>
      <c r="AG28" s="442">
        <f t="shared" si="37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44860</v>
      </c>
      <c r="D29" s="585">
        <v>390110</v>
      </c>
      <c r="E29" s="573">
        <f t="shared" si="7"/>
        <v>680</v>
      </c>
      <c r="F29" s="565">
        <v>4175765</v>
      </c>
      <c r="G29" s="448">
        <f>F29-F28</f>
        <v>335</v>
      </c>
      <c r="H29" s="425">
        <v>18089230</v>
      </c>
      <c r="I29" s="448">
        <f>H29-H28</f>
        <v>364</v>
      </c>
      <c r="J29" s="425">
        <v>29864334</v>
      </c>
      <c r="K29" s="448">
        <f>J29-J28</f>
        <v>744</v>
      </c>
      <c r="L29" s="425">
        <v>24685554</v>
      </c>
      <c r="M29" s="448">
        <f>L29-L28</f>
        <v>846</v>
      </c>
      <c r="N29" s="296">
        <f>M29+K29+I29+G29+E29</f>
        <v>2969</v>
      </c>
      <c r="O29" s="444">
        <f>IF(B29&gt;0,N29/B29,0)</f>
        <v>0</v>
      </c>
      <c r="P29" s="559">
        <v>19585.258999999998</v>
      </c>
      <c r="Q29" s="445">
        <f>(P29-P28)*1000</f>
        <v>2929.9999999966531</v>
      </c>
      <c r="R29" s="586">
        <f t="shared" si="39"/>
        <v>39.000000003346941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4">
        <f>[2]ELEC!$W$34</f>
        <v>33498</v>
      </c>
      <c r="X29" s="427">
        <f>W29-W28</f>
        <v>0</v>
      </c>
      <c r="Y29" s="584">
        <f>[2]ELEC!$Y$34</f>
        <v>999659</v>
      </c>
      <c r="Z29" s="427">
        <f>Y29-Y28</f>
        <v>0</v>
      </c>
      <c r="AA29" s="584">
        <f>[2]ELEC!$AA$34</f>
        <v>36801</v>
      </c>
      <c r="AB29" s="427">
        <f>AA29-AA28</f>
        <v>0</v>
      </c>
      <c r="AC29" s="584">
        <f>[2]ELEC!$AC$34</f>
        <v>1171535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7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44861</v>
      </c>
      <c r="D30" s="585">
        <v>390940</v>
      </c>
      <c r="E30" s="573">
        <f t="shared" si="7"/>
        <v>830</v>
      </c>
      <c r="F30" s="565">
        <v>4176193</v>
      </c>
      <c r="G30" s="448">
        <f t="shared" si="24"/>
        <v>428</v>
      </c>
      <c r="H30" s="425">
        <v>18089666</v>
      </c>
      <c r="I30" s="448">
        <f t="shared" si="25"/>
        <v>436</v>
      </c>
      <c r="J30" s="425">
        <v>29865082</v>
      </c>
      <c r="K30" s="448">
        <f t="shared" si="26"/>
        <v>748</v>
      </c>
      <c r="L30" s="425">
        <v>24686522</v>
      </c>
      <c r="M30" s="448">
        <f t="shared" si="27"/>
        <v>968</v>
      </c>
      <c r="N30" s="296">
        <f>M30+K30+I30+G30+E30</f>
        <v>3410</v>
      </c>
      <c r="O30" s="444">
        <f t="shared" si="36"/>
        <v>0</v>
      </c>
      <c r="P30" s="559">
        <v>19588.877</v>
      </c>
      <c r="Q30" s="445">
        <f t="shared" si="1"/>
        <v>3618.0000000022119</v>
      </c>
      <c r="R30" s="586">
        <f>N30-Q30</f>
        <v>-208.00000000221189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19"/>
        <v>0</v>
      </c>
      <c r="W30" s="584">
        <f>[2]ELEC!$W$34</f>
        <v>33498</v>
      </c>
      <c r="X30" s="427">
        <f t="shared" si="35"/>
        <v>0</v>
      </c>
      <c r="Y30" s="584">
        <f>[2]ELEC!$Y$34</f>
        <v>999659</v>
      </c>
      <c r="Z30" s="427">
        <f t="shared" si="23"/>
        <v>0</v>
      </c>
      <c r="AA30" s="584">
        <f>[2]ELEC!$AA$34</f>
        <v>36801</v>
      </c>
      <c r="AB30" s="427">
        <f t="shared" si="20"/>
        <v>0</v>
      </c>
      <c r="AC30" s="584">
        <f>[2]ELEC!$AC$34</f>
        <v>1171535</v>
      </c>
      <c r="AD30" s="427">
        <f t="shared" si="38"/>
        <v>0</v>
      </c>
      <c r="AE30" s="449">
        <f t="shared" si="10"/>
        <v>0</v>
      </c>
      <c r="AF30" s="450">
        <f t="shared" si="4"/>
        <v>0</v>
      </c>
      <c r="AG30" s="442">
        <f t="shared" si="37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44862</v>
      </c>
      <c r="D31" s="585">
        <f t="shared" si="29"/>
        <v>390940</v>
      </c>
      <c r="E31" s="573">
        <f t="shared" si="7"/>
        <v>0</v>
      </c>
      <c r="F31" s="565">
        <f t="shared" si="30"/>
        <v>4176193</v>
      </c>
      <c r="G31" s="448">
        <f t="shared" si="24"/>
        <v>0</v>
      </c>
      <c r="H31" s="425">
        <f t="shared" si="31"/>
        <v>18089666</v>
      </c>
      <c r="I31" s="448">
        <f t="shared" si="25"/>
        <v>0</v>
      </c>
      <c r="J31" s="425">
        <f t="shared" si="32"/>
        <v>29865082</v>
      </c>
      <c r="K31" s="448">
        <f t="shared" si="26"/>
        <v>0</v>
      </c>
      <c r="L31" s="425">
        <f t="shared" si="33"/>
        <v>24686522</v>
      </c>
      <c r="M31" s="448">
        <f t="shared" si="27"/>
        <v>0</v>
      </c>
      <c r="N31" s="296">
        <f t="shared" si="28"/>
        <v>0</v>
      </c>
      <c r="O31" s="444">
        <f t="shared" si="36"/>
        <v>0</v>
      </c>
      <c r="P31" s="559">
        <f t="shared" si="34"/>
        <v>19588.877</v>
      </c>
      <c r="Q31" s="445">
        <f t="shared" si="1"/>
        <v>0</v>
      </c>
      <c r="R31" s="586">
        <f t="shared" si="39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4">
        <f>[2]ELEC!$W$34</f>
        <v>33498</v>
      </c>
      <c r="X31" s="447">
        <f t="shared" si="35"/>
        <v>0</v>
      </c>
      <c r="Y31" s="584">
        <f>[2]ELEC!$Y$34</f>
        <v>999659</v>
      </c>
      <c r="Z31" s="427">
        <f t="shared" si="23"/>
        <v>0</v>
      </c>
      <c r="AA31" s="584">
        <f>[2]ELEC!$AA$34</f>
        <v>36801</v>
      </c>
      <c r="AB31" s="427">
        <f t="shared" si="20"/>
        <v>0</v>
      </c>
      <c r="AC31" s="584">
        <f>[2]ELEC!$AC$34</f>
        <v>1171535</v>
      </c>
      <c r="AD31" s="427">
        <f t="shared" si="38"/>
        <v>0</v>
      </c>
      <c r="AE31" s="449">
        <f t="shared" si="10"/>
        <v>0</v>
      </c>
      <c r="AF31" s="450">
        <f t="shared" si="4"/>
        <v>0</v>
      </c>
      <c r="AG31" s="442">
        <f t="shared" si="37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48">SUM(230*A32)</f>
        <v>0</v>
      </c>
      <c r="C32" s="436">
        <v>44863</v>
      </c>
      <c r="D32" s="585">
        <f t="shared" si="29"/>
        <v>390940</v>
      </c>
      <c r="E32" s="573">
        <f t="shared" si="7"/>
        <v>0</v>
      </c>
      <c r="F32" s="565">
        <f t="shared" si="30"/>
        <v>4176193</v>
      </c>
      <c r="G32" s="448">
        <f t="shared" si="24"/>
        <v>0</v>
      </c>
      <c r="H32" s="425">
        <f t="shared" si="31"/>
        <v>18089666</v>
      </c>
      <c r="I32" s="448">
        <f t="shared" si="25"/>
        <v>0</v>
      </c>
      <c r="J32" s="425">
        <f t="shared" si="32"/>
        <v>29865082</v>
      </c>
      <c r="K32" s="448">
        <f t="shared" si="26"/>
        <v>0</v>
      </c>
      <c r="L32" s="425">
        <f t="shared" si="33"/>
        <v>24686522</v>
      </c>
      <c r="M32" s="448">
        <f t="shared" ref="M32:M34" si="49">L32-L31</f>
        <v>0</v>
      </c>
      <c r="N32" s="296">
        <f t="shared" ref="N32:N34" si="50">M32+K32+I32+G32+E32</f>
        <v>0</v>
      </c>
      <c r="O32" s="444">
        <f t="shared" ref="O32:O34" si="51">IF(B32&gt;0,N32/B32,0)</f>
        <v>0</v>
      </c>
      <c r="P32" s="559">
        <f t="shared" si="34"/>
        <v>19588.877</v>
      </c>
      <c r="Q32" s="445">
        <f t="shared" ref="Q32:Q34" si="52">(P32-P31)*1000</f>
        <v>0</v>
      </c>
      <c r="R32" s="586">
        <f t="shared" ref="R32:R34" si="53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4">
        <f>[2]ELEC!$W$34</f>
        <v>33498</v>
      </c>
      <c r="X32" s="447">
        <f t="shared" ref="X32:X34" si="54">W32-W31</f>
        <v>0</v>
      </c>
      <c r="Y32" s="584">
        <f>[2]ELEC!$Y$34</f>
        <v>999659</v>
      </c>
      <c r="Z32" s="427">
        <f t="shared" ref="Z32:Z34" si="55">Y32-Y31</f>
        <v>0</v>
      </c>
      <c r="AA32" s="584">
        <f>[2]ELEC!$AA$34</f>
        <v>36801</v>
      </c>
      <c r="AB32" s="427">
        <f t="shared" ref="AB32:AB34" si="56">AA32-AA31</f>
        <v>0</v>
      </c>
      <c r="AC32" s="584">
        <f>[2]ELEC!$AC$34</f>
        <v>1171535</v>
      </c>
      <c r="AD32" s="427">
        <f t="shared" ref="AD32:AD34" si="57">AC32-AC31</f>
        <v>0</v>
      </c>
      <c r="AE32" s="449">
        <f t="shared" ref="AE32:AE34" si="58">AB32+X32+T32</f>
        <v>0</v>
      </c>
      <c r="AF32" s="450">
        <f t="shared" ref="AF32:AF34" si="59">V32+Z32+AD32</f>
        <v>0</v>
      </c>
      <c r="AG32" s="442">
        <f t="shared" si="37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48"/>
        <v>0</v>
      </c>
      <c r="C33" s="436">
        <v>44864</v>
      </c>
      <c r="D33" s="585">
        <v>392350</v>
      </c>
      <c r="E33" s="573">
        <f t="shared" si="7"/>
        <v>1410</v>
      </c>
      <c r="F33" s="565">
        <v>4176666</v>
      </c>
      <c r="G33" s="448">
        <f t="shared" si="24"/>
        <v>473</v>
      </c>
      <c r="H33" s="425">
        <v>18090112</v>
      </c>
      <c r="I33" s="448">
        <f t="shared" si="25"/>
        <v>446</v>
      </c>
      <c r="J33" s="425">
        <v>29865852</v>
      </c>
      <c r="K33" s="448">
        <f t="shared" si="26"/>
        <v>770</v>
      </c>
      <c r="L33" s="425">
        <v>24687626</v>
      </c>
      <c r="M33" s="448">
        <f t="shared" si="49"/>
        <v>1104</v>
      </c>
      <c r="N33" s="296">
        <f t="shared" si="50"/>
        <v>4203</v>
      </c>
      <c r="O33" s="444">
        <f t="shared" si="51"/>
        <v>0</v>
      </c>
      <c r="P33" s="559">
        <v>19593.017</v>
      </c>
      <c r="Q33" s="445">
        <f t="shared" si="52"/>
        <v>4139.9999999994179</v>
      </c>
      <c r="R33" s="586">
        <f>N33-Q33</f>
        <v>63.000000000582077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0">U33-U32</f>
        <v>0</v>
      </c>
      <c r="W33" s="584">
        <f>[2]ELEC!$W$34</f>
        <v>33498</v>
      </c>
      <c r="X33" s="447">
        <f t="shared" si="54"/>
        <v>0</v>
      </c>
      <c r="Y33" s="584">
        <f>[2]ELEC!$Y$34</f>
        <v>999659</v>
      </c>
      <c r="Z33" s="427">
        <f t="shared" si="55"/>
        <v>0</v>
      </c>
      <c r="AA33" s="584">
        <f>[2]ELEC!$AA$34</f>
        <v>36801</v>
      </c>
      <c r="AB33" s="427">
        <f t="shared" si="56"/>
        <v>0</v>
      </c>
      <c r="AC33" s="584">
        <f>[2]ELEC!$AC$34</f>
        <v>1171535</v>
      </c>
      <c r="AD33" s="427">
        <f t="shared" si="57"/>
        <v>0</v>
      </c>
      <c r="AE33" s="449">
        <f t="shared" si="58"/>
        <v>0</v>
      </c>
      <c r="AF33" s="450">
        <f t="shared" si="59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48"/>
        <v>0</v>
      </c>
      <c r="C34" s="436">
        <v>44865</v>
      </c>
      <c r="D34" s="585">
        <v>393050</v>
      </c>
      <c r="E34" s="573">
        <f t="shared" si="7"/>
        <v>700</v>
      </c>
      <c r="F34" s="565">
        <v>4177010</v>
      </c>
      <c r="G34" s="448">
        <f t="shared" si="24"/>
        <v>344</v>
      </c>
      <c r="H34" s="425">
        <v>18090474</v>
      </c>
      <c r="I34" s="448">
        <f t="shared" si="25"/>
        <v>362</v>
      </c>
      <c r="J34" s="425">
        <v>29866098</v>
      </c>
      <c r="K34" s="448">
        <f t="shared" si="26"/>
        <v>246</v>
      </c>
      <c r="L34" s="425">
        <v>24688774</v>
      </c>
      <c r="M34" s="448">
        <f t="shared" si="49"/>
        <v>1148</v>
      </c>
      <c r="N34" s="296">
        <f t="shared" si="50"/>
        <v>2800</v>
      </c>
      <c r="O34" s="444">
        <f t="shared" si="51"/>
        <v>0</v>
      </c>
      <c r="P34" s="559">
        <v>19595.605</v>
      </c>
      <c r="Q34" s="445">
        <f t="shared" si="52"/>
        <v>2587.9999999997381</v>
      </c>
      <c r="R34" s="586">
        <f t="shared" si="53"/>
        <v>212.00000000026193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4">
        <f>[2]ELEC!$W$34</f>
        <v>33498</v>
      </c>
      <c r="X34" s="447">
        <f t="shared" si="54"/>
        <v>0</v>
      </c>
      <c r="Y34" s="584">
        <f>[2]ELEC!$Y$34</f>
        <v>999659</v>
      </c>
      <c r="Z34" s="427">
        <f t="shared" si="55"/>
        <v>0</v>
      </c>
      <c r="AA34" s="584">
        <v>36802</v>
      </c>
      <c r="AB34" s="427">
        <f t="shared" si="56"/>
        <v>1</v>
      </c>
      <c r="AC34" s="584">
        <v>1171987</v>
      </c>
      <c r="AD34" s="427">
        <f t="shared" si="57"/>
        <v>452</v>
      </c>
      <c r="AE34" s="449">
        <f t="shared" si="58"/>
        <v>1</v>
      </c>
      <c r="AF34" s="450">
        <f t="shared" si="59"/>
        <v>452</v>
      </c>
      <c r="AG34" s="442">
        <f>IF(AE34&gt;0,AF34/AE34,0)</f>
        <v>452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G1" zoomScale="60" zoomScaleNormal="60" workbookViewId="0">
      <pane ySplit="1" topLeftCell="A2" activePane="bottomLeft" state="frozen"/>
      <selection activeCell="K1" sqref="K1"/>
      <selection pane="bottomLeft" activeCell="AF35" sqref="AF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7" t="s">
        <v>2</v>
      </c>
      <c r="G1" s="618"/>
      <c r="H1" s="618"/>
      <c r="I1" s="619"/>
      <c r="J1" s="270">
        <f>J36</f>
        <v>60.928571428571431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0"/>
      <c r="V1" s="27" t="s">
        <v>104</v>
      </c>
      <c r="W1" s="381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v>44834</v>
      </c>
      <c r="B4" s="378">
        <f>[2]B5!$B$34</f>
        <v>226</v>
      </c>
      <c r="C4" s="378">
        <f>[2]B5!$C$34</f>
        <v>232</v>
      </c>
      <c r="D4" s="378">
        <f>[3]B5!D35</f>
        <v>5</v>
      </c>
      <c r="E4" s="378">
        <f>[3]B5!E35</f>
        <v>41.900000000000006</v>
      </c>
      <c r="F4" s="378">
        <f>[2]B5!$F$35</f>
        <v>2287</v>
      </c>
      <c r="G4" s="378">
        <f>[3]B5!G35</f>
        <v>0</v>
      </c>
      <c r="H4" s="378">
        <f>[2]B5!$H$35</f>
        <v>46848</v>
      </c>
      <c r="I4" s="378">
        <f>[3]B5!I35</f>
        <v>0</v>
      </c>
      <c r="J4" s="378">
        <f>[3]B5!J35</f>
        <v>0</v>
      </c>
      <c r="K4" s="378">
        <f>[2]B5!$K$35</f>
        <v>2459</v>
      </c>
      <c r="L4" s="378">
        <f>[3]B5!L35</f>
        <v>1</v>
      </c>
      <c r="M4" s="378">
        <f>[2]B5!$M$35</f>
        <v>182937</v>
      </c>
      <c r="N4" s="378">
        <f>[3]B5!N35</f>
        <v>79</v>
      </c>
      <c r="O4" s="378">
        <f>[3]B5!O35</f>
        <v>1869</v>
      </c>
      <c r="P4" s="378">
        <f>[2]B5!$P$35</f>
        <v>2231</v>
      </c>
      <c r="Q4" s="378">
        <f>[2]B5!$Q$35</f>
        <v>186441</v>
      </c>
      <c r="R4" s="378">
        <f>[3]B5!R35</f>
        <v>0</v>
      </c>
      <c r="S4" s="378">
        <f>[3]B5!S35</f>
        <v>0</v>
      </c>
      <c r="T4" s="378">
        <f>[3]B5!T35</f>
        <v>0</v>
      </c>
      <c r="U4" s="378">
        <f>[3]B5!U35</f>
        <v>1</v>
      </c>
      <c r="V4" s="378">
        <f>[3]B5!V35</f>
        <v>79</v>
      </c>
      <c r="W4" s="378">
        <f>[3]B5!W35</f>
        <v>0</v>
      </c>
      <c r="X4" s="378">
        <f>[2]B5!$X$35</f>
        <v>2494</v>
      </c>
      <c r="Y4" s="378">
        <f>[3]B5!Y35</f>
        <v>1</v>
      </c>
      <c r="Z4" s="378">
        <f>[2]B5!$Z$35</f>
        <v>141111</v>
      </c>
      <c r="AA4" s="378">
        <f>[3]B5!AA35</f>
        <v>65</v>
      </c>
      <c r="AB4" s="378">
        <f>[3]B5!AB35</f>
        <v>0</v>
      </c>
      <c r="AC4" s="378">
        <f>[2]B5!$AC$35</f>
        <v>1948</v>
      </c>
      <c r="AD4" s="378">
        <f>[3]B5!AD35</f>
        <v>0</v>
      </c>
      <c r="AE4" s="378">
        <f>[2]B5!$AE$35</f>
        <v>366639</v>
      </c>
      <c r="AF4" s="378">
        <f>[3]B5!AF35</f>
        <v>0</v>
      </c>
      <c r="AG4" s="378">
        <f>[3]B5!AG35</f>
        <v>0</v>
      </c>
      <c r="AH4" s="378">
        <f>[3]B5!AH35</f>
        <v>65</v>
      </c>
      <c r="AI4" s="378">
        <f>[3]B5!AI35</f>
        <v>144</v>
      </c>
      <c r="AJ4" s="378">
        <f>[3]B5!AJ35</f>
        <v>144</v>
      </c>
      <c r="AK4" s="378">
        <f>[3]B5!AK35</f>
        <v>0</v>
      </c>
      <c r="AL4" s="378">
        <f>[3]B5!AL35</f>
        <v>1</v>
      </c>
      <c r="AM4" s="378">
        <f>[3]B5!AM35</f>
        <v>1</v>
      </c>
      <c r="AN4" s="378">
        <f>[2]B5!$AN$35</f>
        <v>65</v>
      </c>
      <c r="AO4" s="378">
        <f>[3]B5!AO35</f>
        <v>1980</v>
      </c>
      <c r="AP4" s="378">
        <v>35</v>
      </c>
      <c r="AQ4" s="378">
        <f>[3]B5!AQ35</f>
        <v>930</v>
      </c>
      <c r="AR4" s="378">
        <f>[3]B5!AR35</f>
        <v>73</v>
      </c>
      <c r="AS4" s="378">
        <f>[3]B5!AS35</f>
        <v>2190</v>
      </c>
      <c r="AT4" s="378">
        <f>[3]B5!AT35</f>
        <v>5100</v>
      </c>
      <c r="AU4" s="378">
        <f>[3]B5!AU35</f>
        <v>0</v>
      </c>
      <c r="AV4" s="378">
        <f>[3]B5!AV35</f>
        <v>0</v>
      </c>
      <c r="AW4" s="378">
        <f>[3]B5!AW35</f>
        <v>0</v>
      </c>
      <c r="AX4" s="378">
        <f>[3]B5!AX35</f>
        <v>0.8</v>
      </c>
    </row>
    <row r="5" spans="1:52">
      <c r="A5" s="63">
        <f>ELEC!C4</f>
        <v>44835</v>
      </c>
      <c r="B5" s="378">
        <f>[2]B5!$B$34</f>
        <v>226</v>
      </c>
      <c r="C5" s="378">
        <v>232</v>
      </c>
      <c r="D5" s="45">
        <f>C4-C5</f>
        <v>0</v>
      </c>
      <c r="E5" s="45">
        <f>D5*8.38</f>
        <v>0</v>
      </c>
      <c r="F5" s="534">
        <f>F4</f>
        <v>2287</v>
      </c>
      <c r="G5" s="52">
        <f t="shared" ref="G5:G32" si="0">F5-F4</f>
        <v>0</v>
      </c>
      <c r="H5" s="534">
        <f>H4</f>
        <v>46848</v>
      </c>
      <c r="I5" s="379">
        <f t="shared" ref="I5:I32" si="1">SUM(H5-H4)</f>
        <v>0</v>
      </c>
      <c r="J5" s="66">
        <v>1</v>
      </c>
      <c r="K5" s="534">
        <f>K4</f>
        <v>2459</v>
      </c>
      <c r="L5" s="52">
        <f>K5-K4</f>
        <v>0</v>
      </c>
      <c r="M5" s="378">
        <f>[2]B5!$M$35</f>
        <v>182937</v>
      </c>
      <c r="N5" s="379">
        <f t="shared" ref="N5:N32" si="2">M5-M4</f>
        <v>0</v>
      </c>
      <c r="O5" s="64">
        <f t="shared" ref="O5:Q17" si="3">O4</f>
        <v>1869</v>
      </c>
      <c r="P5" s="534">
        <f>P4</f>
        <v>2231</v>
      </c>
      <c r="Q5" s="534">
        <f>Q4</f>
        <v>186441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0</v>
      </c>
      <c r="V5" s="62">
        <f>R5+N5+I5:I5</f>
        <v>0</v>
      </c>
      <c r="W5" s="383" t="e">
        <f>SUM(V5/U5)</f>
        <v>#DIV/0!</v>
      </c>
      <c r="X5" s="534">
        <f>X4</f>
        <v>2494</v>
      </c>
      <c r="Y5" s="52">
        <f>X5-X4</f>
        <v>0</v>
      </c>
      <c r="Z5" s="534">
        <f>Z4</f>
        <v>141111</v>
      </c>
      <c r="AA5" s="65">
        <f t="shared" ref="AA5:AA32" si="6">Z5-Z4</f>
        <v>0</v>
      </c>
      <c r="AB5" s="272">
        <f>SUM(Y5*$AB$2)</f>
        <v>0</v>
      </c>
      <c r="AC5" s="534">
        <f>AC4</f>
        <v>1948</v>
      </c>
      <c r="AD5" s="45">
        <f t="shared" ref="AD5:AD32" si="7">AC5-AC4</f>
        <v>0</v>
      </c>
      <c r="AE5" s="534">
        <f>AE4</f>
        <v>366639</v>
      </c>
      <c r="AF5" s="292">
        <f>AE5-AE4</f>
        <v>0</v>
      </c>
      <c r="AG5" s="209">
        <f>IF(AD5&gt;0,AF5/AD5,0)</f>
        <v>0</v>
      </c>
      <c r="AH5" s="62">
        <f>AF5+AA5</f>
        <v>0</v>
      </c>
      <c r="AI5" s="302">
        <f>SUM(AH5+V5)</f>
        <v>0</v>
      </c>
      <c r="AJ5" s="302">
        <f>-tanks!AW6</f>
        <v>0</v>
      </c>
      <c r="AK5" s="302">
        <f>SUM(AJ5-AI5)</f>
        <v>0</v>
      </c>
      <c r="AL5" s="302">
        <f t="shared" ref="AL5:AL32" si="8">S5+L5+G5</f>
        <v>0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-90</v>
      </c>
      <c r="AV5" s="259"/>
      <c r="AW5" s="259"/>
      <c r="AX5" s="297">
        <f>IF(AV5&gt;0,AW5,AX4)</f>
        <v>0.8</v>
      </c>
    </row>
    <row r="6" spans="1:52">
      <c r="A6" s="63">
        <f>ELEC!C5</f>
        <v>44836</v>
      </c>
      <c r="B6" s="534">
        <v>242</v>
      </c>
      <c r="C6" s="534">
        <v>248</v>
      </c>
      <c r="D6" s="45">
        <f>C5-C6</f>
        <v>-16</v>
      </c>
      <c r="E6" s="45">
        <f t="shared" ref="E6:E32" si="9">D6*8.38</f>
        <v>-134.08000000000001</v>
      </c>
      <c r="F6" s="534">
        <v>2290</v>
      </c>
      <c r="G6" s="52">
        <f t="shared" si="0"/>
        <v>3</v>
      </c>
      <c r="H6" s="534">
        <v>47030</v>
      </c>
      <c r="I6" s="379">
        <f t="shared" si="1"/>
        <v>182</v>
      </c>
      <c r="J6" s="66">
        <f t="shared" ref="J6:J32" si="10">IF(G6&gt;0,I6/G6,0)</f>
        <v>60.666666666666664</v>
      </c>
      <c r="K6" s="534">
        <f t="shared" ref="K6:K35" si="11">K5</f>
        <v>2459</v>
      </c>
      <c r="L6" s="52">
        <f t="shared" ref="L6:L32" si="12">K6-K5</f>
        <v>0</v>
      </c>
      <c r="M6" s="534">
        <v>182937</v>
      </c>
      <c r="N6" s="379">
        <f t="shared" si="2"/>
        <v>0</v>
      </c>
      <c r="O6" s="64">
        <f t="shared" si="3"/>
        <v>1869</v>
      </c>
      <c r="P6" s="534">
        <f t="shared" si="3"/>
        <v>2231</v>
      </c>
      <c r="Q6" s="534">
        <v>186461</v>
      </c>
      <c r="R6" s="378">
        <f t="shared" si="4"/>
        <v>20</v>
      </c>
      <c r="S6" s="52">
        <f t="shared" si="5"/>
        <v>0</v>
      </c>
      <c r="T6" s="67">
        <f>SUM(S6*$T$2)</f>
        <v>0</v>
      </c>
      <c r="U6" s="385">
        <f t="shared" ref="U6:U32" si="13">SUM(G6+L6+S6)</f>
        <v>3</v>
      </c>
      <c r="V6" s="62">
        <f t="shared" ref="V6:V32" si="14">R6+N6+I6:I6</f>
        <v>202</v>
      </c>
      <c r="W6" s="383">
        <f t="shared" ref="W6:W16" si="15">SUM(V6/U6)</f>
        <v>67.333333333333329</v>
      </c>
      <c r="X6" s="534">
        <v>2495</v>
      </c>
      <c r="Y6" s="52">
        <f t="shared" ref="Y6:Y32" si="16">X6-X5</f>
        <v>1</v>
      </c>
      <c r="Z6" s="534">
        <v>141191</v>
      </c>
      <c r="AA6" s="65">
        <f t="shared" si="6"/>
        <v>80</v>
      </c>
      <c r="AB6" s="272">
        <f>SUM(Y6*$AB$2)</f>
        <v>0</v>
      </c>
      <c r="AC6" s="534">
        <f t="shared" ref="AC6:AC35" si="17">AC5</f>
        <v>1948</v>
      </c>
      <c r="AD6" s="45">
        <f t="shared" si="7"/>
        <v>0</v>
      </c>
      <c r="AE6" s="534">
        <v>366651</v>
      </c>
      <c r="AF6" s="292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2">
        <f t="shared" ref="AI6:AI32" si="19">SUM(AH6+V6)</f>
        <v>294</v>
      </c>
      <c r="AJ6" s="302">
        <f>-tanks!AW7</f>
        <v>294</v>
      </c>
      <c r="AK6" s="302">
        <f t="shared" ref="AK6:AK32" si="20">SUM(AJ6-AI6)</f>
        <v>0</v>
      </c>
      <c r="AL6" s="302">
        <f t="shared" si="8"/>
        <v>3</v>
      </c>
      <c r="AM6" s="302">
        <f t="shared" ref="AM6:AM32" si="21">Y6+AD6</f>
        <v>1</v>
      </c>
      <c r="AN6" s="534">
        <f t="shared" ref="AN6:AN35" si="22">AN5</f>
        <v>65</v>
      </c>
      <c r="AO6" s="304">
        <f t="shared" ref="AO6:AO35" si="23">(AN6/100)*3000</f>
        <v>1950</v>
      </c>
      <c r="AP6" s="534">
        <f t="shared" ref="AP6:AP35" si="24">AP5</f>
        <v>35</v>
      </c>
      <c r="AQ6" s="304">
        <f t="shared" ref="AQ6:AQ24" si="25">(AP6/100)*3000</f>
        <v>1050</v>
      </c>
      <c r="AR6" s="534">
        <f t="shared" ref="AR6:AR35" si="26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27">IF(AV6&gt;0,AW6,AX5)</f>
        <v>0.8</v>
      </c>
    </row>
    <row r="7" spans="1:52">
      <c r="A7" s="63">
        <f>ELEC!C6</f>
        <v>44837</v>
      </c>
      <c r="B7" s="534">
        <v>238</v>
      </c>
      <c r="C7" s="534">
        <v>244</v>
      </c>
      <c r="D7" s="45">
        <f t="shared" ref="D7:D19" si="28">C6-C7</f>
        <v>4</v>
      </c>
      <c r="E7" s="45">
        <f t="shared" si="9"/>
        <v>33.520000000000003</v>
      </c>
      <c r="F7" s="534">
        <f t="shared" ref="F7:F35" si="29">F6</f>
        <v>2290</v>
      </c>
      <c r="G7" s="52">
        <f t="shared" si="0"/>
        <v>0</v>
      </c>
      <c r="H7" s="534">
        <v>47077</v>
      </c>
      <c r="I7" s="379">
        <f t="shared" si="1"/>
        <v>47</v>
      </c>
      <c r="J7" s="66">
        <f t="shared" si="10"/>
        <v>0</v>
      </c>
      <c r="K7" s="534">
        <f t="shared" si="11"/>
        <v>2459</v>
      </c>
      <c r="L7" s="52">
        <f t="shared" si="12"/>
        <v>0</v>
      </c>
      <c r="M7" s="534">
        <v>182937</v>
      </c>
      <c r="N7" s="379">
        <f t="shared" si="2"/>
        <v>0</v>
      </c>
      <c r="O7" s="64">
        <f t="shared" si="3"/>
        <v>1869</v>
      </c>
      <c r="P7" s="534">
        <f t="shared" si="3"/>
        <v>2231</v>
      </c>
      <c r="Q7" s="534">
        <f t="shared" si="3"/>
        <v>186461</v>
      </c>
      <c r="R7" s="378">
        <f t="shared" si="4"/>
        <v>0</v>
      </c>
      <c r="S7" s="52">
        <f t="shared" si="5"/>
        <v>0</v>
      </c>
      <c r="T7" s="67">
        <f t="shared" ref="T7:T32" si="30">SUM(S7*$T$2)</f>
        <v>0</v>
      </c>
      <c r="U7" s="385">
        <f t="shared" si="13"/>
        <v>0</v>
      </c>
      <c r="V7" s="62">
        <f>R7+N7+I7:I7</f>
        <v>47</v>
      </c>
      <c r="W7" s="383" t="e">
        <f t="shared" si="15"/>
        <v>#DIV/0!</v>
      </c>
      <c r="X7" s="534">
        <v>2495</v>
      </c>
      <c r="Y7" s="52">
        <f t="shared" si="16"/>
        <v>0</v>
      </c>
      <c r="Z7" s="534">
        <f t="shared" ref="Z7:Z35" si="31">Z6</f>
        <v>141191</v>
      </c>
      <c r="AA7" s="65">
        <f t="shared" si="6"/>
        <v>0</v>
      </c>
      <c r="AB7" s="272">
        <f t="shared" ref="AB7:AB17" si="32">SUM(Y7*$AB$2)</f>
        <v>0</v>
      </c>
      <c r="AC7" s="534">
        <f t="shared" si="17"/>
        <v>1948</v>
      </c>
      <c r="AD7" s="45">
        <f t="shared" si="7"/>
        <v>0</v>
      </c>
      <c r="AE7" s="534">
        <f t="shared" ref="AE7:AE10" si="33">AE6</f>
        <v>366651</v>
      </c>
      <c r="AF7" s="292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2">
        <f t="shared" si="19"/>
        <v>47</v>
      </c>
      <c r="AJ7" s="302">
        <f>-tanks!AW8</f>
        <v>47</v>
      </c>
      <c r="AK7" s="302">
        <f t="shared" si="20"/>
        <v>0</v>
      </c>
      <c r="AL7" s="302">
        <f t="shared" si="8"/>
        <v>0</v>
      </c>
      <c r="AM7" s="302">
        <f t="shared" si="21"/>
        <v>0</v>
      </c>
      <c r="AN7" s="534">
        <f t="shared" si="22"/>
        <v>65</v>
      </c>
      <c r="AO7" s="304">
        <f t="shared" si="23"/>
        <v>1950</v>
      </c>
      <c r="AP7" s="534">
        <f t="shared" si="24"/>
        <v>35</v>
      </c>
      <c r="AQ7" s="304">
        <f t="shared" si="25"/>
        <v>1050</v>
      </c>
      <c r="AR7" s="534">
        <f t="shared" si="26"/>
        <v>73</v>
      </c>
      <c r="AS7" s="304">
        <f t="shared" ref="AS7:AS35" si="36">(AR7/100)*3000</f>
        <v>2190</v>
      </c>
      <c r="AT7" s="304">
        <f t="shared" ref="AT7:AT23" si="37">SUM(AO7+AQ7+AS7)</f>
        <v>5190</v>
      </c>
      <c r="AU7" s="304">
        <f t="shared" ref="AU7:AU35" si="38">AT6-AT7+AV7</f>
        <v>0</v>
      </c>
      <c r="AV7" s="259"/>
      <c r="AW7" s="259"/>
      <c r="AX7" s="297">
        <f t="shared" si="27"/>
        <v>0.8</v>
      </c>
      <c r="AZ7" s="42" t="s">
        <v>407</v>
      </c>
    </row>
    <row r="8" spans="1:52">
      <c r="A8" s="63">
        <f>ELEC!C7</f>
        <v>44838</v>
      </c>
      <c r="B8" s="534">
        <v>234</v>
      </c>
      <c r="C8" s="534">
        <v>241</v>
      </c>
      <c r="D8" s="45">
        <f t="shared" si="28"/>
        <v>3</v>
      </c>
      <c r="E8" s="45">
        <f t="shared" si="9"/>
        <v>25.14</v>
      </c>
      <c r="F8" s="534">
        <f t="shared" si="29"/>
        <v>2290</v>
      </c>
      <c r="G8" s="52">
        <f t="shared" si="0"/>
        <v>0</v>
      </c>
      <c r="H8" s="534">
        <v>47085</v>
      </c>
      <c r="I8" s="379">
        <f t="shared" si="1"/>
        <v>8</v>
      </c>
      <c r="J8" s="66">
        <f t="shared" si="10"/>
        <v>0</v>
      </c>
      <c r="K8" s="534">
        <v>2460</v>
      </c>
      <c r="L8" s="52">
        <f t="shared" si="12"/>
        <v>1</v>
      </c>
      <c r="M8" s="534">
        <v>183073</v>
      </c>
      <c r="N8" s="379">
        <f t="shared" si="2"/>
        <v>136</v>
      </c>
      <c r="O8" s="64">
        <f t="shared" si="3"/>
        <v>1869</v>
      </c>
      <c r="P8" s="534">
        <f t="shared" si="3"/>
        <v>2231</v>
      </c>
      <c r="Q8" s="534">
        <f t="shared" si="3"/>
        <v>186461</v>
      </c>
      <c r="R8" s="378">
        <f t="shared" si="4"/>
        <v>0</v>
      </c>
      <c r="S8" s="52">
        <f t="shared" si="5"/>
        <v>0</v>
      </c>
      <c r="T8" s="67">
        <f t="shared" si="30"/>
        <v>0</v>
      </c>
      <c r="U8" s="385">
        <f t="shared" si="13"/>
        <v>1</v>
      </c>
      <c r="V8" s="62">
        <f>R8+N8+I8:I8</f>
        <v>144</v>
      </c>
      <c r="W8" s="383">
        <f t="shared" si="15"/>
        <v>144</v>
      </c>
      <c r="X8" s="534">
        <v>2495</v>
      </c>
      <c r="Y8" s="52">
        <f t="shared" si="16"/>
        <v>0</v>
      </c>
      <c r="Z8" s="534">
        <f t="shared" si="31"/>
        <v>141191</v>
      </c>
      <c r="AA8" s="65">
        <f t="shared" si="6"/>
        <v>0</v>
      </c>
      <c r="AB8" s="272">
        <f t="shared" si="32"/>
        <v>0</v>
      </c>
      <c r="AC8" s="534">
        <f t="shared" si="17"/>
        <v>1948</v>
      </c>
      <c r="AD8" s="45">
        <f t="shared" si="7"/>
        <v>0</v>
      </c>
      <c r="AE8" s="534">
        <f t="shared" si="33"/>
        <v>366651</v>
      </c>
      <c r="AF8" s="292">
        <f t="shared" si="18"/>
        <v>0</v>
      </c>
      <c r="AG8" s="209">
        <f t="shared" si="34"/>
        <v>0</v>
      </c>
      <c r="AH8" s="62">
        <f t="shared" si="35"/>
        <v>0</v>
      </c>
      <c r="AI8" s="302">
        <f t="shared" si="19"/>
        <v>144</v>
      </c>
      <c r="AJ8" s="302">
        <f>-tanks!AW9</f>
        <v>144</v>
      </c>
      <c r="AK8" s="302">
        <f t="shared" si="20"/>
        <v>0</v>
      </c>
      <c r="AL8" s="302">
        <f t="shared" si="8"/>
        <v>1</v>
      </c>
      <c r="AM8" s="302">
        <f t="shared" si="21"/>
        <v>0</v>
      </c>
      <c r="AN8" s="534">
        <f t="shared" si="22"/>
        <v>65</v>
      </c>
      <c r="AO8" s="304">
        <f t="shared" si="23"/>
        <v>1950</v>
      </c>
      <c r="AP8" s="534">
        <f t="shared" si="24"/>
        <v>35</v>
      </c>
      <c r="AQ8" s="304">
        <f t="shared" si="25"/>
        <v>1050</v>
      </c>
      <c r="AR8" s="534">
        <f t="shared" si="26"/>
        <v>73</v>
      </c>
      <c r="AS8" s="304">
        <f t="shared" si="36"/>
        <v>2190</v>
      </c>
      <c r="AT8" s="304">
        <f t="shared" si="37"/>
        <v>5190</v>
      </c>
      <c r="AU8" s="304">
        <f t="shared" si="38"/>
        <v>0</v>
      </c>
      <c r="AV8" s="259"/>
      <c r="AW8" s="259"/>
      <c r="AX8" s="297">
        <f t="shared" si="27"/>
        <v>0.8</v>
      </c>
    </row>
    <row r="9" spans="1:52" ht="15.75" customHeight="1">
      <c r="A9" s="63">
        <f>ELEC!C8</f>
        <v>44839</v>
      </c>
      <c r="B9" s="534">
        <v>230</v>
      </c>
      <c r="C9" s="534">
        <v>237</v>
      </c>
      <c r="D9" s="45">
        <f t="shared" si="28"/>
        <v>4</v>
      </c>
      <c r="E9" s="45">
        <f t="shared" si="9"/>
        <v>33.520000000000003</v>
      </c>
      <c r="F9" s="534">
        <f t="shared" si="29"/>
        <v>2290</v>
      </c>
      <c r="G9" s="52">
        <f t="shared" si="0"/>
        <v>0</v>
      </c>
      <c r="H9" s="534">
        <f t="shared" ref="H9:H35" si="39">H8</f>
        <v>47085</v>
      </c>
      <c r="I9" s="379">
        <f t="shared" si="1"/>
        <v>0</v>
      </c>
      <c r="J9" s="66">
        <f t="shared" si="10"/>
        <v>0</v>
      </c>
      <c r="K9" s="534">
        <f t="shared" si="11"/>
        <v>2460</v>
      </c>
      <c r="L9" s="52">
        <f t="shared" si="12"/>
        <v>0</v>
      </c>
      <c r="M9" s="534">
        <f>M8</f>
        <v>183073</v>
      </c>
      <c r="N9" s="379">
        <f t="shared" si="2"/>
        <v>0</v>
      </c>
      <c r="O9" s="64">
        <f t="shared" si="3"/>
        <v>1869</v>
      </c>
      <c r="P9" s="534">
        <f t="shared" si="3"/>
        <v>2231</v>
      </c>
      <c r="Q9" s="534">
        <f t="shared" si="3"/>
        <v>186461</v>
      </c>
      <c r="R9" s="378">
        <f t="shared" si="4"/>
        <v>0</v>
      </c>
      <c r="S9" s="52">
        <f t="shared" si="5"/>
        <v>0</v>
      </c>
      <c r="T9" s="67">
        <f t="shared" si="30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v>2495</v>
      </c>
      <c r="Y9" s="52">
        <f t="shared" si="16"/>
        <v>0</v>
      </c>
      <c r="Z9" s="534">
        <v>141255</v>
      </c>
      <c r="AA9" s="65">
        <f t="shared" si="6"/>
        <v>64</v>
      </c>
      <c r="AB9" s="272">
        <f t="shared" si="32"/>
        <v>0</v>
      </c>
      <c r="AC9" s="534">
        <f t="shared" si="17"/>
        <v>1948</v>
      </c>
      <c r="AD9" s="45">
        <f t="shared" si="7"/>
        <v>0</v>
      </c>
      <c r="AE9" s="534">
        <f t="shared" si="33"/>
        <v>366651</v>
      </c>
      <c r="AF9" s="292">
        <f t="shared" si="18"/>
        <v>0</v>
      </c>
      <c r="AG9" s="209">
        <f t="shared" si="34"/>
        <v>0</v>
      </c>
      <c r="AH9" s="62">
        <f t="shared" si="35"/>
        <v>64</v>
      </c>
      <c r="AI9" s="302">
        <f t="shared" si="19"/>
        <v>64</v>
      </c>
      <c r="AJ9" s="302">
        <f>-tanks!AW10</f>
        <v>64</v>
      </c>
      <c r="AK9" s="302">
        <f t="shared" si="20"/>
        <v>0</v>
      </c>
      <c r="AL9" s="302">
        <f t="shared" si="8"/>
        <v>0</v>
      </c>
      <c r="AM9" s="302">
        <f t="shared" si="21"/>
        <v>0</v>
      </c>
      <c r="AN9" s="534">
        <f t="shared" si="22"/>
        <v>65</v>
      </c>
      <c r="AO9" s="304">
        <f t="shared" si="23"/>
        <v>1950</v>
      </c>
      <c r="AP9" s="534">
        <f t="shared" si="24"/>
        <v>35</v>
      </c>
      <c r="AQ9" s="304">
        <f t="shared" si="25"/>
        <v>1050</v>
      </c>
      <c r="AR9" s="534">
        <f t="shared" si="26"/>
        <v>73</v>
      </c>
      <c r="AS9" s="304">
        <f>(AR9/100)*3000</f>
        <v>2190</v>
      </c>
      <c r="AT9" s="304">
        <f t="shared" si="37"/>
        <v>5190</v>
      </c>
      <c r="AU9" s="304">
        <f t="shared" si="38"/>
        <v>0</v>
      </c>
      <c r="AV9" s="259"/>
      <c r="AW9" s="259"/>
      <c r="AX9" s="297">
        <f t="shared" si="27"/>
        <v>0.8</v>
      </c>
    </row>
    <row r="10" spans="1:52">
      <c r="A10" s="63">
        <f>ELEC!C9</f>
        <v>44840</v>
      </c>
      <c r="B10" s="534">
        <v>228</v>
      </c>
      <c r="C10" s="534">
        <v>234</v>
      </c>
      <c r="D10" s="45">
        <f t="shared" si="28"/>
        <v>3</v>
      </c>
      <c r="E10" s="45">
        <f t="shared" si="9"/>
        <v>25.14</v>
      </c>
      <c r="F10" s="534">
        <f t="shared" si="29"/>
        <v>2290</v>
      </c>
      <c r="G10" s="52">
        <f t="shared" si="0"/>
        <v>0</v>
      </c>
      <c r="H10" s="534">
        <f t="shared" si="39"/>
        <v>47085</v>
      </c>
      <c r="I10" s="379">
        <f t="shared" si="1"/>
        <v>0</v>
      </c>
      <c r="J10" s="66">
        <f t="shared" si="10"/>
        <v>0</v>
      </c>
      <c r="K10" s="534">
        <v>2461</v>
      </c>
      <c r="L10" s="52">
        <f t="shared" si="12"/>
        <v>1</v>
      </c>
      <c r="M10" s="534">
        <v>183134</v>
      </c>
      <c r="N10" s="379">
        <f t="shared" si="2"/>
        <v>61</v>
      </c>
      <c r="O10" s="64">
        <f t="shared" si="3"/>
        <v>1869</v>
      </c>
      <c r="P10" s="534">
        <f t="shared" si="3"/>
        <v>2231</v>
      </c>
      <c r="Q10" s="534">
        <f t="shared" si="3"/>
        <v>186461</v>
      </c>
      <c r="R10" s="378">
        <f t="shared" si="4"/>
        <v>0</v>
      </c>
      <c r="S10" s="52">
        <f t="shared" si="5"/>
        <v>0</v>
      </c>
      <c r="T10" s="67">
        <f t="shared" si="30"/>
        <v>0</v>
      </c>
      <c r="U10" s="385">
        <f t="shared" si="13"/>
        <v>1</v>
      </c>
      <c r="V10" s="62">
        <f t="shared" si="14"/>
        <v>61</v>
      </c>
      <c r="W10" s="383">
        <f t="shared" si="15"/>
        <v>61</v>
      </c>
      <c r="X10" s="534">
        <v>2495</v>
      </c>
      <c r="Y10" s="52">
        <f t="shared" si="16"/>
        <v>0</v>
      </c>
      <c r="Z10" s="534">
        <f t="shared" si="31"/>
        <v>141255</v>
      </c>
      <c r="AA10" s="65">
        <f t="shared" si="6"/>
        <v>0</v>
      </c>
      <c r="AB10" s="272">
        <f t="shared" si="32"/>
        <v>0</v>
      </c>
      <c r="AC10" s="534">
        <f t="shared" si="17"/>
        <v>1948</v>
      </c>
      <c r="AD10" s="45">
        <f t="shared" si="7"/>
        <v>0</v>
      </c>
      <c r="AE10" s="534">
        <f t="shared" si="33"/>
        <v>366651</v>
      </c>
      <c r="AF10" s="292">
        <f t="shared" si="18"/>
        <v>0</v>
      </c>
      <c r="AG10" s="209">
        <f t="shared" si="34"/>
        <v>0</v>
      </c>
      <c r="AH10" s="62">
        <f t="shared" si="35"/>
        <v>0</v>
      </c>
      <c r="AI10" s="302">
        <f>SUM(AH10+V10)</f>
        <v>61</v>
      </c>
      <c r="AJ10" s="302">
        <f>-tanks!AW11</f>
        <v>61</v>
      </c>
      <c r="AK10" s="302">
        <f t="shared" si="20"/>
        <v>0</v>
      </c>
      <c r="AL10" s="302">
        <f t="shared" si="8"/>
        <v>1</v>
      </c>
      <c r="AM10" s="302">
        <f t="shared" si="21"/>
        <v>0</v>
      </c>
      <c r="AN10" s="534">
        <f t="shared" si="22"/>
        <v>65</v>
      </c>
      <c r="AO10" s="304">
        <f t="shared" si="23"/>
        <v>1950</v>
      </c>
      <c r="AP10" s="534">
        <f t="shared" si="24"/>
        <v>35</v>
      </c>
      <c r="AQ10" s="304">
        <f t="shared" si="25"/>
        <v>1050</v>
      </c>
      <c r="AR10" s="534">
        <f t="shared" si="26"/>
        <v>73</v>
      </c>
      <c r="AS10" s="304">
        <f t="shared" si="36"/>
        <v>2190</v>
      </c>
      <c r="AT10" s="304">
        <f t="shared" si="37"/>
        <v>5190</v>
      </c>
      <c r="AU10" s="304">
        <f t="shared" si="38"/>
        <v>0</v>
      </c>
      <c r="AV10" s="259"/>
      <c r="AW10" s="259"/>
      <c r="AX10" s="297">
        <f t="shared" si="27"/>
        <v>0.8</v>
      </c>
    </row>
    <row r="11" spans="1:52">
      <c r="A11" s="63">
        <f>ELEC!C10</f>
        <v>44841</v>
      </c>
      <c r="B11" s="534">
        <f t="shared" ref="B11:B35" si="40">B10</f>
        <v>228</v>
      </c>
      <c r="C11" s="534">
        <f t="shared" ref="C11:C35" si="41">C10</f>
        <v>234</v>
      </c>
      <c r="D11" s="45">
        <f t="shared" si="28"/>
        <v>0</v>
      </c>
      <c r="E11" s="45">
        <f t="shared" si="9"/>
        <v>0</v>
      </c>
      <c r="F11" s="534">
        <f t="shared" si="29"/>
        <v>2290</v>
      </c>
      <c r="G11" s="52">
        <f t="shared" si="0"/>
        <v>0</v>
      </c>
      <c r="H11" s="534">
        <f t="shared" si="39"/>
        <v>47085</v>
      </c>
      <c r="I11" s="379">
        <f t="shared" si="1"/>
        <v>0</v>
      </c>
      <c r="J11" s="66">
        <f t="shared" si="10"/>
        <v>0</v>
      </c>
      <c r="K11" s="534">
        <f t="shared" si="11"/>
        <v>2461</v>
      </c>
      <c r="L11" s="52">
        <f t="shared" si="12"/>
        <v>0</v>
      </c>
      <c r="M11" s="534">
        <f t="shared" ref="M11:M35" si="42">M10</f>
        <v>183134</v>
      </c>
      <c r="N11" s="379">
        <f t="shared" si="2"/>
        <v>0</v>
      </c>
      <c r="O11" s="64">
        <f t="shared" si="3"/>
        <v>1869</v>
      </c>
      <c r="P11" s="534">
        <f t="shared" si="3"/>
        <v>2231</v>
      </c>
      <c r="Q11" s="534">
        <f t="shared" si="3"/>
        <v>186461</v>
      </c>
      <c r="R11" s="378">
        <f t="shared" ref="R11:R32" si="43">Q11-Q10</f>
        <v>0</v>
      </c>
      <c r="S11" s="52">
        <f t="shared" si="5"/>
        <v>0</v>
      </c>
      <c r="T11" s="67">
        <f t="shared" si="30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v>2495</v>
      </c>
      <c r="Y11" s="52">
        <f t="shared" si="16"/>
        <v>0</v>
      </c>
      <c r="Z11" s="534">
        <f t="shared" si="31"/>
        <v>141255</v>
      </c>
      <c r="AA11" s="65">
        <f t="shared" si="6"/>
        <v>0</v>
      </c>
      <c r="AB11" s="272">
        <f t="shared" si="32"/>
        <v>0</v>
      </c>
      <c r="AC11" s="534">
        <f t="shared" si="17"/>
        <v>1948</v>
      </c>
      <c r="AD11" s="45">
        <f t="shared" si="7"/>
        <v>0</v>
      </c>
      <c r="AE11" s="534">
        <v>366639</v>
      </c>
      <c r="AF11" s="292">
        <f t="shared" si="18"/>
        <v>-12</v>
      </c>
      <c r="AG11" s="209">
        <f t="shared" si="34"/>
        <v>0</v>
      </c>
      <c r="AH11" s="62">
        <f>AF11+AA11</f>
        <v>-12</v>
      </c>
      <c r="AI11" s="302">
        <f>SUM(AH11+V11)</f>
        <v>-12</v>
      </c>
      <c r="AJ11" s="302">
        <f>-tanks!AW12</f>
        <v>-12</v>
      </c>
      <c r="AK11" s="302">
        <f t="shared" si="20"/>
        <v>0</v>
      </c>
      <c r="AL11" s="302">
        <f t="shared" si="8"/>
        <v>0</v>
      </c>
      <c r="AM11" s="302">
        <f t="shared" si="21"/>
        <v>0</v>
      </c>
      <c r="AN11" s="534">
        <v>65</v>
      </c>
      <c r="AO11" s="304">
        <f t="shared" si="23"/>
        <v>1950</v>
      </c>
      <c r="AP11" s="534">
        <v>35</v>
      </c>
      <c r="AQ11" s="304">
        <f t="shared" si="25"/>
        <v>1050</v>
      </c>
      <c r="AR11" s="534">
        <f t="shared" si="26"/>
        <v>73</v>
      </c>
      <c r="AS11" s="304">
        <f t="shared" si="36"/>
        <v>2190</v>
      </c>
      <c r="AT11" s="304">
        <f t="shared" si="37"/>
        <v>5190</v>
      </c>
      <c r="AU11" s="304">
        <f t="shared" si="38"/>
        <v>0</v>
      </c>
      <c r="AV11" s="259"/>
      <c r="AW11" s="259"/>
      <c r="AX11" s="297">
        <f t="shared" si="27"/>
        <v>0.8</v>
      </c>
    </row>
    <row r="12" spans="1:52">
      <c r="A12" s="63">
        <f>ELEC!C11</f>
        <v>44842</v>
      </c>
      <c r="B12" s="534">
        <f t="shared" si="40"/>
        <v>228</v>
      </c>
      <c r="C12" s="534">
        <f t="shared" si="41"/>
        <v>234</v>
      </c>
      <c r="D12" s="45">
        <f t="shared" si="28"/>
        <v>0</v>
      </c>
      <c r="E12" s="45">
        <f t="shared" si="9"/>
        <v>0</v>
      </c>
      <c r="F12" s="534">
        <f t="shared" si="29"/>
        <v>2290</v>
      </c>
      <c r="G12" s="52">
        <f t="shared" si="0"/>
        <v>0</v>
      </c>
      <c r="H12" s="534">
        <f t="shared" si="39"/>
        <v>47085</v>
      </c>
      <c r="I12" s="379">
        <f t="shared" si="1"/>
        <v>0</v>
      </c>
      <c r="J12" s="66">
        <f t="shared" si="10"/>
        <v>0</v>
      </c>
      <c r="K12" s="534">
        <f t="shared" si="11"/>
        <v>2461</v>
      </c>
      <c r="L12" s="52">
        <f t="shared" si="12"/>
        <v>0</v>
      </c>
      <c r="M12" s="534">
        <f t="shared" si="42"/>
        <v>183134</v>
      </c>
      <c r="N12" s="379">
        <f t="shared" si="2"/>
        <v>0</v>
      </c>
      <c r="O12" s="64">
        <f t="shared" si="3"/>
        <v>1869</v>
      </c>
      <c r="P12" s="534">
        <f t="shared" si="3"/>
        <v>2231</v>
      </c>
      <c r="Q12" s="534">
        <f t="shared" si="3"/>
        <v>186461</v>
      </c>
      <c r="R12" s="378">
        <f t="shared" si="43"/>
        <v>0</v>
      </c>
      <c r="S12" s="52">
        <f t="shared" si="5"/>
        <v>0</v>
      </c>
      <c r="T12" s="67">
        <f t="shared" si="30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v>2495</v>
      </c>
      <c r="Y12" s="52">
        <f t="shared" si="16"/>
        <v>0</v>
      </c>
      <c r="Z12" s="534">
   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d" si="17"/>
        <v>1948</v>
      </c>
      <c r="AD12" s="45">
        <f t="shared" si="7"/>
        <v>0</v>
      </c>
      <c r="AE12" s="534">
        <v>366639</v>
      </c>
      <c r="AF12" s="292">
        <f t="shared" si="18"/>
        <v>0</v>
      </c>
      <c r="AG12" s="209">
        <f t="shared" si="34"/>
        <v>0</v>
      </c>
      <c r="AH12" s="62">
        <f t="shared" si="35"/>
        <v>0</v>
      </c>
      <c r="AI12" s="302">
        <f t="shared" si="19"/>
        <v>0</v>
      </c>
      <c r="AJ12" s="302">
        <f>-tanks!AW13</f>
        <v>0</v>
      </c>
      <c r="AK12" s="302">
        <f t="shared" si="20"/>
        <v>0</v>
      </c>
      <c r="AL12" s="302">
        <f t="shared" si="8"/>
        <v>0</v>
      </c>
      <c r="AM12" s="302">
        <f t="shared" si="21"/>
        <v>0</v>
      </c>
      <c r="AN12" s="534">
        <f t="shared" si="22"/>
        <v>65</v>
      </c>
      <c r="AO12" s="304">
        <f t="shared" si="23"/>
        <v>1950</v>
      </c>
      <c r="AP12" s="534">
        <f t="shared" si="24"/>
        <v>35</v>
      </c>
      <c r="AQ12" s="304">
        <f t="shared" si="25"/>
        <v>1050</v>
      </c>
      <c r="AR12" s="534">
        <f t="shared" si="26"/>
        <v>73</v>
      </c>
      <c r="AS12" s="304">
        <f t="shared" si="36"/>
        <v>2190</v>
      </c>
      <c r="AT12" s="304">
        <f t="shared" si="37"/>
        <v>5190</v>
      </c>
      <c r="AU12" s="304">
        <f t="shared" si="38"/>
        <v>0</v>
      </c>
      <c r="AV12" s="259"/>
      <c r="AW12" s="259"/>
      <c r="AX12" s="297">
        <f t="shared" si="27"/>
        <v>0.8</v>
      </c>
    </row>
    <row r="13" spans="1:52">
      <c r="A13" s="63">
        <f>ELEC!C12</f>
        <v>44843</v>
      </c>
      <c r="B13" s="534">
        <f t="shared" si="40"/>
        <v>228</v>
      </c>
      <c r="C13" s="534">
        <f t="shared" si="41"/>
        <v>234</v>
      </c>
      <c r="D13" s="45">
        <f t="shared" si="28"/>
        <v>0</v>
      </c>
      <c r="E13" s="45">
        <f t="shared" si="9"/>
        <v>0</v>
      </c>
      <c r="F13" s="534">
        <f t="shared" si="29"/>
        <v>2290</v>
      </c>
      <c r="G13" s="52">
        <f t="shared" si="0"/>
        <v>0</v>
      </c>
      <c r="H13" s="534">
        <f t="shared" si="39"/>
        <v>47085</v>
      </c>
      <c r="I13" s="379">
        <f t="shared" si="1"/>
        <v>0</v>
      </c>
      <c r="J13" s="66">
        <f t="shared" si="10"/>
        <v>0</v>
      </c>
      <c r="K13" s="534">
        <f t="shared" si="11"/>
        <v>2461</v>
      </c>
      <c r="L13" s="52">
        <f t="shared" si="12"/>
        <v>0</v>
      </c>
      <c r="M13" s="534">
        <f t="shared" si="42"/>
        <v>183134</v>
      </c>
      <c r="N13" s="379">
        <f t="shared" si="2"/>
        <v>0</v>
      </c>
      <c r="O13" s="64">
        <f t="shared" si="3"/>
        <v>1869</v>
      </c>
      <c r="P13" s="534">
        <f t="shared" si="3"/>
        <v>2231</v>
      </c>
      <c r="Q13" s="534">
        <f t="shared" si="3"/>
        <v>186461</v>
      </c>
      <c r="R13" s="378">
        <f t="shared" si="43"/>
        <v>0</v>
      </c>
      <c r="S13" s="52">
        <f t="shared" si="5"/>
        <v>0</v>
      </c>
      <c r="T13" s="67">
        <f t="shared" si="30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v>2495</v>
      </c>
      <c r="Y13" s="52">
        <f t="shared" si="16"/>
        <v>0</v>
      </c>
      <c r="Z13" s="534">
        <f t="shared" si="31"/>
        <v>141255</v>
      </c>
      <c r="AA13" s="272">
        <f t="shared" si="6"/>
        <v>0</v>
      </c>
      <c r="AB13" s="272">
        <f t="shared" si="32"/>
        <v>0</v>
      </c>
      <c r="AC13" s="534">
        <f t="shared" si="17"/>
        <v>1948</v>
      </c>
      <c r="AD13" s="45">
        <f t="shared" si="7"/>
        <v>0</v>
      </c>
      <c r="AE13" s="534">
        <v>366639</v>
      </c>
      <c r="AF13" s="292">
        <f t="shared" si="18"/>
        <v>0</v>
      </c>
      <c r="AG13" s="209">
        <f t="shared" si="34"/>
        <v>0</v>
      </c>
      <c r="AH13" s="62">
        <f t="shared" si="35"/>
        <v>0</v>
      </c>
      <c r="AI13" s="302">
        <f t="shared" si="19"/>
        <v>0</v>
      </c>
      <c r="AJ13" s="302">
        <f>-tanks!AW14</f>
        <v>0</v>
      </c>
      <c r="AK13" s="302">
        <f t="shared" si="20"/>
        <v>0</v>
      </c>
      <c r="AL13" s="302">
        <f t="shared" si="8"/>
        <v>0</v>
      </c>
      <c r="AM13" s="302">
        <f t="shared" si="21"/>
        <v>0</v>
      </c>
      <c r="AN13" s="534">
        <f t="shared" si="22"/>
        <v>65</v>
      </c>
      <c r="AO13" s="304">
        <f t="shared" si="23"/>
        <v>1950</v>
      </c>
      <c r="AP13" s="534">
        <f t="shared" si="24"/>
        <v>35</v>
      </c>
      <c r="AQ13" s="304">
        <f t="shared" si="25"/>
        <v>1050</v>
      </c>
      <c r="AR13" s="534">
        <f t="shared" si="26"/>
        <v>73</v>
      </c>
      <c r="AS13" s="304">
        <f t="shared" si="36"/>
        <v>2190</v>
      </c>
      <c r="AT13" s="304">
        <f t="shared" si="37"/>
        <v>5190</v>
      </c>
      <c r="AU13" s="304">
        <f t="shared" si="38"/>
        <v>0</v>
      </c>
      <c r="AV13" s="259"/>
      <c r="AW13" s="259"/>
      <c r="AX13" s="297">
        <f t="shared" si="27"/>
        <v>0.8</v>
      </c>
    </row>
    <row r="14" spans="1:52">
      <c r="A14" s="63">
        <f>ELEC!C13</f>
        <v>44844</v>
      </c>
      <c r="B14" s="534">
        <v>223.5</v>
      </c>
      <c r="C14" s="534">
        <v>231</v>
      </c>
      <c r="D14" s="45">
        <f t="shared" si="28"/>
        <v>3</v>
      </c>
      <c r="E14" s="45">
        <f t="shared" si="9"/>
        <v>25.14</v>
      </c>
      <c r="F14" s="534">
        <f t="shared" si="29"/>
        <v>2290</v>
      </c>
      <c r="G14" s="52">
        <f t="shared" si="0"/>
        <v>0</v>
      </c>
      <c r="H14" s="534">
        <f t="shared" si="39"/>
        <v>47085</v>
      </c>
      <c r="I14" s="379">
        <f t="shared" si="1"/>
        <v>0</v>
      </c>
      <c r="J14" s="66">
        <f t="shared" si="10"/>
        <v>0</v>
      </c>
      <c r="K14" s="534">
        <v>2462</v>
      </c>
      <c r="L14" s="52">
        <f t="shared" si="12"/>
        <v>1</v>
      </c>
      <c r="M14" s="534">
        <v>183267</v>
      </c>
      <c r="N14" s="379">
        <f t="shared" si="2"/>
        <v>133</v>
      </c>
      <c r="O14" s="64">
        <f t="shared" si="3"/>
        <v>1869</v>
      </c>
      <c r="P14" s="534">
        <f t="shared" si="3"/>
        <v>2231</v>
      </c>
      <c r="Q14" s="534">
        <f t="shared" si="3"/>
        <v>186461</v>
      </c>
      <c r="R14" s="378">
        <f t="shared" si="43"/>
        <v>0</v>
      </c>
      <c r="S14" s="52">
        <f t="shared" si="5"/>
        <v>0</v>
      </c>
      <c r="T14" s="67">
        <f t="shared" si="30"/>
        <v>0</v>
      </c>
      <c r="U14" s="385">
        <f t="shared" si="13"/>
        <v>1</v>
      </c>
      <c r="V14" s="62">
        <f t="shared" si="14"/>
        <v>133</v>
      </c>
      <c r="W14" s="383">
        <f t="shared" si="15"/>
        <v>133</v>
      </c>
      <c r="X14" s="534">
        <v>2495</v>
      </c>
      <c r="Y14" s="52">
        <f t="shared" si="16"/>
        <v>0</v>
      </c>
      <c r="Z14" s="534">
        <v>141295</v>
      </c>
      <c r="AA14" s="65">
        <f t="shared" si="6"/>
        <v>40</v>
      </c>
      <c r="AB14" s="272">
        <f t="shared" si="32"/>
        <v>0</v>
      </c>
      <c r="AC14" s="534">
        <f t="shared" si="17"/>
        <v>1948</v>
      </c>
      <c r="AD14" s="45">
        <f t="shared" si="7"/>
        <v>0</v>
      </c>
      <c r="AE14" s="534">
        <v>366639</v>
      </c>
      <c r="AF14" s="292">
        <f t="shared" si="18"/>
        <v>0</v>
      </c>
      <c r="AG14" s="209">
        <f t="shared" si="34"/>
        <v>0</v>
      </c>
      <c r="AH14" s="62">
        <f>AF14+AA14</f>
        <v>40</v>
      </c>
      <c r="AI14" s="302">
        <f>SUM(AH14+V14)</f>
        <v>173</v>
      </c>
      <c r="AJ14" s="302">
        <f>-tanks!AW15</f>
        <v>173</v>
      </c>
      <c r="AK14" s="302">
        <f t="shared" si="20"/>
        <v>0</v>
      </c>
      <c r="AL14" s="302">
        <f t="shared" si="8"/>
        <v>1</v>
      </c>
      <c r="AM14" s="302">
        <f t="shared" si="21"/>
        <v>0</v>
      </c>
      <c r="AN14" s="534">
        <f t="shared" si="22"/>
        <v>65</v>
      </c>
      <c r="AO14" s="304">
        <f t="shared" si="23"/>
        <v>1950</v>
      </c>
      <c r="AP14" s="534">
        <f t="shared" si="24"/>
        <v>35</v>
      </c>
      <c r="AQ14" s="304">
        <f t="shared" si="25"/>
        <v>1050</v>
      </c>
      <c r="AR14" s="534">
        <f t="shared" si="26"/>
        <v>73</v>
      </c>
      <c r="AS14" s="304">
        <f t="shared" si="36"/>
        <v>2190</v>
      </c>
      <c r="AT14" s="304">
        <f t="shared" si="37"/>
        <v>5190</v>
      </c>
      <c r="AU14" s="304">
        <f t="shared" si="38"/>
        <v>0</v>
      </c>
      <c r="AV14" s="259"/>
      <c r="AW14" s="259"/>
      <c r="AX14" s="297">
        <f t="shared" si="27"/>
        <v>0.8</v>
      </c>
    </row>
    <row r="15" spans="1:52" ht="15" customHeight="1">
      <c r="A15" s="63">
        <f>ELEC!C14</f>
        <v>44845</v>
      </c>
      <c r="B15" s="534">
        <v>220</v>
      </c>
      <c r="C15" s="534">
        <v>226</v>
      </c>
      <c r="D15" s="45">
        <f t="shared" si="28"/>
        <v>5</v>
      </c>
      <c r="E15" s="45">
        <f t="shared" si="9"/>
        <v>41.900000000000006</v>
      </c>
      <c r="F15" s="534">
        <f t="shared" si="29"/>
        <v>2290</v>
      </c>
      <c r="G15" s="52">
        <f t="shared" si="0"/>
        <v>0</v>
      </c>
      <c r="H15" s="534">
        <f t="shared" si="39"/>
        <v>47085</v>
      </c>
      <c r="I15" s="379">
        <f t="shared" si="1"/>
        <v>0</v>
      </c>
      <c r="J15" s="66">
        <f t="shared" si="10"/>
        <v>0</v>
      </c>
      <c r="K15" s="534">
        <f t="shared" si="11"/>
        <v>2462</v>
      </c>
      <c r="L15" s="52">
        <f t="shared" si="12"/>
        <v>0</v>
      </c>
      <c r="M15" s="534">
        <f t="shared" si="42"/>
        <v>183267</v>
      </c>
      <c r="N15" s="379">
        <f t="shared" si="2"/>
        <v>0</v>
      </c>
      <c r="O15" s="64">
        <f t="shared" si="3"/>
        <v>1869</v>
      </c>
      <c r="P15" s="534">
        <f>P14</f>
        <v>2231</v>
      </c>
      <c r="Q15" s="534">
        <f t="shared" ref="Q15:Q35" si="44">Q14</f>
        <v>186461</v>
      </c>
      <c r="R15" s="378">
        <f t="shared" si="43"/>
        <v>0</v>
      </c>
      <c r="S15" s="52">
        <f t="shared" si="5"/>
        <v>0</v>
      </c>
      <c r="T15" s="67">
        <f t="shared" si="30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v>2495</v>
      </c>
      <c r="Y15" s="52">
        <f t="shared" si="16"/>
        <v>0</v>
      </c>
      <c r="Z15" s="534">
        <f t="shared" si="31"/>
        <v>141295</v>
      </c>
      <c r="AA15" s="65">
        <f t="shared" si="6"/>
        <v>0</v>
      </c>
      <c r="AB15" s="272">
        <f t="shared" si="32"/>
        <v>0</v>
      </c>
      <c r="AC15" s="534">
        <f t="shared" si="17"/>
        <v>1948</v>
      </c>
      <c r="AD15" s="45">
        <f t="shared" si="7"/>
        <v>0</v>
      </c>
      <c r="AE15" s="534">
        <v>366639</v>
      </c>
      <c r="AF15" s="292">
        <f t="shared" si="18"/>
        <v>0</v>
      </c>
      <c r="AG15" s="209">
        <f t="shared" si="34"/>
        <v>0</v>
      </c>
      <c r="AH15" s="62">
        <f t="shared" si="35"/>
        <v>0</v>
      </c>
      <c r="AI15" s="302">
        <f t="shared" si="19"/>
        <v>0</v>
      </c>
      <c r="AJ15" s="302">
        <f>-tanks!AW16</f>
        <v>0</v>
      </c>
      <c r="AK15" s="302">
        <f t="shared" si="20"/>
        <v>0</v>
      </c>
      <c r="AL15" s="302">
        <f t="shared" si="8"/>
        <v>0</v>
      </c>
      <c r="AM15" s="302">
        <f t="shared" si="21"/>
        <v>0</v>
      </c>
      <c r="AN15" s="534">
        <f t="shared" si="22"/>
        <v>65</v>
      </c>
      <c r="AO15" s="304">
        <f t="shared" si="23"/>
        <v>1950</v>
      </c>
      <c r="AP15" s="534">
        <f t="shared" si="24"/>
        <v>35</v>
      </c>
      <c r="AQ15" s="304">
        <f t="shared" si="25"/>
        <v>1050</v>
      </c>
      <c r="AR15" s="534">
        <f t="shared" si="26"/>
        <v>73</v>
      </c>
      <c r="AS15" s="304">
        <f t="shared" si="36"/>
        <v>2190</v>
      </c>
      <c r="AT15" s="304">
        <f t="shared" si="37"/>
        <v>5190</v>
      </c>
      <c r="AU15" s="304">
        <f t="shared" si="38"/>
        <v>0</v>
      </c>
      <c r="AV15" s="259"/>
      <c r="AW15" s="259"/>
      <c r="AX15" s="297">
        <f t="shared" si="27"/>
        <v>0.8</v>
      </c>
    </row>
    <row r="16" spans="1:52">
      <c r="A16" s="63">
        <f>ELEC!C15</f>
        <v>44846</v>
      </c>
      <c r="B16" s="534">
        <v>238</v>
      </c>
      <c r="C16" s="534">
        <v>244</v>
      </c>
      <c r="D16" s="45">
        <f t="shared" si="28"/>
        <v>-18</v>
      </c>
      <c r="E16" s="45">
        <f t="shared" si="9"/>
        <v>-150.84</v>
      </c>
      <c r="F16" s="534">
        <f t="shared" si="29"/>
        <v>2290</v>
      </c>
      <c r="G16" s="52">
        <f t="shared" si="0"/>
        <v>0</v>
      </c>
      <c r="H16" s="534">
        <f t="shared" si="39"/>
        <v>47085</v>
      </c>
      <c r="I16" s="379">
        <f t="shared" si="1"/>
        <v>0</v>
      </c>
      <c r="J16" s="66">
        <f t="shared" si="10"/>
        <v>0</v>
      </c>
      <c r="K16" s="534">
        <v>2464</v>
      </c>
      <c r="L16" s="52">
        <f t="shared" si="12"/>
        <v>2</v>
      </c>
      <c r="M16" s="534">
        <v>183439</v>
      </c>
      <c r="N16" s="379">
        <f t="shared" si="2"/>
        <v>172</v>
      </c>
      <c r="O16" s="64">
        <f t="shared" si="3"/>
        <v>1869</v>
      </c>
      <c r="P16" s="534">
        <f t="shared" si="3"/>
        <v>2231</v>
      </c>
      <c r="Q16" s="534">
        <f t="shared" si="44"/>
        <v>186461</v>
      </c>
      <c r="R16" s="378">
        <f t="shared" si="43"/>
        <v>0</v>
      </c>
      <c r="S16" s="52">
        <f t="shared" si="5"/>
        <v>0</v>
      </c>
      <c r="T16" s="67">
        <f t="shared" si="30"/>
        <v>0</v>
      </c>
      <c r="U16" s="385">
        <f t="shared" si="13"/>
        <v>2</v>
      </c>
      <c r="V16" s="62">
        <f t="shared" si="14"/>
        <v>172</v>
      </c>
      <c r="W16" s="383">
        <f t="shared" si="15"/>
        <v>86</v>
      </c>
      <c r="X16" s="534">
        <v>2495</v>
      </c>
      <c r="Y16" s="52">
        <f t="shared" si="16"/>
        <v>0</v>
      </c>
      <c r="Z16" s="534">
        <f t="shared" si="31"/>
        <v>141295</v>
      </c>
      <c r="AA16" s="65">
        <f t="shared" si="6"/>
        <v>0</v>
      </c>
      <c r="AB16" s="272">
        <f t="shared" si="32"/>
        <v>0</v>
      </c>
      <c r="AC16" s="534">
        <f t="shared" si="17"/>
        <v>1948</v>
      </c>
      <c r="AD16" s="45">
        <f t="shared" si="7"/>
        <v>0</v>
      </c>
      <c r="AE16" s="534">
        <v>366639</v>
      </c>
      <c r="AF16" s="292">
        <f t="shared" si="18"/>
        <v>0</v>
      </c>
      <c r="AG16" s="209">
        <f t="shared" si="34"/>
        <v>0</v>
      </c>
      <c r="AH16" s="62">
        <f t="shared" si="35"/>
        <v>0</v>
      </c>
      <c r="AI16" s="302">
        <f t="shared" si="19"/>
        <v>172</v>
      </c>
      <c r="AJ16" s="302">
        <f>-tanks!AW17</f>
        <v>172</v>
      </c>
      <c r="AK16" s="302">
        <f t="shared" si="20"/>
        <v>0</v>
      </c>
      <c r="AL16" s="302">
        <f t="shared" si="8"/>
        <v>2</v>
      </c>
      <c r="AM16" s="302">
        <f t="shared" si="21"/>
        <v>0</v>
      </c>
      <c r="AN16" s="534">
        <f t="shared" si="22"/>
        <v>65</v>
      </c>
      <c r="AO16" s="304">
        <f t="shared" si="23"/>
        <v>1950</v>
      </c>
      <c r="AP16" s="534">
        <f t="shared" si="24"/>
        <v>35</v>
      </c>
      <c r="AQ16" s="304">
        <f t="shared" si="25"/>
        <v>1050</v>
      </c>
      <c r="AR16" s="534">
        <f t="shared" si="26"/>
        <v>73</v>
      </c>
      <c r="AS16" s="304">
        <f t="shared" si="36"/>
        <v>2190</v>
      </c>
      <c r="AT16" s="304">
        <f t="shared" si="37"/>
        <v>5190</v>
      </c>
      <c r="AU16" s="304">
        <f t="shared" si="38"/>
        <v>0</v>
      </c>
      <c r="AV16" s="259"/>
      <c r="AW16" s="259"/>
      <c r="AX16" s="297">
        <f t="shared" si="27"/>
        <v>0.8</v>
      </c>
    </row>
    <row r="17" spans="1:50">
      <c r="A17" s="63">
        <f>ELEC!C16</f>
        <v>44847</v>
      </c>
      <c r="B17" s="534">
        <f t="shared" si="40"/>
        <v>238</v>
      </c>
      <c r="C17" s="534">
        <f t="shared" si="41"/>
        <v>244</v>
      </c>
      <c r="D17" s="45">
        <f t="shared" si="28"/>
        <v>0</v>
      </c>
      <c r="E17" s="45">
        <f t="shared" si="9"/>
        <v>0</v>
      </c>
      <c r="F17" s="534">
        <f t="shared" si="29"/>
        <v>2290</v>
      </c>
      <c r="G17" s="52">
        <f t="shared" si="0"/>
        <v>0</v>
      </c>
      <c r="H17" s="534">
        <f t="shared" si="39"/>
        <v>47085</v>
      </c>
      <c r="I17" s="379">
        <f t="shared" si="1"/>
        <v>0</v>
      </c>
      <c r="J17" s="66">
        <f t="shared" si="10"/>
        <v>0</v>
      </c>
      <c r="K17" s="534">
        <f t="shared" si="11"/>
        <v>2464</v>
      </c>
      <c r="L17" s="52">
        <f t="shared" si="12"/>
        <v>0</v>
      </c>
      <c r="M17" s="534">
        <f t="shared" si="42"/>
        <v>183439</v>
      </c>
      <c r="N17" s="379">
        <f t="shared" si="2"/>
        <v>0</v>
      </c>
      <c r="O17" s="64">
        <f t="shared" si="3"/>
        <v>1869</v>
      </c>
      <c r="P17" s="534">
        <f t="shared" si="3"/>
        <v>2231</v>
      </c>
      <c r="Q17" s="534">
        <f t="shared" si="44"/>
        <v>186461</v>
      </c>
      <c r="R17" s="378">
        <f t="shared" si="43"/>
        <v>0</v>
      </c>
      <c r="S17" s="52">
        <f t="shared" si="5"/>
        <v>0</v>
      </c>
      <c r="T17" s="67">
        <f t="shared" si="30"/>
        <v>0</v>
      </c>
      <c r="U17" s="385">
        <f t="shared" si="13"/>
        <v>0</v>
      </c>
      <c r="V17" s="62">
        <f t="shared" si="14"/>
        <v>0</v>
      </c>
      <c r="W17" s="383"/>
      <c r="X17" s="534">
        <v>2495</v>
      </c>
      <c r="Y17" s="52">
        <f t="shared" si="16"/>
        <v>0</v>
      </c>
      <c r="Z17" s="534">
        <f t="shared" si="31"/>
        <v>141295</v>
      </c>
      <c r="AA17" s="65">
        <f t="shared" si="6"/>
        <v>0</v>
      </c>
      <c r="AB17" s="272">
        <f t="shared" si="32"/>
        <v>0</v>
      </c>
      <c r="AC17" s="534">
        <f t="shared" si="17"/>
        <v>1948</v>
      </c>
      <c r="AD17" s="45">
        <f t="shared" si="7"/>
        <v>0</v>
      </c>
      <c r="AE17" s="534">
        <v>366639</v>
      </c>
      <c r="AF17" s="292">
        <f t="shared" si="18"/>
        <v>0</v>
      </c>
      <c r="AG17" s="209">
        <f t="shared" si="34"/>
        <v>0</v>
      </c>
      <c r="AH17" s="62">
        <f t="shared" si="35"/>
        <v>0</v>
      </c>
      <c r="AI17" s="302">
        <f t="shared" si="19"/>
        <v>0</v>
      </c>
      <c r="AJ17" s="302">
        <f>-tanks!AW18</f>
        <v>0</v>
      </c>
      <c r="AK17" s="302">
        <f t="shared" si="20"/>
        <v>0</v>
      </c>
      <c r="AL17" s="302">
        <f t="shared" si="8"/>
        <v>0</v>
      </c>
      <c r="AM17" s="302">
        <f t="shared" si="21"/>
        <v>0</v>
      </c>
      <c r="AN17" s="534">
        <f t="shared" si="22"/>
        <v>65</v>
      </c>
      <c r="AO17" s="304">
        <f t="shared" si="23"/>
        <v>1950</v>
      </c>
      <c r="AP17" s="534">
        <f t="shared" si="24"/>
        <v>35</v>
      </c>
      <c r="AQ17" s="304">
        <f t="shared" si="25"/>
        <v>1050</v>
      </c>
      <c r="AR17" s="534">
        <f t="shared" si="26"/>
        <v>73</v>
      </c>
      <c r="AS17" s="304">
        <f t="shared" si="36"/>
        <v>2190</v>
      </c>
      <c r="AT17" s="304">
        <f t="shared" si="37"/>
        <v>5190</v>
      </c>
      <c r="AU17" s="304">
        <f t="shared" si="38"/>
        <v>0</v>
      </c>
      <c r="AV17" s="259"/>
      <c r="AW17" s="259"/>
      <c r="AX17" s="297">
        <f t="shared" si="27"/>
        <v>0.8</v>
      </c>
    </row>
    <row r="18" spans="1:50">
      <c r="A18" s="63">
        <f>ELEC!C17</f>
        <v>44848</v>
      </c>
      <c r="B18" s="534">
        <f t="shared" si="40"/>
        <v>238</v>
      </c>
      <c r="C18" s="534">
        <f t="shared" si="41"/>
        <v>244</v>
      </c>
      <c r="D18" s="45">
        <f t="shared" si="28"/>
        <v>0</v>
      </c>
      <c r="E18" s="45">
        <f t="shared" si="9"/>
        <v>0</v>
      </c>
      <c r="F18" s="534">
        <f t="shared" si="29"/>
        <v>2290</v>
      </c>
      <c r="G18" s="52">
        <f t="shared" si="0"/>
        <v>0</v>
      </c>
      <c r="H18" s="534">
        <f t="shared" si="39"/>
        <v>47085</v>
      </c>
      <c r="I18" s="379">
        <f t="shared" si="1"/>
        <v>0</v>
      </c>
      <c r="J18" s="66">
        <f t="shared" si="10"/>
        <v>0</v>
      </c>
      <c r="K18" s="534">
        <f t="shared" si="11"/>
        <v>2464</v>
      </c>
      <c r="L18" s="52">
        <f t="shared" si="12"/>
        <v>0</v>
      </c>
      <c r="M18" s="534">
        <f t="shared" si="42"/>
        <v>183439</v>
      </c>
      <c r="N18" s="379">
        <f t="shared" si="2"/>
        <v>0</v>
      </c>
      <c r="O18" s="64">
        <v>1869</v>
      </c>
      <c r="P18" s="534">
        <f>P17</f>
        <v>2231</v>
      </c>
      <c r="Q18" s="534">
        <f t="shared" si="44"/>
        <v>186461</v>
      </c>
      <c r="R18" s="378">
        <f t="shared" si="43"/>
        <v>0</v>
      </c>
      <c r="S18" s="52">
        <f t="shared" si="5"/>
        <v>0</v>
      </c>
      <c r="T18" s="67">
        <f t="shared" si="30"/>
        <v>0</v>
      </c>
      <c r="U18" s="385">
        <f t="shared" si="13"/>
        <v>0</v>
      </c>
      <c r="V18" s="62">
        <f t="shared" si="14"/>
        <v>0</v>
      </c>
      <c r="W18" s="383"/>
      <c r="X18" s="534">
        <v>2495</v>
      </c>
      <c r="Y18" s="52">
        <f t="shared" si="16"/>
        <v>0</v>
      </c>
      <c r="Z18" s="534">
        <f t="shared" si="31"/>
        <v>141295</v>
      </c>
      <c r="AA18" s="65">
        <f t="shared" si="6"/>
        <v>0</v>
      </c>
      <c r="AB18" s="272">
        <f t="shared" ref="AB18:AB23" si="45">SUM(Y18*$AB$2)</f>
        <v>0</v>
      </c>
      <c r="AC18" s="534">
        <f t="shared" si="17"/>
        <v>1948</v>
      </c>
      <c r="AD18" s="45">
        <f t="shared" si="7"/>
        <v>0</v>
      </c>
      <c r="AE18" s="534">
        <v>366639</v>
      </c>
      <c r="AF18" s="292">
        <f t="shared" si="18"/>
        <v>0</v>
      </c>
      <c r="AG18" s="209">
        <f t="shared" si="34"/>
        <v>0</v>
      </c>
      <c r="AH18" s="62">
        <f t="shared" si="35"/>
        <v>0</v>
      </c>
      <c r="AI18" s="302">
        <f t="shared" si="19"/>
        <v>0</v>
      </c>
      <c r="AJ18" s="302">
        <f>-tanks!AW19</f>
        <v>0</v>
      </c>
      <c r="AK18" s="302">
        <f t="shared" si="20"/>
        <v>0</v>
      </c>
      <c r="AL18" s="302">
        <f t="shared" si="8"/>
        <v>0</v>
      </c>
      <c r="AM18" s="302">
        <f t="shared" si="21"/>
        <v>0</v>
      </c>
      <c r="AN18" s="534">
        <f t="shared" si="22"/>
        <v>65</v>
      </c>
      <c r="AO18" s="304">
        <f t="shared" si="23"/>
        <v>1950</v>
      </c>
      <c r="AP18" s="534">
        <f t="shared" si="24"/>
        <v>35</v>
      </c>
      <c r="AQ18" s="304">
        <f t="shared" si="25"/>
        <v>1050</v>
      </c>
      <c r="AR18" s="534">
        <f t="shared" si="26"/>
        <v>73</v>
      </c>
      <c r="AS18" s="304">
        <f t="shared" si="36"/>
        <v>2190</v>
      </c>
      <c r="AT18" s="304">
        <f t="shared" si="37"/>
        <v>5190</v>
      </c>
      <c r="AU18" s="304">
        <f t="shared" si="38"/>
        <v>0</v>
      </c>
      <c r="AV18" s="259"/>
      <c r="AW18" s="259"/>
      <c r="AX18" s="297">
        <f t="shared" si="27"/>
        <v>0.8</v>
      </c>
    </row>
    <row r="19" spans="1:50">
      <c r="A19" s="63">
        <f>ELEC!C18</f>
        <v>44849</v>
      </c>
      <c r="B19" s="534">
        <f t="shared" si="40"/>
        <v>238</v>
      </c>
      <c r="C19" s="534">
        <f t="shared" si="41"/>
        <v>244</v>
      </c>
      <c r="D19" s="45">
        <f t="shared" si="28"/>
        <v>0</v>
      </c>
      <c r="E19" s="45">
        <f t="shared" si="9"/>
        <v>0</v>
      </c>
      <c r="F19" s="534">
        <f t="shared" si="29"/>
        <v>2290</v>
      </c>
      <c r="G19" s="52">
        <f t="shared" si="0"/>
        <v>0</v>
      </c>
      <c r="H19" s="534">
        <f t="shared" si="39"/>
        <v>47085</v>
      </c>
      <c r="I19" s="379">
        <f t="shared" si="1"/>
        <v>0</v>
      </c>
      <c r="J19" s="66">
        <f t="shared" si="10"/>
        <v>0</v>
      </c>
      <c r="K19" s="534">
        <f t="shared" si="11"/>
        <v>2464</v>
      </c>
      <c r="L19" s="52">
        <f t="shared" si="12"/>
        <v>0</v>
      </c>
      <c r="M19" s="534">
        <f t="shared" si="42"/>
        <v>183439</v>
      </c>
      <c r="N19" s="379">
        <f t="shared" si="2"/>
        <v>0</v>
      </c>
      <c r="O19" s="64">
        <f t="shared" ref="O19:O35" si="46">O18</f>
        <v>1869</v>
      </c>
      <c r="P19" s="534">
        <f t="shared" ref="P19:P35" si="47">P18</f>
        <v>2231</v>
      </c>
      <c r="Q19" s="534">
        <f t="shared" si="44"/>
        <v>186461</v>
      </c>
      <c r="R19" s="378">
        <f t="shared" si="43"/>
        <v>0</v>
      </c>
      <c r="S19" s="52">
        <f t="shared" si="5"/>
        <v>0</v>
      </c>
      <c r="T19" s="67">
        <f t="shared" si="30"/>
        <v>0</v>
      </c>
      <c r="U19" s="385">
        <f t="shared" si="13"/>
        <v>0</v>
      </c>
      <c r="V19" s="62">
        <f t="shared" si="14"/>
        <v>0</v>
      </c>
      <c r="W19" s="383"/>
      <c r="X19" s="534">
        <v>2495</v>
      </c>
      <c r="Y19" s="52">
        <f t="shared" si="16"/>
        <v>0</v>
      </c>
      <c r="Z19" s="534">
        <f t="shared" si="31"/>
        <v>141295</v>
      </c>
      <c r="AA19" s="65">
        <f t="shared" si="6"/>
        <v>0</v>
      </c>
      <c r="AB19" s="272">
        <f t="shared" si="45"/>
        <v>0</v>
      </c>
      <c r="AC19" s="534">
        <f t="shared" si="17"/>
        <v>1948</v>
      </c>
      <c r="AD19" s="45">
        <f t="shared" si="7"/>
        <v>0</v>
      </c>
      <c r="AE19" s="534">
        <v>366639</v>
      </c>
      <c r="AF19" s="292">
        <f t="shared" si="18"/>
        <v>0</v>
      </c>
      <c r="AG19" s="209">
        <f t="shared" si="34"/>
        <v>0</v>
      </c>
      <c r="AH19" s="62">
        <f t="shared" si="35"/>
        <v>0</v>
      </c>
      <c r="AI19" s="302">
        <f t="shared" si="19"/>
        <v>0</v>
      </c>
      <c r="AJ19" s="302">
        <f>-tanks!AW20</f>
        <v>0</v>
      </c>
      <c r="AK19" s="302">
        <f t="shared" si="20"/>
        <v>0</v>
      </c>
      <c r="AL19" s="302">
        <f t="shared" si="8"/>
        <v>0</v>
      </c>
      <c r="AM19" s="302">
        <f t="shared" si="21"/>
        <v>0</v>
      </c>
      <c r="AN19" s="534">
        <f t="shared" si="22"/>
        <v>65</v>
      </c>
      <c r="AO19" s="304">
        <f t="shared" si="23"/>
        <v>1950</v>
      </c>
      <c r="AP19" s="534">
        <f t="shared" si="24"/>
        <v>35</v>
      </c>
      <c r="AQ19" s="304">
        <f t="shared" si="25"/>
        <v>1050</v>
      </c>
      <c r="AR19" s="534">
        <f t="shared" si="26"/>
        <v>73</v>
      </c>
      <c r="AS19" s="304">
        <f t="shared" si="36"/>
        <v>2190</v>
      </c>
      <c r="AT19" s="304">
        <f t="shared" si="37"/>
        <v>5190</v>
      </c>
      <c r="AU19" s="304">
        <f t="shared" si="38"/>
        <v>0</v>
      </c>
      <c r="AV19" s="259"/>
      <c r="AW19" s="259"/>
      <c r="AX19" s="297">
        <f t="shared" si="27"/>
        <v>0.8</v>
      </c>
    </row>
    <row r="20" spans="1:50">
      <c r="A20" s="63">
        <f>ELEC!C19</f>
        <v>44850</v>
      </c>
      <c r="B20" s="534">
        <v>231</v>
      </c>
      <c r="C20" s="534">
        <v>237</v>
      </c>
      <c r="D20" s="45">
        <f>C19-C20</f>
        <v>7</v>
      </c>
      <c r="E20" s="45">
        <f t="shared" si="9"/>
        <v>58.660000000000004</v>
      </c>
      <c r="F20" s="534">
        <f t="shared" si="29"/>
        <v>2290</v>
      </c>
      <c r="G20" s="52">
        <f t="shared" si="0"/>
        <v>0</v>
      </c>
      <c r="H20" s="534">
        <v>47100</v>
      </c>
      <c r="I20" s="379">
        <f t="shared" si="1"/>
        <v>15</v>
      </c>
      <c r="J20" s="66">
        <f t="shared" si="10"/>
        <v>0</v>
      </c>
      <c r="K20" s="534">
        <v>2467</v>
      </c>
      <c r="L20" s="52">
        <f t="shared" si="12"/>
        <v>3</v>
      </c>
      <c r="M20" s="534">
        <v>183675</v>
      </c>
      <c r="N20" s="379">
        <f t="shared" si="2"/>
        <v>236</v>
      </c>
      <c r="O20" s="64">
        <f t="shared" si="46"/>
        <v>1869</v>
      </c>
      <c r="P20" s="534">
        <f t="shared" si="47"/>
        <v>2231</v>
      </c>
      <c r="Q20" s="534">
        <f t="shared" si="44"/>
        <v>186461</v>
      </c>
      <c r="R20" s="378">
        <f t="shared" si="43"/>
        <v>0</v>
      </c>
      <c r="S20" s="52">
        <f t="shared" si="5"/>
        <v>0</v>
      </c>
      <c r="T20" s="67">
        <f t="shared" si="30"/>
        <v>0</v>
      </c>
      <c r="U20" s="385">
        <f t="shared" si="13"/>
        <v>3</v>
      </c>
      <c r="V20" s="62">
        <f t="shared" si="14"/>
        <v>251</v>
      </c>
      <c r="W20" s="383"/>
      <c r="X20" s="534">
        <v>2497</v>
      </c>
      <c r="Y20" s="52">
        <f t="shared" si="16"/>
        <v>2</v>
      </c>
      <c r="Z20" s="534">
        <v>141349</v>
      </c>
      <c r="AA20" s="65">
        <f t="shared" si="6"/>
        <v>54</v>
      </c>
      <c r="AB20" s="272">
        <f t="shared" si="45"/>
        <v>0</v>
      </c>
      <c r="AC20" s="534">
        <f t="shared" si="17"/>
        <v>1948</v>
      </c>
      <c r="AD20" s="45">
        <f t="shared" si="7"/>
        <v>0</v>
      </c>
      <c r="AE20" s="534">
        <v>366639</v>
      </c>
      <c r="AF20" s="292">
        <f t="shared" si="18"/>
        <v>0</v>
      </c>
      <c r="AG20" s="209">
        <f t="shared" si="34"/>
        <v>0</v>
      </c>
      <c r="AH20" s="62">
        <f t="shared" si="35"/>
        <v>54</v>
      </c>
      <c r="AI20" s="302">
        <f t="shared" si="19"/>
        <v>305</v>
      </c>
      <c r="AJ20" s="302">
        <f>-tanks!AW21</f>
        <v>305</v>
      </c>
      <c r="AK20" s="302">
        <f t="shared" si="20"/>
        <v>0</v>
      </c>
      <c r="AL20" s="302">
        <f t="shared" si="8"/>
        <v>3</v>
      </c>
      <c r="AM20" s="302">
        <f t="shared" si="21"/>
        <v>2</v>
      </c>
      <c r="AN20" s="534">
        <f t="shared" si="22"/>
        <v>65</v>
      </c>
      <c r="AO20" s="304">
        <f t="shared" si="23"/>
        <v>1950</v>
      </c>
      <c r="AP20" s="534">
        <f t="shared" si="24"/>
        <v>35</v>
      </c>
      <c r="AQ20" s="304">
        <f t="shared" si="25"/>
        <v>1050</v>
      </c>
      <c r="AR20" s="534">
        <f t="shared" si="26"/>
        <v>73</v>
      </c>
      <c r="AS20" s="304">
        <f t="shared" si="36"/>
        <v>2190</v>
      </c>
      <c r="AT20" s="304">
        <f t="shared" si="37"/>
        <v>5190</v>
      </c>
      <c r="AU20" s="304">
        <f t="shared" si="38"/>
        <v>0</v>
      </c>
      <c r="AV20" s="259"/>
      <c r="AW20" s="259"/>
      <c r="AX20" s="297">
        <f t="shared" si="27"/>
        <v>0.8</v>
      </c>
    </row>
    <row r="21" spans="1:50">
      <c r="A21" s="63">
        <f>ELEC!C20</f>
        <v>44851</v>
      </c>
      <c r="B21" s="534">
        <v>228</v>
      </c>
      <c r="C21" s="534">
        <v>235</v>
      </c>
      <c r="D21" s="45">
        <f t="shared" ref="D21:D32" si="48">C20-C21</f>
        <v>2</v>
      </c>
      <c r="E21" s="45">
        <f t="shared" si="9"/>
        <v>16.760000000000002</v>
      </c>
      <c r="F21" s="534">
        <f t="shared" si="29"/>
        <v>2290</v>
      </c>
      <c r="G21" s="52">
        <f t="shared" si="0"/>
        <v>0</v>
      </c>
      <c r="H21" s="534">
        <v>47100</v>
      </c>
      <c r="I21" s="379">
        <f t="shared" si="1"/>
        <v>0</v>
      </c>
      <c r="J21" s="66">
        <f t="shared" si="10"/>
        <v>0</v>
      </c>
      <c r="K21" s="534">
        <f t="shared" si="11"/>
        <v>2467</v>
      </c>
      <c r="L21" s="52">
        <f t="shared" si="12"/>
        <v>0</v>
      </c>
      <c r="M21" s="534">
        <v>183733</v>
      </c>
      <c r="N21" s="379">
        <f t="shared" si="2"/>
        <v>58</v>
      </c>
      <c r="O21" s="64">
        <f t="shared" si="46"/>
        <v>1869</v>
      </c>
      <c r="P21" s="534">
        <f t="shared" si="47"/>
        <v>2231</v>
      </c>
      <c r="Q21" s="534">
        <v>186471</v>
      </c>
      <c r="R21" s="378">
        <f t="shared" si="43"/>
        <v>10</v>
      </c>
      <c r="S21" s="52">
        <f t="shared" si="5"/>
        <v>0</v>
      </c>
      <c r="T21" s="67">
        <f t="shared" si="30"/>
        <v>0</v>
      </c>
      <c r="U21" s="385">
        <f t="shared" si="13"/>
        <v>0</v>
      </c>
      <c r="V21" s="62">
        <f t="shared" si="14"/>
        <v>68</v>
      </c>
      <c r="W21" s="383"/>
      <c r="X21" s="534">
        <v>2495</v>
      </c>
      <c r="Y21" s="52">
        <f t="shared" si="16"/>
        <v>-2</v>
      </c>
      <c r="Z21" s="534">
        <v>141349</v>
      </c>
      <c r="AA21" s="65">
        <f t="shared" si="6"/>
        <v>0</v>
      </c>
      <c r="AB21" s="272">
        <f t="shared" si="45"/>
        <v>0</v>
      </c>
      <c r="AC21" s="534">
        <f t="shared" si="17"/>
        <v>1948</v>
      </c>
      <c r="AD21" s="45">
        <f t="shared" si="7"/>
        <v>0</v>
      </c>
      <c r="AE21" s="534">
        <v>366687</v>
      </c>
      <c r="AF21" s="292">
        <f t="shared" si="18"/>
        <v>48</v>
      </c>
      <c r="AG21" s="209">
        <f t="shared" si="34"/>
        <v>0</v>
      </c>
      <c r="AH21" s="62">
        <f t="shared" si="35"/>
        <v>48</v>
      </c>
      <c r="AI21" s="302">
        <f t="shared" si="19"/>
        <v>116</v>
      </c>
      <c r="AJ21" s="302">
        <f>-tanks!AW22</f>
        <v>116</v>
      </c>
      <c r="AK21" s="302">
        <f t="shared" si="20"/>
        <v>0</v>
      </c>
      <c r="AL21" s="302">
        <f t="shared" si="8"/>
        <v>0</v>
      </c>
      <c r="AM21" s="302">
        <f t="shared" si="21"/>
        <v>-2</v>
      </c>
      <c r="AN21" s="534">
        <f t="shared" si="22"/>
        <v>65</v>
      </c>
      <c r="AO21" s="304">
        <f t="shared" si="23"/>
        <v>1950</v>
      </c>
      <c r="AP21" s="534">
        <f t="shared" si="24"/>
        <v>35</v>
      </c>
      <c r="AQ21" s="304">
        <f t="shared" si="25"/>
        <v>1050</v>
      </c>
      <c r="AR21" s="534">
        <f t="shared" si="26"/>
        <v>73</v>
      </c>
      <c r="AS21" s="304">
        <f t="shared" si="36"/>
        <v>2190</v>
      </c>
      <c r="AT21" s="304">
        <f t="shared" si="37"/>
        <v>5190</v>
      </c>
      <c r="AU21" s="304">
        <f t="shared" si="38"/>
        <v>0</v>
      </c>
      <c r="AV21" s="259"/>
      <c r="AW21" s="259"/>
      <c r="AX21" s="297">
        <f t="shared" si="27"/>
        <v>0.8</v>
      </c>
    </row>
    <row r="22" spans="1:50" ht="16.5" customHeight="1">
      <c r="A22" s="63">
        <f>ELEC!C21</f>
        <v>44852</v>
      </c>
      <c r="B22" s="534">
        <v>225</v>
      </c>
      <c r="C22" s="534">
        <v>231</v>
      </c>
      <c r="D22" s="45">
        <f t="shared" si="48"/>
        <v>4</v>
      </c>
      <c r="E22" s="45">
        <f t="shared" si="9"/>
        <v>33.520000000000003</v>
      </c>
      <c r="F22" s="534">
        <f t="shared" si="29"/>
        <v>2290</v>
      </c>
      <c r="G22" s="52">
        <f t="shared" si="0"/>
        <v>0</v>
      </c>
      <c r="H22" s="534">
        <f t="shared" si="39"/>
        <v>47100</v>
      </c>
      <c r="I22" s="379">
        <f t="shared" si="1"/>
        <v>0</v>
      </c>
      <c r="J22" s="66">
        <f t="shared" si="10"/>
        <v>0</v>
      </c>
      <c r="K22" s="534">
        <f t="shared" si="11"/>
        <v>2467</v>
      </c>
      <c r="L22" s="52">
        <f t="shared" si="12"/>
        <v>0</v>
      </c>
      <c r="M22" s="534">
        <f t="shared" si="42"/>
        <v>183733</v>
      </c>
      <c r="N22" s="379">
        <f t="shared" si="2"/>
        <v>0</v>
      </c>
      <c r="O22" s="64">
        <f t="shared" si="46"/>
        <v>1869</v>
      </c>
      <c r="P22" s="534">
        <v>2231</v>
      </c>
      <c r="Q22" s="534">
        <f t="shared" si="44"/>
        <v>186471</v>
      </c>
      <c r="R22" s="378">
        <f t="shared" si="43"/>
        <v>0</v>
      </c>
      <c r="S22" s="52">
        <f t="shared" si="5"/>
        <v>0</v>
      </c>
      <c r="T22" s="67">
        <f t="shared" si="30"/>
        <v>0</v>
      </c>
      <c r="U22" s="385">
        <f t="shared" si="13"/>
        <v>0</v>
      </c>
      <c r="V22" s="62">
        <f t="shared" si="14"/>
        <v>0</v>
      </c>
      <c r="W22" s="383"/>
      <c r="X22" s="534">
        <v>2495</v>
      </c>
      <c r="Y22" s="52">
        <f t="shared" si="16"/>
        <v>0</v>
      </c>
      <c r="Z22" s="534">
        <f t="shared" si="31"/>
        <v>141349</v>
      </c>
      <c r="AA22" s="65">
        <f t="shared" si="6"/>
        <v>0</v>
      </c>
      <c r="AB22" s="272">
        <f t="shared" si="45"/>
        <v>0</v>
      </c>
      <c r="AC22" s="534">
        <f t="shared" si="17"/>
        <v>1948</v>
      </c>
      <c r="AD22" s="45">
        <f t="shared" si="7"/>
        <v>0</v>
      </c>
      <c r="AE22" s="534">
        <v>366687</v>
      </c>
      <c r="AF22" s="292">
        <f t="shared" si="18"/>
        <v>0</v>
      </c>
      <c r="AG22" s="209">
        <f t="shared" si="34"/>
        <v>0</v>
      </c>
      <c r="AH22" s="62">
        <f t="shared" si="35"/>
        <v>0</v>
      </c>
      <c r="AI22" s="302">
        <f t="shared" si="19"/>
        <v>0</v>
      </c>
      <c r="AJ22" s="302">
        <f>-tanks!AW23</f>
        <v>0</v>
      </c>
      <c r="AK22" s="302">
        <f t="shared" si="20"/>
        <v>0</v>
      </c>
      <c r="AL22" s="302">
        <f t="shared" si="8"/>
        <v>0</v>
      </c>
      <c r="AM22" s="302">
        <f t="shared" si="21"/>
        <v>0</v>
      </c>
      <c r="AN22" s="534">
        <f t="shared" si="22"/>
        <v>65</v>
      </c>
      <c r="AO22" s="304">
        <f t="shared" si="23"/>
        <v>1950</v>
      </c>
      <c r="AP22" s="534">
        <f t="shared" si="24"/>
        <v>35</v>
      </c>
      <c r="AQ22" s="304">
        <f t="shared" si="25"/>
        <v>1050</v>
      </c>
      <c r="AR22" s="534">
        <f t="shared" si="26"/>
        <v>73</v>
      </c>
      <c r="AS22" s="304">
        <f t="shared" si="36"/>
        <v>2190</v>
      </c>
      <c r="AT22" s="304">
        <f t="shared" si="37"/>
        <v>5190</v>
      </c>
      <c r="AU22" s="304">
        <f t="shared" si="38"/>
        <v>0</v>
      </c>
      <c r="AV22" s="259"/>
      <c r="AW22" s="259"/>
      <c r="AX22" s="297">
        <f t="shared" si="27"/>
        <v>0.8</v>
      </c>
    </row>
    <row r="23" spans="1:50">
      <c r="A23" s="63">
        <f>ELEC!C22</f>
        <v>44853</v>
      </c>
      <c r="B23" s="534">
        <v>222</v>
      </c>
      <c r="C23" s="534">
        <v>228</v>
      </c>
      <c r="D23" s="45">
        <f t="shared" si="48"/>
        <v>3</v>
      </c>
      <c r="E23" s="45">
        <f t="shared" si="9"/>
        <v>25.14</v>
      </c>
      <c r="F23" s="534">
        <v>2292</v>
      </c>
      <c r="G23" s="52">
        <f t="shared" si="0"/>
        <v>2</v>
      </c>
      <c r="H23" s="534">
        <v>47207</v>
      </c>
      <c r="I23" s="379">
        <f t="shared" si="1"/>
        <v>107</v>
      </c>
      <c r="J23" s="66">
        <f t="shared" si="10"/>
        <v>53.5</v>
      </c>
      <c r="K23" s="534">
        <f t="shared" si="11"/>
        <v>2467</v>
      </c>
      <c r="L23" s="52">
        <f t="shared" si="12"/>
        <v>0</v>
      </c>
      <c r="M23" s="534">
        <f t="shared" si="42"/>
        <v>183733</v>
      </c>
      <c r="N23" s="379">
        <f t="shared" si="2"/>
        <v>0</v>
      </c>
      <c r="O23" s="64">
        <f t="shared" si="46"/>
        <v>1869</v>
      </c>
      <c r="P23" s="534">
        <f t="shared" si="47"/>
        <v>2231</v>
      </c>
      <c r="Q23" s="534">
        <f t="shared" si="44"/>
        <v>186471</v>
      </c>
      <c r="R23" s="378">
        <f t="shared" si="43"/>
        <v>0</v>
      </c>
      <c r="S23" s="52">
        <f t="shared" si="5"/>
        <v>0</v>
      </c>
      <c r="T23" s="67">
        <f t="shared" si="30"/>
        <v>0</v>
      </c>
      <c r="U23" s="385">
        <f t="shared" si="13"/>
        <v>2</v>
      </c>
      <c r="V23" s="62">
        <f t="shared" si="14"/>
        <v>107</v>
      </c>
      <c r="W23" s="383"/>
      <c r="X23" s="534">
        <v>2495</v>
      </c>
      <c r="Y23" s="52">
        <f t="shared" si="16"/>
        <v>0</v>
      </c>
      <c r="Z23" s="534">
        <f t="shared" si="31"/>
        <v>141349</v>
      </c>
      <c r="AA23" s="65">
        <f t="shared" si="6"/>
        <v>0</v>
      </c>
      <c r="AB23" s="272">
        <f t="shared" si="45"/>
        <v>0</v>
      </c>
      <c r="AC23" s="534">
        <f t="shared" si="17"/>
        <v>1948</v>
      </c>
      <c r="AD23" s="45">
        <f t="shared" si="7"/>
        <v>0</v>
      </c>
      <c r="AE23" s="534">
        <v>366687</v>
      </c>
      <c r="AF23" s="292">
        <f t="shared" si="18"/>
        <v>0</v>
      </c>
      <c r="AG23" s="209">
        <f t="shared" si="34"/>
        <v>0</v>
      </c>
      <c r="AH23" s="62">
        <f t="shared" si="35"/>
        <v>0</v>
      </c>
      <c r="AI23" s="302">
        <f>SUM(AH23+V23)</f>
        <v>107</v>
      </c>
      <c r="AJ23" s="302">
        <f>-tanks!AW24</f>
        <v>107</v>
      </c>
      <c r="AK23" s="302">
        <f>SUM(AJ23-AI23)</f>
        <v>0</v>
      </c>
      <c r="AL23" s="302">
        <f>S23+L23+G23</f>
        <v>2</v>
      </c>
      <c r="AM23" s="302">
        <f>Y23+AD23</f>
        <v>0</v>
      </c>
      <c r="AN23" s="534">
        <f t="shared" si="22"/>
        <v>65</v>
      </c>
      <c r="AO23" s="304">
        <f t="shared" si="23"/>
        <v>1950</v>
      </c>
      <c r="AP23" s="534">
        <f t="shared" si="24"/>
        <v>35</v>
      </c>
      <c r="AQ23" s="304">
        <f t="shared" si="25"/>
        <v>1050</v>
      </c>
      <c r="AR23" s="534">
        <f t="shared" si="26"/>
        <v>73</v>
      </c>
      <c r="AS23" s="304">
        <f t="shared" si="36"/>
        <v>2190</v>
      </c>
      <c r="AT23" s="304">
        <f t="shared" si="37"/>
        <v>5190</v>
      </c>
      <c r="AU23" s="304">
        <f t="shared" si="38"/>
        <v>0</v>
      </c>
      <c r="AV23" s="259"/>
      <c r="AW23" s="259"/>
      <c r="AX23" s="297">
        <f t="shared" si="27"/>
        <v>0.8</v>
      </c>
    </row>
    <row r="24" spans="1:50">
      <c r="A24" s="63">
        <f>ELEC!C23</f>
        <v>44854</v>
      </c>
      <c r="B24" s="534">
        <v>249</v>
      </c>
      <c r="C24" s="534">
        <v>255</v>
      </c>
      <c r="D24" s="45">
        <f t="shared" si="48"/>
        <v>-27</v>
      </c>
      <c r="E24" s="45">
        <f t="shared" si="9"/>
        <v>-226.26000000000002</v>
      </c>
      <c r="F24" s="534">
        <f t="shared" si="29"/>
        <v>2292</v>
      </c>
      <c r="G24" s="52">
        <f t="shared" si="0"/>
        <v>0</v>
      </c>
      <c r="H24" s="534">
        <v>47245</v>
      </c>
      <c r="I24" s="379">
        <f t="shared" si="1"/>
        <v>38</v>
      </c>
      <c r="J24" s="66">
        <f t="shared" si="10"/>
        <v>0</v>
      </c>
      <c r="K24" s="534">
        <f t="shared" si="11"/>
        <v>2467</v>
      </c>
      <c r="L24" s="52">
        <f t="shared" si="12"/>
        <v>0</v>
      </c>
      <c r="M24" s="534">
        <f t="shared" si="42"/>
        <v>183733</v>
      </c>
      <c r="N24" s="379">
        <f t="shared" si="2"/>
        <v>0</v>
      </c>
      <c r="O24" s="64">
        <f t="shared" si="46"/>
        <v>1869</v>
      </c>
      <c r="P24" s="534">
        <f t="shared" si="47"/>
        <v>2231</v>
      </c>
      <c r="Q24" s="534">
        <f t="shared" si="44"/>
        <v>186471</v>
      </c>
      <c r="R24" s="378">
        <f t="shared" si="43"/>
        <v>0</v>
      </c>
      <c r="S24" s="52">
        <f t="shared" si="5"/>
        <v>0</v>
      </c>
      <c r="T24" s="67">
        <f t="shared" si="30"/>
        <v>0</v>
      </c>
      <c r="U24" s="385">
        <f t="shared" si="13"/>
        <v>0</v>
      </c>
      <c r="V24" s="62">
        <f t="shared" si="14"/>
        <v>38</v>
      </c>
      <c r="W24" s="383"/>
      <c r="X24" s="534">
        <v>2495</v>
      </c>
      <c r="Y24" s="52">
        <f t="shared" si="16"/>
        <v>0</v>
      </c>
      <c r="Z24" s="534">
        <f t="shared" si="31"/>
        <v>141349</v>
      </c>
      <c r="AA24" s="65">
        <f t="shared" si="6"/>
        <v>0</v>
      </c>
      <c r="AB24" s="272">
        <f t="shared" ref="AB24:AB32" si="49">SUM(Y24*$AB$2)</f>
        <v>0</v>
      </c>
      <c r="AC24" s="534">
        <f t="shared" si="17"/>
        <v>1948</v>
      </c>
      <c r="AD24" s="45">
        <f t="shared" si="7"/>
        <v>0</v>
      </c>
      <c r="AE24" s="534">
        <v>366687</v>
      </c>
      <c r="AF24" s="292">
        <f t="shared" si="18"/>
        <v>0</v>
      </c>
      <c r="AG24" s="209">
        <f t="shared" si="34"/>
        <v>0</v>
      </c>
      <c r="AH24" s="62">
        <f t="shared" si="35"/>
        <v>0</v>
      </c>
      <c r="AI24" s="302">
        <f t="shared" si="19"/>
        <v>38</v>
      </c>
      <c r="AJ24" s="302">
        <f>-tanks!AW25</f>
        <v>38</v>
      </c>
      <c r="AK24" s="302">
        <f t="shared" si="20"/>
        <v>0</v>
      </c>
      <c r="AL24" s="302">
        <f t="shared" si="8"/>
        <v>0</v>
      </c>
      <c r="AM24" s="302">
        <f t="shared" si="21"/>
        <v>0</v>
      </c>
      <c r="AN24" s="534">
        <f t="shared" si="22"/>
        <v>65</v>
      </c>
      <c r="AO24" s="304">
        <f t="shared" si="23"/>
        <v>1950</v>
      </c>
      <c r="AP24" s="534">
        <f t="shared" si="24"/>
        <v>35</v>
      </c>
      <c r="AQ24" s="304">
        <f t="shared" si="25"/>
        <v>1050</v>
      </c>
      <c r="AR24" s="534">
        <f t="shared" si="26"/>
        <v>73</v>
      </c>
      <c r="AS24" s="304">
        <f t="shared" si="36"/>
        <v>2190</v>
      </c>
      <c r="AT24" s="304">
        <f t="shared" ref="AT24:AT35" si="50">SUM(AO24+AQ24+AS24)</f>
        <v>5190</v>
      </c>
      <c r="AU24" s="304">
        <f t="shared" si="38"/>
        <v>0</v>
      </c>
      <c r="AV24" s="259"/>
      <c r="AW24" s="259"/>
      <c r="AX24" s="297">
        <f t="shared" si="27"/>
        <v>0.8</v>
      </c>
    </row>
    <row r="25" spans="1:50" ht="13.5" customHeight="1">
      <c r="A25" s="63">
        <f>ELEC!C24</f>
        <v>44855</v>
      </c>
      <c r="B25" s="534">
        <f t="shared" si="40"/>
        <v>249</v>
      </c>
      <c r="C25" s="534">
        <f t="shared" si="41"/>
        <v>255</v>
      </c>
      <c r="D25" s="45">
        <f t="shared" si="48"/>
        <v>0</v>
      </c>
      <c r="E25" s="45">
        <f t="shared" si="9"/>
        <v>0</v>
      </c>
      <c r="F25" s="534">
        <f t="shared" si="29"/>
        <v>2292</v>
      </c>
      <c r="G25" s="52">
        <f t="shared" si="0"/>
        <v>0</v>
      </c>
      <c r="H25" s="534">
        <f t="shared" si="39"/>
        <v>47245</v>
      </c>
      <c r="I25" s="379">
        <f t="shared" si="1"/>
        <v>0</v>
      </c>
      <c r="J25" s="66">
        <f t="shared" si="10"/>
        <v>0</v>
      </c>
      <c r="K25" s="534">
        <f t="shared" si="11"/>
        <v>2467</v>
      </c>
      <c r="L25" s="52">
        <f t="shared" si="12"/>
        <v>0</v>
      </c>
      <c r="M25" s="534">
        <f t="shared" si="42"/>
        <v>183733</v>
      </c>
      <c r="N25" s="379">
        <f t="shared" si="2"/>
        <v>0</v>
      </c>
      <c r="O25" s="64">
        <f t="shared" si="46"/>
        <v>1869</v>
      </c>
      <c r="P25" s="534">
        <f t="shared" si="47"/>
        <v>2231</v>
      </c>
      <c r="Q25" s="534">
        <f t="shared" si="44"/>
        <v>186471</v>
      </c>
      <c r="R25" s="378">
        <f t="shared" si="43"/>
        <v>0</v>
      </c>
      <c r="S25" s="52">
        <f t="shared" si="5"/>
        <v>0</v>
      </c>
      <c r="T25" s="67">
        <f t="shared" si="30"/>
        <v>0</v>
      </c>
      <c r="U25" s="385">
        <f t="shared" si="13"/>
        <v>0</v>
      </c>
      <c r="V25" s="62">
        <f t="shared" si="14"/>
        <v>0</v>
      </c>
      <c r="W25" s="383"/>
      <c r="X25" s="534">
        <v>2495</v>
      </c>
      <c r="Y25" s="52">
        <f t="shared" si="16"/>
        <v>0</v>
      </c>
      <c r="Z25" s="534">
        <f t="shared" si="31"/>
        <v>141349</v>
      </c>
      <c r="AA25" s="65">
        <f t="shared" si="6"/>
        <v>0</v>
      </c>
      <c r="AB25" s="272">
        <f t="shared" si="49"/>
        <v>0</v>
      </c>
      <c r="AC25" s="534">
        <f t="shared" si="17"/>
        <v>1948</v>
      </c>
      <c r="AD25" s="45">
        <f t="shared" si="7"/>
        <v>0</v>
      </c>
      <c r="AE25" s="534">
        <v>366687</v>
      </c>
      <c r="AF25" s="292">
        <f t="shared" si="18"/>
        <v>0</v>
      </c>
      <c r="AG25" s="209">
        <f t="shared" si="34"/>
        <v>0</v>
      </c>
      <c r="AH25" s="62">
        <f t="shared" si="35"/>
        <v>0</v>
      </c>
      <c r="AI25" s="302">
        <f t="shared" si="19"/>
        <v>0</v>
      </c>
      <c r="AJ25" s="302">
        <f>-tanks!AW26</f>
        <v>0</v>
      </c>
      <c r="AK25" s="302">
        <f t="shared" si="20"/>
        <v>0</v>
      </c>
      <c r="AL25" s="302">
        <f t="shared" si="8"/>
        <v>0</v>
      </c>
      <c r="AM25" s="302">
        <f>Y25+AD25</f>
        <v>0</v>
      </c>
      <c r="AN25" s="534">
        <f t="shared" si="22"/>
        <v>65</v>
      </c>
      <c r="AO25" s="304">
        <f t="shared" si="23"/>
        <v>1950</v>
      </c>
      <c r="AP25" s="534">
        <f t="shared" si="24"/>
        <v>35</v>
      </c>
      <c r="AQ25" s="304">
        <f t="shared" ref="AQ25:AQ32" si="51">(AP25/100)*3000</f>
        <v>1050</v>
      </c>
      <c r="AR25" s="534">
        <f t="shared" si="26"/>
        <v>73</v>
      </c>
      <c r="AS25" s="304">
        <f t="shared" si="36"/>
        <v>2190</v>
      </c>
      <c r="AT25" s="304">
        <f t="shared" si="50"/>
        <v>5190</v>
      </c>
      <c r="AU25" s="304">
        <f t="shared" si="38"/>
        <v>0</v>
      </c>
      <c r="AV25" s="259"/>
      <c r="AW25" s="259"/>
      <c r="AX25" s="297">
        <f t="shared" si="27"/>
        <v>0.8</v>
      </c>
    </row>
    <row r="26" spans="1:50" ht="14.25" customHeight="1">
      <c r="A26" s="63">
        <f>ELEC!C25</f>
        <v>44856</v>
      </c>
      <c r="B26" s="534">
        <f t="shared" si="40"/>
        <v>249</v>
      </c>
      <c r="C26" s="534">
        <f t="shared" si="41"/>
        <v>255</v>
      </c>
      <c r="D26" s="45">
        <f t="shared" si="48"/>
        <v>0</v>
      </c>
      <c r="E26" s="45">
        <f t="shared" si="9"/>
        <v>0</v>
      </c>
      <c r="F26" s="534">
        <f t="shared" si="29"/>
        <v>2292</v>
      </c>
      <c r="G26" s="52">
        <f t="shared" si="0"/>
        <v>0</v>
      </c>
      <c r="H26" s="534">
        <f t="shared" si="39"/>
        <v>47245</v>
      </c>
      <c r="I26" s="379">
        <f t="shared" si="1"/>
        <v>0</v>
      </c>
      <c r="J26" s="66">
        <f t="shared" si="10"/>
        <v>0</v>
      </c>
      <c r="K26" s="534">
        <f t="shared" si="11"/>
        <v>2467</v>
      </c>
      <c r="L26" s="52">
        <f t="shared" si="12"/>
        <v>0</v>
      </c>
      <c r="M26" s="534">
        <f t="shared" si="42"/>
        <v>183733</v>
      </c>
      <c r="N26" s="379">
        <f t="shared" si="2"/>
        <v>0</v>
      </c>
      <c r="O26" s="64">
        <f t="shared" si="46"/>
        <v>1869</v>
      </c>
      <c r="P26" s="534">
        <f t="shared" si="47"/>
        <v>2231</v>
      </c>
      <c r="Q26" s="534">
        <f t="shared" si="44"/>
        <v>186471</v>
      </c>
      <c r="R26" s="378">
        <f t="shared" si="43"/>
        <v>0</v>
      </c>
      <c r="S26" s="52">
        <f t="shared" si="5"/>
        <v>0</v>
      </c>
      <c r="T26" s="67">
        <f t="shared" si="30"/>
        <v>0</v>
      </c>
      <c r="U26" s="385">
        <f t="shared" si="13"/>
        <v>0</v>
      </c>
      <c r="V26" s="62">
        <f t="shared" si="14"/>
        <v>0</v>
      </c>
      <c r="W26" s="383"/>
      <c r="X26" s="534">
        <v>2495</v>
      </c>
      <c r="Y26" s="52">
        <f t="shared" si="16"/>
        <v>0</v>
      </c>
      <c r="Z26" s="534">
        <f t="shared" si="31"/>
        <v>141349</v>
      </c>
      <c r="AA26" s="65">
        <f t="shared" si="6"/>
        <v>0</v>
      </c>
      <c r="AB26" s="272">
        <f t="shared" si="49"/>
        <v>0</v>
      </c>
      <c r="AC26" s="534">
        <f t="shared" si="17"/>
        <v>1948</v>
      </c>
      <c r="AD26" s="45">
        <f t="shared" si="7"/>
        <v>0</v>
      </c>
      <c r="AE26" s="534">
        <v>366687</v>
      </c>
      <c r="AF26" s="292">
        <f t="shared" si="18"/>
        <v>0</v>
      </c>
      <c r="AG26" s="209">
        <f t="shared" si="34"/>
        <v>0</v>
      </c>
      <c r="AH26" s="62">
        <f t="shared" si="35"/>
        <v>0</v>
      </c>
      <c r="AI26" s="302">
        <f t="shared" si="19"/>
        <v>0</v>
      </c>
      <c r="AJ26" s="302">
        <f>-tanks!AW27</f>
        <v>0</v>
      </c>
      <c r="AK26" s="302">
        <f t="shared" si="20"/>
        <v>0</v>
      </c>
      <c r="AL26" s="302">
        <f t="shared" si="8"/>
        <v>0</v>
      </c>
      <c r="AM26" s="302">
        <f t="shared" si="21"/>
        <v>0</v>
      </c>
      <c r="AN26" s="534">
        <f t="shared" si="22"/>
        <v>65</v>
      </c>
      <c r="AO26" s="304">
        <f>(AN26/100)*3000</f>
        <v>1950</v>
      </c>
      <c r="AP26" s="534">
        <f t="shared" si="24"/>
        <v>35</v>
      </c>
      <c r="AQ26" s="304">
        <f t="shared" si="51"/>
        <v>1050</v>
      </c>
      <c r="AR26" s="534">
        <f t="shared" si="26"/>
        <v>73</v>
      </c>
      <c r="AS26" s="304">
        <f t="shared" si="36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27"/>
        <v>0.8</v>
      </c>
    </row>
    <row r="27" spans="1:50">
      <c r="A27" s="63">
        <f>ELEC!C26</f>
        <v>44857</v>
      </c>
      <c r="B27" s="534">
        <v>244</v>
      </c>
      <c r="C27" s="534">
        <v>250</v>
      </c>
      <c r="D27" s="45">
        <f t="shared" si="48"/>
        <v>5</v>
      </c>
      <c r="E27" s="45">
        <f t="shared" si="9"/>
        <v>41.900000000000006</v>
      </c>
      <c r="F27" s="534">
        <v>2295</v>
      </c>
      <c r="G27" s="52">
        <f t="shared" si="0"/>
        <v>3</v>
      </c>
      <c r="H27" s="534">
        <v>47435</v>
      </c>
      <c r="I27" s="379">
        <f t="shared" si="1"/>
        <v>190</v>
      </c>
      <c r="J27" s="66">
        <f t="shared" si="10"/>
        <v>63.333333333333336</v>
      </c>
      <c r="K27" s="534">
        <f t="shared" si="11"/>
        <v>2467</v>
      </c>
      <c r="L27" s="52">
        <f t="shared" si="12"/>
        <v>0</v>
      </c>
      <c r="M27" s="534">
        <f t="shared" si="42"/>
        <v>183733</v>
      </c>
      <c r="N27" s="379">
        <f t="shared" si="2"/>
        <v>0</v>
      </c>
      <c r="O27" s="64">
        <f t="shared" si="46"/>
        <v>1869</v>
      </c>
      <c r="P27" s="534">
        <f t="shared" si="47"/>
        <v>2231</v>
      </c>
      <c r="Q27" s="534">
        <f t="shared" si="44"/>
        <v>186471</v>
      </c>
      <c r="R27" s="378">
        <f t="shared" si="43"/>
        <v>0</v>
      </c>
      <c r="S27" s="52">
        <f t="shared" si="5"/>
        <v>0</v>
      </c>
      <c r="T27" s="67">
        <f t="shared" si="30"/>
        <v>0</v>
      </c>
      <c r="U27" s="385">
        <f t="shared" si="13"/>
        <v>3</v>
      </c>
      <c r="V27" s="62">
        <f t="shared" si="14"/>
        <v>190</v>
      </c>
      <c r="W27" s="383"/>
      <c r="X27" s="534">
        <v>2495</v>
      </c>
      <c r="Y27" s="52">
        <f t="shared" si="16"/>
        <v>0</v>
      </c>
      <c r="Z27" s="534">
        <f t="shared" si="31"/>
        <v>141349</v>
      </c>
      <c r="AA27" s="65">
        <f t="shared" si="6"/>
        <v>0</v>
      </c>
      <c r="AB27" s="272">
        <f t="shared" si="49"/>
        <v>0</v>
      </c>
      <c r="AC27" s="534">
        <f t="shared" si="17"/>
        <v>1948</v>
      </c>
      <c r="AD27" s="45">
        <f t="shared" si="7"/>
        <v>0</v>
      </c>
      <c r="AE27" s="534">
        <v>366687</v>
      </c>
      <c r="AF27" s="292">
        <f t="shared" si="18"/>
        <v>0</v>
      </c>
      <c r="AG27" s="209">
        <f t="shared" si="34"/>
        <v>0</v>
      </c>
      <c r="AH27" s="62">
        <f t="shared" si="35"/>
        <v>0</v>
      </c>
      <c r="AI27" s="302">
        <f t="shared" si="19"/>
        <v>190</v>
      </c>
      <c r="AJ27" s="302">
        <f>-tanks!AW28</f>
        <v>190</v>
      </c>
      <c r="AK27" s="302">
        <f t="shared" si="20"/>
        <v>0</v>
      </c>
      <c r="AL27" s="302">
        <f t="shared" si="8"/>
        <v>3</v>
      </c>
      <c r="AM27" s="302">
        <f t="shared" si="21"/>
        <v>0</v>
      </c>
      <c r="AN27" s="534">
        <f t="shared" si="22"/>
        <v>65</v>
      </c>
      <c r="AO27" s="304">
        <f t="shared" si="23"/>
        <v>1950</v>
      </c>
      <c r="AP27" s="534">
        <f t="shared" si="24"/>
        <v>35</v>
      </c>
      <c r="AQ27" s="304">
        <f t="shared" si="51"/>
        <v>1050</v>
      </c>
      <c r="AR27" s="534">
        <f t="shared" si="26"/>
        <v>73</v>
      </c>
      <c r="AS27" s="304">
        <f t="shared" si="36"/>
        <v>2190</v>
      </c>
      <c r="AT27" s="304">
        <f t="shared" si="50"/>
        <v>5190</v>
      </c>
      <c r="AU27" s="304">
        <f t="shared" si="38"/>
        <v>0</v>
      </c>
      <c r="AV27" s="259"/>
      <c r="AW27" s="472"/>
      <c r="AX27" s="297">
        <f t="shared" si="27"/>
        <v>0.8</v>
      </c>
    </row>
    <row r="28" spans="1:50">
      <c r="A28" s="63">
        <f>ELEC!C27</f>
        <v>44858</v>
      </c>
      <c r="B28" s="534">
        <v>240</v>
      </c>
      <c r="C28" s="534">
        <v>247</v>
      </c>
      <c r="D28" s="45">
        <f t="shared" si="48"/>
        <v>3</v>
      </c>
      <c r="E28" s="45">
        <f t="shared" si="9"/>
        <v>25.14</v>
      </c>
      <c r="F28" s="534">
        <v>2296</v>
      </c>
      <c r="G28" s="52">
        <f t="shared" si="0"/>
        <v>1</v>
      </c>
      <c r="H28" s="534">
        <v>47523</v>
      </c>
      <c r="I28" s="379">
        <f t="shared" si="1"/>
        <v>88</v>
      </c>
      <c r="J28" s="66">
        <f t="shared" si="10"/>
        <v>88</v>
      </c>
      <c r="K28" s="534">
        <f t="shared" si="11"/>
        <v>2467</v>
      </c>
      <c r="L28" s="52">
        <f t="shared" si="12"/>
        <v>0</v>
      </c>
      <c r="M28" s="534">
        <f t="shared" si="42"/>
        <v>183733</v>
      </c>
      <c r="N28" s="379">
        <f t="shared" si="2"/>
        <v>0</v>
      </c>
      <c r="O28" s="64">
        <f t="shared" si="46"/>
        <v>1869</v>
      </c>
      <c r="P28" s="534">
        <f t="shared" si="47"/>
        <v>2231</v>
      </c>
      <c r="Q28" s="534">
        <f t="shared" si="44"/>
        <v>186471</v>
      </c>
      <c r="R28" s="378">
        <f t="shared" si="43"/>
        <v>0</v>
      </c>
      <c r="S28" s="52">
        <f t="shared" si="5"/>
        <v>0</v>
      </c>
      <c r="T28" s="67">
        <f t="shared" si="30"/>
        <v>0</v>
      </c>
      <c r="U28" s="385">
        <f t="shared" si="13"/>
        <v>1</v>
      </c>
      <c r="V28" s="62">
        <f t="shared" si="14"/>
        <v>88</v>
      </c>
      <c r="W28" s="383"/>
      <c r="X28" s="534">
        <v>2498</v>
      </c>
      <c r="Y28" s="52">
        <f t="shared" si="16"/>
        <v>3</v>
      </c>
      <c r="Z28" s="534">
        <v>141419</v>
      </c>
      <c r="AA28" s="65">
        <f t="shared" si="6"/>
        <v>70</v>
      </c>
      <c r="AB28" s="272">
        <f t="shared" si="49"/>
        <v>0</v>
      </c>
      <c r="AC28" s="534">
        <f t="shared" si="17"/>
        <v>1948</v>
      </c>
      <c r="AD28" s="45">
        <f t="shared" si="7"/>
        <v>0</v>
      </c>
      <c r="AE28" s="534">
        <v>366687</v>
      </c>
      <c r="AF28" s="292">
        <f t="shared" si="18"/>
        <v>0</v>
      </c>
      <c r="AG28" s="209">
        <f t="shared" si="34"/>
        <v>0</v>
      </c>
      <c r="AH28" s="62">
        <f t="shared" si="35"/>
        <v>70</v>
      </c>
      <c r="AI28" s="302">
        <f t="shared" si="19"/>
        <v>158</v>
      </c>
      <c r="AJ28" s="302">
        <f>-tanks!AW29</f>
        <v>158</v>
      </c>
      <c r="AK28" s="302">
        <f t="shared" si="20"/>
        <v>0</v>
      </c>
      <c r="AL28" s="302">
        <f t="shared" si="8"/>
        <v>1</v>
      </c>
      <c r="AM28" s="302">
        <f t="shared" si="21"/>
        <v>3</v>
      </c>
      <c r="AN28" s="534">
        <f t="shared" si="22"/>
        <v>65</v>
      </c>
      <c r="AO28" s="304">
        <f t="shared" si="23"/>
        <v>1950</v>
      </c>
      <c r="AP28" s="534">
        <f t="shared" si="24"/>
        <v>35</v>
      </c>
      <c r="AQ28" s="304">
        <f t="shared" si="51"/>
        <v>1050</v>
      </c>
      <c r="AR28" s="534">
        <f t="shared" si="26"/>
        <v>73</v>
      </c>
      <c r="AS28" s="304">
        <f t="shared" si="36"/>
        <v>2190</v>
      </c>
      <c r="AT28" s="304">
        <f t="shared" si="50"/>
        <v>5190</v>
      </c>
      <c r="AU28" s="304">
        <f t="shared" si="38"/>
        <v>0</v>
      </c>
      <c r="AV28" s="259"/>
      <c r="AW28" s="259"/>
      <c r="AX28" s="297">
        <f t="shared" si="27"/>
        <v>0.8</v>
      </c>
    </row>
    <row r="29" spans="1:50">
      <c r="A29" s="63">
        <f>ELEC!C28</f>
        <v>44859</v>
      </c>
      <c r="B29" s="534">
        <v>237</v>
      </c>
      <c r="C29" s="534">
        <v>243</v>
      </c>
      <c r="D29" s="45">
        <f t="shared" si="48"/>
        <v>4</v>
      </c>
      <c r="E29" s="45">
        <f t="shared" si="9"/>
        <v>33.520000000000003</v>
      </c>
      <c r="F29" s="534">
        <v>2297</v>
      </c>
      <c r="G29" s="52">
        <f t="shared" si="0"/>
        <v>1</v>
      </c>
      <c r="H29" s="534">
        <v>47583</v>
      </c>
      <c r="I29" s="379">
        <f t="shared" si="1"/>
        <v>60</v>
      </c>
      <c r="J29" s="66">
        <f t="shared" si="10"/>
        <v>60</v>
      </c>
      <c r="K29" s="534">
        <v>2467</v>
      </c>
      <c r="L29" s="52">
        <f t="shared" si="12"/>
        <v>0</v>
      </c>
      <c r="M29" s="534">
        <f t="shared" si="42"/>
        <v>183733</v>
      </c>
      <c r="N29" s="379">
        <f t="shared" si="2"/>
        <v>0</v>
      </c>
      <c r="O29" s="64">
        <f t="shared" si="46"/>
        <v>1869</v>
      </c>
      <c r="P29" s="534">
        <v>2232</v>
      </c>
      <c r="Q29" s="534">
        <v>186523</v>
      </c>
      <c r="R29" s="378">
        <f t="shared" si="43"/>
        <v>52</v>
      </c>
      <c r="S29" s="52">
        <f t="shared" si="5"/>
        <v>1</v>
      </c>
      <c r="T29" s="67">
        <f t="shared" si="30"/>
        <v>0</v>
      </c>
      <c r="U29" s="385">
        <f t="shared" si="13"/>
        <v>2</v>
      </c>
      <c r="V29" s="62">
        <f t="shared" si="14"/>
        <v>112</v>
      </c>
      <c r="W29" s="383"/>
      <c r="X29" s="534">
        <v>2498</v>
      </c>
      <c r="Y29" s="52">
        <f t="shared" si="16"/>
        <v>0</v>
      </c>
      <c r="Z29" s="534">
        <f t="shared" si="31"/>
        <v>141419</v>
      </c>
      <c r="AA29" s="65">
        <f t="shared" si="6"/>
        <v>0</v>
      </c>
      <c r="AB29" s="272">
        <f t="shared" si="49"/>
        <v>0</v>
      </c>
      <c r="AC29" s="534">
        <f t="shared" si="17"/>
        <v>1948</v>
      </c>
      <c r="AD29" s="45">
        <f t="shared" si="7"/>
        <v>0</v>
      </c>
      <c r="AE29" s="534">
        <v>366687</v>
      </c>
      <c r="AF29" s="292">
        <f t="shared" si="18"/>
        <v>0</v>
      </c>
      <c r="AG29" s="209">
        <f t="shared" si="34"/>
        <v>0</v>
      </c>
      <c r="AH29" s="62">
        <f t="shared" si="35"/>
        <v>0</v>
      </c>
      <c r="AI29" s="302">
        <f t="shared" si="19"/>
        <v>112</v>
      </c>
      <c r="AJ29" s="302">
        <f>-tanks!AW30</f>
        <v>112</v>
      </c>
      <c r="AK29" s="302">
        <f t="shared" si="20"/>
        <v>0</v>
      </c>
      <c r="AL29" s="302">
        <f t="shared" si="8"/>
        <v>2</v>
      </c>
      <c r="AM29" s="302">
        <f t="shared" si="21"/>
        <v>0</v>
      </c>
      <c r="AN29" s="534">
        <f t="shared" si="22"/>
        <v>65</v>
      </c>
      <c r="AO29" s="304">
        <f t="shared" si="23"/>
        <v>1950</v>
      </c>
      <c r="AP29" s="534">
        <f t="shared" si="24"/>
        <v>35</v>
      </c>
      <c r="AQ29" s="304">
        <f t="shared" si="51"/>
        <v>1050</v>
      </c>
      <c r="AR29" s="534">
        <f t="shared" si="26"/>
        <v>73</v>
      </c>
      <c r="AS29" s="304">
        <f t="shared" si="36"/>
        <v>2190</v>
      </c>
      <c r="AT29" s="304">
        <f t="shared" si="50"/>
        <v>5190</v>
      </c>
      <c r="AU29" s="304">
        <f t="shared" si="38"/>
        <v>0</v>
      </c>
      <c r="AV29" s="259"/>
      <c r="AW29" s="259"/>
      <c r="AX29" s="297">
        <f t="shared" si="27"/>
        <v>0.8</v>
      </c>
    </row>
    <row r="30" spans="1:50">
      <c r="A30" s="63">
        <f>ELEC!C29</f>
        <v>44860</v>
      </c>
      <c r="B30" s="534">
        <v>233</v>
      </c>
      <c r="C30" s="534">
        <v>239</v>
      </c>
      <c r="D30" s="45">
        <f>C29-C30</f>
        <v>4</v>
      </c>
      <c r="E30" s="45">
        <f>D30*8.38</f>
        <v>33.520000000000003</v>
      </c>
      <c r="F30" s="534">
        <v>2297</v>
      </c>
      <c r="G30" s="52">
        <f>F30-F29</f>
        <v>0</v>
      </c>
      <c r="H30" s="534">
        <v>47583</v>
      </c>
      <c r="I30" s="379">
        <f t="shared" si="1"/>
        <v>0</v>
      </c>
      <c r="J30" s="66">
        <f>IF(G30&gt;0,I30/G30,0)</f>
        <v>0</v>
      </c>
      <c r="K30" s="534">
        <f t="shared" si="11"/>
        <v>2467</v>
      </c>
      <c r="L30" s="52">
        <f>K30-K29</f>
        <v>0</v>
      </c>
      <c r="M30" s="534">
        <f t="shared" si="42"/>
        <v>183733</v>
      </c>
      <c r="N30" s="379">
        <f>M30-M29</f>
        <v>0</v>
      </c>
      <c r="O30" s="64">
        <f t="shared" si="46"/>
        <v>1869</v>
      </c>
      <c r="P30" s="534">
        <f t="shared" si="47"/>
        <v>2232</v>
      </c>
      <c r="Q30" s="534">
        <f t="shared" si="44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v>2498</v>
      </c>
      <c r="Y30" s="52">
        <f>X30-X29</f>
        <v>0</v>
      </c>
      <c r="Z30" s="534">
        <f t="shared" si="31"/>
        <v>141419</v>
      </c>
      <c r="AA30" s="65">
        <f>Z30-Z29</f>
        <v>0</v>
      </c>
      <c r="AB30" s="272">
        <f>SUM(Y30*$AB$2)</f>
        <v>0</v>
      </c>
      <c r="AC30" s="534">
        <v>1949</v>
      </c>
      <c r="AD30" s="259">
        <f>AC30-AC29</f>
        <v>1</v>
      </c>
      <c r="AE30" s="534">
        <v>366722</v>
      </c>
      <c r="AF30" s="292">
        <f>AE30-AE29</f>
        <v>35</v>
      </c>
      <c r="AG30" s="209">
        <f t="shared" si="34"/>
        <v>35</v>
      </c>
      <c r="AH30" s="62">
        <f t="shared" si="35"/>
        <v>35</v>
      </c>
      <c r="AI30" s="302">
        <f t="shared" si="19"/>
        <v>35</v>
      </c>
      <c r="AJ30" s="302">
        <f>-tanks!AW31</f>
        <v>35</v>
      </c>
      <c r="AK30" s="302">
        <f t="shared" si="20"/>
        <v>0</v>
      </c>
      <c r="AL30" s="302">
        <f t="shared" si="8"/>
        <v>0</v>
      </c>
      <c r="AM30" s="302">
        <f t="shared" si="21"/>
        <v>1</v>
      </c>
      <c r="AN30" s="534">
        <f t="shared" si="22"/>
        <v>65</v>
      </c>
      <c r="AO30" s="304">
        <f t="shared" si="23"/>
        <v>1950</v>
      </c>
      <c r="AP30" s="534">
        <f t="shared" si="24"/>
        <v>35</v>
      </c>
      <c r="AQ30" s="304">
        <f t="shared" si="51"/>
        <v>1050</v>
      </c>
      <c r="AR30" s="534">
        <f t="shared" si="26"/>
        <v>73</v>
      </c>
      <c r="AS30" s="304">
        <f t="shared" si="36"/>
        <v>2190</v>
      </c>
      <c r="AT30" s="304">
        <f t="shared" si="50"/>
        <v>5190</v>
      </c>
      <c r="AU30" s="304">
        <f t="shared" si="38"/>
        <v>0</v>
      </c>
      <c r="AV30" s="259"/>
      <c r="AW30" s="259"/>
      <c r="AX30" s="297">
        <f t="shared" si="27"/>
        <v>0.8</v>
      </c>
    </row>
    <row r="31" spans="1:50">
      <c r="A31" s="63">
        <f>ELEC!C30</f>
        <v>44861</v>
      </c>
      <c r="B31" s="534">
        <v>249</v>
      </c>
      <c r="C31" s="534">
        <v>255</v>
      </c>
      <c r="D31" s="45">
        <f t="shared" si="48"/>
        <v>-16</v>
      </c>
      <c r="E31" s="45">
        <f t="shared" si="9"/>
        <v>-134.08000000000001</v>
      </c>
      <c r="F31" s="534">
        <v>2298</v>
      </c>
      <c r="G31" s="52">
        <f t="shared" si="0"/>
        <v>1</v>
      </c>
      <c r="H31" s="534">
        <v>47683</v>
      </c>
      <c r="I31" s="379">
        <f t="shared" si="1"/>
        <v>100</v>
      </c>
      <c r="J31" s="66">
        <f t="shared" si="10"/>
        <v>100</v>
      </c>
      <c r="K31" s="534">
        <f t="shared" si="11"/>
        <v>2467</v>
      </c>
      <c r="L31" s="52">
        <f t="shared" si="12"/>
        <v>0</v>
      </c>
      <c r="M31" s="534">
        <f t="shared" si="42"/>
        <v>183733</v>
      </c>
      <c r="N31" s="379">
        <f t="shared" si="2"/>
        <v>0</v>
      </c>
      <c r="O31" s="64">
        <f t="shared" si="46"/>
        <v>1869</v>
      </c>
      <c r="P31" s="534">
        <f t="shared" si="47"/>
        <v>2232</v>
      </c>
      <c r="Q31" s="534">
        <f t="shared" si="44"/>
        <v>186523</v>
      </c>
      <c r="R31" s="378">
        <f t="shared" si="43"/>
        <v>0</v>
      </c>
      <c r="S31" s="52">
        <f t="shared" si="5"/>
        <v>0</v>
      </c>
      <c r="T31" s="67">
        <f t="shared" si="30"/>
        <v>0</v>
      </c>
      <c r="U31" s="385">
        <f t="shared" si="13"/>
        <v>1</v>
      </c>
      <c r="V31" s="62">
        <f t="shared" si="14"/>
        <v>100</v>
      </c>
      <c r="W31" s="383"/>
      <c r="X31" s="534">
        <v>2498</v>
      </c>
      <c r="Y31" s="52">
        <f t="shared" si="16"/>
        <v>0</v>
      </c>
      <c r="Z31" s="534">
        <f t="shared" si="31"/>
        <v>141419</v>
      </c>
      <c r="AA31" s="65">
        <f t="shared" si="6"/>
        <v>0</v>
      </c>
      <c r="AB31" s="272">
        <f t="shared" si="49"/>
        <v>0</v>
      </c>
      <c r="AC31" s="534">
        <f t="shared" si="17"/>
        <v>1949</v>
      </c>
      <c r="AD31" s="259">
        <f t="shared" si="7"/>
        <v>0</v>
      </c>
      <c r="AE31" s="534">
        <v>366687</v>
      </c>
      <c r="AF31" s="292">
        <f t="shared" si="18"/>
        <v>-35</v>
      </c>
      <c r="AG31" s="209">
        <f t="shared" si="34"/>
        <v>0</v>
      </c>
      <c r="AH31" s="62">
        <f t="shared" si="35"/>
        <v>-35</v>
      </c>
      <c r="AI31" s="302">
        <f t="shared" si="19"/>
        <v>65</v>
      </c>
      <c r="AJ31" s="302">
        <f>-tanks!AW32</f>
        <v>65</v>
      </c>
      <c r="AK31" s="302">
        <f t="shared" si="20"/>
        <v>0</v>
      </c>
      <c r="AL31" s="302">
        <f t="shared" si="8"/>
        <v>1</v>
      </c>
      <c r="AM31" s="302">
        <f t="shared" si="21"/>
        <v>0</v>
      </c>
      <c r="AN31" s="534">
        <f t="shared" si="22"/>
        <v>65</v>
      </c>
      <c r="AO31" s="304">
        <f t="shared" si="23"/>
        <v>1950</v>
      </c>
      <c r="AP31" s="534">
        <f t="shared" si="24"/>
        <v>35</v>
      </c>
      <c r="AQ31" s="304">
        <f t="shared" si="51"/>
        <v>1050</v>
      </c>
      <c r="AR31" s="534">
        <f t="shared" si="26"/>
        <v>73</v>
      </c>
      <c r="AS31" s="304">
        <f t="shared" si="36"/>
        <v>2190</v>
      </c>
      <c r="AT31" s="304">
        <f t="shared" si="50"/>
        <v>5190</v>
      </c>
      <c r="AU31" s="304">
        <f t="shared" si="38"/>
        <v>0</v>
      </c>
      <c r="AV31" s="259"/>
      <c r="AW31" s="259"/>
      <c r="AX31" s="297">
        <f t="shared" si="27"/>
        <v>0.8</v>
      </c>
    </row>
    <row r="32" spans="1:50">
      <c r="A32" s="63">
        <f>ELEC!C31</f>
        <v>44862</v>
      </c>
      <c r="B32" s="534">
        <f t="shared" si="40"/>
        <v>249</v>
      </c>
      <c r="C32" s="534">
        <f t="shared" si="41"/>
        <v>255</v>
      </c>
      <c r="D32" s="45">
        <f t="shared" si="48"/>
        <v>0</v>
      </c>
      <c r="E32" s="45">
        <f t="shared" si="9"/>
        <v>0</v>
      </c>
      <c r="F32" s="534">
        <f t="shared" si="29"/>
        <v>2298</v>
      </c>
      <c r="G32" s="52">
        <f t="shared" si="0"/>
        <v>0</v>
      </c>
      <c r="H32" s="534">
        <f t="shared" si="39"/>
        <v>47683</v>
      </c>
      <c r="I32" s="379">
        <f t="shared" si="1"/>
        <v>0</v>
      </c>
      <c r="J32" s="66">
        <f t="shared" si="10"/>
        <v>0</v>
      </c>
      <c r="K32" s="534">
        <f t="shared" si="11"/>
        <v>2467</v>
      </c>
      <c r="L32" s="52">
        <f t="shared" si="12"/>
        <v>0</v>
      </c>
      <c r="M32" s="534">
        <f t="shared" si="42"/>
        <v>183733</v>
      </c>
      <c r="N32" s="379">
        <f t="shared" si="2"/>
        <v>0</v>
      </c>
      <c r="O32" s="64">
        <f t="shared" si="46"/>
        <v>1869</v>
      </c>
      <c r="P32" s="534">
        <f t="shared" si="47"/>
        <v>2232</v>
      </c>
      <c r="Q32" s="534">
        <f t="shared" si="44"/>
        <v>186523</v>
      </c>
      <c r="R32" s="378">
        <f t="shared" si="43"/>
        <v>0</v>
      </c>
      <c r="S32" s="52">
        <f t="shared" si="5"/>
        <v>0</v>
      </c>
      <c r="T32" s="67">
        <f t="shared" si="30"/>
        <v>0</v>
      </c>
      <c r="U32" s="385">
        <f t="shared" si="13"/>
        <v>0</v>
      </c>
      <c r="V32" s="62">
        <f t="shared" si="14"/>
        <v>0</v>
      </c>
      <c r="W32" s="383"/>
      <c r="X32" s="534">
        <v>2498</v>
      </c>
      <c r="Y32" s="52">
        <f t="shared" si="16"/>
        <v>0</v>
      </c>
      <c r="Z32" s="534">
        <f t="shared" si="31"/>
        <v>141419</v>
      </c>
      <c r="AA32" s="65">
        <f t="shared" si="6"/>
        <v>0</v>
      </c>
      <c r="AB32" s="272">
        <f t="shared" si="49"/>
        <v>0</v>
      </c>
      <c r="AC32" s="534">
        <f t="shared" si="17"/>
        <v>1949</v>
      </c>
      <c r="AD32" s="259">
        <f t="shared" si="7"/>
        <v>0</v>
      </c>
      <c r="AE32" s="534">
        <v>366687</v>
      </c>
      <c r="AF32" s="292">
        <f t="shared" si="18"/>
        <v>0</v>
      </c>
      <c r="AG32" s="209">
        <f t="shared" si="34"/>
        <v>0</v>
      </c>
      <c r="AH32" s="62">
        <f t="shared" si="35"/>
        <v>0</v>
      </c>
      <c r="AI32" s="302">
        <f t="shared" si="19"/>
        <v>0</v>
      </c>
      <c r="AJ32" s="302">
        <f>-tanks!AW33</f>
        <v>0</v>
      </c>
      <c r="AK32" s="302">
        <f t="shared" si="20"/>
        <v>0</v>
      </c>
      <c r="AL32" s="302">
        <f t="shared" si="8"/>
        <v>0</v>
      </c>
      <c r="AM32" s="302">
        <f t="shared" si="21"/>
        <v>0</v>
      </c>
      <c r="AN32" s="534">
        <f t="shared" si="22"/>
        <v>65</v>
      </c>
      <c r="AO32" s="304">
        <f t="shared" si="23"/>
        <v>1950</v>
      </c>
      <c r="AP32" s="534">
        <f t="shared" si="24"/>
        <v>35</v>
      </c>
      <c r="AQ32" s="304">
        <f t="shared" si="51"/>
        <v>1050</v>
      </c>
      <c r="AR32" s="534">
        <f t="shared" si="26"/>
        <v>73</v>
      </c>
      <c r="AS32" s="304">
        <f t="shared" si="36"/>
        <v>2190</v>
      </c>
      <c r="AT32" s="304">
        <f t="shared" si="50"/>
        <v>5190</v>
      </c>
      <c r="AU32" s="304">
        <f t="shared" si="38"/>
        <v>0</v>
      </c>
      <c r="AV32" s="259"/>
      <c r="AW32" s="259"/>
      <c r="AX32" s="297">
        <f t="shared" si="27"/>
        <v>0.8</v>
      </c>
    </row>
    <row r="33" spans="1:50">
      <c r="A33" s="63">
        <f>ELEC!C32</f>
        <v>44863</v>
      </c>
      <c r="B33" s="534">
        <f t="shared" si="40"/>
        <v>249</v>
      </c>
      <c r="C33" s="534">
        <f t="shared" si="41"/>
        <v>255</v>
      </c>
      <c r="D33" s="45">
        <f t="shared" ref="D33:D35" si="52">C32-C33</f>
        <v>0</v>
      </c>
      <c r="E33" s="45">
        <f t="shared" ref="E33:E35" si="53">D33*8.38</f>
        <v>0</v>
      </c>
      <c r="F33" s="534">
        <f t="shared" si="29"/>
        <v>2298</v>
      </c>
      <c r="G33" s="52">
        <f t="shared" ref="G33:G35" si="54">F33-F32</f>
        <v>0</v>
      </c>
      <c r="H33" s="534">
        <f t="shared" si="39"/>
        <v>47683</v>
      </c>
      <c r="I33" s="379">
        <f t="shared" ref="I33:I35" si="55">SUM(H33-H32)</f>
        <v>0</v>
      </c>
      <c r="J33" s="66">
        <f t="shared" ref="J33:J35" si="56">IF(G33&gt;0,I33/G33,0)</f>
        <v>0</v>
      </c>
      <c r="K33" s="534">
        <f t="shared" si="11"/>
        <v>2467</v>
      </c>
      <c r="L33" s="52">
        <f t="shared" ref="L33:L35" si="57">K33-K32</f>
        <v>0</v>
      </c>
      <c r="M33" s="534">
        <f t="shared" si="42"/>
        <v>183733</v>
      </c>
      <c r="N33" s="379">
        <f t="shared" ref="N33:N35" si="58">M33-M32</f>
        <v>0</v>
      </c>
      <c r="O33" s="64">
        <f t="shared" si="46"/>
        <v>1869</v>
      </c>
      <c r="P33" s="534">
        <f t="shared" si="47"/>
        <v>2232</v>
      </c>
      <c r="Q33" s="534">
        <f t="shared" si="44"/>
        <v>186523</v>
      </c>
      <c r="R33" s="378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5">
        <f t="shared" ref="U33:U35" si="62">SUM(G33+L33+S33)</f>
        <v>0</v>
      </c>
      <c r="V33" s="62">
        <f t="shared" ref="V33:V35" si="63">R33+N33+I33:I33</f>
        <v>0</v>
      </c>
      <c r="W33" s="383"/>
      <c r="X33" s="534">
        <v>2498</v>
      </c>
      <c r="Y33" s="52">
        <f t="shared" ref="Y33:Y35" si="64">X33-X32</f>
        <v>0</v>
      </c>
      <c r="Z33" s="534">
        <f t="shared" si="31"/>
        <v>141419</v>
      </c>
      <c r="AA33" s="65">
        <f t="shared" ref="AA33:AA35" si="65">Z33-Z32</f>
        <v>0</v>
      </c>
      <c r="AB33" s="272">
        <f t="shared" ref="AB33:AB35" si="66">SUM(Y33*$AB$2)</f>
        <v>0</v>
      </c>
      <c r="AC33" s="534">
        <f t="shared" si="17"/>
        <v>1949</v>
      </c>
      <c r="AD33" s="259">
        <f t="shared" ref="AD33:AD35" si="67">AC33-AC32</f>
        <v>0</v>
      </c>
      <c r="AE33" s="534">
        <v>366687</v>
      </c>
      <c r="AF33" s="292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2">
        <f t="shared" ref="AI33:AI35" si="71">SUM(AH33+V33)</f>
        <v>0</v>
      </c>
      <c r="AJ33" s="302">
        <f>-tanks!AW34</f>
        <v>0</v>
      </c>
      <c r="AK33" s="302">
        <f t="shared" ref="AK33:AK35" si="72">SUM(AJ33-AI33)</f>
        <v>0</v>
      </c>
      <c r="AL33" s="302">
        <f t="shared" ref="AL33:AL35" si="73">S33+L33+G33</f>
        <v>0</v>
      </c>
      <c r="AM33" s="302">
        <f t="shared" ref="AM33:AM35" si="74">Y33+AD33</f>
        <v>0</v>
      </c>
      <c r="AN33" s="534">
        <f t="shared" si="22"/>
        <v>65</v>
      </c>
      <c r="AO33" s="304">
        <f t="shared" si="23"/>
        <v>1950</v>
      </c>
      <c r="AP33" s="534">
        <f t="shared" si="24"/>
        <v>35</v>
      </c>
      <c r="AQ33" s="304">
        <f t="shared" ref="AQ33:AQ35" si="75">(AP33/100)*3000</f>
        <v>1050</v>
      </c>
      <c r="AR33" s="534">
        <f t="shared" si="26"/>
        <v>73</v>
      </c>
      <c r="AS33" s="304">
        <f t="shared" si="36"/>
        <v>2190</v>
      </c>
      <c r="AT33" s="304">
        <f t="shared" si="50"/>
        <v>5190</v>
      </c>
      <c r="AU33" s="304">
        <f t="shared" si="38"/>
        <v>0</v>
      </c>
      <c r="AV33" s="259"/>
      <c r="AW33" s="259"/>
      <c r="AX33" s="297">
        <f t="shared" ref="AX33:AX35" si="76">IF(AV33&gt;0,AW33,AX32)</f>
        <v>0.8</v>
      </c>
    </row>
    <row r="34" spans="1:50">
      <c r="A34" s="63">
        <f>ELEC!C33</f>
        <v>44864</v>
      </c>
      <c r="B34" s="534">
        <v>243</v>
      </c>
      <c r="C34" s="534">
        <v>250</v>
      </c>
      <c r="D34" s="45">
        <f t="shared" si="52"/>
        <v>5</v>
      </c>
      <c r="E34" s="45">
        <f t="shared" si="53"/>
        <v>41.900000000000006</v>
      </c>
      <c r="F34" s="534">
        <v>2300</v>
      </c>
      <c r="G34" s="52">
        <f t="shared" si="54"/>
        <v>2</v>
      </c>
      <c r="H34" s="534">
        <v>47843</v>
      </c>
      <c r="I34" s="379">
        <f t="shared" si="55"/>
        <v>160</v>
      </c>
      <c r="J34" s="66">
        <f t="shared" si="56"/>
        <v>80</v>
      </c>
      <c r="K34" s="534">
        <v>2467</v>
      </c>
      <c r="L34" s="52">
        <f t="shared" si="57"/>
        <v>0</v>
      </c>
      <c r="M34" s="534">
        <f t="shared" si="42"/>
        <v>183733</v>
      </c>
      <c r="N34" s="379">
        <f t="shared" si="58"/>
        <v>0</v>
      </c>
      <c r="O34" s="64">
        <f t="shared" si="46"/>
        <v>1869</v>
      </c>
      <c r="P34" s="534">
        <f t="shared" si="47"/>
        <v>2232</v>
      </c>
      <c r="Q34" s="534">
        <f t="shared" si="44"/>
        <v>186523</v>
      </c>
      <c r="R34" s="378">
        <f t="shared" si="59"/>
        <v>0</v>
      </c>
      <c r="S34" s="52">
        <f t="shared" si="60"/>
        <v>0</v>
      </c>
      <c r="T34" s="67">
        <f t="shared" si="61"/>
        <v>0</v>
      </c>
      <c r="U34" s="385">
        <f t="shared" si="62"/>
        <v>2</v>
      </c>
      <c r="V34" s="62">
        <f t="shared" si="63"/>
        <v>160</v>
      </c>
      <c r="W34" s="383"/>
      <c r="X34" s="534">
        <v>2498</v>
      </c>
      <c r="Y34" s="52">
        <f t="shared" si="64"/>
        <v>0</v>
      </c>
      <c r="Z34" s="534">
        <v>141419</v>
      </c>
      <c r="AA34" s="65">
        <f t="shared" si="65"/>
        <v>0</v>
      </c>
      <c r="AB34" s="272">
        <f t="shared" si="66"/>
        <v>0</v>
      </c>
      <c r="AC34" s="534">
        <f t="shared" si="17"/>
        <v>1949</v>
      </c>
      <c r="AD34" s="259">
        <f t="shared" si="67"/>
        <v>0</v>
      </c>
      <c r="AE34" s="534">
        <v>366687</v>
      </c>
      <c r="AF34" s="292">
        <f t="shared" si="68"/>
        <v>0</v>
      </c>
      <c r="AG34" s="209">
        <f t="shared" si="69"/>
        <v>0</v>
      </c>
      <c r="AH34" s="62">
        <f t="shared" si="70"/>
        <v>0</v>
      </c>
      <c r="AI34" s="302">
        <f t="shared" si="71"/>
        <v>160</v>
      </c>
      <c r="AJ34" s="302">
        <f>-tanks!AW35</f>
        <v>160</v>
      </c>
      <c r="AK34" s="302">
        <f t="shared" si="72"/>
        <v>0</v>
      </c>
      <c r="AL34" s="302">
        <f t="shared" si="73"/>
        <v>2</v>
      </c>
      <c r="AM34" s="302">
        <f t="shared" si="74"/>
        <v>0</v>
      </c>
      <c r="AN34" s="534">
        <f t="shared" si="22"/>
        <v>65</v>
      </c>
      <c r="AO34" s="304">
        <f t="shared" si="23"/>
        <v>1950</v>
      </c>
      <c r="AP34" s="534">
        <f t="shared" si="24"/>
        <v>35</v>
      </c>
      <c r="AQ34" s="304">
        <f t="shared" si="75"/>
        <v>1050</v>
      </c>
      <c r="AR34" s="534">
        <f t="shared" si="26"/>
        <v>73</v>
      </c>
      <c r="AS34" s="304">
        <f t="shared" si="36"/>
        <v>2190</v>
      </c>
      <c r="AT34" s="304">
        <f t="shared" si="50"/>
        <v>5190</v>
      </c>
      <c r="AU34" s="304">
        <f t="shared" si="38"/>
        <v>0</v>
      </c>
      <c r="AV34" s="259"/>
      <c r="AW34" s="259"/>
      <c r="AX34" s="297">
        <f t="shared" si="76"/>
        <v>0.8</v>
      </c>
    </row>
    <row r="35" spans="1:50">
      <c r="A35" s="63">
        <f>ELEC!C34</f>
        <v>44865</v>
      </c>
      <c r="B35" s="534">
        <v>241</v>
      </c>
      <c r="C35" s="534">
        <v>247</v>
      </c>
      <c r="D35" s="45">
        <f t="shared" si="52"/>
        <v>3</v>
      </c>
      <c r="E35" s="45">
        <f t="shared" si="53"/>
        <v>25.14</v>
      </c>
      <c r="F35" s="534">
        <v>2302</v>
      </c>
      <c r="G35" s="52">
        <f t="shared" si="54"/>
        <v>2</v>
      </c>
      <c r="H35" s="534">
        <v>47963</v>
      </c>
      <c r="I35" s="379">
        <f t="shared" si="55"/>
        <v>120</v>
      </c>
      <c r="J35" s="66">
        <f t="shared" si="56"/>
        <v>60</v>
      </c>
      <c r="K35" s="534">
        <v>2467</v>
      </c>
      <c r="L35" s="52">
        <f t="shared" si="57"/>
        <v>0</v>
      </c>
      <c r="M35" s="534">
        <f t="shared" si="42"/>
        <v>183733</v>
      </c>
      <c r="N35" s="379">
        <f t="shared" si="58"/>
        <v>0</v>
      </c>
      <c r="O35" s="64">
        <f t="shared" si="46"/>
        <v>1869</v>
      </c>
      <c r="P35" s="534">
        <f t="shared" si="47"/>
        <v>2232</v>
      </c>
      <c r="Q35" s="534">
        <f t="shared" si="44"/>
        <v>186523</v>
      </c>
      <c r="R35" s="378">
        <f t="shared" si="59"/>
        <v>0</v>
      </c>
      <c r="S35" s="52">
        <f t="shared" si="60"/>
        <v>0</v>
      </c>
      <c r="T35" s="67">
        <f t="shared" si="61"/>
        <v>0</v>
      </c>
      <c r="U35" s="385">
        <f t="shared" si="62"/>
        <v>2</v>
      </c>
      <c r="V35" s="62">
        <f t="shared" si="63"/>
        <v>120</v>
      </c>
      <c r="W35" s="383"/>
      <c r="X35" s="534">
        <v>2498</v>
      </c>
      <c r="Y35" s="52">
        <f t="shared" si="64"/>
        <v>0</v>
      </c>
      <c r="Z35" s="534">
        <f t="shared" si="31"/>
        <v>141419</v>
      </c>
      <c r="AA35" s="65">
        <f t="shared" si="65"/>
        <v>0</v>
      </c>
      <c r="AB35" s="272">
        <f t="shared" si="66"/>
        <v>0</v>
      </c>
      <c r="AC35" s="534">
        <f t="shared" si="17"/>
        <v>1949</v>
      </c>
      <c r="AD35" s="259">
        <f t="shared" si="67"/>
        <v>0</v>
      </c>
      <c r="AE35" s="534">
        <v>366687</v>
      </c>
      <c r="AF35" s="292">
        <f t="shared" si="68"/>
        <v>0</v>
      </c>
      <c r="AG35" s="209">
        <f t="shared" si="69"/>
        <v>0</v>
      </c>
      <c r="AH35" s="62">
        <f t="shared" si="70"/>
        <v>0</v>
      </c>
      <c r="AI35" s="302">
        <f t="shared" si="71"/>
        <v>120</v>
      </c>
      <c r="AJ35" s="302">
        <f>-tanks!AW36</f>
        <v>120</v>
      </c>
      <c r="AK35" s="302">
        <f t="shared" si="72"/>
        <v>0</v>
      </c>
      <c r="AL35" s="302">
        <f t="shared" si="73"/>
        <v>2</v>
      </c>
      <c r="AM35" s="302">
        <f t="shared" si="74"/>
        <v>0</v>
      </c>
      <c r="AN35" s="534">
        <f t="shared" si="22"/>
        <v>65</v>
      </c>
      <c r="AO35" s="304">
        <f t="shared" si="23"/>
        <v>1950</v>
      </c>
      <c r="AP35" s="534">
        <f t="shared" si="24"/>
        <v>35</v>
      </c>
      <c r="AQ35" s="304">
        <f t="shared" si="75"/>
        <v>1050</v>
      </c>
      <c r="AR35" s="534">
        <f t="shared" si="26"/>
        <v>73</v>
      </c>
      <c r="AS35" s="304">
        <f t="shared" si="36"/>
        <v>2190</v>
      </c>
      <c r="AT35" s="304">
        <f t="shared" si="50"/>
        <v>5190</v>
      </c>
      <c r="AU35" s="304">
        <f t="shared" si="38"/>
        <v>0</v>
      </c>
      <c r="AV35" s="259"/>
      <c r="AW35" s="259"/>
      <c r="AX35" s="297">
        <f t="shared" si="76"/>
        <v>0.8</v>
      </c>
    </row>
    <row r="36" spans="1:50">
      <c r="J36" s="271">
        <f>SUM(J5:J32)/(COUNT(J5:J32)-COUNTIF(J5:J32,0))</f>
        <v>60.928571428571431</v>
      </c>
      <c r="U36" s="70">
        <f>SUM(U5:U35)</f>
        <v>24</v>
      </c>
      <c r="V36" s="62">
        <f>SUM(V5:V35)</f>
        <v>1993</v>
      </c>
      <c r="AE36" s="71" t="s">
        <v>379</v>
      </c>
      <c r="AG36" s="328"/>
      <c r="AH36" s="62">
        <f>SUM(AH5:AH35)</f>
        <v>356</v>
      </c>
      <c r="AL36" s="62">
        <f>SUM(AL5:AL35)</f>
        <v>24</v>
      </c>
      <c r="AM36" s="62">
        <f>SUM(AM5:AM35)</f>
        <v>5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-90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83.041666666666671</v>
      </c>
      <c r="AH37" s="62">
        <f>AF37+AA37</f>
        <v>0</v>
      </c>
      <c r="AI37" s="305">
        <f>SUM(AI5:AI35)</f>
        <v>2349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-45.9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B1" zoomScale="85" zoomScaleNormal="85" workbookViewId="0">
      <pane ySplit="3" topLeftCell="A13" activePane="bottomLeft" state="frozen"/>
      <selection pane="bottomLeft" activeCell="BE36" sqref="BE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8200699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3" t="s">
        <v>126</v>
      </c>
      <c r="AO3" s="624"/>
      <c r="AP3" s="625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2">
        <f>[3]WATER!B36</f>
        <v>109443</v>
      </c>
      <c r="C5" s="392">
        <f>[3]WATER!C36</f>
        <v>0</v>
      </c>
      <c r="D5" s="392">
        <f>[3]WATER!D36</f>
        <v>0</v>
      </c>
      <c r="E5" s="392">
        <f>[3]WATER!E36</f>
        <v>241.93548387096774</v>
      </c>
      <c r="F5" s="392">
        <f>[3]WATER!F36</f>
        <v>0</v>
      </c>
      <c r="G5" s="392">
        <f>[2]WATER!$G$36</f>
        <v>630568</v>
      </c>
      <c r="H5" s="392">
        <f>[3]WATER!H36</f>
        <v>122</v>
      </c>
      <c r="I5" s="392">
        <f>[3]WATER!I36</f>
        <v>122</v>
      </c>
      <c r="J5" s="392">
        <f>[3]WATER!J36</f>
        <v>1.9830777366472765</v>
      </c>
      <c r="K5" s="392">
        <f>[3]WATER!K36</f>
        <v>7089</v>
      </c>
      <c r="L5" s="392">
        <f>[3]WATER!L36</f>
        <v>0</v>
      </c>
      <c r="M5" s="392">
        <f>[3]WATER!M36</f>
        <v>457.44</v>
      </c>
      <c r="N5" s="392">
        <f>[3]WATER!N36</f>
        <v>0</v>
      </c>
      <c r="O5" s="392">
        <f>[3]WATER!O36</f>
        <v>529.52</v>
      </c>
      <c r="P5" s="392">
        <f>[3]WATER!P36</f>
        <v>0</v>
      </c>
      <c r="Q5" s="392">
        <f>[3]WATER!Q36</f>
        <v>0</v>
      </c>
      <c r="R5" s="392">
        <f>[3]WATER!R36</f>
        <v>0</v>
      </c>
      <c r="S5" s="392">
        <f>[3]WATER!S36</f>
        <v>0</v>
      </c>
      <c r="T5" s="392">
        <f>[2]WATER!$T$36</f>
        <v>5191</v>
      </c>
      <c r="U5" s="392">
        <f>[3]WATER!U36</f>
        <v>0</v>
      </c>
      <c r="V5" s="392">
        <f>[3]WATER!V36</f>
        <v>499</v>
      </c>
      <c r="W5" s="392">
        <f>[3]WATER!W36</f>
        <v>1</v>
      </c>
      <c r="X5" s="392">
        <f>[2]WATER!$X$36</f>
        <v>155960</v>
      </c>
      <c r="Y5" s="392">
        <v>0</v>
      </c>
      <c r="Z5" s="392">
        <f>[3]WATER!Z36</f>
        <v>99668</v>
      </c>
      <c r="AA5" s="392">
        <v>0</v>
      </c>
      <c r="AB5" s="392">
        <v>254</v>
      </c>
      <c r="AC5" s="392">
        <f>[3]WATER!AC36</f>
        <v>855</v>
      </c>
      <c r="AD5" s="392">
        <v>0</v>
      </c>
      <c r="AE5" s="392">
        <f>[3]WATER!AE36</f>
        <v>248.42</v>
      </c>
      <c r="AF5" s="392">
        <f>[3]WATER!AF36</f>
        <v>0</v>
      </c>
      <c r="AG5" s="392">
        <f>[3]WATER!AG36</f>
        <v>2247.41</v>
      </c>
      <c r="AH5" s="392">
        <f>[3]WATER!AH36</f>
        <v>0</v>
      </c>
      <c r="AI5" s="392">
        <f>[3]WATER!AI36</f>
        <v>0</v>
      </c>
      <c r="AJ5" s="392">
        <v>0</v>
      </c>
      <c r="AK5" s="392">
        <v>0</v>
      </c>
      <c r="AL5" s="392">
        <v>0</v>
      </c>
      <c r="AM5" s="392">
        <f>[3]WATER!AM36</f>
        <v>29.5</v>
      </c>
      <c r="AN5" s="392">
        <f>[3]WATER!AN36</f>
        <v>0</v>
      </c>
      <c r="AO5" s="392">
        <f>[3]WATER!AO36</f>
        <v>0</v>
      </c>
      <c r="AP5" s="392">
        <f>[3]WATER!AP36</f>
        <v>0</v>
      </c>
      <c r="AR5" s="540">
        <f>[2]WATER!$AR$35</f>
        <v>44834</v>
      </c>
      <c r="AS5" s="392">
        <f>[3]WATER!AS36</f>
        <v>0.9</v>
      </c>
      <c r="AT5" s="392">
        <v>164</v>
      </c>
      <c r="AU5" s="392">
        <f>[3]WATER!AU36</f>
        <v>1.1000000000000001</v>
      </c>
      <c r="AV5" s="392">
        <v>110</v>
      </c>
      <c r="AW5" s="392">
        <f>[3]WATER!AW36</f>
        <v>2.9</v>
      </c>
      <c r="AX5" s="392">
        <v>94</v>
      </c>
      <c r="AY5" s="392">
        <f>[3]WATER!AY36</f>
        <v>53.1</v>
      </c>
      <c r="AZ5" s="392">
        <f>[3]WATER!AZ36</f>
        <v>168.3</v>
      </c>
      <c r="BA5" s="392">
        <f>[3]WATER!BA36</f>
        <v>295.8</v>
      </c>
      <c r="BB5" s="392">
        <f>[3]WATER!BB36</f>
        <v>-26.9</v>
      </c>
      <c r="BC5" s="392">
        <f>[3]WATER!BC36</f>
        <v>85.800000000000011</v>
      </c>
      <c r="BD5" s="392">
        <f>[3]WATER!BD36</f>
        <v>60.900000000000006</v>
      </c>
      <c r="BE5" s="392">
        <f>[3]WATER!BE36</f>
        <v>119.80000000000001</v>
      </c>
      <c r="BF5" s="392">
        <f>[3]WATER!BF36</f>
        <v>2.1999999999999886</v>
      </c>
      <c r="BG5" s="392">
        <f>[3]WATER!BG36</f>
        <v>119.80000000000001</v>
      </c>
    </row>
    <row r="6" spans="1:65" ht="15.75" thickBot="1">
      <c r="A6" s="6">
        <f>ELEC!C4</f>
        <v>44835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241.93548387096774</v>
      </c>
      <c r="F6" s="400"/>
      <c r="G6" s="5">
        <f>G5</f>
        <v>630568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5191</v>
      </c>
      <c r="U6" s="5">
        <f t="shared" ref="U6:U33" si="3">SUM(T6-T5)</f>
        <v>0</v>
      </c>
      <c r="V6" s="5">
        <f>V5</f>
        <v>499</v>
      </c>
      <c r="W6" s="308">
        <f>+V6-V5</f>
        <v>0</v>
      </c>
      <c r="X6" s="5">
        <f>X5</f>
        <v>155960</v>
      </c>
      <c r="Y6" s="308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6">
        <f>AS5</f>
        <v>0.9</v>
      </c>
      <c r="AT6" s="201">
        <f>AT5</f>
        <v>164</v>
      </c>
      <c r="AU6" s="407">
        <f>AU5</f>
        <v>1.1000000000000001</v>
      </c>
      <c r="AV6" s="392">
        <v>110</v>
      </c>
      <c r="AW6" s="5">
        <v>2.9</v>
      </c>
      <c r="AX6" s="392">
        <v>94</v>
      </c>
      <c r="AY6" s="408">
        <f>AS6*AT6</f>
        <v>147.6</v>
      </c>
      <c r="AZ6" s="408">
        <f>AU6*AV6</f>
        <v>121.00000000000001</v>
      </c>
      <c r="BA6" s="408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.7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241.93548387096774</v>
      </c>
      <c r="F7" s="400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8">
        <f t="shared" si="0"/>
        <v>1.2157562003566218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v>5192</v>
      </c>
      <c r="U7" s="5">
        <f t="shared" si="3"/>
        <v>1</v>
      </c>
      <c r="V7" s="5">
        <v>500</v>
      </c>
      <c r="W7" s="308">
        <f t="shared" ref="W7:W33" si="13">+V7-V6</f>
        <v>1</v>
      </c>
      <c r="X7" s="5">
        <v>155960</v>
      </c>
      <c r="Y7" s="308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0">
        <f t="shared" ref="AJ7:AJ33" si="23">+Z7-Z6</f>
        <v>0</v>
      </c>
      <c r="AK7" s="311">
        <f>SUM(Y7-L7)</f>
        <v>0</v>
      </c>
      <c r="AL7" s="311">
        <f t="shared" ref="AL7:AL33" si="24">SUM(AJ7-W7)</f>
        <v>-1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6">
        <f t="shared" ref="AS7:AT21" si="26">AS6</f>
        <v>0.9</v>
      </c>
      <c r="AT7" s="201">
        <f t="shared" si="26"/>
        <v>164</v>
      </c>
      <c r="AU7" s="407">
        <f>AU6</f>
        <v>1.1000000000000001</v>
      </c>
      <c r="AV7" s="201">
        <v>108</v>
      </c>
      <c r="AW7" s="5">
        <v>2.9</v>
      </c>
      <c r="AX7" s="201">
        <v>92</v>
      </c>
      <c r="AY7" s="408">
        <f>AS7*AT7</f>
        <v>147.6</v>
      </c>
      <c r="AZ7" s="408">
        <f>AU7*AV7</f>
        <v>118.80000000000001</v>
      </c>
      <c r="BA7" s="408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.75" thickBot="1">
      <c r="A8" s="6">
        <f>ELEC!C6</f>
        <v>44837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241.93548387096774</v>
      </c>
      <c r="F8" s="400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8">
        <f t="shared" si="13"/>
        <v>0</v>
      </c>
      <c r="X8" s="5">
        <f t="shared" ref="X8:X36" si="33">X7</f>
        <v>155960</v>
      </c>
      <c r="Y8" s="308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0">
        <f t="shared" si="23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6">
        <f t="shared" si="26"/>
        <v>0.9</v>
      </c>
      <c r="AT8" s="201">
        <f t="shared" si="26"/>
        <v>164</v>
      </c>
      <c r="AU8" s="407">
        <v>1.1000000000000001</v>
      </c>
      <c r="AV8" s="201">
        <v>104</v>
      </c>
      <c r="AW8" s="5">
        <v>2.9</v>
      </c>
      <c r="AX8" s="201">
        <v>90</v>
      </c>
      <c r="AY8" s="408">
        <f t="shared" ref="AY8:AY33" si="36">AS8*AT8</f>
        <v>147.6</v>
      </c>
      <c r="AZ8" s="408">
        <f t="shared" ref="AZ8:AZ33" si="37">AU8*AV8</f>
        <v>114.4</v>
      </c>
      <c r="BA8" s="408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.7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241.93548387096774</v>
      </c>
      <c r="F9" s="400"/>
      <c r="G9" s="5">
        <f t="shared" si="30"/>
        <v>630767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31"/>
        <v>5192</v>
      </c>
      <c r="U9" s="5">
        <f t="shared" si="3"/>
        <v>0</v>
      </c>
      <c r="V9" s="5">
        <f t="shared" si="32"/>
        <v>500</v>
      </c>
      <c r="W9" s="308">
        <f t="shared" si="13"/>
        <v>0</v>
      </c>
      <c r="X9" s="5">
        <f t="shared" si="33"/>
        <v>155960</v>
      </c>
      <c r="Y9" s="308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0">
        <f t="shared" si="23"/>
        <v>0</v>
      </c>
      <c r="AK9" s="311">
        <f t="shared" si="35"/>
        <v>0</v>
      </c>
      <c r="AL9" s="311">
        <f t="shared" si="24"/>
        <v>0</v>
      </c>
      <c r="AM9" s="311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6">
        <f t="shared" si="26"/>
        <v>0.9</v>
      </c>
      <c r="AT9" s="201">
        <v>141</v>
      </c>
      <c r="AU9" s="407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8">
        <f t="shared" si="36"/>
        <v>126.9</v>
      </c>
      <c r="AZ9" s="408">
        <f t="shared" si="37"/>
        <v>112.2</v>
      </c>
      <c r="BA9" s="408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29">
        <f t="shared" si="29"/>
        <v>28.700000000000003</v>
      </c>
      <c r="BG9" s="82">
        <f t="shared" si="4"/>
        <v>-28.700000000000003</v>
      </c>
    </row>
    <row r="10" spans="1:65" ht="15.7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241.93548387096774</v>
      </c>
      <c r="F10" s="400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8">
        <f t="shared" si="13"/>
        <v>0</v>
      </c>
      <c r="X10" s="5">
        <f t="shared" si="33"/>
        <v>155960</v>
      </c>
      <c r="Y10" s="308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0">
        <f t="shared" si="23"/>
        <v>0</v>
      </c>
      <c r="AK10" s="311">
        <f>SUM(Y10-L10)</f>
        <v>0</v>
      </c>
      <c r="AL10" s="311">
        <f t="shared" si="24"/>
        <v>0</v>
      </c>
      <c r="AM10" s="311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6">
        <f t="shared" si="26"/>
        <v>0.9</v>
      </c>
      <c r="AT10" s="201">
        <v>141</v>
      </c>
      <c r="AU10" s="407">
        <f t="shared" si="42"/>
        <v>1.1000000000000001</v>
      </c>
      <c r="AV10" s="201">
        <v>100</v>
      </c>
      <c r="AW10" s="5">
        <v>2.9</v>
      </c>
      <c r="AX10" s="201">
        <v>86</v>
      </c>
      <c r="AY10" s="408">
        <f t="shared" si="36"/>
        <v>126.9</v>
      </c>
      <c r="AZ10" s="408">
        <f t="shared" si="37"/>
        <v>110.00000000000001</v>
      </c>
      <c r="BA10" s="408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.7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241.93548387096774</v>
      </c>
      <c r="F11" s="400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v>5193</v>
      </c>
      <c r="U11" s="5">
        <f t="shared" si="3"/>
        <v>1</v>
      </c>
      <c r="V11" s="5">
        <f t="shared" si="32"/>
        <v>500</v>
      </c>
      <c r="W11" s="308">
        <f t="shared" si="13"/>
        <v>0</v>
      </c>
      <c r="X11" s="5">
        <f t="shared" si="33"/>
        <v>155960</v>
      </c>
      <c r="Y11" s="308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0">
        <f t="shared" si="23"/>
        <v>0</v>
      </c>
      <c r="AK11" s="311">
        <f t="shared" si="35"/>
        <v>0</v>
      </c>
      <c r="AL11" s="311">
        <f t="shared" si="24"/>
        <v>0</v>
      </c>
      <c r="AM11" s="311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6">
        <f t="shared" si="26"/>
        <v>0.9</v>
      </c>
      <c r="AT11" s="201">
        <v>141</v>
      </c>
      <c r="AU11" s="407">
        <f t="shared" si="42"/>
        <v>1.1000000000000001</v>
      </c>
      <c r="AV11" s="201">
        <v>98</v>
      </c>
      <c r="AW11" s="5">
        <v>2.9</v>
      </c>
      <c r="AX11" s="201">
        <v>85</v>
      </c>
      <c r="AY11" s="408">
        <f t="shared" si="36"/>
        <v>126.9</v>
      </c>
      <c r="AZ11" s="408">
        <f t="shared" si="37"/>
        <v>107.80000000000001</v>
      </c>
      <c r="BA11" s="408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.7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241.93548387096774</v>
      </c>
      <c r="F12" s="400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8">
        <f t="shared" si="13"/>
        <v>0</v>
      </c>
      <c r="X12" s="5">
        <f t="shared" si="33"/>
        <v>155960</v>
      </c>
      <c r="Y12" s="308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0">
        <f t="shared" si="23"/>
        <v>0</v>
      </c>
      <c r="AK12" s="311">
        <f t="shared" si="35"/>
        <v>0</v>
      </c>
      <c r="AL12" s="311">
        <f t="shared" si="24"/>
        <v>0</v>
      </c>
      <c r="AM12" s="311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6">
        <f t="shared" si="26"/>
        <v>0.9</v>
      </c>
      <c r="AT12" s="201">
        <v>0</v>
      </c>
      <c r="AU12" s="407">
        <f t="shared" si="42"/>
        <v>1.1000000000000001</v>
      </c>
      <c r="AV12" s="201">
        <v>0</v>
      </c>
      <c r="AW12" s="5">
        <v>2.9</v>
      </c>
      <c r="AX12" s="201">
        <v>0</v>
      </c>
      <c r="AY12" s="408">
        <f t="shared" si="36"/>
        <v>0</v>
      </c>
      <c r="AZ12" s="408">
        <f t="shared" si="37"/>
        <v>0</v>
      </c>
      <c r="BA12" s="408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.7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241.93548387096774</v>
      </c>
      <c r="F13" s="400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>T12</f>
        <v>5193</v>
      </c>
      <c r="U13" s="5">
        <f t="shared" si="3"/>
        <v>0</v>
      </c>
      <c r="V13" s="5">
        <f t="shared" si="32"/>
        <v>500</v>
      </c>
      <c r="W13" s="308">
        <f t="shared" si="13"/>
        <v>0</v>
      </c>
      <c r="X13" s="5">
        <f t="shared" si="33"/>
        <v>155960</v>
      </c>
      <c r="Y13" s="308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0">
        <f t="shared" si="23"/>
        <v>0</v>
      </c>
      <c r="AK13" s="311">
        <f t="shared" si="35"/>
        <v>0</v>
      </c>
      <c r="AL13" s="311">
        <f t="shared" si="24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6">
        <f t="shared" si="26"/>
        <v>0.9</v>
      </c>
      <c r="AT13" s="201">
        <v>0</v>
      </c>
      <c r="AU13" s="407">
        <f t="shared" si="42"/>
        <v>1.1000000000000001</v>
      </c>
      <c r="AV13" s="201">
        <v>0</v>
      </c>
      <c r="AW13" s="5">
        <v>2.9</v>
      </c>
      <c r="AX13" s="201">
        <v>0</v>
      </c>
      <c r="AY13" s="408">
        <f t="shared" si="36"/>
        <v>0</v>
      </c>
      <c r="AZ13" s="408">
        <f t="shared" si="37"/>
        <v>0</v>
      </c>
      <c r="BA13" s="408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241.93548387096774</v>
      </c>
      <c r="F14" s="400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3">SUM(M14-M13)</f>
        <v>0</v>
      </c>
      <c r="O14" s="392">
        <f t="shared" si="12"/>
        <v>529.52</v>
      </c>
      <c r="P14" s="481">
        <f t="shared" ref="P14:P33" si="44">SUM(O14-O13)</f>
        <v>0</v>
      </c>
      <c r="Q14" s="481">
        <f t="shared" ref="Q14:Q33" si="45">SUM(P14+N14)</f>
        <v>0</v>
      </c>
      <c r="R14" s="481"/>
      <c r="S14" s="481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8">
        <f t="shared" si="13"/>
        <v>0</v>
      </c>
      <c r="X14" s="5">
        <f t="shared" si="33"/>
        <v>155960</v>
      </c>
      <c r="Y14" s="308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0">
        <f t="shared" si="23"/>
        <v>0</v>
      </c>
      <c r="AK14" s="311">
        <f t="shared" si="35"/>
        <v>0</v>
      </c>
      <c r="AL14" s="311">
        <f t="shared" si="24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6">
        <f t="shared" si="26"/>
        <v>0.9</v>
      </c>
      <c r="AT14" s="201">
        <v>0</v>
      </c>
      <c r="AU14" s="407">
        <f t="shared" si="42"/>
        <v>1.1000000000000001</v>
      </c>
      <c r="AV14" s="201">
        <v>0</v>
      </c>
      <c r="AW14" s="5">
        <v>2.9</v>
      </c>
      <c r="AX14" s="201">
        <v>0</v>
      </c>
      <c r="AY14" s="408">
        <f t="shared" si="36"/>
        <v>0</v>
      </c>
      <c r="AZ14" s="408">
        <f t="shared" si="37"/>
        <v>0</v>
      </c>
      <c r="BA14" s="408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241.93548387096774</v>
      </c>
      <c r="F15" s="400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3"/>
        <v>0</v>
      </c>
      <c r="O15" s="392">
        <f t="shared" si="12"/>
        <v>529.52</v>
      </c>
      <c r="P15" s="481">
        <f t="shared" si="44"/>
        <v>0</v>
      </c>
      <c r="Q15" s="481">
        <f t="shared" si="45"/>
        <v>0</v>
      </c>
      <c r="R15" s="481"/>
      <c r="S15" s="481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8">
        <f t="shared" si="13"/>
        <v>0</v>
      </c>
      <c r="X15" s="5">
        <f t="shared" si="33"/>
        <v>155960</v>
      </c>
      <c r="Y15" s="308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0">
        <f t="shared" si="23"/>
        <v>0</v>
      </c>
      <c r="AK15" s="311">
        <f>SUM(Y15-L15)</f>
        <v>0</v>
      </c>
      <c r="AL15" s="311">
        <f t="shared" si="24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6">
        <f t="shared" si="26"/>
        <v>0.9</v>
      </c>
      <c r="AT15" s="201">
        <v>143</v>
      </c>
      <c r="AU15" s="407">
        <f t="shared" si="42"/>
        <v>1.1000000000000001</v>
      </c>
      <c r="AV15" s="201">
        <v>97</v>
      </c>
      <c r="AW15" s="5">
        <v>2.9</v>
      </c>
      <c r="AX15" s="201">
        <v>130</v>
      </c>
      <c r="AY15" s="408">
        <f t="shared" si="36"/>
        <v>128.70000000000002</v>
      </c>
      <c r="AZ15" s="408">
        <f t="shared" si="37"/>
        <v>106.7</v>
      </c>
      <c r="BA15" s="408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.7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241.93548387096774</v>
      </c>
      <c r="F16" s="400"/>
      <c r="G16" s="5">
        <v>630787</v>
      </c>
      <c r="H16" s="5">
        <f t="shared" si="8"/>
        <v>20</v>
      </c>
      <c r="I16" s="5">
        <f t="shared" si="9"/>
        <v>20</v>
      </c>
      <c r="J16" s="318">
        <f t="shared" si="0"/>
        <v>12.096774193548388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3"/>
        <v>0</v>
      </c>
      <c r="O16" s="392">
        <f t="shared" si="12"/>
        <v>529.52</v>
      </c>
      <c r="P16" s="481">
        <f t="shared" si="44"/>
        <v>0</v>
      </c>
      <c r="Q16" s="481">
        <f t="shared" si="45"/>
        <v>0</v>
      </c>
      <c r="R16" s="483"/>
      <c r="S16" s="483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8">
        <f t="shared" si="13"/>
        <v>0</v>
      </c>
      <c r="X16" s="5">
        <f t="shared" si="33"/>
        <v>155960</v>
      </c>
      <c r="Y16" s="308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0">
        <f t="shared" si="23"/>
        <v>0</v>
      </c>
      <c r="AK16" s="311">
        <f t="shared" si="35"/>
        <v>0</v>
      </c>
      <c r="AL16" s="311">
        <f t="shared" si="24"/>
        <v>0</v>
      </c>
      <c r="AM16" s="311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6">
        <f t="shared" si="26"/>
        <v>0.9</v>
      </c>
      <c r="AT16" s="201">
        <v>142</v>
      </c>
      <c r="AU16" s="407">
        <f t="shared" si="42"/>
        <v>1.1000000000000001</v>
      </c>
      <c r="AV16" s="201">
        <v>96</v>
      </c>
      <c r="AW16" s="5">
        <v>2.9</v>
      </c>
      <c r="AX16" s="201">
        <v>130</v>
      </c>
      <c r="AY16" s="408">
        <f t="shared" si="36"/>
        <v>127.8</v>
      </c>
      <c r="AZ16" s="408">
        <f t="shared" si="37"/>
        <v>105.60000000000001</v>
      </c>
      <c r="BA16" s="408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.7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241.93548387096774</v>
      </c>
      <c r="F17" s="400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3"/>
        <v>0</v>
      </c>
      <c r="O17" s="392">
        <f t="shared" si="12"/>
        <v>529.52</v>
      </c>
      <c r="P17" s="481">
        <f t="shared" si="44"/>
        <v>0</v>
      </c>
      <c r="Q17" s="481">
        <f t="shared" si="45"/>
        <v>0</v>
      </c>
      <c r="R17" s="481"/>
      <c r="S17" s="481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8">
        <f t="shared" si="13"/>
        <v>0</v>
      </c>
      <c r="X17" s="5">
        <v>155960</v>
      </c>
      <c r="Y17" s="308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0">
        <f t="shared" si="23"/>
        <v>0</v>
      </c>
      <c r="AK17" s="311">
        <f>SUM(Y17-L17)</f>
        <v>0</v>
      </c>
      <c r="AL17" s="311">
        <f t="shared" si="24"/>
        <v>0</v>
      </c>
      <c r="AM17" s="311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6">
        <f t="shared" si="26"/>
        <v>0.9</v>
      </c>
      <c r="AT17" s="201">
        <v>128</v>
      </c>
      <c r="AU17" s="407">
        <f t="shared" si="42"/>
        <v>1.1000000000000001</v>
      </c>
      <c r="AV17" s="201">
        <v>95</v>
      </c>
      <c r="AW17" s="5">
        <v>2.9</v>
      </c>
      <c r="AX17" s="201">
        <v>78</v>
      </c>
      <c r="AY17" s="408">
        <f t="shared" si="36"/>
        <v>115.2</v>
      </c>
      <c r="AZ17" s="408">
        <f t="shared" si="37"/>
        <v>104.50000000000001</v>
      </c>
      <c r="BA17" s="408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.7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241.93548387096774</v>
      </c>
      <c r="F18" s="400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3"/>
        <v>0</v>
      </c>
      <c r="O18" s="392">
        <f t="shared" si="12"/>
        <v>529.52</v>
      </c>
      <c r="P18" s="481">
        <f t="shared" si="44"/>
        <v>0</v>
      </c>
      <c r="Q18" s="481">
        <f t="shared" si="45"/>
        <v>0</v>
      </c>
      <c r="R18" s="481"/>
      <c r="S18" s="481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8">
        <f t="shared" si="13"/>
        <v>0</v>
      </c>
      <c r="X18" s="5">
        <f t="shared" si="33"/>
        <v>155960</v>
      </c>
      <c r="Y18" s="308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0">
        <f t="shared" si="23"/>
        <v>0</v>
      </c>
      <c r="AK18" s="311">
        <f>SUM(Y18-L18)</f>
        <v>0</v>
      </c>
      <c r="AL18" s="311">
        <f t="shared" si="24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6">
        <f t="shared" si="26"/>
        <v>0.9</v>
      </c>
      <c r="AT18" s="201">
        <v>128</v>
      </c>
      <c r="AU18" s="407">
        <f t="shared" si="42"/>
        <v>1.1000000000000001</v>
      </c>
      <c r="AV18" s="201">
        <v>0</v>
      </c>
      <c r="AW18" s="5">
        <v>2.9</v>
      </c>
      <c r="AX18" s="201">
        <v>78</v>
      </c>
      <c r="AY18" s="408">
        <f t="shared" si="36"/>
        <v>115.2</v>
      </c>
      <c r="AZ18" s="408">
        <f t="shared" si="37"/>
        <v>0</v>
      </c>
      <c r="BA18" s="408">
        <f t="shared" si="38"/>
        <v>226.2</v>
      </c>
      <c r="BB18" s="21">
        <f t="shared" si="39"/>
        <v>0</v>
      </c>
      <c r="BC18" s="21">
        <f t="shared" si="27"/>
        <v>-104.50000000000001</v>
      </c>
      <c r="BD18" s="21">
        <f t="shared" si="27"/>
        <v>0</v>
      </c>
      <c r="BE18" s="24">
        <f t="shared" si="28"/>
        <v>-104.50000000000001</v>
      </c>
      <c r="BF18" s="96">
        <f t="shared" si="29"/>
        <v>104.50000000000001</v>
      </c>
      <c r="BG18" s="82">
        <f t="shared" si="4"/>
        <v>-104.50000000000001</v>
      </c>
    </row>
    <row r="19" spans="1:61" ht="15.7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241.93548387096774</v>
      </c>
      <c r="F19" s="400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3"/>
        <v>0</v>
      </c>
      <c r="O19" s="392">
        <f t="shared" si="12"/>
        <v>529.52</v>
      </c>
      <c r="P19" s="481">
        <f t="shared" si="44"/>
        <v>0</v>
      </c>
      <c r="Q19" s="481">
        <f t="shared" si="45"/>
        <v>0</v>
      </c>
      <c r="R19" s="481"/>
      <c r="S19" s="481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8">
        <f t="shared" si="13"/>
        <v>0</v>
      </c>
      <c r="X19" s="5">
        <f t="shared" si="33"/>
        <v>155960</v>
      </c>
      <c r="Y19" s="308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0">
        <f t="shared" si="23"/>
        <v>0</v>
      </c>
      <c r="AK19" s="311">
        <f t="shared" si="35"/>
        <v>0</v>
      </c>
      <c r="AL19" s="311">
        <f t="shared" si="24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6">
        <f t="shared" si="26"/>
        <v>0.9</v>
      </c>
      <c r="AT19" s="201">
        <v>128</v>
      </c>
      <c r="AU19" s="407">
        <f t="shared" si="42"/>
        <v>1.1000000000000001</v>
      </c>
      <c r="AV19" s="201">
        <v>0</v>
      </c>
      <c r="AW19" s="5">
        <v>2.9</v>
      </c>
      <c r="AX19" s="201">
        <v>78</v>
      </c>
      <c r="AY19" s="408">
        <f>AS19*AT19</f>
        <v>115.2</v>
      </c>
      <c r="AZ19" s="408">
        <f>AU19*AV19</f>
        <v>0</v>
      </c>
      <c r="BA19" s="408">
        <f>AW19*AX19</f>
        <v>226.2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241.93548387096774</v>
      </c>
      <c r="F20" s="400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3"/>
        <v>0</v>
      </c>
      <c r="O20" s="392">
        <f t="shared" si="12"/>
        <v>529.52</v>
      </c>
      <c r="P20" s="481">
        <f t="shared" si="44"/>
        <v>0</v>
      </c>
      <c r="Q20" s="481">
        <f t="shared" si="45"/>
        <v>0</v>
      </c>
      <c r="R20" s="481"/>
      <c r="S20" s="481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8">
        <f t="shared" si="13"/>
        <v>0</v>
      </c>
      <c r="X20" s="5">
        <f t="shared" si="33"/>
        <v>155960</v>
      </c>
      <c r="Y20" s="308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0">
        <f t="shared" si="23"/>
        <v>0</v>
      </c>
      <c r="AK20" s="311">
        <f t="shared" si="35"/>
        <v>0</v>
      </c>
      <c r="AL20" s="311">
        <f t="shared" si="24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6">
        <f t="shared" si="26"/>
        <v>0.9</v>
      </c>
      <c r="AT20" s="201">
        <v>128</v>
      </c>
      <c r="AU20" s="407">
        <f t="shared" si="42"/>
        <v>1.1000000000000001</v>
      </c>
      <c r="AV20" s="201">
        <v>0</v>
      </c>
      <c r="AW20" s="5">
        <v>2.9</v>
      </c>
      <c r="AX20" s="201">
        <v>78</v>
      </c>
      <c r="AY20" s="408">
        <f>AS20*AT20</f>
        <v>115.2</v>
      </c>
      <c r="AZ20" s="408">
        <f>AU20*AV20</f>
        <v>0</v>
      </c>
      <c r="BA20" s="408">
        <f>AW20*AX20</f>
        <v>226.2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241.93548387096774</v>
      </c>
      <c r="F21" s="311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3"/>
        <v>0</v>
      </c>
      <c r="O21" s="392">
        <f t="shared" si="12"/>
        <v>529.52</v>
      </c>
      <c r="P21" s="481">
        <f t="shared" si="44"/>
        <v>0</v>
      </c>
      <c r="Q21" s="481">
        <f t="shared" si="45"/>
        <v>0</v>
      </c>
      <c r="R21" s="481"/>
      <c r="S21" s="481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8">
        <f t="shared" si="13"/>
        <v>0</v>
      </c>
      <c r="X21" s="5">
        <f t="shared" si="33"/>
        <v>155960</v>
      </c>
      <c r="Y21" s="308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0">
        <f t="shared" si="23"/>
        <v>0</v>
      </c>
      <c r="AK21" s="311">
        <f>SUM(Y21-L21)</f>
        <v>0</v>
      </c>
      <c r="AL21" s="311">
        <f t="shared" si="24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6">
        <f t="shared" si="26"/>
        <v>0.9</v>
      </c>
      <c r="AT21" s="201">
        <v>128</v>
      </c>
      <c r="AU21" s="407">
        <f t="shared" si="42"/>
        <v>1.1000000000000001</v>
      </c>
      <c r="AV21" s="201">
        <v>95</v>
      </c>
      <c r="AW21" s="5">
        <v>2.9</v>
      </c>
      <c r="AX21" s="201">
        <v>78</v>
      </c>
      <c r="AY21" s="408">
        <f>AS21*AT21</f>
        <v>115.2</v>
      </c>
      <c r="AZ21" s="408">
        <f>AU21*AV21</f>
        <v>104.50000000000001</v>
      </c>
      <c r="BA21" s="408">
        <f>AW21*AX21</f>
        <v>226.2</v>
      </c>
      <c r="BB21" s="21">
        <f t="shared" si="39"/>
        <v>0</v>
      </c>
      <c r="BC21" s="21">
        <f t="shared" si="27"/>
        <v>104.50000000000001</v>
      </c>
      <c r="BD21" s="21">
        <f t="shared" si="27"/>
        <v>0</v>
      </c>
      <c r="BE21" s="24">
        <f t="shared" si="28"/>
        <v>104.50000000000001</v>
      </c>
      <c r="BF21" s="96">
        <f t="shared" si="29"/>
        <v>-104.50000000000001</v>
      </c>
      <c r="BG21" s="82">
        <f t="shared" si="4"/>
        <v>104.50000000000001</v>
      </c>
    </row>
    <row r="22" spans="1:61" ht="15.75" thickBot="1">
      <c r="A22" s="6">
        <f>ELEC!C20</f>
        <v>44851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241.93548387096774</v>
      </c>
      <c r="F22" s="311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3"/>
        <v>0</v>
      </c>
      <c r="O22" s="392">
        <f t="shared" si="12"/>
        <v>529.52</v>
      </c>
      <c r="P22" s="481">
        <f t="shared" si="44"/>
        <v>0</v>
      </c>
      <c r="Q22" s="481">
        <f t="shared" si="45"/>
        <v>0</v>
      </c>
      <c r="R22" s="481"/>
      <c r="S22" s="481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8">
        <f t="shared" si="13"/>
        <v>0</v>
      </c>
      <c r="X22" s="5">
        <f t="shared" si="33"/>
        <v>155960</v>
      </c>
      <c r="Y22" s="308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0">
        <f t="shared" si="23"/>
        <v>0</v>
      </c>
      <c r="AK22" s="311">
        <f t="shared" si="35"/>
        <v>0</v>
      </c>
      <c r="AL22" s="311">
        <f t="shared" si="24"/>
        <v>0</v>
      </c>
      <c r="AM22" s="311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6">
        <f t="shared" ref="AS22:AS33" si="47">AS21</f>
        <v>0.9</v>
      </c>
      <c r="AT22" s="201">
        <v>129</v>
      </c>
      <c r="AU22" s="407">
        <f t="shared" si="42"/>
        <v>1.1000000000000001</v>
      </c>
      <c r="AV22" s="201">
        <v>86</v>
      </c>
      <c r="AW22" s="5">
        <v>2.9</v>
      </c>
      <c r="AX22" s="201">
        <v>73</v>
      </c>
      <c r="AY22" s="408">
        <f t="shared" si="36"/>
        <v>116.10000000000001</v>
      </c>
      <c r="AZ22" s="408">
        <f t="shared" si="37"/>
        <v>94.600000000000009</v>
      </c>
      <c r="BA22" s="408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.7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241.93548387096774</v>
      </c>
      <c r="F23" s="311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3"/>
        <v>0</v>
      </c>
      <c r="O23" s="392">
        <f t="shared" si="12"/>
        <v>529.52</v>
      </c>
      <c r="P23" s="481">
        <f t="shared" si="44"/>
        <v>0</v>
      </c>
      <c r="Q23" s="481">
        <f t="shared" si="45"/>
        <v>0</v>
      </c>
      <c r="R23" s="483"/>
      <c r="S23" s="483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8">
        <f t="shared" si="13"/>
        <v>0</v>
      </c>
      <c r="X23" s="5">
        <f t="shared" si="33"/>
        <v>155960</v>
      </c>
      <c r="Y23" s="308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0">
        <f t="shared" si="23"/>
        <v>0</v>
      </c>
      <c r="AK23" s="311">
        <f t="shared" si="35"/>
        <v>0</v>
      </c>
      <c r="AL23" s="311">
        <f t="shared" si="24"/>
        <v>0</v>
      </c>
      <c r="AM23" s="311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6">
        <f t="shared" si="47"/>
        <v>0.9</v>
      </c>
      <c r="AT23" s="201">
        <v>111</v>
      </c>
      <c r="AU23" s="407">
        <f t="shared" si="42"/>
        <v>1.1000000000000001</v>
      </c>
      <c r="AV23" s="201">
        <v>87.5</v>
      </c>
      <c r="AW23" s="5">
        <v>2.9</v>
      </c>
      <c r="AX23" s="201">
        <v>70</v>
      </c>
      <c r="AY23" s="408">
        <f t="shared" si="36"/>
        <v>99.9</v>
      </c>
      <c r="AZ23" s="408">
        <f t="shared" si="37"/>
        <v>96.250000000000014</v>
      </c>
      <c r="BA23" s="408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.7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241.93548387096774</v>
      </c>
      <c r="F24" s="311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3"/>
        <v>0</v>
      </c>
      <c r="O24" s="392">
        <f t="shared" si="12"/>
        <v>529.52</v>
      </c>
      <c r="P24" s="481">
        <f t="shared" si="44"/>
        <v>0</v>
      </c>
      <c r="Q24" s="481">
        <f t="shared" si="45"/>
        <v>0</v>
      </c>
      <c r="R24" s="483"/>
      <c r="S24" s="483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8">
        <f t="shared" si="13"/>
        <v>0</v>
      </c>
      <c r="X24" s="5">
        <f t="shared" si="33"/>
        <v>155960</v>
      </c>
      <c r="Y24" s="308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0">
        <f t="shared" si="23"/>
        <v>0</v>
      </c>
      <c r="AK24" s="311">
        <f t="shared" si="35"/>
        <v>0</v>
      </c>
      <c r="AL24" s="311">
        <f t="shared" si="24"/>
        <v>0</v>
      </c>
      <c r="AM24" s="311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6">
        <f t="shared" si="47"/>
        <v>0.9</v>
      </c>
      <c r="AT24" s="201">
        <v>112</v>
      </c>
      <c r="AU24" s="407">
        <f t="shared" si="42"/>
        <v>1.1000000000000001</v>
      </c>
      <c r="AV24" s="201">
        <v>85</v>
      </c>
      <c r="AW24" s="5">
        <v>2.9</v>
      </c>
      <c r="AX24" s="201">
        <v>67</v>
      </c>
      <c r="AY24" s="408">
        <f t="shared" si="36"/>
        <v>100.8</v>
      </c>
      <c r="AZ24" s="408">
        <f t="shared" si="37"/>
        <v>93.500000000000014</v>
      </c>
      <c r="BA24" s="408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.7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241.93548387096774</v>
      </c>
      <c r="F25" s="311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3"/>
        <v>0</v>
      </c>
      <c r="O25" s="392">
        <f t="shared" si="12"/>
        <v>529.52</v>
      </c>
      <c r="P25" s="481">
        <f t="shared" si="44"/>
        <v>0</v>
      </c>
      <c r="Q25" s="481">
        <f t="shared" si="45"/>
        <v>0</v>
      </c>
      <c r="R25" s="483"/>
      <c r="S25" s="483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8">
        <f t="shared" si="13"/>
        <v>0</v>
      </c>
      <c r="X25" s="5">
        <f t="shared" si="33"/>
        <v>155960</v>
      </c>
      <c r="Y25" s="308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0">
        <f t="shared" si="23"/>
        <v>0</v>
      </c>
      <c r="AK25" s="311">
        <f t="shared" si="35"/>
        <v>0</v>
      </c>
      <c r="AL25" s="311">
        <f t="shared" si="24"/>
        <v>0</v>
      </c>
      <c r="AM25" s="311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6">
        <f t="shared" si="47"/>
        <v>0.9</v>
      </c>
      <c r="AT25" s="201">
        <v>111</v>
      </c>
      <c r="AU25" s="407">
        <f t="shared" si="42"/>
        <v>1.1000000000000001</v>
      </c>
      <c r="AV25" s="201">
        <v>84</v>
      </c>
      <c r="AW25" s="5">
        <v>2.9</v>
      </c>
      <c r="AX25" s="201">
        <v>65</v>
      </c>
      <c r="AY25" s="408">
        <f t="shared" si="36"/>
        <v>99.9</v>
      </c>
      <c r="AZ25" s="408">
        <f t="shared" si="37"/>
        <v>92.4</v>
      </c>
      <c r="BA25" s="408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.7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241.93548387096774</v>
      </c>
      <c r="F26" s="311"/>
      <c r="G26" s="5">
        <f t="shared" si="30"/>
        <v>630787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3"/>
        <v>0</v>
      </c>
      <c r="O26" s="392">
        <f t="shared" si="12"/>
        <v>529.52</v>
      </c>
      <c r="P26" s="481">
        <f t="shared" si="44"/>
        <v>0</v>
      </c>
      <c r="Q26" s="481">
        <f t="shared" si="45"/>
        <v>0</v>
      </c>
      <c r="R26" s="483"/>
      <c r="S26" s="483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8">
        <f t="shared" si="13"/>
        <v>0</v>
      </c>
      <c r="X26" s="5">
        <f t="shared" si="33"/>
        <v>155960</v>
      </c>
      <c r="Y26" s="308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0">
        <f t="shared" si="23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6">
        <f t="shared" si="47"/>
        <v>0.9</v>
      </c>
      <c r="AT26" s="201">
        <v>111</v>
      </c>
      <c r="AU26" s="407">
        <f t="shared" si="42"/>
        <v>1.1000000000000001</v>
      </c>
      <c r="AV26" s="201">
        <v>0</v>
      </c>
      <c r="AW26" s="5">
        <v>2.9</v>
      </c>
      <c r="AX26" s="201">
        <v>65</v>
      </c>
      <c r="AY26" s="408">
        <f t="shared" si="36"/>
        <v>99.9</v>
      </c>
      <c r="AZ26" s="408">
        <f t="shared" si="37"/>
        <v>0</v>
      </c>
      <c r="BA26" s="408">
        <f t="shared" si="38"/>
        <v>188.5</v>
      </c>
      <c r="BB26" s="21">
        <f t="shared" si="39"/>
        <v>0</v>
      </c>
      <c r="BC26" s="21">
        <f t="shared" si="48"/>
        <v>-92.4</v>
      </c>
      <c r="BD26" s="21">
        <f t="shared" si="48"/>
        <v>0</v>
      </c>
      <c r="BE26" s="24">
        <f t="shared" si="28"/>
        <v>-92.4</v>
      </c>
      <c r="BF26" s="96">
        <f t="shared" si="29"/>
        <v>92.4</v>
      </c>
      <c r="BG26" s="82">
        <f t="shared" si="4"/>
        <v>-92.4</v>
      </c>
    </row>
    <row r="27" spans="1:61" ht="15.7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241.93548387096774</v>
      </c>
      <c r="F27" s="311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3"/>
        <v>0</v>
      </c>
      <c r="O27" s="392">
        <f t="shared" si="12"/>
        <v>529.52</v>
      </c>
      <c r="P27" s="481">
        <f t="shared" si="44"/>
        <v>0</v>
      </c>
      <c r="Q27" s="481">
        <f t="shared" si="45"/>
        <v>0</v>
      </c>
      <c r="R27" s="483"/>
      <c r="S27" s="483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8">
        <f t="shared" si="13"/>
        <v>0</v>
      </c>
      <c r="X27" s="5">
        <f t="shared" si="33"/>
        <v>155960</v>
      </c>
      <c r="Y27" s="308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0">
        <f t="shared" si="23"/>
        <v>0</v>
      </c>
      <c r="AK27" s="311">
        <f t="shared" si="35"/>
        <v>0</v>
      </c>
      <c r="AL27" s="311">
        <f t="shared" si="24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6">
        <f t="shared" si="47"/>
        <v>0.9</v>
      </c>
      <c r="AT27" s="201">
        <v>111</v>
      </c>
      <c r="AU27" s="407">
        <f t="shared" si="42"/>
        <v>1.1000000000000001</v>
      </c>
      <c r="AV27" s="201">
        <v>0</v>
      </c>
      <c r="AW27" s="5">
        <v>2.9</v>
      </c>
      <c r="AX27" s="201">
        <v>65</v>
      </c>
      <c r="AY27" s="408">
        <f t="shared" si="36"/>
        <v>99.9</v>
      </c>
      <c r="AZ27" s="408">
        <f t="shared" si="37"/>
        <v>0</v>
      </c>
      <c r="BA27" s="408">
        <f t="shared" si="38"/>
        <v>188.5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241.93548387096774</v>
      </c>
      <c r="F28" s="311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3"/>
        <v>0</v>
      </c>
      <c r="O28" s="392">
        <f t="shared" si="12"/>
        <v>529.52</v>
      </c>
      <c r="P28" s="481">
        <f t="shared" si="44"/>
        <v>0</v>
      </c>
      <c r="Q28" s="481">
        <f t="shared" si="45"/>
        <v>0</v>
      </c>
      <c r="R28" s="483"/>
      <c r="S28" s="483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8">
        <f t="shared" si="13"/>
        <v>0</v>
      </c>
      <c r="X28" s="5">
        <f t="shared" si="33"/>
        <v>155960</v>
      </c>
      <c r="Y28" s="308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0">
        <f t="shared" si="23"/>
        <v>0</v>
      </c>
      <c r="AK28" s="311">
        <f t="shared" si="35"/>
        <v>0</v>
      </c>
      <c r="AL28" s="311">
        <f t="shared" si="24"/>
        <v>0</v>
      </c>
      <c r="AM28" s="311">
        <f>'General information '!D27</f>
        <v>24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6">
        <f t="shared" si="47"/>
        <v>0.9</v>
      </c>
      <c r="AT28" s="201">
        <v>52</v>
      </c>
      <c r="AU28" s="407">
        <f t="shared" si="42"/>
        <v>1.1000000000000001</v>
      </c>
      <c r="AV28" s="201">
        <v>78</v>
      </c>
      <c r="AW28" s="5">
        <v>2.9</v>
      </c>
      <c r="AX28" s="201">
        <v>78</v>
      </c>
      <c r="AY28" s="408">
        <f t="shared" si="36"/>
        <v>46.800000000000004</v>
      </c>
      <c r="AZ28" s="408">
        <f t="shared" si="37"/>
        <v>85.800000000000011</v>
      </c>
      <c r="BA28" s="408">
        <f t="shared" si="38"/>
        <v>226.2</v>
      </c>
      <c r="BB28" s="21">
        <f t="shared" si="39"/>
        <v>-53.1</v>
      </c>
      <c r="BC28" s="21">
        <f t="shared" si="48"/>
        <v>85.800000000000011</v>
      </c>
      <c r="BD28" s="21">
        <f t="shared" si="48"/>
        <v>37.699999999999989</v>
      </c>
      <c r="BE28" s="24">
        <f t="shared" si="28"/>
        <v>70.400000000000006</v>
      </c>
      <c r="BF28" s="96">
        <f t="shared" si="29"/>
        <v>-70.400000000000006</v>
      </c>
      <c r="BG28" s="82">
        <f t="shared" si="4"/>
        <v>70.400000000000006</v>
      </c>
    </row>
    <row r="29" spans="1:61" ht="15.7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241.93548387096774</v>
      </c>
      <c r="F29" s="311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3"/>
        <v>0</v>
      </c>
      <c r="O29" s="392">
        <f t="shared" si="12"/>
        <v>529.52</v>
      </c>
      <c r="P29" s="481">
        <f t="shared" si="44"/>
        <v>0</v>
      </c>
      <c r="Q29" s="481">
        <f t="shared" si="45"/>
        <v>0</v>
      </c>
      <c r="R29" s="483"/>
      <c r="S29" s="483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8">
        <f t="shared" si="13"/>
        <v>0</v>
      </c>
      <c r="X29" s="5">
        <v>156017</v>
      </c>
      <c r="Y29" s="308">
        <f t="shared" si="41"/>
        <v>57</v>
      </c>
      <c r="Z29" s="5">
        <f t="shared" si="14"/>
        <v>99668</v>
      </c>
      <c r="AA29" s="83">
        <f t="shared" si="15"/>
        <v>0</v>
      </c>
      <c r="AB29" s="5">
        <v>251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0">
        <f t="shared" si="23"/>
        <v>0</v>
      </c>
      <c r="AK29" s="311">
        <f t="shared" si="35"/>
        <v>57</v>
      </c>
      <c r="AL29" s="311">
        <f t="shared" si="24"/>
        <v>0</v>
      </c>
      <c r="AM29" s="311">
        <f>'General information '!D28</f>
        <v>24.5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6">
        <f t="shared" si="47"/>
        <v>0.9</v>
      </c>
      <c r="AT29" s="201">
        <v>51</v>
      </c>
      <c r="AU29" s="407">
        <f t="shared" si="42"/>
        <v>1.1000000000000001</v>
      </c>
      <c r="AV29" s="201">
        <v>77</v>
      </c>
      <c r="AW29" s="5">
        <v>2.9</v>
      </c>
      <c r="AX29" s="201">
        <v>77</v>
      </c>
      <c r="AY29" s="408">
        <f t="shared" si="36"/>
        <v>45.9</v>
      </c>
      <c r="AZ29" s="408">
        <f t="shared" si="37"/>
        <v>84.7</v>
      </c>
      <c r="BA29" s="408">
        <f t="shared" si="38"/>
        <v>223.29999999999998</v>
      </c>
      <c r="BB29" s="21">
        <f t="shared" si="39"/>
        <v>-0.90000000000000568</v>
      </c>
      <c r="BC29" s="21">
        <f t="shared" si="48"/>
        <v>-1.1000000000000085</v>
      </c>
      <c r="BD29" s="21">
        <f t="shared" si="48"/>
        <v>-2.9000000000000057</v>
      </c>
      <c r="BE29" s="24">
        <f t="shared" si="28"/>
        <v>-4.9000000000000199</v>
      </c>
      <c r="BF29" s="96">
        <f t="shared" si="29"/>
        <v>4.9000000000000199</v>
      </c>
      <c r="BG29" s="82">
        <f t="shared" si="4"/>
        <v>-4.9000000000000199</v>
      </c>
    </row>
    <row r="30" spans="1:61" ht="15.7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241.93548387096774</v>
      </c>
      <c r="F30" s="311"/>
      <c r="G30" s="5">
        <v>630860</v>
      </c>
      <c r="H30" s="5">
        <f t="shared" si="8"/>
        <v>73</v>
      </c>
      <c r="I30" s="5">
        <f t="shared" si="9"/>
        <v>73</v>
      </c>
      <c r="J30" s="318">
        <f t="shared" si="0"/>
        <v>3.3141847105612019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3"/>
        <v>0</v>
      </c>
      <c r="O30" s="392">
        <f t="shared" si="12"/>
        <v>529.52</v>
      </c>
      <c r="P30" s="481">
        <f t="shared" si="44"/>
        <v>0</v>
      </c>
      <c r="Q30" s="481">
        <f t="shared" si="45"/>
        <v>0</v>
      </c>
      <c r="R30" s="483"/>
      <c r="S30" s="483"/>
      <c r="T30" s="5">
        <v>5194</v>
      </c>
      <c r="U30" s="5">
        <f t="shared" si="3"/>
        <v>1</v>
      </c>
      <c r="V30" s="5">
        <f t="shared" si="32"/>
        <v>500</v>
      </c>
      <c r="W30" s="308">
        <f t="shared" si="13"/>
        <v>0</v>
      </c>
      <c r="X30" s="5">
        <f t="shared" si="33"/>
        <v>156017</v>
      </c>
      <c r="Y30" s="308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251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0">
        <f t="shared" si="23"/>
        <v>0</v>
      </c>
      <c r="AK30" s="311">
        <f t="shared" si="35"/>
        <v>0</v>
      </c>
      <c r="AL30" s="311">
        <f t="shared" si="24"/>
        <v>0</v>
      </c>
      <c r="AM30" s="311">
        <f>'General information '!D29</f>
        <v>24.5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6">
        <f t="shared" si="47"/>
        <v>0.9</v>
      </c>
      <c r="AT30" s="201">
        <v>97</v>
      </c>
      <c r="AU30" s="407">
        <f t="shared" si="42"/>
        <v>1.1000000000000001</v>
      </c>
      <c r="AV30" s="201">
        <v>75</v>
      </c>
      <c r="AW30" s="5">
        <v>2.9</v>
      </c>
      <c r="AX30" s="201">
        <v>70</v>
      </c>
      <c r="AY30" s="408">
        <f t="shared" si="36"/>
        <v>87.3</v>
      </c>
      <c r="AZ30" s="408">
        <f t="shared" si="37"/>
        <v>82.5</v>
      </c>
      <c r="BA30" s="408">
        <f t="shared" si="38"/>
        <v>203</v>
      </c>
      <c r="BB30" s="21">
        <f t="shared" si="39"/>
        <v>41.4</v>
      </c>
      <c r="BC30" s="21">
        <f t="shared" si="48"/>
        <v>-2.2000000000000028</v>
      </c>
      <c r="BD30" s="21">
        <f t="shared" si="48"/>
        <v>-20.299999999999983</v>
      </c>
      <c r="BE30" s="24">
        <f t="shared" si="28"/>
        <v>18.900000000000013</v>
      </c>
      <c r="BF30" s="96">
        <f t="shared" si="29"/>
        <v>54.099999999999987</v>
      </c>
      <c r="BG30" s="82">
        <f t="shared" si="4"/>
        <v>18.900000000000013</v>
      </c>
    </row>
    <row r="31" spans="1:61" ht="15.7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241.93548387096774</v>
      </c>
      <c r="F31" s="311"/>
      <c r="G31" s="5">
        <v>630860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3"/>
        <v>0</v>
      </c>
      <c r="O31" s="392">
        <f t="shared" si="12"/>
        <v>529.52</v>
      </c>
      <c r="P31" s="481">
        <f t="shared" si="44"/>
        <v>0</v>
      </c>
      <c r="Q31" s="481">
        <f t="shared" si="45"/>
        <v>0</v>
      </c>
      <c r="R31" s="483"/>
      <c r="S31" s="483"/>
      <c r="T31" s="5">
        <v>5194</v>
      </c>
      <c r="U31" s="5">
        <f t="shared" si="3"/>
        <v>0</v>
      </c>
      <c r="V31" s="5">
        <f t="shared" si="32"/>
        <v>500</v>
      </c>
      <c r="W31" s="308">
        <f t="shared" si="13"/>
        <v>0</v>
      </c>
      <c r="X31" s="5">
        <f t="shared" si="33"/>
        <v>156017</v>
      </c>
      <c r="Y31" s="308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251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0">
        <f t="shared" si="23"/>
        <v>0</v>
      </c>
      <c r="AK31" s="311">
        <f t="shared" si="35"/>
        <v>0</v>
      </c>
      <c r="AL31" s="311">
        <f t="shared" si="24"/>
        <v>0</v>
      </c>
      <c r="AM31" s="311">
        <f>'General information '!D30</f>
        <v>24.5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6">
        <f t="shared" si="47"/>
        <v>0.9</v>
      </c>
      <c r="AT31" s="201">
        <v>97</v>
      </c>
      <c r="AU31" s="407">
        <f t="shared" si="42"/>
        <v>1.1000000000000001</v>
      </c>
      <c r="AV31" s="201">
        <v>73</v>
      </c>
      <c r="AW31" s="5">
        <v>2.9</v>
      </c>
      <c r="AX31" s="201">
        <v>65</v>
      </c>
      <c r="AY31" s="408">
        <f t="shared" si="36"/>
        <v>87.3</v>
      </c>
      <c r="AZ31" s="408">
        <f>AU31*AV31</f>
        <v>80.300000000000011</v>
      </c>
      <c r="BA31" s="408">
        <f t="shared" si="38"/>
        <v>188.5</v>
      </c>
      <c r="BB31" s="21">
        <f t="shared" si="39"/>
        <v>0</v>
      </c>
      <c r="BC31" s="21">
        <f t="shared" si="48"/>
        <v>-2.1999999999999886</v>
      </c>
      <c r="BD31" s="21">
        <f t="shared" si="48"/>
        <v>-14.5</v>
      </c>
      <c r="BE31" s="24">
        <f t="shared" si="28"/>
        <v>-16.699999999999989</v>
      </c>
      <c r="BF31" s="96">
        <f t="shared" si="29"/>
        <v>16.699999999999989</v>
      </c>
      <c r="BG31" s="82">
        <f t="shared" si="4"/>
        <v>-16.699999999999989</v>
      </c>
    </row>
    <row r="32" spans="1:61" ht="15.7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241.93548387096774</v>
      </c>
      <c r="F32" s="311"/>
      <c r="G32" s="5">
        <v>630948</v>
      </c>
      <c r="H32" s="5">
        <f t="shared" si="8"/>
        <v>88</v>
      </c>
      <c r="I32" s="5">
        <f t="shared" si="9"/>
        <v>88</v>
      </c>
      <c r="J32" s="318">
        <f t="shared" si="0"/>
        <v>2.7492668621700882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3"/>
        <v>0</v>
      </c>
      <c r="O32" s="392">
        <f t="shared" si="12"/>
        <v>529.52</v>
      </c>
      <c r="P32" s="481">
        <f t="shared" si="44"/>
        <v>0</v>
      </c>
      <c r="Q32" s="481">
        <f t="shared" si="45"/>
        <v>0</v>
      </c>
      <c r="R32" s="483"/>
      <c r="S32" s="483"/>
      <c r="T32" s="5">
        <f t="shared" si="31"/>
        <v>5194</v>
      </c>
      <c r="U32" s="5">
        <f t="shared" si="3"/>
        <v>0</v>
      </c>
      <c r="V32" s="5">
        <f t="shared" si="32"/>
        <v>500</v>
      </c>
      <c r="W32" s="308">
        <f t="shared" si="13"/>
        <v>0</v>
      </c>
      <c r="X32" s="5">
        <f t="shared" si="33"/>
        <v>156017</v>
      </c>
      <c r="Y32" s="308">
        <f t="shared" si="41"/>
        <v>0</v>
      </c>
      <c r="Z32" s="5">
        <v>99699</v>
      </c>
      <c r="AA32" s="83">
        <f t="shared" si="15"/>
        <v>31</v>
      </c>
      <c r="AB32" s="5">
        <f t="shared" si="16"/>
        <v>251</v>
      </c>
      <c r="AC32" s="5">
        <f t="shared" si="17"/>
        <v>855</v>
      </c>
      <c r="AD32" s="83">
        <f t="shared" si="34"/>
        <v>0</v>
      </c>
      <c r="AE32" s="5">
        <v>250.96</v>
      </c>
      <c r="AF32" s="83">
        <f t="shared" si="19"/>
        <v>2.0600000000000023</v>
      </c>
      <c r="AG32" s="5">
        <f t="shared" si="20"/>
        <v>2247.41</v>
      </c>
      <c r="AH32" s="83">
        <f t="shared" si="21"/>
        <v>0</v>
      </c>
      <c r="AI32" s="83">
        <f t="shared" si="22"/>
        <v>2.0600000000000023</v>
      </c>
      <c r="AJ32" s="310">
        <f t="shared" si="23"/>
        <v>31</v>
      </c>
      <c r="AK32" s="311">
        <f t="shared" si="35"/>
        <v>0</v>
      </c>
      <c r="AL32" s="311">
        <f t="shared" si="24"/>
        <v>31</v>
      </c>
      <c r="AM32" s="311">
        <f>'General information '!D31</f>
        <v>24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6">
        <f t="shared" si="47"/>
        <v>0.9</v>
      </c>
      <c r="AT32" s="201">
        <v>106</v>
      </c>
      <c r="AU32" s="407">
        <f t="shared" si="42"/>
        <v>1.1000000000000001</v>
      </c>
      <c r="AV32" s="201">
        <v>84</v>
      </c>
      <c r="AW32" s="5">
        <v>2.9</v>
      </c>
      <c r="AX32" s="201">
        <v>71</v>
      </c>
      <c r="AY32" s="408">
        <f t="shared" si="36"/>
        <v>95.4</v>
      </c>
      <c r="AZ32" s="408">
        <f t="shared" si="37"/>
        <v>92.4</v>
      </c>
      <c r="BA32" s="408">
        <f t="shared" si="38"/>
        <v>205.9</v>
      </c>
      <c r="BB32" s="21">
        <f t="shared" si="39"/>
        <v>8.1000000000000085</v>
      </c>
      <c r="BC32" s="21">
        <f t="shared" si="48"/>
        <v>12.099999999999994</v>
      </c>
      <c r="BD32" s="21">
        <f t="shared" si="48"/>
        <v>17.400000000000006</v>
      </c>
      <c r="BE32" s="24">
        <f t="shared" si="28"/>
        <v>37.600000000000009</v>
      </c>
      <c r="BF32" s="96">
        <f t="shared" si="29"/>
        <v>50.399999999999991</v>
      </c>
      <c r="BG32" s="82">
        <f t="shared" si="4"/>
        <v>37.600000000000009</v>
      </c>
    </row>
    <row r="33" spans="1:59" ht="15.7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241.93548387096774</v>
      </c>
      <c r="F33" s="311"/>
      <c r="G33" s="5">
        <f t="shared" si="30"/>
        <v>630948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3"/>
        <v>0</v>
      </c>
      <c r="O33" s="392">
        <f t="shared" si="12"/>
        <v>529.52</v>
      </c>
      <c r="P33" s="481">
        <f t="shared" si="44"/>
        <v>0</v>
      </c>
      <c r="Q33" s="481">
        <f t="shared" si="45"/>
        <v>0</v>
      </c>
      <c r="R33" s="483"/>
      <c r="S33" s="483"/>
      <c r="T33" s="5">
        <f t="shared" si="31"/>
        <v>5194</v>
      </c>
      <c r="U33" s="5">
        <f t="shared" si="3"/>
        <v>0</v>
      </c>
      <c r="V33" s="5">
        <f t="shared" si="32"/>
        <v>500</v>
      </c>
      <c r="W33" s="308">
        <f t="shared" si="13"/>
        <v>0</v>
      </c>
      <c r="X33" s="5">
        <f t="shared" si="33"/>
        <v>156017</v>
      </c>
      <c r="Y33" s="308">
        <f t="shared" si="41"/>
        <v>0</v>
      </c>
      <c r="Z33" s="5">
        <f t="shared" si="14"/>
        <v>99699</v>
      </c>
      <c r="AA33" s="83">
        <f t="shared" si="15"/>
        <v>0</v>
      </c>
      <c r="AB33" s="5">
        <f t="shared" si="16"/>
        <v>251</v>
      </c>
      <c r="AC33" s="5">
        <f t="shared" si="17"/>
        <v>855</v>
      </c>
      <c r="AD33" s="83">
        <f t="shared" si="34"/>
        <v>0</v>
      </c>
      <c r="AE33" s="5">
        <f t="shared" si="18"/>
        <v>250.96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0">
        <f t="shared" si="23"/>
        <v>0</v>
      </c>
      <c r="AK33" s="311">
        <f t="shared" si="35"/>
        <v>0</v>
      </c>
      <c r="AL33" s="311">
        <f t="shared" si="24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6">
        <f t="shared" si="47"/>
        <v>0.9</v>
      </c>
      <c r="AT33" s="201">
        <v>106</v>
      </c>
      <c r="AU33" s="407">
        <f t="shared" si="42"/>
        <v>1.1000000000000001</v>
      </c>
      <c r="AV33" s="201">
        <v>84</v>
      </c>
      <c r="AW33" s="5">
        <v>2.9</v>
      </c>
      <c r="AX33" s="201">
        <v>71</v>
      </c>
      <c r="AY33" s="408">
        <f t="shared" si="36"/>
        <v>95.4</v>
      </c>
      <c r="AZ33" s="408">
        <f t="shared" si="37"/>
        <v>92.4</v>
      </c>
      <c r="BA33" s="408">
        <f t="shared" si="38"/>
        <v>205.9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1">
        <f t="shared" ref="D34:D36" si="50">C34/27</f>
        <v>0</v>
      </c>
      <c r="E34" s="317">
        <f>SUM((C34*$E$4)+(7500/'EDl log'!$A$37))</f>
        <v>241.93548387096774</v>
      </c>
      <c r="F34" s="311"/>
      <c r="G34" s="5">
        <f t="shared" si="30"/>
        <v>630948</v>
      </c>
      <c r="H34" s="5">
        <f t="shared" ref="H34:H36" si="51">G34-G33</f>
        <v>0</v>
      </c>
      <c r="I34" s="5">
        <f t="shared" ref="I34:I36" si="52">C34+H34</f>
        <v>0</v>
      </c>
      <c r="J34" s="318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2">
        <f t="shared" si="11"/>
        <v>457.44</v>
      </c>
      <c r="N34" s="481">
        <f t="shared" ref="N34:N36" si="55">SUM(M34-M33)</f>
        <v>0</v>
      </c>
      <c r="O34" s="392">
        <f t="shared" si="12"/>
        <v>529.52</v>
      </c>
      <c r="P34" s="481">
        <f t="shared" ref="P34:P36" si="56">SUM(O34-O33)</f>
        <v>0</v>
      </c>
      <c r="Q34" s="481">
        <f t="shared" ref="Q34:Q36" si="57">SUM(P34+N34)</f>
        <v>0</v>
      </c>
      <c r="R34" s="483"/>
      <c r="S34" s="483"/>
      <c r="T34" s="5">
        <f t="shared" si="31"/>
        <v>5194</v>
      </c>
      <c r="U34" s="5">
        <f t="shared" ref="U34:U36" si="58">SUM(T34-T33)</f>
        <v>0</v>
      </c>
      <c r="V34" s="5">
        <f t="shared" si="32"/>
        <v>500</v>
      </c>
      <c r="W34" s="308">
        <f t="shared" ref="W34:W36" si="59">+V34-V33</f>
        <v>0</v>
      </c>
      <c r="X34" s="5">
        <f t="shared" si="33"/>
        <v>156017</v>
      </c>
      <c r="Y34" s="308">
        <f t="shared" ref="Y34:Y36" si="60">SUM(X34-X33)</f>
        <v>0</v>
      </c>
      <c r="Z34" s="5">
        <f t="shared" si="14"/>
        <v>99699</v>
      </c>
      <c r="AA34" s="83">
        <f t="shared" ref="AA34:AA36" si="61">Z34-Z33</f>
        <v>0</v>
      </c>
      <c r="AB34" s="5">
        <f t="shared" si="16"/>
        <v>251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250.96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0">
        <f t="shared" ref="AJ34:AJ36" si="66">+Z34-Z33</f>
        <v>0</v>
      </c>
      <c r="AK34" s="311">
        <f>SUM(Y34-L34)</f>
        <v>0</v>
      </c>
      <c r="AL34" s="311">
        <f t="shared" ref="AL34:AL36" si="67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6">
        <f t="shared" ref="AS34" si="69">AS33</f>
        <v>0.9</v>
      </c>
      <c r="AT34" s="201">
        <v>106</v>
      </c>
      <c r="AU34" s="407">
        <f t="shared" si="42"/>
        <v>1.1000000000000001</v>
      </c>
      <c r="AV34" s="201">
        <v>84</v>
      </c>
      <c r="AW34" s="5">
        <v>2.9</v>
      </c>
      <c r="AX34" s="201">
        <v>71</v>
      </c>
      <c r="AY34" s="408">
        <f t="shared" ref="AY34:AY36" si="70">AS34*AT34</f>
        <v>95.4</v>
      </c>
      <c r="AZ34" s="408">
        <f t="shared" ref="AZ34:AZ36" si="71">AU34*AV34</f>
        <v>92.4</v>
      </c>
      <c r="BA34" s="408">
        <f t="shared" ref="BA34:BA36" si="72">AW34*AX34</f>
        <v>205.9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.7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1">
        <f t="shared" si="50"/>
        <v>0</v>
      </c>
      <c r="E35" s="317">
        <f>SUM((C35*$E$4)+(7500/'EDl log'!$A$37))</f>
        <v>241.93548387096774</v>
      </c>
      <c r="F35" s="311"/>
      <c r="G35" s="5">
        <v>630998</v>
      </c>
      <c r="H35" s="5">
        <f t="shared" si="51"/>
        <v>50</v>
      </c>
      <c r="I35" s="5">
        <f t="shared" si="52"/>
        <v>50</v>
      </c>
      <c r="J35" s="318">
        <f t="shared" si="53"/>
        <v>4.838709677419355</v>
      </c>
      <c r="K35" s="5">
        <f t="shared" si="10"/>
        <v>7089</v>
      </c>
      <c r="L35" s="263">
        <f t="shared" si="54"/>
        <v>0</v>
      </c>
      <c r="M35" s="392">
        <f t="shared" si="11"/>
        <v>457.44</v>
      </c>
      <c r="N35" s="481">
        <f t="shared" si="55"/>
        <v>0</v>
      </c>
      <c r="O35" s="392">
        <f t="shared" si="12"/>
        <v>529.52</v>
      </c>
      <c r="P35" s="481">
        <f t="shared" si="56"/>
        <v>0</v>
      </c>
      <c r="Q35" s="481">
        <f t="shared" si="57"/>
        <v>0</v>
      </c>
      <c r="R35" s="483"/>
      <c r="S35" s="483"/>
      <c r="T35" s="5">
        <f t="shared" si="31"/>
        <v>5194</v>
      </c>
      <c r="U35" s="5">
        <f t="shared" si="58"/>
        <v>0</v>
      </c>
      <c r="V35" s="5">
        <f t="shared" si="32"/>
        <v>500</v>
      </c>
      <c r="W35" s="308">
        <f t="shared" si="59"/>
        <v>0</v>
      </c>
      <c r="X35" s="5">
        <f t="shared" si="33"/>
        <v>156017</v>
      </c>
      <c r="Y35" s="308">
        <f t="shared" si="60"/>
        <v>0</v>
      </c>
      <c r="Z35" s="5">
        <f t="shared" si="14"/>
        <v>99699</v>
      </c>
      <c r="AA35" s="83">
        <f t="shared" si="61"/>
        <v>0</v>
      </c>
      <c r="AB35" s="5">
        <f t="shared" si="16"/>
        <v>251</v>
      </c>
      <c r="AC35" s="5">
        <f t="shared" si="17"/>
        <v>855</v>
      </c>
      <c r="AD35" s="83">
        <f t="shared" si="62"/>
        <v>0</v>
      </c>
      <c r="AE35" s="5">
        <f t="shared" si="18"/>
        <v>250.96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0">
        <f t="shared" si="66"/>
        <v>0</v>
      </c>
      <c r="AK35" s="311">
        <f t="shared" ref="AK35:AK36" si="78">SUM(Y35-L35)</f>
        <v>0</v>
      </c>
      <c r="AL35" s="311">
        <f t="shared" si="67"/>
        <v>0</v>
      </c>
      <c r="AM35" s="311">
        <f>'General information '!D34</f>
        <v>23.5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6">
        <f t="shared" ref="AS35" si="79">AS34</f>
        <v>0.9</v>
      </c>
      <c r="AT35" s="201">
        <v>145</v>
      </c>
      <c r="AU35" s="407">
        <f t="shared" si="42"/>
        <v>1.1000000000000001</v>
      </c>
      <c r="AV35" s="201">
        <v>84</v>
      </c>
      <c r="AW35" s="5">
        <v>2.9</v>
      </c>
      <c r="AX35" s="201">
        <v>71</v>
      </c>
      <c r="AY35" s="408">
        <f t="shared" si="70"/>
        <v>130.5</v>
      </c>
      <c r="AZ35" s="408">
        <f t="shared" si="71"/>
        <v>92.4</v>
      </c>
      <c r="BA35" s="408">
        <f t="shared" si="72"/>
        <v>205.9</v>
      </c>
      <c r="BB35" s="21">
        <f t="shared" si="39"/>
        <v>35.099999999999994</v>
      </c>
      <c r="BC35" s="21">
        <f t="shared" si="73"/>
        <v>0</v>
      </c>
      <c r="BD35" s="21">
        <f t="shared" si="74"/>
        <v>0</v>
      </c>
      <c r="BE35" s="24">
        <f t="shared" si="75"/>
        <v>35.099999999999994</v>
      </c>
      <c r="BF35" s="96">
        <f t="shared" si="76"/>
        <v>14.900000000000006</v>
      </c>
      <c r="BG35" s="82">
        <f t="shared" si="77"/>
        <v>35.099999999999994</v>
      </c>
    </row>
    <row r="36" spans="1:59" ht="15.7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1">
        <f t="shared" si="50"/>
        <v>0</v>
      </c>
      <c r="E36" s="317">
        <f>SUM((C36*$E$4)+(7500/'EDl log'!$A$37))</f>
        <v>241.93548387096774</v>
      </c>
      <c r="F36" s="311"/>
      <c r="G36" s="5">
        <f t="shared" si="30"/>
        <v>630998</v>
      </c>
      <c r="H36" s="5">
        <f t="shared" si="51"/>
        <v>0</v>
      </c>
      <c r="I36" s="5">
        <f t="shared" si="52"/>
        <v>0</v>
      </c>
      <c r="J36" s="318">
        <f t="shared" si="53"/>
        <v>0</v>
      </c>
      <c r="K36" s="5">
        <f t="shared" si="10"/>
        <v>7089</v>
      </c>
      <c r="L36" s="263">
        <f t="shared" si="54"/>
        <v>0</v>
      </c>
      <c r="M36" s="392">
        <f t="shared" si="11"/>
        <v>457.44</v>
      </c>
      <c r="N36" s="481">
        <f t="shared" si="55"/>
        <v>0</v>
      </c>
      <c r="O36" s="392">
        <f t="shared" si="12"/>
        <v>529.52</v>
      </c>
      <c r="P36" s="481">
        <f t="shared" si="56"/>
        <v>0</v>
      </c>
      <c r="Q36" s="481">
        <f t="shared" si="57"/>
        <v>0</v>
      </c>
      <c r="R36" s="483"/>
      <c r="S36" s="483"/>
      <c r="T36" s="5">
        <v>5195</v>
      </c>
      <c r="U36" s="5">
        <f t="shared" si="58"/>
        <v>1</v>
      </c>
      <c r="V36" s="5">
        <v>501</v>
      </c>
      <c r="W36" s="308">
        <f t="shared" si="59"/>
        <v>1</v>
      </c>
      <c r="X36" s="5">
        <f t="shared" si="33"/>
        <v>156017</v>
      </c>
      <c r="Y36" s="308">
        <f t="shared" si="60"/>
        <v>0</v>
      </c>
      <c r="Z36" s="5">
        <f t="shared" si="14"/>
        <v>99699</v>
      </c>
      <c r="AA36" s="83">
        <f t="shared" si="61"/>
        <v>0</v>
      </c>
      <c r="AB36" s="5">
        <f t="shared" si="16"/>
        <v>251</v>
      </c>
      <c r="AC36" s="5">
        <f t="shared" si="17"/>
        <v>855</v>
      </c>
      <c r="AD36" s="83">
        <f t="shared" si="62"/>
        <v>0</v>
      </c>
      <c r="AE36" s="5">
        <f t="shared" si="18"/>
        <v>250.96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0">
        <f t="shared" si="66"/>
        <v>0</v>
      </c>
      <c r="AK36" s="311">
        <f t="shared" si="78"/>
        <v>0</v>
      </c>
      <c r="AL36" s="311">
        <f t="shared" si="67"/>
        <v>-1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6">
        <f t="shared" ref="AS36" si="80">AS35</f>
        <v>0.9</v>
      </c>
      <c r="AT36" s="201">
        <v>145</v>
      </c>
      <c r="AU36" s="407">
        <f t="shared" si="42"/>
        <v>1.1000000000000001</v>
      </c>
      <c r="AV36" s="201">
        <v>75</v>
      </c>
      <c r="AW36" s="5">
        <v>2.9</v>
      </c>
      <c r="AX36" s="201">
        <v>65</v>
      </c>
      <c r="AY36" s="408">
        <f t="shared" si="70"/>
        <v>130.5</v>
      </c>
      <c r="AZ36" s="408">
        <f t="shared" si="71"/>
        <v>82.5</v>
      </c>
      <c r="BA36" s="408">
        <f t="shared" si="72"/>
        <v>188.5</v>
      </c>
      <c r="BB36" s="21">
        <f t="shared" si="39"/>
        <v>0</v>
      </c>
      <c r="BC36" s="21">
        <f t="shared" si="73"/>
        <v>-9.9000000000000057</v>
      </c>
      <c r="BD36" s="21">
        <f t="shared" si="74"/>
        <v>-17.400000000000006</v>
      </c>
      <c r="BE36" s="24">
        <f t="shared" si="75"/>
        <v>-27.300000000000011</v>
      </c>
      <c r="BF36" s="96">
        <f t="shared" si="76"/>
        <v>27.300000000000011</v>
      </c>
      <c r="BG36" s="82">
        <f t="shared" si="77"/>
        <v>-27.300000000000011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430</v>
      </c>
      <c r="I37" s="394">
        <f>SUM(I6:I36)</f>
        <v>430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4</v>
      </c>
      <c r="X37" s="307"/>
      <c r="Y37" s="306">
        <f>SUM(Y6,Y33,Y31,Y29,Y27,Y25,Y23,Y21,Y19,Y17,Y15,Y13,Y11,Y9,Y7,Y34,Y35,Y36)</f>
        <v>57</v>
      </c>
      <c r="AJ37" s="306">
        <f>SUM(AJ6:AJ36)</f>
        <v>31</v>
      </c>
      <c r="AK37" s="311">
        <f>SUM(Y37-L37)</f>
        <v>57</v>
      </c>
      <c r="AL37" s="306">
        <f>SUM(AL6:AL36)</f>
        <v>29</v>
      </c>
      <c r="AP37" s="17"/>
      <c r="AQ37" s="17"/>
      <c r="AR37" s="17"/>
      <c r="AS37" s="561"/>
      <c r="AT37" s="201"/>
      <c r="AU37" s="561"/>
      <c r="AV37" s="563"/>
      <c r="AW37" s="562"/>
      <c r="AX37" s="562"/>
      <c r="AY37" s="562"/>
      <c r="AZ37" s="563"/>
      <c r="BA37" s="563"/>
      <c r="BB37" s="563"/>
      <c r="BC37" s="563"/>
      <c r="BD37" s="563"/>
      <c r="BE37" s="564"/>
    </row>
    <row r="38" spans="1:59">
      <c r="C38" s="1">
        <f>+C37*1.66</f>
        <v>0</v>
      </c>
      <c r="E38" s="316">
        <f>SUM(E6:E33)</f>
        <v>6774.1935483870975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430</v>
      </c>
      <c r="Z38" s="306">
        <f>SUM(Y37:AJ37)</f>
        <v>88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430</v>
      </c>
      <c r="H39" s="1">
        <f>SUM(H38+C38)</f>
        <v>7500</v>
      </c>
      <c r="K39" s="1">
        <f>SUM(H39/G39)</f>
        <v>17.441860465116278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tabSelected="1" zoomScale="60" zoomScaleNormal="60" workbookViewId="0">
      <pane ySplit="1" topLeftCell="A2" activePane="bottomLeft" state="frozen"/>
      <selection pane="bottomLeft" activeCell="AI33" sqref="AI33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.75" thickBot="1">
      <c r="A3" s="4">
        <f>ELEC!C4</f>
        <v>44835</v>
      </c>
      <c r="B3" s="260">
        <f>[2]GEN!$B$32</f>
        <v>1058</v>
      </c>
      <c r="C3" s="275">
        <f>B3-B2</f>
        <v>0</v>
      </c>
      <c r="D3" s="500">
        <f>D2+C3*250</f>
        <v>765376</v>
      </c>
      <c r="E3" s="275">
        <f>SUM(D3-D2)</f>
        <v>0</v>
      </c>
      <c r="F3" s="275">
        <f t="shared" ref="F3:F30" si="0">IF(C3&gt;0,E3/C3,0)</f>
        <v>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133</v>
      </c>
      <c r="K3" s="275">
        <f t="shared" ref="K3:K33" si="2">J3-J2</f>
        <v>0</v>
      </c>
      <c r="L3" s="500">
        <f>L2</f>
        <v>390191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14593</v>
      </c>
      <c r="Y3" s="275" t="str">
        <f>IF(R3-X3&lt;=0,"ok","oil change")</f>
        <v>ok</v>
      </c>
      <c r="Z3" s="275">
        <f t="shared" ref="Z3:Z30" si="8">C3+K3+S3</f>
        <v>0</v>
      </c>
      <c r="AA3" s="275">
        <f>U3+M3+E3</f>
        <v>0</v>
      </c>
      <c r="AB3" s="275">
        <f>V3+N3+F3</f>
        <v>500</v>
      </c>
      <c r="AC3" s="275">
        <f>IF(Z3&gt;0,AA3/Z3,0)</f>
        <v>0</v>
      </c>
      <c r="AD3" s="73">
        <f>ELEC!Q4</f>
        <v>0</v>
      </c>
      <c r="AE3" s="73" t="e">
        <f>SUM(AD3/Z3)</f>
        <v>#DIV/0!</v>
      </c>
      <c r="AF3" s="386" t="e">
        <f>SUM(AE3/1600)</f>
        <v>#DIV/0!</v>
      </c>
      <c r="AG3" s="387" t="e">
        <f>SUM(360*AF3)</f>
        <v>#DIV/0!</v>
      </c>
      <c r="AH3" s="387" t="e">
        <f>SUM(AC3-AG3)</f>
        <v>#DIV/0!</v>
      </c>
      <c r="AI3" s="73">
        <f>AD3*AJ3</f>
        <v>0</v>
      </c>
      <c r="AJ3" s="277">
        <f t="shared" ref="AJ3:AJ33" si="9">305/1185</f>
        <v>0.25738396624472576</v>
      </c>
      <c r="AK3" s="277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44836</v>
      </c>
      <c r="B4" s="499">
        <v>1068</v>
      </c>
      <c r="C4" s="275">
        <f t="shared" ref="C4:C30" si="11">B4-B3</f>
        <v>10</v>
      </c>
      <c r="D4" s="500">
        <f>D3+C4*85</f>
        <v>766226</v>
      </c>
      <c r="E4" s="275">
        <f t="shared" ref="E4:E33" si="12">SUM(D4-D3)</f>
        <v>850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v>134</v>
      </c>
      <c r="K4" s="275">
        <f t="shared" si="2"/>
        <v>1</v>
      </c>
      <c r="L4" s="500">
        <f t="shared" ref="L4:L5" si="14">L3</f>
        <v>390191</v>
      </c>
      <c r="M4" s="275">
        <f t="shared" si="3"/>
        <v>0</v>
      </c>
      <c r="N4" s="275">
        <v>250</v>
      </c>
      <c r="O4" s="196"/>
      <c r="P4" s="276">
        <f t="shared" ref="P4:P33" si="15">P3</f>
        <v>10873</v>
      </c>
      <c r="Q4" s="275" t="str">
        <f t="shared" si="4"/>
        <v>ok</v>
      </c>
      <c r="R4" s="499">
        <f t="shared" ref="R4:R33" si="16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7">X3</f>
        <v>14593</v>
      </c>
      <c r="Y4" s="275" t="str">
        <f t="shared" ref="Y4:Y33" si="18">IF(R4-X4&lt;=0,"ok","oil change")</f>
        <v>ok</v>
      </c>
      <c r="Z4" s="275">
        <f t="shared" si="8"/>
        <v>11</v>
      </c>
      <c r="AA4" s="275">
        <f t="shared" ref="AA4:AA30" si="19">U4+M4+E4</f>
        <v>850</v>
      </c>
      <c r="AB4" s="275">
        <f t="shared" ref="AB4:AB30" si="20">V4+N4+F4</f>
        <v>585</v>
      </c>
      <c r="AC4" s="275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6">
        <f>SUM(AE4/1600)</f>
        <v>0.14687499999995038</v>
      </c>
      <c r="AG4" s="387">
        <f>SUM(360*AF4)</f>
        <v>52.874999999982137</v>
      </c>
      <c r="AH4" s="387">
        <f t="shared" ref="AH4:AH30" si="22">SUM(AC4-AG4)</f>
        <v>24.397727272745129</v>
      </c>
      <c r="AI4" s="73">
        <f>AD4*AJ4</f>
        <v>665.33755274239138</v>
      </c>
      <c r="AJ4" s="277">
        <f t="shared" si="9"/>
        <v>0.25738396624472576</v>
      </c>
      <c r="AK4" s="277">
        <f t="shared" si="10"/>
        <v>60.485232067490124</v>
      </c>
      <c r="AL4">
        <f t="shared" ref="AL4:AL30" si="23">IF(Z4=0,0,1)</f>
        <v>1</v>
      </c>
    </row>
    <row r="5" spans="1:38" ht="15.75" thickBot="1">
      <c r="A5" s="4">
        <f>ELEC!C6</f>
        <v>44837</v>
      </c>
      <c r="B5" s="499">
        <v>1079</v>
      </c>
      <c r="C5" s="275">
        <f t="shared" si="11"/>
        <v>11</v>
      </c>
      <c r="D5" s="500">
        <f t="shared" ref="D5:D33" si="24">D4+C5*85</f>
        <v>767161</v>
      </c>
      <c r="E5" s="275">
        <f t="shared" si="12"/>
        <v>935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ref="J5" si="25">J4</f>
        <v>134</v>
      </c>
      <c r="K5" s="275">
        <f t="shared" si="2"/>
        <v>0</v>
      </c>
      <c r="L5" s="500">
        <f t="shared" si="14"/>
        <v>390191</v>
      </c>
      <c r="M5" s="275">
        <f>SUM(L5-L4)</f>
        <v>0</v>
      </c>
      <c r="N5" s="275">
        <v>250</v>
      </c>
      <c r="O5" s="196"/>
      <c r="P5" s="276">
        <f t="shared" si="15"/>
        <v>10873</v>
      </c>
      <c r="Q5" s="275" t="str">
        <f t="shared" si="4"/>
        <v>ok</v>
      </c>
      <c r="R5" s="499">
        <f t="shared" si="16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7"/>
        <v>14593</v>
      </c>
      <c r="Y5" s="275" t="str">
        <f t="shared" si="18"/>
        <v>ok</v>
      </c>
      <c r="Z5" s="275">
        <f t="shared" si="8"/>
        <v>11</v>
      </c>
      <c r="AA5" s="275">
        <f t="shared" si="19"/>
        <v>935</v>
      </c>
      <c r="AB5" s="275">
        <f t="shared" si="20"/>
        <v>585</v>
      </c>
      <c r="AC5" s="275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6">
        <f t="shared" ref="AF5:AG30" si="27">SUM(AE5/1600)</f>
        <v>0.15954545454550581</v>
      </c>
      <c r="AG5" s="387">
        <f>SUM(320*AF5)</f>
        <v>51.054545454561861</v>
      </c>
      <c r="AH5" s="387">
        <f t="shared" si="22"/>
        <v>33.945454545438139</v>
      </c>
      <c r="AI5" s="73">
        <f t="shared" ref="AI5:AI30" si="28">AD5*AJ5</f>
        <v>722.73417721542216</v>
      </c>
      <c r="AJ5" s="277">
        <f t="shared" si="9"/>
        <v>0.25738396624472576</v>
      </c>
      <c r="AK5" s="277">
        <f t="shared" si="10"/>
        <v>65.70310701958384</v>
      </c>
      <c r="AL5">
        <f t="shared" si="23"/>
        <v>1</v>
      </c>
    </row>
    <row r="6" spans="1:38" ht="15.75" thickBot="1">
      <c r="A6" s="4">
        <f>ELEC!C7</f>
        <v>44838</v>
      </c>
      <c r="B6" s="499">
        <v>1088</v>
      </c>
      <c r="C6" s="275">
        <f>B6-B5</f>
        <v>9</v>
      </c>
      <c r="D6" s="500">
        <f t="shared" si="24"/>
        <v>767926</v>
      </c>
      <c r="E6" s="275">
        <f t="shared" si="12"/>
        <v>765</v>
      </c>
      <c r="F6" s="275">
        <f t="shared" si="0"/>
        <v>85</v>
      </c>
      <c r="G6" s="196"/>
      <c r="H6" s="260">
        <f t="shared" si="13"/>
        <v>12231</v>
      </c>
      <c r="I6" s="275" t="str">
        <f t="shared" si="1"/>
        <v>ok</v>
      </c>
      <c r="J6" s="499">
        <f>J5</f>
        <v>134</v>
      </c>
      <c r="K6" s="275">
        <f t="shared" si="2"/>
        <v>0</v>
      </c>
      <c r="L6" s="500">
        <f>(K6*N5)+L5</f>
        <v>390191</v>
      </c>
      <c r="M6" s="275">
        <f t="shared" si="3"/>
        <v>0</v>
      </c>
      <c r="N6" s="275">
        <v>250</v>
      </c>
      <c r="O6" s="293"/>
      <c r="P6" s="276">
        <f t="shared" si="15"/>
        <v>10873</v>
      </c>
      <c r="Q6" s="275" t="str">
        <f t="shared" si="4"/>
        <v>ok</v>
      </c>
      <c r="R6" s="499">
        <f t="shared" si="16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>X5+180</f>
        <v>14773</v>
      </c>
      <c r="Y6" s="275" t="str">
        <f t="shared" si="18"/>
        <v>ok</v>
      </c>
      <c r="Z6" s="275">
        <f t="shared" si="8"/>
        <v>9</v>
      </c>
      <c r="AA6" s="275">
        <f t="shared" si="19"/>
        <v>765</v>
      </c>
      <c r="AB6" s="275">
        <f t="shared" si="20"/>
        <v>585</v>
      </c>
      <c r="AC6" s="275">
        <f t="shared" si="21"/>
        <v>85</v>
      </c>
      <c r="AD6" s="73">
        <f>ELEC!Q7</f>
        <v>2759.0000000018335</v>
      </c>
      <c r="AE6" s="73">
        <f>SUM(AD6/Z6)</f>
        <v>306.55555555575927</v>
      </c>
      <c r="AF6" s="386">
        <f t="shared" si="27"/>
        <v>0.19159722222234954</v>
      </c>
      <c r="AG6" s="387">
        <f>SUM(320*AF6)</f>
        <v>61.311111111151853</v>
      </c>
      <c r="AH6" s="387">
        <f t="shared" si="22"/>
        <v>23.688888888848147</v>
      </c>
      <c r="AI6" s="73">
        <f t="shared" si="28"/>
        <v>710.12236286967027</v>
      </c>
      <c r="AJ6" s="277">
        <f t="shared" si="9"/>
        <v>0.25738396624472576</v>
      </c>
      <c r="AK6" s="277">
        <f t="shared" si="10"/>
        <v>78.902484763296698</v>
      </c>
      <c r="AL6">
        <f t="shared" si="23"/>
        <v>1</v>
      </c>
    </row>
    <row r="7" spans="1:38" ht="15.75" thickBot="1">
      <c r="A7" s="4">
        <f>ELEC!C8</f>
        <v>44839</v>
      </c>
      <c r="B7" s="499">
        <v>1099</v>
      </c>
      <c r="C7" s="275">
        <f t="shared" si="11"/>
        <v>11</v>
      </c>
      <c r="D7" s="500">
        <f t="shared" si="24"/>
        <v>768861</v>
      </c>
      <c r="E7" s="275">
        <f t="shared" si="12"/>
        <v>935</v>
      </c>
      <c r="F7" s="275">
        <f t="shared" si="0"/>
        <v>85</v>
      </c>
      <c r="G7" s="196"/>
      <c r="H7" s="260">
        <f t="shared" si="13"/>
        <v>12231</v>
      </c>
      <c r="I7" s="275" t="str">
        <f t="shared" si="1"/>
        <v>ok</v>
      </c>
      <c r="J7" s="499">
        <v>135</v>
      </c>
      <c r="K7" s="275"/>
      <c r="L7" s="500">
        <f t="shared" ref="L7:L33" si="29">(K7*N6)+L6</f>
        <v>390191</v>
      </c>
      <c r="M7" s="275">
        <f t="shared" si="3"/>
        <v>0</v>
      </c>
      <c r="N7" s="275">
        <v>250</v>
      </c>
      <c r="O7" s="293"/>
      <c r="P7" s="276">
        <f t="shared" si="15"/>
        <v>10873</v>
      </c>
      <c r="Q7" s="275" t="str">
        <f>IF(J7-P7&lt;=0,"ok","oil change")</f>
        <v>ok</v>
      </c>
      <c r="R7" s="499">
        <f t="shared" si="16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7"/>
        <v>14773</v>
      </c>
      <c r="Y7" s="275" t="str">
        <f>IF(R7-X7&lt;=0,"ok","oil change")</f>
        <v>ok</v>
      </c>
      <c r="Z7" s="275">
        <f t="shared" si="8"/>
        <v>11</v>
      </c>
      <c r="AA7" s="275">
        <f>U7+M7+E7</f>
        <v>935</v>
      </c>
      <c r="AB7" s="275">
        <f t="shared" si="20"/>
        <v>585</v>
      </c>
      <c r="AC7" s="275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6">
        <f t="shared" si="27"/>
        <v>0.1999999999998181</v>
      </c>
      <c r="AG7" s="386">
        <f t="shared" si="27"/>
        <v>1.2499999999988632E-4</v>
      </c>
      <c r="AH7" s="387">
        <f t="shared" si="22"/>
        <v>84.999875000000003</v>
      </c>
      <c r="AI7" s="73">
        <f t="shared" si="28"/>
        <v>905.99156118061069</v>
      </c>
      <c r="AJ7" s="277">
        <f t="shared" si="9"/>
        <v>0.25738396624472576</v>
      </c>
      <c r="AK7" s="277">
        <f t="shared" si="10"/>
        <v>82.362869198237334</v>
      </c>
      <c r="AL7">
        <f t="shared" si="23"/>
        <v>1</v>
      </c>
    </row>
    <row r="8" spans="1:38" ht="15.75" thickBot="1">
      <c r="A8" s="4">
        <f>ELEC!C9</f>
        <v>44840</v>
      </c>
      <c r="B8" s="499">
        <v>1109</v>
      </c>
      <c r="C8" s="275">
        <f t="shared" si="11"/>
        <v>10</v>
      </c>
      <c r="D8" s="500">
        <f t="shared" si="24"/>
        <v>769711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ref="J8:J33" si="30">J7</f>
        <v>135</v>
      </c>
      <c r="K8" s="275">
        <f t="shared" si="2"/>
        <v>0</v>
      </c>
      <c r="L8" s="500">
        <f t="shared" si="29"/>
        <v>390191</v>
      </c>
      <c r="M8" s="275">
        <f t="shared" si="3"/>
        <v>0</v>
      </c>
      <c r="N8" s="275">
        <v>250</v>
      </c>
      <c r="O8" s="196"/>
      <c r="P8" s="276">
        <f t="shared" si="15"/>
        <v>10873</v>
      </c>
      <c r="Q8" s="275" t="str">
        <f t="shared" si="4"/>
        <v>ok</v>
      </c>
      <c r="R8" s="499">
        <f t="shared" si="16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>X7</f>
        <v>14773</v>
      </c>
      <c r="Y8" s="275" t="str">
        <f t="shared" si="18"/>
        <v>ok</v>
      </c>
      <c r="Z8" s="275">
        <f t="shared" si="8"/>
        <v>10</v>
      </c>
      <c r="AA8" s="275">
        <f t="shared" si="19"/>
        <v>850</v>
      </c>
      <c r="AB8" s="275">
        <f t="shared" si="20"/>
        <v>585</v>
      </c>
      <c r="AC8" s="275">
        <f t="shared" si="21"/>
        <v>85</v>
      </c>
      <c r="AD8" s="73">
        <f>ELEC!Q9</f>
        <v>2596.0000000013679</v>
      </c>
      <c r="AE8" s="73">
        <f>SUM(AD8/Z8)</f>
        <v>259.60000000013679</v>
      </c>
      <c r="AF8" s="386">
        <f t="shared" si="27"/>
        <v>0.16225000000008549</v>
      </c>
      <c r="AG8" s="386">
        <f t="shared" si="27"/>
        <v>1.0140625000005344E-4</v>
      </c>
      <c r="AH8" s="387">
        <f t="shared" si="22"/>
        <v>84.999898593750004</v>
      </c>
      <c r="AI8" s="73">
        <f t="shared" si="28"/>
        <v>668.1687763716601</v>
      </c>
      <c r="AJ8" s="277">
        <f t="shared" si="9"/>
        <v>0.25738396624472576</v>
      </c>
      <c r="AK8" s="277">
        <f t="shared" si="10"/>
        <v>66.816877637166016</v>
      </c>
      <c r="AL8">
        <f t="shared" si="23"/>
        <v>1</v>
      </c>
    </row>
    <row r="9" spans="1:38" ht="15.75" thickBot="1">
      <c r="A9" s="4">
        <f>ELEC!C10</f>
        <v>44841</v>
      </c>
      <c r="B9" s="499">
        <f t="shared" ref="B9:B33" si="31">B8</f>
        <v>1109</v>
      </c>
      <c r="C9" s="275">
        <f t="shared" si="11"/>
        <v>0</v>
      </c>
      <c r="D9" s="500">
        <f t="shared" si="24"/>
        <v>769711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30"/>
        <v>135</v>
      </c>
      <c r="K9" s="275">
        <f t="shared" si="2"/>
        <v>0</v>
      </c>
      <c r="L9" s="500">
        <f t="shared" si="29"/>
        <v>390191</v>
      </c>
      <c r="M9" s="275">
        <f t="shared" si="3"/>
        <v>0</v>
      </c>
      <c r="N9" s="275">
        <v>250</v>
      </c>
      <c r="O9" s="196"/>
      <c r="P9" s="276">
        <f t="shared" si="15"/>
        <v>10873</v>
      </c>
      <c r="Q9" s="275" t="str">
        <f t="shared" si="4"/>
        <v>ok</v>
      </c>
      <c r="R9" s="499">
        <f t="shared" si="16"/>
        <v>13912</v>
      </c>
      <c r="S9" s="275">
        <f t="shared" si="5"/>
        <v>0</v>
      </c>
      <c r="T9" s="500">
        <f t="shared" ref="T9:T33" si="32">T8+U9</f>
        <v>417512</v>
      </c>
      <c r="U9" s="275">
        <f t="shared" ref="U9:U30" si="33">V9*S9</f>
        <v>0</v>
      </c>
      <c r="V9" s="275">
        <v>250</v>
      </c>
      <c r="W9" s="196"/>
      <c r="X9" s="260">
        <f t="shared" si="17"/>
        <v>14773</v>
      </c>
      <c r="Y9" s="275" t="str">
        <f t="shared" si="18"/>
        <v>ok</v>
      </c>
      <c r="Z9" s="275">
        <f t="shared" si="8"/>
        <v>0</v>
      </c>
      <c r="AA9" s="275">
        <f t="shared" si="19"/>
        <v>0</v>
      </c>
      <c r="AB9" s="275">
        <f t="shared" si="20"/>
        <v>500</v>
      </c>
      <c r="AC9" s="275">
        <f t="shared" si="21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2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3"/>
        <v>0</v>
      </c>
    </row>
    <row r="10" spans="1:38" ht="15.75" thickBot="1">
      <c r="A10" s="4">
        <f>ELEC!C11</f>
        <v>44842</v>
      </c>
      <c r="B10" s="499">
        <f t="shared" si="31"/>
        <v>1109</v>
      </c>
      <c r="C10" s="275">
        <f t="shared" si="11"/>
        <v>0</v>
      </c>
      <c r="D10" s="500">
        <f t="shared" si="24"/>
        <v>769711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30"/>
        <v>135</v>
      </c>
      <c r="K10" s="275">
        <f t="shared" si="2"/>
        <v>0</v>
      </c>
      <c r="L10" s="500">
        <f t="shared" si="29"/>
        <v>390191</v>
      </c>
      <c r="M10" s="275">
        <f t="shared" si="3"/>
        <v>0</v>
      </c>
      <c r="N10" s="275">
        <v>250</v>
      </c>
      <c r="O10" s="196"/>
      <c r="P10" s="276">
        <f t="shared" si="15"/>
        <v>10873</v>
      </c>
      <c r="Q10" s="275" t="str">
        <f t="shared" si="4"/>
        <v>ok</v>
      </c>
      <c r="R10" s="499">
        <f t="shared" si="16"/>
        <v>13912</v>
      </c>
      <c r="S10" s="275">
        <f t="shared" si="5"/>
        <v>0</v>
      </c>
      <c r="T10" s="500">
        <f t="shared" si="32"/>
        <v>417512</v>
      </c>
      <c r="U10" s="275">
        <f t="shared" si="33"/>
        <v>0</v>
      </c>
      <c r="V10" s="275">
        <v>250</v>
      </c>
      <c r="W10" s="322"/>
      <c r="X10" s="260">
        <f t="shared" si="17"/>
        <v>14773</v>
      </c>
      <c r="Y10" s="275" t="str">
        <f t="shared" si="18"/>
        <v>ok</v>
      </c>
      <c r="Z10" s="275">
        <f t="shared" si="8"/>
        <v>0</v>
      </c>
      <c r="AA10" s="275">
        <f t="shared" si="19"/>
        <v>0</v>
      </c>
      <c r="AB10" s="275">
        <f t="shared" si="20"/>
        <v>500</v>
      </c>
      <c r="AC10" s="275">
        <f t="shared" si="21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2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3"/>
        <v>0</v>
      </c>
    </row>
    <row r="11" spans="1:38" ht="15.75" thickBot="1">
      <c r="A11" s="4">
        <f>ELEC!C12</f>
        <v>44843</v>
      </c>
      <c r="B11" s="499">
        <f t="shared" si="31"/>
        <v>1109</v>
      </c>
      <c r="C11" s="275">
        <f t="shared" si="11"/>
        <v>0</v>
      </c>
      <c r="D11" s="500">
        <f t="shared" si="24"/>
        <v>769711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30"/>
        <v>135</v>
      </c>
      <c r="K11" s="275">
        <f t="shared" si="2"/>
        <v>0</v>
      </c>
      <c r="L11" s="500">
        <f t="shared" si="29"/>
        <v>390191</v>
      </c>
      <c r="M11" s="275">
        <f t="shared" si="3"/>
        <v>0</v>
      </c>
      <c r="N11" s="275">
        <v>250</v>
      </c>
      <c r="O11" s="196"/>
      <c r="P11" s="276">
        <f t="shared" si="15"/>
        <v>10873</v>
      </c>
      <c r="Q11" s="275" t="str">
        <f t="shared" si="4"/>
        <v>ok</v>
      </c>
      <c r="R11" s="499">
        <f t="shared" si="16"/>
        <v>13912</v>
      </c>
      <c r="S11" s="275">
        <f t="shared" si="5"/>
        <v>0</v>
      </c>
      <c r="T11" s="500">
        <f t="shared" si="32"/>
        <v>417512</v>
      </c>
      <c r="U11" s="275">
        <f t="shared" si="33"/>
        <v>0</v>
      </c>
      <c r="V11" s="275">
        <v>250</v>
      </c>
      <c r="W11" s="322"/>
      <c r="X11" s="260">
        <f t="shared" si="17"/>
        <v>14773</v>
      </c>
      <c r="Y11" s="275" t="str">
        <f t="shared" si="18"/>
        <v>ok</v>
      </c>
      <c r="Z11" s="275">
        <f t="shared" si="8"/>
        <v>0</v>
      </c>
      <c r="AA11" s="275">
        <f t="shared" si="19"/>
        <v>0</v>
      </c>
      <c r="AB11" s="275">
        <f t="shared" si="20"/>
        <v>500</v>
      </c>
      <c r="AC11" s="275">
        <f t="shared" si="21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2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3"/>
        <v>0</v>
      </c>
    </row>
    <row r="12" spans="1:38" ht="15.75" thickBot="1">
      <c r="A12" s="4">
        <f>ELEC!C13</f>
        <v>44844</v>
      </c>
      <c r="B12" s="499">
        <v>1121</v>
      </c>
      <c r="C12" s="275">
        <f t="shared" si="11"/>
        <v>12</v>
      </c>
      <c r="D12" s="500">
        <f t="shared" si="24"/>
        <v>770731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9">
        <f t="shared" si="30"/>
        <v>135</v>
      </c>
      <c r="K12" s="275">
        <f t="shared" si="2"/>
        <v>0</v>
      </c>
      <c r="L12" s="500">
        <f t="shared" si="29"/>
        <v>390191</v>
      </c>
      <c r="M12" s="275">
        <f t="shared" si="3"/>
        <v>0</v>
      </c>
      <c r="N12" s="275">
        <v>250</v>
      </c>
      <c r="O12" s="196"/>
      <c r="P12" s="276">
        <f t="shared" si="15"/>
        <v>10873</v>
      </c>
      <c r="Q12" s="275" t="str">
        <f t="shared" si="4"/>
        <v>ok</v>
      </c>
      <c r="R12" s="499">
        <f t="shared" si="16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7"/>
        <v>14773</v>
      </c>
      <c r="Y12" s="275" t="str">
        <f t="shared" si="18"/>
        <v>ok</v>
      </c>
      <c r="Z12" s="275">
        <f t="shared" si="8"/>
        <v>12</v>
      </c>
      <c r="AA12" s="275">
        <f t="shared" si="19"/>
        <v>1020</v>
      </c>
      <c r="AB12" s="275">
        <f t="shared" si="20"/>
        <v>585</v>
      </c>
      <c r="AC12" s="275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6">
        <f t="shared" si="27"/>
        <v>0.15338541666665151</v>
      </c>
      <c r="AG12" s="386">
        <f t="shared" si="27"/>
        <v>9.5865885416657193E-5</v>
      </c>
      <c r="AH12" s="387">
        <f t="shared" si="22"/>
        <v>84.999904134114587</v>
      </c>
      <c r="AI12" s="73">
        <f t="shared" si="28"/>
        <v>757.99578059064243</v>
      </c>
      <c r="AJ12" s="277">
        <f t="shared" si="9"/>
        <v>0.25738396624472576</v>
      </c>
      <c r="AK12" s="277">
        <f t="shared" si="10"/>
        <v>63.166315049220202</v>
      </c>
      <c r="AL12">
        <f t="shared" si="23"/>
        <v>1</v>
      </c>
    </row>
    <row r="13" spans="1:38" ht="15.75" thickBot="1">
      <c r="A13" s="4">
        <f>ELEC!C14</f>
        <v>44845</v>
      </c>
      <c r="B13" s="499">
        <v>1131</v>
      </c>
      <c r="C13" s="275">
        <f t="shared" si="11"/>
        <v>10</v>
      </c>
      <c r="D13" s="500">
        <f t="shared" si="24"/>
        <v>771581</v>
      </c>
      <c r="E13" s="275">
        <f t="shared" si="12"/>
        <v>850</v>
      </c>
      <c r="F13" s="275">
        <f t="shared" si="0"/>
        <v>85</v>
      </c>
      <c r="G13" s="196"/>
      <c r="H13" s="260">
        <f t="shared" si="13"/>
        <v>12231</v>
      </c>
      <c r="I13" s="275" t="str">
        <f t="shared" si="1"/>
        <v>ok</v>
      </c>
      <c r="J13" s="499">
        <f t="shared" si="30"/>
        <v>135</v>
      </c>
      <c r="K13" s="275">
        <f t="shared" si="2"/>
        <v>0</v>
      </c>
      <c r="L13" s="500">
        <f t="shared" si="29"/>
        <v>390191</v>
      </c>
      <c r="M13" s="275">
        <f t="shared" si="3"/>
        <v>0</v>
      </c>
      <c r="N13" s="275">
        <v>250</v>
      </c>
      <c r="O13" s="196"/>
      <c r="P13" s="276">
        <f t="shared" si="15"/>
        <v>10873</v>
      </c>
      <c r="Q13" s="275" t="str">
        <f t="shared" si="4"/>
        <v>ok</v>
      </c>
      <c r="R13" s="499">
        <f t="shared" si="16"/>
        <v>13912</v>
      </c>
      <c r="S13" s="275">
        <f t="shared" si="5"/>
        <v>0</v>
      </c>
      <c r="T13" s="500">
        <f t="shared" si="32"/>
        <v>417512</v>
      </c>
      <c r="U13" s="275">
        <f t="shared" si="33"/>
        <v>0</v>
      </c>
      <c r="V13" s="275">
        <v>250</v>
      </c>
      <c r="W13" s="322"/>
      <c r="X13" s="260">
        <f t="shared" si="17"/>
        <v>14773</v>
      </c>
      <c r="Y13" s="275" t="str">
        <f t="shared" si="18"/>
        <v>ok</v>
      </c>
      <c r="Z13" s="275">
        <f t="shared" si="8"/>
        <v>10</v>
      </c>
      <c r="AA13" s="275">
        <f t="shared" si="19"/>
        <v>850</v>
      </c>
      <c r="AB13" s="275">
        <f t="shared" si="20"/>
        <v>585</v>
      </c>
      <c r="AC13" s="275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6">
        <f t="shared" si="27"/>
        <v>0.14381249999996726</v>
      </c>
      <c r="AG13" s="386">
        <f t="shared" si="27"/>
        <v>8.9882812499979533E-5</v>
      </c>
      <c r="AH13" s="387">
        <f t="shared" si="22"/>
        <v>84.999910117187497</v>
      </c>
      <c r="AI13" s="73">
        <f t="shared" si="28"/>
        <v>592.24050632897911</v>
      </c>
      <c r="AJ13" s="277">
        <f t="shared" si="9"/>
        <v>0.25738396624472576</v>
      </c>
      <c r="AK13" s="277">
        <f t="shared" si="10"/>
        <v>59.224050632897914</v>
      </c>
      <c r="AL13">
        <f t="shared" si="23"/>
        <v>1</v>
      </c>
    </row>
    <row r="14" spans="1:38" ht="15.75" thickBot="1">
      <c r="A14" s="4">
        <f>ELEC!C15</f>
        <v>44846</v>
      </c>
      <c r="B14" s="499">
        <v>1145</v>
      </c>
      <c r="C14" s="275">
        <f t="shared" si="11"/>
        <v>14</v>
      </c>
      <c r="D14" s="500">
        <f t="shared" si="24"/>
        <v>772771</v>
      </c>
      <c r="E14" s="275">
        <f t="shared" si="12"/>
        <v>1190</v>
      </c>
      <c r="F14" s="275">
        <f t="shared" si="0"/>
        <v>85</v>
      </c>
      <c r="G14" s="196"/>
      <c r="H14" s="260">
        <f t="shared" si="13"/>
        <v>12231</v>
      </c>
      <c r="I14" s="275" t="str">
        <f t="shared" si="1"/>
        <v>ok</v>
      </c>
      <c r="J14" s="499">
        <f t="shared" si="30"/>
        <v>135</v>
      </c>
      <c r="K14" s="275">
        <f t="shared" si="2"/>
        <v>0</v>
      </c>
      <c r="L14" s="500">
        <f t="shared" si="29"/>
        <v>390191</v>
      </c>
      <c r="M14" s="275">
        <f t="shared" si="3"/>
        <v>0</v>
      </c>
      <c r="N14" s="275">
        <v>250</v>
      </c>
      <c r="O14" s="196"/>
      <c r="P14" s="276">
        <f t="shared" si="15"/>
        <v>10873</v>
      </c>
      <c r="Q14" s="275" t="str">
        <f t="shared" si="4"/>
        <v>ok</v>
      </c>
      <c r="R14" s="499">
        <f t="shared" si="16"/>
        <v>13912</v>
      </c>
      <c r="S14" s="275">
        <f t="shared" si="5"/>
        <v>0</v>
      </c>
      <c r="T14" s="500">
        <f t="shared" si="32"/>
        <v>417512</v>
      </c>
      <c r="U14" s="275">
        <f t="shared" si="33"/>
        <v>0</v>
      </c>
      <c r="V14" s="275">
        <v>250</v>
      </c>
      <c r="W14" s="322"/>
      <c r="X14" s="260">
        <f t="shared" si="17"/>
        <v>14773</v>
      </c>
      <c r="Y14" s="275" t="str">
        <f t="shared" si="18"/>
        <v>ok</v>
      </c>
      <c r="Z14" s="275">
        <f t="shared" si="8"/>
        <v>14</v>
      </c>
      <c r="AA14" s="275">
        <f t="shared" si="19"/>
        <v>1190</v>
      </c>
      <c r="AB14" s="275">
        <f t="shared" si="20"/>
        <v>585</v>
      </c>
      <c r="AC14" s="275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6">
        <f t="shared" si="27"/>
        <v>0.15040178571439355</v>
      </c>
      <c r="AG14" s="386">
        <f t="shared" si="27"/>
        <v>9.4001116071495971E-5</v>
      </c>
      <c r="AH14" s="387">
        <f t="shared" si="22"/>
        <v>84.999905998883932</v>
      </c>
      <c r="AI14" s="73">
        <f t="shared" si="28"/>
        <v>867.12658227910288</v>
      </c>
      <c r="AJ14" s="277">
        <f t="shared" si="9"/>
        <v>0.25738396624472576</v>
      </c>
      <c r="AK14" s="277">
        <f t="shared" si="10"/>
        <v>61.937613019935917</v>
      </c>
      <c r="AL14">
        <f t="shared" si="23"/>
        <v>1</v>
      </c>
    </row>
    <row r="15" spans="1:38" ht="15.75" thickBot="1">
      <c r="A15" s="4">
        <f>ELEC!C16</f>
        <v>44847</v>
      </c>
      <c r="B15" s="499">
        <f t="shared" si="31"/>
        <v>1145</v>
      </c>
      <c r="C15" s="275">
        <f t="shared" si="11"/>
        <v>0</v>
      </c>
      <c r="D15" s="500">
        <f t="shared" si="24"/>
        <v>772771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30"/>
        <v>135</v>
      </c>
      <c r="K15" s="275">
        <f t="shared" si="2"/>
        <v>0</v>
      </c>
      <c r="L15" s="500">
        <f t="shared" si="29"/>
        <v>390191</v>
      </c>
      <c r="M15" s="275">
        <f t="shared" si="3"/>
        <v>0</v>
      </c>
      <c r="N15" s="275">
        <v>250</v>
      </c>
      <c r="O15" s="196"/>
      <c r="P15" s="276">
        <f t="shared" si="15"/>
        <v>10873</v>
      </c>
      <c r="Q15" s="275" t="str">
        <f t="shared" si="4"/>
        <v>ok</v>
      </c>
      <c r="R15" s="499">
        <f t="shared" si="16"/>
        <v>13912</v>
      </c>
      <c r="S15" s="275">
        <f t="shared" si="5"/>
        <v>0</v>
      </c>
      <c r="T15" s="500">
        <f t="shared" si="32"/>
        <v>417512</v>
      </c>
      <c r="U15" s="275">
        <f t="shared" si="33"/>
        <v>0</v>
      </c>
      <c r="V15" s="275">
        <v>250</v>
      </c>
      <c r="W15" s="322"/>
      <c r="X15" s="260">
        <f t="shared" si="17"/>
        <v>14773</v>
      </c>
      <c r="Y15" s="275" t="str">
        <f t="shared" si="18"/>
        <v>ok</v>
      </c>
      <c r="Z15" s="275">
        <f t="shared" si="8"/>
        <v>0</v>
      </c>
      <c r="AA15" s="275">
        <f t="shared" si="19"/>
        <v>0</v>
      </c>
      <c r="AB15" s="275">
        <f t="shared" si="20"/>
        <v>500</v>
      </c>
      <c r="AC15" s="275">
        <f t="shared" si="21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2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3"/>
        <v>0</v>
      </c>
    </row>
    <row r="16" spans="1:38" ht="15.75" thickBot="1">
      <c r="A16" s="4">
        <f>ELEC!C17</f>
        <v>44848</v>
      </c>
      <c r="B16" s="499">
        <f t="shared" si="31"/>
        <v>1145</v>
      </c>
      <c r="C16" s="275">
        <f t="shared" si="11"/>
        <v>0</v>
      </c>
      <c r="D16" s="500">
        <f t="shared" si="24"/>
        <v>772771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30"/>
        <v>135</v>
      </c>
      <c r="K16" s="275">
        <f t="shared" si="2"/>
        <v>0</v>
      </c>
      <c r="L16" s="500">
        <f t="shared" si="29"/>
        <v>390191</v>
      </c>
      <c r="M16" s="275">
        <f t="shared" si="3"/>
        <v>0</v>
      </c>
      <c r="N16" s="275">
        <v>250</v>
      </c>
      <c r="O16" s="196"/>
      <c r="P16" s="276">
        <f t="shared" si="15"/>
        <v>10873</v>
      </c>
      <c r="Q16" s="275" t="str">
        <f t="shared" si="4"/>
        <v>ok</v>
      </c>
      <c r="R16" s="499">
        <f t="shared" si="16"/>
        <v>13912</v>
      </c>
      <c r="S16" s="275">
        <f t="shared" si="5"/>
        <v>0</v>
      </c>
      <c r="T16" s="500">
        <f t="shared" si="32"/>
        <v>417512</v>
      </c>
      <c r="U16" s="275">
        <f t="shared" si="33"/>
        <v>0</v>
      </c>
      <c r="V16" s="275">
        <v>250</v>
      </c>
      <c r="W16" s="322"/>
      <c r="X16" s="260">
        <f t="shared" si="17"/>
        <v>14773</v>
      </c>
      <c r="Y16" s="275" t="str">
        <f t="shared" si="18"/>
        <v>ok</v>
      </c>
      <c r="Z16" s="275">
        <f t="shared" si="8"/>
        <v>0</v>
      </c>
      <c r="AA16" s="275">
        <f t="shared" si="19"/>
        <v>0</v>
      </c>
      <c r="AB16" s="275">
        <f t="shared" si="20"/>
        <v>500</v>
      </c>
      <c r="AC16" s="275">
        <f t="shared" si="21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2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3"/>
        <v>0</v>
      </c>
    </row>
    <row r="17" spans="1:38" ht="15.75" thickBot="1">
      <c r="A17" s="4">
        <f>ELEC!C18</f>
        <v>44849</v>
      </c>
      <c r="B17" s="499">
        <v>1155</v>
      </c>
      <c r="C17" s="275">
        <f t="shared" si="11"/>
        <v>10</v>
      </c>
      <c r="D17" s="500">
        <f t="shared" si="24"/>
        <v>773621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9">
        <f t="shared" si="30"/>
        <v>135</v>
      </c>
      <c r="K17" s="275">
        <f t="shared" si="2"/>
        <v>0</v>
      </c>
      <c r="L17" s="500">
        <f t="shared" si="29"/>
        <v>390191</v>
      </c>
      <c r="M17" s="275">
        <f t="shared" si="3"/>
        <v>0</v>
      </c>
      <c r="N17" s="275">
        <v>250</v>
      </c>
      <c r="O17" s="196"/>
      <c r="P17" s="276">
        <f t="shared" si="15"/>
        <v>10873</v>
      </c>
      <c r="Q17" s="275" t="str">
        <f t="shared" si="4"/>
        <v>ok</v>
      </c>
      <c r="R17" s="499">
        <f t="shared" si="16"/>
        <v>13912</v>
      </c>
      <c r="S17" s="275">
        <f t="shared" si="5"/>
        <v>0</v>
      </c>
      <c r="T17" s="500">
        <f t="shared" si="32"/>
        <v>417512</v>
      </c>
      <c r="U17" s="275">
        <f t="shared" si="33"/>
        <v>0</v>
      </c>
      <c r="V17" s="275">
        <v>250</v>
      </c>
      <c r="W17" s="322"/>
      <c r="X17" s="260">
        <f t="shared" si="17"/>
        <v>14773</v>
      </c>
      <c r="Y17" s="275" t="str">
        <f t="shared" si="18"/>
        <v>ok</v>
      </c>
      <c r="Z17" s="275">
        <f t="shared" si="8"/>
        <v>10</v>
      </c>
      <c r="AA17" s="275">
        <f t="shared" si="19"/>
        <v>850</v>
      </c>
      <c r="AB17" s="275">
        <f t="shared" si="20"/>
        <v>585</v>
      </c>
      <c r="AC17" s="275">
        <f t="shared" si="21"/>
        <v>85</v>
      </c>
      <c r="AD17" s="73">
        <f>ELEC!Q18</f>
        <v>0</v>
      </c>
      <c r="AE17" s="73">
        <f t="shared" si="26"/>
        <v>0</v>
      </c>
      <c r="AF17" s="386">
        <f t="shared" si="27"/>
        <v>0</v>
      </c>
      <c r="AG17" s="386">
        <f t="shared" si="27"/>
        <v>0</v>
      </c>
      <c r="AH17" s="387">
        <f t="shared" si="22"/>
        <v>85</v>
      </c>
      <c r="AI17" s="73">
        <f t="shared" si="28"/>
        <v>0</v>
      </c>
      <c r="AJ17" s="277">
        <f t="shared" si="9"/>
        <v>0.25738396624472576</v>
      </c>
      <c r="AK17" s="277">
        <f t="shared" si="10"/>
        <v>0</v>
      </c>
      <c r="AL17">
        <f t="shared" si="23"/>
        <v>1</v>
      </c>
    </row>
    <row r="18" spans="1:38" ht="15.75" thickBot="1">
      <c r="A18" s="4">
        <f>ELEC!C19</f>
        <v>44850</v>
      </c>
      <c r="B18" s="499">
        <v>1166</v>
      </c>
      <c r="C18" s="275">
        <f t="shared" si="11"/>
        <v>11</v>
      </c>
      <c r="D18" s="500">
        <f t="shared" si="24"/>
        <v>774556</v>
      </c>
      <c r="E18" s="275">
        <f t="shared" si="12"/>
        <v>935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9">
        <f t="shared" si="30"/>
        <v>135</v>
      </c>
      <c r="K18" s="275">
        <f t="shared" si="2"/>
        <v>0</v>
      </c>
      <c r="L18" s="500">
        <f t="shared" si="29"/>
        <v>390191</v>
      </c>
      <c r="M18" s="275">
        <f t="shared" si="3"/>
        <v>0</v>
      </c>
      <c r="N18" s="275">
        <v>250</v>
      </c>
      <c r="O18" s="196"/>
      <c r="P18" s="276">
        <f t="shared" si="15"/>
        <v>10873</v>
      </c>
      <c r="Q18" s="275" t="str">
        <f>IF(J18-P14&lt;=0,"ok","oil change")</f>
        <v>ok</v>
      </c>
      <c r="R18" s="499">
        <f t="shared" si="16"/>
        <v>13912</v>
      </c>
      <c r="S18" s="275">
        <f t="shared" si="5"/>
        <v>0</v>
      </c>
      <c r="T18" s="500">
        <f t="shared" si="32"/>
        <v>417512</v>
      </c>
      <c r="U18" s="275">
        <f t="shared" si="33"/>
        <v>0</v>
      </c>
      <c r="V18" s="275">
        <v>250</v>
      </c>
      <c r="W18" s="322"/>
      <c r="X18" s="260">
        <f t="shared" si="17"/>
        <v>14773</v>
      </c>
      <c r="Y18" s="275" t="str">
        <f t="shared" si="18"/>
        <v>ok</v>
      </c>
      <c r="Z18" s="275">
        <f t="shared" si="8"/>
        <v>11</v>
      </c>
      <c r="AA18" s="275">
        <f t="shared" si="19"/>
        <v>935</v>
      </c>
      <c r="AB18" s="275">
        <f t="shared" si="20"/>
        <v>585</v>
      </c>
      <c r="AC18" s="275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6">
        <f t="shared" si="27"/>
        <v>0.28403409090907933</v>
      </c>
      <c r="AG18" s="386">
        <f t="shared" si="27"/>
        <v>1.7752130681817458E-4</v>
      </c>
      <c r="AH18" s="387">
        <f t="shared" si="22"/>
        <v>84.999822478693176</v>
      </c>
      <c r="AI18" s="73">
        <f t="shared" si="28"/>
        <v>1286.6624472573317</v>
      </c>
      <c r="AJ18" s="277">
        <f t="shared" si="9"/>
        <v>0.25738396624472576</v>
      </c>
      <c r="AK18" s="277">
        <f t="shared" si="10"/>
        <v>116.96931338703016</v>
      </c>
      <c r="AL18">
        <f t="shared" si="23"/>
        <v>1</v>
      </c>
    </row>
    <row r="19" spans="1:38" ht="15.75" thickBot="1">
      <c r="A19" s="4">
        <f>ELEC!C20</f>
        <v>44851</v>
      </c>
      <c r="B19" s="499">
        <v>1175</v>
      </c>
      <c r="C19" s="275">
        <f t="shared" si="11"/>
        <v>9</v>
      </c>
      <c r="D19" s="500">
        <f t="shared" si="24"/>
        <v>775321</v>
      </c>
      <c r="E19" s="275">
        <f t="shared" si="12"/>
        <v>765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9">
        <v>136</v>
      </c>
      <c r="K19" s="275">
        <f t="shared" si="2"/>
        <v>1</v>
      </c>
      <c r="L19" s="500">
        <f t="shared" si="29"/>
        <v>390441</v>
      </c>
      <c r="M19" s="275">
        <f t="shared" si="3"/>
        <v>250</v>
      </c>
      <c r="N19" s="275">
        <v>250</v>
      </c>
      <c r="O19" s="196"/>
      <c r="P19" s="276">
        <f t="shared" si="15"/>
        <v>10873</v>
      </c>
      <c r="Q19" s="275" t="str">
        <f t="shared" ref="Q19:Q30" si="34">IF(J19-P19&lt;=0,"ok","oil change")</f>
        <v>ok</v>
      </c>
      <c r="R19" s="499">
        <f t="shared" si="16"/>
        <v>13912</v>
      </c>
      <c r="S19" s="275">
        <f t="shared" si="5"/>
        <v>0</v>
      </c>
      <c r="T19" s="500">
        <f t="shared" si="32"/>
        <v>417512</v>
      </c>
      <c r="U19" s="275">
        <f t="shared" si="33"/>
        <v>0</v>
      </c>
      <c r="V19" s="275">
        <v>250</v>
      </c>
      <c r="W19" s="322"/>
      <c r="X19" s="260">
        <f t="shared" si="17"/>
        <v>14773</v>
      </c>
      <c r="Y19" s="275" t="str">
        <f t="shared" si="18"/>
        <v>ok</v>
      </c>
      <c r="Z19" s="275">
        <f t="shared" si="8"/>
        <v>10</v>
      </c>
      <c r="AA19" s="275">
        <f t="shared" si="19"/>
        <v>1015</v>
      </c>
      <c r="AB19" s="275">
        <f t="shared" si="20"/>
        <v>585</v>
      </c>
      <c r="AC19" s="275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6">
        <f t="shared" si="27"/>
        <v>0.12599999999997635</v>
      </c>
      <c r="AG19" s="386">
        <f t="shared" si="27"/>
        <v>7.8749999999985217E-5</v>
      </c>
      <c r="AH19" s="387">
        <f t="shared" si="22"/>
        <v>101.49992125</v>
      </c>
      <c r="AI19" s="73">
        <f t="shared" si="28"/>
        <v>518.88607594926975</v>
      </c>
      <c r="AJ19" s="277">
        <f t="shared" si="9"/>
        <v>0.25738396624472576</v>
      </c>
      <c r="AK19" s="277">
        <f t="shared" si="10"/>
        <v>51.888607594926974</v>
      </c>
      <c r="AL19">
        <f t="shared" si="23"/>
        <v>1</v>
      </c>
    </row>
    <row r="20" spans="1:38" ht="15.75" thickBot="1">
      <c r="A20" s="4">
        <f>ELEC!C21</f>
        <v>44852</v>
      </c>
      <c r="B20" s="499">
        <v>1187</v>
      </c>
      <c r="C20" s="275">
        <f>B20-B19</f>
        <v>12</v>
      </c>
      <c r="D20" s="500">
        <f t="shared" si="24"/>
        <v>776341</v>
      </c>
      <c r="E20" s="275">
        <f t="shared" si="12"/>
        <v>1020</v>
      </c>
      <c r="F20" s="275">
        <f t="shared" si="0"/>
        <v>85</v>
      </c>
      <c r="G20" s="196"/>
      <c r="H20" s="260">
        <f t="shared" si="13"/>
        <v>12231</v>
      </c>
      <c r="I20" s="275" t="str">
        <f t="shared" si="1"/>
        <v>ok</v>
      </c>
      <c r="J20" s="499">
        <f t="shared" si="30"/>
        <v>136</v>
      </c>
      <c r="K20" s="275">
        <f t="shared" si="2"/>
        <v>0</v>
      </c>
      <c r="L20" s="500">
        <f t="shared" si="29"/>
        <v>390441</v>
      </c>
      <c r="M20" s="275">
        <f t="shared" si="3"/>
        <v>0</v>
      </c>
      <c r="N20" s="275">
        <v>250</v>
      </c>
      <c r="O20" s="196"/>
      <c r="P20" s="276">
        <f t="shared" si="15"/>
        <v>10873</v>
      </c>
      <c r="Q20" s="275" t="str">
        <f t="shared" si="34"/>
        <v>ok</v>
      </c>
      <c r="R20" s="499">
        <f t="shared" si="16"/>
        <v>13912</v>
      </c>
      <c r="S20" s="275">
        <f t="shared" si="5"/>
        <v>0</v>
      </c>
      <c r="T20" s="500">
        <f t="shared" si="32"/>
        <v>417512</v>
      </c>
      <c r="U20" s="275">
        <f t="shared" si="33"/>
        <v>0</v>
      </c>
      <c r="V20" s="275">
        <v>250</v>
      </c>
      <c r="W20" s="322"/>
      <c r="X20" s="260">
        <f t="shared" si="17"/>
        <v>14773</v>
      </c>
      <c r="Y20" s="275" t="str">
        <f t="shared" si="18"/>
        <v>ok</v>
      </c>
      <c r="Z20" s="275">
        <f t="shared" si="8"/>
        <v>12</v>
      </c>
      <c r="AA20" s="275">
        <f t="shared" si="19"/>
        <v>1020</v>
      </c>
      <c r="AB20" s="275">
        <f t="shared" si="20"/>
        <v>585</v>
      </c>
      <c r="AC20" s="275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6">
        <f t="shared" si="27"/>
        <v>0.13916666666659694</v>
      </c>
      <c r="AG20" s="386">
        <f t="shared" si="27"/>
        <v>8.6979166666623084E-5</v>
      </c>
      <c r="AH20" s="387">
        <f t="shared" si="22"/>
        <v>84.999913020833333</v>
      </c>
      <c r="AI20" s="73">
        <f>AD20*AJ20</f>
        <v>687.72995780556266</v>
      </c>
      <c r="AJ20" s="277">
        <f t="shared" si="9"/>
        <v>0.25738396624472576</v>
      </c>
      <c r="AK20" s="277">
        <f t="shared" si="10"/>
        <v>57.31082981713022</v>
      </c>
      <c r="AL20">
        <f t="shared" si="23"/>
        <v>1</v>
      </c>
    </row>
    <row r="21" spans="1:38" ht="15.75" thickBot="1">
      <c r="A21" s="4">
        <f>ELEC!C22</f>
        <v>44853</v>
      </c>
      <c r="B21" s="499">
        <v>1198</v>
      </c>
      <c r="C21" s="275">
        <f>B21-B20</f>
        <v>11</v>
      </c>
      <c r="D21" s="500">
        <f t="shared" si="24"/>
        <v>777276</v>
      </c>
      <c r="E21" s="275">
        <f t="shared" si="12"/>
        <v>935</v>
      </c>
      <c r="F21" s="275">
        <f t="shared" si="0"/>
        <v>85</v>
      </c>
      <c r="G21" s="196"/>
      <c r="H21" s="260">
        <f t="shared" si="13"/>
        <v>12231</v>
      </c>
      <c r="I21" s="275" t="str">
        <f t="shared" si="1"/>
        <v>ok</v>
      </c>
      <c r="J21" s="499">
        <f t="shared" si="30"/>
        <v>136</v>
      </c>
      <c r="K21" s="275">
        <f t="shared" si="2"/>
        <v>0</v>
      </c>
      <c r="L21" s="500">
        <f t="shared" si="29"/>
        <v>390441</v>
      </c>
      <c r="M21" s="275">
        <f t="shared" si="3"/>
        <v>0</v>
      </c>
      <c r="N21" s="275">
        <v>250</v>
      </c>
      <c r="O21" s="196"/>
      <c r="P21" s="276">
        <f t="shared" si="15"/>
        <v>10873</v>
      </c>
      <c r="Q21" s="275" t="str">
        <f t="shared" si="34"/>
        <v>ok</v>
      </c>
      <c r="R21" s="499">
        <f t="shared" si="16"/>
        <v>13912</v>
      </c>
      <c r="S21" s="275">
        <f t="shared" si="5"/>
        <v>0</v>
      </c>
      <c r="T21" s="500">
        <f t="shared" si="32"/>
        <v>417512</v>
      </c>
      <c r="U21" s="275">
        <f t="shared" si="33"/>
        <v>0</v>
      </c>
      <c r="V21" s="275">
        <v>250</v>
      </c>
      <c r="W21" s="196"/>
      <c r="X21" s="260">
        <f t="shared" si="17"/>
        <v>14773</v>
      </c>
      <c r="Y21" s="275" t="str">
        <f t="shared" si="18"/>
        <v>ok</v>
      </c>
      <c r="Z21" s="275">
        <f t="shared" si="8"/>
        <v>11</v>
      </c>
      <c r="AA21" s="275">
        <f t="shared" si="19"/>
        <v>935</v>
      </c>
      <c r="AB21" s="275">
        <f t="shared" si="20"/>
        <v>585</v>
      </c>
      <c r="AC21" s="275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6">
        <f t="shared" si="27"/>
        <v>0.13880681818177851</v>
      </c>
      <c r="AG21" s="386">
        <f t="shared" si="27"/>
        <v>8.675426136361157E-5</v>
      </c>
      <c r="AH21" s="387">
        <f t="shared" si="22"/>
        <v>84.999913245738639</v>
      </c>
      <c r="AI21" s="73">
        <f t="shared" si="28"/>
        <v>628.78902953568524</v>
      </c>
      <c r="AJ21" s="277">
        <f t="shared" si="9"/>
        <v>0.25738396624472576</v>
      </c>
      <c r="AK21" s="277">
        <f t="shared" si="10"/>
        <v>57.162639048698658</v>
      </c>
      <c r="AL21">
        <f t="shared" si="23"/>
        <v>1</v>
      </c>
    </row>
    <row r="22" spans="1:38" ht="15.75" thickBot="1">
      <c r="A22" s="4">
        <f>ELEC!C23</f>
        <v>44854</v>
      </c>
      <c r="B22" s="499">
        <v>1207</v>
      </c>
      <c r="C22" s="275">
        <f t="shared" si="11"/>
        <v>9</v>
      </c>
      <c r="D22" s="500">
        <f t="shared" si="24"/>
        <v>778041</v>
      </c>
      <c r="E22" s="275">
        <f t="shared" si="12"/>
        <v>765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9">
        <f t="shared" si="30"/>
        <v>136</v>
      </c>
      <c r="K22" s="275">
        <f t="shared" si="2"/>
        <v>0</v>
      </c>
      <c r="L22" s="500">
        <f t="shared" si="29"/>
        <v>390441</v>
      </c>
      <c r="M22" s="275">
        <f t="shared" si="3"/>
        <v>0</v>
      </c>
      <c r="N22" s="275">
        <v>250</v>
      </c>
      <c r="O22" s="196"/>
      <c r="P22" s="276">
        <f t="shared" si="15"/>
        <v>10873</v>
      </c>
      <c r="Q22" s="275" t="str">
        <f t="shared" si="34"/>
        <v>ok</v>
      </c>
      <c r="R22" s="499">
        <f t="shared" si="16"/>
        <v>13912</v>
      </c>
      <c r="S22" s="275">
        <f t="shared" si="5"/>
        <v>0</v>
      </c>
      <c r="T22" s="500">
        <f t="shared" si="32"/>
        <v>417512</v>
      </c>
      <c r="U22" s="275">
        <f t="shared" si="33"/>
        <v>0</v>
      </c>
      <c r="V22" s="275">
        <v>250</v>
      </c>
      <c r="W22" s="196"/>
      <c r="X22" s="260">
        <f t="shared" si="17"/>
        <v>14773</v>
      </c>
      <c r="Y22" s="275" t="str">
        <f t="shared" si="18"/>
        <v>ok</v>
      </c>
      <c r="Z22" s="275">
        <f t="shared" si="8"/>
        <v>9</v>
      </c>
      <c r="AA22" s="275">
        <f t="shared" si="19"/>
        <v>765</v>
      </c>
      <c r="AB22" s="275">
        <f t="shared" si="20"/>
        <v>585</v>
      </c>
      <c r="AC22" s="275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6">
        <f t="shared" si="27"/>
        <v>0.14472222222240008</v>
      </c>
      <c r="AG22" s="386">
        <f t="shared" si="27"/>
        <v>9.0451388889000055E-5</v>
      </c>
      <c r="AH22" s="387">
        <f t="shared" si="22"/>
        <v>84.999909548611114</v>
      </c>
      <c r="AI22" s="73">
        <f t="shared" si="28"/>
        <v>536.38818565466772</v>
      </c>
      <c r="AJ22" s="277">
        <f t="shared" si="9"/>
        <v>0.25738396624472576</v>
      </c>
      <c r="AK22" s="277">
        <f t="shared" si="10"/>
        <v>59.598687294963078</v>
      </c>
      <c r="AL22">
        <f t="shared" si="23"/>
        <v>1</v>
      </c>
    </row>
    <row r="23" spans="1:38" ht="15.75" thickBot="1">
      <c r="A23" s="4">
        <f>ELEC!C24</f>
        <v>44855</v>
      </c>
      <c r="B23" s="499">
        <f t="shared" si="31"/>
        <v>1207</v>
      </c>
      <c r="C23" s="275">
        <f t="shared" si="11"/>
        <v>0</v>
      </c>
      <c r="D23" s="500">
        <f t="shared" si="24"/>
        <v>778041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30"/>
        <v>136</v>
      </c>
      <c r="K23" s="275">
        <f t="shared" si="2"/>
        <v>0</v>
      </c>
      <c r="L23" s="500">
        <f t="shared" si="29"/>
        <v>390441</v>
      </c>
      <c r="M23" s="275">
        <f t="shared" si="3"/>
        <v>0</v>
      </c>
      <c r="N23" s="275">
        <v>250</v>
      </c>
      <c r="O23" s="196"/>
      <c r="P23" s="276">
        <f t="shared" si="15"/>
        <v>10873</v>
      </c>
      <c r="Q23" s="275" t="str">
        <f t="shared" si="34"/>
        <v>ok</v>
      </c>
      <c r="R23" s="499">
        <f t="shared" si="16"/>
        <v>13912</v>
      </c>
      <c r="S23" s="275">
        <f>R23-R22</f>
        <v>0</v>
      </c>
      <c r="T23" s="500">
        <f t="shared" si="32"/>
        <v>417512</v>
      </c>
      <c r="U23" s="275">
        <f>V23*S23</f>
        <v>0</v>
      </c>
      <c r="V23" s="275">
        <v>250</v>
      </c>
      <c r="W23" s="196"/>
      <c r="X23" s="260">
        <f t="shared" si="17"/>
        <v>14773</v>
      </c>
      <c r="Y23" s="275" t="str">
        <f t="shared" si="18"/>
        <v>ok</v>
      </c>
      <c r="Z23" s="275">
        <f t="shared" si="8"/>
        <v>0</v>
      </c>
      <c r="AA23" s="275">
        <f t="shared" si="19"/>
        <v>0</v>
      </c>
      <c r="AB23" s="275">
        <f t="shared" si="20"/>
        <v>500</v>
      </c>
      <c r="AC23" s="275">
        <f t="shared" si="21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2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3"/>
        <v>0</v>
      </c>
    </row>
    <row r="24" spans="1:38" ht="15.75" thickBot="1">
      <c r="A24" s="4">
        <f>ELEC!C25</f>
        <v>44856</v>
      </c>
      <c r="B24" s="499">
        <f t="shared" si="31"/>
        <v>1207</v>
      </c>
      <c r="C24" s="275">
        <f t="shared" si="11"/>
        <v>0</v>
      </c>
      <c r="D24" s="500">
        <f t="shared" si="24"/>
        <v>778041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30"/>
        <v>136</v>
      </c>
      <c r="K24" s="275">
        <f t="shared" si="2"/>
        <v>0</v>
      </c>
      <c r="L24" s="500">
        <f t="shared" si="29"/>
        <v>390441</v>
      </c>
      <c r="M24" s="275">
        <f t="shared" si="3"/>
        <v>0</v>
      </c>
      <c r="N24" s="275">
        <v>250</v>
      </c>
      <c r="O24" s="196"/>
      <c r="P24" s="276">
        <f t="shared" si="15"/>
        <v>10873</v>
      </c>
      <c r="Q24" s="275" t="str">
        <f t="shared" si="34"/>
        <v>ok</v>
      </c>
      <c r="R24" s="499">
        <f t="shared" si="16"/>
        <v>13912</v>
      </c>
      <c r="S24" s="275">
        <f t="shared" si="5"/>
        <v>0</v>
      </c>
      <c r="T24" s="500">
        <f t="shared" si="32"/>
        <v>417512</v>
      </c>
      <c r="U24" s="275">
        <f t="shared" si="33"/>
        <v>0</v>
      </c>
      <c r="V24" s="275">
        <v>250</v>
      </c>
      <c r="W24" s="196"/>
      <c r="X24" s="260">
        <f t="shared" si="17"/>
        <v>14773</v>
      </c>
      <c r="Y24" s="275" t="str">
        <f t="shared" si="18"/>
        <v>ok</v>
      </c>
      <c r="Z24" s="275">
        <f t="shared" si="8"/>
        <v>0</v>
      </c>
      <c r="AA24" s="275">
        <f t="shared" si="19"/>
        <v>0</v>
      </c>
      <c r="AB24" s="275">
        <f t="shared" si="20"/>
        <v>500</v>
      </c>
      <c r="AC24" s="275">
        <f t="shared" si="21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2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3"/>
        <v>0</v>
      </c>
    </row>
    <row r="25" spans="1:38" ht="15.75" thickBot="1">
      <c r="A25" s="4">
        <f>ELEC!C26</f>
        <v>44857</v>
      </c>
      <c r="B25" s="499">
        <v>1217</v>
      </c>
      <c r="C25" s="275">
        <f t="shared" si="11"/>
        <v>10</v>
      </c>
      <c r="D25" s="500">
        <f t="shared" si="24"/>
        <v>778891</v>
      </c>
      <c r="E25" s="275">
        <f t="shared" si="12"/>
        <v>850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9">
        <v>138</v>
      </c>
      <c r="K25" s="275">
        <f t="shared" si="2"/>
        <v>2</v>
      </c>
      <c r="L25" s="500">
        <f t="shared" si="29"/>
        <v>390941</v>
      </c>
      <c r="M25" s="275">
        <f t="shared" si="3"/>
        <v>500</v>
      </c>
      <c r="N25" s="275">
        <v>250</v>
      </c>
      <c r="O25" s="196"/>
      <c r="P25" s="276">
        <f t="shared" si="15"/>
        <v>10873</v>
      </c>
      <c r="Q25" s="275" t="str">
        <f t="shared" si="34"/>
        <v>ok</v>
      </c>
      <c r="R25" s="499">
        <f t="shared" si="16"/>
        <v>13912</v>
      </c>
      <c r="S25" s="275">
        <f t="shared" si="5"/>
        <v>0</v>
      </c>
      <c r="T25" s="500">
        <f t="shared" si="32"/>
        <v>417512</v>
      </c>
      <c r="U25" s="275">
        <f t="shared" si="33"/>
        <v>0</v>
      </c>
      <c r="V25" s="275">
        <v>250</v>
      </c>
      <c r="W25" s="196"/>
      <c r="X25" s="260">
        <f t="shared" si="17"/>
        <v>14773</v>
      </c>
      <c r="Y25" s="275" t="str">
        <f t="shared" si="18"/>
        <v>ok</v>
      </c>
      <c r="Z25" s="275">
        <f t="shared" si="8"/>
        <v>12</v>
      </c>
      <c r="AA25" s="275">
        <f t="shared" si="19"/>
        <v>1350</v>
      </c>
      <c r="AB25" s="275">
        <f t="shared" si="20"/>
        <v>585</v>
      </c>
      <c r="AC25" s="275">
        <f t="shared" si="21"/>
        <v>112.5</v>
      </c>
      <c r="AD25" s="73">
        <f>ELEC!Q26</f>
        <v>3740.9999999981665</v>
      </c>
      <c r="AE25" s="73">
        <f t="shared" si="26"/>
        <v>311.7499999998472</v>
      </c>
      <c r="AF25" s="386">
        <f t="shared" si="27"/>
        <v>0.1948437499999045</v>
      </c>
      <c r="AG25" s="386">
        <f t="shared" si="27"/>
        <v>1.2177734374994032E-4</v>
      </c>
      <c r="AH25" s="387">
        <f t="shared" si="22"/>
        <v>112.49987822265625</v>
      </c>
      <c r="AI25" s="73">
        <f t="shared" si="28"/>
        <v>962.87341772104719</v>
      </c>
      <c r="AJ25" s="277">
        <f t="shared" si="9"/>
        <v>0.25738396624472576</v>
      </c>
      <c r="AK25" s="277">
        <f t="shared" si="10"/>
        <v>80.239451476753928</v>
      </c>
      <c r="AL25">
        <f t="shared" si="23"/>
        <v>1</v>
      </c>
    </row>
    <row r="26" spans="1:38" ht="15.75" thickBot="1">
      <c r="A26" s="4">
        <f>ELEC!C27</f>
        <v>44858</v>
      </c>
      <c r="B26" s="499">
        <v>1227</v>
      </c>
      <c r="C26" s="275">
        <f>B26-B25</f>
        <v>10</v>
      </c>
      <c r="D26" s="500">
        <f t="shared" si="24"/>
        <v>779741</v>
      </c>
      <c r="E26" s="275">
        <f t="shared" si="12"/>
        <v>850</v>
      </c>
      <c r="F26" s="275">
        <f t="shared" si="0"/>
        <v>85</v>
      </c>
      <c r="G26" s="196"/>
      <c r="H26" s="260">
        <f t="shared" si="13"/>
        <v>12231</v>
      </c>
      <c r="I26" s="275" t="str">
        <f t="shared" si="1"/>
        <v>ok</v>
      </c>
      <c r="J26" s="499">
        <v>138</v>
      </c>
      <c r="K26" s="275">
        <f t="shared" si="2"/>
        <v>0</v>
      </c>
      <c r="L26" s="500">
        <f t="shared" si="29"/>
        <v>390941</v>
      </c>
      <c r="M26" s="275">
        <f t="shared" si="3"/>
        <v>0</v>
      </c>
      <c r="N26" s="275">
        <v>250</v>
      </c>
      <c r="O26" s="196"/>
      <c r="P26" s="276">
        <f t="shared" si="15"/>
        <v>10873</v>
      </c>
      <c r="Q26" s="275" t="str">
        <f t="shared" si="34"/>
        <v>ok</v>
      </c>
      <c r="R26" s="499">
        <f t="shared" si="16"/>
        <v>13912</v>
      </c>
      <c r="S26" s="275">
        <f>R26-R25</f>
        <v>0</v>
      </c>
      <c r="T26" s="500">
        <f t="shared" si="32"/>
        <v>417512</v>
      </c>
      <c r="U26" s="275">
        <f t="shared" si="33"/>
        <v>0</v>
      </c>
      <c r="V26" s="275">
        <v>250</v>
      </c>
      <c r="W26" s="196"/>
      <c r="X26" s="260">
        <f>X25</f>
        <v>14773</v>
      </c>
      <c r="Y26" s="275" t="str">
        <f t="shared" si="18"/>
        <v>ok</v>
      </c>
      <c r="Z26" s="275">
        <f t="shared" si="8"/>
        <v>10</v>
      </c>
      <c r="AA26" s="275">
        <f t="shared" si="19"/>
        <v>850</v>
      </c>
      <c r="AB26" s="275">
        <f t="shared" si="20"/>
        <v>585</v>
      </c>
      <c r="AC26" s="275">
        <f t="shared" si="21"/>
        <v>85</v>
      </c>
      <c r="AD26" s="73">
        <f>ELEC!Q27</f>
        <v>2842.000000000553</v>
      </c>
      <c r="AE26" s="73">
        <f t="shared" si="26"/>
        <v>284.2000000000553</v>
      </c>
      <c r="AF26" s="386">
        <f t="shared" si="27"/>
        <v>0.17762500000003456</v>
      </c>
      <c r="AG26" s="386">
        <f t="shared" si="27"/>
        <v>1.1101562500002161E-4</v>
      </c>
      <c r="AH26" s="387">
        <f t="shared" si="22"/>
        <v>84.999888984375005</v>
      </c>
      <c r="AI26" s="73">
        <f t="shared" si="28"/>
        <v>731.48523206765299</v>
      </c>
      <c r="AJ26" s="277">
        <f t="shared" si="9"/>
        <v>0.25738396624472576</v>
      </c>
      <c r="AK26" s="277">
        <f t="shared" si="10"/>
        <v>73.148523206765304</v>
      </c>
      <c r="AL26">
        <f t="shared" si="23"/>
        <v>1</v>
      </c>
    </row>
    <row r="27" spans="1:38" ht="15.75" thickBot="1">
      <c r="A27" s="4">
        <f>ELEC!C28</f>
        <v>44859</v>
      </c>
      <c r="B27" s="499">
        <v>1238</v>
      </c>
      <c r="C27" s="275">
        <f>B27-B26</f>
        <v>11</v>
      </c>
      <c r="D27" s="500">
        <f t="shared" si="24"/>
        <v>780676</v>
      </c>
      <c r="E27" s="275">
        <f t="shared" si="12"/>
        <v>935</v>
      </c>
      <c r="F27" s="275">
        <f t="shared" si="0"/>
        <v>85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30"/>
        <v>138</v>
      </c>
      <c r="K27" s="275">
        <f t="shared" si="2"/>
        <v>0</v>
      </c>
      <c r="L27" s="500">
        <f t="shared" si="29"/>
        <v>390941</v>
      </c>
      <c r="M27" s="275">
        <f t="shared" si="3"/>
        <v>0</v>
      </c>
      <c r="N27" s="275">
        <v>250</v>
      </c>
      <c r="O27" s="196"/>
      <c r="P27" s="276">
        <f t="shared" si="15"/>
        <v>10873</v>
      </c>
      <c r="Q27" s="275" t="str">
        <f t="shared" si="34"/>
        <v>ok</v>
      </c>
      <c r="R27" s="499">
        <f t="shared" si="16"/>
        <v>13912</v>
      </c>
      <c r="S27" s="275">
        <f t="shared" si="5"/>
        <v>0</v>
      </c>
      <c r="T27" s="500">
        <f t="shared" si="32"/>
        <v>417512</v>
      </c>
      <c r="U27" s="275">
        <f t="shared" si="33"/>
        <v>0</v>
      </c>
      <c r="V27" s="275">
        <v>250</v>
      </c>
      <c r="W27" s="196"/>
      <c r="X27" s="260">
        <f t="shared" si="17"/>
        <v>14773</v>
      </c>
      <c r="Y27" s="275" t="str">
        <f t="shared" si="18"/>
        <v>ok</v>
      </c>
      <c r="Z27" s="275">
        <f t="shared" si="8"/>
        <v>11</v>
      </c>
      <c r="AA27" s="275">
        <f t="shared" si="19"/>
        <v>935</v>
      </c>
      <c r="AB27" s="275">
        <f t="shared" si="20"/>
        <v>585</v>
      </c>
      <c r="AC27" s="275">
        <f t="shared" si="21"/>
        <v>85</v>
      </c>
      <c r="AD27" s="73">
        <f>ELEC!Q28</f>
        <v>3310.0000000013097</v>
      </c>
      <c r="AE27" s="73">
        <f t="shared" si="26"/>
        <v>300.90909090920997</v>
      </c>
      <c r="AF27" s="386">
        <f t="shared" si="27"/>
        <v>0.18806818181825624</v>
      </c>
      <c r="AG27" s="386">
        <f t="shared" si="27"/>
        <v>1.1754261363641015E-4</v>
      </c>
      <c r="AH27" s="387">
        <f t="shared" si="22"/>
        <v>84.999882457386363</v>
      </c>
      <c r="AI27" s="73">
        <f t="shared" si="28"/>
        <v>851.94092827037935</v>
      </c>
      <c r="AJ27" s="277">
        <f t="shared" si="9"/>
        <v>0.25738396624472576</v>
      </c>
      <c r="AK27" s="277">
        <f t="shared" si="10"/>
        <v>77.449175297307207</v>
      </c>
      <c r="AL27">
        <f t="shared" si="23"/>
        <v>1</v>
      </c>
    </row>
    <row r="28" spans="1:38" ht="15.75" thickBot="1">
      <c r="A28" s="4">
        <f>ELEC!C29</f>
        <v>44860</v>
      </c>
      <c r="B28" s="499">
        <v>1249</v>
      </c>
      <c r="C28" s="275">
        <f t="shared" si="11"/>
        <v>11</v>
      </c>
      <c r="D28" s="500">
        <f t="shared" si="24"/>
        <v>781611</v>
      </c>
      <c r="E28" s="275">
        <f t="shared" si="12"/>
        <v>935</v>
      </c>
      <c r="F28" s="275">
        <f t="shared" si="0"/>
        <v>85</v>
      </c>
      <c r="G28" s="273"/>
      <c r="H28" s="260">
        <f t="shared" si="13"/>
        <v>12231</v>
      </c>
      <c r="I28" s="275" t="str">
        <f t="shared" si="1"/>
        <v>ok</v>
      </c>
      <c r="J28" s="499">
        <f t="shared" si="30"/>
        <v>138</v>
      </c>
      <c r="K28" s="275">
        <f t="shared" si="2"/>
        <v>0</v>
      </c>
      <c r="L28" s="500">
        <f t="shared" si="29"/>
        <v>390941</v>
      </c>
      <c r="M28" s="275">
        <f t="shared" si="3"/>
        <v>0</v>
      </c>
      <c r="N28" s="275">
        <v>250</v>
      </c>
      <c r="O28" s="196"/>
      <c r="P28" s="276">
        <f t="shared" si="15"/>
        <v>10873</v>
      </c>
      <c r="Q28" s="275" t="str">
        <f t="shared" si="34"/>
        <v>ok</v>
      </c>
      <c r="R28" s="499">
        <f t="shared" si="16"/>
        <v>13912</v>
      </c>
      <c r="S28" s="275">
        <f t="shared" si="5"/>
        <v>0</v>
      </c>
      <c r="T28" s="500">
        <f t="shared" si="32"/>
        <v>417512</v>
      </c>
      <c r="U28" s="275">
        <f t="shared" si="33"/>
        <v>0</v>
      </c>
      <c r="V28" s="275">
        <v>250</v>
      </c>
      <c r="W28" s="196"/>
      <c r="X28" s="260">
        <f t="shared" si="17"/>
        <v>14773</v>
      </c>
      <c r="Y28" s="275" t="str">
        <f t="shared" si="18"/>
        <v>ok</v>
      </c>
      <c r="Z28" s="275">
        <f t="shared" si="8"/>
        <v>11</v>
      </c>
      <c r="AA28" s="275">
        <f t="shared" si="19"/>
        <v>935</v>
      </c>
      <c r="AB28" s="275">
        <f t="shared" si="20"/>
        <v>585</v>
      </c>
      <c r="AC28" s="275">
        <f t="shared" si="21"/>
        <v>85</v>
      </c>
      <c r="AD28" s="73">
        <f>ELEC!Q29</f>
        <v>2929.9999999966531</v>
      </c>
      <c r="AE28" s="73">
        <f t="shared" si="26"/>
        <v>266.36363636333209</v>
      </c>
      <c r="AF28" s="386">
        <f t="shared" si="27"/>
        <v>0.16647727272708257</v>
      </c>
      <c r="AG28" s="386">
        <f t="shared" si="27"/>
        <v>1.0404829545442661E-4</v>
      </c>
      <c r="AH28" s="387">
        <f t="shared" si="22"/>
        <v>84.999895951704545</v>
      </c>
      <c r="AI28" s="73">
        <f t="shared" si="28"/>
        <v>754.13502109618503</v>
      </c>
      <c r="AJ28" s="277">
        <f t="shared" si="9"/>
        <v>0.25738396624472576</v>
      </c>
      <c r="AK28" s="277">
        <f t="shared" si="10"/>
        <v>68.55772919056227</v>
      </c>
      <c r="AL28">
        <f t="shared" si="23"/>
        <v>1</v>
      </c>
    </row>
    <row r="29" spans="1:38" ht="15.75" thickBot="1">
      <c r="A29" s="4">
        <f>ELEC!C30</f>
        <v>44861</v>
      </c>
      <c r="B29" s="499">
        <v>1262</v>
      </c>
      <c r="C29" s="275">
        <f t="shared" si="11"/>
        <v>13</v>
      </c>
      <c r="D29" s="500">
        <f t="shared" si="24"/>
        <v>782716</v>
      </c>
      <c r="E29" s="275">
        <f t="shared" si="12"/>
        <v>1105</v>
      </c>
      <c r="F29" s="275">
        <f t="shared" si="0"/>
        <v>85</v>
      </c>
      <c r="G29" s="196"/>
      <c r="H29" s="260">
        <f t="shared" si="13"/>
        <v>12231</v>
      </c>
      <c r="I29" s="275" t="str">
        <f t="shared" si="1"/>
        <v>ok</v>
      </c>
      <c r="J29" s="499">
        <f t="shared" si="30"/>
        <v>138</v>
      </c>
      <c r="K29" s="275">
        <f t="shared" si="2"/>
        <v>0</v>
      </c>
      <c r="L29" s="500">
        <f t="shared" si="29"/>
        <v>390941</v>
      </c>
      <c r="M29" s="275">
        <f t="shared" si="3"/>
        <v>0</v>
      </c>
      <c r="N29" s="275">
        <v>250</v>
      </c>
      <c r="O29" s="196"/>
      <c r="P29" s="276">
        <f t="shared" si="15"/>
        <v>10873</v>
      </c>
      <c r="Q29" s="275" t="str">
        <f t="shared" si="34"/>
        <v>ok</v>
      </c>
      <c r="R29" s="499">
        <f t="shared" si="16"/>
        <v>13912</v>
      </c>
      <c r="S29" s="275">
        <f t="shared" si="5"/>
        <v>0</v>
      </c>
      <c r="T29" s="500">
        <f t="shared" si="32"/>
        <v>417512</v>
      </c>
      <c r="U29" s="275">
        <f>V29*S29</f>
        <v>0</v>
      </c>
      <c r="V29" s="275">
        <v>250</v>
      </c>
      <c r="W29" s="196"/>
      <c r="X29" s="260">
        <f t="shared" si="17"/>
        <v>14773</v>
      </c>
      <c r="Y29" s="275" t="str">
        <f t="shared" si="18"/>
        <v>ok</v>
      </c>
      <c r="Z29" s="275">
        <f t="shared" si="8"/>
        <v>13</v>
      </c>
      <c r="AA29" s="275">
        <f t="shared" si="19"/>
        <v>1105</v>
      </c>
      <c r="AB29" s="275">
        <f t="shared" si="20"/>
        <v>585</v>
      </c>
      <c r="AC29" s="275">
        <f t="shared" si="21"/>
        <v>85</v>
      </c>
      <c r="AD29" s="73">
        <f>ELEC!Q30</f>
        <v>3618.0000000022119</v>
      </c>
      <c r="AE29" s="73">
        <f t="shared" si="26"/>
        <v>278.30769230786245</v>
      </c>
      <c r="AF29" s="386">
        <f t="shared" si="27"/>
        <v>0.17394230769241403</v>
      </c>
      <c r="AG29" s="386">
        <f t="shared" si="27"/>
        <v>1.0871394230775877E-4</v>
      </c>
      <c r="AH29" s="387">
        <f t="shared" si="22"/>
        <v>84.999891286057689</v>
      </c>
      <c r="AI29" s="73">
        <f t="shared" si="28"/>
        <v>931.21518987398713</v>
      </c>
      <c r="AJ29" s="277">
        <f t="shared" si="9"/>
        <v>0.25738396624472576</v>
      </c>
      <c r="AK29" s="277">
        <f t="shared" si="10"/>
        <v>71.631937682614392</v>
      </c>
      <c r="AL29">
        <f t="shared" si="23"/>
        <v>1</v>
      </c>
    </row>
    <row r="30" spans="1:38" ht="15.75" thickBot="1">
      <c r="A30" s="4">
        <f>ELEC!C31</f>
        <v>44862</v>
      </c>
      <c r="B30" s="499">
        <f t="shared" si="31"/>
        <v>1262</v>
      </c>
      <c r="C30" s="275">
        <f t="shared" si="11"/>
        <v>0</v>
      </c>
      <c r="D30" s="500">
        <f t="shared" si="24"/>
        <v>782716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30"/>
        <v>138</v>
      </c>
      <c r="K30" s="275">
        <f t="shared" si="2"/>
        <v>0</v>
      </c>
      <c r="L30" s="500">
        <f t="shared" si="29"/>
        <v>390941</v>
      </c>
      <c r="M30" s="275">
        <f t="shared" si="3"/>
        <v>0</v>
      </c>
      <c r="N30" s="275">
        <v>250</v>
      </c>
      <c r="O30" s="196"/>
      <c r="P30" s="276">
        <f t="shared" si="15"/>
        <v>10873</v>
      </c>
      <c r="Q30" s="275" t="str">
        <f t="shared" si="34"/>
        <v>ok</v>
      </c>
      <c r="R30" s="499">
        <f t="shared" si="16"/>
        <v>13912</v>
      </c>
      <c r="S30" s="275">
        <f t="shared" si="5"/>
        <v>0</v>
      </c>
      <c r="T30" s="500">
        <f t="shared" si="32"/>
        <v>417512</v>
      </c>
      <c r="U30" s="275">
        <f t="shared" si="33"/>
        <v>0</v>
      </c>
      <c r="V30" s="275">
        <v>250</v>
      </c>
      <c r="W30" s="273"/>
      <c r="X30" s="260">
        <f>X29</f>
        <v>14773</v>
      </c>
      <c r="Y30" s="275" t="str">
        <f t="shared" si="18"/>
        <v>ok</v>
      </c>
      <c r="Z30" s="275">
        <f t="shared" si="8"/>
        <v>0</v>
      </c>
      <c r="AA30" s="275">
        <f t="shared" si="19"/>
        <v>0</v>
      </c>
      <c r="AB30" s="275">
        <f t="shared" si="20"/>
        <v>500</v>
      </c>
      <c r="AC30" s="275">
        <f t="shared" si="21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2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3"/>
        <v>0</v>
      </c>
    </row>
    <row r="31" spans="1:38" ht="15.75" thickBot="1">
      <c r="A31" s="4">
        <f>ELEC!C32</f>
        <v>44863</v>
      </c>
      <c r="B31" s="499">
        <f t="shared" si="31"/>
        <v>1262</v>
      </c>
      <c r="C31" s="275">
        <f t="shared" ref="C31:C33" si="35">B31-B30</f>
        <v>0</v>
      </c>
      <c r="D31" s="500">
        <f t="shared" si="24"/>
        <v>782716</v>
      </c>
      <c r="E31" s="275">
        <f t="shared" si="12"/>
        <v>0</v>
      </c>
      <c r="F31" s="275">
        <f t="shared" ref="F31:F33" si="36">IF(C31&gt;0,E31/C31,0)</f>
        <v>0</v>
      </c>
      <c r="G31" s="322"/>
      <c r="H31" s="260">
        <f t="shared" si="13"/>
        <v>12231</v>
      </c>
      <c r="I31" s="275" t="str">
        <f t="shared" ref="I31:I33" si="37">IF(B31-H31&lt;=0,"ok","oil change")</f>
        <v>ok</v>
      </c>
      <c r="J31" s="499">
        <f t="shared" si="30"/>
        <v>138</v>
      </c>
      <c r="K31" s="275">
        <f t="shared" si="2"/>
        <v>0</v>
      </c>
      <c r="L31" s="500">
        <f t="shared" si="29"/>
        <v>390941</v>
      </c>
      <c r="M31" s="275">
        <f t="shared" si="3"/>
        <v>0</v>
      </c>
      <c r="N31" s="275">
        <v>250</v>
      </c>
      <c r="O31" s="322"/>
      <c r="P31" s="276">
        <f t="shared" si="15"/>
        <v>10873</v>
      </c>
      <c r="Q31" s="275" t="str">
        <f t="shared" ref="Q31:Q33" si="38">IF(J31-P31&lt;=0,"ok","oil change")</f>
        <v>ok</v>
      </c>
      <c r="R31" s="499">
        <f t="shared" si="16"/>
        <v>13912</v>
      </c>
      <c r="S31" s="275">
        <f t="shared" ref="S31:S33" si="39">R31-R30</f>
        <v>0</v>
      </c>
      <c r="T31" s="500">
        <f t="shared" si="32"/>
        <v>417512</v>
      </c>
      <c r="U31" s="275">
        <f t="shared" ref="U31:U33" si="40">V31*S31</f>
        <v>0</v>
      </c>
      <c r="V31" s="275">
        <v>250</v>
      </c>
      <c r="W31" s="322"/>
      <c r="X31" s="260">
        <f t="shared" si="17"/>
        <v>14773</v>
      </c>
      <c r="Y31" s="275" t="str">
        <f t="shared" si="18"/>
        <v>ok</v>
      </c>
      <c r="Z31" s="275">
        <f t="shared" ref="Z31:Z33" si="41">C31+K31+S31</f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6" t="e">
        <f t="shared" ref="AF31:AF33" si="46">SUM(AE31/1600)</f>
        <v>#DIV/0!</v>
      </c>
      <c r="AG31" s="386" t="e">
        <f t="shared" ref="AG31:AG33" si="47">SUM(AF31/1600)</f>
        <v>#DIV/0!</v>
      </c>
      <c r="AH31" s="474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44864</v>
      </c>
      <c r="B32" s="499">
        <f t="shared" si="31"/>
        <v>1262</v>
      </c>
      <c r="C32" s="275">
        <f t="shared" si="35"/>
        <v>0</v>
      </c>
      <c r="D32" s="500">
        <f t="shared" si="24"/>
        <v>782716</v>
      </c>
      <c r="E32" s="275">
        <f t="shared" si="12"/>
        <v>0</v>
      </c>
      <c r="F32" s="275">
        <f t="shared" si="36"/>
        <v>0</v>
      </c>
      <c r="G32" s="322"/>
      <c r="H32" s="260">
        <f t="shared" si="13"/>
        <v>12231</v>
      </c>
      <c r="I32" s="275" t="str">
        <f t="shared" si="37"/>
        <v>ok</v>
      </c>
      <c r="J32" s="499">
        <f t="shared" si="30"/>
        <v>138</v>
      </c>
      <c r="K32" s="275">
        <f t="shared" si="2"/>
        <v>0</v>
      </c>
      <c r="L32" s="500">
        <f t="shared" si="29"/>
        <v>390941</v>
      </c>
      <c r="M32" s="275">
        <f t="shared" si="3"/>
        <v>0</v>
      </c>
      <c r="N32" s="275">
        <v>250</v>
      </c>
      <c r="O32" s="322"/>
      <c r="P32" s="276">
        <f t="shared" si="15"/>
        <v>10873</v>
      </c>
      <c r="Q32" s="275" t="str">
        <f t="shared" si="38"/>
        <v>ok</v>
      </c>
      <c r="R32" s="499">
        <f t="shared" si="16"/>
        <v>13912</v>
      </c>
      <c r="S32" s="275">
        <f t="shared" si="39"/>
        <v>0</v>
      </c>
      <c r="T32" s="500">
        <f t="shared" si="32"/>
        <v>417512</v>
      </c>
      <c r="U32" s="275">
        <f t="shared" si="40"/>
        <v>0</v>
      </c>
      <c r="V32" s="275">
        <v>250</v>
      </c>
      <c r="W32" s="322"/>
      <c r="X32" s="260">
        <f t="shared" si="17"/>
        <v>14773</v>
      </c>
      <c r="Y32" s="275" t="str">
        <f t="shared" si="18"/>
        <v>ok</v>
      </c>
      <c r="Z32" s="275">
        <f t="shared" si="41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4139.9999999994179</v>
      </c>
      <c r="AE32" s="73" t="e">
        <f t="shared" si="45"/>
        <v>#DIV/0!</v>
      </c>
      <c r="AF32" s="386" t="e">
        <f t="shared" si="46"/>
        <v>#DIV/0!</v>
      </c>
      <c r="AG32" s="386" t="e">
        <f t="shared" si="47"/>
        <v>#DIV/0!</v>
      </c>
      <c r="AH32" s="474" t="e">
        <f t="shared" si="48"/>
        <v>#DIV/0!</v>
      </c>
      <c r="AI32" s="73">
        <f t="shared" si="49"/>
        <v>1065.5696202530148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499">
        <v>1286</v>
      </c>
      <c r="C33" s="275">
        <f t="shared" si="35"/>
        <v>24</v>
      </c>
      <c r="D33" s="500">
        <f t="shared" si="24"/>
        <v>784756</v>
      </c>
      <c r="E33" s="275">
        <f t="shared" si="12"/>
        <v>2040</v>
      </c>
      <c r="F33" s="275">
        <f t="shared" si="36"/>
        <v>85</v>
      </c>
      <c r="G33" s="322"/>
      <c r="H33" s="260">
        <f t="shared" si="13"/>
        <v>12231</v>
      </c>
      <c r="I33" s="275" t="str">
        <f t="shared" si="37"/>
        <v>ok</v>
      </c>
      <c r="J33" s="499">
        <f t="shared" si="30"/>
        <v>138</v>
      </c>
      <c r="K33" s="275">
        <f t="shared" si="2"/>
        <v>0</v>
      </c>
      <c r="L33" s="500">
        <f t="shared" si="29"/>
        <v>390941</v>
      </c>
      <c r="M33" s="275">
        <f t="shared" si="3"/>
        <v>0</v>
      </c>
      <c r="N33" s="275">
        <v>250</v>
      </c>
      <c r="O33" s="322"/>
      <c r="P33" s="276">
        <f t="shared" si="15"/>
        <v>10873</v>
      </c>
      <c r="Q33" s="275" t="str">
        <f t="shared" si="38"/>
        <v>ok</v>
      </c>
      <c r="R33" s="499">
        <f t="shared" si="16"/>
        <v>13912</v>
      </c>
      <c r="S33" s="275">
        <f t="shared" si="39"/>
        <v>0</v>
      </c>
      <c r="T33" s="500">
        <f t="shared" si="32"/>
        <v>417512</v>
      </c>
      <c r="U33" s="275">
        <f t="shared" si="40"/>
        <v>0</v>
      </c>
      <c r="V33" s="275">
        <v>250</v>
      </c>
      <c r="W33" s="322"/>
      <c r="X33" s="260">
        <f t="shared" si="17"/>
        <v>14773</v>
      </c>
      <c r="Y33" s="275" t="str">
        <f t="shared" si="18"/>
        <v>ok</v>
      </c>
      <c r="Z33" s="275">
        <f t="shared" si="41"/>
        <v>24</v>
      </c>
      <c r="AA33" s="275">
        <f t="shared" si="42"/>
        <v>2040</v>
      </c>
      <c r="AB33" s="275">
        <f t="shared" si="43"/>
        <v>585</v>
      </c>
      <c r="AC33" s="275">
        <f t="shared" si="44"/>
        <v>85</v>
      </c>
      <c r="AD33" s="73">
        <f>ELEC!Q34</f>
        <v>2587.9999999997381</v>
      </c>
      <c r="AE33" s="73">
        <f t="shared" si="45"/>
        <v>107.83333333332241</v>
      </c>
      <c r="AF33" s="386">
        <f t="shared" si="46"/>
        <v>6.7395833333326507E-2</v>
      </c>
      <c r="AG33" s="386">
        <f t="shared" si="47"/>
        <v>4.2122395833329067E-5</v>
      </c>
      <c r="AH33" s="474">
        <f t="shared" si="48"/>
        <v>84.99995787760416</v>
      </c>
      <c r="AI33" s="73">
        <f t="shared" si="49"/>
        <v>666.10970464128286</v>
      </c>
      <c r="AJ33" s="277">
        <f t="shared" si="9"/>
        <v>0.25738396624472576</v>
      </c>
      <c r="AK33" s="277">
        <f t="shared" si="50"/>
        <v>27.754571026720118</v>
      </c>
      <c r="AL33">
        <f t="shared" si="51"/>
        <v>1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232</v>
      </c>
      <c r="V34" s="40"/>
      <c r="X34">
        <v>341</v>
      </c>
      <c r="Z34" s="403">
        <f>SUM(Z3:Z33)</f>
        <v>232</v>
      </c>
      <c r="AF34" s="386">
        <f>SUM(AE34/1600)</f>
        <v>0</v>
      </c>
      <c r="AL34">
        <f>SUM(AL3:AL33)</f>
        <v>20</v>
      </c>
    </row>
    <row r="35" spans="1:38">
      <c r="C35" s="40">
        <f>SUM(C3:C33)</f>
        <v>228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2">D42</f>
        <v>213</v>
      </c>
      <c r="T43">
        <v>8</v>
      </c>
    </row>
    <row r="44" spans="1:38" ht="15.75" thickBot="1">
      <c r="D44" s="499">
        <f t="shared" si="52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B1" activePane="topRight" state="frozen"/>
      <selection pane="topRight" activeCell="AW32" sqref="AW32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[2]tanks!$A$35</f>
        <v>44834</v>
      </c>
      <c r="B5" s="496">
        <f>'B5'!B4</f>
        <v>226</v>
      </c>
      <c r="C5" s="496">
        <f>[3]tanks!C36</f>
        <v>4281.7096774193551</v>
      </c>
      <c r="D5" s="496">
        <f>[3]tanks!D36</f>
        <v>199</v>
      </c>
      <c r="E5" s="496">
        <f>[3]tanks!E36</f>
        <v>4281.7096774193551</v>
      </c>
      <c r="F5" s="496">
        <f>[3]tanks!F36</f>
        <v>199</v>
      </c>
      <c r="G5" s="496">
        <f>[3]tanks!G36</f>
        <v>4281.7096774193551</v>
      </c>
      <c r="H5" s="496">
        <f>[3]tanks!H36</f>
        <v>199</v>
      </c>
      <c r="I5" s="496">
        <f>[3]tanks!I36</f>
        <v>4281.7096774193551</v>
      </c>
      <c r="J5" s="496">
        <f>[3]tanks!J36</f>
        <v>199</v>
      </c>
      <c r="K5" s="496">
        <f>[3]tanks!K36</f>
        <v>4281.7096774193551</v>
      </c>
      <c r="L5" s="496">
        <f>[3]tanks!L36</f>
        <v>199</v>
      </c>
      <c r="M5" s="496">
        <f>[3]tanks!M36</f>
        <v>4281.7096774193551</v>
      </c>
      <c r="N5" s="496">
        <f>[3]tanks!N36</f>
        <v>199</v>
      </c>
      <c r="O5" s="496">
        <f>[3]tanks!O36</f>
        <v>4281.7096774193551</v>
      </c>
      <c r="P5" s="496">
        <f>[3]tanks!P36</f>
        <v>199</v>
      </c>
      <c r="Q5" s="496">
        <f>[3]tanks!Q36</f>
        <v>4281.7096774193551</v>
      </c>
      <c r="R5" s="496">
        <f>[3]tanks!R36</f>
        <v>199</v>
      </c>
      <c r="S5" s="496">
        <f>[3]tanks!S36</f>
        <v>4281.7096774193551</v>
      </c>
      <c r="T5" s="496">
        <f>[3]tanks!T36</f>
        <v>199</v>
      </c>
      <c r="U5" s="496">
        <f>[3]tanks!U36</f>
        <v>4281.7096774193551</v>
      </c>
      <c r="V5" s="496">
        <f>[3]tanks!V36</f>
        <v>199</v>
      </c>
      <c r="W5" s="496">
        <f>[3]tanks!W36</f>
        <v>4281.7096774193551</v>
      </c>
      <c r="X5" s="475">
        <f>[3]tanks!X36</f>
        <v>0.64193548387096777</v>
      </c>
      <c r="Y5" s="496">
        <f>[3]tanks!Y36</f>
        <v>47098.806451612909</v>
      </c>
      <c r="Z5" s="496">
        <f>'B5'!C4</f>
        <v>232</v>
      </c>
      <c r="AA5" s="496">
        <f>[3]tanks!AA36</f>
        <v>2060</v>
      </c>
      <c r="AB5" s="496">
        <f>[3]tanks!AB36</f>
        <v>206</v>
      </c>
      <c r="AC5" s="496">
        <f>[3]tanks!AC36</f>
        <v>2060</v>
      </c>
      <c r="AD5" s="496">
        <f>[3]tanks!AD36</f>
        <v>206</v>
      </c>
      <c r="AE5" s="496">
        <f>[3]tanks!AE36</f>
        <v>2060</v>
      </c>
      <c r="AF5" s="496">
        <f>[3]tanks!AF36</f>
        <v>206</v>
      </c>
      <c r="AG5" s="496">
        <f>[3]tanks!AG36</f>
        <v>2060</v>
      </c>
      <c r="AH5" s="496">
        <f>[3]tanks!AH36</f>
        <v>206</v>
      </c>
      <c r="AI5" s="496">
        <f>[3]tanks!AI36</f>
        <v>2060</v>
      </c>
      <c r="AJ5" s="496">
        <f>[3]tanks!AJ36</f>
        <v>206</v>
      </c>
      <c r="AK5" s="496">
        <f>[3]tanks!AK36</f>
        <v>2060</v>
      </c>
      <c r="AL5" s="496">
        <f>[3]tanks!AL36</f>
        <v>206</v>
      </c>
      <c r="AM5" s="496">
        <f>[3]tanks!AM36</f>
        <v>2060</v>
      </c>
      <c r="AN5" s="475">
        <f>[3]tanks!AN36</f>
        <v>0.73571428571428577</v>
      </c>
      <c r="AO5" s="496">
        <f>[3]tanks!AO36</f>
        <v>14420</v>
      </c>
      <c r="AP5" s="496"/>
      <c r="AQ5" s="475">
        <f>[3]tanks!AQ36</f>
        <v>0.6617059960375703</v>
      </c>
      <c r="AR5" s="603">
        <f>[3]tanks!AR36</f>
        <v>61518.806451612909</v>
      </c>
      <c r="AS5" s="603">
        <f>[3]tanks!AS36</f>
        <v>-1533.3870967741823</v>
      </c>
      <c r="AT5" s="603">
        <f>[3]tanks!AT36</f>
        <v>0</v>
      </c>
      <c r="AU5" s="603">
        <f>[3]tanks!AU36</f>
        <v>0</v>
      </c>
      <c r="AV5" s="603">
        <f>[3]tanks!AV36</f>
        <v>0</v>
      </c>
      <c r="AW5" s="603">
        <f>[3]tanks!AW36</f>
        <v>-144</v>
      </c>
      <c r="AX5" s="603">
        <f>[3]tanks!AX36</f>
        <v>-1389.3870967741823</v>
      </c>
      <c r="AY5" s="603">
        <f>[3]tanks!AY36</f>
        <v>-1533.3870967741823</v>
      </c>
      <c r="AZ5" s="475">
        <f>[3]tanks!AZ36</f>
        <v>0</v>
      </c>
      <c r="BA5" s="603">
        <f>[3]tanks!BA36</f>
        <v>29.5</v>
      </c>
      <c r="BB5" s="475">
        <f>[3]tanks!BB36</f>
        <v>0.8</v>
      </c>
      <c r="BC5" s="603">
        <f>[6]tanks!BC36</f>
        <v>0</v>
      </c>
      <c r="BD5" s="603">
        <f>[6]tanks!BD36</f>
        <v>19225</v>
      </c>
      <c r="BE5" s="603" t="e">
        <f>[6]tanks!BE36</f>
        <v>#REF!</v>
      </c>
      <c r="BF5" s="603">
        <f>[6]tanks!BF36</f>
        <v>0</v>
      </c>
      <c r="BG5" s="603" t="e">
        <f>[6]tanks!BG36</f>
        <v>#REF!</v>
      </c>
      <c r="BH5" s="603">
        <f>[6]tanks!BH36</f>
        <v>0</v>
      </c>
      <c r="BI5" s="603">
        <f>[6]tanks!BI36</f>
        <v>23</v>
      </c>
    </row>
    <row r="6" spans="1:63">
      <c r="A6" s="424">
        <f>ELEC!C4</f>
        <v>44835</v>
      </c>
      <c r="B6" s="496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6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39">
        <v>5130</v>
      </c>
      <c r="AU6" s="545"/>
      <c r="AV6" s="484">
        <f>IF(AT6&gt;0,AU6,AV5)</f>
        <v>0</v>
      </c>
      <c r="AW6" s="278">
        <f>-SUM('B5'!AI5)</f>
        <v>0</v>
      </c>
      <c r="AX6" s="278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8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5"/>
    </row>
    <row r="7" spans="1:63">
      <c r="A7" s="424">
        <f>ELEC!C5</f>
        <v>44836</v>
      </c>
      <c r="B7" s="496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6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39"/>
      <c r="AU7" s="545"/>
      <c r="AV7" s="484">
        <f>IF(AT7&gt;0,AU7,AV6)</f>
        <v>0</v>
      </c>
      <c r="AW7" s="278">
        <f>-SUM('B5'!AI6)</f>
        <v>-294</v>
      </c>
      <c r="AX7" s="278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5"/>
    </row>
    <row r="8" spans="1:63">
      <c r="A8" s="424">
        <f>ELEC!C6</f>
        <v>44837</v>
      </c>
      <c r="B8" s="496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6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39"/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5">
        <f>GEN!AF5</f>
        <v>0.15954545454550581</v>
      </c>
    </row>
    <row r="9" spans="1:63">
      <c r="A9" s="424">
        <f>ELEC!C7</f>
        <v>44838</v>
      </c>
      <c r="B9" s="496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6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39"/>
      <c r="AU9" s="545"/>
      <c r="AV9" s="484">
        <f t="shared" si="43"/>
        <v>0</v>
      </c>
      <c r="AW9" s="278">
        <f>-SUM('B5'!AI8)</f>
        <v>-144</v>
      </c>
      <c r="AX9" s="278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7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5">
        <f>GEN!AF6</f>
        <v>0.19159722222234954</v>
      </c>
    </row>
    <row r="10" spans="1:63">
      <c r="A10" s="424">
        <f>ELEC!C8</f>
        <v>44839</v>
      </c>
      <c r="B10" s="496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6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39"/>
      <c r="AU10" s="545"/>
      <c r="AV10" s="484">
        <f>IF(AT10&gt;0,AU10,AV9)</f>
        <v>0</v>
      </c>
      <c r="AW10" s="278">
        <f>-SUM('B5'!AI9)</f>
        <v>-64</v>
      </c>
      <c r="AX10" s="278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7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5">
        <f>GEN!AF7</f>
        <v>0.1999999999998181</v>
      </c>
    </row>
    <row r="11" spans="1:63">
      <c r="A11" s="424">
        <f>ELEC!C9</f>
        <v>44840</v>
      </c>
      <c r="B11" s="496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6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2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39"/>
      <c r="AU11" s="545"/>
      <c r="AV11" s="484">
        <f>IF(AT11&gt;0,AU11,AV10)</f>
        <v>0</v>
      </c>
      <c r="AW11" s="278">
        <f>-SUM('B5'!AI10)</f>
        <v>-61</v>
      </c>
      <c r="AX11" s="278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7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5"/>
    </row>
    <row r="12" spans="1:63">
      <c r="A12" s="424">
        <f>ELEC!C10</f>
        <v>44841</v>
      </c>
      <c r="B12" s="496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6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2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12</v>
      </c>
      <c r="AX12" s="278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7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5"/>
    </row>
    <row r="13" spans="1:63">
      <c r="A13" s="424">
        <f>ELEC!C11</f>
        <v>44842</v>
      </c>
      <c r="B13" s="496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6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2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44843</v>
      </c>
      <c r="B14" s="496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6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44844</v>
      </c>
      <c r="B15" s="496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6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39"/>
      <c r="AU15" s="545"/>
      <c r="AV15" s="484">
        <f>IF(AT15&gt;0,AU15,AV14)</f>
        <v>0</v>
      </c>
      <c r="AW15" s="278">
        <f>-SUM('B5'!AI14)</f>
        <v>-173</v>
      </c>
      <c r="AX15" s="278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5">
        <f>GEN!AF12</f>
        <v>0.15338541666665151</v>
      </c>
    </row>
    <row r="16" spans="1:63">
      <c r="A16" s="424">
        <f>ELEC!C14</f>
        <v>44845</v>
      </c>
      <c r="B16" s="496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6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7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5">
        <f>GEN!AF13</f>
        <v>0.14381249999996726</v>
      </c>
    </row>
    <row r="17" spans="1:64">
      <c r="A17" s="424">
        <f>ELEC!C15</f>
        <v>44846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39">
        <v>5530</v>
      </c>
      <c r="AU17" s="545">
        <v>1.03</v>
      </c>
      <c r="AV17" s="484">
        <f>IF(AT17&gt;0,AU17,AV16)</f>
        <v>1.03</v>
      </c>
      <c r="AW17" s="278">
        <f>-SUM('B5'!AI16)</f>
        <v>-172</v>
      </c>
      <c r="AX17" s="278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7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5">
        <f>GEN!AF14</f>
        <v>0.15040178571439355</v>
      </c>
    </row>
    <row r="18" spans="1:64">
      <c r="A18" s="424">
        <f>ELEC!C16</f>
        <v>44847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1.03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44848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39"/>
      <c r="AU19" s="545"/>
      <c r="AV19" s="484">
        <f t="shared" si="47"/>
        <v>1.03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44849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39"/>
      <c r="AU20" s="545"/>
      <c r="AV20" s="484">
        <f t="shared" si="47"/>
        <v>1.03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>
        <f>GEN!AF17</f>
        <v>0</v>
      </c>
      <c r="BL20" s="203"/>
    </row>
    <row r="21" spans="1:64">
      <c r="A21" s="424">
        <f>ELEC!C19</f>
        <v>44850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39"/>
      <c r="AU21" s="545"/>
      <c r="AV21" s="484">
        <f t="shared" si="47"/>
        <v>1.03</v>
      </c>
      <c r="AW21" s="278">
        <f>-SUM('B5'!AI20)</f>
        <v>-305</v>
      </c>
      <c r="AX21" s="278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5">
        <f>GEN!AF18</f>
        <v>0.28403409090907933</v>
      </c>
    </row>
    <row r="22" spans="1:64">
      <c r="A22" s="424">
        <f>ELEC!C20</f>
        <v>44851</v>
      </c>
      <c r="B22" s="496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6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39"/>
      <c r="AU22" s="545"/>
      <c r="AV22" s="484">
        <f t="shared" si="47"/>
        <v>1.03</v>
      </c>
      <c r="AW22" s="278">
        <f>-SUM('B5'!AI21)</f>
        <v>-116</v>
      </c>
      <c r="AX22" s="278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7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5">
        <f>GEN!AF19</f>
        <v>0.12599999999997635</v>
      </c>
    </row>
    <row r="23" spans="1:64">
      <c r="A23" s="424">
        <f>ELEC!C21</f>
        <v>44852</v>
      </c>
      <c r="B23" s="496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6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39"/>
      <c r="AU23" s="545"/>
      <c r="AV23" s="484">
        <f t="shared" si="47"/>
        <v>1.03</v>
      </c>
      <c r="AW23" s="278">
        <f>-SUM('B5'!AI22)</f>
        <v>0</v>
      </c>
      <c r="AX23" s="278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7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5">
        <f>GEN!AF20</f>
        <v>0.13916666666659694</v>
      </c>
    </row>
    <row r="24" spans="1:64">
      <c r="A24" s="424">
        <f>ELEC!C22</f>
        <v>44853</v>
      </c>
      <c r="B24" s="496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6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39"/>
      <c r="AU24" s="545"/>
      <c r="AV24" s="484">
        <f t="shared" si="47"/>
        <v>1.03</v>
      </c>
      <c r="AW24" s="278">
        <f>-SUM('B5'!AI23)</f>
        <v>-107</v>
      </c>
      <c r="AX24" s="278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7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5">
        <f>GEN!AF21</f>
        <v>0.13880681818177851</v>
      </c>
    </row>
    <row r="25" spans="1:64">
      <c r="A25" s="424">
        <f>ELEC!C23</f>
        <v>44854</v>
      </c>
      <c r="B25" s="496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6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39">
        <v>7555</v>
      </c>
      <c r="AU25" s="545">
        <v>1.0549999999999999</v>
      </c>
      <c r="AV25" s="484">
        <f t="shared" si="47"/>
        <v>1.0549999999999999</v>
      </c>
      <c r="AW25" s="278">
        <f>-SUM('B5'!AI24)</f>
        <v>-38</v>
      </c>
      <c r="AX25" s="278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7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5"/>
    </row>
    <row r="26" spans="1:64">
      <c r="A26" s="424">
        <f>ELEC!C24</f>
        <v>44855</v>
      </c>
      <c r="B26" s="49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6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39"/>
      <c r="AU26" s="545"/>
      <c r="AV26" s="484">
        <f t="shared" si="47"/>
        <v>1.0549999999999999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44856</v>
      </c>
      <c r="B27" s="496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6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39"/>
      <c r="AU27" s="545"/>
      <c r="AV27" s="484">
        <f t="shared" si="47"/>
        <v>1.0549999999999999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962.87341772104719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44857</v>
      </c>
      <c r="B28" s="496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496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0.80939324860256712</v>
      </c>
      <c r="AR28" s="38">
        <f t="shared" si="41"/>
        <v>75249.290322580666</v>
      </c>
      <c r="AS28" s="197">
        <f t="shared" si="48"/>
        <v>-1533.3870967741677</v>
      </c>
      <c r="AT28" s="339"/>
      <c r="AU28" s="545"/>
      <c r="AV28" s="484">
        <f t="shared" si="47"/>
        <v>1.0549999999999999</v>
      </c>
      <c r="AW28" s="278">
        <f>-SUM('B5'!AI27)</f>
        <v>-190</v>
      </c>
      <c r="AX28" s="278">
        <f t="shared" si="17"/>
        <v>-1343.3870967741677</v>
      </c>
      <c r="AY28" s="37">
        <f t="shared" si="37"/>
        <v>-1533.3870967741677</v>
      </c>
      <c r="AZ28" s="100">
        <f>ELEC!A26</f>
        <v>0</v>
      </c>
      <c r="BA28" s="118">
        <f>'General information '!D27</f>
        <v>24</v>
      </c>
      <c r="BB28" s="377">
        <f>SUM('General information '!E27)</f>
        <v>0.6</v>
      </c>
      <c r="BC28" s="3">
        <f t="shared" si="44"/>
        <v>0</v>
      </c>
      <c r="BD28" s="102">
        <v>19222</v>
      </c>
      <c r="BE28" s="14">
        <f>(305/1185)*ELEC!Q27</f>
        <v>731.48523206765299</v>
      </c>
      <c r="BF28" s="14"/>
      <c r="BG28" s="14" t="e">
        <f>#REF!-BE28</f>
        <v>#REF!</v>
      </c>
      <c r="BH28" s="11"/>
      <c r="BI28">
        <v>15</v>
      </c>
      <c r="BJ28">
        <f t="shared" si="46"/>
        <v>-89.55913978494452</v>
      </c>
      <c r="BK28" s="535">
        <f>GEN!AF25</f>
        <v>0.1948437499999045</v>
      </c>
    </row>
    <row r="29" spans="1:64">
      <c r="A29" s="424">
        <f>ELEC!C27</f>
        <v>44858</v>
      </c>
      <c r="B29" s="496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496">
        <f>'B5'!C28</f>
        <v>247</v>
      </c>
      <c r="AA29" s="203">
        <f t="shared" si="30"/>
        <v>2470</v>
      </c>
      <c r="AB29" s="203">
        <f t="shared" si="31"/>
        <v>247</v>
      </c>
      <c r="AC29" s="203">
        <f t="shared" si="30"/>
        <v>2470</v>
      </c>
      <c r="AD29" s="203">
        <f t="shared" si="32"/>
        <v>247</v>
      </c>
      <c r="AE29" s="203">
        <f t="shared" si="11"/>
        <v>2470</v>
      </c>
      <c r="AF29" s="203">
        <f t="shared" si="33"/>
        <v>247</v>
      </c>
      <c r="AG29" s="203">
        <f t="shared" si="12"/>
        <v>2470</v>
      </c>
      <c r="AH29" s="203">
        <f t="shared" si="34"/>
        <v>247</v>
      </c>
      <c r="AI29" s="203">
        <f t="shared" si="13"/>
        <v>2470</v>
      </c>
      <c r="AJ29" s="203">
        <f t="shared" si="35"/>
        <v>247</v>
      </c>
      <c r="AK29" s="203">
        <f t="shared" si="14"/>
        <v>2470</v>
      </c>
      <c r="AL29" s="203">
        <f t="shared" si="36"/>
        <v>247</v>
      </c>
      <c r="AM29" s="203">
        <f t="shared" si="15"/>
        <v>2470</v>
      </c>
      <c r="AN29" s="35">
        <f t="shared" si="16"/>
        <v>0.88214285714285712</v>
      </c>
      <c r="AO29" s="36">
        <f t="shared" si="39"/>
        <v>17290</v>
      </c>
      <c r="AQ29" s="223">
        <f t="shared" si="40"/>
        <v>0.79695149666732601</v>
      </c>
      <c r="AR29" s="38">
        <f t="shared" si="41"/>
        <v>74092.580645161303</v>
      </c>
      <c r="AS29" s="197">
        <f>SUM(AR29-AR28-AT29)</f>
        <v>-1156.7096774193633</v>
      </c>
      <c r="AT29" s="339"/>
      <c r="AU29" s="545"/>
      <c r="AV29" s="484">
        <f t="shared" si="47"/>
        <v>1.0549999999999999</v>
      </c>
      <c r="AW29" s="278">
        <f>-SUM('B5'!AI28)</f>
        <v>-158</v>
      </c>
      <c r="AX29" s="278">
        <f t="shared" si="17"/>
        <v>-998.70967741936329</v>
      </c>
      <c r="AY29" s="37">
        <f t="shared" si="37"/>
        <v>-1156.7096774193633</v>
      </c>
      <c r="AZ29" s="100">
        <f>ELEC!A27</f>
        <v>0</v>
      </c>
      <c r="BA29" s="118">
        <f>'General information '!D28</f>
        <v>24.5</v>
      </c>
      <c r="BB29" s="377">
        <f>SUM('General information '!E28)</f>
        <v>0.51</v>
      </c>
      <c r="BC29" s="3">
        <f t="shared" si="44"/>
        <v>0</v>
      </c>
      <c r="BD29" s="102">
        <v>19222</v>
      </c>
      <c r="BE29" s="14">
        <f>(305/1185)*ELEC!Q28</f>
        <v>851.94092827037935</v>
      </c>
      <c r="BF29" s="14"/>
      <c r="BG29" s="14" t="e">
        <f>#REF!-BE29</f>
        <v>#REF!</v>
      </c>
      <c r="BH29" s="11"/>
      <c r="BI29">
        <v>16</v>
      </c>
      <c r="BJ29">
        <f t="shared" si="46"/>
        <v>-62.419354838710206</v>
      </c>
      <c r="BK29" s="535">
        <f>GEN!AF26</f>
        <v>0.17762500000003456</v>
      </c>
    </row>
    <row r="30" spans="1:64">
      <c r="A30" s="424">
        <f>ELEC!C28</f>
        <v>44859</v>
      </c>
      <c r="B30" s="496">
        <f>'B5'!B29</f>
        <v>237</v>
      </c>
      <c r="C30" s="203">
        <f t="shared" si="18"/>
        <v>5099.322580645161</v>
      </c>
      <c r="D30">
        <f>SUM(B30)</f>
        <v>237</v>
      </c>
      <c r="E30" s="203">
        <f t="shared" si="18"/>
        <v>5099.322580645161</v>
      </c>
      <c r="F30">
        <f>SUM(D30)</f>
        <v>237</v>
      </c>
      <c r="G30" s="203">
        <f t="shared" si="1"/>
        <v>5099.322580645161</v>
      </c>
      <c r="H30" s="203">
        <f>SUM(F30)</f>
        <v>237</v>
      </c>
      <c r="I30" s="203">
        <f t="shared" si="2"/>
        <v>5099.322580645161</v>
      </c>
      <c r="J30" s="203">
        <f>SUM(H30)</f>
        <v>237</v>
      </c>
      <c r="K30" s="203">
        <f t="shared" si="3"/>
        <v>5099.322580645161</v>
      </c>
      <c r="L30" s="203">
        <f>SUM(J30)</f>
        <v>237</v>
      </c>
      <c r="M30" s="203">
        <f t="shared" si="4"/>
        <v>5099.322580645161</v>
      </c>
      <c r="N30" s="203">
        <f>SUM(L30)</f>
        <v>237</v>
      </c>
      <c r="O30" s="203">
        <f t="shared" si="5"/>
        <v>5099.322580645161</v>
      </c>
      <c r="P30" s="203">
        <f>SUM(N30)</f>
        <v>237</v>
      </c>
      <c r="Q30" s="203">
        <f t="shared" si="6"/>
        <v>5099.322580645161</v>
      </c>
      <c r="R30" s="203">
        <f>SUM(P30)</f>
        <v>237</v>
      </c>
      <c r="S30" s="203">
        <f t="shared" si="7"/>
        <v>5099.322580645161</v>
      </c>
      <c r="T30" s="203">
        <f>SUM(R30)</f>
        <v>237</v>
      </c>
      <c r="U30" s="203">
        <f t="shared" si="8"/>
        <v>5099.322580645161</v>
      </c>
      <c r="V30" s="203">
        <f>SUM(T30)</f>
        <v>237</v>
      </c>
      <c r="W30" s="203">
        <f t="shared" si="9"/>
        <v>5099.322580645161</v>
      </c>
      <c r="X30" s="35">
        <f>SUM(Y30/73370)</f>
        <v>0.76451612903225785</v>
      </c>
      <c r="Y30" s="36">
        <f>SUM(C30+E30+G30+I30+K30+M30+O30+Q30+S30+U30+W30)</f>
        <v>56092.548387096758</v>
      </c>
      <c r="Z30" s="496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0.78630255337309629</v>
      </c>
      <c r="AR30" s="38">
        <f t="shared" si="41"/>
        <v>73102.548387096758</v>
      </c>
      <c r="AS30" s="197">
        <f>SUM(AR30-AR29-AT30)</f>
        <v>-990.03225806454429</v>
      </c>
      <c r="AT30" s="339"/>
      <c r="AU30" s="545"/>
      <c r="AV30" s="484">
        <f t="shared" si="47"/>
        <v>1.0549999999999999</v>
      </c>
      <c r="AW30" s="278">
        <f>-SUM('B5'!AI29)</f>
        <v>-112</v>
      </c>
      <c r="AX30" s="278">
        <f t="shared" si="17"/>
        <v>-878.03225806454429</v>
      </c>
      <c r="AY30" s="37">
        <f t="shared" si="37"/>
        <v>-990.03225806454429</v>
      </c>
      <c r="AZ30" s="100">
        <f>ELEC!A28</f>
        <v>0</v>
      </c>
      <c r="BA30" s="118">
        <f>'General information '!D29</f>
        <v>24.5</v>
      </c>
      <c r="BB30" s="377">
        <f>SUM('General information '!E29)</f>
        <v>0.6</v>
      </c>
      <c r="BC30" s="3">
        <f t="shared" si="44"/>
        <v>0</v>
      </c>
      <c r="BD30" s="102">
        <v>19222</v>
      </c>
      <c r="BE30" s="14">
        <f>(305/1185)*ELEC!Q29</f>
        <v>754.13502109618503</v>
      </c>
      <c r="BF30" s="14"/>
      <c r="BG30" s="14" t="e">
        <f>#REF!-BE30</f>
        <v>#REF!</v>
      </c>
      <c r="BH30" s="11"/>
      <c r="BI30">
        <v>17</v>
      </c>
      <c r="BJ30">
        <f t="shared" si="46"/>
        <v>-51.648956356737898</v>
      </c>
      <c r="BK30" s="535">
        <f>GEN!AF27</f>
        <v>0.18806818181825624</v>
      </c>
    </row>
    <row r="31" spans="1:64">
      <c r="A31" s="424">
        <f>ELEC!C29</f>
        <v>44860</v>
      </c>
      <c r="B31" s="496">
        <f>'B5'!B30</f>
        <v>233</v>
      </c>
      <c r="C31" s="203">
        <f t="shared" si="18"/>
        <v>5013.2580645161288</v>
      </c>
      <c r="D31">
        <f>SUM(B31)</f>
        <v>233</v>
      </c>
      <c r="E31" s="203">
        <f t="shared" si="18"/>
        <v>5013.2580645161288</v>
      </c>
      <c r="F31">
        <f>SUM(D31)</f>
        <v>233</v>
      </c>
      <c r="G31" s="203">
        <f t="shared" si="1"/>
        <v>5013.2580645161288</v>
      </c>
      <c r="H31" s="203">
        <f>SUM(F31)</f>
        <v>233</v>
      </c>
      <c r="I31" s="203">
        <f t="shared" si="2"/>
        <v>5013.2580645161288</v>
      </c>
      <c r="J31" s="203">
        <f>SUM(H31)</f>
        <v>233</v>
      </c>
      <c r="K31" s="203">
        <f t="shared" si="3"/>
        <v>5013.2580645161288</v>
      </c>
      <c r="L31" s="203">
        <f>SUM(J31)</f>
        <v>233</v>
      </c>
      <c r="M31" s="203">
        <f t="shared" si="4"/>
        <v>5013.2580645161288</v>
      </c>
      <c r="N31" s="203">
        <f>SUM(L31)</f>
        <v>233</v>
      </c>
      <c r="O31" s="203">
        <f t="shared" si="5"/>
        <v>5013.2580645161288</v>
      </c>
      <c r="P31" s="203">
        <f>SUM(N31)</f>
        <v>233</v>
      </c>
      <c r="Q31" s="203">
        <f t="shared" si="6"/>
        <v>5013.2580645161288</v>
      </c>
      <c r="R31" s="203">
        <f>SUM(P31)</f>
        <v>233</v>
      </c>
      <c r="S31" s="203">
        <f t="shared" si="7"/>
        <v>5013.2580645161288</v>
      </c>
      <c r="T31" s="203">
        <f>SUM(R31)</f>
        <v>233</v>
      </c>
      <c r="U31" s="203">
        <f t="shared" si="8"/>
        <v>5013.2580645161288</v>
      </c>
      <c r="V31" s="203">
        <f>SUM(T31)</f>
        <v>233</v>
      </c>
      <c r="W31" s="203">
        <f t="shared" si="9"/>
        <v>5013.2580645161288</v>
      </c>
      <c r="X31" s="35">
        <f>SUM(Y31/73370)</f>
        <v>0.75161290322580643</v>
      </c>
      <c r="Y31" s="36">
        <f>SUM(C31+E31+G31+I31+K31+M31+O31+Q31+S31+U31+W31)</f>
        <v>55145.838709677417</v>
      </c>
      <c r="Z31" s="496">
        <f>'B5'!C30</f>
        <v>239</v>
      </c>
      <c r="AA31" s="203">
        <f t="shared" si="30"/>
        <v>2390</v>
      </c>
      <c r="AB31" s="203">
        <f>SUM(Z31)</f>
        <v>239</v>
      </c>
      <c r="AC31" s="203">
        <f t="shared" si="30"/>
        <v>2390</v>
      </c>
      <c r="AD31" s="203">
        <f>SUM(AB31)</f>
        <v>239</v>
      </c>
      <c r="AE31" s="203">
        <f t="shared" si="11"/>
        <v>2390</v>
      </c>
      <c r="AF31" s="203">
        <f>SUM(AD31)</f>
        <v>239</v>
      </c>
      <c r="AG31" s="203">
        <f t="shared" si="12"/>
        <v>2390</v>
      </c>
      <c r="AH31" s="203">
        <f>SUM(AF31)</f>
        <v>239</v>
      </c>
      <c r="AI31" s="203">
        <f t="shared" si="13"/>
        <v>2390</v>
      </c>
      <c r="AJ31" s="203">
        <f>SUM(AH31)</f>
        <v>239</v>
      </c>
      <c r="AK31" s="203">
        <f t="shared" si="14"/>
        <v>2390</v>
      </c>
      <c r="AL31" s="203">
        <f>SUM(AJ31)</f>
        <v>239</v>
      </c>
      <c r="AM31" s="203">
        <f t="shared" si="15"/>
        <v>2390</v>
      </c>
      <c r="AN31" s="35">
        <f>SUM(AO31/19600)</f>
        <v>0.85357142857142854</v>
      </c>
      <c r="AO31" s="36">
        <f>SUM(AA31+AC31+AE31+AG31+AI31+AK31+AM31)</f>
        <v>16730</v>
      </c>
      <c r="AQ31" s="223">
        <f t="shared" si="40"/>
        <v>0.77310787038482764</v>
      </c>
      <c r="AR31" s="38">
        <f t="shared" si="41"/>
        <v>71875.838709677424</v>
      </c>
      <c r="AS31" s="197">
        <f t="shared" si="48"/>
        <v>-1226.7096774193342</v>
      </c>
      <c r="AT31" s="339"/>
      <c r="AU31" s="545"/>
      <c r="AV31" s="484">
        <f t="shared" si="47"/>
        <v>1.0549999999999999</v>
      </c>
      <c r="AW31" s="278">
        <f>-SUM('B5'!AI30)</f>
        <v>-35</v>
      </c>
      <c r="AX31" s="278">
        <f t="shared" si="17"/>
        <v>-1191.7096774193342</v>
      </c>
      <c r="AY31" s="37">
        <f t="shared" si="37"/>
        <v>-1226.7096774193342</v>
      </c>
      <c r="AZ31" s="100">
        <f>ELEC!A29</f>
        <v>0</v>
      </c>
      <c r="BA31" s="118">
        <f>'General information '!D30</f>
        <v>24.5</v>
      </c>
      <c r="BB31" s="377">
        <f>SUM('General information '!E30)</f>
        <v>0.53</v>
      </c>
      <c r="BC31" s="3">
        <f t="shared" si="44"/>
        <v>0</v>
      </c>
      <c r="BD31" s="102">
        <v>19222</v>
      </c>
      <c r="BE31" s="14">
        <f>(305/1185)*ELEC!Q30</f>
        <v>931.21518987398713</v>
      </c>
      <c r="BF31" s="14"/>
      <c r="BG31" s="14" t="e">
        <f>#REF!-BE31</f>
        <v>#REF!</v>
      </c>
      <c r="BH31" s="11"/>
      <c r="BI31">
        <v>18</v>
      </c>
      <c r="BJ31">
        <f t="shared" si="46"/>
        <v>-66.206093189963013</v>
      </c>
      <c r="BK31" s="535">
        <f>GEN!AF28</f>
        <v>0.16647727272708257</v>
      </c>
    </row>
    <row r="32" spans="1:64">
      <c r="A32" s="424">
        <f>ELEC!C30</f>
        <v>44861</v>
      </c>
      <c r="B32" s="496">
        <f>'B5'!B31</f>
        <v>249</v>
      </c>
      <c r="C32" s="203">
        <f t="shared" si="18"/>
        <v>5357.5161290322576</v>
      </c>
      <c r="D32">
        <f>SUM(B32)</f>
        <v>249</v>
      </c>
      <c r="E32" s="203">
        <f t="shared" si="18"/>
        <v>5357.5161290322576</v>
      </c>
      <c r="F32">
        <f>SUM(D32)</f>
        <v>249</v>
      </c>
      <c r="G32" s="203">
        <f t="shared" si="1"/>
        <v>5357.5161290322576</v>
      </c>
      <c r="H32" s="203">
        <f>SUM(F32)</f>
        <v>249</v>
      </c>
      <c r="I32" s="203">
        <f t="shared" si="2"/>
        <v>5357.5161290322576</v>
      </c>
      <c r="J32" s="203">
        <f>SUM(H32)</f>
        <v>249</v>
      </c>
      <c r="K32" s="203">
        <f t="shared" si="3"/>
        <v>5357.5161290322576</v>
      </c>
      <c r="L32" s="203">
        <f>SUM(J32)</f>
        <v>249</v>
      </c>
      <c r="M32" s="203">
        <f t="shared" si="4"/>
        <v>5357.5161290322576</v>
      </c>
      <c r="N32" s="203">
        <f>SUM(L32)</f>
        <v>249</v>
      </c>
      <c r="O32" s="203">
        <f t="shared" si="5"/>
        <v>5357.5161290322576</v>
      </c>
      <c r="P32" s="203">
        <f>SUM(N32)</f>
        <v>249</v>
      </c>
      <c r="Q32" s="203">
        <f t="shared" si="6"/>
        <v>5357.5161290322576</v>
      </c>
      <c r="R32" s="203">
        <f>SUM(P32)</f>
        <v>249</v>
      </c>
      <c r="S32" s="203">
        <f t="shared" si="7"/>
        <v>5357.5161290322576</v>
      </c>
      <c r="T32" s="203">
        <f>SUM(R32)</f>
        <v>249</v>
      </c>
      <c r="U32" s="203">
        <f t="shared" si="8"/>
        <v>5357.5161290322576</v>
      </c>
      <c r="V32" s="203">
        <f>SUM(T32)</f>
        <v>249</v>
      </c>
      <c r="W32" s="203">
        <f t="shared" si="9"/>
        <v>5357.5161290322576</v>
      </c>
      <c r="X32" s="35">
        <f>SUM(Y32/73370)</f>
        <v>0.80322580645161279</v>
      </c>
      <c r="Y32" s="36">
        <f>SUM(C32+E32+G32+I32+K32+M32+O32+Q32+S32+U32+W32)</f>
        <v>58932.677419354834</v>
      </c>
      <c r="Z32" s="496">
        <f>'B5'!C31</f>
        <v>255</v>
      </c>
      <c r="AA32" s="203">
        <f t="shared" si="30"/>
        <v>2550</v>
      </c>
      <c r="AB32" s="203">
        <f>SUM(Z32)</f>
        <v>255</v>
      </c>
      <c r="AC32" s="203">
        <f t="shared" si="30"/>
        <v>2550</v>
      </c>
      <c r="AD32" s="203">
        <f>SUM(AB32)</f>
        <v>255</v>
      </c>
      <c r="AE32" s="203">
        <f t="shared" si="11"/>
        <v>2550</v>
      </c>
      <c r="AF32" s="203">
        <f>SUM(AD32)</f>
        <v>255</v>
      </c>
      <c r="AG32" s="203">
        <f t="shared" si="12"/>
        <v>2550</v>
      </c>
      <c r="AH32" s="203">
        <f>SUM(AF32)</f>
        <v>255</v>
      </c>
      <c r="AI32" s="203">
        <f t="shared" si="13"/>
        <v>2550</v>
      </c>
      <c r="AJ32" s="203">
        <f>SUM(AH32)</f>
        <v>255</v>
      </c>
      <c r="AK32" s="203">
        <f t="shared" si="14"/>
        <v>2550</v>
      </c>
      <c r="AL32" s="203">
        <f>SUM(AJ32)</f>
        <v>255</v>
      </c>
      <c r="AM32" s="203">
        <f t="shared" si="15"/>
        <v>2550</v>
      </c>
      <c r="AN32" s="35">
        <f>SUM(AO32/19600)</f>
        <v>0.9107142857142857</v>
      </c>
      <c r="AO32" s="36">
        <f>SUM(AA32+AC32+AE32+AG32+AI32+AK32+AM32)</f>
        <v>17850</v>
      </c>
      <c r="AQ32" s="223">
        <f t="shared" si="40"/>
        <v>0.8258866023379029</v>
      </c>
      <c r="AR32" s="38">
        <f t="shared" si="41"/>
        <v>76782.677419354834</v>
      </c>
      <c r="AS32" s="197">
        <f t="shared" si="48"/>
        <v>-623.1612903225905</v>
      </c>
      <c r="AT32" s="339">
        <v>5530</v>
      </c>
      <c r="AU32" s="545">
        <v>1.0349999999999999</v>
      </c>
      <c r="AV32" s="484">
        <f t="shared" si="47"/>
        <v>1.0349999999999999</v>
      </c>
      <c r="AW32" s="278">
        <f>-SUM('B5'!AI31)</f>
        <v>-65</v>
      </c>
      <c r="AX32" s="278">
        <f t="shared" si="17"/>
        <v>-558.1612903225905</v>
      </c>
      <c r="AY32" s="37">
        <f t="shared" si="37"/>
        <v>-623.1612903225905</v>
      </c>
      <c r="AZ32" s="100">
        <f>ELEC!A30</f>
        <v>0</v>
      </c>
      <c r="BA32" s="118">
        <f>'General information '!D31</f>
        <v>24</v>
      </c>
      <c r="BB32" s="377">
        <f>SUM('General information '!E31)</f>
        <v>0.59</v>
      </c>
      <c r="BC32" s="3">
        <f t="shared" si="44"/>
        <v>1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-29.376910016978446</v>
      </c>
      <c r="BK32" s="535">
        <f>GEN!AF29</f>
        <v>0.17394230769241403</v>
      </c>
    </row>
    <row r="33" spans="1:63">
      <c r="A33" s="424">
        <f>ELEC!C31</f>
        <v>44862</v>
      </c>
      <c r="B33" s="496">
        <f>'B5'!B32</f>
        <v>249</v>
      </c>
      <c r="C33" s="203">
        <f t="shared" si="18"/>
        <v>5357.5161290322576</v>
      </c>
      <c r="D33">
        <f>SUM(B33)</f>
        <v>249</v>
      </c>
      <c r="E33" s="203">
        <f t="shared" si="18"/>
        <v>5357.5161290322576</v>
      </c>
      <c r="F33">
        <f>SUM(D33)</f>
        <v>249</v>
      </c>
      <c r="G33" s="203">
        <f t="shared" si="1"/>
        <v>5357.5161290322576</v>
      </c>
      <c r="H33" s="203">
        <f>SUM(F33)</f>
        <v>249</v>
      </c>
      <c r="I33" s="203">
        <f t="shared" si="2"/>
        <v>5357.5161290322576</v>
      </c>
      <c r="J33" s="203">
        <f>SUM(H33)</f>
        <v>249</v>
      </c>
      <c r="K33" s="203">
        <f t="shared" si="3"/>
        <v>5357.5161290322576</v>
      </c>
      <c r="L33" s="203">
        <f>SUM(J33)</f>
        <v>249</v>
      </c>
      <c r="M33" s="203">
        <f t="shared" si="4"/>
        <v>5357.5161290322576</v>
      </c>
      <c r="N33" s="203">
        <f>SUM(L33)</f>
        <v>249</v>
      </c>
      <c r="O33" s="203">
        <f t="shared" si="5"/>
        <v>5357.5161290322576</v>
      </c>
      <c r="P33" s="203">
        <f>SUM(N33)</f>
        <v>249</v>
      </c>
      <c r="Q33" s="203">
        <f t="shared" si="6"/>
        <v>5357.5161290322576</v>
      </c>
      <c r="R33" s="203">
        <f>SUM(P33)</f>
        <v>249</v>
      </c>
      <c r="S33" s="203">
        <f t="shared" si="7"/>
        <v>5357.5161290322576</v>
      </c>
      <c r="T33" s="203">
        <f>SUM(R33)</f>
        <v>249</v>
      </c>
      <c r="U33" s="203">
        <f t="shared" si="8"/>
        <v>5357.5161290322576</v>
      </c>
      <c r="V33" s="203">
        <f>SUM(T33)</f>
        <v>249</v>
      </c>
      <c r="W33" s="203">
        <f t="shared" si="9"/>
        <v>5357.5161290322576</v>
      </c>
      <c r="X33" s="35">
        <f>SUM(Y33/73370)</f>
        <v>0.80322580645161279</v>
      </c>
      <c r="Y33" s="36">
        <f>SUM(C33+E33+G33+I33+K33+M33+O33+Q33+S33+U33+W33)</f>
        <v>58932.677419354834</v>
      </c>
      <c r="Z33" s="496">
        <f>'B5'!C32</f>
        <v>255</v>
      </c>
      <c r="AA33" s="203">
        <f t="shared" si="30"/>
        <v>2550</v>
      </c>
      <c r="AB33" s="203">
        <f>SUM(Z33)</f>
        <v>255</v>
      </c>
      <c r="AC33" s="203">
        <f t="shared" si="30"/>
        <v>2550</v>
      </c>
      <c r="AD33" s="203">
        <f>SUM(AB33)</f>
        <v>255</v>
      </c>
      <c r="AE33" s="203">
        <f t="shared" si="11"/>
        <v>2550</v>
      </c>
      <c r="AF33" s="203">
        <f>SUM(AD33)</f>
        <v>255</v>
      </c>
      <c r="AG33" s="203">
        <f t="shared" si="12"/>
        <v>2550</v>
      </c>
      <c r="AH33" s="203">
        <f>SUM(AF33)</f>
        <v>255</v>
      </c>
      <c r="AI33" s="203">
        <f t="shared" si="13"/>
        <v>2550</v>
      </c>
      <c r="AJ33" s="203">
        <f>SUM(AH33)</f>
        <v>255</v>
      </c>
      <c r="AK33" s="203">
        <f t="shared" si="14"/>
        <v>2550</v>
      </c>
      <c r="AL33" s="203">
        <f>SUM(AJ33)</f>
        <v>255</v>
      </c>
      <c r="AM33" s="203">
        <f t="shared" si="15"/>
        <v>2550</v>
      </c>
      <c r="AN33" s="35">
        <f>SUM(AO33/19600)</f>
        <v>0.9107142857142857</v>
      </c>
      <c r="AO33" s="36">
        <f>SUM(AA33+AC33+AE33+AG33+AI33+AK33+AM33)</f>
        <v>17850</v>
      </c>
      <c r="AQ33" s="223">
        <f t="shared" si="40"/>
        <v>0.8258866023379029</v>
      </c>
      <c r="AR33" s="38">
        <f t="shared" si="41"/>
        <v>76782.677419354834</v>
      </c>
      <c r="AS33" s="197">
        <f>SUM(AR33-AR32-AT33)</f>
        <v>0</v>
      </c>
      <c r="AT33" s="339"/>
      <c r="AU33" s="545"/>
      <c r="AV33" s="484">
        <f t="shared" si="47"/>
        <v>1.0349999999999999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44863</v>
      </c>
      <c r="B34" s="496">
        <f>'B5'!B33</f>
        <v>249</v>
      </c>
      <c r="C34" s="203">
        <f t="shared" ref="C34:C36" si="49">B34*$B$4</f>
        <v>5357.5161290322576</v>
      </c>
      <c r="D34">
        <f t="shared" ref="D34:D36" si="50">SUM(B34)</f>
        <v>249</v>
      </c>
      <c r="E34" s="203">
        <f t="shared" ref="E34:E36" si="51">D34*$B$4</f>
        <v>5357.5161290322576</v>
      </c>
      <c r="F34">
        <f t="shared" ref="F34:F36" si="52">SUM(D34)</f>
        <v>249</v>
      </c>
      <c r="G34" s="203">
        <f t="shared" ref="G34:G36" si="53">F34*$B$4</f>
        <v>5357.5161290322576</v>
      </c>
      <c r="H34" s="203">
        <f t="shared" ref="H34:H36" si="54">SUM(F34)</f>
        <v>249</v>
      </c>
      <c r="I34" s="203">
        <f t="shared" ref="I34:I36" si="55">H34*$B$4</f>
        <v>5357.5161290322576</v>
      </c>
      <c r="J34" s="203">
        <f t="shared" ref="J34:J36" si="56">SUM(H34)</f>
        <v>249</v>
      </c>
      <c r="K34" s="203">
        <f t="shared" ref="K34:K36" si="57">J34*$B$4</f>
        <v>5357.5161290322576</v>
      </c>
      <c r="L34" s="203">
        <f t="shared" ref="L34:L36" si="58">SUM(J34)</f>
        <v>249</v>
      </c>
      <c r="M34" s="203">
        <f t="shared" ref="M34:M36" si="59">L34*$B$4</f>
        <v>5357.5161290322576</v>
      </c>
      <c r="N34" s="203">
        <f t="shared" ref="N34:N36" si="60">SUM(L34)</f>
        <v>249</v>
      </c>
      <c r="O34" s="203">
        <f t="shared" ref="O34:O36" si="61">N34*$B$4</f>
        <v>5357.5161290322576</v>
      </c>
      <c r="P34" s="203">
        <f t="shared" ref="P34:P36" si="62">SUM(N34)</f>
        <v>249</v>
      </c>
      <c r="Q34" s="203">
        <f t="shared" ref="Q34:Q36" si="63">P34*$B$4</f>
        <v>5357.5161290322576</v>
      </c>
      <c r="R34" s="203">
        <f t="shared" ref="R34:R36" si="64">SUM(P34)</f>
        <v>249</v>
      </c>
      <c r="S34" s="203">
        <f t="shared" ref="S34:S36" si="65">R34*$B$4</f>
        <v>5357.5161290322576</v>
      </c>
      <c r="T34" s="203">
        <f t="shared" ref="T34:T36" si="66">SUM(R34)</f>
        <v>249</v>
      </c>
      <c r="U34" s="203">
        <f t="shared" ref="U34:U36" si="67">T34*$B$4</f>
        <v>5357.5161290322576</v>
      </c>
      <c r="V34" s="203">
        <f t="shared" ref="V34:V36" si="68">SUM(T34)</f>
        <v>249</v>
      </c>
      <c r="W34" s="203">
        <f t="shared" ref="W34:W36" si="69">V34*$B$4</f>
        <v>5357.5161290322576</v>
      </c>
      <c r="X34" s="35">
        <f t="shared" ref="X34:X36" si="70">SUM(Y34/73370)</f>
        <v>0.80322580645161279</v>
      </c>
      <c r="Y34" s="36">
        <f t="shared" ref="Y34:Y36" si="71">SUM(C34+E34+G34+I34+K34+M34+O34+Q34+S34+U34+W34)</f>
        <v>58932.677419354834</v>
      </c>
      <c r="Z34" s="496">
        <f>'B5'!C33</f>
        <v>255</v>
      </c>
      <c r="AA34" s="203">
        <f t="shared" ref="AA34:AA36" si="72">SUM(Z34*$Z$4)</f>
        <v>2550</v>
      </c>
      <c r="AB34" s="203">
        <f t="shared" ref="AB34:AB36" si="73">SUM(Z34)</f>
        <v>255</v>
      </c>
      <c r="AC34" s="203">
        <f t="shared" ref="AC34:AC36" si="74">SUM(AB34*$Z$4)</f>
        <v>2550</v>
      </c>
      <c r="AD34" s="203">
        <f t="shared" ref="AD34:AD36" si="75">SUM(AB34)</f>
        <v>255</v>
      </c>
      <c r="AE34" s="203">
        <f t="shared" ref="AE34:AE36" si="76">SUM(AD34*$Z$4)</f>
        <v>2550</v>
      </c>
      <c r="AF34" s="203">
        <f t="shared" ref="AF34:AF36" si="77">SUM(AD34)</f>
        <v>255</v>
      </c>
      <c r="AG34" s="203">
        <f t="shared" ref="AG34:AG36" si="78">SUM(AF34*$Z$4)</f>
        <v>2550</v>
      </c>
      <c r="AH34" s="203">
        <f t="shared" ref="AH34:AH36" si="79">SUM(AF34)</f>
        <v>255</v>
      </c>
      <c r="AI34" s="203">
        <f t="shared" ref="AI34:AI36" si="80">SUM(AH34*$Z$4)</f>
        <v>2550</v>
      </c>
      <c r="AJ34" s="203">
        <f t="shared" ref="AJ34:AJ36" si="81">SUM(AH34)</f>
        <v>255</v>
      </c>
      <c r="AK34" s="203">
        <f t="shared" ref="AK34:AK36" si="82">SUM(AJ34*$Z$4)</f>
        <v>2550</v>
      </c>
      <c r="AL34" s="203">
        <f t="shared" ref="AL34:AL36" si="83">SUM(AJ34)</f>
        <v>255</v>
      </c>
      <c r="AM34" s="203">
        <f t="shared" ref="AM34:AM36" si="84">SUM(AL34*$Z$4)</f>
        <v>2550</v>
      </c>
      <c r="AN34" s="35">
        <f t="shared" ref="AN34:AN36" si="85">SUM(AO34/19600)</f>
        <v>0.9107142857142857</v>
      </c>
      <c r="AO34" s="36">
        <f t="shared" ref="AO34:AO36" si="86">SUM(AA34+AC34+AE34+AG34+AI34+AK34+AM34)</f>
        <v>17850</v>
      </c>
      <c r="AQ34" s="223">
        <f t="shared" ref="AQ34:AQ36" si="87">SUM(AR34/92970)</f>
        <v>0.8258866023379029</v>
      </c>
      <c r="AR34" s="38">
        <f t="shared" si="41"/>
        <v>76782.677419354834</v>
      </c>
      <c r="AS34" s="197">
        <f t="shared" ref="AS34:AS36" si="88">SUM(AR34-AR33-AT34)</f>
        <v>0</v>
      </c>
      <c r="AT34" s="339"/>
      <c r="AU34" s="545"/>
      <c r="AV34" s="484">
        <f t="shared" si="47"/>
        <v>1.0349999999999999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44864</v>
      </c>
      <c r="B35" s="496">
        <f>'B5'!B34</f>
        <v>243</v>
      </c>
      <c r="C35" s="203">
        <f t="shared" si="49"/>
        <v>5228.4193548387093</v>
      </c>
      <c r="D35">
        <f t="shared" si="50"/>
        <v>243</v>
      </c>
      <c r="E35" s="203">
        <f t="shared" si="51"/>
        <v>5228.4193548387093</v>
      </c>
      <c r="F35">
        <f t="shared" si="52"/>
        <v>243</v>
      </c>
      <c r="G35" s="203">
        <f t="shared" si="53"/>
        <v>5228.4193548387093</v>
      </c>
      <c r="H35" s="203">
        <f t="shared" si="54"/>
        <v>243</v>
      </c>
      <c r="I35" s="203">
        <f t="shared" si="55"/>
        <v>5228.4193548387093</v>
      </c>
      <c r="J35" s="203">
        <f t="shared" si="56"/>
        <v>243</v>
      </c>
      <c r="K35" s="203">
        <f t="shared" si="57"/>
        <v>5228.4193548387093</v>
      </c>
      <c r="L35" s="203">
        <f t="shared" si="58"/>
        <v>243</v>
      </c>
      <c r="M35" s="203">
        <f t="shared" si="59"/>
        <v>5228.4193548387093</v>
      </c>
      <c r="N35" s="203">
        <f t="shared" si="60"/>
        <v>243</v>
      </c>
      <c r="O35" s="203">
        <f t="shared" si="61"/>
        <v>5228.4193548387093</v>
      </c>
      <c r="P35" s="203">
        <f t="shared" si="62"/>
        <v>243</v>
      </c>
      <c r="Q35" s="203">
        <f t="shared" si="63"/>
        <v>5228.4193548387093</v>
      </c>
      <c r="R35" s="203">
        <f t="shared" si="64"/>
        <v>243</v>
      </c>
      <c r="S35" s="203">
        <f t="shared" si="65"/>
        <v>5228.4193548387093</v>
      </c>
      <c r="T35" s="203">
        <f t="shared" si="66"/>
        <v>243</v>
      </c>
      <c r="U35" s="203">
        <f t="shared" si="67"/>
        <v>5228.4193548387093</v>
      </c>
      <c r="V35" s="203">
        <f t="shared" si="68"/>
        <v>243</v>
      </c>
      <c r="W35" s="203">
        <f t="shared" si="69"/>
        <v>5228.4193548387093</v>
      </c>
      <c r="X35" s="35">
        <f t="shared" si="70"/>
        <v>0.78387096774193554</v>
      </c>
      <c r="Y35" s="36">
        <f t="shared" si="71"/>
        <v>57512.61290322581</v>
      </c>
      <c r="Z35" s="496">
        <f>'B5'!C34</f>
        <v>250</v>
      </c>
      <c r="AA35" s="203">
        <f t="shared" si="72"/>
        <v>2500</v>
      </c>
      <c r="AB35" s="203">
        <f t="shared" si="73"/>
        <v>250</v>
      </c>
      <c r="AC35" s="203">
        <f t="shared" si="74"/>
        <v>2500</v>
      </c>
      <c r="AD35" s="203">
        <f t="shared" si="75"/>
        <v>250</v>
      </c>
      <c r="AE35" s="203">
        <f t="shared" si="76"/>
        <v>2500</v>
      </c>
      <c r="AF35" s="203">
        <f t="shared" si="77"/>
        <v>250</v>
      </c>
      <c r="AG35" s="203">
        <f t="shared" si="78"/>
        <v>2500</v>
      </c>
      <c r="AH35" s="203">
        <f t="shared" si="79"/>
        <v>250</v>
      </c>
      <c r="AI35" s="203">
        <f t="shared" si="80"/>
        <v>2500</v>
      </c>
      <c r="AJ35" s="203">
        <f t="shared" si="81"/>
        <v>250</v>
      </c>
      <c r="AK35" s="203">
        <f t="shared" si="82"/>
        <v>2500</v>
      </c>
      <c r="AL35" s="203">
        <f t="shared" si="83"/>
        <v>250</v>
      </c>
      <c r="AM35" s="203">
        <f t="shared" si="84"/>
        <v>2500</v>
      </c>
      <c r="AN35" s="35">
        <f t="shared" si="85"/>
        <v>0.8928571428571429</v>
      </c>
      <c r="AO35" s="36">
        <f t="shared" si="86"/>
        <v>17500</v>
      </c>
      <c r="AQ35" s="223">
        <f t="shared" si="87"/>
        <v>0.80684750890852763</v>
      </c>
      <c r="AR35" s="38">
        <f t="shared" si="41"/>
        <v>75012.612903225818</v>
      </c>
      <c r="AS35" s="197">
        <f t="shared" si="88"/>
        <v>-1770.0645161290158</v>
      </c>
      <c r="AT35" s="339"/>
      <c r="AU35" s="545"/>
      <c r="AV35" s="484">
        <f t="shared" si="47"/>
        <v>1.0349999999999999</v>
      </c>
      <c r="AW35" s="278">
        <f>-SUM('B5'!AI34)</f>
        <v>-160</v>
      </c>
      <c r="AX35" s="278">
        <f t="shared" si="89"/>
        <v>-1610.0645161290158</v>
      </c>
      <c r="AY35" s="37">
        <f t="shared" si="90"/>
        <v>-1770.0645161290158</v>
      </c>
      <c r="AZ35" s="100">
        <f>ELEC!A33</f>
        <v>0</v>
      </c>
      <c r="BA35" s="118">
        <f>'General information '!D34</f>
        <v>23.5</v>
      </c>
      <c r="BB35" s="377">
        <f>SUM('General information '!E34)</f>
        <v>0.63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-73.184750733137079</v>
      </c>
      <c r="BK35" s="535" t="e">
        <f>GEN!AF32</f>
        <v>#DIV/0!</v>
      </c>
    </row>
    <row r="36" spans="1:63">
      <c r="A36" s="424">
        <f>ELEC!C34</f>
        <v>44865</v>
      </c>
      <c r="B36" s="496">
        <f>'B5'!B35</f>
        <v>241</v>
      </c>
      <c r="C36" s="203">
        <f t="shared" si="49"/>
        <v>5185.3870967741932</v>
      </c>
      <c r="D36">
        <f t="shared" si="50"/>
        <v>241</v>
      </c>
      <c r="E36" s="203">
        <f t="shared" si="51"/>
        <v>5185.3870967741932</v>
      </c>
      <c r="F36">
        <f t="shared" si="52"/>
        <v>241</v>
      </c>
      <c r="G36" s="203">
        <f t="shared" si="53"/>
        <v>5185.3870967741932</v>
      </c>
      <c r="H36" s="203">
        <f t="shared" si="54"/>
        <v>241</v>
      </c>
      <c r="I36" s="203">
        <f t="shared" si="55"/>
        <v>5185.3870967741932</v>
      </c>
      <c r="J36" s="203">
        <f t="shared" si="56"/>
        <v>241</v>
      </c>
      <c r="K36" s="203">
        <f t="shared" si="57"/>
        <v>5185.3870967741932</v>
      </c>
      <c r="L36" s="203">
        <f t="shared" si="58"/>
        <v>241</v>
      </c>
      <c r="M36" s="203">
        <f t="shared" si="59"/>
        <v>5185.3870967741932</v>
      </c>
      <c r="N36" s="203">
        <f t="shared" si="60"/>
        <v>241</v>
      </c>
      <c r="O36" s="203">
        <f t="shared" si="61"/>
        <v>5185.3870967741932</v>
      </c>
      <c r="P36" s="203">
        <f t="shared" si="62"/>
        <v>241</v>
      </c>
      <c r="Q36" s="203">
        <f t="shared" si="63"/>
        <v>5185.3870967741932</v>
      </c>
      <c r="R36" s="203">
        <f t="shared" si="64"/>
        <v>241</v>
      </c>
      <c r="S36" s="203">
        <f t="shared" si="65"/>
        <v>5185.3870967741932</v>
      </c>
      <c r="T36" s="203">
        <f t="shared" si="66"/>
        <v>241</v>
      </c>
      <c r="U36" s="203">
        <f t="shared" si="67"/>
        <v>5185.3870967741932</v>
      </c>
      <c r="V36" s="203">
        <f t="shared" si="68"/>
        <v>241</v>
      </c>
      <c r="W36" s="203">
        <f t="shared" si="69"/>
        <v>5185.3870967741932</v>
      </c>
      <c r="X36" s="35">
        <f t="shared" si="70"/>
        <v>0.77741935483870972</v>
      </c>
      <c r="Y36" s="36">
        <f t="shared" si="71"/>
        <v>57039.258064516136</v>
      </c>
      <c r="Z36" s="496">
        <f>'B5'!C35</f>
        <v>247</v>
      </c>
      <c r="AA36" s="203">
        <f t="shared" si="72"/>
        <v>2470</v>
      </c>
      <c r="AB36" s="203">
        <f t="shared" si="73"/>
        <v>247</v>
      </c>
      <c r="AC36" s="203">
        <f t="shared" si="74"/>
        <v>2470</v>
      </c>
      <c r="AD36" s="203">
        <f t="shared" si="75"/>
        <v>247</v>
      </c>
      <c r="AE36" s="203">
        <f t="shared" si="76"/>
        <v>2470</v>
      </c>
      <c r="AF36" s="203">
        <f t="shared" si="77"/>
        <v>247</v>
      </c>
      <c r="AG36" s="203">
        <f t="shared" si="78"/>
        <v>2470</v>
      </c>
      <c r="AH36" s="203">
        <f t="shared" si="79"/>
        <v>247</v>
      </c>
      <c r="AI36" s="203">
        <f t="shared" si="80"/>
        <v>2470</v>
      </c>
      <c r="AJ36" s="203">
        <f t="shared" si="81"/>
        <v>247</v>
      </c>
      <c r="AK36" s="203">
        <f t="shared" si="82"/>
        <v>2470</v>
      </c>
      <c r="AL36" s="203">
        <f t="shared" si="83"/>
        <v>247</v>
      </c>
      <c r="AM36" s="203">
        <f t="shared" si="84"/>
        <v>2470</v>
      </c>
      <c r="AN36" s="35">
        <f t="shared" si="85"/>
        <v>0.88214285714285712</v>
      </c>
      <c r="AO36" s="36">
        <f t="shared" si="86"/>
        <v>17290</v>
      </c>
      <c r="AQ36" s="223">
        <f t="shared" si="87"/>
        <v>0.79949723636136538</v>
      </c>
      <c r="AR36" s="38">
        <f t="shared" si="41"/>
        <v>74329.258064516136</v>
      </c>
      <c r="AS36" s="197">
        <f t="shared" si="88"/>
        <v>-683.35483870968164</v>
      </c>
      <c r="AT36" s="339"/>
      <c r="AU36" s="545"/>
      <c r="AV36" s="484">
        <f t="shared" si="47"/>
        <v>1.0349999999999999</v>
      </c>
      <c r="AW36" s="278">
        <f>-SUM('B5'!AI35)</f>
        <v>-120</v>
      </c>
      <c r="AX36" s="278">
        <f t="shared" si="89"/>
        <v>-563.35483870968164</v>
      </c>
      <c r="AY36" s="37">
        <f t="shared" si="90"/>
        <v>-683.35483870968164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-24.493688639551376</v>
      </c>
      <c r="BK36" s="535">
        <f>GEN!AF33</f>
        <v>6.7395833333326507E-2</v>
      </c>
    </row>
    <row r="37" spans="1:63">
      <c r="AQ37" s="20"/>
      <c r="AR37" s="455" t="s">
        <v>223</v>
      </c>
      <c r="AS37" s="460">
        <f>COUNT(AT6:AT36)</f>
        <v>4</v>
      </c>
      <c r="AT37" s="203">
        <f>SUM(AT6:AT36)</f>
        <v>23745</v>
      </c>
      <c r="AU37" s="541">
        <f>SUM(AU6:AU36)/AS37</f>
        <v>0.78</v>
      </c>
      <c r="AX37" s="203">
        <f>SUM(AX6:AX36)</f>
        <v>-8585.5483870967728</v>
      </c>
      <c r="AY37" s="203">
        <f>SUM(AY6:AY36)</f>
        <v>-10934.548387096773</v>
      </c>
    </row>
    <row r="38" spans="1:63">
      <c r="AS38" s="206"/>
      <c r="AT38" s="82">
        <f>+AT37*AU37</f>
        <v>18521.100000000002</v>
      </c>
    </row>
    <row r="40" spans="1:63">
      <c r="AS40" s="165">
        <f>SUM(AS6:AS36)/'EDl log'!A35</f>
        <v>-10934.548387096773</v>
      </c>
      <c r="AT40" s="203"/>
    </row>
    <row r="41" spans="1:63">
      <c r="AX41">
        <v>43309</v>
      </c>
    </row>
    <row r="42" spans="1:63">
      <c r="AR42" s="203">
        <f>AR36-22000</f>
        <v>52329.258064516136</v>
      </c>
      <c r="AU42" s="203"/>
      <c r="AX42">
        <f>AX37/AX41</f>
        <v>-0.198239358726749</v>
      </c>
    </row>
    <row r="43" spans="1:63">
      <c r="AR43">
        <f>AR42/5500</f>
        <v>9.5144105571847515</v>
      </c>
    </row>
    <row r="44" spans="1:63">
      <c r="AR44">
        <f>AR43*2</f>
        <v>19.028821114369503</v>
      </c>
    </row>
    <row r="45" spans="1:63">
      <c r="AR45" s="203"/>
    </row>
    <row r="46" spans="1:63">
      <c r="AT46" s="59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B35" sqref="B3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7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44835</v>
      </c>
      <c r="B4" s="533">
        <f>B3</f>
        <v>1124527</v>
      </c>
      <c r="C4" s="254">
        <f t="shared" ref="C4:C30" si="0">SUM(B4-B3)</f>
        <v>0</v>
      </c>
      <c r="D4" s="294">
        <f>SUM(G4+I4+K4)</f>
        <v>0</v>
      </c>
      <c r="E4" s="294">
        <f>B3+D4</f>
        <v>1124527</v>
      </c>
      <c r="F4" s="536">
        <f>F3</f>
        <v>161459</v>
      </c>
      <c r="G4" s="160">
        <f t="shared" ref="G4:G30" si="1">F4-F3</f>
        <v>0</v>
      </c>
      <c r="H4" s="536">
        <f>H3</f>
        <v>561164</v>
      </c>
      <c r="I4" s="161">
        <f t="shared" ref="I4:I30" si="2">H4-H3</f>
        <v>0</v>
      </c>
      <c r="J4" s="579">
        <f>J3</f>
        <v>401903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-2402.6264516129081</v>
      </c>
      <c r="R4" s="284">
        <f>SUM(P4:Q4)</f>
        <v>-2247.8234130423202</v>
      </c>
      <c r="S4" s="286">
        <f>SUM(ELEC!N4)</f>
        <v>0</v>
      </c>
      <c r="T4" s="320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7"/>
      <c r="AC4" s="648"/>
    </row>
    <row r="5" spans="1:32" ht="20.100000000000001" customHeight="1">
      <c r="A5" s="163">
        <f>ELEC!C5</f>
        <v>44836</v>
      </c>
      <c r="B5" s="606">
        <f t="shared" ref="B5:B34" si="6">B4</f>
        <v>1124527</v>
      </c>
      <c r="C5" s="254">
        <f t="shared" si="0"/>
        <v>0</v>
      </c>
      <c r="D5" s="294">
        <f>SUM(G5+I5+K5)</f>
        <v>0</v>
      </c>
      <c r="E5" s="294">
        <f>B4+D5</f>
        <v>1124527</v>
      </c>
      <c r="F5" s="606">
        <f t="shared" ref="F5:F34" si="7">F4</f>
        <v>161459</v>
      </c>
      <c r="G5" s="160">
        <f t="shared" si="1"/>
        <v>0</v>
      </c>
      <c r="H5" s="606">
        <f t="shared" ref="H5:H34" si="8">H4</f>
        <v>561164</v>
      </c>
      <c r="I5" s="161">
        <f t="shared" si="2"/>
        <v>0</v>
      </c>
      <c r="J5" s="604">
        <f t="shared" ref="J5:J34" si="9">J4</f>
        <v>401903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154.80303857058792</v>
      </c>
      <c r="P5" s="284">
        <f t="shared" ref="P5:P30" si="12">SUM(L5:O5)</f>
        <v>154.80303857058792</v>
      </c>
      <c r="Q5" s="284">
        <f>SUM(-tanks!AX7*tanks!$AU$37)</f>
        <v>-4056.6541935483797</v>
      </c>
      <c r="R5" s="284">
        <f t="shared" ref="R5:R30" si="13">SUM(P5:Q5)</f>
        <v>-3901.8511549777918</v>
      </c>
      <c r="S5" s="286">
        <f>SUM(ELEC!N5)</f>
        <v>2653</v>
      </c>
      <c r="T5" s="320">
        <f>IF(S5&gt;0,R5/S5,0)</f>
        <v>-1.4707316829920059</v>
      </c>
      <c r="U5" s="245"/>
      <c r="V5" s="641"/>
      <c r="W5" s="642"/>
      <c r="X5" s="642"/>
      <c r="Y5" s="643"/>
      <c r="Z5" s="26" t="s">
        <v>202</v>
      </c>
      <c r="AA5" s="26">
        <v>5000</v>
      </c>
      <c r="AB5" s="649"/>
      <c r="AC5" s="650"/>
    </row>
    <row r="6" spans="1:32" ht="20.100000000000001" customHeight="1">
      <c r="A6" s="163">
        <f>ELEC!C6</f>
        <v>44837</v>
      </c>
      <c r="B6" s="606">
        <f t="shared" si="6"/>
        <v>1124527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1124527</v>
      </c>
      <c r="F6" s="606">
        <f t="shared" si="7"/>
        <v>161459</v>
      </c>
      <c r="G6" s="160">
        <f t="shared" si="1"/>
        <v>0</v>
      </c>
      <c r="H6" s="606">
        <f t="shared" si="8"/>
        <v>561164</v>
      </c>
      <c r="I6" s="161">
        <f t="shared" si="2"/>
        <v>0</v>
      </c>
      <c r="J6" s="604">
        <f t="shared" si="9"/>
        <v>401903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154.80303857058792</v>
      </c>
      <c r="P6" s="284">
        <f t="shared" si="12"/>
        <v>154.80303857058792</v>
      </c>
      <c r="Q6" s="284">
        <f>SUM(-tanks!AX8*tanks!$AU$37)</f>
        <v>920.17354838710344</v>
      </c>
      <c r="R6" s="284">
        <f t="shared" si="13"/>
        <v>1074.9765869576913</v>
      </c>
      <c r="S6" s="286">
        <f>SUM(ELEC!N6)</f>
        <v>2747</v>
      </c>
      <c r="T6" s="320">
        <f t="shared" ref="T6:T30" si="16">IF(S6&gt;0,R6/S6,0)</f>
        <v>0.39132747978073945</v>
      </c>
      <c r="V6" s="644"/>
      <c r="W6" s="645"/>
      <c r="X6" s="645"/>
      <c r="Y6" s="646"/>
      <c r="Z6" s="653"/>
      <c r="AA6" s="654"/>
      <c r="AB6" s="649"/>
      <c r="AC6" s="650"/>
    </row>
    <row r="7" spans="1:32" ht="20.100000000000001" customHeight="1">
      <c r="A7" s="163">
        <f>ELEC!C7</f>
        <v>44838</v>
      </c>
      <c r="B7" s="606">
        <f t="shared" si="6"/>
        <v>1124527</v>
      </c>
      <c r="C7" s="254">
        <f>SUM(B7-B6)</f>
        <v>0</v>
      </c>
      <c r="D7" s="294">
        <f>SUM(G7+I7+K7)</f>
        <v>0</v>
      </c>
      <c r="E7" s="294">
        <f t="shared" si="15"/>
        <v>1124527</v>
      </c>
      <c r="F7" s="606">
        <f t="shared" si="7"/>
        <v>161459</v>
      </c>
      <c r="G7" s="160">
        <f t="shared" si="1"/>
        <v>0</v>
      </c>
      <c r="H7" s="606">
        <f t="shared" si="8"/>
        <v>561164</v>
      </c>
      <c r="I7" s="161">
        <f t="shared" si="2"/>
        <v>0</v>
      </c>
      <c r="J7" s="604">
        <f t="shared" si="9"/>
        <v>401903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154.80303857058792</v>
      </c>
      <c r="P7" s="284">
        <f t="shared" si="12"/>
        <v>154.80303857058792</v>
      </c>
      <c r="Q7" s="284">
        <f>SUM(-tanks!AX9*tanks!$AU$37)</f>
        <v>789.91354838709208</v>
      </c>
      <c r="R7" s="284">
        <f t="shared" si="13"/>
        <v>944.71658695767997</v>
      </c>
      <c r="S7" s="286">
        <f>SUM(ELEC!N7)</f>
        <v>2696</v>
      </c>
      <c r="T7" s="320">
        <f t="shared" si="16"/>
        <v>0.35041416430181005</v>
      </c>
      <c r="V7" s="636" t="s">
        <v>203</v>
      </c>
      <c r="W7" s="637"/>
      <c r="X7" s="638" t="s">
        <v>204</v>
      </c>
      <c r="Y7" s="639"/>
      <c r="Z7" s="640"/>
      <c r="AA7" s="170"/>
      <c r="AB7" s="651"/>
      <c r="AC7" s="652"/>
    </row>
    <row r="8" spans="1:32" ht="20.100000000000001" customHeight="1">
      <c r="A8" s="163">
        <f>ELEC!C8</f>
        <v>44839</v>
      </c>
      <c r="B8" s="606">
        <f t="shared" si="6"/>
        <v>1124527</v>
      </c>
      <c r="C8" s="254">
        <f t="shared" si="0"/>
        <v>0</v>
      </c>
      <c r="D8" s="294">
        <f t="shared" si="14"/>
        <v>0</v>
      </c>
      <c r="E8" s="294">
        <f t="shared" si="15"/>
        <v>1124527</v>
      </c>
      <c r="F8" s="606">
        <f t="shared" si="7"/>
        <v>161459</v>
      </c>
      <c r="G8" s="160">
        <f t="shared" si="1"/>
        <v>0</v>
      </c>
      <c r="H8" s="606">
        <f t="shared" si="8"/>
        <v>561164</v>
      </c>
      <c r="I8" s="161">
        <f t="shared" si="2"/>
        <v>0</v>
      </c>
      <c r="J8" s="604">
        <f t="shared" si="9"/>
        <v>401903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154.80303857058792</v>
      </c>
      <c r="P8" s="284">
        <f t="shared" si="12"/>
        <v>154.80303857058792</v>
      </c>
      <c r="Q8" s="284">
        <f>SUM(-tanks!AX10*tanks!$AU$37)</f>
        <v>906.91354838709208</v>
      </c>
      <c r="R8" s="284">
        <f t="shared" si="13"/>
        <v>1061.71658695768</v>
      </c>
      <c r="S8" s="286">
        <f>SUM(ELEC!N8)</f>
        <v>3300</v>
      </c>
      <c r="T8" s="320">
        <f>IF(S8&gt;0,R8/S8,0)</f>
        <v>0.32173229907808482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44840</v>
      </c>
      <c r="B9" s="606">
        <f t="shared" si="6"/>
        <v>1124527</v>
      </c>
      <c r="C9" s="254">
        <f t="shared" si="0"/>
        <v>0</v>
      </c>
      <c r="D9" s="294">
        <f t="shared" si="14"/>
        <v>0</v>
      </c>
      <c r="E9" s="294">
        <f t="shared" si="15"/>
        <v>1124527</v>
      </c>
      <c r="F9" s="606">
        <f t="shared" si="7"/>
        <v>161459</v>
      </c>
      <c r="G9" s="160">
        <f t="shared" si="1"/>
        <v>0</v>
      </c>
      <c r="H9" s="606">
        <f t="shared" si="8"/>
        <v>561164</v>
      </c>
      <c r="I9" s="161">
        <f t="shared" si="2"/>
        <v>0</v>
      </c>
      <c r="J9" s="604">
        <f t="shared" si="9"/>
        <v>401903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154.80303857058792</v>
      </c>
      <c r="P9" s="284">
        <f t="shared" si="12"/>
        <v>154.80303857058792</v>
      </c>
      <c r="Q9" s="284">
        <f>SUM(-tanks!AX11*tanks!$AU$37)</f>
        <v>485.43677419354037</v>
      </c>
      <c r="R9" s="284">
        <f>SUM(P9:Q9)</f>
        <v>640.23981276412826</v>
      </c>
      <c r="S9" s="286">
        <f>SUM(ELEC!N9)</f>
        <v>2673</v>
      </c>
      <c r="T9" s="320">
        <f t="shared" si="16"/>
        <v>0.23952106725182501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2">
        <f>'[3]EDl log'!AA26</f>
        <v>56</v>
      </c>
      <c r="AB9" s="602">
        <f>'[3]EDl log'!AB26</f>
        <v>4480</v>
      </c>
      <c r="AC9" s="602">
        <f>'[3]EDl log'!AC26</f>
        <v>1033333</v>
      </c>
      <c r="AD9" s="602">
        <f>'[3]EDl log'!AD26</f>
        <v>5.185185185185185E-2</v>
      </c>
      <c r="AE9" s="591">
        <f>'[3]EDl log'!AE26</f>
        <v>0</v>
      </c>
      <c r="AF9" s="246">
        <f>'[3]EDl log'!AF26</f>
        <v>0</v>
      </c>
    </row>
    <row r="10" spans="1:32" ht="20.100000000000001" customHeight="1">
      <c r="A10" s="163">
        <f>ELEC!C10</f>
        <v>44841</v>
      </c>
      <c r="B10" s="606">
        <f t="shared" si="6"/>
        <v>1124527</v>
      </c>
      <c r="C10" s="254">
        <f t="shared" si="0"/>
        <v>0</v>
      </c>
      <c r="D10" s="294">
        <f t="shared" si="14"/>
        <v>0</v>
      </c>
      <c r="E10" s="294">
        <f t="shared" si="15"/>
        <v>1124527</v>
      </c>
      <c r="F10" s="606">
        <f t="shared" si="7"/>
        <v>161459</v>
      </c>
      <c r="G10" s="160">
        <f t="shared" si="1"/>
        <v>0</v>
      </c>
      <c r="H10" s="606">
        <f t="shared" si="8"/>
        <v>561164</v>
      </c>
      <c r="I10" s="161">
        <f t="shared" si="2"/>
        <v>0</v>
      </c>
      <c r="J10" s="604">
        <f t="shared" si="9"/>
        <v>401903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154.80303857058792</v>
      </c>
      <c r="P10" s="284">
        <f t="shared" si="12"/>
        <v>154.80303857058792</v>
      </c>
      <c r="Q10" s="284">
        <f>SUM(-tanks!AX12*tanks!$AU$37)</f>
        <v>9.36</v>
      </c>
      <c r="R10" s="284">
        <f t="shared" si="13"/>
        <v>164.1630385705879</v>
      </c>
      <c r="S10" s="286">
        <f>SUM(ELEC!N10)</f>
        <v>0</v>
      </c>
      <c r="T10" s="320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2">
        <f>'[3]EDl log'!AA27</f>
        <v>1023</v>
      </c>
      <c r="AB10" s="602">
        <f>'[3]EDl log'!AB27</f>
        <v>114576</v>
      </c>
      <c r="AC10" s="602">
        <f>'[3]EDl log'!AC27</f>
        <v>6200000</v>
      </c>
      <c r="AD10" s="602">
        <f>'[3]EDl log'!AD27</f>
        <v>0.94722222222222219</v>
      </c>
      <c r="AE10" s="591">
        <f>'[3]EDl log'!AE27</f>
        <v>0</v>
      </c>
      <c r="AF10" s="246">
        <f>'[3]EDl log'!AF27</f>
        <v>0</v>
      </c>
    </row>
    <row r="11" spans="1:32" ht="20.100000000000001" customHeight="1">
      <c r="A11" s="163">
        <f>ELEC!C11</f>
        <v>44842</v>
      </c>
      <c r="B11" s="606">
        <f t="shared" si="6"/>
        <v>1124527</v>
      </c>
      <c r="C11" s="254">
        <f>SUM(B11-B10)</f>
        <v>0</v>
      </c>
      <c r="D11" s="294">
        <f>SUM(G11+I11+K11)</f>
        <v>0</v>
      </c>
      <c r="E11" s="294">
        <f t="shared" si="15"/>
        <v>1124527</v>
      </c>
      <c r="F11" s="606">
        <f t="shared" si="7"/>
        <v>161459</v>
      </c>
      <c r="G11" s="160">
        <f t="shared" si="1"/>
        <v>0</v>
      </c>
      <c r="H11" s="606">
        <f t="shared" si="8"/>
        <v>561164</v>
      </c>
      <c r="I11" s="161">
        <f t="shared" si="2"/>
        <v>0</v>
      </c>
      <c r="J11" s="604">
        <f t="shared" si="9"/>
        <v>401903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154.80303857058792</v>
      </c>
      <c r="P11" s="284">
        <f t="shared" si="12"/>
        <v>154.80303857058792</v>
      </c>
      <c r="Q11" s="284">
        <f>SUM(-tanks!AX13*tanks!$AU$37)</f>
        <v>0</v>
      </c>
      <c r="R11" s="284">
        <f t="shared" si="13"/>
        <v>154.80303857058792</v>
      </c>
      <c r="S11" s="286">
        <f>SUM(ELEC!N11)</f>
        <v>0</v>
      </c>
      <c r="T11" s="320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2">
        <f>'[3]EDl log'!AA28</f>
        <v>0</v>
      </c>
      <c r="AB11" s="602">
        <f>'[3]EDl log'!AB28</f>
        <v>0</v>
      </c>
      <c r="AC11" s="602">
        <f>'[3]EDl log'!AC28</f>
        <v>1000</v>
      </c>
      <c r="AD11" s="246">
        <f>'[3]EDl log'!AD28</f>
        <v>0</v>
      </c>
      <c r="AE11" s="591">
        <f>'[3]EDl log'!AE28</f>
        <v>0</v>
      </c>
      <c r="AF11" s="246">
        <f>'[3]EDl log'!AF28</f>
        <v>0</v>
      </c>
    </row>
    <row r="12" spans="1:32" ht="20.100000000000001" customHeight="1">
      <c r="A12" s="163">
        <f>ELEC!C12</f>
        <v>44843</v>
      </c>
      <c r="B12" s="606">
        <f t="shared" si="6"/>
        <v>1124527</v>
      </c>
      <c r="C12" s="254">
        <f t="shared" si="0"/>
        <v>0</v>
      </c>
      <c r="D12" s="294">
        <f t="shared" si="14"/>
        <v>0</v>
      </c>
      <c r="E12" s="294">
        <f t="shared" si="15"/>
        <v>1124527</v>
      </c>
      <c r="F12" s="606">
        <f t="shared" si="7"/>
        <v>161459</v>
      </c>
      <c r="G12" s="160">
        <f t="shared" si="1"/>
        <v>0</v>
      </c>
      <c r="H12" s="606">
        <f t="shared" si="8"/>
        <v>561164</v>
      </c>
      <c r="I12" s="161">
        <f t="shared" si="2"/>
        <v>0</v>
      </c>
      <c r="J12" s="604">
        <v>401903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154.80303857058792</v>
      </c>
      <c r="P12" s="284">
        <f t="shared" si="12"/>
        <v>154.80303857058792</v>
      </c>
      <c r="Q12" s="284">
        <f>SUM(-tanks!AX14*tanks!$AU$37)</f>
        <v>0</v>
      </c>
      <c r="R12" s="284">
        <f t="shared" si="13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2">
        <f>'[3]EDl log'!AA29</f>
        <v>1079</v>
      </c>
      <c r="AB12" s="602">
        <f>'[3]EDl log'!AB29</f>
        <v>119056</v>
      </c>
      <c r="AC12" s="602">
        <f>'[3]EDl log'!AC29</f>
        <v>7234333</v>
      </c>
    </row>
    <row r="13" spans="1:32" ht="20.100000000000001" customHeight="1">
      <c r="A13" s="163">
        <f>ELEC!C13</f>
        <v>44844</v>
      </c>
      <c r="B13" s="606">
        <f t="shared" si="6"/>
        <v>1124527</v>
      </c>
      <c r="C13" s="254">
        <f t="shared" si="0"/>
        <v>0</v>
      </c>
      <c r="D13" s="294">
        <f t="shared" si="14"/>
        <v>0</v>
      </c>
      <c r="E13" s="294">
        <f t="shared" si="15"/>
        <v>1124527</v>
      </c>
      <c r="F13" s="606">
        <f t="shared" si="7"/>
        <v>161459</v>
      </c>
      <c r="G13" s="160">
        <f t="shared" si="1"/>
        <v>0</v>
      </c>
      <c r="H13" s="606">
        <f t="shared" si="8"/>
        <v>561164</v>
      </c>
      <c r="I13" s="161">
        <f t="shared" si="2"/>
        <v>0</v>
      </c>
      <c r="J13" s="604">
        <f t="shared" si="9"/>
        <v>401903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154.80303857058792</v>
      </c>
      <c r="P13" s="284">
        <f t="shared" si="12"/>
        <v>154.80303857058792</v>
      </c>
      <c r="Q13" s="284">
        <f>SUM(-tanks!AX15*tanks!$AU$37)</f>
        <v>859.5977419355055</v>
      </c>
      <c r="R13" s="284">
        <f t="shared" si="13"/>
        <v>1014.4007805060934</v>
      </c>
      <c r="S13" s="286">
        <f>SUM(ELEC!N13)</f>
        <v>2752</v>
      </c>
      <c r="T13" s="320">
        <f>IF(S13&gt;0,R13/S13,0)</f>
        <v>0.36860493477692347</v>
      </c>
      <c r="V13" s="216" t="s">
        <v>314</v>
      </c>
      <c r="W13" s="591">
        <f>'[3]EDl log'!W30</f>
        <v>0</v>
      </c>
      <c r="X13" s="217"/>
      <c r="Y13" s="218" t="s">
        <v>327</v>
      </c>
      <c r="Z13" s="3"/>
      <c r="AA13" s="602">
        <f>'[3]EDl log'!AA30</f>
        <v>0</v>
      </c>
      <c r="AB13" s="602">
        <f>'[3]EDl log'!AB30</f>
        <v>7353389</v>
      </c>
      <c r="AC13" s="602">
        <f>'[3]EDl log'!AC30</f>
        <v>0</v>
      </c>
    </row>
    <row r="14" spans="1:32" ht="20.100000000000001" customHeight="1">
      <c r="A14" s="163">
        <f>ELEC!C14</f>
        <v>44845</v>
      </c>
      <c r="B14" s="606">
        <f t="shared" si="6"/>
        <v>1124527</v>
      </c>
      <c r="C14" s="254">
        <f t="shared" si="0"/>
        <v>0</v>
      </c>
      <c r="D14" s="294">
        <f t="shared" si="14"/>
        <v>0</v>
      </c>
      <c r="E14" s="294">
        <f t="shared" si="15"/>
        <v>1124527</v>
      </c>
      <c r="F14" s="606">
        <f t="shared" si="7"/>
        <v>161459</v>
      </c>
      <c r="G14" s="160">
        <f t="shared" si="1"/>
        <v>0</v>
      </c>
      <c r="H14" s="606">
        <f t="shared" si="8"/>
        <v>561164</v>
      </c>
      <c r="I14" s="161">
        <f t="shared" si="2"/>
        <v>0</v>
      </c>
      <c r="J14" s="604">
        <f t="shared" si="9"/>
        <v>401903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154.80303857058792</v>
      </c>
      <c r="P14" s="284">
        <f>SUM(L14:O14)</f>
        <v>154.80303857058792</v>
      </c>
      <c r="Q14" s="284">
        <f>SUM(-tanks!AX16*tanks!$AU$37)</f>
        <v>919.12935483870126</v>
      </c>
      <c r="R14" s="284">
        <f>SUM(P14:Q14)</f>
        <v>1073.9323934092893</v>
      </c>
      <c r="S14" s="286">
        <f>SUM(ELEC!N14)</f>
        <v>2353</v>
      </c>
      <c r="T14" s="320">
        <f>IF(S14&gt;0,R14/S14,0)</f>
        <v>0.45640985695252412</v>
      </c>
      <c r="V14" s="216"/>
      <c r="W14" s="217"/>
      <c r="X14" s="217"/>
      <c r="Y14" s="218"/>
      <c r="Z14" s="3"/>
      <c r="AA14" s="602">
        <f>'[3]EDl log'!AA31</f>
        <v>0</v>
      </c>
      <c r="AB14" s="602">
        <f>'[3]EDl log'!AB31</f>
        <v>0</v>
      </c>
      <c r="AC14" s="602">
        <f>'[3]EDl log'!AC31</f>
        <v>0</v>
      </c>
    </row>
    <row r="15" spans="1:32" ht="20.100000000000001" customHeight="1">
      <c r="A15" s="163">
        <f>ELEC!C15</f>
        <v>44846</v>
      </c>
      <c r="B15" s="606">
        <f t="shared" si="6"/>
        <v>1124527</v>
      </c>
      <c r="C15" s="254">
        <f t="shared" si="0"/>
        <v>0</v>
      </c>
      <c r="D15" s="294">
        <f t="shared" si="14"/>
        <v>0</v>
      </c>
      <c r="E15" s="294">
        <f t="shared" si="15"/>
        <v>1124527</v>
      </c>
      <c r="F15" s="606">
        <f t="shared" si="7"/>
        <v>161459</v>
      </c>
      <c r="G15" s="160">
        <f t="shared" si="1"/>
        <v>0</v>
      </c>
      <c r="H15" s="606">
        <f t="shared" si="8"/>
        <v>561164</v>
      </c>
      <c r="I15" s="161">
        <f t="shared" si="2"/>
        <v>0</v>
      </c>
      <c r="J15" s="604">
        <f t="shared" si="9"/>
        <v>401903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154.80303857058792</v>
      </c>
      <c r="P15" s="284">
        <f>SUM(L15:O15)</f>
        <v>154.80303857058792</v>
      </c>
      <c r="Q15" s="284">
        <f>SUM(-tanks!AX17*tanks!$AU$37)</f>
        <v>-126.5109677419311</v>
      </c>
      <c r="R15" s="284">
        <f>SUM(P15:Q15)</f>
        <v>28.292070828656819</v>
      </c>
      <c r="S15" s="286">
        <f>SUM(ELEC!N15)</f>
        <v>3292</v>
      </c>
      <c r="T15" s="320">
        <f>IF(S15&gt;0,R15/S15,0)</f>
        <v>8.594189194610212E-3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2">
        <f>'[3]EDl log'!AA32</f>
        <v>0</v>
      </c>
      <c r="AB15" s="602">
        <f>'[3]EDl log'!AB32</f>
        <v>0</v>
      </c>
      <c r="AC15" s="602">
        <f>'[3]EDl log'!AC32</f>
        <v>0</v>
      </c>
    </row>
    <row r="16" spans="1:32" ht="20.100000000000001" customHeight="1">
      <c r="A16" s="163">
        <f>ELEC!C16</f>
        <v>44847</v>
      </c>
      <c r="B16" s="606">
        <f t="shared" si="6"/>
        <v>1124527</v>
      </c>
      <c r="C16" s="254">
        <f t="shared" si="0"/>
        <v>0</v>
      </c>
      <c r="D16" s="294">
        <f t="shared" si="14"/>
        <v>0</v>
      </c>
      <c r="E16" s="294">
        <f t="shared" si="15"/>
        <v>1124527</v>
      </c>
      <c r="F16" s="606">
        <f t="shared" si="7"/>
        <v>161459</v>
      </c>
      <c r="G16" s="160">
        <f t="shared" si="1"/>
        <v>0</v>
      </c>
      <c r="H16" s="606">
        <f t="shared" si="8"/>
        <v>561164</v>
      </c>
      <c r="I16" s="161">
        <f t="shared" si="2"/>
        <v>0</v>
      </c>
      <c r="J16" s="604">
        <f t="shared" si="9"/>
        <v>401903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2">
        <f>'[3]EDl log'!AA33</f>
        <v>0.11</v>
      </c>
      <c r="AB16" s="602">
        <f>'[3]EDl log'!AB33</f>
        <v>808872.79</v>
      </c>
      <c r="AC16" s="602">
        <f>'[3]EDl log'!AC33</f>
        <v>7234333</v>
      </c>
    </row>
    <row r="17" spans="1:32" ht="20.100000000000001" customHeight="1">
      <c r="A17" s="163">
        <f>ELEC!C17</f>
        <v>44848</v>
      </c>
      <c r="B17" s="606">
        <f t="shared" si="6"/>
        <v>1124527</v>
      </c>
      <c r="C17" s="254">
        <f t="shared" si="0"/>
        <v>0</v>
      </c>
      <c r="D17" s="294">
        <f t="shared" si="14"/>
        <v>0</v>
      </c>
      <c r="E17" s="294">
        <f t="shared" si="15"/>
        <v>1124527</v>
      </c>
      <c r="F17" s="606">
        <f t="shared" si="7"/>
        <v>161459</v>
      </c>
      <c r="G17" s="160">
        <f>F17-F16</f>
        <v>0</v>
      </c>
      <c r="H17" s="606">
        <f t="shared" si="8"/>
        <v>561164</v>
      </c>
      <c r="I17" s="161">
        <f t="shared" si="2"/>
        <v>0</v>
      </c>
      <c r="J17" s="604">
        <f t="shared" si="9"/>
        <v>401903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2">
        <f>'[3]EDl log'!AA34</f>
        <v>0</v>
      </c>
      <c r="AB17" s="602">
        <f>'[3]EDl log'!AB34</f>
        <v>8162261.79</v>
      </c>
      <c r="AC17" s="602">
        <f>'[3]EDl log'!AC34</f>
        <v>0</v>
      </c>
    </row>
    <row r="18" spans="1:32" ht="20.100000000000001" customHeight="1" thickBot="1">
      <c r="A18" s="163">
        <f>ELEC!C18</f>
        <v>44849</v>
      </c>
      <c r="B18" s="606">
        <f t="shared" si="6"/>
        <v>1124527</v>
      </c>
      <c r="C18" s="254">
        <f>SUM(B18-B17)</f>
        <v>0</v>
      </c>
      <c r="D18" s="294">
        <f>SUM(G18+I18+K18)</f>
        <v>0</v>
      </c>
      <c r="E18" s="294">
        <f t="shared" si="15"/>
        <v>1124527</v>
      </c>
      <c r="F18" s="606">
        <f t="shared" si="7"/>
        <v>161459</v>
      </c>
      <c r="G18" s="160">
        <f t="shared" si="1"/>
        <v>0</v>
      </c>
      <c r="H18" s="606">
        <f t="shared" si="8"/>
        <v>561164</v>
      </c>
      <c r="I18" s="161">
        <f t="shared" si="2"/>
        <v>0</v>
      </c>
      <c r="J18" s="604">
        <f t="shared" si="9"/>
        <v>401903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154.80303857058792</v>
      </c>
      <c r="P18" s="284">
        <f t="shared" si="12"/>
        <v>154.80303857058792</v>
      </c>
      <c r="Q18" s="284">
        <f>SUM(-tanks!AX20*tanks!$AU$37)</f>
        <v>0</v>
      </c>
      <c r="R18" s="284">
        <f t="shared" si="13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2">
        <f>'[3]EDl log'!AA35</f>
        <v>0</v>
      </c>
      <c r="AB18" s="602">
        <f>'[3]EDl log'!AB35</f>
        <v>0</v>
      </c>
      <c r="AC18" s="602">
        <f>'[3]EDl log'!AC35</f>
        <v>0</v>
      </c>
    </row>
    <row r="19" spans="1:32" ht="20.100000000000001" customHeight="1" thickBot="1">
      <c r="A19" s="163">
        <f>ELEC!C19</f>
        <v>44850</v>
      </c>
      <c r="B19" s="606">
        <f t="shared" si="6"/>
        <v>1124527</v>
      </c>
      <c r="C19" s="254">
        <f t="shared" si="0"/>
        <v>0</v>
      </c>
      <c r="D19" s="294">
        <f t="shared" si="14"/>
        <v>0</v>
      </c>
      <c r="E19" s="294">
        <f t="shared" si="15"/>
        <v>1124527</v>
      </c>
      <c r="F19" s="606">
        <f t="shared" si="7"/>
        <v>161459</v>
      </c>
      <c r="G19" s="160">
        <f t="shared" si="1"/>
        <v>0</v>
      </c>
      <c r="H19" s="606">
        <f t="shared" si="8"/>
        <v>561164</v>
      </c>
      <c r="I19" s="161">
        <f t="shared" si="2"/>
        <v>0</v>
      </c>
      <c r="J19" s="604">
        <f t="shared" si="9"/>
        <v>401903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1436.5587096774138</v>
      </c>
      <c r="R19" s="284">
        <f>SUM(P19:Q19)</f>
        <v>1591.3617482480017</v>
      </c>
      <c r="S19" s="286">
        <f>SUM(ELEC!N19)</f>
        <v>4852</v>
      </c>
      <c r="T19" s="320">
        <f>IF(S19&gt;0,R19/S19,0)</f>
        <v>0.32798057465952218</v>
      </c>
      <c r="V19" s="226"/>
      <c r="W19" s="227"/>
      <c r="X19" s="227"/>
      <c r="Y19" s="227"/>
      <c r="Z19" s="227"/>
      <c r="AA19" s="602" t="str">
        <f>'[7]EDl log'!AA36</f>
        <v>$ without VAT</v>
      </c>
      <c r="AB19" s="602">
        <f>'[3]EDl log'!AB36</f>
        <v>4877.8699834162517</v>
      </c>
      <c r="AC19" s="602">
        <f>'[3]EDl log'!AC36</f>
        <v>0</v>
      </c>
    </row>
    <row r="20" spans="1:32" ht="20.100000000000001" customHeight="1" thickBot="1">
      <c r="A20" s="163">
        <f>ELEC!C20</f>
        <v>44851</v>
      </c>
      <c r="B20" s="606">
        <f t="shared" si="6"/>
        <v>1124527</v>
      </c>
      <c r="C20" s="254">
        <f t="shared" si="0"/>
        <v>0</v>
      </c>
      <c r="D20" s="294">
        <f t="shared" si="14"/>
        <v>0</v>
      </c>
      <c r="E20" s="294">
        <f t="shared" si="15"/>
        <v>1124527</v>
      </c>
      <c r="F20" s="606">
        <f t="shared" si="7"/>
        <v>161459</v>
      </c>
      <c r="G20" s="160">
        <f t="shared" si="1"/>
        <v>0</v>
      </c>
      <c r="H20" s="606">
        <f t="shared" si="8"/>
        <v>561164</v>
      </c>
      <c r="I20" s="161">
        <f t="shared" si="2"/>
        <v>0</v>
      </c>
      <c r="J20" s="604">
        <f t="shared" si="9"/>
        <v>401903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154.80303857058792</v>
      </c>
      <c r="P20" s="284">
        <f t="shared" si="12"/>
        <v>154.80303857058792</v>
      </c>
      <c r="Q20" s="284">
        <f>SUM(-tanks!AX22*tanks!$AU$37)</f>
        <v>572.54516129031049</v>
      </c>
      <c r="R20" s="284">
        <f t="shared" si="13"/>
        <v>727.34819986089838</v>
      </c>
      <c r="S20" s="286">
        <f>SUM(ELEC!N20)</f>
        <v>1979</v>
      </c>
      <c r="T20" s="320">
        <f t="shared" si="16"/>
        <v>0.36753319851485516</v>
      </c>
      <c r="AB20" s="524"/>
    </row>
    <row r="21" spans="1:32" ht="20.100000000000001" customHeight="1">
      <c r="A21" s="163">
        <f>ELEC!C21</f>
        <v>44852</v>
      </c>
      <c r="B21" s="606">
        <f t="shared" si="6"/>
        <v>1124527</v>
      </c>
      <c r="C21" s="254">
        <f t="shared" si="0"/>
        <v>0</v>
      </c>
      <c r="D21" s="294">
        <f t="shared" si="14"/>
        <v>0</v>
      </c>
      <c r="E21" s="294">
        <f t="shared" si="15"/>
        <v>1124527</v>
      </c>
      <c r="F21" s="606">
        <f t="shared" si="7"/>
        <v>161459</v>
      </c>
      <c r="G21" s="160">
        <f t="shared" si="1"/>
        <v>0</v>
      </c>
      <c r="H21" s="606">
        <f t="shared" si="8"/>
        <v>561164</v>
      </c>
      <c r="I21" s="161">
        <f t="shared" si="2"/>
        <v>0</v>
      </c>
      <c r="J21" s="604">
        <f t="shared" si="9"/>
        <v>401903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154.80303857058792</v>
      </c>
      <c r="P21" s="284">
        <f t="shared" si="12"/>
        <v>154.80303857058792</v>
      </c>
      <c r="Q21" s="284">
        <f>SUM(-tanks!AX23*tanks!$AU$37)</f>
        <v>772.22516129034454</v>
      </c>
      <c r="R21" s="284">
        <f t="shared" si="13"/>
        <v>927.02819986093243</v>
      </c>
      <c r="S21" s="286">
        <f>SUM(ELEC!N21)</f>
        <v>2613</v>
      </c>
      <c r="T21" s="320">
        <f t="shared" si="16"/>
        <v>0.35477543048638821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7"/>
      <c r="AC21" s="648"/>
    </row>
    <row r="22" spans="1:32" ht="20.100000000000001" customHeight="1">
      <c r="A22" s="163">
        <f>ELEC!C22</f>
        <v>44853</v>
      </c>
      <c r="B22" s="606">
        <v>1124846</v>
      </c>
      <c r="C22" s="254">
        <f t="shared" si="0"/>
        <v>319</v>
      </c>
      <c r="D22" s="294">
        <f t="shared" si="14"/>
        <v>320</v>
      </c>
      <c r="E22" s="294">
        <v>1124846</v>
      </c>
      <c r="F22" s="606">
        <v>161459</v>
      </c>
      <c r="G22" s="160">
        <f t="shared" si="1"/>
        <v>0</v>
      </c>
      <c r="H22" s="606">
        <v>561453</v>
      </c>
      <c r="I22" s="161">
        <f t="shared" si="2"/>
        <v>289</v>
      </c>
      <c r="J22" s="604">
        <v>401934</v>
      </c>
      <c r="K22" s="162">
        <f t="shared" si="10"/>
        <v>31</v>
      </c>
      <c r="L22" s="283">
        <f t="shared" si="17"/>
        <v>0</v>
      </c>
      <c r="M22" s="283">
        <f t="shared" si="18"/>
        <v>21.471310116086237</v>
      </c>
      <c r="N22" s="283">
        <f t="shared" si="19"/>
        <v>1.6451077943615258</v>
      </c>
      <c r="O22" s="283">
        <f t="shared" si="11"/>
        <v>154.80303857058792</v>
      </c>
      <c r="P22" s="284">
        <f t="shared" si="12"/>
        <v>177.91945648103567</v>
      </c>
      <c r="Q22" s="284">
        <f>SUM(-tanks!AX24*tanks!$AU$37)</f>
        <v>634.16516129032186</v>
      </c>
      <c r="R22" s="284">
        <f t="shared" si="13"/>
        <v>812.08461777135756</v>
      </c>
      <c r="S22" s="286">
        <f>SUM(ELEC!N22)</f>
        <v>2436</v>
      </c>
      <c r="T22" s="320">
        <f t="shared" si="16"/>
        <v>0.33336806969267552</v>
      </c>
      <c r="V22" s="641"/>
      <c r="W22" s="642"/>
      <c r="X22" s="642"/>
      <c r="Y22" s="643"/>
      <c r="Z22" s="26" t="s">
        <v>202</v>
      </c>
      <c r="AA22" s="26">
        <v>5000</v>
      </c>
      <c r="AB22" s="649"/>
      <c r="AC22" s="650"/>
    </row>
    <row r="23" spans="1:32" ht="21" customHeight="1">
      <c r="A23" s="163">
        <f>ELEC!C23</f>
        <v>44854</v>
      </c>
      <c r="B23" s="606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6">
        <f t="shared" si="7"/>
        <v>161459</v>
      </c>
      <c r="G23" s="160">
        <f t="shared" si="1"/>
        <v>0</v>
      </c>
      <c r="H23" s="606">
        <f t="shared" si="8"/>
        <v>561453</v>
      </c>
      <c r="I23" s="161">
        <f t="shared" si="2"/>
        <v>0</v>
      </c>
      <c r="J23" s="604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154.80303857058792</v>
      </c>
      <c r="P23" s="284">
        <f t="shared" si="12"/>
        <v>154.80303857058792</v>
      </c>
      <c r="Q23" s="284">
        <f>SUM(-tanks!AX25*tanks!$AU$37)</f>
        <v>-595.36645161290801</v>
      </c>
      <c r="R23" s="284">
        <f t="shared" si="13"/>
        <v>-440.56341304232012</v>
      </c>
      <c r="S23" s="286">
        <f>SUM(ELEC!N23)</f>
        <v>2195</v>
      </c>
      <c r="T23" s="320">
        <f t="shared" si="16"/>
        <v>-0.20071226106711623</v>
      </c>
      <c r="V23" s="644"/>
      <c r="W23" s="645"/>
      <c r="X23" s="645"/>
      <c r="Y23" s="646"/>
      <c r="Z23" s="653"/>
      <c r="AA23" s="654"/>
      <c r="AB23" s="649"/>
      <c r="AC23" s="650"/>
    </row>
    <row r="24" spans="1:32" ht="20.100000000000001" customHeight="1">
      <c r="A24" s="163">
        <f>ELEC!C24</f>
        <v>44855</v>
      </c>
      <c r="B24" s="606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6">
        <f t="shared" si="7"/>
        <v>161459</v>
      </c>
      <c r="G24" s="160">
        <f t="shared" si="1"/>
        <v>0</v>
      </c>
      <c r="H24" s="606">
        <f t="shared" si="8"/>
        <v>561453</v>
      </c>
      <c r="I24" s="161">
        <f t="shared" si="2"/>
        <v>0</v>
      </c>
      <c r="J24" s="604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154.80303857058792</v>
      </c>
      <c r="P24" s="284">
        <f t="shared" si="12"/>
        <v>154.80303857058792</v>
      </c>
      <c r="Q24" s="284">
        <f>SUM(-tanks!AX26*tanks!$AU$37)</f>
        <v>0</v>
      </c>
      <c r="R24" s="284">
        <f t="shared" si="13"/>
        <v>154.80303857058792</v>
      </c>
      <c r="S24" s="286">
        <f>SUM(ELEC!N24)</f>
        <v>0</v>
      </c>
      <c r="T24" s="320">
        <f t="shared" si="16"/>
        <v>0</v>
      </c>
      <c r="V24" s="636" t="s">
        <v>203</v>
      </c>
      <c r="W24" s="637"/>
      <c r="X24" s="638" t="s">
        <v>204</v>
      </c>
      <c r="Y24" s="639"/>
      <c r="Z24" s="640"/>
      <c r="AA24" s="170"/>
      <c r="AB24" s="651"/>
      <c r="AC24" s="652"/>
    </row>
    <row r="25" spans="1:32" ht="20.100000000000001" customHeight="1">
      <c r="A25" s="163">
        <f>ELEC!C25</f>
        <v>44856</v>
      </c>
      <c r="B25" s="608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6">
        <v>161459</v>
      </c>
      <c r="G25" s="160">
        <f t="shared" si="1"/>
        <v>0</v>
      </c>
      <c r="H25" s="608">
        <f t="shared" si="8"/>
        <v>561453</v>
      </c>
      <c r="I25" s="161">
        <f t="shared" si="2"/>
        <v>0</v>
      </c>
      <c r="J25" s="604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154.80303857058792</v>
      </c>
      <c r="P25" s="284">
        <f t="shared" si="12"/>
        <v>154.80303857058792</v>
      </c>
      <c r="Q25" s="284">
        <f>SUM(-tanks!AX27*tanks!$AU$37)</f>
        <v>0</v>
      </c>
      <c r="R25" s="284">
        <f t="shared" si="13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44857</v>
      </c>
      <c r="B26" s="606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6">
        <f t="shared" si="7"/>
        <v>161459</v>
      </c>
      <c r="G26" s="160">
        <f t="shared" si="1"/>
        <v>0</v>
      </c>
      <c r="H26" s="606">
        <f t="shared" si="8"/>
        <v>561453</v>
      </c>
      <c r="I26" s="161">
        <f t="shared" si="2"/>
        <v>0</v>
      </c>
      <c r="J26" s="604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154.80303857058792</v>
      </c>
      <c r="P26" s="284">
        <f t="shared" si="12"/>
        <v>154.80303857058792</v>
      </c>
      <c r="Q26" s="284">
        <f>SUM(-tanks!AX28*tanks!$AU$37)</f>
        <v>1047.8419354838509</v>
      </c>
      <c r="R26" s="284">
        <f t="shared" si="13"/>
        <v>1202.6449740544388</v>
      </c>
      <c r="S26" s="286">
        <f>SUM(ELEC!N26)</f>
        <v>3654.2000000001863</v>
      </c>
      <c r="T26" s="320">
        <f t="shared" si="16"/>
        <v>0.32911306826511344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31</v>
      </c>
      <c r="AB26" s="322">
        <f>AA26*Y26</f>
        <v>2480</v>
      </c>
      <c r="AC26" s="244">
        <f>AC9</f>
        <v>1033333</v>
      </c>
      <c r="AD26" s="475">
        <f>SUM(K36)</f>
        <v>9.7178683385579931E-2</v>
      </c>
    </row>
    <row r="27" spans="1:32" ht="20.100000000000001" customHeight="1">
      <c r="A27" s="163">
        <f>ELEC!C27</f>
        <v>44858</v>
      </c>
      <c r="B27" s="606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6">
        <f t="shared" si="7"/>
        <v>161459</v>
      </c>
      <c r="G27" s="160">
        <f t="shared" si="1"/>
        <v>0</v>
      </c>
      <c r="H27" s="606">
        <f t="shared" si="8"/>
        <v>561453</v>
      </c>
      <c r="I27" s="161">
        <f t="shared" si="2"/>
        <v>0</v>
      </c>
      <c r="J27" s="604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154.80303857058792</v>
      </c>
      <c r="P27" s="284">
        <f t="shared" si="12"/>
        <v>154.80303857058792</v>
      </c>
      <c r="Q27" s="284">
        <f>SUM(-tanks!AX29*tanks!$AU$37)</f>
        <v>778.99354838710337</v>
      </c>
      <c r="R27" s="284">
        <f t="shared" si="13"/>
        <v>933.79658695769126</v>
      </c>
      <c r="S27" s="286">
        <f>SUM(ELEC!N27)</f>
        <v>2879.7999999998137</v>
      </c>
      <c r="T27" s="320">
        <f t="shared" si="16"/>
        <v>0.32425744390504607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356</v>
      </c>
      <c r="AB27" s="322">
        <f>SUM(AA27*Y27)</f>
        <v>39872</v>
      </c>
      <c r="AC27" s="244">
        <f>AC10</f>
        <v>6200000</v>
      </c>
      <c r="AD27" s="475">
        <f>SUM(I36)</f>
        <v>0.90595611285266453</v>
      </c>
    </row>
    <row r="28" spans="1:32" ht="20.100000000000001" customHeight="1">
      <c r="A28" s="163">
        <f>ELEC!C28</f>
        <v>44859</v>
      </c>
      <c r="B28" s="606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6">
        <f t="shared" si="7"/>
        <v>161459</v>
      </c>
      <c r="G28" s="160">
        <f t="shared" si="1"/>
        <v>0</v>
      </c>
      <c r="H28" s="606">
        <f t="shared" si="8"/>
        <v>561453</v>
      </c>
      <c r="I28" s="161">
        <f t="shared" si="2"/>
        <v>0</v>
      </c>
      <c r="J28" s="604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154.80303857058792</v>
      </c>
      <c r="P28" s="284">
        <f t="shared" si="12"/>
        <v>154.80303857058792</v>
      </c>
      <c r="Q28" s="284">
        <f>SUM(-tanks!AX30*tanks!$AU$37)</f>
        <v>684.86516129034453</v>
      </c>
      <c r="R28" s="284">
        <f t="shared" si="13"/>
        <v>839.66819986093242</v>
      </c>
      <c r="S28" s="286">
        <f>SUM(ELEC!N28)</f>
        <v>3149</v>
      </c>
      <c r="T28" s="320">
        <f t="shared" si="16"/>
        <v>0.26664598280753649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49</v>
      </c>
      <c r="AB28" s="322">
        <f>SUM(AA28*Y28)</f>
        <v>15680</v>
      </c>
      <c r="AC28" s="244">
        <f>AC11</f>
        <v>1000</v>
      </c>
      <c r="AD28" s="475">
        <f>SUM(G36)</f>
        <v>0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44860</v>
      </c>
      <c r="B29" s="606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6">
        <f t="shared" si="7"/>
        <v>161459</v>
      </c>
      <c r="G29" s="160">
        <f t="shared" si="1"/>
        <v>0</v>
      </c>
      <c r="H29" s="606">
        <f t="shared" si="8"/>
        <v>561453</v>
      </c>
      <c r="I29" s="161">
        <f t="shared" si="2"/>
        <v>0</v>
      </c>
      <c r="J29" s="604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154.80303857058792</v>
      </c>
      <c r="P29" s="284">
        <f t="shared" si="12"/>
        <v>154.80303857058792</v>
      </c>
      <c r="Q29" s="284">
        <f>SUM(-tanks!AX31*tanks!$AU$37)</f>
        <v>929.53354838708071</v>
      </c>
      <c r="R29" s="284">
        <f t="shared" si="13"/>
        <v>1084.3365869576687</v>
      </c>
      <c r="S29" s="286">
        <f>SUM(ELEC!N29)</f>
        <v>2969</v>
      </c>
      <c r="T29" s="320">
        <f t="shared" si="16"/>
        <v>0.36521946344145123</v>
      </c>
      <c r="V29" s="213"/>
      <c r="W29" s="214"/>
      <c r="X29" s="214"/>
      <c r="Y29" s="215"/>
      <c r="Z29" s="3"/>
      <c r="AA29" s="322">
        <f>SUM(AA26:AA28)</f>
        <v>436</v>
      </c>
      <c r="AB29" s="322">
        <f>SUM(AB26:AB28)</f>
        <v>58032</v>
      </c>
      <c r="AC29" s="244">
        <f>SUM(AC26:AC28)</f>
        <v>7234333</v>
      </c>
    </row>
    <row r="30" spans="1:32" ht="20.100000000000001" customHeight="1">
      <c r="A30" s="163">
        <f>ELEC!C30</f>
        <v>44861</v>
      </c>
      <c r="B30" s="606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6">
        <f t="shared" si="7"/>
        <v>161459</v>
      </c>
      <c r="G30" s="160">
        <f t="shared" si="1"/>
        <v>0</v>
      </c>
      <c r="H30" s="606">
        <f t="shared" si="8"/>
        <v>561453</v>
      </c>
      <c r="I30" s="161">
        <f t="shared" si="2"/>
        <v>0</v>
      </c>
      <c r="J30" s="604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154.80303857058792</v>
      </c>
      <c r="P30" s="284">
        <f t="shared" si="12"/>
        <v>154.80303857058792</v>
      </c>
      <c r="Q30" s="284">
        <f>SUM(-tanks!AX32*tanks!$AU$37)</f>
        <v>435.36580645162059</v>
      </c>
      <c r="R30" s="284">
        <f t="shared" si="13"/>
        <v>590.16884502220853</v>
      </c>
      <c r="S30" s="286">
        <f>SUM(ELEC!N30)</f>
        <v>3410</v>
      </c>
      <c r="T30" s="320">
        <f t="shared" si="16"/>
        <v>0.17307004252850691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7292365</v>
      </c>
      <c r="AC30" s="244"/>
    </row>
    <row r="31" spans="1:32" ht="20.100000000000001" customHeight="1">
      <c r="A31" s="163">
        <f>ELEC!C31</f>
        <v>44862</v>
      </c>
      <c r="B31" s="606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6">
        <f t="shared" si="7"/>
        <v>161459</v>
      </c>
      <c r="G31" s="160">
        <f>F31-F30</f>
        <v>0</v>
      </c>
      <c r="H31" s="606">
        <f t="shared" si="8"/>
        <v>561453</v>
      </c>
      <c r="I31" s="161">
        <f>H31-H30</f>
        <v>0</v>
      </c>
      <c r="J31" s="604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44863</v>
      </c>
      <c r="B32" s="606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6">
        <f t="shared" si="7"/>
        <v>161459</v>
      </c>
      <c r="G32" s="160">
        <f t="shared" ref="G32:G34" si="22">F32-F31</f>
        <v>0</v>
      </c>
      <c r="H32" s="606">
        <f t="shared" si="8"/>
        <v>561453</v>
      </c>
      <c r="I32" s="161">
        <f t="shared" ref="I32:I34" si="23">H32-H31</f>
        <v>0</v>
      </c>
      <c r="J32" s="604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232</v>
      </c>
      <c r="X32" s="222">
        <f>SUM(W32/A35)</f>
        <v>232</v>
      </c>
      <c r="Y32" s="250">
        <f>SUM(X32/1)</f>
        <v>232</v>
      </c>
      <c r="Z32" s="3"/>
      <c r="AA32" s="322"/>
      <c r="AB32" s="322"/>
      <c r="AC32" s="244"/>
    </row>
    <row r="33" spans="1:32" ht="20.100000000000001" customHeight="1">
      <c r="A33" s="163">
        <f>ELEC!C33</f>
        <v>44864</v>
      </c>
      <c r="B33" s="606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6">
        <f t="shared" si="7"/>
        <v>161459</v>
      </c>
      <c r="G33" s="160">
        <f t="shared" si="22"/>
        <v>0</v>
      </c>
      <c r="H33" s="606">
        <f t="shared" si="8"/>
        <v>561453</v>
      </c>
      <c r="I33" s="161">
        <f t="shared" si="23"/>
        <v>0</v>
      </c>
      <c r="J33" s="604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154.80303857058792</v>
      </c>
      <c r="P33" s="284">
        <f t="shared" si="28"/>
        <v>154.80303857058792</v>
      </c>
      <c r="Q33" s="284">
        <f>SUM(-tanks!AX35*tanks!$AU$37)</f>
        <v>1255.8503225806323</v>
      </c>
      <c r="R33" s="284">
        <f t="shared" si="29"/>
        <v>1410.6533611512202</v>
      </c>
      <c r="S33" s="286">
        <f>SUM(ELEC!N33)</f>
        <v>4203</v>
      </c>
      <c r="T33" s="320">
        <f t="shared" si="30"/>
        <v>0.3356301120987914</v>
      </c>
      <c r="V33" s="216" t="s">
        <v>413</v>
      </c>
      <c r="W33" s="537"/>
      <c r="X33" s="222"/>
      <c r="Y33" s="250"/>
      <c r="Z33" s="3" t="s">
        <v>415</v>
      </c>
      <c r="AA33" s="577">
        <v>0.11</v>
      </c>
      <c r="AB33" s="578">
        <f>AB30*AA33</f>
        <v>802160.15</v>
      </c>
      <c r="AC33" s="244">
        <f>SUM(AC29)</f>
        <v>7234333</v>
      </c>
    </row>
    <row r="34" spans="1:32" ht="20.100000000000001" customHeight="1">
      <c r="A34" s="163">
        <f>ELEC!C34</f>
        <v>44865</v>
      </c>
      <c r="B34" s="606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6">
        <f t="shared" si="7"/>
        <v>161459</v>
      </c>
      <c r="G34" s="160">
        <f t="shared" si="22"/>
        <v>0</v>
      </c>
      <c r="H34" s="606">
        <f t="shared" si="8"/>
        <v>561453</v>
      </c>
      <c r="I34" s="161">
        <f t="shared" si="23"/>
        <v>0</v>
      </c>
      <c r="J34" s="604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154.80303857058792</v>
      </c>
      <c r="P34" s="284">
        <f t="shared" si="28"/>
        <v>154.80303857058792</v>
      </c>
      <c r="Q34" s="284">
        <f>SUM(-tanks!AX36*tanks!$AU$37)</f>
        <v>439.4167741935517</v>
      </c>
      <c r="R34" s="284">
        <f t="shared" si="29"/>
        <v>594.21981276413965</v>
      </c>
      <c r="S34" s="286">
        <f>SUM(ELEC!N34)</f>
        <v>2800</v>
      </c>
      <c r="T34" s="320">
        <f t="shared" si="30"/>
        <v>0.21222136170147846</v>
      </c>
      <c r="V34" s="216" t="s">
        <v>414</v>
      </c>
      <c r="Z34" s="3"/>
      <c r="AA34" s="3"/>
      <c r="AB34" s="501">
        <f>AB30+AB33</f>
        <v>8094525.1500000004</v>
      </c>
      <c r="AC34" s="244">
        <f>SUM(AC30)</f>
        <v>0</v>
      </c>
    </row>
    <row r="35" spans="1:32" ht="15.75" thickBot="1">
      <c r="A35" s="498">
        <f>A37-COUNTIF(C4:C34,0)</f>
        <v>1</v>
      </c>
      <c r="C35" s="173">
        <f>SUM(C4:C34)/A35</f>
        <v>319</v>
      </c>
      <c r="D35" s="173"/>
      <c r="E35" s="173"/>
      <c r="F35" s="560"/>
      <c r="G35" s="560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4837.3897180762851</v>
      </c>
      <c r="AC36" s="53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4837.3897180762851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33"/>
      <c r="AC45" s="633"/>
      <c r="AD45" s="539"/>
      <c r="AE45" s="17"/>
      <c r="AF45" s="17"/>
    </row>
    <row r="46" spans="1:32">
      <c r="V46" s="633"/>
      <c r="W46" s="633"/>
      <c r="X46" s="633"/>
      <c r="Y46" s="633"/>
      <c r="Z46" s="505"/>
      <c r="AA46" s="505"/>
      <c r="AB46" s="633"/>
      <c r="AC46" s="633"/>
      <c r="AD46" s="539"/>
      <c r="AE46" s="17"/>
      <c r="AF46" s="17"/>
    </row>
    <row r="47" spans="1:32">
      <c r="V47" s="633"/>
      <c r="W47" s="633"/>
      <c r="X47" s="633"/>
      <c r="Y47" s="633"/>
      <c r="Z47" s="633"/>
      <c r="AA47" s="633"/>
      <c r="AB47" s="633"/>
      <c r="AC47" s="633"/>
      <c r="AD47" s="539"/>
      <c r="AE47" s="17"/>
      <c r="AF47" s="17"/>
    </row>
    <row r="48" spans="1:32">
      <c r="V48" s="634"/>
      <c r="W48" s="634"/>
      <c r="X48" s="635"/>
      <c r="Y48" s="635"/>
      <c r="Z48" s="635"/>
      <c r="AA48" s="506"/>
      <c r="AB48" s="633"/>
      <c r="AC48" s="633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14" activePane="bottomLeft" state="frozen"/>
      <selection pane="bottomLeft" activeCell="J34" sqref="J34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4">
        <v>0.72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44836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44837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44838</v>
      </c>
      <c r="B8" s="37">
        <v>28</v>
      </c>
      <c r="C8" s="37">
        <v>25</v>
      </c>
      <c r="D8" s="26">
        <f>(C8+B8)/2</f>
        <v>26.5</v>
      </c>
      <c r="E8" s="377">
        <v>0.69</v>
      </c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44839</v>
      </c>
      <c r="B9" s="37">
        <v>28</v>
      </c>
      <c r="C9" s="37">
        <v>25</v>
      </c>
      <c r="D9" s="26">
        <f t="shared" si="0"/>
        <v>26.5</v>
      </c>
      <c r="E9" s="377">
        <v>0.7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44840</v>
      </c>
      <c r="B10" s="37">
        <v>27</v>
      </c>
      <c r="C10" s="37">
        <v>22</v>
      </c>
      <c r="D10" s="26">
        <f t="shared" si="0"/>
        <v>24.5</v>
      </c>
      <c r="E10" s="377">
        <v>0.66</v>
      </c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44841</v>
      </c>
      <c r="B11" s="37">
        <v>27</v>
      </c>
      <c r="C11" s="37">
        <v>23</v>
      </c>
      <c r="D11" s="26">
        <f t="shared" si="0"/>
        <v>25</v>
      </c>
      <c r="E11" s="377">
        <v>0.64</v>
      </c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44842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44843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44844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44845</v>
      </c>
      <c r="B15" s="37">
        <v>28</v>
      </c>
      <c r="C15" s="37">
        <v>22</v>
      </c>
      <c r="D15" s="26">
        <f>(C15+B15)/2</f>
        <v>25</v>
      </c>
      <c r="E15" s="377">
        <v>0.52</v>
      </c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44846</v>
      </c>
      <c r="B16" s="37">
        <v>27</v>
      </c>
      <c r="C16" s="37">
        <v>22</v>
      </c>
      <c r="D16" s="26">
        <f t="shared" si="3"/>
        <v>24.5</v>
      </c>
      <c r="E16" s="605">
        <v>0.6</v>
      </c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44847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44848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44849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44850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44851</v>
      </c>
      <c r="B21" s="37">
        <v>26</v>
      </c>
      <c r="C21" s="37">
        <v>21</v>
      </c>
      <c r="D21" s="26">
        <f t="shared" si="3"/>
        <v>23.5</v>
      </c>
      <c r="E21" s="324">
        <v>0.65</v>
      </c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44852</v>
      </c>
      <c r="B22" s="37">
        <v>27</v>
      </c>
      <c r="C22" s="37">
        <v>21</v>
      </c>
      <c r="D22" s="26">
        <f>(C22+B22)/2</f>
        <v>24</v>
      </c>
      <c r="E22" s="377">
        <v>0.56000000000000005</v>
      </c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44853</v>
      </c>
      <c r="B23" s="37">
        <v>26</v>
      </c>
      <c r="C23" s="37">
        <v>21</v>
      </c>
      <c r="D23" s="26">
        <f t="shared" ref="D23:D35" si="5">(C23+B23)/2</f>
        <v>23.5</v>
      </c>
      <c r="E23" s="377">
        <v>0.61</v>
      </c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44854</v>
      </c>
      <c r="B24" s="37">
        <v>26</v>
      </c>
      <c r="C24" s="37">
        <v>21</v>
      </c>
      <c r="D24" s="26">
        <f t="shared" si="5"/>
        <v>23.5</v>
      </c>
      <c r="E24" s="377">
        <v>0.6</v>
      </c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44855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44856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44857</v>
      </c>
      <c r="B27" s="37">
        <v>26</v>
      </c>
      <c r="C27" s="37">
        <v>22</v>
      </c>
      <c r="D27" s="26">
        <f t="shared" si="5"/>
        <v>24</v>
      </c>
      <c r="E27" s="377">
        <v>0.6</v>
      </c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44858</v>
      </c>
      <c r="B28" s="37">
        <v>28</v>
      </c>
      <c r="C28" s="37">
        <v>21</v>
      </c>
      <c r="D28" s="26">
        <f t="shared" si="5"/>
        <v>24.5</v>
      </c>
      <c r="E28" s="324">
        <v>0.51</v>
      </c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44859</v>
      </c>
      <c r="B29" s="37">
        <v>27</v>
      </c>
      <c r="C29" s="37">
        <v>22</v>
      </c>
      <c r="D29" s="26">
        <f t="shared" si="5"/>
        <v>24.5</v>
      </c>
      <c r="E29" s="324">
        <v>0.6</v>
      </c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44860</v>
      </c>
      <c r="B30" s="37">
        <v>27</v>
      </c>
      <c r="C30" s="37">
        <v>22</v>
      </c>
      <c r="D30" s="26">
        <f t="shared" si="5"/>
        <v>24.5</v>
      </c>
      <c r="E30" s="326">
        <v>0.53</v>
      </c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44861</v>
      </c>
      <c r="B31" s="37">
        <v>27</v>
      </c>
      <c r="C31" s="37">
        <v>21</v>
      </c>
      <c r="D31" s="26">
        <f t="shared" si="5"/>
        <v>24</v>
      </c>
      <c r="E31" s="325">
        <v>0.59</v>
      </c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44862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44863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44864</v>
      </c>
      <c r="B34" s="37">
        <v>26</v>
      </c>
      <c r="C34" s="37">
        <v>21</v>
      </c>
      <c r="D34" s="26">
        <f t="shared" si="5"/>
        <v>23.5</v>
      </c>
      <c r="E34" s="377">
        <v>0.63</v>
      </c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44865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418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-256.40000000000003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-104.50000000000001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104.50000000000001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81.000000000000014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-99.3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-92.4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3654.2000000001863</v>
      </c>
      <c r="D24" s="3">
        <f t="shared" si="0"/>
        <v>-86.799999997980194</v>
      </c>
      <c r="E24" s="3">
        <f>ELEC!Q26</f>
        <v>3740.9999999981665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70.400000000000006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2879.7999999998137</v>
      </c>
      <c r="D25" s="3">
        <f t="shared" si="0"/>
        <v>37.799999999260763</v>
      </c>
      <c r="E25" s="3">
        <f>ELEC!Q27</f>
        <v>2842.000000000553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118.59999999999998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3149</v>
      </c>
      <c r="D26" s="3">
        <f t="shared" si="0"/>
        <v>-161.00000000130967</v>
      </c>
      <c r="E26" s="3">
        <f>ELEC!Q28</f>
        <v>3310.0000000013097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14.899999999999999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2969</v>
      </c>
      <c r="D27" s="3">
        <f t="shared" si="0"/>
        <v>39.000000003346941</v>
      </c>
      <c r="E27" s="3">
        <f>ELEC!Q29</f>
        <v>2929.9999999966531</v>
      </c>
      <c r="F27" s="3">
        <f>GEN!Z27</f>
        <v>11</v>
      </c>
      <c r="G27" s="3">
        <f>WATER!C30+WATER!H30</f>
        <v>73</v>
      </c>
      <c r="H27" s="3">
        <f>WATER!L30</f>
        <v>0</v>
      </c>
      <c r="I27" s="15">
        <f>WATER!BC30+WATER!BD30+WATER!BE31-Sheet1!G27</f>
        <v>-112.19999999999997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3410</v>
      </c>
      <c r="D28" s="3">
        <f t="shared" si="0"/>
        <v>-208.00000000221189</v>
      </c>
      <c r="E28" s="3">
        <f>ELEC!Q30</f>
        <v>3618.0000000022119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20.90000000000002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13</v>
      </c>
      <c r="G29" s="3">
        <f>WATER!C32+WATER!H32</f>
        <v>88</v>
      </c>
      <c r="H29" s="3">
        <f>WATER!L32</f>
        <v>0</v>
      </c>
      <c r="I29" s="15">
        <f>WATER!BC32+WATER!BD32+WATER!BE33-Sheet1!G29</f>
        <v>-58.5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4"/>
      <c r="B1" s="661" t="s">
        <v>119</v>
      </c>
      <c r="C1" s="661" t="s">
        <v>118</v>
      </c>
      <c r="D1" s="666" t="s">
        <v>113</v>
      </c>
      <c r="E1" s="666" t="s">
        <v>114</v>
      </c>
      <c r="F1" s="667" t="s">
        <v>120</v>
      </c>
      <c r="G1" s="668" t="s">
        <v>75</v>
      </c>
      <c r="H1" s="669" t="s">
        <v>115</v>
      </c>
      <c r="I1" s="670" t="s">
        <v>116</v>
      </c>
      <c r="J1" s="669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65"/>
      <c r="B2" s="662"/>
      <c r="C2" s="662"/>
      <c r="D2" s="666"/>
      <c r="E2" s="666"/>
      <c r="F2" s="667"/>
      <c r="G2" s="668"/>
      <c r="H2" s="669"/>
      <c r="I2" s="671"/>
      <c r="J2" s="669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-104.50000000000001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104.50000000000001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-92.4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190</v>
      </c>
      <c r="C27" s="76">
        <f>'B5'!AH27</f>
        <v>0</v>
      </c>
      <c r="D27" s="76">
        <f>GEN!AI25</f>
        <v>962.87341772104719</v>
      </c>
      <c r="E27" s="239">
        <f t="shared" si="0"/>
        <v>1152.8734177210472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3740.9999999981665</v>
      </c>
      <c r="J27" s="79">
        <f>ELEC!R26</f>
        <v>-86.799999997980194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88</v>
      </c>
      <c r="C28" s="76">
        <f>'B5'!AH28</f>
        <v>70</v>
      </c>
      <c r="D28" s="76">
        <f>GEN!AI26</f>
        <v>731.48523206765299</v>
      </c>
      <c r="E28" s="239">
        <f t="shared" si="0"/>
        <v>889.48523206765299</v>
      </c>
      <c r="F28" s="75">
        <f>WATER!L28</f>
        <v>0</v>
      </c>
      <c r="G28" s="78">
        <f>WATER!BG28</f>
        <v>70.400000000000006</v>
      </c>
      <c r="H28" s="79">
        <f>ELEC!AF27</f>
        <v>0</v>
      </c>
      <c r="I28" s="79">
        <f>ELEC!Q27</f>
        <v>2842.000000000553</v>
      </c>
      <c r="J28" s="79">
        <f>ELEC!R27</f>
        <v>37.799999999260763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112</v>
      </c>
      <c r="C29" s="76">
        <f>'B5'!AH29</f>
        <v>0</v>
      </c>
      <c r="D29" s="76">
        <f>GEN!AI27</f>
        <v>851.94092827037935</v>
      </c>
      <c r="E29" s="77">
        <f t="shared" si="0"/>
        <v>963.94092827037935</v>
      </c>
      <c r="F29" s="75">
        <f>WATER!L29</f>
        <v>0</v>
      </c>
      <c r="G29" s="78">
        <f>WATER!BG29</f>
        <v>-4.9000000000000199</v>
      </c>
      <c r="H29" s="79">
        <f>ELEC!AF28</f>
        <v>0</v>
      </c>
      <c r="I29" s="79">
        <f>ELEC!Q28</f>
        <v>3310.0000000013097</v>
      </c>
      <c r="J29" s="79">
        <f>ELEC!R28</f>
        <v>-161.00000000130967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35</v>
      </c>
      <c r="D30" s="76">
        <f>GEN!AI28</f>
        <v>754.13502109618503</v>
      </c>
      <c r="E30" s="77">
        <f t="shared" si="0"/>
        <v>789.13502109618503</v>
      </c>
      <c r="F30" s="75">
        <f>WATER!L30</f>
        <v>0</v>
      </c>
      <c r="G30" s="78">
        <f>WATER!BG30</f>
        <v>18.900000000000013</v>
      </c>
      <c r="H30" s="79">
        <f>ELEC!AF29</f>
        <v>0</v>
      </c>
      <c r="I30" s="79">
        <f>ELEC!Q29</f>
        <v>2929.9999999966531</v>
      </c>
      <c r="J30" s="79">
        <f>ELEC!R29</f>
        <v>39.000000003346941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100</v>
      </c>
      <c r="C31" s="76">
        <f>'B5'!AH31</f>
        <v>-35</v>
      </c>
      <c r="D31" s="76">
        <f>GEN!AI29</f>
        <v>931.21518987398713</v>
      </c>
      <c r="E31" s="77">
        <f t="shared" si="0"/>
        <v>996.21518987398713</v>
      </c>
      <c r="F31" s="75">
        <f>WATER!L31</f>
        <v>0</v>
      </c>
      <c r="G31" s="78">
        <f>WATER!BG31</f>
        <v>-16.699999999999989</v>
      </c>
      <c r="H31" s="79">
        <f>ELEC!AF30</f>
        <v>0</v>
      </c>
      <c r="I31" s="79">
        <f>ELEC!Q30</f>
        <v>3618.0000000022119</v>
      </c>
      <c r="J31" s="79">
        <f>ELEC!R30</f>
        <v>-208.00000000221189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37.600000000000009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3</v>
      </c>
      <c r="G29">
        <f t="shared" si="1"/>
        <v>321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1</v>
      </c>
      <c r="G31">
        <f t="shared" si="1"/>
        <v>107</v>
      </c>
    </row>
    <row r="32" spans="3:7">
      <c r="C32" s="99">
        <v>42456</v>
      </c>
      <c r="D32">
        <f>'B5'!AL31</f>
        <v>1</v>
      </c>
      <c r="E32">
        <f t="shared" si="0"/>
        <v>90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8.2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.5" thickBot="1">
      <c r="A4" s="575"/>
      <c r="B4" s="580" t="s">
        <v>325</v>
      </c>
      <c r="C4" s="581" t="s">
        <v>320</v>
      </c>
      <c r="D4" s="582" t="s">
        <v>326</v>
      </c>
      <c r="E4" s="583" t="s">
        <v>325</v>
      </c>
      <c r="F4" s="582" t="s">
        <v>320</v>
      </c>
      <c r="G4" s="583" t="s">
        <v>326</v>
      </c>
      <c r="H4" s="567">
        <v>0</v>
      </c>
      <c r="I4" s="568"/>
      <c r="J4" s="56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9"/>
      <c r="B5" s="673" t="s">
        <v>417</v>
      </c>
      <c r="C5" s="674"/>
      <c r="D5" s="674"/>
      <c r="E5" s="674"/>
      <c r="F5" s="674"/>
      <c r="G5" s="675"/>
      <c r="H5" s="600"/>
      <c r="I5" s="601"/>
      <c r="J5" s="588"/>
      <c r="K5" s="576"/>
      <c r="L5" s="497"/>
      <c r="M5" s="476"/>
      <c r="N5" s="476"/>
      <c r="O5" s="476"/>
    </row>
    <row r="6" spans="1:18" ht="15.75" customHeight="1">
      <c r="A6" s="593">
        <f>ELEC!C4</f>
        <v>44835</v>
      </c>
      <c r="B6" s="676"/>
      <c r="C6" s="677"/>
      <c r="D6" s="677"/>
      <c r="E6" s="677"/>
      <c r="F6" s="677"/>
      <c r="G6" s="678"/>
      <c r="H6" s="592">
        <f>H5</f>
        <v>0</v>
      </c>
      <c r="I6" s="598">
        <f>H6-H5</f>
        <v>0</v>
      </c>
      <c r="J6" s="587">
        <v>0.29166666666666669</v>
      </c>
      <c r="L6" s="99">
        <f t="shared" ref="L6:L33" si="0">A6</f>
        <v>44835</v>
      </c>
      <c r="M6" s="3">
        <f>M5</f>
        <v>0</v>
      </c>
      <c r="N6" s="476"/>
      <c r="O6" s="476">
        <f>M6+N6</f>
        <v>0</v>
      </c>
    </row>
    <row r="7" spans="1:18">
      <c r="A7" s="594">
        <f>ELEC!C5</f>
        <v>44836</v>
      </c>
      <c r="B7" s="676"/>
      <c r="C7" s="677"/>
      <c r="D7" s="677"/>
      <c r="E7" s="677"/>
      <c r="F7" s="677"/>
      <c r="G7" s="678"/>
      <c r="H7" s="592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44836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4">
        <f>ELEC!C6</f>
        <v>44837</v>
      </c>
      <c r="B8" s="676"/>
      <c r="C8" s="677"/>
      <c r="D8" s="677"/>
      <c r="E8" s="677"/>
      <c r="F8" s="677"/>
      <c r="G8" s="678"/>
      <c r="H8" s="592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44837</v>
      </c>
      <c r="M8" s="3">
        <f t="shared" si="2"/>
        <v>0</v>
      </c>
      <c r="N8" s="476"/>
      <c r="O8" s="476">
        <f t="shared" si="3"/>
        <v>0</v>
      </c>
    </row>
    <row r="9" spans="1:18">
      <c r="A9" s="594">
        <f>ELEC!C7</f>
        <v>44838</v>
      </c>
      <c r="B9" s="676"/>
      <c r="C9" s="677"/>
      <c r="D9" s="677"/>
      <c r="E9" s="677"/>
      <c r="F9" s="677"/>
      <c r="G9" s="678"/>
      <c r="H9" s="592">
        <v>7082</v>
      </c>
      <c r="I9" s="476">
        <f t="shared" si="4"/>
        <v>7082</v>
      </c>
      <c r="J9" s="461">
        <v>0.25</v>
      </c>
      <c r="L9" s="99">
        <f t="shared" si="0"/>
        <v>44838</v>
      </c>
      <c r="M9" s="3">
        <f t="shared" si="2"/>
        <v>0</v>
      </c>
      <c r="N9" s="476"/>
      <c r="O9" s="476">
        <f t="shared" si="3"/>
        <v>0</v>
      </c>
    </row>
    <row r="10" spans="1:18">
      <c r="A10" s="594">
        <f>ELEC!C8</f>
        <v>44839</v>
      </c>
      <c r="B10" s="676"/>
      <c r="C10" s="677"/>
      <c r="D10" s="677"/>
      <c r="E10" s="677"/>
      <c r="F10" s="677"/>
      <c r="G10" s="678"/>
      <c r="H10" s="592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44839</v>
      </c>
      <c r="M10" s="3">
        <f t="shared" si="2"/>
        <v>0</v>
      </c>
      <c r="N10" s="476"/>
      <c r="O10" s="476">
        <f t="shared" si="3"/>
        <v>0</v>
      </c>
    </row>
    <row r="11" spans="1:18">
      <c r="A11" s="594">
        <f>ELEC!C9</f>
        <v>44840</v>
      </c>
      <c r="B11" s="676"/>
      <c r="C11" s="677"/>
      <c r="D11" s="677"/>
      <c r="E11" s="677"/>
      <c r="F11" s="677"/>
      <c r="G11" s="678"/>
      <c r="H11" s="592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44840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4">
        <f>ELEC!C10</f>
        <v>44841</v>
      </c>
      <c r="B12" s="676"/>
      <c r="C12" s="677"/>
      <c r="D12" s="677"/>
      <c r="E12" s="677"/>
      <c r="F12" s="677"/>
      <c r="G12" s="678"/>
      <c r="H12" s="592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44841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4">
        <f>ELEC!C11</f>
        <v>44842</v>
      </c>
      <c r="B13" s="676"/>
      <c r="C13" s="677"/>
      <c r="D13" s="677"/>
      <c r="E13" s="677"/>
      <c r="F13" s="677"/>
      <c r="G13" s="678"/>
      <c r="H13" s="592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44842</v>
      </c>
      <c r="M13" s="3">
        <f t="shared" si="2"/>
        <v>0</v>
      </c>
      <c r="N13" s="476"/>
      <c r="O13" s="476">
        <f t="shared" si="3"/>
        <v>0</v>
      </c>
    </row>
    <row r="14" spans="1:18">
      <c r="A14" s="594">
        <f>ELEC!C12</f>
        <v>44843</v>
      </c>
      <c r="B14" s="676"/>
      <c r="C14" s="677"/>
      <c r="D14" s="677"/>
      <c r="E14" s="677"/>
      <c r="F14" s="677"/>
      <c r="G14" s="678"/>
      <c r="H14" s="592">
        <v>7088</v>
      </c>
      <c r="I14" s="476">
        <f t="shared" si="4"/>
        <v>6</v>
      </c>
      <c r="J14" s="461">
        <v>0.29166666666666669</v>
      </c>
      <c r="L14" s="99">
        <f t="shared" si="0"/>
        <v>44843</v>
      </c>
      <c r="M14" s="3">
        <f t="shared" si="2"/>
        <v>0</v>
      </c>
      <c r="N14" s="476"/>
      <c r="O14" s="476">
        <f t="shared" si="3"/>
        <v>0</v>
      </c>
    </row>
    <row r="15" spans="1:18">
      <c r="A15" s="594">
        <f>ELEC!C13</f>
        <v>44844</v>
      </c>
      <c r="B15" s="676"/>
      <c r="C15" s="677"/>
      <c r="D15" s="677"/>
      <c r="E15" s="677"/>
      <c r="F15" s="677"/>
      <c r="G15" s="678"/>
      <c r="H15" s="592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44844</v>
      </c>
      <c r="M15" s="3">
        <f t="shared" si="2"/>
        <v>0</v>
      </c>
      <c r="N15" s="476"/>
      <c r="O15" s="476">
        <f t="shared" si="3"/>
        <v>0</v>
      </c>
    </row>
    <row r="16" spans="1:18">
      <c r="A16" s="594">
        <f>ELEC!C14</f>
        <v>44845</v>
      </c>
      <c r="B16" s="676"/>
      <c r="C16" s="677"/>
      <c r="D16" s="677"/>
      <c r="E16" s="677"/>
      <c r="F16" s="677"/>
      <c r="G16" s="678"/>
      <c r="H16" s="592">
        <v>7089</v>
      </c>
      <c r="I16" s="476">
        <f t="shared" si="4"/>
        <v>1</v>
      </c>
      <c r="J16" s="461">
        <v>0.29166666666666669</v>
      </c>
      <c r="L16" s="99">
        <f t="shared" si="0"/>
        <v>44845</v>
      </c>
      <c r="M16" s="3">
        <f t="shared" si="2"/>
        <v>0</v>
      </c>
      <c r="N16" s="476"/>
      <c r="O16" s="476">
        <f t="shared" si="3"/>
        <v>0</v>
      </c>
    </row>
    <row r="17" spans="1:15">
      <c r="A17" s="594">
        <f>ELEC!C15</f>
        <v>44846</v>
      </c>
      <c r="B17" s="676"/>
      <c r="C17" s="677"/>
      <c r="D17" s="677"/>
      <c r="E17" s="677"/>
      <c r="F17" s="677"/>
      <c r="G17" s="678"/>
      <c r="H17" s="592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44846</v>
      </c>
      <c r="M17" s="3">
        <f t="shared" si="2"/>
        <v>0</v>
      </c>
      <c r="N17" s="476"/>
      <c r="O17" s="476">
        <f t="shared" si="3"/>
        <v>0</v>
      </c>
    </row>
    <row r="18" spans="1:15">
      <c r="A18" s="594">
        <f>ELEC!C16</f>
        <v>44847</v>
      </c>
      <c r="B18" s="676"/>
      <c r="C18" s="677"/>
      <c r="D18" s="677"/>
      <c r="E18" s="677"/>
      <c r="F18" s="677"/>
      <c r="G18" s="678"/>
      <c r="H18" s="592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44847</v>
      </c>
      <c r="M18" s="3">
        <f t="shared" si="2"/>
        <v>0</v>
      </c>
      <c r="N18" s="476"/>
      <c r="O18" s="476">
        <f t="shared" si="3"/>
        <v>0</v>
      </c>
    </row>
    <row r="19" spans="1:15">
      <c r="A19" s="594">
        <f>ELEC!C17</f>
        <v>44848</v>
      </c>
      <c r="B19" s="676"/>
      <c r="C19" s="677"/>
      <c r="D19" s="677"/>
      <c r="E19" s="677"/>
      <c r="F19" s="677"/>
      <c r="G19" s="678"/>
      <c r="H19" s="592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44848</v>
      </c>
      <c r="M19" s="3">
        <f t="shared" si="2"/>
        <v>0</v>
      </c>
      <c r="N19" s="476"/>
      <c r="O19" s="476">
        <f t="shared" si="3"/>
        <v>0</v>
      </c>
    </row>
    <row r="20" spans="1:15">
      <c r="A20" s="594">
        <f>ELEC!C18</f>
        <v>44849</v>
      </c>
      <c r="B20" s="676"/>
      <c r="C20" s="677"/>
      <c r="D20" s="677"/>
      <c r="E20" s="677"/>
      <c r="F20" s="677"/>
      <c r="G20" s="678"/>
      <c r="H20" s="592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44849</v>
      </c>
      <c r="M20" s="3">
        <f t="shared" si="2"/>
        <v>0</v>
      </c>
      <c r="N20" s="476"/>
      <c r="O20" s="476">
        <f t="shared" si="3"/>
        <v>0</v>
      </c>
    </row>
    <row r="21" spans="1:15">
      <c r="A21" s="594">
        <f>ELEC!C19</f>
        <v>44850</v>
      </c>
      <c r="B21" s="676"/>
      <c r="C21" s="677"/>
      <c r="D21" s="677"/>
      <c r="E21" s="677"/>
      <c r="F21" s="677"/>
      <c r="G21" s="678"/>
      <c r="H21" s="592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44850</v>
      </c>
      <c r="M21" s="3">
        <f t="shared" si="2"/>
        <v>0</v>
      </c>
      <c r="N21" s="476"/>
      <c r="O21" s="476">
        <f t="shared" si="3"/>
        <v>0</v>
      </c>
    </row>
    <row r="22" spans="1:15">
      <c r="A22" s="594">
        <f>ELEC!C20</f>
        <v>44851</v>
      </c>
      <c r="B22" s="676"/>
      <c r="C22" s="677"/>
      <c r="D22" s="677"/>
      <c r="E22" s="677"/>
      <c r="F22" s="677"/>
      <c r="G22" s="678"/>
      <c r="H22" s="592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44851</v>
      </c>
      <c r="M22" s="3">
        <f t="shared" si="2"/>
        <v>0</v>
      </c>
      <c r="N22" s="476"/>
      <c r="O22" s="476">
        <f t="shared" si="3"/>
        <v>0</v>
      </c>
    </row>
    <row r="23" spans="1:15">
      <c r="A23" s="594">
        <f>ELEC!C21</f>
        <v>44852</v>
      </c>
      <c r="B23" s="676"/>
      <c r="C23" s="677"/>
      <c r="D23" s="677"/>
      <c r="E23" s="677"/>
      <c r="F23" s="677"/>
      <c r="G23" s="678"/>
      <c r="H23" s="592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44852</v>
      </c>
      <c r="M23" s="3">
        <f t="shared" si="2"/>
        <v>0</v>
      </c>
      <c r="N23" s="476"/>
      <c r="O23" s="476">
        <f t="shared" si="3"/>
        <v>0</v>
      </c>
    </row>
    <row r="24" spans="1:15">
      <c r="A24" s="594">
        <f>ELEC!C22</f>
        <v>44853</v>
      </c>
      <c r="B24" s="676"/>
      <c r="C24" s="677"/>
      <c r="D24" s="677"/>
      <c r="E24" s="677"/>
      <c r="F24" s="677"/>
      <c r="G24" s="678"/>
      <c r="H24" s="592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44853</v>
      </c>
      <c r="M24" s="3">
        <f t="shared" si="2"/>
        <v>0</v>
      </c>
      <c r="N24" s="476"/>
      <c r="O24" s="476">
        <f t="shared" si="3"/>
        <v>0</v>
      </c>
    </row>
    <row r="25" spans="1:15">
      <c r="A25" s="594">
        <f>ELEC!C23</f>
        <v>44854</v>
      </c>
      <c r="B25" s="676"/>
      <c r="C25" s="677"/>
      <c r="D25" s="677"/>
      <c r="E25" s="677"/>
      <c r="F25" s="677"/>
      <c r="G25" s="678"/>
      <c r="H25" s="592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44854</v>
      </c>
      <c r="M25" s="3">
        <f t="shared" si="2"/>
        <v>0</v>
      </c>
      <c r="N25" s="476"/>
      <c r="O25" s="476">
        <f t="shared" si="3"/>
        <v>0</v>
      </c>
    </row>
    <row r="26" spans="1:15">
      <c r="A26" s="594">
        <f>ELEC!C24</f>
        <v>44855</v>
      </c>
      <c r="B26" s="676"/>
      <c r="C26" s="677"/>
      <c r="D26" s="677"/>
      <c r="E26" s="677"/>
      <c r="F26" s="677"/>
      <c r="G26" s="678"/>
      <c r="H26" s="592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44855</v>
      </c>
      <c r="M26" s="3">
        <f t="shared" si="2"/>
        <v>0</v>
      </c>
      <c r="N26" s="476"/>
      <c r="O26" s="476">
        <f t="shared" si="3"/>
        <v>0</v>
      </c>
    </row>
    <row r="27" spans="1:15">
      <c r="A27" s="594">
        <f>ELEC!C25</f>
        <v>44856</v>
      </c>
      <c r="B27" s="676"/>
      <c r="C27" s="677"/>
      <c r="D27" s="677"/>
      <c r="E27" s="677"/>
      <c r="F27" s="677"/>
      <c r="G27" s="678"/>
      <c r="H27" s="592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44856</v>
      </c>
      <c r="M27" s="3">
        <f t="shared" si="2"/>
        <v>0</v>
      </c>
      <c r="N27" s="476"/>
      <c r="O27" s="476">
        <f t="shared" si="3"/>
        <v>0</v>
      </c>
    </row>
    <row r="28" spans="1:15">
      <c r="A28" s="594">
        <f>ELEC!C26</f>
        <v>44857</v>
      </c>
      <c r="B28" s="676"/>
      <c r="C28" s="677"/>
      <c r="D28" s="677"/>
      <c r="E28" s="677"/>
      <c r="F28" s="677"/>
      <c r="G28" s="678"/>
      <c r="H28" s="592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44857</v>
      </c>
      <c r="M28" s="3">
        <f t="shared" si="2"/>
        <v>0</v>
      </c>
      <c r="N28" s="476"/>
      <c r="O28" s="476">
        <f t="shared" si="3"/>
        <v>0</v>
      </c>
    </row>
    <row r="29" spans="1:15">
      <c r="A29" s="594">
        <f>ELEC!C27</f>
        <v>44858</v>
      </c>
      <c r="B29" s="676"/>
      <c r="C29" s="677"/>
      <c r="D29" s="677"/>
      <c r="E29" s="677"/>
      <c r="F29" s="677"/>
      <c r="G29" s="678"/>
      <c r="H29" s="592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44858</v>
      </c>
      <c r="M29" s="3">
        <f t="shared" si="2"/>
        <v>0</v>
      </c>
      <c r="N29" s="476"/>
      <c r="O29" s="476">
        <f t="shared" si="3"/>
        <v>0</v>
      </c>
    </row>
    <row r="30" spans="1:15">
      <c r="A30" s="594">
        <f>ELEC!C28</f>
        <v>44859</v>
      </c>
      <c r="B30" s="676"/>
      <c r="C30" s="677"/>
      <c r="D30" s="677"/>
      <c r="E30" s="677"/>
      <c r="F30" s="677"/>
      <c r="G30" s="678"/>
      <c r="H30" s="592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44859</v>
      </c>
      <c r="M30" s="3">
        <f t="shared" si="2"/>
        <v>0</v>
      </c>
      <c r="N30" s="476"/>
      <c r="O30" s="476">
        <f t="shared" si="3"/>
        <v>0</v>
      </c>
    </row>
    <row r="31" spans="1:15">
      <c r="A31" s="594">
        <f>ELEC!C29</f>
        <v>44860</v>
      </c>
      <c r="B31" s="676"/>
      <c r="C31" s="677"/>
      <c r="D31" s="677"/>
      <c r="E31" s="677"/>
      <c r="F31" s="677"/>
      <c r="G31" s="678"/>
      <c r="H31" s="592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44860</v>
      </c>
      <c r="M31" s="3">
        <f t="shared" si="2"/>
        <v>0</v>
      </c>
      <c r="N31" s="476"/>
      <c r="O31" s="476">
        <f t="shared" si="3"/>
        <v>0</v>
      </c>
    </row>
    <row r="32" spans="1:15">
      <c r="A32" s="594">
        <f>ELEC!C30</f>
        <v>44861</v>
      </c>
      <c r="B32" s="676"/>
      <c r="C32" s="677"/>
      <c r="D32" s="677"/>
      <c r="E32" s="677"/>
      <c r="F32" s="677"/>
      <c r="G32" s="678"/>
      <c r="H32" s="592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44861</v>
      </c>
      <c r="M32" s="3">
        <f t="shared" si="2"/>
        <v>0</v>
      </c>
      <c r="N32" s="476"/>
      <c r="O32" s="476">
        <v>6879</v>
      </c>
    </row>
    <row r="33" spans="1:15">
      <c r="A33" s="594">
        <f>ELEC!C31</f>
        <v>44862</v>
      </c>
      <c r="B33" s="676"/>
      <c r="C33" s="677"/>
      <c r="D33" s="677"/>
      <c r="E33" s="677"/>
      <c r="F33" s="677"/>
      <c r="G33" s="678"/>
      <c r="H33" s="592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44862</v>
      </c>
      <c r="M33" s="3">
        <f t="shared" si="2"/>
        <v>0</v>
      </c>
      <c r="N33" s="476"/>
      <c r="O33" s="476">
        <f t="shared" si="3"/>
        <v>0</v>
      </c>
    </row>
    <row r="34" spans="1:15">
      <c r="A34" s="594">
        <f>ELEC!C32</f>
        <v>44863</v>
      </c>
      <c r="B34" s="676"/>
      <c r="C34" s="677"/>
      <c r="D34" s="677"/>
      <c r="E34" s="677"/>
      <c r="F34" s="677"/>
      <c r="G34" s="678"/>
      <c r="H34" s="592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44863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4">
        <f>ELEC!C33</f>
        <v>44864</v>
      </c>
      <c r="B35" s="676"/>
      <c r="C35" s="677"/>
      <c r="D35" s="677"/>
      <c r="E35" s="677"/>
      <c r="F35" s="677"/>
      <c r="G35" s="678"/>
      <c r="H35" s="592">
        <f t="shared" si="1"/>
        <v>7089</v>
      </c>
      <c r="I35" s="476">
        <f t="shared" si="5"/>
        <v>0</v>
      </c>
      <c r="J35" s="461">
        <v>0.375</v>
      </c>
      <c r="L35" s="99">
        <f t="shared" si="6"/>
        <v>44864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5">
        <f>ELEC!C34</f>
        <v>44865</v>
      </c>
      <c r="B36" s="679"/>
      <c r="C36" s="680"/>
      <c r="D36" s="680"/>
      <c r="E36" s="680"/>
      <c r="F36" s="680"/>
      <c r="G36" s="681"/>
      <c r="H36" s="592">
        <f t="shared" si="1"/>
        <v>7089</v>
      </c>
      <c r="I36" s="596">
        <f t="shared" si="5"/>
        <v>0</v>
      </c>
      <c r="J36" s="597">
        <v>0.41666666666666702</v>
      </c>
      <c r="L36" s="99">
        <f t="shared" si="6"/>
        <v>44865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8" t="s">
        <v>161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8"/>
      <c r="Q1" s="698"/>
      <c r="R1" s="698"/>
      <c r="S1" s="698"/>
      <c r="T1" s="698"/>
      <c r="U1" s="698"/>
      <c r="V1" s="698"/>
      <c r="W1" s="698"/>
      <c r="X1" s="698"/>
    </row>
    <row r="2" spans="1:28" ht="19.5">
      <c r="A2" s="699"/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</row>
    <row r="3" spans="1:28" ht="19.5">
      <c r="A3" s="699" t="s">
        <v>162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/>
      <c r="U3" s="699"/>
      <c r="V3" s="699"/>
      <c r="W3" s="699"/>
      <c r="X3" s="69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9" t="s">
        <v>404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699"/>
      <c r="O5" s="699"/>
      <c r="P5" s="699"/>
      <c r="Q5" s="699"/>
      <c r="R5" s="699"/>
      <c r="S5" s="699"/>
      <c r="T5" s="699"/>
      <c r="U5" s="699"/>
      <c r="V5" s="699"/>
      <c r="W5" s="699"/>
      <c r="X5" s="699"/>
    </row>
    <row r="6" spans="1:28" ht="15.75" thickBot="1">
      <c r="A6" s="700"/>
      <c r="B6" s="700"/>
      <c r="C6" s="700"/>
      <c r="D6" s="700"/>
      <c r="E6" s="700"/>
      <c r="F6" s="700"/>
      <c r="G6" s="700"/>
      <c r="H6" s="700"/>
      <c r="I6" s="700"/>
      <c r="J6" s="700"/>
      <c r="K6" s="700"/>
      <c r="L6" s="700"/>
      <c r="M6" s="700"/>
      <c r="N6" s="700"/>
      <c r="O6" s="700"/>
      <c r="P6" s="700"/>
      <c r="Q6" s="700"/>
      <c r="R6" s="700"/>
      <c r="S6" s="700"/>
      <c r="T6" s="700"/>
      <c r="U6" s="700"/>
      <c r="V6" s="700"/>
      <c r="W6" s="700"/>
      <c r="X6" s="700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5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5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5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5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5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5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5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5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5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5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5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5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5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5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5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5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5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5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5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5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5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5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5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5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5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5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5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5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5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5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5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5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5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5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5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5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5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5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5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5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5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5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5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5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5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5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5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5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5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5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5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5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5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5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5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5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5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5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5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5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5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5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5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5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5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5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5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5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5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5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5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5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5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5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5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5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5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5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5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5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5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5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5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5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5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5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5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5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5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5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5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5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5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5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5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5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5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5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5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5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5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5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5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5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5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5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5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5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5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5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22</v>
      </c>
      <c r="D32" s="261">
        <f>'[9]Degree Days 2020'!D32</f>
        <v>-3.3000000000000007</v>
      </c>
      <c r="E32" s="495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5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5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5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5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21</v>
      </c>
      <c r="D33" s="261">
        <f>'[9]Degree Days 2020'!D33</f>
        <v>-4.3000000000000007</v>
      </c>
      <c r="E33" s="495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5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5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5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5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22</v>
      </c>
      <c r="D34" s="261">
        <f>'[9]Degree Days 2020'!D34</f>
        <v>-1.8000000000000007</v>
      </c>
      <c r="E34" s="495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5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5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5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5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22</v>
      </c>
      <c r="D35" s="261">
        <f>'[9]Degree Days 2020'!D35</f>
        <v>-3.8000000000000007</v>
      </c>
      <c r="E35" s="495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5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5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5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5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21</v>
      </c>
      <c r="D36" s="261">
        <f>'[9]Degree Days 2020'!D36</f>
        <v>-6.3000000000000007</v>
      </c>
      <c r="E36" s="495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5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5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5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5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5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5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5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5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5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5"/>
      <c r="F38" s="261"/>
      <c r="G38" s="261"/>
      <c r="H38" s="261"/>
      <c r="I38" s="495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5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5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5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21</v>
      </c>
      <c r="D39" s="261">
        <f>'[9]Degree Days 2020'!D39</f>
        <v>-11.3</v>
      </c>
      <c r="E39" s="495"/>
      <c r="F39" s="261"/>
      <c r="G39" s="261"/>
      <c r="H39" s="261"/>
      <c r="I39" s="495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5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5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5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5"/>
      <c r="F40" s="261"/>
      <c r="G40" s="261"/>
      <c r="H40" s="261"/>
      <c r="I40" s="495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5"/>
      <c r="N40" s="261"/>
      <c r="O40" s="261"/>
      <c r="P40" s="261"/>
      <c r="Q40" s="495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26</v>
      </c>
      <c r="K70" s="261">
        <f>'General information '!C27</f>
        <v>22</v>
      </c>
      <c r="L70" s="119">
        <f t="shared" si="6"/>
        <v>5.6999999999999993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28</v>
      </c>
      <c r="K71" s="261">
        <f>'General information '!C28</f>
        <v>21</v>
      </c>
      <c r="L71" s="119">
        <f t="shared" si="6"/>
        <v>6.1999999999999993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27</v>
      </c>
      <c r="K72" s="261">
        <f>'General information '!C29</f>
        <v>22</v>
      </c>
      <c r="L72" s="119">
        <f t="shared" si="6"/>
        <v>6.1999999999999993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27</v>
      </c>
      <c r="K73" s="261">
        <f>'General information '!C30</f>
        <v>22</v>
      </c>
      <c r="L73" s="119">
        <f t="shared" si="6"/>
        <v>6.1999999999999993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27</v>
      </c>
      <c r="K74" s="261">
        <f>'General information '!C31</f>
        <v>21</v>
      </c>
      <c r="L74" s="119">
        <f t="shared" si="6"/>
        <v>5.6999999999999993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26</v>
      </c>
      <c r="K77" s="261">
        <f>'General information '!C34</f>
        <v>21</v>
      </c>
      <c r="L77" s="119">
        <f t="shared" si="6"/>
        <v>5.1999999999999993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-237.90000000000006</v>
      </c>
      <c r="K81" s="119">
        <f>SUMIF(L48:L78,"&gt;0")</f>
        <v>106.90000000000003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-3284.8000000000006</v>
      </c>
      <c r="O86" s="142">
        <f>C43+G43+K43+O43+S43+W43+C81+G81+K81+O81+S81+W81</f>
        <v>643.20000000000005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430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7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5">
        <f>tanks!AT37</f>
        <v>23745</v>
      </c>
      <c r="C8" s="465">
        <f>SUM(tanks!AU37)</f>
        <v>0.78</v>
      </c>
      <c r="D8" s="191">
        <f>SUM(B8*C8)*D4</f>
        <v>27920558.250000004</v>
      </c>
      <c r="E8" s="192">
        <f>SUM(D8/D4/F4)</f>
        <v>597.45483870967746</v>
      </c>
      <c r="F8" s="192">
        <f>SUM(E8*F4)</f>
        <v>18521.100000000002</v>
      </c>
      <c r="G8" s="566">
        <f>E8*$G$4</f>
        <v>2987.2741935483873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7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1018.0157973572996</v>
      </c>
      <c r="F12" s="180">
        <f>SUM(F6:F10)</f>
        <v>31558.489718076285</v>
      </c>
      <c r="G12" s="179">
        <f>SUM(G6:G10)</f>
        <v>11967.498341625207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106.90000000000003</v>
      </c>
      <c r="C14" s="415">
        <f>'[16]Utility Cost '!$B$14</f>
        <v>176.99999999999997</v>
      </c>
      <c r="D14" s="170"/>
      <c r="E14" s="415">
        <f>'[17]Utility Cost '!F14</f>
        <v>0</v>
      </c>
      <c r="F14" s="476">
        <v>0</v>
      </c>
      <c r="G14" s="404"/>
      <c r="H14" s="405">
        <f>SUM(G12-H12)</f>
        <v>-68161.401658374787</v>
      </c>
      <c r="I14" s="405">
        <f>SUM(G12-I12)</f>
        <v>-39276.421378804902</v>
      </c>
    </row>
    <row r="15" spans="1:11">
      <c r="A15" s="427" t="s">
        <v>301</v>
      </c>
      <c r="B15" s="97">
        <f>'Degree Days 2022'!J81</f>
        <v>-237.90000000000006</v>
      </c>
      <c r="C15" s="415">
        <f>'[16]Utility Cost '!$B$15</f>
        <v>-183.00000000000003</v>
      </c>
      <c r="D15" s="170"/>
      <c r="E15" s="415">
        <f>'[17]Utility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418</v>
      </c>
      <c r="C16" s="415">
        <f>'[16]Utility Cost '!$B$16</f>
        <v>36.200000000000003</v>
      </c>
      <c r="D16" s="414"/>
      <c r="E16" s="415">
        <f>'[17]Utility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'[18]Utility Cost '!B17</f>
        <v>0</v>
      </c>
      <c r="D17" s="454">
        <v>0</v>
      </c>
      <c r="E17" s="415">
        <f>'[17]Utility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232</v>
      </c>
      <c r="C18" s="415">
        <f>'[16]Utility Cost '!$B$18</f>
        <v>325</v>
      </c>
      <c r="D18" s="412">
        <f>'[19]Other Fuel Calculation 2021'!$G$116</f>
        <v>202.66666666666666</v>
      </c>
      <c r="E18" s="415">
        <f>'[17]Utility Cost '!F18</f>
        <v>276.33333333333337</v>
      </c>
      <c r="F18" s="492">
        <f>B18-D18</f>
        <v>29.333333333333343</v>
      </c>
    </row>
    <row r="19" spans="1:10">
      <c r="A19" s="488" t="s">
        <v>412</v>
      </c>
      <c r="B19" s="490">
        <f>GEN!AL34</f>
        <v>20</v>
      </c>
      <c r="C19" s="415">
        <f>'[18]Utility Cost '!B19</f>
        <v>25.923076923076923</v>
      </c>
      <c r="D19" s="412"/>
      <c r="E19" s="415"/>
      <c r="F19" s="492"/>
    </row>
    <row r="20" spans="1:10">
      <c r="A20" s="488" t="s">
        <v>406</v>
      </c>
      <c r="B20" s="486">
        <f>B18/B19</f>
        <v>11.6</v>
      </c>
      <c r="C20" s="415">
        <f>'[16]Utility Cost '!$B$19</f>
        <v>21.666666666666668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2022-11-01T12:05:27Z</dcterms:modified>
</cp:coreProperties>
</file>