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9" i="6" l="1"/>
  <c r="E39" i="6"/>
  <c r="C39" i="6"/>
  <c r="G34" i="4"/>
  <c r="E34" i="4"/>
  <c r="C34" i="4"/>
  <c r="G38" i="6" l="1"/>
  <c r="E38" i="6"/>
  <c r="C38" i="6"/>
  <c r="G37" i="6" l="1"/>
  <c r="E37" i="6"/>
  <c r="C37" i="6"/>
  <c r="G32" i="4"/>
  <c r="E32" i="4"/>
  <c r="C32" i="4"/>
  <c r="G36" i="6" l="1"/>
  <c r="E36" i="6"/>
  <c r="C36" i="6"/>
  <c r="G31" i="4"/>
  <c r="E31" i="4"/>
  <c r="C31" i="4"/>
  <c r="G35" i="6" l="1"/>
  <c r="E35" i="6"/>
  <c r="C35" i="6"/>
  <c r="G34" i="6"/>
  <c r="E34" i="6"/>
  <c r="C34" i="6"/>
  <c r="G33" i="6"/>
  <c r="E33" i="6"/>
  <c r="C33" i="6"/>
  <c r="G30" i="4"/>
  <c r="E30" i="4"/>
  <c r="C30" i="4"/>
  <c r="G29" i="4"/>
  <c r="E29" i="4"/>
  <c r="C29" i="4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5" i="4"/>
  <c r="E25" i="4"/>
  <c r="C25" i="4"/>
  <c r="G29" i="6" l="1"/>
  <c r="E29" i="6"/>
  <c r="C29" i="6"/>
  <c r="G28" i="6"/>
  <c r="E28" i="6"/>
  <c r="C28" i="6"/>
  <c r="G27" i="6"/>
  <c r="E27" i="6"/>
  <c r="C27" i="6"/>
  <c r="G26" i="6"/>
  <c r="E26" i="6"/>
  <c r="C26" i="6"/>
  <c r="G24" i="4"/>
  <c r="E24" i="4"/>
  <c r="C24" i="4"/>
  <c r="G23" i="4"/>
  <c r="E23" i="4"/>
  <c r="C23" i="4"/>
  <c r="G21" i="4"/>
  <c r="E21" i="4"/>
  <c r="C21" i="4"/>
  <c r="G20" i="4"/>
  <c r="E20" i="4"/>
  <c r="C20" i="4"/>
  <c r="W11" i="10" l="1"/>
  <c r="W12" i="10"/>
  <c r="W13" i="10"/>
  <c r="W14" i="10"/>
  <c r="W15" i="10"/>
  <c r="W16" i="10"/>
  <c r="W17" i="10"/>
  <c r="W34" i="10"/>
  <c r="W35" i="10"/>
  <c r="W36" i="10"/>
  <c r="W37" i="10"/>
  <c r="W38" i="10"/>
  <c r="W39" i="10"/>
  <c r="W40" i="10"/>
  <c r="W10" i="10"/>
  <c r="P12" i="4"/>
  <c r="P13" i="4"/>
  <c r="P14" i="4"/>
  <c r="P15" i="4"/>
  <c r="P16" i="4"/>
  <c r="P17" i="4"/>
  <c r="P18" i="4"/>
  <c r="P35" i="4"/>
  <c r="P36" i="4"/>
  <c r="P37" i="4"/>
  <c r="P38" i="4"/>
  <c r="P39" i="4"/>
  <c r="P40" i="4"/>
  <c r="P41" i="4"/>
  <c r="P42" i="4"/>
  <c r="P11" i="4"/>
  <c r="G25" i="6" l="1"/>
  <c r="E25" i="6"/>
  <c r="C25" i="6"/>
  <c r="G24" i="6" l="1"/>
  <c r="E24" i="6"/>
  <c r="C24" i="6"/>
  <c r="M19" i="4"/>
  <c r="J19" i="4"/>
  <c r="K19" i="4" s="1"/>
  <c r="M18" i="4"/>
  <c r="K18" i="4"/>
  <c r="J18" i="4"/>
  <c r="G23" i="6" l="1"/>
  <c r="E23" i="6"/>
  <c r="C23" i="6"/>
  <c r="G22" i="6"/>
  <c r="E22" i="6"/>
  <c r="C22" i="6"/>
  <c r="G17" i="4"/>
  <c r="E17" i="4"/>
  <c r="C17" i="4"/>
  <c r="G21" i="6" l="1"/>
  <c r="E21" i="6"/>
  <c r="C21" i="6"/>
  <c r="G20" i="6"/>
  <c r="E20" i="6"/>
  <c r="C20" i="6"/>
  <c r="G19" i="6"/>
  <c r="E19" i="6"/>
  <c r="C19" i="6"/>
  <c r="G16" i="4"/>
  <c r="E16" i="4"/>
  <c r="C16" i="4"/>
  <c r="G14" i="4"/>
  <c r="E14" i="4"/>
  <c r="C14" i="4"/>
  <c r="E13" i="4"/>
  <c r="G18" i="6" l="1"/>
  <c r="E18" i="6"/>
  <c r="C18" i="6"/>
  <c r="M13" i="4"/>
  <c r="J13" i="4"/>
  <c r="K13" i="4" s="1"/>
  <c r="M12" i="4"/>
  <c r="J12" i="4"/>
  <c r="K12" i="4" s="1"/>
  <c r="Z43" i="4" l="1"/>
  <c r="W43" i="4"/>
  <c r="T43" i="4"/>
  <c r="Q43" i="4"/>
  <c r="G17" i="6"/>
  <c r="G48" i="6" s="1"/>
  <c r="E17" i="6"/>
  <c r="E48" i="6" s="1"/>
  <c r="C17" i="6"/>
  <c r="C48" i="6" s="1"/>
  <c r="C40" i="6"/>
  <c r="C41" i="6"/>
  <c r="C42" i="6"/>
  <c r="C43" i="6"/>
  <c r="C44" i="6"/>
  <c r="C45" i="6"/>
  <c r="C46" i="6"/>
  <c r="C47" i="6"/>
  <c r="E40" i="6"/>
  <c r="G40" i="6"/>
  <c r="E41" i="6"/>
  <c r="G41" i="6"/>
  <c r="E42" i="6"/>
  <c r="G42" i="6"/>
  <c r="E43" i="6"/>
  <c r="G43" i="6"/>
  <c r="E44" i="6"/>
  <c r="G44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7" i="4" l="1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K41" i="10" l="1"/>
  <c r="J11" i="10"/>
  <c r="J41" i="10" s="1"/>
  <c r="D11" i="10"/>
  <c r="D41" i="10" s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I19" i="4" l="1"/>
  <c r="G19" i="4"/>
  <c r="E19" i="4"/>
  <c r="C19" i="4"/>
  <c r="I20" i="6"/>
  <c r="L14" i="10" s="1"/>
  <c r="M14" i="4" l="1"/>
  <c r="J14" i="4"/>
  <c r="K14" i="4" s="1"/>
  <c r="L13" i="4" s="1"/>
  <c r="N13" i="4" s="1"/>
  <c r="O13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C33" i="4" l="1"/>
  <c r="G33" i="4"/>
  <c r="E33" i="4"/>
  <c r="I18" i="4"/>
  <c r="G18" i="4"/>
  <c r="E18" i="4"/>
  <c r="C18" i="4"/>
  <c r="G12" i="4"/>
  <c r="E12" i="4"/>
  <c r="C12" i="4"/>
  <c r="I12" i="4"/>
  <c r="AC43" i="4"/>
  <c r="G36" i="4"/>
  <c r="C36" i="4"/>
  <c r="E36" i="4"/>
  <c r="C35" i="4"/>
  <c r="E35" i="4"/>
  <c r="G35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G11" i="4"/>
  <c r="G43" i="4" s="1"/>
  <c r="E11" i="4"/>
  <c r="L11" i="4"/>
  <c r="N11" i="4" s="1"/>
  <c r="C11" i="4"/>
  <c r="I5" i="4"/>
  <c r="G5" i="4"/>
  <c r="E5" i="4"/>
  <c r="L5" i="4"/>
  <c r="N5" i="4" s="1"/>
  <c r="O5" i="4" s="1"/>
  <c r="P5" i="4" s="1"/>
  <c r="C5" i="4"/>
  <c r="I33" i="4"/>
  <c r="I30" i="4"/>
  <c r="L34" i="4"/>
  <c r="N34" i="4" s="1"/>
  <c r="O34" i="4" s="1"/>
  <c r="P34" i="4" s="1"/>
  <c r="I34" i="4"/>
  <c r="I32" i="4"/>
  <c r="L32" i="4"/>
  <c r="N32" i="4" s="1"/>
  <c r="O32" i="4" s="1"/>
  <c r="P32" i="4" s="1"/>
  <c r="I36" i="4"/>
  <c r="L36" i="4"/>
  <c r="N36" i="4" s="1"/>
  <c r="O36" i="4" s="1"/>
  <c r="I35" i="4"/>
  <c r="I37" i="4"/>
  <c r="I31" i="4"/>
  <c r="L31" i="4"/>
  <c r="N31" i="4" s="1"/>
  <c r="O31" i="4" s="1"/>
  <c r="P31" i="4" s="1"/>
  <c r="I28" i="4"/>
  <c r="I27" i="4"/>
  <c r="L27" i="4"/>
  <c r="N27" i="4" s="1"/>
  <c r="O27" i="4" s="1"/>
  <c r="P27" i="4" s="1"/>
  <c r="I26" i="4"/>
  <c r="I17" i="4"/>
  <c r="L17" i="4"/>
  <c r="N17" i="4" s="1"/>
  <c r="O17" i="4" s="1"/>
  <c r="I40" i="4"/>
  <c r="I39" i="4"/>
  <c r="L39" i="4"/>
  <c r="N39" i="4" s="1"/>
  <c r="O39" i="4" s="1"/>
  <c r="I41" i="4"/>
  <c r="I14" i="4"/>
  <c r="E43" i="4" l="1"/>
  <c r="C43" i="4"/>
  <c r="O11" i="4"/>
  <c r="U38" i="10"/>
  <c r="U33" i="10"/>
  <c r="W33" i="10" s="1"/>
  <c r="U30" i="10"/>
  <c r="W30" i="10" s="1"/>
  <c r="U35" i="10"/>
  <c r="U31" i="10"/>
  <c r="W31" i="10" s="1"/>
  <c r="U26" i="10"/>
  <c r="W26" i="10" s="1"/>
  <c r="U16" i="10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I18" i="6"/>
  <c r="L12" i="10" s="1"/>
  <c r="I19" i="6"/>
  <c r="L13" i="10" s="1"/>
  <c r="L11" i="10" l="1"/>
  <c r="L41" i="10" s="1"/>
  <c r="I48" i="6"/>
  <c r="I20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O19" i="4" s="1"/>
  <c r="P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P28" i="4" s="1"/>
  <c r="M29" i="4"/>
  <c r="AD29" i="4"/>
  <c r="AE29" i="4"/>
  <c r="AD30" i="4"/>
  <c r="L30" i="4" s="1"/>
  <c r="N30" i="4" s="1"/>
  <c r="O30" i="4" s="1"/>
  <c r="P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33" i="4" l="1"/>
  <c r="N33" i="4" s="1"/>
  <c r="O33" i="4" s="1"/>
  <c r="L18" i="4"/>
  <c r="N18" i="4" s="1"/>
  <c r="O18" i="4" s="1"/>
  <c r="L12" i="4"/>
  <c r="N12" i="4" s="1"/>
  <c r="I3" i="13"/>
  <c r="Y41" i="10"/>
  <c r="L10" i="10"/>
  <c r="U13" i="10"/>
  <c r="I4" i="4"/>
  <c r="G4" i="4"/>
  <c r="E4" i="4"/>
  <c r="L4" i="4"/>
  <c r="N4" i="4" s="1"/>
  <c r="O4" i="4" s="1"/>
  <c r="P4" i="4" s="1"/>
  <c r="C4" i="4"/>
  <c r="U40" i="10"/>
  <c r="U36" i="10"/>
  <c r="U29" i="10"/>
  <c r="W29" i="10" s="1"/>
  <c r="U34" i="10"/>
  <c r="U27" i="10"/>
  <c r="W27" i="10" s="1"/>
  <c r="L26" i="4"/>
  <c r="N26" i="4" s="1"/>
  <c r="O26" i="4" s="1"/>
  <c r="P26" i="4" s="1"/>
  <c r="L40" i="4"/>
  <c r="N40" i="4" s="1"/>
  <c r="O40" i="4" s="1"/>
  <c r="U10" i="10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P25" i="4" s="1"/>
  <c r="I21" i="4"/>
  <c r="I15" i="4"/>
  <c r="M40" i="10"/>
  <c r="Z38" i="10"/>
  <c r="L24" i="4"/>
  <c r="N24" i="4" s="1"/>
  <c r="O24" i="4" s="1"/>
  <c r="P24" i="4" s="1"/>
  <c r="L21" i="4"/>
  <c r="N21" i="4" s="1"/>
  <c r="O21" i="4" s="1"/>
  <c r="P21" i="4" s="1"/>
  <c r="Z34" i="10"/>
  <c r="L23" i="4"/>
  <c r="N23" i="4" s="1"/>
  <c r="O23" i="4" s="1"/>
  <c r="P23" i="4" s="1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F24" i="10"/>
  <c r="F40" i="10"/>
  <c r="L38" i="4"/>
  <c r="N38" i="4" s="1"/>
  <c r="O38" i="4" s="1"/>
  <c r="L29" i="4"/>
  <c r="N29" i="4" s="1"/>
  <c r="O29" i="4" s="1"/>
  <c r="P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P22" i="4" s="1"/>
  <c r="F34" i="10"/>
  <c r="D5" i="6"/>
  <c r="L20" i="4"/>
  <c r="N20" i="4" s="1"/>
  <c r="O20" i="4" s="1"/>
  <c r="P20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3" i="4" l="1"/>
  <c r="U32" i="10"/>
  <c r="W32" i="10" s="1"/>
  <c r="I43" i="4"/>
  <c r="Z41" i="10"/>
  <c r="E3" i="13"/>
  <c r="F41" i="10"/>
  <c r="O12" i="4"/>
  <c r="N43" i="4"/>
  <c r="U19" i="10"/>
  <c r="W19" i="10" s="1"/>
  <c r="U22" i="10"/>
  <c r="U12" i="10"/>
  <c r="U15" i="10"/>
  <c r="U20" i="10"/>
  <c r="W20" i="10" s="1"/>
  <c r="AJ20" i="10" s="1"/>
  <c r="AK20" i="10" s="1"/>
  <c r="U24" i="10"/>
  <c r="U21" i="10"/>
  <c r="W21" i="10" s="1"/>
  <c r="U23" i="10"/>
  <c r="W23" i="10" s="1"/>
  <c r="U25" i="10"/>
  <c r="W25" i="10" s="1"/>
  <c r="U37" i="10"/>
  <c r="U39" i="10"/>
  <c r="U28" i="10"/>
  <c r="W28" i="10" s="1"/>
  <c r="AJ28" i="10" s="1"/>
  <c r="AK28" i="10" s="1"/>
  <c r="U18" i="10"/>
  <c r="W18" i="10" s="1"/>
  <c r="U17" i="10"/>
  <c r="U14" i="10"/>
  <c r="AJ38" i="10"/>
  <c r="AK38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O41" i="10" s="1"/>
  <c r="M37" i="10"/>
  <c r="E29" i="13" s="1"/>
  <c r="M33" i="10"/>
  <c r="E25" i="13" s="1"/>
  <c r="O23" i="10"/>
  <c r="M38" i="10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W24" i="10" l="1"/>
  <c r="AJ24" i="10" s="1"/>
  <c r="AK24" i="10" s="1"/>
  <c r="W22" i="10"/>
  <c r="AJ22" i="10" s="1"/>
  <c r="AK22" i="10" s="1"/>
  <c r="M41" i="10"/>
  <c r="U11" i="10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41" i="10" l="1"/>
  <c r="U41" i="10"/>
  <c r="G47" i="10" s="1"/>
  <c r="J47" i="10" s="1"/>
  <c r="L47" i="10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O30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<sst xmlns="http://schemas.openxmlformats.org/spreadsheetml/2006/main" count="140" uniqueCount="86">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</sst>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8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9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407</c:v>
                </c:pt>
                <c:pt idx="2">
                  <c:v>200</c:v>
                </c:pt>
                <c:pt idx="3">
                  <c:v>188</c:v>
                </c:pt>
                <c:pt idx="4">
                  <c:v>438</c:v>
                </c:pt>
                <c:pt idx="5">
                  <c:v>188</c:v>
                </c:pt>
                <c:pt idx="6">
                  <c:v>184</c:v>
                </c:pt>
                <c:pt idx="7">
                  <c:v>371</c:v>
                </c:pt>
                <c:pt idx="8">
                  <c:v>330</c:v>
                </c:pt>
                <c:pt idx="9">
                  <c:v>185</c:v>
                </c:pt>
                <c:pt idx="10">
                  <c:v>228</c:v>
                </c:pt>
                <c:pt idx="11">
                  <c:v>356</c:v>
                </c:pt>
                <c:pt idx="12">
                  <c:v>264</c:v>
                </c:pt>
                <c:pt idx="13">
                  <c:v>274</c:v>
                </c:pt>
                <c:pt idx="14">
                  <c:v>350</c:v>
                </c:pt>
                <c:pt idx="15">
                  <c:v>276</c:v>
                </c:pt>
                <c:pt idx="16">
                  <c:v>203</c:v>
                </c:pt>
                <c:pt idx="17">
                  <c:v>341</c:v>
                </c:pt>
                <c:pt idx="18">
                  <c:v>435</c:v>
                </c:pt>
                <c:pt idx="19">
                  <c:v>316</c:v>
                </c:pt>
                <c:pt idx="20">
                  <c:v>322</c:v>
                </c:pt>
                <c:pt idx="21">
                  <c:v>306</c:v>
                </c:pt>
                <c:pt idx="22">
                  <c:v>303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00672"/>
        <c:axId val="225687040"/>
      </c:lineChart>
      <c:dateAx>
        <c:axId val="20630067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5687040"/>
        <c:crosses val="autoZero"/>
        <c:auto val="1"/>
        <c:lblOffset val="100"/>
        <c:baseTimeUnit val="days"/>
      </c:dateAx>
      <c:valAx>
        <c:axId val="225687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30067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2875</c:v>
                </c:pt>
                <c:pt idx="2">
                  <c:v>3354</c:v>
                </c:pt>
                <c:pt idx="3">
                  <c:v>3313</c:v>
                </c:pt>
                <c:pt idx="4">
                  <c:v>3150</c:v>
                </c:pt>
                <c:pt idx="5">
                  <c:v>3145</c:v>
                </c:pt>
                <c:pt idx="6">
                  <c:v>3116</c:v>
                </c:pt>
                <c:pt idx="7">
                  <c:v>3181</c:v>
                </c:pt>
                <c:pt idx="8">
                  <c:v>3037</c:v>
                </c:pt>
                <c:pt idx="9">
                  <c:v>2898</c:v>
                </c:pt>
                <c:pt idx="10">
                  <c:v>2923</c:v>
                </c:pt>
                <c:pt idx="11">
                  <c:v>4143</c:v>
                </c:pt>
                <c:pt idx="12">
                  <c:v>3642</c:v>
                </c:pt>
                <c:pt idx="13">
                  <c:v>3094</c:v>
                </c:pt>
                <c:pt idx="14">
                  <c:v>4123</c:v>
                </c:pt>
                <c:pt idx="15">
                  <c:v>4143</c:v>
                </c:pt>
                <c:pt idx="16">
                  <c:v>3292</c:v>
                </c:pt>
                <c:pt idx="17">
                  <c:v>3824</c:v>
                </c:pt>
                <c:pt idx="18">
                  <c:v>3254</c:v>
                </c:pt>
                <c:pt idx="19">
                  <c:v>3501</c:v>
                </c:pt>
                <c:pt idx="20">
                  <c:v>3440</c:v>
                </c:pt>
                <c:pt idx="21">
                  <c:v>3544</c:v>
                </c:pt>
                <c:pt idx="22">
                  <c:v>3174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4572</c:v>
                </c:pt>
                <c:pt idx="2">
                  <c:v>4994</c:v>
                </c:pt>
                <c:pt idx="3">
                  <c:v>5166</c:v>
                </c:pt>
                <c:pt idx="4">
                  <c:v>4709</c:v>
                </c:pt>
                <c:pt idx="5">
                  <c:v>4868</c:v>
                </c:pt>
                <c:pt idx="6">
                  <c:v>5057</c:v>
                </c:pt>
                <c:pt idx="7">
                  <c:v>4491</c:v>
                </c:pt>
                <c:pt idx="8">
                  <c:v>4689</c:v>
                </c:pt>
                <c:pt idx="9">
                  <c:v>4330</c:v>
                </c:pt>
                <c:pt idx="10">
                  <c:v>4565</c:v>
                </c:pt>
                <c:pt idx="11">
                  <c:v>5018</c:v>
                </c:pt>
                <c:pt idx="12">
                  <c:v>6411</c:v>
                </c:pt>
                <c:pt idx="13">
                  <c:v>5466</c:v>
                </c:pt>
                <c:pt idx="14">
                  <c:v>5922</c:v>
                </c:pt>
                <c:pt idx="15">
                  <c:v>5588</c:v>
                </c:pt>
                <c:pt idx="16">
                  <c:v>5399</c:v>
                </c:pt>
                <c:pt idx="17">
                  <c:v>5407</c:v>
                </c:pt>
                <c:pt idx="18">
                  <c:v>5439</c:v>
                </c:pt>
                <c:pt idx="19">
                  <c:v>5607</c:v>
                </c:pt>
                <c:pt idx="20">
                  <c:v>5363</c:v>
                </c:pt>
                <c:pt idx="21">
                  <c:v>5797</c:v>
                </c:pt>
                <c:pt idx="22">
                  <c:v>3842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1964</c:v>
                </c:pt>
                <c:pt idx="2">
                  <c:v>2078</c:v>
                </c:pt>
                <c:pt idx="3">
                  <c:v>2046</c:v>
                </c:pt>
                <c:pt idx="4">
                  <c:v>2005</c:v>
                </c:pt>
                <c:pt idx="5">
                  <c:v>2051</c:v>
                </c:pt>
                <c:pt idx="6">
                  <c:v>2018</c:v>
                </c:pt>
                <c:pt idx="7">
                  <c:v>1993</c:v>
                </c:pt>
                <c:pt idx="8">
                  <c:v>1862</c:v>
                </c:pt>
                <c:pt idx="9">
                  <c:v>1865</c:v>
                </c:pt>
                <c:pt idx="10">
                  <c:v>2103</c:v>
                </c:pt>
                <c:pt idx="11">
                  <c:v>2403</c:v>
                </c:pt>
                <c:pt idx="12">
                  <c:v>2640</c:v>
                </c:pt>
                <c:pt idx="13">
                  <c:v>2952</c:v>
                </c:pt>
                <c:pt idx="14">
                  <c:v>2571</c:v>
                </c:pt>
                <c:pt idx="15">
                  <c:v>2421</c:v>
                </c:pt>
                <c:pt idx="16">
                  <c:v>2380</c:v>
                </c:pt>
                <c:pt idx="17">
                  <c:v>2464</c:v>
                </c:pt>
                <c:pt idx="18">
                  <c:v>2442</c:v>
                </c:pt>
                <c:pt idx="19">
                  <c:v>2443</c:v>
                </c:pt>
                <c:pt idx="20">
                  <c:v>2262</c:v>
                </c:pt>
                <c:pt idx="21">
                  <c:v>2328</c:v>
                </c:pt>
                <c:pt idx="22">
                  <c:v>2069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769728"/>
        <c:axId val="225771520"/>
      </c:lineChart>
      <c:dateAx>
        <c:axId val="22576972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5771520"/>
        <c:crosses val="autoZero"/>
        <c:auto val="1"/>
        <c:lblOffset val="100"/>
        <c:baseTimeUnit val="days"/>
      </c:dateAx>
      <c:valAx>
        <c:axId val="2257715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576972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111.30000000000001</c:v>
                </c:pt>
                <c:pt idx="3">
                  <c:v>111.30000000000001</c:v>
                </c:pt>
                <c:pt idx="4">
                  <c:v>333.90000000000003</c:v>
                </c:pt>
                <c:pt idx="5">
                  <c:v>333.90000000000003</c:v>
                </c:pt>
                <c:pt idx="6">
                  <c:v>593.6</c:v>
                </c:pt>
                <c:pt idx="7">
                  <c:v>556.5</c:v>
                </c:pt>
                <c:pt idx="8">
                  <c:v>371</c:v>
                </c:pt>
                <c:pt idx="9">
                  <c:v>296.8</c:v>
                </c:pt>
                <c:pt idx="10">
                  <c:v>222.60000000000002</c:v>
                </c:pt>
                <c:pt idx="11">
                  <c:v>408.1</c:v>
                </c:pt>
                <c:pt idx="12">
                  <c:v>296.8</c:v>
                </c:pt>
                <c:pt idx="13">
                  <c:v>556.5</c:v>
                </c:pt>
                <c:pt idx="14">
                  <c:v>148.4</c:v>
                </c:pt>
                <c:pt idx="15">
                  <c:v>333.90000000000003</c:v>
                </c:pt>
                <c:pt idx="16">
                  <c:v>445.20000000000005</c:v>
                </c:pt>
                <c:pt idx="17">
                  <c:v>482.3</c:v>
                </c:pt>
                <c:pt idx="18">
                  <c:v>371</c:v>
                </c:pt>
                <c:pt idx="19">
                  <c:v>408.1</c:v>
                </c:pt>
                <c:pt idx="20">
                  <c:v>445.20000000000005</c:v>
                </c:pt>
                <c:pt idx="21">
                  <c:v>593.6</c:v>
                </c:pt>
                <c:pt idx="22">
                  <c:v>556.5</c:v>
                </c:pt>
                <c:pt idx="23">
                  <c:v>296.8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796480"/>
        <c:axId val="225798016"/>
      </c:lineChart>
      <c:dateAx>
        <c:axId val="22579648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5798016"/>
        <c:crosses val="autoZero"/>
        <c:auto val="1"/>
        <c:lblOffset val="100"/>
        <c:baseTimeUnit val="days"/>
      </c:dateAx>
      <c:valAx>
        <c:axId val="2257980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57964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24" sqref="A24:XFD24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9.2469999999999999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21119.100700000618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9411</v>
      </c>
      <c r="F3" s="160">
        <v>0.99</v>
      </c>
      <c r="G3" s="160">
        <f>'Consommation du 01.02 au 29.01'!U11</f>
        <v>111.30000000000001</v>
      </c>
      <c r="H3" s="160">
        <v>9.2469999999999999</v>
      </c>
      <c r="I3" s="160">
        <f>'Consommation du 01.02 au 29.01'!Y11*1000</f>
        <v>9189.9999999986903</v>
      </c>
      <c r="J3" s="160">
        <v>0.53</v>
      </c>
      <c r="K3" s="160">
        <f>'Consommation du 01.02 au 29.01'!D11</f>
        <v>407</v>
      </c>
      <c r="L3" s="160">
        <v>12.67</v>
      </c>
      <c r="M3" s="159">
        <f>'Consommation du 01.02 au 29.01'!AC11</f>
        <v>21</v>
      </c>
      <c r="N3" s="159">
        <v>21</v>
      </c>
      <c r="O3" s="160">
        <f t="shared" ref="O3:O29" si="0">E3*F3+G3*H3+I3*J3+K3*L3</f>
        <v>20373.471099999304</v>
      </c>
    </row>
    <row r="4" spans="1:15" x14ac:dyDescent="0.2">
      <c r="A4" s="157" t="s">
        <v>84</v>
      </c>
      <c r="B4" s="158">
        <f t="shared" ref="B4:B29" si="1">B3+1</f>
        <v>3</v>
      </c>
      <c r="C4" s="158">
        <v>2</v>
      </c>
      <c r="D4" s="159">
        <v>2021</v>
      </c>
      <c r="E4" s="160">
        <f>'Consommation du 01.02 au 29.01'!M12</f>
        <v>10426</v>
      </c>
      <c r="F4" s="160">
        <v>0.99</v>
      </c>
      <c r="G4" s="160">
        <f>'Consommation du 01.02 au 29.01'!U12</f>
        <v>111.30000000000001</v>
      </c>
      <c r="H4" s="160">
        <v>9.2469999999999999</v>
      </c>
      <c r="I4" s="160">
        <f>'Consommation du 01.02 au 29.01'!Y12*1000</f>
        <v>13240.000000001601</v>
      </c>
      <c r="J4" s="160">
        <v>0.53</v>
      </c>
      <c r="K4" s="160">
        <f>'Consommation du 01.02 au 29.01'!D12</f>
        <v>200</v>
      </c>
      <c r="L4" s="160">
        <v>12.67</v>
      </c>
      <c r="M4" s="159">
        <f>'Consommation du 01.02 au 29.01'!AC12</f>
        <v>16</v>
      </c>
      <c r="N4" s="159">
        <v>16</v>
      </c>
      <c r="O4" s="160">
        <f t="shared" si="0"/>
        <v>20902.13110000085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10525</v>
      </c>
      <c r="F5" s="160">
        <v>0.99</v>
      </c>
      <c r="G5" s="160">
        <f>'Consommation du 01.02 au 29.01'!U13</f>
        <v>333.90000000000003</v>
      </c>
      <c r="H5" s="160">
        <v>9.2469999999999999</v>
      </c>
      <c r="I5" s="160">
        <f>'Consommation du 01.02 au 29.01'!Y13*1000</f>
        <v>13169.999999998254</v>
      </c>
      <c r="J5" s="160">
        <v>0.53</v>
      </c>
      <c r="K5" s="160">
        <f>'Consommation du 01.02 au 29.01'!D13</f>
        <v>188</v>
      </c>
      <c r="L5" s="160">
        <v>12.67</v>
      </c>
      <c r="M5" s="159">
        <f>'Consommation du 01.02 au 29.01'!AC13</f>
        <v>13</v>
      </c>
      <c r="N5" s="159">
        <v>13</v>
      </c>
      <c r="O5" s="160">
        <f t="shared" si="0"/>
        <v>22869.383299999074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9864</v>
      </c>
      <c r="F6" s="160">
        <v>0.99</v>
      </c>
      <c r="G6" s="160">
        <f>'Consommation du 01.02 au 29.01'!U14</f>
        <v>333.90000000000003</v>
      </c>
      <c r="H6" s="160">
        <v>9.2469999999999999</v>
      </c>
      <c r="I6" s="160">
        <f>'Consommation du 01.02 au 29.01'!Y14*1000</f>
        <v>11000</v>
      </c>
      <c r="J6" s="160">
        <v>0.53</v>
      </c>
      <c r="K6" s="160">
        <f>'Consommation du 01.02 au 29.01'!D14</f>
        <v>438</v>
      </c>
      <c r="L6" s="160">
        <v>12.67</v>
      </c>
      <c r="M6" s="159">
        <f>'Consommation du 01.02 au 29.01'!AC14</f>
        <v>17</v>
      </c>
      <c r="N6" s="159">
        <v>17</v>
      </c>
      <c r="O6" s="160">
        <f t="shared" si="0"/>
        <v>24232.3933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10064</v>
      </c>
      <c r="F7" s="160">
        <v>0.99</v>
      </c>
      <c r="G7" s="160">
        <f>'Consommation du 01.02 au 29.01'!U15</f>
        <v>593.6</v>
      </c>
      <c r="H7" s="160">
        <v>9.2469999999999999</v>
      </c>
      <c r="I7" s="160">
        <f>'Consommation du 01.02 au 29.01'!Y15*1000</f>
        <v>14150.000000001455</v>
      </c>
      <c r="J7" s="160">
        <v>0.53</v>
      </c>
      <c r="K7" s="160">
        <f>'Consommation du 01.02 au 29.01'!D15</f>
        <v>188</v>
      </c>
      <c r="L7" s="160">
        <v>12.67</v>
      </c>
      <c r="M7" s="159">
        <f>'Consommation du 01.02 au 29.01'!AC15</f>
        <v>16</v>
      </c>
      <c r="N7" s="159">
        <v>16</v>
      </c>
      <c r="O7" s="160">
        <f t="shared" si="0"/>
        <v>25333.83920000077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10191</v>
      </c>
      <c r="F8" s="160">
        <v>0.99</v>
      </c>
      <c r="G8" s="160">
        <f>'Consommation du 01.02 au 29.01'!U16</f>
        <v>556.5</v>
      </c>
      <c r="H8" s="160">
        <v>9.2469999999999999</v>
      </c>
      <c r="I8" s="160">
        <f>'Consommation du 01.02 au 29.01'!Y16*1000</f>
        <v>13520.000000000437</v>
      </c>
      <c r="J8" s="160">
        <v>0.53</v>
      </c>
      <c r="K8" s="160">
        <f>'Consommation du 01.02 au 29.01'!D16</f>
        <v>184</v>
      </c>
      <c r="L8" s="160">
        <v>12.67</v>
      </c>
      <c r="M8" s="159">
        <f>'Consommation du 01.02 au 29.01'!AC16</f>
        <v>11</v>
      </c>
      <c r="N8" s="159">
        <v>11</v>
      </c>
      <c r="O8" s="160">
        <f t="shared" si="0"/>
        <v>24731.92550000023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9665</v>
      </c>
      <c r="F9" s="160">
        <v>0.99</v>
      </c>
      <c r="G9" s="160">
        <f>'Consommation du 01.02 au 29.01'!U17</f>
        <v>371</v>
      </c>
      <c r="H9" s="160">
        <v>9.2469999999999999</v>
      </c>
      <c r="I9" s="160">
        <f>'Consommation du 01.02 au 29.01'!Y17*1000</f>
        <v>13020.000000000437</v>
      </c>
      <c r="J9" s="160">
        <v>0.53</v>
      </c>
      <c r="K9" s="160">
        <f>'Consommation du 01.02 au 29.01'!D17</f>
        <v>371</v>
      </c>
      <c r="L9" s="160">
        <v>12.67</v>
      </c>
      <c r="M9" s="159">
        <f>'Consommation du 01.02 au 29.01'!AC17</f>
        <v>9</v>
      </c>
      <c r="N9" s="159">
        <v>9</v>
      </c>
      <c r="O9" s="160">
        <f t="shared" si="0"/>
        <v>24600.157000000232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9588</v>
      </c>
      <c r="F10" s="160">
        <v>0.99</v>
      </c>
      <c r="G10" s="160">
        <f>'Consommation du 01.02 au 29.01'!U18</f>
        <v>296.8</v>
      </c>
      <c r="H10" s="160">
        <v>9.2469999999999999</v>
      </c>
      <c r="I10" s="160">
        <f>'Consommation du 01.02 au 29.01'!Y18*1000</f>
        <v>13659.999999999854</v>
      </c>
      <c r="J10" s="160">
        <v>0.53</v>
      </c>
      <c r="K10" s="160">
        <f>'Consommation du 01.02 au 29.01'!D18</f>
        <v>330</v>
      </c>
      <c r="L10" s="160">
        <v>12.67</v>
      </c>
      <c r="M10" s="159">
        <f>'Consommation du 01.02 au 29.01'!AC18</f>
        <v>11</v>
      </c>
      <c r="N10" s="159">
        <v>11</v>
      </c>
      <c r="O10" s="160">
        <f t="shared" si="0"/>
        <v>23657.529599999922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9093</v>
      </c>
      <c r="F11" s="160">
        <v>0.99</v>
      </c>
      <c r="G11" s="160">
        <f>'Consommation du 01.02 au 29.01'!U19</f>
        <v>222.60000000000002</v>
      </c>
      <c r="H11" s="160">
        <v>9.2469999999999999</v>
      </c>
      <c r="I11" s="160">
        <f>'Consommation du 01.02 au 29.01'!Y19*1000</f>
        <v>14399.999999997817</v>
      </c>
      <c r="J11" s="160">
        <v>0.53</v>
      </c>
      <c r="K11" s="160">
        <f>'Consommation du 01.02 au 29.01'!D19</f>
        <v>185</v>
      </c>
      <c r="L11" s="160">
        <v>12.67</v>
      </c>
      <c r="M11" s="159">
        <f>'Consommation du 01.02 au 29.01'!AC19</f>
        <v>11</v>
      </c>
      <c r="N11" s="159">
        <v>11</v>
      </c>
      <c r="O11" s="160">
        <f t="shared" si="0"/>
        <v>21036.402199998844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9591</v>
      </c>
      <c r="F12" s="160">
        <v>0.99</v>
      </c>
      <c r="G12" s="160">
        <f>'Consommation du 01.02 au 29.01'!U20</f>
        <v>408.1</v>
      </c>
      <c r="H12" s="160">
        <v>9.2469999999999999</v>
      </c>
      <c r="I12" s="160">
        <f>'Consommation du 01.02 au 29.01'!Y20*1000</f>
        <v>13720.000000001164</v>
      </c>
      <c r="J12" s="160">
        <v>0.53</v>
      </c>
      <c r="K12" s="160">
        <f>'Consommation du 01.02 au 29.01'!D20</f>
        <v>228</v>
      </c>
      <c r="L12" s="160">
        <v>12.67</v>
      </c>
      <c r="M12" s="159">
        <f>'Consommation du 01.02 au 29.01'!AC20</f>
        <v>10</v>
      </c>
      <c r="N12" s="159">
        <v>10</v>
      </c>
      <c r="O12" s="160">
        <f t="shared" si="0"/>
        <v>23429.150700000617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11564</v>
      </c>
      <c r="F13" s="160">
        <v>0.99</v>
      </c>
      <c r="G13" s="160">
        <f>'Consommation du 01.02 au 29.01'!U21</f>
        <v>296.8</v>
      </c>
      <c r="H13" s="160">
        <v>9.2469999999999999</v>
      </c>
      <c r="I13" s="160">
        <f>'Consommation du 01.02 au 29.01'!Y21*1000</f>
        <v>16310.00000000131</v>
      </c>
      <c r="J13" s="160">
        <v>0.53</v>
      </c>
      <c r="K13" s="160">
        <f>'Consommation du 01.02 au 29.01'!D21</f>
        <v>356</v>
      </c>
      <c r="L13" s="160">
        <v>12.67</v>
      </c>
      <c r="M13" s="159">
        <f>'Consommation du 01.02 au 29.01'!AC21</f>
        <v>35</v>
      </c>
      <c r="N13" s="159">
        <v>35</v>
      </c>
      <c r="O13" s="160">
        <f t="shared" si="0"/>
        <v>27347.689600000693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12693</v>
      </c>
      <c r="F14" s="160">
        <v>0.99</v>
      </c>
      <c r="G14" s="160">
        <f>'Consommation du 01.02 au 29.01'!U22</f>
        <v>556.5</v>
      </c>
      <c r="H14" s="160">
        <v>9.2469999999999999</v>
      </c>
      <c r="I14" s="160">
        <f>'Consommation du 01.02 au 29.01'!Y22*1000</f>
        <v>17689.99999999869</v>
      </c>
      <c r="J14" s="160">
        <v>0.53</v>
      </c>
      <c r="K14" s="160">
        <f>'Consommation du 01.02 au 29.01'!D22</f>
        <v>264</v>
      </c>
      <c r="L14" s="160">
        <v>12.67</v>
      </c>
      <c r="M14" s="159">
        <f>'Consommation du 01.02 au 29.01'!AC22</f>
        <v>63</v>
      </c>
      <c r="N14" s="159">
        <v>63</v>
      </c>
      <c r="O14" s="160">
        <f t="shared" si="0"/>
        <v>30432.605499999307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11512</v>
      </c>
      <c r="F15" s="160">
        <v>0.99</v>
      </c>
      <c r="G15" s="160">
        <f>'Consommation du 01.02 au 29.01'!U23</f>
        <v>148.4</v>
      </c>
      <c r="H15" s="160">
        <v>9.2469999999999999</v>
      </c>
      <c r="I15" s="160">
        <f>'Consommation du 01.02 au 29.01'!Y23*1000</f>
        <v>17989.999999997963</v>
      </c>
      <c r="J15" s="160">
        <v>0.53</v>
      </c>
      <c r="K15" s="160">
        <f>'Consommation du 01.02 au 29.01'!D23</f>
        <v>274</v>
      </c>
      <c r="L15" s="160">
        <v>12.67</v>
      </c>
      <c r="M15" s="159">
        <f>'Consommation du 01.02 au 29.01'!AC23</f>
        <v>45</v>
      </c>
      <c r="N15" s="159">
        <v>45</v>
      </c>
      <c r="O15" s="160">
        <f t="shared" si="0"/>
        <v>25775.414799998922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12616</v>
      </c>
      <c r="F16" s="160">
        <v>0.99</v>
      </c>
      <c r="G16" s="160">
        <f>'Consommation du 01.02 au 29.01'!U24</f>
        <v>333.90000000000003</v>
      </c>
      <c r="H16" s="160">
        <v>9.2469999999999999</v>
      </c>
      <c r="I16" s="160">
        <f>'Consommation du 01.02 au 29.01'!Y24*1000</f>
        <v>17920.000000001892</v>
      </c>
      <c r="J16" s="160">
        <v>0.53</v>
      </c>
      <c r="K16" s="160">
        <f>'Consommation du 01.02 au 29.01'!D24</f>
        <v>350</v>
      </c>
      <c r="L16" s="160">
        <v>12.67</v>
      </c>
      <c r="M16" s="159">
        <f>'Consommation du 01.02 au 29.01'!AC24</f>
        <v>33</v>
      </c>
      <c r="N16" s="159">
        <v>33</v>
      </c>
      <c r="O16" s="160">
        <f t="shared" si="0"/>
        <v>29509.513300001003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12152</v>
      </c>
      <c r="F17" s="160">
        <v>0.99</v>
      </c>
      <c r="G17" s="160">
        <f>'Consommation du 01.02 au 29.01'!U25</f>
        <v>445.20000000000005</v>
      </c>
      <c r="H17" s="160">
        <v>9.2469999999999999</v>
      </c>
      <c r="I17" s="160">
        <f>'Consommation du 01.02 au 29.01'!Y25*1000</f>
        <v>17049.999999999272</v>
      </c>
      <c r="J17" s="160">
        <v>0.53</v>
      </c>
      <c r="K17" s="160">
        <f>'Consommation du 01.02 au 29.01'!D25</f>
        <v>276</v>
      </c>
      <c r="L17" s="160">
        <v>12.67</v>
      </c>
      <c r="M17" s="159">
        <f>'Consommation du 01.02 au 29.01'!AC25</f>
        <v>25</v>
      </c>
      <c r="N17" s="159">
        <v>25</v>
      </c>
      <c r="O17" s="160">
        <f t="shared" si="0"/>
        <v>28680.664399999616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11071</v>
      </c>
      <c r="F18" s="160">
        <v>0.99</v>
      </c>
      <c r="G18" s="160">
        <f>'Consommation du 01.02 au 29.01'!U26</f>
        <v>482.3</v>
      </c>
      <c r="H18" s="160">
        <v>9.2469999999999999</v>
      </c>
      <c r="I18" s="160">
        <f>'Consommation du 01.02 au 29.01'!Y26*1000</f>
        <v>11310.00000000131</v>
      </c>
      <c r="J18" s="160">
        <v>0.53</v>
      </c>
      <c r="K18" s="160">
        <f>'Consommation du 01.02 au 29.01'!D26</f>
        <v>203</v>
      </c>
      <c r="L18" s="160">
        <v>12.67</v>
      </c>
      <c r="M18" s="159">
        <f>'Consommation du 01.02 au 29.01'!AC26</f>
        <v>32</v>
      </c>
      <c r="N18" s="159">
        <v>32</v>
      </c>
      <c r="O18" s="160">
        <f t="shared" si="0"/>
        <v>23986.428100000692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11695</v>
      </c>
      <c r="F19" s="160">
        <v>0.99</v>
      </c>
      <c r="G19" s="160">
        <f>'Consommation du 01.02 au 29.01'!U27</f>
        <v>371</v>
      </c>
      <c r="H19" s="160">
        <v>9.2469999999999999</v>
      </c>
      <c r="I19" s="160">
        <f>'Consommation du 01.02 au 29.01'!Y27*1000</f>
        <v>21149.999999997817</v>
      </c>
      <c r="J19" s="160">
        <v>0.53</v>
      </c>
      <c r="K19" s="160">
        <f>'Consommation du 01.02 au 29.01'!D27</f>
        <v>341</v>
      </c>
      <c r="L19" s="160">
        <v>12.67</v>
      </c>
      <c r="M19" s="159">
        <f>'Consommation du 01.02 au 29.01'!AC27</f>
        <v>53</v>
      </c>
      <c r="N19" s="159">
        <v>53</v>
      </c>
      <c r="O19" s="160">
        <f t="shared" si="0"/>
        <v>30538.656999998842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11135</v>
      </c>
      <c r="F20" s="160">
        <v>0.99</v>
      </c>
      <c r="G20" s="160">
        <f>'Consommation du 01.02 au 29.01'!U28</f>
        <v>408.1</v>
      </c>
      <c r="H20" s="160">
        <v>9.2469999999999999</v>
      </c>
      <c r="I20" s="160">
        <f>'Consommation du 01.02 au 29.01'!Y28*1000</f>
        <v>19380.000000001019</v>
      </c>
      <c r="J20" s="160">
        <v>0.53</v>
      </c>
      <c r="K20" s="160">
        <f>'Consommation du 01.02 au 29.01'!D28</f>
        <v>435</v>
      </c>
      <c r="L20" s="160">
        <v>12.67</v>
      </c>
      <c r="M20" s="159">
        <f>'Consommation du 01.02 au 29.01'!AC28</f>
        <v>105</v>
      </c>
      <c r="N20" s="159">
        <v>105</v>
      </c>
      <c r="O20" s="160">
        <f t="shared" si="0"/>
        <v>30580.20070000054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11551</v>
      </c>
      <c r="F21" s="160">
        <v>0.99</v>
      </c>
      <c r="G21" s="160">
        <f>'Consommation du 01.02 au 29.01'!U29</f>
        <v>445.20000000000005</v>
      </c>
      <c r="H21" s="160">
        <v>9.2469999999999999</v>
      </c>
      <c r="I21" s="160">
        <f>'Consommation du 01.02 au 29.01'!Y29*1000</f>
        <v>19510.000000002037</v>
      </c>
      <c r="J21" s="160">
        <v>0.53</v>
      </c>
      <c r="K21" s="160">
        <f>'Consommation du 01.02 au 29.01'!D29</f>
        <v>316</v>
      </c>
      <c r="L21" s="160">
        <v>12.67</v>
      </c>
      <c r="M21" s="159">
        <f>'Consommation du 01.02 au 29.01'!AC29</f>
        <v>103</v>
      </c>
      <c r="N21" s="159">
        <v>103</v>
      </c>
      <c r="O21" s="160">
        <f t="shared" si="0"/>
        <v>29896.274400001079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11065</v>
      </c>
      <c r="F22" s="160">
        <v>0.99</v>
      </c>
      <c r="G22" s="160">
        <f>'Consommation du 01.02 au 29.01'!U30</f>
        <v>593.6</v>
      </c>
      <c r="H22" s="160">
        <v>9.2469999999999999</v>
      </c>
      <c r="I22" s="160">
        <f>'Consommation du 01.02 au 29.01'!Y30*1000</f>
        <v>19819.999999999709</v>
      </c>
      <c r="J22" s="160">
        <v>0.53</v>
      </c>
      <c r="K22" s="160">
        <f>'Consommation du 01.02 au 29.01'!D30</f>
        <v>322</v>
      </c>
      <c r="L22" s="160">
        <v>12.67</v>
      </c>
      <c r="M22" s="159">
        <f>'Consommation du 01.02 au 29.01'!AC30</f>
        <v>48</v>
      </c>
      <c r="N22" s="159">
        <v>48</v>
      </c>
      <c r="O22" s="160">
        <f t="shared" si="0"/>
        <v>31027.709199999845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11669</v>
      </c>
      <c r="F23" s="160">
        <v>0.99</v>
      </c>
      <c r="G23" s="160">
        <f>'Consommation du 01.02 au 29.01'!U31</f>
        <v>556.5</v>
      </c>
      <c r="H23" s="160">
        <v>9.2469999999999999</v>
      </c>
      <c r="I23" s="160">
        <f>'Consommation du 01.02 au 29.01'!Y31*1000</f>
        <v>18069.999999999709</v>
      </c>
      <c r="J23" s="160">
        <v>0.53</v>
      </c>
      <c r="K23" s="160">
        <f>'Consommation du 01.02 au 29.01'!D31</f>
        <v>306</v>
      </c>
      <c r="L23" s="160">
        <v>12.67</v>
      </c>
      <c r="M23" s="159">
        <f>'Consommation du 01.02 au 29.01'!AC31</f>
        <v>46</v>
      </c>
      <c r="N23" s="159">
        <v>46</v>
      </c>
      <c r="O23" s="160">
        <f t="shared" si="0"/>
        <v>30152.385499999848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9085</v>
      </c>
      <c r="F24" s="160">
        <v>0.99</v>
      </c>
      <c r="G24" s="160">
        <f>'Consommation du 01.02 au 29.01'!U32</f>
        <v>296.8</v>
      </c>
      <c r="H24" s="160">
        <v>9.2469999999999999</v>
      </c>
      <c r="I24" s="160">
        <f>'Consommation du 01.02 au 29.01'!Y32*1000</f>
        <v>15950.000000000728</v>
      </c>
      <c r="J24" s="160">
        <v>0.53</v>
      </c>
      <c r="K24" s="160">
        <f>'Consommation du 01.02 au 29.01'!D32</f>
        <v>303</v>
      </c>
      <c r="L24" s="160">
        <v>12.67</v>
      </c>
      <c r="M24" s="159">
        <f>'Consommation du 01.02 au 29.01'!AC32</f>
        <v>46</v>
      </c>
      <c r="N24" s="159">
        <v>46</v>
      </c>
      <c r="O24" s="160">
        <f t="shared" si="0"/>
        <v>24031.169600000383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0</v>
      </c>
      <c r="F25" s="160">
        <v>0.99</v>
      </c>
      <c r="G25" s="160">
        <f>'Consommation du 01.02 au 29.01'!U33</f>
        <v>0</v>
      </c>
      <c r="H25" s="160">
        <v>9.2469999999999999</v>
      </c>
      <c r="I25" s="160">
        <f>'Consommation du 01.02 au 29.01'!Y33*1000</f>
        <v>0</v>
      </c>
      <c r="J25" s="160">
        <v>0.53</v>
      </c>
      <c r="K25" s="160">
        <f>'Consommation du 01.02 au 29.01'!D33</f>
        <v>0</v>
      </c>
      <c r="L25" s="160">
        <v>12.67</v>
      </c>
      <c r="M25" s="159">
        <f>'Consommation du 01.02 au 29.01'!AC33</f>
        <v>0</v>
      </c>
      <c r="N25" s="159"/>
      <c r="O25" s="160">
        <f t="shared" si="0"/>
        <v>0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0</v>
      </c>
      <c r="F26" s="160">
        <v>0.99</v>
      </c>
      <c r="G26" s="160">
        <f>'Consommation du 01.02 au 29.01'!U34</f>
        <v>0</v>
      </c>
      <c r="H26" s="160">
        <v>9.2469999999999999</v>
      </c>
      <c r="I26" s="160">
        <f>'Consommation du 01.02 au 29.01'!Y34*1000</f>
        <v>0</v>
      </c>
      <c r="J26" s="160">
        <v>0.53</v>
      </c>
      <c r="K26" s="160">
        <f>'Consommation du 01.02 au 29.01'!D34</f>
        <v>0</v>
      </c>
      <c r="L26" s="160">
        <v>12.67</v>
      </c>
      <c r="M26" s="159">
        <f>'Consommation du 01.02 au 29.01'!AC34</f>
        <v>0</v>
      </c>
      <c r="N26" s="159"/>
      <c r="O26" s="160">
        <f t="shared" si="0"/>
        <v>0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0</v>
      </c>
      <c r="F27" s="160">
        <v>0.99</v>
      </c>
      <c r="G27" s="160">
        <f>'Consommation du 01.02 au 29.01'!U35</f>
        <v>0</v>
      </c>
      <c r="H27" s="160">
        <v>9.2469999999999999</v>
      </c>
      <c r="I27" s="160">
        <f>'Consommation du 01.02 au 29.01'!Y35*1000</f>
        <v>0</v>
      </c>
      <c r="J27" s="160">
        <v>0.53</v>
      </c>
      <c r="K27" s="160">
        <f>'Consommation du 01.02 au 29.01'!D35</f>
        <v>0</v>
      </c>
      <c r="L27" s="160">
        <v>12.67</v>
      </c>
      <c r="M27" s="159">
        <f>'Consommation du 01.02 au 29.01'!AC35</f>
        <v>0</v>
      </c>
      <c r="N27" s="159"/>
      <c r="O27" s="160">
        <f t="shared" si="0"/>
        <v>0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0</v>
      </c>
      <c r="F28" s="160">
        <v>0.99</v>
      </c>
      <c r="G28" s="160">
        <f>'Consommation du 01.02 au 29.01'!U36</f>
        <v>0</v>
      </c>
      <c r="H28" s="160">
        <v>9.2469999999999999</v>
      </c>
      <c r="I28" s="160">
        <f>'Consommation du 01.02 au 29.01'!Y36*1000</f>
        <v>0</v>
      </c>
      <c r="J28" s="160">
        <v>0.53</v>
      </c>
      <c r="K28" s="160">
        <f>'Consommation du 01.02 au 29.01'!D36</f>
        <v>0</v>
      </c>
      <c r="L28" s="160">
        <v>12.67</v>
      </c>
      <c r="M28" s="159">
        <f>'Consommation du 01.02 au 29.01'!AC36</f>
        <v>0</v>
      </c>
      <c r="N28" s="159"/>
      <c r="O28" s="160">
        <f t="shared" si="0"/>
        <v>0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0</v>
      </c>
      <c r="F29" s="160">
        <v>0.99</v>
      </c>
      <c r="G29" s="160">
        <f>'Consommation du 01.02 au 29.01'!U37</f>
        <v>0</v>
      </c>
      <c r="H29" s="160">
        <v>9.2469999999999999</v>
      </c>
      <c r="I29" s="160">
        <f>'Consommation du 01.02 au 29.01'!Y37*1000</f>
        <v>0</v>
      </c>
      <c r="J29" s="160">
        <v>0.53</v>
      </c>
      <c r="K29" s="160">
        <f>'Consommation du 01.02 au 29.01'!D37</f>
        <v>0</v>
      </c>
      <c r="L29" s="160">
        <v>12.67</v>
      </c>
      <c r="M29" s="159">
        <f>'Consommation du 01.02 au 29.01'!AC37</f>
        <v>0</v>
      </c>
      <c r="N29" s="159"/>
      <c r="O29" s="160">
        <f t="shared" si="0"/>
        <v>0</v>
      </c>
    </row>
    <row r="30" spans="1:15" x14ac:dyDescent="0.2">
      <c r="A30" s="157"/>
      <c r="D30" s="159"/>
      <c r="E30" s="160"/>
      <c r="F30" s="160"/>
      <c r="G30" s="160"/>
      <c r="H30" s="160"/>
      <c r="I30" s="160"/>
      <c r="J30" s="160"/>
      <c r="K30" s="160"/>
      <c r="L30" s="160"/>
      <c r="M30" s="159"/>
      <c r="N30" s="159"/>
      <c r="O30" s="160">
        <f>SUM(O2:O29)</f>
        <v>594244.19580000127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/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C6" zoomScale="60" zoomScaleNormal="60" workbookViewId="0">
      <selection activeCell="X33" sqref="X33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8"/>
      <c r="B2" s="259"/>
      <c r="C2" s="259"/>
      <c r="D2" s="259"/>
      <c r="E2" s="259"/>
      <c r="F2" s="260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58"/>
      <c r="AE2" s="260"/>
      <c r="AF2" s="71"/>
      <c r="AH2" s="62"/>
      <c r="AJ2" s="70"/>
    </row>
    <row r="3" spans="1:40" ht="1.5" customHeight="1" x14ac:dyDescent="0.2"/>
    <row r="4" spans="1:40" ht="39" hidden="1" customHeight="1" x14ac:dyDescent="0.2">
      <c r="A4" s="263"/>
      <c r="B4" s="263"/>
      <c r="C4" s="263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63"/>
      <c r="B5" s="263"/>
      <c r="C5" s="263"/>
      <c r="D5" s="3"/>
      <c r="E5" s="3"/>
      <c r="F5" s="3"/>
      <c r="G5" s="3"/>
      <c r="H5" s="3"/>
      <c r="I5" s="3"/>
      <c r="J5" s="3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5"/>
      <c r="E7" s="265"/>
      <c r="F7" s="265"/>
      <c r="G7" s="265"/>
      <c r="H7" s="265"/>
      <c r="I7" s="265"/>
      <c r="J7" s="265"/>
      <c r="K7" s="265"/>
      <c r="L7" s="265"/>
      <c r="M7" s="266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7"/>
      <c r="B8" s="248" t="s">
        <v>1</v>
      </c>
      <c r="C8" s="77"/>
      <c r="D8" s="249" t="s">
        <v>3</v>
      </c>
      <c r="E8" s="73"/>
      <c r="F8" s="251" t="s">
        <v>11</v>
      </c>
      <c r="G8" s="252"/>
      <c r="H8" s="253"/>
      <c r="I8" s="73"/>
      <c r="J8" s="88"/>
      <c r="K8" s="88"/>
      <c r="L8" s="88"/>
      <c r="M8" s="257" t="s">
        <v>2</v>
      </c>
      <c r="N8" s="73"/>
      <c r="O8" s="232" t="s">
        <v>11</v>
      </c>
      <c r="P8" s="73"/>
      <c r="Q8" s="232" t="s">
        <v>4</v>
      </c>
      <c r="R8" s="73"/>
      <c r="S8" s="232" t="s">
        <v>5</v>
      </c>
      <c r="T8" s="73"/>
      <c r="U8" s="241" t="s">
        <v>38</v>
      </c>
      <c r="V8" s="73"/>
      <c r="W8" s="232" t="s">
        <v>11</v>
      </c>
      <c r="X8" s="243" t="s">
        <v>67</v>
      </c>
      <c r="Y8" s="245" t="s">
        <v>66</v>
      </c>
      <c r="Z8" s="227" t="s">
        <v>65</v>
      </c>
      <c r="AA8" s="229"/>
      <c r="AB8" s="230" t="s">
        <v>68</v>
      </c>
      <c r="AC8" s="232" t="s">
        <v>64</v>
      </c>
      <c r="AD8" s="239" t="s">
        <v>63</v>
      </c>
      <c r="AE8" s="234" t="s">
        <v>53</v>
      </c>
      <c r="AF8" s="234" t="s">
        <v>56</v>
      </c>
      <c r="AG8" s="236" t="s">
        <v>54</v>
      </c>
      <c r="AH8" s="236" t="s">
        <v>55</v>
      </c>
      <c r="AI8" s="62"/>
      <c r="AJ8" s="125"/>
      <c r="AK8" s="125"/>
      <c r="AL8" s="74"/>
    </row>
    <row r="9" spans="1:40" ht="77.25" customHeight="1" thickBot="1" x14ac:dyDescent="0.25">
      <c r="A9" s="247"/>
      <c r="B9" s="248"/>
      <c r="C9" s="77"/>
      <c r="D9" s="250"/>
      <c r="E9" s="73"/>
      <c r="F9" s="254"/>
      <c r="G9" s="255"/>
      <c r="H9" s="256"/>
      <c r="I9" s="152"/>
      <c r="J9" s="90" t="s">
        <v>6</v>
      </c>
      <c r="K9" s="90" t="s">
        <v>7</v>
      </c>
      <c r="L9" s="90" t="s">
        <v>8</v>
      </c>
      <c r="M9" s="257"/>
      <c r="N9" s="73"/>
      <c r="O9" s="238"/>
      <c r="P9" s="73"/>
      <c r="Q9" s="238"/>
      <c r="R9" s="73"/>
      <c r="S9" s="238"/>
      <c r="T9" s="73"/>
      <c r="U9" s="242"/>
      <c r="V9" s="73"/>
      <c r="W9" s="238"/>
      <c r="X9" s="244"/>
      <c r="Y9" s="246"/>
      <c r="Z9" s="228"/>
      <c r="AA9" s="229"/>
      <c r="AB9" s="231"/>
      <c r="AC9" s="233"/>
      <c r="AD9" s="240"/>
      <c r="AE9" s="235"/>
      <c r="AF9" s="235"/>
      <c r="AG9" s="237"/>
      <c r="AH9" s="237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211">
        <f t="shared" ref="F10:F40" si="0">D10*12.67</f>
        <v>2217.25</v>
      </c>
      <c r="G10" s="212"/>
      <c r="H10" s="213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U10*9.247</f>
        <v>3773.7007000000003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21119.100700000618</v>
      </c>
      <c r="AK10" s="128">
        <f t="shared" ref="AK10:AK40" si="3">AJ10/AC10</f>
        <v>782.18891481483763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407</v>
      </c>
      <c r="E11" s="95"/>
      <c r="F11" s="211">
        <f t="shared" si="0"/>
        <v>5156.6899999999996</v>
      </c>
      <c r="G11" s="212"/>
      <c r="H11" s="213"/>
      <c r="I11" s="142"/>
      <c r="J11" s="93">
        <f>'Suivi EAU-ELEC'!E17</f>
        <v>2875</v>
      </c>
      <c r="K11" s="94">
        <f>'Suivi EAU-ELEC'!G17</f>
        <v>4572</v>
      </c>
      <c r="L11" s="94">
        <f>'Suivi EAU-ELEC'!I17</f>
        <v>1964</v>
      </c>
      <c r="M11" s="82">
        <f t="shared" ref="M11:M40" si="4">L11+K11+J11</f>
        <v>9411</v>
      </c>
      <c r="N11" s="58"/>
      <c r="O11" s="59">
        <f t="shared" ref="O11:O40" si="5">J11*0.99+K11*0.99+L11*0.99</f>
        <v>9316.89</v>
      </c>
      <c r="P11" s="57"/>
      <c r="Q11" s="55"/>
      <c r="R11" s="56"/>
      <c r="S11" s="55"/>
      <c r="T11" s="95"/>
      <c r="U11" s="60">
        <f>'Suivi Gaz'!O12</f>
        <v>111.30000000000001</v>
      </c>
      <c r="V11" s="58"/>
      <c r="W11" s="59">
        <f t="shared" ref="W11:W40" si="6">U11*9.247</f>
        <v>1029.1911</v>
      </c>
      <c r="X11" s="165">
        <v>18687.61</v>
      </c>
      <c r="Y11" s="148">
        <f t="shared" si="1"/>
        <v>9.1899999999986903</v>
      </c>
      <c r="Z11" s="64">
        <f t="shared" ref="Z11:Z40" si="7">Y11*0.53*1000</f>
        <v>4870.6999999993059</v>
      </c>
      <c r="AA11" s="58"/>
      <c r="AB11" s="61">
        <v>24</v>
      </c>
      <c r="AC11" s="161">
        <v>21</v>
      </c>
      <c r="AD11" s="79">
        <v>0.1721</v>
      </c>
      <c r="AE11" s="83">
        <v>26.3</v>
      </c>
      <c r="AF11" s="83">
        <v>27</v>
      </c>
      <c r="AG11" s="163" t="s">
        <v>85</v>
      </c>
      <c r="AH11" s="164" t="s">
        <v>85</v>
      </c>
      <c r="AI11" s="145"/>
      <c r="AJ11" s="129">
        <f t="shared" si="2"/>
        <v>20373.471099999304</v>
      </c>
      <c r="AK11" s="128">
        <f t="shared" si="3"/>
        <v>970.16529047615734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8">(B11+1)</f>
        <v>44230</v>
      </c>
      <c r="C12" s="92"/>
      <c r="D12" s="147">
        <f>'Suivi EAU-ELEC'!C18</f>
        <v>200</v>
      </c>
      <c r="E12" s="95"/>
      <c r="F12" s="211">
        <f t="shared" si="0"/>
        <v>2534</v>
      </c>
      <c r="G12" s="212"/>
      <c r="H12" s="213"/>
      <c r="I12" s="142"/>
      <c r="J12" s="93">
        <f>'Suivi EAU-ELEC'!E18</f>
        <v>3354</v>
      </c>
      <c r="K12" s="94">
        <f>'Suivi EAU-ELEC'!G18</f>
        <v>4994</v>
      </c>
      <c r="L12" s="94">
        <f>'Suivi EAU-ELEC'!I18</f>
        <v>2078</v>
      </c>
      <c r="M12" s="82">
        <f t="shared" si="4"/>
        <v>10426</v>
      </c>
      <c r="N12" s="58"/>
      <c r="O12" s="59">
        <f t="shared" si="5"/>
        <v>10321.74</v>
      </c>
      <c r="P12" s="57"/>
      <c r="Q12" s="55"/>
      <c r="R12" s="56"/>
      <c r="S12" s="55"/>
      <c r="T12" s="95"/>
      <c r="U12" s="60">
        <f>'Suivi Gaz'!O13</f>
        <v>111.30000000000001</v>
      </c>
      <c r="V12" s="58"/>
      <c r="W12" s="59">
        <f t="shared" si="6"/>
        <v>1029.1911</v>
      </c>
      <c r="X12" s="65">
        <v>18696.8</v>
      </c>
      <c r="Y12" s="148">
        <f t="shared" si="1"/>
        <v>13.240000000001601</v>
      </c>
      <c r="Z12" s="64">
        <f t="shared" si="7"/>
        <v>7017.2000000008493</v>
      </c>
      <c r="AA12" s="58"/>
      <c r="AB12" s="61">
        <v>23</v>
      </c>
      <c r="AC12" s="78">
        <v>16</v>
      </c>
      <c r="AD12" s="79">
        <v>0.1212</v>
      </c>
      <c r="AE12" s="83">
        <v>26.5</v>
      </c>
      <c r="AF12" s="83">
        <v>27</v>
      </c>
      <c r="AG12" s="80" t="s">
        <v>85</v>
      </c>
      <c r="AH12" s="81" t="s">
        <v>85</v>
      </c>
      <c r="AI12" s="44"/>
      <c r="AJ12" s="129">
        <f t="shared" si="2"/>
        <v>20902.13110000085</v>
      </c>
      <c r="AK12" s="128">
        <f t="shared" si="3"/>
        <v>1306.3831937500531</v>
      </c>
      <c r="AL12" s="75"/>
    </row>
    <row r="13" spans="1:40" ht="32.25" customHeight="1" thickBot="1" x14ac:dyDescent="0.25">
      <c r="A13" s="73"/>
      <c r="B13" s="91">
        <f t="shared" si="8"/>
        <v>44231</v>
      </c>
      <c r="C13" s="92"/>
      <c r="D13" s="147">
        <f>'Suivi EAU-ELEC'!C19</f>
        <v>188</v>
      </c>
      <c r="E13" s="95"/>
      <c r="F13" s="208">
        <f t="shared" si="0"/>
        <v>2381.96</v>
      </c>
      <c r="G13" s="209"/>
      <c r="H13" s="210"/>
      <c r="I13" s="142"/>
      <c r="J13" s="93">
        <f>'Suivi EAU-ELEC'!E19</f>
        <v>3313</v>
      </c>
      <c r="K13" s="94">
        <f>'Suivi EAU-ELEC'!G19</f>
        <v>5166</v>
      </c>
      <c r="L13" s="94">
        <f>'Suivi EAU-ELEC'!I19</f>
        <v>2046</v>
      </c>
      <c r="M13" s="82">
        <f t="shared" si="4"/>
        <v>10525</v>
      </c>
      <c r="N13" s="58"/>
      <c r="O13" s="59">
        <f t="shared" si="5"/>
        <v>10419.75</v>
      </c>
      <c r="P13" s="57"/>
      <c r="Q13" s="55"/>
      <c r="R13" s="56"/>
      <c r="S13" s="55"/>
      <c r="T13" s="95"/>
      <c r="U13" s="60">
        <f>'Suivi Gaz'!O14</f>
        <v>333.90000000000003</v>
      </c>
      <c r="V13" s="58"/>
      <c r="W13" s="59">
        <f t="shared" si="6"/>
        <v>3087.5733000000005</v>
      </c>
      <c r="X13" s="65">
        <v>18710.04</v>
      </c>
      <c r="Y13" s="148">
        <f t="shared" si="1"/>
        <v>13.169999999998254</v>
      </c>
      <c r="Z13" s="64">
        <f t="shared" si="7"/>
        <v>6980.0999999990745</v>
      </c>
      <c r="AA13" s="58"/>
      <c r="AB13" s="61">
        <v>21</v>
      </c>
      <c r="AC13" s="78">
        <v>13</v>
      </c>
      <c r="AD13" s="79">
        <v>9.5600000000000004E-2</v>
      </c>
      <c r="AE13" s="83">
        <v>26.5</v>
      </c>
      <c r="AF13" s="83">
        <v>26.5</v>
      </c>
      <c r="AG13" s="80" t="s">
        <v>85</v>
      </c>
      <c r="AH13" s="81" t="s">
        <v>85</v>
      </c>
      <c r="AI13" s="44"/>
      <c r="AJ13" s="129">
        <f t="shared" si="2"/>
        <v>22869.383299999074</v>
      </c>
      <c r="AK13" s="128">
        <f t="shared" si="3"/>
        <v>1759.1833307691595</v>
      </c>
      <c r="AL13" s="74"/>
    </row>
    <row r="14" spans="1:40" ht="32.25" customHeight="1" thickBot="1" x14ac:dyDescent="0.25">
      <c r="A14" s="73"/>
      <c r="B14" s="91">
        <f t="shared" si="8"/>
        <v>44232</v>
      </c>
      <c r="C14" s="92"/>
      <c r="D14" s="147">
        <f>'Suivi EAU-ELEC'!C20</f>
        <v>438</v>
      </c>
      <c r="E14" s="95"/>
      <c r="F14" s="211">
        <f t="shared" si="0"/>
        <v>5549.46</v>
      </c>
      <c r="G14" s="212"/>
      <c r="H14" s="213"/>
      <c r="I14" s="142"/>
      <c r="J14" s="93">
        <f>'Suivi EAU-ELEC'!E20</f>
        <v>3150</v>
      </c>
      <c r="K14" s="94">
        <f>'Suivi EAU-ELEC'!G20</f>
        <v>4709</v>
      </c>
      <c r="L14" s="94">
        <f>'Suivi EAU-ELEC'!I20</f>
        <v>2005</v>
      </c>
      <c r="M14" s="82">
        <f t="shared" si="4"/>
        <v>9864</v>
      </c>
      <c r="N14" s="58"/>
      <c r="O14" s="59">
        <f t="shared" si="5"/>
        <v>9765.36</v>
      </c>
      <c r="P14" s="57"/>
      <c r="Q14" s="55"/>
      <c r="R14" s="56"/>
      <c r="S14" s="55"/>
      <c r="T14" s="95"/>
      <c r="U14" s="60">
        <f>'Suivi Gaz'!O15</f>
        <v>333.90000000000003</v>
      </c>
      <c r="V14" s="58"/>
      <c r="W14" s="59">
        <f t="shared" si="6"/>
        <v>3087.5733000000005</v>
      </c>
      <c r="X14" s="65">
        <v>18723.21</v>
      </c>
      <c r="Y14" s="148">
        <f t="shared" si="1"/>
        <v>11</v>
      </c>
      <c r="Z14" s="64">
        <f t="shared" si="7"/>
        <v>5830</v>
      </c>
      <c r="AA14" s="58"/>
      <c r="AB14" s="61">
        <v>18</v>
      </c>
      <c r="AC14" s="78">
        <v>17</v>
      </c>
      <c r="AD14" s="79">
        <v>0.1241</v>
      </c>
      <c r="AE14" s="83">
        <v>26.5</v>
      </c>
      <c r="AF14" s="83">
        <v>26.6</v>
      </c>
      <c r="AG14" s="80" t="s">
        <v>85</v>
      </c>
      <c r="AH14" s="81" t="s">
        <v>85</v>
      </c>
      <c r="AI14" s="44"/>
      <c r="AJ14" s="129">
        <f t="shared" si="2"/>
        <v>24232.3933</v>
      </c>
      <c r="AK14" s="128">
        <f t="shared" si="3"/>
        <v>1425.4349</v>
      </c>
      <c r="AL14" s="74"/>
    </row>
    <row r="15" spans="1:40" ht="32.25" customHeight="1" thickBot="1" x14ac:dyDescent="0.25">
      <c r="A15" s="73"/>
      <c r="B15" s="91">
        <f t="shared" si="8"/>
        <v>44233</v>
      </c>
      <c r="C15" s="92"/>
      <c r="D15" s="147">
        <f>'Suivi EAU-ELEC'!C21</f>
        <v>188</v>
      </c>
      <c r="E15" s="95"/>
      <c r="F15" s="214">
        <f t="shared" si="0"/>
        <v>2381.96</v>
      </c>
      <c r="G15" s="215"/>
      <c r="H15" s="216"/>
      <c r="I15" s="144"/>
      <c r="J15" s="93">
        <f>'Suivi EAU-ELEC'!E21</f>
        <v>3145</v>
      </c>
      <c r="K15" s="94">
        <f>'Suivi EAU-ELEC'!G21</f>
        <v>4868</v>
      </c>
      <c r="L15" s="94">
        <f>'Suivi EAU-ELEC'!I21</f>
        <v>2051</v>
      </c>
      <c r="M15" s="82">
        <f t="shared" si="4"/>
        <v>10064</v>
      </c>
      <c r="N15" s="58"/>
      <c r="O15" s="59">
        <f t="shared" si="5"/>
        <v>9963.36</v>
      </c>
      <c r="P15" s="57"/>
      <c r="Q15" s="55"/>
      <c r="R15" s="56"/>
      <c r="S15" s="55"/>
      <c r="T15" s="95"/>
      <c r="U15" s="60">
        <f>'Suivi Gaz'!O16</f>
        <v>593.6</v>
      </c>
      <c r="V15" s="58"/>
      <c r="W15" s="59">
        <f t="shared" si="6"/>
        <v>5489.0191999999997</v>
      </c>
      <c r="X15" s="65">
        <v>18734.21</v>
      </c>
      <c r="Y15" s="148">
        <f t="shared" si="1"/>
        <v>14.150000000001455</v>
      </c>
      <c r="Z15" s="64">
        <f t="shared" si="7"/>
        <v>7499.5000000007713</v>
      </c>
      <c r="AA15" s="58"/>
      <c r="AB15" s="61">
        <v>14</v>
      </c>
      <c r="AC15" s="78">
        <v>16</v>
      </c>
      <c r="AD15" s="79">
        <v>0.1168</v>
      </c>
      <c r="AE15" s="83">
        <v>26</v>
      </c>
      <c r="AF15" s="83">
        <v>26.5</v>
      </c>
      <c r="AG15" s="80" t="s">
        <v>85</v>
      </c>
      <c r="AH15" s="81" t="s">
        <v>85</v>
      </c>
      <c r="AI15" s="44"/>
      <c r="AJ15" s="129">
        <f t="shared" si="2"/>
        <v>25333.83920000077</v>
      </c>
      <c r="AK15" s="128">
        <f t="shared" si="3"/>
        <v>1583.3649500000481</v>
      </c>
      <c r="AL15" s="74"/>
    </row>
    <row r="16" spans="1:40" ht="32.25" customHeight="1" thickBot="1" x14ac:dyDescent="0.25">
      <c r="A16" s="73"/>
      <c r="B16" s="91">
        <f t="shared" si="8"/>
        <v>44234</v>
      </c>
      <c r="C16" s="92"/>
      <c r="D16" s="147">
        <f>'Suivi EAU-ELEC'!C22</f>
        <v>184</v>
      </c>
      <c r="E16" s="95"/>
      <c r="F16" s="208">
        <f t="shared" si="0"/>
        <v>2331.2800000000002</v>
      </c>
      <c r="G16" s="209"/>
      <c r="H16" s="210"/>
      <c r="I16" s="141"/>
      <c r="J16" s="93">
        <f>'Suivi EAU-ELEC'!E22</f>
        <v>3116</v>
      </c>
      <c r="K16" s="94">
        <f>'Suivi EAU-ELEC'!G22</f>
        <v>5057</v>
      </c>
      <c r="L16" s="94">
        <f>'Suivi EAU-ELEC'!I22</f>
        <v>2018</v>
      </c>
      <c r="M16" s="82">
        <f t="shared" si="4"/>
        <v>10191</v>
      </c>
      <c r="N16" s="58"/>
      <c r="O16" s="59">
        <f t="shared" si="5"/>
        <v>10089.09</v>
      </c>
      <c r="P16" s="57"/>
      <c r="Q16" s="55"/>
      <c r="R16" s="56"/>
      <c r="S16" s="55"/>
      <c r="T16" s="95"/>
      <c r="U16" s="60">
        <f>'Suivi Gaz'!O17</f>
        <v>556.5</v>
      </c>
      <c r="V16" s="58"/>
      <c r="W16" s="59">
        <f t="shared" si="6"/>
        <v>5145.9555</v>
      </c>
      <c r="X16" s="65">
        <v>18748.36</v>
      </c>
      <c r="Y16" s="148">
        <f t="shared" si="1"/>
        <v>13.520000000000437</v>
      </c>
      <c r="Z16" s="64">
        <f t="shared" si="7"/>
        <v>7165.6000000002314</v>
      </c>
      <c r="AA16" s="58"/>
      <c r="AB16" s="61">
        <v>13</v>
      </c>
      <c r="AC16" s="78">
        <v>11</v>
      </c>
      <c r="AD16" s="79">
        <v>8.0299999999999996E-2</v>
      </c>
      <c r="AE16" s="83">
        <v>26</v>
      </c>
      <c r="AF16" s="83">
        <v>27</v>
      </c>
      <c r="AG16" s="80" t="s">
        <v>85</v>
      </c>
      <c r="AH16" s="81" t="s">
        <v>85</v>
      </c>
      <c r="AI16" s="44"/>
      <c r="AJ16" s="129">
        <f t="shared" si="2"/>
        <v>24731.92550000023</v>
      </c>
      <c r="AK16" s="128">
        <f t="shared" si="3"/>
        <v>2248.3568636363848</v>
      </c>
      <c r="AL16" s="74"/>
    </row>
    <row r="17" spans="1:256" ht="32.25" customHeight="1" thickBot="1" x14ac:dyDescent="0.25">
      <c r="A17" s="73"/>
      <c r="B17" s="91">
        <f t="shared" si="8"/>
        <v>44235</v>
      </c>
      <c r="C17" s="92"/>
      <c r="D17" s="147">
        <f>'Suivi EAU-ELEC'!C23</f>
        <v>371</v>
      </c>
      <c r="E17" s="95"/>
      <c r="F17" s="211">
        <f t="shared" si="0"/>
        <v>4700.57</v>
      </c>
      <c r="G17" s="212"/>
      <c r="H17" s="213"/>
      <c r="I17" s="142"/>
      <c r="J17" s="93">
        <f>'Suivi EAU-ELEC'!E23</f>
        <v>3181</v>
      </c>
      <c r="K17" s="94">
        <f>'Suivi EAU-ELEC'!G23</f>
        <v>4491</v>
      </c>
      <c r="L17" s="94">
        <f>'Suivi EAU-ELEC'!I23</f>
        <v>1993</v>
      </c>
      <c r="M17" s="82">
        <f t="shared" si="4"/>
        <v>9665</v>
      </c>
      <c r="N17" s="58"/>
      <c r="O17" s="59">
        <f t="shared" si="5"/>
        <v>9568.35</v>
      </c>
      <c r="P17" s="57"/>
      <c r="Q17" s="55"/>
      <c r="R17" s="56"/>
      <c r="S17" s="55"/>
      <c r="T17" s="95"/>
      <c r="U17" s="60">
        <f>'Suivi Gaz'!O18</f>
        <v>371</v>
      </c>
      <c r="V17" s="58"/>
      <c r="W17" s="59">
        <f t="shared" si="6"/>
        <v>3430.6370000000002</v>
      </c>
      <c r="X17" s="65">
        <v>18761.88</v>
      </c>
      <c r="Y17" s="148">
        <f t="shared" si="1"/>
        <v>13.020000000000437</v>
      </c>
      <c r="Z17" s="64">
        <f t="shared" si="7"/>
        <v>6900.6000000002314</v>
      </c>
      <c r="AA17" s="67"/>
      <c r="AB17" s="61">
        <v>16</v>
      </c>
      <c r="AC17" s="78">
        <v>9</v>
      </c>
      <c r="AD17" s="79">
        <v>6.7199999999999996E-2</v>
      </c>
      <c r="AE17" s="83">
        <v>26</v>
      </c>
      <c r="AF17" s="83">
        <v>27</v>
      </c>
      <c r="AG17" s="80" t="s">
        <v>85</v>
      </c>
      <c r="AH17" s="81" t="s">
        <v>85</v>
      </c>
      <c r="AI17" s="44"/>
      <c r="AJ17" s="129">
        <f t="shared" si="2"/>
        <v>24600.157000000232</v>
      </c>
      <c r="AK17" s="128">
        <f t="shared" si="3"/>
        <v>2733.3507777778036</v>
      </c>
      <c r="AL17" s="74"/>
    </row>
    <row r="18" spans="1:256" ht="32.25" customHeight="1" thickBot="1" x14ac:dyDescent="0.25">
      <c r="A18" s="73"/>
      <c r="B18" s="91">
        <f t="shared" si="8"/>
        <v>44236</v>
      </c>
      <c r="C18" s="92"/>
      <c r="D18" s="147">
        <f>'Suivi EAU-ELEC'!C24</f>
        <v>330</v>
      </c>
      <c r="E18" s="95"/>
      <c r="F18" s="214">
        <f t="shared" si="0"/>
        <v>4181.1000000000004</v>
      </c>
      <c r="G18" s="215"/>
      <c r="H18" s="216"/>
      <c r="I18" s="142"/>
      <c r="J18" s="93">
        <f>'Suivi EAU-ELEC'!E24</f>
        <v>3037</v>
      </c>
      <c r="K18" s="94">
        <f>'Suivi EAU-ELEC'!G24</f>
        <v>4689</v>
      </c>
      <c r="L18" s="94">
        <f>'Suivi EAU-ELEC'!I24</f>
        <v>1862</v>
      </c>
      <c r="M18" s="82">
        <f t="shared" si="4"/>
        <v>9588</v>
      </c>
      <c r="N18" s="58"/>
      <c r="O18" s="59">
        <f t="shared" si="5"/>
        <v>9492.119999999999</v>
      </c>
      <c r="P18" s="57"/>
      <c r="Q18" s="55"/>
      <c r="R18" s="56"/>
      <c r="S18" s="55"/>
      <c r="T18" s="95"/>
      <c r="U18" s="60">
        <f>'Suivi Gaz'!O19</f>
        <v>296.8</v>
      </c>
      <c r="V18" s="58"/>
      <c r="W18" s="59">
        <f t="shared" si="6"/>
        <v>2744.5095999999999</v>
      </c>
      <c r="X18" s="65">
        <v>18774.900000000001</v>
      </c>
      <c r="Y18" s="148">
        <f t="shared" si="1"/>
        <v>13.659999999999854</v>
      </c>
      <c r="Z18" s="64">
        <f t="shared" si="7"/>
        <v>7239.7999999999238</v>
      </c>
      <c r="AA18" s="67"/>
      <c r="AB18" s="61">
        <v>17</v>
      </c>
      <c r="AC18" s="78">
        <v>11</v>
      </c>
      <c r="AD18" s="79">
        <v>8.09E-2</v>
      </c>
      <c r="AE18" s="83">
        <v>27</v>
      </c>
      <c r="AF18" s="83">
        <v>27.5</v>
      </c>
      <c r="AG18" s="80">
        <v>22.5</v>
      </c>
      <c r="AH18" s="81">
        <v>22.5</v>
      </c>
      <c r="AI18" s="44"/>
      <c r="AJ18" s="129">
        <f t="shared" si="2"/>
        <v>23657.529599999922</v>
      </c>
      <c r="AK18" s="128">
        <f t="shared" si="3"/>
        <v>2150.6845090909019</v>
      </c>
      <c r="AL18" s="74"/>
    </row>
    <row r="19" spans="1:256" ht="32.25" customHeight="1" thickBot="1" x14ac:dyDescent="0.25">
      <c r="A19" s="73"/>
      <c r="B19" s="91">
        <f t="shared" si="8"/>
        <v>44237</v>
      </c>
      <c r="C19" s="92"/>
      <c r="D19" s="147">
        <f>'Suivi EAU-ELEC'!C25</f>
        <v>185</v>
      </c>
      <c r="E19" s="95"/>
      <c r="F19" s="211">
        <f t="shared" si="0"/>
        <v>2343.9499999999998</v>
      </c>
      <c r="G19" s="212"/>
      <c r="H19" s="213"/>
      <c r="I19" s="142"/>
      <c r="J19" s="93">
        <f>'Suivi EAU-ELEC'!E25</f>
        <v>2898</v>
      </c>
      <c r="K19" s="94">
        <f>'Suivi EAU-ELEC'!G25</f>
        <v>4330</v>
      </c>
      <c r="L19" s="94">
        <f>'Suivi EAU-ELEC'!I25</f>
        <v>1865</v>
      </c>
      <c r="M19" s="82">
        <f t="shared" si="4"/>
        <v>9093</v>
      </c>
      <c r="N19" s="58"/>
      <c r="O19" s="59">
        <f t="shared" si="5"/>
        <v>9002.07</v>
      </c>
      <c r="P19" s="57"/>
      <c r="Q19" s="55"/>
      <c r="R19" s="56"/>
      <c r="S19" s="55"/>
      <c r="T19" s="95"/>
      <c r="U19" s="60">
        <f>'Suivi Gaz'!O20</f>
        <v>222.60000000000002</v>
      </c>
      <c r="V19" s="58"/>
      <c r="W19" s="59">
        <f t="shared" si="6"/>
        <v>2058.3822</v>
      </c>
      <c r="X19" s="65">
        <v>18788.560000000001</v>
      </c>
      <c r="Y19" s="148">
        <f t="shared" si="1"/>
        <v>14.399999999997817</v>
      </c>
      <c r="Z19" s="64">
        <f t="shared" si="7"/>
        <v>7631.9999999988431</v>
      </c>
      <c r="AA19" s="67"/>
      <c r="AB19" s="61">
        <v>18</v>
      </c>
      <c r="AC19" s="78">
        <v>11</v>
      </c>
      <c r="AD19" s="79">
        <v>8.2100000000000006E-2</v>
      </c>
      <c r="AE19" s="83">
        <v>26</v>
      </c>
      <c r="AF19" s="83">
        <v>27.5</v>
      </c>
      <c r="AG19" s="80">
        <v>22</v>
      </c>
      <c r="AH19" s="81">
        <v>24</v>
      </c>
      <c r="AI19" s="44"/>
      <c r="AJ19" s="129">
        <f t="shared" si="2"/>
        <v>21036.402199998844</v>
      </c>
      <c r="AK19" s="128">
        <f t="shared" si="3"/>
        <v>1912.4001999998948</v>
      </c>
      <c r="AL19" s="74"/>
    </row>
    <row r="20" spans="1:256" ht="32.25" customHeight="1" thickBot="1" x14ac:dyDescent="0.25">
      <c r="A20" s="73"/>
      <c r="B20" s="91">
        <f t="shared" si="8"/>
        <v>44238</v>
      </c>
      <c r="C20" s="92"/>
      <c r="D20" s="147">
        <f>'Suivi EAU-ELEC'!C26</f>
        <v>228</v>
      </c>
      <c r="E20" s="95"/>
      <c r="F20" s="208">
        <f t="shared" si="0"/>
        <v>2888.7599999999998</v>
      </c>
      <c r="G20" s="209"/>
      <c r="H20" s="210"/>
      <c r="I20" s="142"/>
      <c r="J20" s="93">
        <f>'Suivi EAU-ELEC'!E26</f>
        <v>2923</v>
      </c>
      <c r="K20" s="94">
        <f>'Suivi EAU-ELEC'!G26</f>
        <v>4565</v>
      </c>
      <c r="L20" s="94">
        <f>'Suivi EAU-ELEC'!I26</f>
        <v>2103</v>
      </c>
      <c r="M20" s="82">
        <f t="shared" si="4"/>
        <v>9591</v>
      </c>
      <c r="N20" s="58"/>
      <c r="O20" s="59">
        <f t="shared" si="5"/>
        <v>9495.09</v>
      </c>
      <c r="P20" s="57"/>
      <c r="Q20" s="55"/>
      <c r="R20" s="56"/>
      <c r="S20" s="55"/>
      <c r="T20" s="95"/>
      <c r="U20" s="60">
        <f>'Suivi Gaz'!O21</f>
        <v>408.1</v>
      </c>
      <c r="V20" s="58"/>
      <c r="W20" s="59">
        <f t="shared" si="6"/>
        <v>3773.7007000000003</v>
      </c>
      <c r="X20" s="65">
        <v>18802.96</v>
      </c>
      <c r="Y20" s="148">
        <f t="shared" si="1"/>
        <v>13.720000000001164</v>
      </c>
      <c r="Z20" s="64">
        <f t="shared" si="7"/>
        <v>7271.6000000006179</v>
      </c>
      <c r="AA20" s="67">
        <v>14</v>
      </c>
      <c r="AB20" s="61">
        <v>18</v>
      </c>
      <c r="AC20" s="78">
        <v>10</v>
      </c>
      <c r="AD20" s="79">
        <v>7.4099999999999999E-2</v>
      </c>
      <c r="AE20" s="83">
        <v>26</v>
      </c>
      <c r="AF20" s="83">
        <v>27.5</v>
      </c>
      <c r="AG20" s="80">
        <v>25</v>
      </c>
      <c r="AH20" s="81">
        <v>25</v>
      </c>
      <c r="AI20" s="44"/>
      <c r="AJ20" s="129">
        <f t="shared" si="2"/>
        <v>23429.150700000617</v>
      </c>
      <c r="AK20" s="128">
        <f t="shared" si="3"/>
        <v>2342.9150700000619</v>
      </c>
      <c r="AL20" s="74"/>
    </row>
    <row r="21" spans="1:256" ht="32.25" customHeight="1" thickBot="1" x14ac:dyDescent="0.25">
      <c r="A21" s="73"/>
      <c r="B21" s="91">
        <f t="shared" si="8"/>
        <v>44239</v>
      </c>
      <c r="C21" s="92"/>
      <c r="D21" s="147">
        <f>'Suivi EAU-ELEC'!C27</f>
        <v>356</v>
      </c>
      <c r="E21" s="95"/>
      <c r="F21" s="211">
        <f t="shared" si="0"/>
        <v>4510.5199999999995</v>
      </c>
      <c r="G21" s="212"/>
      <c r="H21" s="213"/>
      <c r="I21" s="142"/>
      <c r="J21" s="93">
        <f>'Suivi EAU-ELEC'!E27</f>
        <v>4143</v>
      </c>
      <c r="K21" s="94">
        <f>'Suivi EAU-ELEC'!G27</f>
        <v>5018</v>
      </c>
      <c r="L21" s="94">
        <f>'Suivi EAU-ELEC'!I27</f>
        <v>2403</v>
      </c>
      <c r="M21" s="82">
        <f t="shared" si="4"/>
        <v>11564</v>
      </c>
      <c r="N21" s="58"/>
      <c r="O21" s="59">
        <f t="shared" si="5"/>
        <v>11448.359999999999</v>
      </c>
      <c r="P21" s="57"/>
      <c r="Q21" s="55"/>
      <c r="R21" s="56"/>
      <c r="S21" s="55"/>
      <c r="T21" s="95"/>
      <c r="U21" s="60">
        <f>'Suivi Gaz'!O22</f>
        <v>296.8</v>
      </c>
      <c r="V21" s="58"/>
      <c r="W21" s="59">
        <f t="shared" si="6"/>
        <v>2744.5095999999999</v>
      </c>
      <c r="X21" s="65">
        <v>18816.68</v>
      </c>
      <c r="Y21" s="148">
        <f t="shared" si="1"/>
        <v>16.31000000000131</v>
      </c>
      <c r="Z21" s="64">
        <f t="shared" si="7"/>
        <v>8644.3000000006941</v>
      </c>
      <c r="AA21" s="67">
        <v>14</v>
      </c>
      <c r="AB21" s="61">
        <v>20</v>
      </c>
      <c r="AC21" s="78">
        <v>35</v>
      </c>
      <c r="AD21" s="79">
        <v>0.25929999999999997</v>
      </c>
      <c r="AE21" s="83">
        <v>29</v>
      </c>
      <c r="AF21" s="166">
        <v>28.5</v>
      </c>
      <c r="AG21" s="80">
        <v>28.5</v>
      </c>
      <c r="AH21" s="81">
        <v>28.5</v>
      </c>
      <c r="AI21" s="44"/>
      <c r="AJ21" s="129">
        <f t="shared" si="2"/>
        <v>27347.689600000693</v>
      </c>
      <c r="AK21" s="128">
        <f>AJ21/AC21</f>
        <v>781.36256000001981</v>
      </c>
      <c r="AL21" s="74"/>
    </row>
    <row r="22" spans="1:256" ht="32.25" customHeight="1" thickBot="1" x14ac:dyDescent="0.25">
      <c r="A22" s="73"/>
      <c r="B22" s="91">
        <f t="shared" si="8"/>
        <v>44240</v>
      </c>
      <c r="C22" s="92"/>
      <c r="D22" s="147">
        <f>'Suivi EAU-ELEC'!C28</f>
        <v>264</v>
      </c>
      <c r="E22" s="95"/>
      <c r="F22" s="214">
        <f t="shared" si="0"/>
        <v>3344.88</v>
      </c>
      <c r="G22" s="215"/>
      <c r="H22" s="216"/>
      <c r="I22" s="142"/>
      <c r="J22" s="93">
        <f>'Suivi EAU-ELEC'!E28</f>
        <v>3642</v>
      </c>
      <c r="K22" s="94">
        <f>'Suivi EAU-ELEC'!G28</f>
        <v>6411</v>
      </c>
      <c r="L22" s="94">
        <f>'Suivi EAU-ELEC'!I28</f>
        <v>2640</v>
      </c>
      <c r="M22" s="82">
        <f t="shared" si="4"/>
        <v>12693</v>
      </c>
      <c r="N22" s="58"/>
      <c r="O22" s="59">
        <f t="shared" si="5"/>
        <v>12566.070000000002</v>
      </c>
      <c r="P22" s="57"/>
      <c r="Q22" s="55"/>
      <c r="R22" s="56"/>
      <c r="S22" s="55"/>
      <c r="T22" s="95"/>
      <c r="U22" s="60">
        <f>'Suivi Gaz'!O23</f>
        <v>556.5</v>
      </c>
      <c r="V22" s="58"/>
      <c r="W22" s="59">
        <f t="shared" si="6"/>
        <v>5145.9555</v>
      </c>
      <c r="X22" s="65">
        <v>18832.990000000002</v>
      </c>
      <c r="Y22" s="148">
        <f t="shared" si="1"/>
        <v>17.68999999999869</v>
      </c>
      <c r="Z22" s="64">
        <f t="shared" si="7"/>
        <v>9375.6999999993059</v>
      </c>
      <c r="AA22" s="58"/>
      <c r="AB22" s="61">
        <v>21</v>
      </c>
      <c r="AC22" s="78">
        <v>63</v>
      </c>
      <c r="AD22" s="79">
        <v>0.4667</v>
      </c>
      <c r="AE22" s="83">
        <v>27.5</v>
      </c>
      <c r="AF22" s="83">
        <v>28</v>
      </c>
      <c r="AG22" s="80">
        <v>28.5</v>
      </c>
      <c r="AH22" s="81">
        <v>28.5</v>
      </c>
      <c r="AI22" s="44"/>
      <c r="AJ22" s="129">
        <f t="shared" si="2"/>
        <v>30432.605499999307</v>
      </c>
      <c r="AK22" s="128">
        <f t="shared" si="3"/>
        <v>483.05723015871916</v>
      </c>
      <c r="AL22" s="74"/>
    </row>
    <row r="23" spans="1:256" ht="32.25" customHeight="1" thickBot="1" x14ac:dyDescent="0.25">
      <c r="A23" s="73"/>
      <c r="B23" s="91">
        <f t="shared" si="8"/>
        <v>44241</v>
      </c>
      <c r="C23" s="92"/>
      <c r="D23" s="147">
        <f>'Suivi EAU-ELEC'!C29</f>
        <v>274</v>
      </c>
      <c r="E23" s="95"/>
      <c r="F23" s="211">
        <f t="shared" si="0"/>
        <v>3471.58</v>
      </c>
      <c r="G23" s="212"/>
      <c r="H23" s="213"/>
      <c r="I23" s="142"/>
      <c r="J23" s="93">
        <f>'Suivi EAU-ELEC'!E29</f>
        <v>3094</v>
      </c>
      <c r="K23" s="94">
        <f>'Suivi EAU-ELEC'!G29</f>
        <v>5466</v>
      </c>
      <c r="L23" s="94">
        <f>'Suivi EAU-ELEC'!I29</f>
        <v>2952</v>
      </c>
      <c r="M23" s="82">
        <f t="shared" si="4"/>
        <v>11512</v>
      </c>
      <c r="N23" s="58"/>
      <c r="O23" s="59">
        <f t="shared" si="5"/>
        <v>11396.88</v>
      </c>
      <c r="P23" s="57"/>
      <c r="Q23" s="55"/>
      <c r="R23" s="56"/>
      <c r="S23" s="55"/>
      <c r="T23" s="95"/>
      <c r="U23" s="60">
        <f>'Suivi Gaz'!O24</f>
        <v>148.4</v>
      </c>
      <c r="V23" s="58"/>
      <c r="W23" s="59">
        <f t="shared" si="6"/>
        <v>1372.2547999999999</v>
      </c>
      <c r="X23" s="65">
        <v>18850.68</v>
      </c>
      <c r="Y23" s="148">
        <f t="shared" si="1"/>
        <v>17.989999999997963</v>
      </c>
      <c r="Z23" s="64">
        <f t="shared" si="7"/>
        <v>9534.6999999989202</v>
      </c>
      <c r="AA23" s="58"/>
      <c r="AB23" s="61">
        <v>23</v>
      </c>
      <c r="AC23" s="78">
        <v>45</v>
      </c>
      <c r="AD23" s="79">
        <v>0.33829999999999999</v>
      </c>
      <c r="AE23" s="83">
        <v>27.5</v>
      </c>
      <c r="AF23" s="83">
        <v>28.5</v>
      </c>
      <c r="AG23" s="80">
        <v>28.5</v>
      </c>
      <c r="AH23" s="81">
        <v>28.5</v>
      </c>
      <c r="AI23" s="44"/>
      <c r="AJ23" s="129">
        <f t="shared" si="2"/>
        <v>25775.414799998922</v>
      </c>
      <c r="AK23" s="128">
        <f t="shared" si="3"/>
        <v>572.78699555553158</v>
      </c>
      <c r="AL23" s="74"/>
    </row>
    <row r="24" spans="1:256" ht="32.25" customHeight="1" thickBot="1" x14ac:dyDescent="0.25">
      <c r="A24" s="73"/>
      <c r="B24" s="91">
        <f t="shared" si="8"/>
        <v>44242</v>
      </c>
      <c r="C24" s="92"/>
      <c r="D24" s="147">
        <f>'Suivi EAU-ELEC'!C30</f>
        <v>350</v>
      </c>
      <c r="E24" s="95"/>
      <c r="F24" s="211">
        <f t="shared" si="0"/>
        <v>4434.5</v>
      </c>
      <c r="G24" s="212"/>
      <c r="H24" s="213"/>
      <c r="I24" s="142"/>
      <c r="J24" s="93">
        <f>'Suivi EAU-ELEC'!E30</f>
        <v>4123</v>
      </c>
      <c r="K24" s="94">
        <f>'Suivi EAU-ELEC'!G30</f>
        <v>5922</v>
      </c>
      <c r="L24" s="94">
        <f>'Suivi EAU-ELEC'!I30</f>
        <v>2571</v>
      </c>
      <c r="M24" s="82">
        <f t="shared" si="4"/>
        <v>12616</v>
      </c>
      <c r="N24" s="58"/>
      <c r="O24" s="59">
        <f t="shared" si="5"/>
        <v>12489.84</v>
      </c>
      <c r="P24" s="57"/>
      <c r="Q24" s="55"/>
      <c r="R24" s="56"/>
      <c r="S24" s="55"/>
      <c r="T24" s="95"/>
      <c r="U24" s="60">
        <f>'Suivi Gaz'!O25</f>
        <v>333.90000000000003</v>
      </c>
      <c r="V24" s="58"/>
      <c r="W24" s="59">
        <f t="shared" si="6"/>
        <v>3087.5733000000005</v>
      </c>
      <c r="X24" s="65">
        <v>18868.669999999998</v>
      </c>
      <c r="Y24" s="148">
        <f t="shared" si="1"/>
        <v>17.920000000001892</v>
      </c>
      <c r="Z24" s="64">
        <f t="shared" si="7"/>
        <v>9497.6000000010044</v>
      </c>
      <c r="AA24" s="58"/>
      <c r="AB24" s="61">
        <v>24</v>
      </c>
      <c r="AC24" s="78">
        <v>33</v>
      </c>
      <c r="AD24" s="79">
        <v>0.25</v>
      </c>
      <c r="AE24" s="83">
        <v>27.5</v>
      </c>
      <c r="AF24" s="83">
        <v>28</v>
      </c>
      <c r="AG24" s="80">
        <v>28.5</v>
      </c>
      <c r="AH24" s="81">
        <v>28.5</v>
      </c>
      <c r="AJ24" s="129">
        <f>(F24+O24+W24+Z24)</f>
        <v>29509.513300001003</v>
      </c>
      <c r="AK24" s="128">
        <f t="shared" si="3"/>
        <v>894.22767575760611</v>
      </c>
      <c r="AL24" s="74"/>
    </row>
    <row r="25" spans="1:256" ht="32.25" customHeight="1" thickBot="1" x14ac:dyDescent="0.25">
      <c r="A25" s="73"/>
      <c r="B25" s="91">
        <f t="shared" si="8"/>
        <v>44243</v>
      </c>
      <c r="C25" s="92"/>
      <c r="D25" s="147">
        <f>'Suivi EAU-ELEC'!C31</f>
        <v>276</v>
      </c>
      <c r="E25" s="95"/>
      <c r="F25" s="211">
        <f t="shared" si="0"/>
        <v>3496.92</v>
      </c>
      <c r="G25" s="212"/>
      <c r="H25" s="213"/>
      <c r="I25" s="142"/>
      <c r="J25" s="93">
        <f>'Suivi EAU-ELEC'!E31</f>
        <v>4143</v>
      </c>
      <c r="K25" s="94">
        <f>'Suivi EAU-ELEC'!G31</f>
        <v>5588</v>
      </c>
      <c r="L25" s="94">
        <f>'Suivi EAU-ELEC'!I31</f>
        <v>2421</v>
      </c>
      <c r="M25" s="82">
        <f t="shared" si="4"/>
        <v>12152</v>
      </c>
      <c r="N25" s="58"/>
      <c r="O25" s="59">
        <f t="shared" si="5"/>
        <v>12030.48</v>
      </c>
      <c r="P25" s="57"/>
      <c r="Q25" s="55"/>
      <c r="R25" s="56"/>
      <c r="S25" s="55"/>
      <c r="T25" s="95"/>
      <c r="U25" s="60">
        <f>'Suivi Gaz'!O26</f>
        <v>445.20000000000005</v>
      </c>
      <c r="V25" s="58"/>
      <c r="W25" s="59">
        <f t="shared" si="6"/>
        <v>4116.7644</v>
      </c>
      <c r="X25" s="65">
        <v>18886.59</v>
      </c>
      <c r="Y25" s="148">
        <f t="shared" si="1"/>
        <v>17.049999999999272</v>
      </c>
      <c r="Z25" s="64">
        <f t="shared" si="7"/>
        <v>9036.4999999996144</v>
      </c>
      <c r="AA25" s="58"/>
      <c r="AB25" s="61">
        <v>21</v>
      </c>
      <c r="AC25" s="78">
        <v>25</v>
      </c>
      <c r="AD25" s="79">
        <v>0.19689999999999999</v>
      </c>
      <c r="AE25" s="83">
        <v>27.5</v>
      </c>
      <c r="AF25" s="83">
        <v>28</v>
      </c>
      <c r="AG25" s="80">
        <v>28</v>
      </c>
      <c r="AH25" s="81">
        <v>26.8</v>
      </c>
      <c r="AI25" s="44"/>
      <c r="AJ25" s="129">
        <f>(F25+O25+W25+Z25)</f>
        <v>28680.664399999616</v>
      </c>
      <c r="AK25" s="128">
        <f t="shared" si="3"/>
        <v>1147.2265759999846</v>
      </c>
      <c r="AL25" s="74"/>
    </row>
    <row r="26" spans="1:256" ht="32.25" customHeight="1" thickBot="1" x14ac:dyDescent="0.25">
      <c r="A26" s="73"/>
      <c r="B26" s="91">
        <f t="shared" si="8"/>
        <v>44244</v>
      </c>
      <c r="C26" s="92"/>
      <c r="D26" s="147">
        <f>'Suivi EAU-ELEC'!C32</f>
        <v>203</v>
      </c>
      <c r="E26" s="150"/>
      <c r="F26" s="211">
        <f t="shared" si="0"/>
        <v>2572.0099999999998</v>
      </c>
      <c r="G26" s="212"/>
      <c r="H26" s="213"/>
      <c r="I26" s="142"/>
      <c r="J26" s="93">
        <f>'Suivi EAU-ELEC'!E32</f>
        <v>3292</v>
      </c>
      <c r="K26" s="94">
        <f>'Suivi EAU-ELEC'!G32</f>
        <v>5399</v>
      </c>
      <c r="L26" s="94">
        <f>'Suivi EAU-ELEC'!I32</f>
        <v>2380</v>
      </c>
      <c r="M26" s="82">
        <f t="shared" si="4"/>
        <v>11071</v>
      </c>
      <c r="N26" s="58"/>
      <c r="O26" s="59">
        <f t="shared" si="5"/>
        <v>10960.29</v>
      </c>
      <c r="P26" s="57"/>
      <c r="Q26" s="55"/>
      <c r="R26" s="56"/>
      <c r="S26" s="55"/>
      <c r="T26" s="95"/>
      <c r="U26" s="60">
        <f>'Suivi Gaz'!O27</f>
        <v>482.3</v>
      </c>
      <c r="V26" s="84"/>
      <c r="W26" s="59">
        <f t="shared" si="6"/>
        <v>4459.8280999999997</v>
      </c>
      <c r="X26" s="65">
        <v>18903.64</v>
      </c>
      <c r="Y26" s="148">
        <f t="shared" si="1"/>
        <v>11.31000000000131</v>
      </c>
      <c r="Z26" s="64">
        <f t="shared" si="7"/>
        <v>5994.3000000006941</v>
      </c>
      <c r="AA26" s="84"/>
      <c r="AB26" s="61">
        <v>20</v>
      </c>
      <c r="AC26" s="78">
        <v>32</v>
      </c>
      <c r="AD26" s="79">
        <v>0.27829999999999999</v>
      </c>
      <c r="AE26" s="83">
        <v>26.5</v>
      </c>
      <c r="AF26" s="83">
        <v>27</v>
      </c>
      <c r="AG26" s="80">
        <v>28</v>
      </c>
      <c r="AH26" s="81">
        <v>28</v>
      </c>
      <c r="AI26" s="44"/>
      <c r="AJ26" s="129">
        <f>(F26+O26+W26+Z26)</f>
        <v>23986.428100000696</v>
      </c>
      <c r="AK26" s="128">
        <f t="shared" si="3"/>
        <v>749.57587812502175</v>
      </c>
      <c r="AL26" s="74"/>
    </row>
    <row r="27" spans="1:256" ht="32.25" customHeight="1" thickBot="1" x14ac:dyDescent="0.25">
      <c r="A27" s="73"/>
      <c r="B27" s="91">
        <f t="shared" si="8"/>
        <v>44245</v>
      </c>
      <c r="C27" s="92"/>
      <c r="D27" s="147">
        <f>'Suivi EAU-ELEC'!C33</f>
        <v>341</v>
      </c>
      <c r="E27" s="150"/>
      <c r="F27" s="211">
        <f t="shared" si="0"/>
        <v>4320.47</v>
      </c>
      <c r="G27" s="212"/>
      <c r="H27" s="213"/>
      <c r="I27" s="142"/>
      <c r="J27" s="93">
        <f>'Suivi EAU-ELEC'!E33</f>
        <v>3824</v>
      </c>
      <c r="K27" s="94">
        <f>'Suivi EAU-ELEC'!G33</f>
        <v>5407</v>
      </c>
      <c r="L27" s="94">
        <f>'Suivi EAU-ELEC'!I33</f>
        <v>2464</v>
      </c>
      <c r="M27" s="82">
        <f t="shared" si="4"/>
        <v>11695</v>
      </c>
      <c r="N27" s="58"/>
      <c r="O27" s="59">
        <f t="shared" si="5"/>
        <v>11578.050000000001</v>
      </c>
      <c r="P27" s="57"/>
      <c r="Q27" s="55"/>
      <c r="R27" s="56"/>
      <c r="S27" s="55"/>
      <c r="T27" s="95"/>
      <c r="U27" s="60">
        <f>'Suivi Gaz'!O28</f>
        <v>371</v>
      </c>
      <c r="V27" s="84"/>
      <c r="W27" s="59">
        <f t="shared" si="6"/>
        <v>3430.6370000000002</v>
      </c>
      <c r="X27" s="65">
        <v>18914.95</v>
      </c>
      <c r="Y27" s="148">
        <f t="shared" si="1"/>
        <v>21.149999999997817</v>
      </c>
      <c r="Z27" s="64">
        <f t="shared" si="7"/>
        <v>11209.499999998843</v>
      </c>
      <c r="AA27" s="84"/>
      <c r="AB27" s="61">
        <v>20</v>
      </c>
      <c r="AC27" s="78">
        <v>53</v>
      </c>
      <c r="AD27" s="79">
        <v>0.44919999999999999</v>
      </c>
      <c r="AE27" s="83">
        <v>26</v>
      </c>
      <c r="AF27" s="83">
        <v>27</v>
      </c>
      <c r="AG27" s="80">
        <v>28</v>
      </c>
      <c r="AH27" s="81">
        <v>29</v>
      </c>
      <c r="AI27" s="44"/>
      <c r="AJ27" s="129">
        <f t="shared" si="2"/>
        <v>30538.656999998842</v>
      </c>
      <c r="AK27" s="128">
        <f t="shared" si="3"/>
        <v>576.20107547167629</v>
      </c>
      <c r="AL27" s="74"/>
    </row>
    <row r="28" spans="1:256" ht="32.25" customHeight="1" thickBot="1" x14ac:dyDescent="0.25">
      <c r="A28" s="73"/>
      <c r="B28" s="91">
        <f t="shared" si="8"/>
        <v>44246</v>
      </c>
      <c r="C28" s="92"/>
      <c r="D28" s="147">
        <f>'Suivi EAU-ELEC'!C34</f>
        <v>435</v>
      </c>
      <c r="E28" s="150"/>
      <c r="F28" s="208">
        <f t="shared" si="0"/>
        <v>5511.45</v>
      </c>
      <c r="G28" s="209"/>
      <c r="H28" s="210"/>
      <c r="I28" s="143"/>
      <c r="J28" s="93">
        <f>'Suivi EAU-ELEC'!E34</f>
        <v>3254</v>
      </c>
      <c r="K28" s="94">
        <f>'Suivi EAU-ELEC'!G34</f>
        <v>5439</v>
      </c>
      <c r="L28" s="94">
        <f>'Suivi EAU-ELEC'!I34</f>
        <v>2442</v>
      </c>
      <c r="M28" s="82">
        <f t="shared" si="4"/>
        <v>11135</v>
      </c>
      <c r="N28" s="58"/>
      <c r="O28" s="59">
        <f t="shared" si="5"/>
        <v>11023.65</v>
      </c>
      <c r="P28" s="57"/>
      <c r="Q28" s="55"/>
      <c r="R28" s="56"/>
      <c r="S28" s="55"/>
      <c r="T28" s="95"/>
      <c r="U28" s="60">
        <f>'Suivi Gaz'!O29</f>
        <v>408.1</v>
      </c>
      <c r="V28" s="84"/>
      <c r="W28" s="59">
        <f t="shared" si="6"/>
        <v>3773.7007000000003</v>
      </c>
      <c r="X28" s="65">
        <v>18936.099999999999</v>
      </c>
      <c r="Y28" s="148">
        <f t="shared" si="1"/>
        <v>19.380000000001019</v>
      </c>
      <c r="Z28" s="64">
        <f t="shared" si="7"/>
        <v>10271.40000000054</v>
      </c>
      <c r="AA28" s="84"/>
      <c r="AB28" s="61">
        <v>21</v>
      </c>
      <c r="AC28" s="78">
        <v>105</v>
      </c>
      <c r="AD28" s="79">
        <v>0.92920000000000003</v>
      </c>
      <c r="AE28" s="83">
        <v>27</v>
      </c>
      <c r="AF28" s="83">
        <v>28.5</v>
      </c>
      <c r="AG28" s="80">
        <v>27.5</v>
      </c>
      <c r="AH28" s="81">
        <v>28.5</v>
      </c>
      <c r="AI28" s="44"/>
      <c r="AJ28" s="129">
        <f>(F28+O28+W28+Z28)</f>
        <v>30580.20070000054</v>
      </c>
      <c r="AK28" s="128">
        <f t="shared" si="3"/>
        <v>291.24000666667183</v>
      </c>
      <c r="AL28" s="74"/>
    </row>
    <row r="29" spans="1:256" ht="32.25" customHeight="1" thickBot="1" x14ac:dyDescent="0.25">
      <c r="A29" s="73"/>
      <c r="B29" s="91">
        <f t="shared" si="8"/>
        <v>44247</v>
      </c>
      <c r="C29" s="92"/>
      <c r="D29" s="147">
        <f>'Suivi EAU-ELEC'!C35</f>
        <v>316</v>
      </c>
      <c r="E29" s="150"/>
      <c r="F29" s="211">
        <f t="shared" si="0"/>
        <v>4003.72</v>
      </c>
      <c r="G29" s="212"/>
      <c r="H29" s="213"/>
      <c r="I29" s="143"/>
      <c r="J29" s="93">
        <f>'Suivi EAU-ELEC'!E35</f>
        <v>3501</v>
      </c>
      <c r="K29" s="94">
        <f>'Suivi EAU-ELEC'!G35</f>
        <v>5607</v>
      </c>
      <c r="L29" s="94">
        <f>'Suivi EAU-ELEC'!I35</f>
        <v>2443</v>
      </c>
      <c r="M29" s="82">
        <f t="shared" si="4"/>
        <v>11551</v>
      </c>
      <c r="N29" s="58"/>
      <c r="O29" s="59">
        <f t="shared" si="5"/>
        <v>11435.49</v>
      </c>
      <c r="P29" s="57"/>
      <c r="Q29" s="55"/>
      <c r="R29" s="56"/>
      <c r="S29" s="55"/>
      <c r="T29" s="95"/>
      <c r="U29" s="60">
        <f>'Suivi Gaz'!O30</f>
        <v>445.20000000000005</v>
      </c>
      <c r="V29" s="84"/>
      <c r="W29" s="59">
        <f t="shared" si="6"/>
        <v>4116.7644</v>
      </c>
      <c r="X29" s="65">
        <v>18955.48</v>
      </c>
      <c r="Y29" s="148">
        <f t="shared" si="1"/>
        <v>19.510000000002037</v>
      </c>
      <c r="Z29" s="64">
        <f t="shared" si="7"/>
        <v>10340.300000001082</v>
      </c>
      <c r="AA29" s="84"/>
      <c r="AB29" s="61">
        <v>23</v>
      </c>
      <c r="AC29" s="78">
        <v>103</v>
      </c>
      <c r="AD29" s="79">
        <v>0.91959999999999997</v>
      </c>
      <c r="AE29" s="83">
        <v>27.5</v>
      </c>
      <c r="AF29" s="83">
        <v>27.5</v>
      </c>
      <c r="AG29" s="80">
        <v>28.5</v>
      </c>
      <c r="AH29" s="81">
        <v>28.5</v>
      </c>
      <c r="AI29" s="44"/>
      <c r="AJ29" s="129">
        <f t="shared" si="2"/>
        <v>29896.274400001079</v>
      </c>
      <c r="AK29" s="128">
        <f t="shared" si="3"/>
        <v>290.25509126214638</v>
      </c>
      <c r="AL29" s="74"/>
    </row>
    <row r="30" spans="1:256" s="66" customFormat="1" ht="32.25" customHeight="1" thickBot="1" x14ac:dyDescent="0.25">
      <c r="A30" s="96"/>
      <c r="B30" s="91">
        <f t="shared" si="8"/>
        <v>44248</v>
      </c>
      <c r="C30" s="97"/>
      <c r="D30" s="147">
        <f>'Suivi EAU-ELEC'!C36</f>
        <v>322</v>
      </c>
      <c r="E30" s="150"/>
      <c r="F30" s="208">
        <f t="shared" si="0"/>
        <v>4079.74</v>
      </c>
      <c r="G30" s="209"/>
      <c r="H30" s="210"/>
      <c r="I30" s="143"/>
      <c r="J30" s="93">
        <f>'Suivi EAU-ELEC'!E36</f>
        <v>3440</v>
      </c>
      <c r="K30" s="94">
        <f>'Suivi EAU-ELEC'!G36</f>
        <v>5363</v>
      </c>
      <c r="L30" s="94">
        <f>'Suivi EAU-ELEC'!I36</f>
        <v>2262</v>
      </c>
      <c r="M30" s="82">
        <f t="shared" si="4"/>
        <v>11065</v>
      </c>
      <c r="N30" s="58"/>
      <c r="O30" s="59">
        <f t="shared" si="5"/>
        <v>10954.349999999999</v>
      </c>
      <c r="P30" s="57"/>
      <c r="Q30" s="55"/>
      <c r="R30" s="56"/>
      <c r="S30" s="55"/>
      <c r="T30" s="95"/>
      <c r="U30" s="60">
        <f>'Suivi Gaz'!O31</f>
        <v>593.6</v>
      </c>
      <c r="V30" s="84"/>
      <c r="W30" s="59">
        <f t="shared" si="6"/>
        <v>5489.0191999999997</v>
      </c>
      <c r="X30" s="65">
        <v>18974.990000000002</v>
      </c>
      <c r="Y30" s="148">
        <f t="shared" si="1"/>
        <v>19.819999999999709</v>
      </c>
      <c r="Z30" s="64">
        <f t="shared" si="7"/>
        <v>10504.599999999846</v>
      </c>
      <c r="AA30" s="84"/>
      <c r="AB30" s="61">
        <v>14</v>
      </c>
      <c r="AC30" s="78">
        <v>48</v>
      </c>
      <c r="AD30" s="79">
        <v>0.54549999999999998</v>
      </c>
      <c r="AE30" s="83">
        <v>28</v>
      </c>
      <c r="AF30" s="83">
        <v>28.5</v>
      </c>
      <c r="AG30" s="80">
        <v>28</v>
      </c>
      <c r="AH30" s="81">
        <v>28.5</v>
      </c>
      <c r="AI30" s="44"/>
      <c r="AJ30" s="129">
        <f t="shared" si="2"/>
        <v>31027.709199999845</v>
      </c>
      <c r="AK30" s="128">
        <f t="shared" si="3"/>
        <v>646.41060833333006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8"/>
        <v>44249</v>
      </c>
      <c r="C31" s="92"/>
      <c r="D31" s="147">
        <f>'Suivi EAU-ELEC'!C37</f>
        <v>306</v>
      </c>
      <c r="E31" s="95"/>
      <c r="F31" s="211">
        <f t="shared" si="0"/>
        <v>3877.02</v>
      </c>
      <c r="G31" s="212"/>
      <c r="H31" s="213"/>
      <c r="I31" s="144"/>
      <c r="J31" s="93">
        <f>'Suivi EAU-ELEC'!E37</f>
        <v>3544</v>
      </c>
      <c r="K31" s="94">
        <f>'Suivi EAU-ELEC'!G37</f>
        <v>5797</v>
      </c>
      <c r="L31" s="94">
        <f>'Suivi EAU-ELEC'!I37</f>
        <v>2328</v>
      </c>
      <c r="M31" s="82">
        <f t="shared" si="4"/>
        <v>11669</v>
      </c>
      <c r="N31" s="58"/>
      <c r="O31" s="59">
        <f t="shared" si="5"/>
        <v>11552.31</v>
      </c>
      <c r="P31" s="57"/>
      <c r="Q31" s="55"/>
      <c r="R31" s="56"/>
      <c r="S31" s="55"/>
      <c r="T31" s="95"/>
      <c r="U31" s="60">
        <f>'Suivi Gaz'!O32</f>
        <v>556.5</v>
      </c>
      <c r="V31" s="58"/>
      <c r="W31" s="59">
        <f t="shared" si="6"/>
        <v>5145.9555</v>
      </c>
      <c r="X31" s="65">
        <v>18994.810000000001</v>
      </c>
      <c r="Y31" s="148">
        <f t="shared" si="1"/>
        <v>18.069999999999709</v>
      </c>
      <c r="Z31" s="64">
        <f t="shared" si="7"/>
        <v>9577.0999999998476</v>
      </c>
      <c r="AA31" s="58"/>
      <c r="AB31" s="61">
        <v>15</v>
      </c>
      <c r="AC31" s="78">
        <v>46</v>
      </c>
      <c r="AD31" s="79">
        <v>0.4299</v>
      </c>
      <c r="AE31" s="83">
        <v>27.5</v>
      </c>
      <c r="AF31" s="83">
        <v>27.5</v>
      </c>
      <c r="AG31" s="80">
        <v>27</v>
      </c>
      <c r="AH31" s="81">
        <v>27</v>
      </c>
      <c r="AI31" s="44"/>
      <c r="AJ31" s="129">
        <f t="shared" si="2"/>
        <v>30152.385499999844</v>
      </c>
      <c r="AK31" s="128">
        <f t="shared" si="3"/>
        <v>655.4866413043444</v>
      </c>
      <c r="AL31" s="74"/>
    </row>
    <row r="32" spans="1:256" ht="32.25" customHeight="1" thickBot="1" x14ac:dyDescent="0.25">
      <c r="A32" s="73"/>
      <c r="B32" s="91">
        <f t="shared" si="8"/>
        <v>44250</v>
      </c>
      <c r="C32" s="92"/>
      <c r="D32" s="147">
        <f>'Suivi EAU-ELEC'!C38</f>
        <v>303</v>
      </c>
      <c r="E32" s="95"/>
      <c r="F32" s="211">
        <f t="shared" si="0"/>
        <v>3839.0099999999998</v>
      </c>
      <c r="G32" s="212"/>
      <c r="H32" s="213"/>
      <c r="I32" s="141"/>
      <c r="J32" s="93">
        <f>'Suivi EAU-ELEC'!E38</f>
        <v>3174</v>
      </c>
      <c r="K32" s="94">
        <f>'Suivi EAU-ELEC'!G38</f>
        <v>3842</v>
      </c>
      <c r="L32" s="94">
        <f>'Suivi EAU-ELEC'!I38</f>
        <v>2069</v>
      </c>
      <c r="M32" s="82">
        <f t="shared" si="4"/>
        <v>9085</v>
      </c>
      <c r="N32" s="58"/>
      <c r="O32" s="59">
        <f t="shared" si="5"/>
        <v>8994.15</v>
      </c>
      <c r="P32" s="57"/>
      <c r="Q32" s="55"/>
      <c r="R32" s="56"/>
      <c r="S32" s="55"/>
      <c r="T32" s="95"/>
      <c r="U32" s="60">
        <f>'Suivi Gaz'!O33</f>
        <v>296.8</v>
      </c>
      <c r="V32" s="58"/>
      <c r="W32" s="59">
        <f t="shared" si="6"/>
        <v>2744.5095999999999</v>
      </c>
      <c r="X32" s="65">
        <v>19012.88</v>
      </c>
      <c r="Y32" s="148">
        <f t="shared" si="1"/>
        <v>15.950000000000728</v>
      </c>
      <c r="Z32" s="64">
        <f t="shared" si="7"/>
        <v>8453.5000000003856</v>
      </c>
      <c r="AA32" s="58"/>
      <c r="AB32" s="61">
        <v>16</v>
      </c>
      <c r="AC32" s="78">
        <v>46</v>
      </c>
      <c r="AD32" s="79">
        <v>0.40710000000000002</v>
      </c>
      <c r="AE32" s="83">
        <v>27</v>
      </c>
      <c r="AF32" s="83">
        <v>27.3</v>
      </c>
      <c r="AG32" s="80">
        <v>28</v>
      </c>
      <c r="AH32" s="81">
        <v>27.5</v>
      </c>
      <c r="AI32" s="44"/>
      <c r="AJ32" s="129">
        <f t="shared" si="2"/>
        <v>24031.169600000387</v>
      </c>
      <c r="AK32" s="128">
        <f t="shared" si="3"/>
        <v>522.41673043479102</v>
      </c>
      <c r="AL32" s="74"/>
    </row>
    <row r="33" spans="1:38" ht="32.25" customHeight="1" thickBot="1" x14ac:dyDescent="0.25">
      <c r="A33" s="73"/>
      <c r="B33" s="91">
        <f t="shared" si="8"/>
        <v>44251</v>
      </c>
      <c r="C33" s="92"/>
      <c r="D33" s="147">
        <f>'Suivi EAU-ELEC'!C39</f>
        <v>0</v>
      </c>
      <c r="E33" s="95"/>
      <c r="F33" s="211">
        <f t="shared" si="0"/>
        <v>0</v>
      </c>
      <c r="G33" s="212"/>
      <c r="H33" s="213"/>
      <c r="I33" s="142"/>
      <c r="J33" s="93">
        <f>'Suivi EAU-ELEC'!E39</f>
        <v>0</v>
      </c>
      <c r="K33" s="94">
        <f>'Suivi EAU-ELEC'!G39</f>
        <v>0</v>
      </c>
      <c r="L33" s="94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5"/>
      <c r="U33" s="60">
        <f>'Suivi Gaz'!O34</f>
        <v>0</v>
      </c>
      <c r="V33" s="58"/>
      <c r="W33" s="59">
        <f t="shared" si="6"/>
        <v>0</v>
      </c>
      <c r="X33" s="65">
        <v>19028.830000000002</v>
      </c>
      <c r="Y33" s="148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29">
        <f t="shared" si="2"/>
        <v>0</v>
      </c>
      <c r="AK33" s="128" t="e">
        <f t="shared" si="3"/>
        <v>#DIV/0!</v>
      </c>
      <c r="AL33" s="74"/>
    </row>
    <row r="34" spans="1:38" ht="32.25" customHeight="1" thickBot="1" x14ac:dyDescent="0.25">
      <c r="A34" s="98"/>
      <c r="B34" s="91">
        <f t="shared" si="8"/>
        <v>44252</v>
      </c>
      <c r="C34" s="92"/>
      <c r="D34" s="147">
        <f>'Suivi EAU-ELEC'!C40</f>
        <v>0</v>
      </c>
      <c r="E34" s="95"/>
      <c r="F34" s="211">
        <f t="shared" si="0"/>
        <v>0</v>
      </c>
      <c r="G34" s="212"/>
      <c r="H34" s="213"/>
      <c r="I34" s="142"/>
      <c r="J34" s="93">
        <f>'Suivi EAU-ELEC'!E40</f>
        <v>0</v>
      </c>
      <c r="K34" s="94">
        <f>'Suivi EAU-ELEC'!G40</f>
        <v>0</v>
      </c>
      <c r="L34" s="94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5"/>
      <c r="U34" s="60">
        <f>'Suivi Gaz'!O35</f>
        <v>0</v>
      </c>
      <c r="V34" s="58"/>
      <c r="W34" s="59">
        <f t="shared" si="6"/>
        <v>0</v>
      </c>
      <c r="X34" s="65"/>
      <c r="Y34" s="148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29">
        <f t="shared" si="2"/>
        <v>0</v>
      </c>
      <c r="AK34" s="128" t="e">
        <f t="shared" si="3"/>
        <v>#DIV/0!</v>
      </c>
      <c r="AL34" s="74"/>
    </row>
    <row r="35" spans="1:38" ht="32.25" customHeight="1" thickBot="1" x14ac:dyDescent="0.25">
      <c r="A35" s="73"/>
      <c r="B35" s="91">
        <f t="shared" si="8"/>
        <v>44253</v>
      </c>
      <c r="C35" s="92"/>
      <c r="D35" s="147">
        <f>'Suivi EAU-ELEC'!C41</f>
        <v>0</v>
      </c>
      <c r="E35" s="95"/>
      <c r="F35" s="214">
        <f t="shared" si="0"/>
        <v>0</v>
      </c>
      <c r="G35" s="215"/>
      <c r="H35" s="216"/>
      <c r="I35" s="142"/>
      <c r="J35" s="93">
        <f>'Suivi EAU-ELEC'!E41</f>
        <v>0</v>
      </c>
      <c r="K35" s="94">
        <f>'Suivi EAU-ELEC'!G41</f>
        <v>0</v>
      </c>
      <c r="L35" s="94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5"/>
      <c r="U35" s="60">
        <f>'Suivi Gaz'!O36</f>
        <v>0</v>
      </c>
      <c r="V35" s="58"/>
      <c r="W35" s="59">
        <f t="shared" si="6"/>
        <v>0</v>
      </c>
      <c r="X35" s="65"/>
      <c r="Y35" s="148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29">
        <f t="shared" si="2"/>
        <v>0</v>
      </c>
      <c r="AK35" s="128" t="e">
        <f t="shared" si="3"/>
        <v>#DIV/0!</v>
      </c>
      <c r="AL35" s="74"/>
    </row>
    <row r="36" spans="1:38" ht="32.25" customHeight="1" thickBot="1" x14ac:dyDescent="0.25">
      <c r="A36" s="73"/>
      <c r="B36" s="91">
        <f t="shared" si="8"/>
        <v>44254</v>
      </c>
      <c r="C36" s="92"/>
      <c r="D36" s="147">
        <f>'Suivi EAU-ELEC'!C42</f>
        <v>0</v>
      </c>
      <c r="E36" s="95"/>
      <c r="F36" s="221">
        <f t="shared" si="0"/>
        <v>0</v>
      </c>
      <c r="G36" s="222"/>
      <c r="H36" s="223"/>
      <c r="I36" s="142"/>
      <c r="J36" s="93">
        <f>'Suivi EAU-ELEC'!E42</f>
        <v>0</v>
      </c>
      <c r="K36" s="94">
        <f>'Suivi EAU-ELEC'!G42</f>
        <v>0</v>
      </c>
      <c r="L36" s="94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5"/>
      <c r="U36" s="60">
        <f>'Suivi Gaz'!O37</f>
        <v>0</v>
      </c>
      <c r="V36" s="58"/>
      <c r="W36" s="59">
        <f t="shared" si="6"/>
        <v>0</v>
      </c>
      <c r="X36" s="65"/>
      <c r="Y36" s="148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29">
        <f t="shared" si="2"/>
        <v>0</v>
      </c>
      <c r="AK36" s="128" t="e">
        <f t="shared" si="3"/>
        <v>#DIV/0!</v>
      </c>
      <c r="AL36" s="74"/>
    </row>
    <row r="37" spans="1:38" ht="32.25" customHeight="1" thickBot="1" x14ac:dyDescent="0.25">
      <c r="A37" s="73"/>
      <c r="B37" s="91">
        <f t="shared" si="8"/>
        <v>44255</v>
      </c>
      <c r="C37" s="92"/>
      <c r="D37" s="147">
        <f>'Suivi EAU-ELEC'!C43</f>
        <v>0</v>
      </c>
      <c r="E37" s="95"/>
      <c r="F37" s="224">
        <f t="shared" si="0"/>
        <v>0</v>
      </c>
      <c r="G37" s="225"/>
      <c r="H37" s="226"/>
      <c r="I37" s="142"/>
      <c r="J37" s="93">
        <f>'Suivi EAU-ELEC'!E43</f>
        <v>0</v>
      </c>
      <c r="K37" s="94">
        <f>'Suivi EAU-ELEC'!G43</f>
        <v>0</v>
      </c>
      <c r="L37" s="94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5"/>
      <c r="U37" s="60">
        <f>'Suivi Gaz'!O38</f>
        <v>0</v>
      </c>
      <c r="V37" s="58"/>
      <c r="W37" s="59">
        <f t="shared" si="6"/>
        <v>0</v>
      </c>
      <c r="X37" s="65"/>
      <c r="Y37" s="148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29">
        <f t="shared" si="2"/>
        <v>0</v>
      </c>
      <c r="AK37" s="128" t="e">
        <f t="shared" si="3"/>
        <v>#DIV/0!</v>
      </c>
      <c r="AL37" s="74"/>
    </row>
    <row r="38" spans="1:38" ht="32.25" customHeight="1" thickBot="1" x14ac:dyDescent="0.25">
      <c r="A38" s="73"/>
      <c r="B38" s="91">
        <f t="shared" si="8"/>
        <v>44256</v>
      </c>
      <c r="C38" s="92"/>
      <c r="D38" s="147">
        <f>'Suivi EAU-ELEC'!C44</f>
        <v>0</v>
      </c>
      <c r="E38" s="95"/>
      <c r="F38" s="208">
        <f t="shared" si="0"/>
        <v>0</v>
      </c>
      <c r="G38" s="209"/>
      <c r="H38" s="210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6"/>
        <v>0</v>
      </c>
      <c r="X38" s="65"/>
      <c r="Y38" s="148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8"/>
        <v>44257</v>
      </c>
      <c r="C39" s="92"/>
      <c r="D39" s="147">
        <f>'Suivi EAU-ELEC'!C45</f>
        <v>0</v>
      </c>
      <c r="E39" s="95"/>
      <c r="F39" s="211">
        <f t="shared" si="0"/>
        <v>0</v>
      </c>
      <c r="G39" s="212"/>
      <c r="H39" s="213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6"/>
        <v>0</v>
      </c>
      <c r="X39" s="65"/>
      <c r="Y39" s="148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8"/>
        <v>44258</v>
      </c>
      <c r="C40" s="92"/>
      <c r="D40" s="147">
        <f>'Suivi EAU-ELEC'!C46</f>
        <v>0</v>
      </c>
      <c r="E40" s="149"/>
      <c r="F40" s="214">
        <f t="shared" si="0"/>
        <v>0</v>
      </c>
      <c r="G40" s="215"/>
      <c r="H40" s="216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6"/>
        <v>0</v>
      </c>
      <c r="X40" s="65"/>
      <c r="Y40" s="148">
        <f t="shared" si="1"/>
        <v>0</v>
      </c>
      <c r="Z40" s="64">
        <f t="shared" si="7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6640</v>
      </c>
      <c r="E41" s="101"/>
      <c r="F41" s="217">
        <f>SUM(F10:H37)</f>
        <v>84128.8</v>
      </c>
      <c r="G41" s="218"/>
      <c r="H41" s="219"/>
      <c r="I41" s="101"/>
      <c r="J41" s="103">
        <f>SUM(J10:J37)</f>
        <v>77627</v>
      </c>
      <c r="K41" s="103">
        <f>SUM(K10:K37)</f>
        <v>117400</v>
      </c>
      <c r="L41" s="103">
        <f>SUM(L10:L37)</f>
        <v>51544</v>
      </c>
      <c r="M41" s="103">
        <f>SUM(M10:M37)</f>
        <v>246571</v>
      </c>
      <c r="N41" s="102"/>
      <c r="O41" s="103">
        <f>SUM(O10:O37)</f>
        <v>244105.28999999998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8681.4</v>
      </c>
      <c r="V41" s="58"/>
      <c r="W41" s="103">
        <f>SUM(W10:W37)</f>
        <v>80276.905799999993</v>
      </c>
      <c r="X41" s="139"/>
      <c r="Y41" s="103">
        <f>SUM(Y10:Y37)</f>
        <v>350.44000000000233</v>
      </c>
      <c r="Z41" s="103">
        <f>SUM(Z10:Z37)</f>
        <v>185733.20000000126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594244.19580000127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20"/>
      <c r="G42" s="220"/>
      <c r="H42" s="220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185" t="s">
        <v>9</v>
      </c>
      <c r="B43" s="186"/>
      <c r="C43" s="187"/>
      <c r="D43" s="109" t="s">
        <v>6</v>
      </c>
      <c r="E43" s="110"/>
      <c r="F43" s="111">
        <v>0.64895000000000003</v>
      </c>
      <c r="G43" s="191">
        <f>J41</f>
        <v>77627</v>
      </c>
      <c r="H43" s="192"/>
      <c r="I43" s="193"/>
      <c r="J43" s="194">
        <f>G43*F43</f>
        <v>50376.041649999999</v>
      </c>
      <c r="K43" s="195"/>
      <c r="L43" s="196">
        <f>J43+J44+J45</f>
        <v>218407.71260999999</v>
      </c>
      <c r="M43" s="197"/>
      <c r="N43" s="197"/>
      <c r="O43" s="197"/>
      <c r="P43" s="197"/>
      <c r="Q43" s="197"/>
      <c r="R43" s="197"/>
      <c r="S43" s="197"/>
      <c r="T43" s="197"/>
      <c r="U43" s="198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188"/>
      <c r="B44" s="189"/>
      <c r="C44" s="190"/>
      <c r="D44" s="112" t="s">
        <v>7</v>
      </c>
      <c r="E44" s="110"/>
      <c r="F44" s="116">
        <v>0.88605</v>
      </c>
      <c r="G44" s="191">
        <f>K41</f>
        <v>117400</v>
      </c>
      <c r="H44" s="192"/>
      <c r="I44" s="193"/>
      <c r="J44" s="194">
        <f>G44*F44</f>
        <v>104022.27</v>
      </c>
      <c r="K44" s="195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188"/>
      <c r="B45" s="189"/>
      <c r="C45" s="190"/>
      <c r="D45" s="117" t="s">
        <v>8</v>
      </c>
      <c r="E45" s="118"/>
      <c r="F45" s="119">
        <v>1.2418400000000001</v>
      </c>
      <c r="G45" s="205">
        <f>L41</f>
        <v>51544</v>
      </c>
      <c r="H45" s="206"/>
      <c r="I45" s="207"/>
      <c r="J45" s="194">
        <f>G45*F45</f>
        <v>64009.400960000006</v>
      </c>
      <c r="K45" s="195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168" t="s">
        <v>10</v>
      </c>
      <c r="B46" s="169"/>
      <c r="C46" s="169"/>
      <c r="D46" s="170"/>
      <c r="E46" s="110"/>
      <c r="F46" s="120">
        <v>12.67</v>
      </c>
      <c r="G46" s="168">
        <f>D41</f>
        <v>6640</v>
      </c>
      <c r="H46" s="169"/>
      <c r="I46" s="170"/>
      <c r="J46" s="171">
        <f>G46*F46</f>
        <v>84128.8</v>
      </c>
      <c r="K46" s="172"/>
      <c r="L46" s="173">
        <f>J46</f>
        <v>84128.8</v>
      </c>
      <c r="M46" s="174"/>
      <c r="N46" s="174"/>
      <c r="O46" s="174"/>
      <c r="P46" s="174"/>
      <c r="Q46" s="174"/>
      <c r="R46" s="174"/>
      <c r="S46" s="174"/>
      <c r="T46" s="174"/>
      <c r="U46" s="175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176" t="s">
        <v>12</v>
      </c>
      <c r="B47" s="177"/>
      <c r="C47" s="177"/>
      <c r="D47" s="178"/>
      <c r="E47" s="110"/>
      <c r="F47" s="121">
        <v>9.2469999999999999</v>
      </c>
      <c r="G47" s="179">
        <f>U41</f>
        <v>8681.4</v>
      </c>
      <c r="H47" s="180"/>
      <c r="I47" s="181"/>
      <c r="J47" s="179">
        <f>G47*F47</f>
        <v>80276.905799999993</v>
      </c>
      <c r="K47" s="181"/>
      <c r="L47" s="182">
        <f>J47</f>
        <v>80276.905799999993</v>
      </c>
      <c r="M47" s="183"/>
      <c r="N47" s="183"/>
      <c r="O47" s="183"/>
      <c r="P47" s="183"/>
      <c r="Q47" s="183"/>
      <c r="R47" s="183"/>
      <c r="S47" s="183"/>
      <c r="T47" s="183"/>
      <c r="U47" s="184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3" activePane="bottomRight" state="frozen"/>
      <selection pane="topRight" activeCell="B1" sqref="B1"/>
      <selection pane="bottomLeft" activeCell="A4" sqref="A4"/>
      <selection pane="bottomRight" activeCell="B35" sqref="B35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82"/>
      <c r="B1" s="282"/>
      <c r="C1" s="283"/>
      <c r="D1" s="284" t="s">
        <v>57</v>
      </c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6"/>
      <c r="AA1" s="287"/>
      <c r="AB1" s="288"/>
      <c r="AC1" s="288"/>
    </row>
    <row r="2" spans="1:31" ht="41.25" customHeight="1" thickBot="1" x14ac:dyDescent="0.4">
      <c r="A2" s="48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2"/>
      <c r="Q2" s="289">
        <v>803</v>
      </c>
      <c r="R2" s="290"/>
      <c r="S2" s="290"/>
      <c r="T2" s="290">
        <v>519</v>
      </c>
      <c r="U2" s="290"/>
      <c r="V2" s="290"/>
      <c r="W2" s="290">
        <v>800</v>
      </c>
      <c r="X2" s="290"/>
      <c r="Y2" s="290"/>
      <c r="Z2" s="290">
        <v>802</v>
      </c>
      <c r="AA2" s="290"/>
      <c r="AB2" s="29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34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2" si="3">IF(AC4&gt;0,((H4-AA4)+(AB4-H5)),IF(H5=0, ,(H4-H5)))</f>
        <v>3</v>
      </c>
      <c r="J4" s="18">
        <f t="shared" ref="J4:J13" si="4">B4+D4+F4+H4</f>
        <v>249</v>
      </c>
      <c r="K4" s="18">
        <f t="shared" ref="K4:K13" si="5">J4/4</f>
        <v>62.25</v>
      </c>
      <c r="L4" s="18">
        <f t="shared" ref="L4:L13" si="6">IF(AC4&gt;0,((K4-AD4)+(AE4-K5)),IF(K5=0, ,(K4-K5)))</f>
        <v>1.75</v>
      </c>
      <c r="M4" s="18">
        <f t="shared" ref="M4:M42" si="7">7000*4</f>
        <v>28000</v>
      </c>
      <c r="N4" s="18">
        <f t="shared" ref="N4:N13" si="8">L4*M4/100</f>
        <v>490</v>
      </c>
      <c r="O4" s="18">
        <f t="shared" ref="O4:O13" si="9">N4*0.53</f>
        <v>259.7</v>
      </c>
      <c r="P4" s="21">
        <f t="shared" ref="P4:P10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>O11*9.247</f>
        <v>3773.7007000000003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2</v>
      </c>
      <c r="F12" s="20">
        <v>68</v>
      </c>
      <c r="G12" s="18">
        <f t="shared" si="2"/>
        <v>1</v>
      </c>
      <c r="H12" s="20">
        <v>70</v>
      </c>
      <c r="I12" s="18">
        <f t="shared" si="3"/>
        <v>0</v>
      </c>
      <c r="J12" s="18">
        <f t="shared" si="4"/>
        <v>280</v>
      </c>
      <c r="K12" s="18">
        <f t="shared" si="5"/>
        <v>70</v>
      </c>
      <c r="L12" s="18">
        <f t="shared" si="6"/>
        <v>0.75</v>
      </c>
      <c r="M12" s="18">
        <f t="shared" si="7"/>
        <v>28000</v>
      </c>
      <c r="N12" s="18">
        <f t="shared" si="8"/>
        <v>210</v>
      </c>
      <c r="O12" s="18">
        <f t="shared" si="9"/>
        <v>111.30000000000001</v>
      </c>
      <c r="P12" s="21">
        <f t="shared" ref="P12:P43" si="16">O12*9.247</f>
        <v>1029.1911</v>
      </c>
      <c r="Q12" s="18">
        <v>1474</v>
      </c>
      <c r="R12" s="18">
        <v>70</v>
      </c>
      <c r="S12" s="18">
        <v>85</v>
      </c>
      <c r="T12" s="18">
        <v>1377</v>
      </c>
      <c r="U12" s="18">
        <v>70</v>
      </c>
      <c r="V12" s="18">
        <v>85</v>
      </c>
      <c r="W12" s="18">
        <v>1561</v>
      </c>
      <c r="X12" s="18">
        <v>68</v>
      </c>
      <c r="Y12" s="18">
        <v>85</v>
      </c>
      <c r="Z12" s="18">
        <v>1522</v>
      </c>
      <c r="AA12" s="18">
        <v>70</v>
      </c>
      <c r="AB12" s="18">
        <v>85</v>
      </c>
      <c r="AC12" s="18">
        <f t="shared" si="13"/>
        <v>5934</v>
      </c>
      <c r="AD12" s="49">
        <f t="shared" si="15"/>
        <v>69.5</v>
      </c>
      <c r="AE12" s="49">
        <f t="shared" si="15"/>
        <v>85</v>
      </c>
    </row>
    <row r="13" spans="1:31" ht="32.25" customHeight="1" x14ac:dyDescent="0.3">
      <c r="A13" s="19">
        <f t="shared" si="14"/>
        <v>44230</v>
      </c>
      <c r="B13" s="20">
        <v>85</v>
      </c>
      <c r="C13" s="18">
        <v>0</v>
      </c>
      <c r="D13" s="20">
        <v>85</v>
      </c>
      <c r="E13" s="18">
        <f t="shared" si="1"/>
        <v>1</v>
      </c>
      <c r="F13" s="20">
        <v>84</v>
      </c>
      <c r="G13" s="18">
        <v>0</v>
      </c>
      <c r="H13" s="20">
        <v>85</v>
      </c>
      <c r="I13" s="18">
        <v>0</v>
      </c>
      <c r="J13" s="18">
        <f t="shared" si="4"/>
        <v>339</v>
      </c>
      <c r="K13" s="18">
        <f t="shared" si="5"/>
        <v>84.75</v>
      </c>
      <c r="L13" s="18">
        <f t="shared" si="6"/>
        <v>0.75</v>
      </c>
      <c r="M13" s="18">
        <f t="shared" si="7"/>
        <v>28000</v>
      </c>
      <c r="N13" s="18">
        <f t="shared" si="8"/>
        <v>210</v>
      </c>
      <c r="O13" s="18">
        <f t="shared" si="9"/>
        <v>111.30000000000001</v>
      </c>
      <c r="P13" s="21">
        <f t="shared" si="16"/>
        <v>1029.1911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>
        <v>85</v>
      </c>
      <c r="C14" s="18">
        <f t="shared" ref="C14:C34" si="17">IF(AC14&gt;0,((B14-R14)+(S14-B15)),IF(B15=0, ,(B14-B15)))</f>
        <v>2</v>
      </c>
      <c r="D14" s="20">
        <v>84</v>
      </c>
      <c r="E14" s="18">
        <f t="shared" si="1"/>
        <v>0</v>
      </c>
      <c r="F14" s="20">
        <v>83</v>
      </c>
      <c r="G14" s="18">
        <f t="shared" ref="G14:G34" si="18">IF(AC14&gt;0,((F14-X14)+(Y14-F15)),IF(F15=0, ,(F14-F15)))</f>
        <v>3</v>
      </c>
      <c r="H14" s="20">
        <v>84</v>
      </c>
      <c r="I14" s="18">
        <f t="shared" ref="I14" si="19">IF(AC14&gt;0,((H14-AA14)+(AB14-H15)),IF(H15=0, ,(H14-H15)))</f>
        <v>4</v>
      </c>
      <c r="J14" s="18">
        <f t="shared" ref="J14" si="20">B14+D14+F14+H14</f>
        <v>336</v>
      </c>
      <c r="K14" s="18">
        <f t="shared" ref="K14" si="21">J14/4</f>
        <v>84</v>
      </c>
      <c r="L14" s="18">
        <f t="shared" ref="L14" si="22">IF(AC14&gt;0,((K14-AD14)+(AE14-K15)),IF(K15=0, ,(K14-K15)))</f>
        <v>2.25</v>
      </c>
      <c r="M14" s="18">
        <f t="shared" si="7"/>
        <v>28000</v>
      </c>
      <c r="N14" s="18">
        <f t="shared" ref="N14" si="23">L14*M14/100</f>
        <v>630</v>
      </c>
      <c r="O14" s="18">
        <f t="shared" ref="O14" si="24">N14*0.53</f>
        <v>333.90000000000003</v>
      </c>
      <c r="P14" s="21">
        <f t="shared" si="16"/>
        <v>3087.5733000000005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4"/>
        <v>44232</v>
      </c>
      <c r="B15" s="20">
        <v>83</v>
      </c>
      <c r="C15" s="18">
        <v>0</v>
      </c>
      <c r="D15" s="20">
        <v>84</v>
      </c>
      <c r="E15" s="18">
        <v>0</v>
      </c>
      <c r="F15" s="20">
        <v>80</v>
      </c>
      <c r="G15" s="18">
        <v>0</v>
      </c>
      <c r="H15" s="20">
        <v>80</v>
      </c>
      <c r="I15" s="18">
        <f t="shared" ref="I15:I19" si="27">IF(AC15&gt;0,((H15-AA15)+(AB15-H16)),IF(H16=0, ,(H15-H16)))</f>
        <v>2</v>
      </c>
      <c r="J15" s="18">
        <f t="shared" ref="J15:J42" si="28">B15+D15+F15+H15</f>
        <v>327</v>
      </c>
      <c r="K15" s="18">
        <f t="shared" ref="K15:K42" si="29">J15/4</f>
        <v>81.75</v>
      </c>
      <c r="L15" s="18">
        <f t="shared" ref="L15:L19" si="30">IF(AC15&gt;0,((K15-AD15)+(AE15-K16)),IF(K16=0, ,(K15-K16)))</f>
        <v>2.25</v>
      </c>
      <c r="M15" s="18">
        <f t="shared" si="7"/>
        <v>28000</v>
      </c>
      <c r="N15" s="18">
        <f t="shared" ref="N15" si="31">L15*M15/100</f>
        <v>630</v>
      </c>
      <c r="O15" s="18">
        <f t="shared" ref="O15" si="32">N15*0.53</f>
        <v>333.90000000000003</v>
      </c>
      <c r="P15" s="21">
        <f t="shared" si="16"/>
        <v>3087.5733000000005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4"/>
        <v>44233</v>
      </c>
      <c r="B16" s="20">
        <v>80</v>
      </c>
      <c r="C16" s="18">
        <f t="shared" si="17"/>
        <v>3</v>
      </c>
      <c r="D16" s="20">
        <v>82</v>
      </c>
      <c r="E16" s="18">
        <f t="shared" si="1"/>
        <v>3</v>
      </c>
      <c r="F16" s="20">
        <v>78</v>
      </c>
      <c r="G16" s="18">
        <f t="shared" si="18"/>
        <v>5</v>
      </c>
      <c r="H16" s="20">
        <v>78</v>
      </c>
      <c r="I16" s="18">
        <f t="shared" si="27"/>
        <v>5</v>
      </c>
      <c r="J16" s="18">
        <f t="shared" si="28"/>
        <v>318</v>
      </c>
      <c r="K16" s="18">
        <f t="shared" si="29"/>
        <v>79.5</v>
      </c>
      <c r="L16" s="18">
        <f t="shared" si="30"/>
        <v>4</v>
      </c>
      <c r="M16" s="18">
        <f t="shared" si="7"/>
        <v>28000</v>
      </c>
      <c r="N16" s="18">
        <f t="shared" ref="N16:N42" si="33">L16*M16/100</f>
        <v>1120</v>
      </c>
      <c r="O16" s="18">
        <f t="shared" ref="O16:O42" si="34">N16*0.53</f>
        <v>593.6</v>
      </c>
      <c r="P16" s="21">
        <f t="shared" si="16"/>
        <v>5489.0191999999997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4"/>
        <v>44234</v>
      </c>
      <c r="B17" s="20">
        <v>77</v>
      </c>
      <c r="C17" s="18">
        <f t="shared" si="17"/>
        <v>5</v>
      </c>
      <c r="D17" s="20">
        <v>79</v>
      </c>
      <c r="E17" s="18">
        <f t="shared" si="1"/>
        <v>5</v>
      </c>
      <c r="F17" s="20">
        <v>73</v>
      </c>
      <c r="G17" s="18">
        <f t="shared" si="18"/>
        <v>3</v>
      </c>
      <c r="H17" s="20">
        <v>73</v>
      </c>
      <c r="I17" s="18">
        <f t="shared" si="27"/>
        <v>2</v>
      </c>
      <c r="J17" s="18">
        <f t="shared" si="28"/>
        <v>302</v>
      </c>
      <c r="K17" s="18">
        <f t="shared" si="29"/>
        <v>75.5</v>
      </c>
      <c r="L17" s="18">
        <f t="shared" si="30"/>
        <v>3.75</v>
      </c>
      <c r="M17" s="18">
        <f t="shared" si="7"/>
        <v>28000</v>
      </c>
      <c r="N17" s="18">
        <f t="shared" si="33"/>
        <v>1050</v>
      </c>
      <c r="O17" s="18">
        <f t="shared" si="34"/>
        <v>556.5</v>
      </c>
      <c r="P17" s="21">
        <f t="shared" si="16"/>
        <v>5145.9555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4"/>
        <v>44235</v>
      </c>
      <c r="B18" s="20">
        <v>72</v>
      </c>
      <c r="C18" s="18">
        <f t="shared" si="17"/>
        <v>0</v>
      </c>
      <c r="D18" s="20">
        <v>74</v>
      </c>
      <c r="E18" s="18">
        <f t="shared" si="1"/>
        <v>0</v>
      </c>
      <c r="F18" s="20">
        <v>70</v>
      </c>
      <c r="G18" s="18">
        <f t="shared" si="18"/>
        <v>3</v>
      </c>
      <c r="H18" s="20">
        <v>71</v>
      </c>
      <c r="I18" s="18">
        <f t="shared" si="27"/>
        <v>7</v>
      </c>
      <c r="J18" s="18">
        <f t="shared" si="28"/>
        <v>287</v>
      </c>
      <c r="K18" s="18">
        <f t="shared" si="29"/>
        <v>71.75</v>
      </c>
      <c r="L18" s="18">
        <f t="shared" si="30"/>
        <v>2.5</v>
      </c>
      <c r="M18" s="18">
        <f t="shared" si="7"/>
        <v>28000</v>
      </c>
      <c r="N18" s="18">
        <f t="shared" si="33"/>
        <v>700</v>
      </c>
      <c r="O18" s="18">
        <f t="shared" si="34"/>
        <v>371</v>
      </c>
      <c r="P18" s="21">
        <f t="shared" si="16"/>
        <v>3430.6370000000002</v>
      </c>
      <c r="Q18" s="18">
        <v>1018</v>
      </c>
      <c r="R18" s="18">
        <v>74</v>
      </c>
      <c r="S18" s="18">
        <v>85</v>
      </c>
      <c r="T18" s="18">
        <v>969</v>
      </c>
      <c r="U18" s="18">
        <v>75</v>
      </c>
      <c r="V18" s="18">
        <v>85</v>
      </c>
      <c r="W18" s="18">
        <v>1189</v>
      </c>
      <c r="X18" s="18">
        <v>68</v>
      </c>
      <c r="Y18" s="18">
        <v>85</v>
      </c>
      <c r="Z18" s="18">
        <v>1172</v>
      </c>
      <c r="AA18" s="18">
        <v>67</v>
      </c>
      <c r="AB18" s="18">
        <v>85</v>
      </c>
      <c r="AC18" s="18">
        <f t="shared" si="13"/>
        <v>4348</v>
      </c>
      <c r="AD18" s="49">
        <f t="shared" si="25"/>
        <v>71</v>
      </c>
      <c r="AE18" s="49">
        <f t="shared" si="26"/>
        <v>85</v>
      </c>
    </row>
    <row r="19" spans="1:31" ht="32.25" customHeight="1" x14ac:dyDescent="0.3">
      <c r="A19" s="19">
        <f t="shared" si="14"/>
        <v>44236</v>
      </c>
      <c r="B19" s="20">
        <v>83</v>
      </c>
      <c r="C19" s="18">
        <f t="shared" si="17"/>
        <v>2</v>
      </c>
      <c r="D19" s="20">
        <v>84</v>
      </c>
      <c r="E19" s="18">
        <f t="shared" si="1"/>
        <v>0</v>
      </c>
      <c r="F19" s="20">
        <v>84</v>
      </c>
      <c r="G19" s="18">
        <f t="shared" si="18"/>
        <v>4</v>
      </c>
      <c r="H19" s="20">
        <v>82</v>
      </c>
      <c r="I19" s="18">
        <f t="shared" si="27"/>
        <v>2</v>
      </c>
      <c r="J19" s="18">
        <f t="shared" si="28"/>
        <v>333</v>
      </c>
      <c r="K19" s="18">
        <f t="shared" si="29"/>
        <v>83.25</v>
      </c>
      <c r="L19" s="18">
        <f t="shared" si="30"/>
        <v>2</v>
      </c>
      <c r="M19" s="18">
        <f t="shared" si="7"/>
        <v>28000</v>
      </c>
      <c r="N19" s="18">
        <f t="shared" si="33"/>
        <v>560</v>
      </c>
      <c r="O19" s="18">
        <f t="shared" si="34"/>
        <v>296.8</v>
      </c>
      <c r="P19" s="21">
        <f t="shared" si="16"/>
        <v>2744.5095999999999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4"/>
        <v>44237</v>
      </c>
      <c r="B20" s="20">
        <v>81</v>
      </c>
      <c r="C20" s="18">
        <f t="shared" si="17"/>
        <v>1</v>
      </c>
      <c r="D20" s="20">
        <v>84</v>
      </c>
      <c r="E20" s="18">
        <f t="shared" si="1"/>
        <v>3</v>
      </c>
      <c r="F20" s="20">
        <v>80</v>
      </c>
      <c r="G20" s="18">
        <f t="shared" si="18"/>
        <v>2</v>
      </c>
      <c r="H20" s="20">
        <v>80</v>
      </c>
      <c r="I20" s="18">
        <f t="shared" ref="I20:I42" si="35">IF(AC20&gt;0,((H20-AA20)+(AB20-H21)),IF(H21=0, ,(H20-H21)))</f>
        <v>0</v>
      </c>
      <c r="J20" s="18">
        <f t="shared" si="28"/>
        <v>325</v>
      </c>
      <c r="K20" s="18">
        <f t="shared" si="29"/>
        <v>81.25</v>
      </c>
      <c r="L20" s="18">
        <f t="shared" ref="L20:L42" si="36">IF(AC20&gt;0,((K20-AD20)+(AE20-K21)),IF(K21=0, ,(K20-K21)))</f>
        <v>1.5</v>
      </c>
      <c r="M20" s="18">
        <f t="shared" si="7"/>
        <v>28000</v>
      </c>
      <c r="N20" s="18">
        <f t="shared" si="33"/>
        <v>420</v>
      </c>
      <c r="O20" s="18">
        <f t="shared" si="34"/>
        <v>222.60000000000002</v>
      </c>
      <c r="P20" s="21">
        <f t="shared" si="16"/>
        <v>2058.3822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4"/>
        <v>44238</v>
      </c>
      <c r="B21" s="20">
        <v>80</v>
      </c>
      <c r="C21" s="18">
        <f t="shared" si="17"/>
        <v>2</v>
      </c>
      <c r="D21" s="20">
        <v>81</v>
      </c>
      <c r="E21" s="18">
        <f t="shared" si="1"/>
        <v>1</v>
      </c>
      <c r="F21" s="20">
        <v>78</v>
      </c>
      <c r="G21" s="18">
        <f t="shared" si="18"/>
        <v>3</v>
      </c>
      <c r="H21" s="20">
        <v>80</v>
      </c>
      <c r="I21" s="18">
        <f t="shared" si="35"/>
        <v>5</v>
      </c>
      <c r="J21" s="18">
        <f t="shared" si="28"/>
        <v>319</v>
      </c>
      <c r="K21" s="18">
        <f t="shared" si="29"/>
        <v>79.75</v>
      </c>
      <c r="L21" s="18">
        <f t="shared" si="36"/>
        <v>2.75</v>
      </c>
      <c r="M21" s="18">
        <f t="shared" si="7"/>
        <v>28000</v>
      </c>
      <c r="N21" s="18">
        <f t="shared" si="33"/>
        <v>770</v>
      </c>
      <c r="O21" s="18">
        <f t="shared" si="34"/>
        <v>408.1</v>
      </c>
      <c r="P21" s="21">
        <f t="shared" si="16"/>
        <v>3773.7007000000003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4"/>
        <v>44239</v>
      </c>
      <c r="B22" s="20">
        <v>78</v>
      </c>
      <c r="C22" s="18">
        <v>0</v>
      </c>
      <c r="D22" s="20">
        <v>80</v>
      </c>
      <c r="E22" s="18">
        <v>0</v>
      </c>
      <c r="F22" s="20">
        <v>75</v>
      </c>
      <c r="G22" s="18">
        <v>0</v>
      </c>
      <c r="H22" s="20">
        <v>75</v>
      </c>
      <c r="I22" s="18">
        <f t="shared" si="35"/>
        <v>0</v>
      </c>
      <c r="J22" s="18">
        <f t="shared" si="28"/>
        <v>308</v>
      </c>
      <c r="K22" s="18">
        <f t="shared" si="29"/>
        <v>77</v>
      </c>
      <c r="L22" s="18">
        <f t="shared" si="36"/>
        <v>2</v>
      </c>
      <c r="M22" s="18">
        <f t="shared" si="7"/>
        <v>28000</v>
      </c>
      <c r="N22" s="18">
        <f t="shared" si="33"/>
        <v>560</v>
      </c>
      <c r="O22" s="18">
        <f t="shared" si="34"/>
        <v>296.8</v>
      </c>
      <c r="P22" s="21">
        <f t="shared" si="16"/>
        <v>2744.5095999999999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4"/>
        <v>44240</v>
      </c>
      <c r="B23" s="20">
        <v>74</v>
      </c>
      <c r="C23" s="18">
        <f t="shared" si="17"/>
        <v>3</v>
      </c>
      <c r="D23" s="20">
        <v>78</v>
      </c>
      <c r="E23" s="18">
        <f t="shared" si="1"/>
        <v>5</v>
      </c>
      <c r="F23" s="20">
        <v>73</v>
      </c>
      <c r="G23" s="18">
        <f t="shared" si="18"/>
        <v>3</v>
      </c>
      <c r="H23" s="20">
        <v>75</v>
      </c>
      <c r="I23" s="18">
        <f t="shared" si="35"/>
        <v>4</v>
      </c>
      <c r="J23" s="18">
        <f t="shared" si="28"/>
        <v>300</v>
      </c>
      <c r="K23" s="18">
        <f t="shared" si="29"/>
        <v>75</v>
      </c>
      <c r="L23" s="18">
        <f t="shared" si="36"/>
        <v>3.75</v>
      </c>
      <c r="M23" s="18">
        <f t="shared" si="7"/>
        <v>28000</v>
      </c>
      <c r="N23" s="18">
        <f t="shared" si="33"/>
        <v>1050</v>
      </c>
      <c r="O23" s="18">
        <f t="shared" si="34"/>
        <v>556.5</v>
      </c>
      <c r="P23" s="21">
        <f t="shared" si="16"/>
        <v>5145.9555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4"/>
        <v>44241</v>
      </c>
      <c r="B24" s="20">
        <v>71</v>
      </c>
      <c r="C24" s="18">
        <f t="shared" si="17"/>
        <v>0</v>
      </c>
      <c r="D24" s="20">
        <v>73</v>
      </c>
      <c r="E24" s="18">
        <f t="shared" si="1"/>
        <v>1</v>
      </c>
      <c r="F24" s="20">
        <v>70</v>
      </c>
      <c r="G24" s="18">
        <f t="shared" si="18"/>
        <v>2</v>
      </c>
      <c r="H24" s="20">
        <v>71</v>
      </c>
      <c r="I24" s="18">
        <f t="shared" si="35"/>
        <v>1</v>
      </c>
      <c r="J24" s="18">
        <f t="shared" si="28"/>
        <v>285</v>
      </c>
      <c r="K24" s="18">
        <f t="shared" si="29"/>
        <v>71.25</v>
      </c>
      <c r="L24" s="18">
        <f t="shared" si="36"/>
        <v>1</v>
      </c>
      <c r="M24" s="18">
        <f t="shared" si="7"/>
        <v>28000</v>
      </c>
      <c r="N24" s="18">
        <f t="shared" si="33"/>
        <v>280</v>
      </c>
      <c r="O24" s="18">
        <f t="shared" si="34"/>
        <v>148.4</v>
      </c>
      <c r="P24" s="21">
        <f t="shared" si="16"/>
        <v>1372.2547999999999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4"/>
        <v>44242</v>
      </c>
      <c r="B25" s="20">
        <v>71</v>
      </c>
      <c r="C25" s="18">
        <f t="shared" si="17"/>
        <v>2</v>
      </c>
      <c r="D25" s="20">
        <v>72</v>
      </c>
      <c r="E25" s="18">
        <f t="shared" si="1"/>
        <v>2</v>
      </c>
      <c r="F25" s="20">
        <v>68</v>
      </c>
      <c r="G25" s="18">
        <f t="shared" si="18"/>
        <v>3</v>
      </c>
      <c r="H25" s="20">
        <v>70</v>
      </c>
      <c r="I25" s="18">
        <f t="shared" si="35"/>
        <v>2</v>
      </c>
      <c r="J25" s="18">
        <f t="shared" si="28"/>
        <v>281</v>
      </c>
      <c r="K25" s="18">
        <f t="shared" si="29"/>
        <v>70.25</v>
      </c>
      <c r="L25" s="18">
        <f t="shared" si="36"/>
        <v>2.25</v>
      </c>
      <c r="M25" s="18">
        <f t="shared" si="7"/>
        <v>28000</v>
      </c>
      <c r="N25" s="18">
        <f t="shared" si="33"/>
        <v>630</v>
      </c>
      <c r="O25" s="18">
        <f t="shared" si="34"/>
        <v>333.90000000000003</v>
      </c>
      <c r="P25" s="21">
        <f t="shared" si="16"/>
        <v>3087.5733000000005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4"/>
        <v>44243</v>
      </c>
      <c r="B26" s="20">
        <v>69</v>
      </c>
      <c r="C26" s="18">
        <f t="shared" si="17"/>
        <v>4</v>
      </c>
      <c r="D26" s="20">
        <v>70</v>
      </c>
      <c r="E26" s="18">
        <f t="shared" si="1"/>
        <v>2</v>
      </c>
      <c r="F26" s="20">
        <v>65</v>
      </c>
      <c r="G26" s="18">
        <f t="shared" si="18"/>
        <v>3</v>
      </c>
      <c r="H26" s="20">
        <v>68</v>
      </c>
      <c r="I26" s="18">
        <f t="shared" si="35"/>
        <v>3</v>
      </c>
      <c r="J26" s="18">
        <f t="shared" si="28"/>
        <v>272</v>
      </c>
      <c r="K26" s="18">
        <f t="shared" si="29"/>
        <v>68</v>
      </c>
      <c r="L26" s="18">
        <f t="shared" si="36"/>
        <v>3</v>
      </c>
      <c r="M26" s="18">
        <f t="shared" si="7"/>
        <v>28000</v>
      </c>
      <c r="N26" s="18">
        <f t="shared" si="33"/>
        <v>840</v>
      </c>
      <c r="O26" s="18">
        <f t="shared" si="34"/>
        <v>445.20000000000005</v>
      </c>
      <c r="P26" s="21">
        <f t="shared" si="16"/>
        <v>4116.7644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4"/>
        <v>44244</v>
      </c>
      <c r="B27" s="20">
        <v>65</v>
      </c>
      <c r="C27" s="18">
        <f t="shared" si="17"/>
        <v>5</v>
      </c>
      <c r="D27" s="20">
        <v>68</v>
      </c>
      <c r="E27" s="18">
        <f t="shared" si="1"/>
        <v>3</v>
      </c>
      <c r="F27" s="20">
        <v>62</v>
      </c>
      <c r="G27" s="18">
        <f t="shared" si="18"/>
        <v>2</v>
      </c>
      <c r="H27" s="20">
        <v>65</v>
      </c>
      <c r="I27" s="18">
        <f t="shared" si="35"/>
        <v>3</v>
      </c>
      <c r="J27" s="18">
        <f t="shared" si="28"/>
        <v>260</v>
      </c>
      <c r="K27" s="18">
        <f t="shared" si="29"/>
        <v>65</v>
      </c>
      <c r="L27" s="18">
        <f t="shared" si="36"/>
        <v>3.25</v>
      </c>
      <c r="M27" s="18">
        <f t="shared" si="7"/>
        <v>28000</v>
      </c>
      <c r="N27" s="18">
        <f t="shared" si="33"/>
        <v>910</v>
      </c>
      <c r="O27" s="18">
        <f t="shared" si="34"/>
        <v>482.3</v>
      </c>
      <c r="P27" s="21">
        <f t="shared" si="16"/>
        <v>4459.8280999999997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4"/>
        <v>44245</v>
      </c>
      <c r="B28" s="20">
        <v>60</v>
      </c>
      <c r="C28" s="18">
        <f t="shared" si="17"/>
        <v>0</v>
      </c>
      <c r="D28" s="20">
        <v>65</v>
      </c>
      <c r="E28" s="18">
        <f t="shared" si="1"/>
        <v>3</v>
      </c>
      <c r="F28" s="20">
        <v>60</v>
      </c>
      <c r="G28" s="18">
        <f t="shared" si="18"/>
        <v>5</v>
      </c>
      <c r="H28" s="20">
        <v>62</v>
      </c>
      <c r="I28" s="18">
        <f t="shared" si="35"/>
        <v>2</v>
      </c>
      <c r="J28" s="18">
        <f t="shared" si="28"/>
        <v>247</v>
      </c>
      <c r="K28" s="18">
        <f t="shared" si="29"/>
        <v>61.75</v>
      </c>
      <c r="L28" s="18">
        <f t="shared" si="36"/>
        <v>2.5</v>
      </c>
      <c r="M28" s="18">
        <f t="shared" si="7"/>
        <v>28000</v>
      </c>
      <c r="N28" s="18">
        <f t="shared" si="33"/>
        <v>700</v>
      </c>
      <c r="O28" s="18">
        <f t="shared" si="34"/>
        <v>371</v>
      </c>
      <c r="P28" s="21">
        <f t="shared" si="16"/>
        <v>3430.6370000000002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4"/>
        <v>44246</v>
      </c>
      <c r="B29" s="20">
        <v>60</v>
      </c>
      <c r="C29" s="18">
        <f t="shared" si="17"/>
        <v>2</v>
      </c>
      <c r="D29" s="20">
        <v>62</v>
      </c>
      <c r="E29" s="18">
        <f t="shared" si="1"/>
        <v>2</v>
      </c>
      <c r="F29" s="20">
        <v>55</v>
      </c>
      <c r="G29" s="18">
        <f t="shared" si="18"/>
        <v>3</v>
      </c>
      <c r="H29" s="20">
        <v>60</v>
      </c>
      <c r="I29" s="18">
        <f t="shared" si="35"/>
        <v>4</v>
      </c>
      <c r="J29" s="18">
        <f t="shared" si="28"/>
        <v>237</v>
      </c>
      <c r="K29" s="18">
        <f t="shared" si="29"/>
        <v>59.25</v>
      </c>
      <c r="L29" s="18">
        <f t="shared" si="36"/>
        <v>2.75</v>
      </c>
      <c r="M29" s="18">
        <f t="shared" si="7"/>
        <v>28000</v>
      </c>
      <c r="N29" s="18">
        <f t="shared" si="33"/>
        <v>770</v>
      </c>
      <c r="O29" s="18">
        <f t="shared" si="34"/>
        <v>408.1</v>
      </c>
      <c r="P29" s="21">
        <f t="shared" si="16"/>
        <v>3773.7007000000003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4"/>
        <v>44247</v>
      </c>
      <c r="B30" s="20">
        <v>58</v>
      </c>
      <c r="C30" s="18">
        <f t="shared" si="17"/>
        <v>4</v>
      </c>
      <c r="D30" s="20">
        <v>60</v>
      </c>
      <c r="E30" s="18">
        <f t="shared" si="1"/>
        <v>2</v>
      </c>
      <c r="F30" s="20">
        <v>52</v>
      </c>
      <c r="G30" s="18">
        <f t="shared" si="18"/>
        <v>2</v>
      </c>
      <c r="H30" s="20">
        <v>56</v>
      </c>
      <c r="I30" s="18">
        <f t="shared" si="35"/>
        <v>4</v>
      </c>
      <c r="J30" s="18">
        <f t="shared" si="28"/>
        <v>226</v>
      </c>
      <c r="K30" s="18">
        <f t="shared" si="29"/>
        <v>56.5</v>
      </c>
      <c r="L30" s="18">
        <f t="shared" si="36"/>
        <v>3</v>
      </c>
      <c r="M30" s="18">
        <f t="shared" si="7"/>
        <v>28000</v>
      </c>
      <c r="N30" s="18">
        <f t="shared" si="33"/>
        <v>840</v>
      </c>
      <c r="O30" s="18">
        <f t="shared" si="34"/>
        <v>445.20000000000005</v>
      </c>
      <c r="P30" s="21">
        <f t="shared" si="16"/>
        <v>4116.7644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4"/>
        <v>44248</v>
      </c>
      <c r="B31" s="20">
        <v>54</v>
      </c>
      <c r="C31" s="18">
        <f t="shared" si="17"/>
        <v>4</v>
      </c>
      <c r="D31" s="20">
        <v>58</v>
      </c>
      <c r="E31" s="18">
        <f t="shared" si="1"/>
        <v>6</v>
      </c>
      <c r="F31" s="20">
        <v>50</v>
      </c>
      <c r="G31" s="18">
        <f t="shared" si="18"/>
        <v>4</v>
      </c>
      <c r="H31" s="20">
        <v>52</v>
      </c>
      <c r="I31" s="18">
        <f t="shared" si="35"/>
        <v>2</v>
      </c>
      <c r="J31" s="18">
        <f t="shared" si="28"/>
        <v>214</v>
      </c>
      <c r="K31" s="18">
        <f t="shared" si="29"/>
        <v>53.5</v>
      </c>
      <c r="L31" s="18">
        <f t="shared" si="36"/>
        <v>4</v>
      </c>
      <c r="M31" s="18">
        <f t="shared" si="7"/>
        <v>28000</v>
      </c>
      <c r="N31" s="18">
        <f t="shared" si="33"/>
        <v>1120</v>
      </c>
      <c r="O31" s="18">
        <f t="shared" si="34"/>
        <v>593.6</v>
      </c>
      <c r="P31" s="21">
        <f t="shared" si="16"/>
        <v>5489.0191999999997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4"/>
        <v>44249</v>
      </c>
      <c r="B32" s="20">
        <v>50</v>
      </c>
      <c r="C32" s="18">
        <f t="shared" si="17"/>
        <v>3</v>
      </c>
      <c r="D32" s="20">
        <v>52</v>
      </c>
      <c r="E32" s="18">
        <f t="shared" si="1"/>
        <v>2</v>
      </c>
      <c r="F32" s="20">
        <v>46</v>
      </c>
      <c r="G32" s="18">
        <f t="shared" si="18"/>
        <v>4</v>
      </c>
      <c r="H32" s="20">
        <v>50</v>
      </c>
      <c r="I32" s="18">
        <f t="shared" si="35"/>
        <v>6</v>
      </c>
      <c r="J32" s="18">
        <f t="shared" si="28"/>
        <v>198</v>
      </c>
      <c r="K32" s="18">
        <f t="shared" si="29"/>
        <v>49.5</v>
      </c>
      <c r="L32" s="18">
        <f t="shared" si="36"/>
        <v>3.75</v>
      </c>
      <c r="M32" s="18">
        <f t="shared" si="7"/>
        <v>28000</v>
      </c>
      <c r="N32" s="18">
        <f t="shared" si="33"/>
        <v>1050</v>
      </c>
      <c r="O32" s="18">
        <f t="shared" si="34"/>
        <v>556.5</v>
      </c>
      <c r="P32" s="21">
        <f t="shared" si="16"/>
        <v>5145.9555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4"/>
        <v>44250</v>
      </c>
      <c r="B33" s="20">
        <v>47</v>
      </c>
      <c r="C33" s="18">
        <f t="shared" si="17"/>
        <v>2</v>
      </c>
      <c r="D33" s="20">
        <v>50</v>
      </c>
      <c r="E33" s="18">
        <f t="shared" si="1"/>
        <v>4</v>
      </c>
      <c r="F33" s="20">
        <v>42</v>
      </c>
      <c r="G33" s="18">
        <f t="shared" si="18"/>
        <v>2</v>
      </c>
      <c r="H33" s="20">
        <v>44</v>
      </c>
      <c r="I33" s="18">
        <f t="shared" si="35"/>
        <v>0</v>
      </c>
      <c r="J33" s="18">
        <f t="shared" si="28"/>
        <v>183</v>
      </c>
      <c r="K33" s="18">
        <f t="shared" si="29"/>
        <v>45.75</v>
      </c>
      <c r="L33" s="18">
        <f t="shared" si="36"/>
        <v>2</v>
      </c>
      <c r="M33" s="18">
        <f t="shared" si="7"/>
        <v>28000</v>
      </c>
      <c r="N33" s="18">
        <f t="shared" si="33"/>
        <v>560</v>
      </c>
      <c r="O33" s="18">
        <f t="shared" si="34"/>
        <v>296.8</v>
      </c>
      <c r="P33" s="21">
        <f t="shared" si="16"/>
        <v>2744.5095999999999</v>
      </c>
      <c r="Q33" s="18">
        <v>3077</v>
      </c>
      <c r="R33" s="18">
        <v>45</v>
      </c>
      <c r="S33" s="18">
        <v>85</v>
      </c>
      <c r="T33" s="18">
        <v>3167</v>
      </c>
      <c r="U33" s="18">
        <v>46</v>
      </c>
      <c r="V33" s="18">
        <v>85</v>
      </c>
      <c r="W33" s="18">
        <v>3519</v>
      </c>
      <c r="X33" s="18">
        <v>40</v>
      </c>
      <c r="Y33" s="18">
        <v>85</v>
      </c>
      <c r="Z33" s="18">
        <v>3242</v>
      </c>
      <c r="AA33" s="18">
        <v>44</v>
      </c>
      <c r="AB33" s="18">
        <v>85</v>
      </c>
      <c r="AC33" s="18">
        <f t="shared" si="13"/>
        <v>13005</v>
      </c>
      <c r="AD33" s="49">
        <f t="shared" si="25"/>
        <v>43.75</v>
      </c>
      <c r="AE33" s="49">
        <f t="shared" si="26"/>
        <v>85</v>
      </c>
    </row>
    <row r="34" spans="1:31" ht="32.25" customHeight="1" x14ac:dyDescent="0.3">
      <c r="A34" s="19">
        <f t="shared" si="14"/>
        <v>44251</v>
      </c>
      <c r="B34" s="20">
        <v>85</v>
      </c>
      <c r="C34" s="18">
        <f t="shared" si="17"/>
        <v>0</v>
      </c>
      <c r="D34" s="20">
        <v>85</v>
      </c>
      <c r="E34" s="18">
        <f t="shared" si="1"/>
        <v>0</v>
      </c>
      <c r="F34" s="20">
        <v>85</v>
      </c>
      <c r="G34" s="18">
        <f t="shared" si="18"/>
        <v>0</v>
      </c>
      <c r="H34" s="20">
        <v>85</v>
      </c>
      <c r="I34" s="18">
        <f t="shared" si="35"/>
        <v>0</v>
      </c>
      <c r="J34" s="18">
        <f t="shared" si="28"/>
        <v>340</v>
      </c>
      <c r="K34" s="18">
        <f t="shared" si="29"/>
        <v>85</v>
      </c>
      <c r="L34" s="18">
        <f t="shared" si="36"/>
        <v>0</v>
      </c>
      <c r="M34" s="18">
        <f t="shared" si="7"/>
        <v>28000</v>
      </c>
      <c r="N34" s="18">
        <f t="shared" si="33"/>
        <v>0</v>
      </c>
      <c r="O34" s="18">
        <f t="shared" si="34"/>
        <v>0</v>
      </c>
      <c r="P34" s="21">
        <f t="shared" si="16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4"/>
        <v>44252</v>
      </c>
      <c r="B35" s="20"/>
      <c r="C35" s="18">
        <f t="shared" ref="C34:C42" si="37">IF(AC35&gt;0,((B35-R35)+(S35-B36)),IF(B36=0, ,(B35-B36)))</f>
        <v>0</v>
      </c>
      <c r="D35" s="20"/>
      <c r="E35" s="18">
        <f t="shared" ref="E34:E42" si="38">IF(AC35&gt;0,((D35-U35)+(V35-D36)),IF(D36=0, ,(D35-D36)))</f>
        <v>0</v>
      </c>
      <c r="F35" s="20"/>
      <c r="G35" s="18">
        <f t="shared" ref="G34:G42" si="39">IF(AC35&gt;0,((F35-X35)+(Y35-F36)),IF(F36=0, ,(F35-F36)))</f>
        <v>0</v>
      </c>
      <c r="H35" s="20"/>
      <c r="I35" s="18">
        <f t="shared" si="35"/>
        <v>0</v>
      </c>
      <c r="J35" s="18">
        <f t="shared" si="28"/>
        <v>0</v>
      </c>
      <c r="K35" s="18">
        <f t="shared" si="29"/>
        <v>0</v>
      </c>
      <c r="L35" s="18">
        <f t="shared" si="36"/>
        <v>0</v>
      </c>
      <c r="M35" s="18">
        <f t="shared" si="7"/>
        <v>28000</v>
      </c>
      <c r="N35" s="18">
        <f t="shared" si="33"/>
        <v>0</v>
      </c>
      <c r="O35" s="18">
        <f t="shared" si="34"/>
        <v>0</v>
      </c>
      <c r="P35" s="21">
        <f t="shared" si="16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4"/>
        <v>44253</v>
      </c>
      <c r="B36" s="20"/>
      <c r="C36" s="18">
        <f t="shared" si="37"/>
        <v>0</v>
      </c>
      <c r="D36" s="20"/>
      <c r="E36" s="18">
        <f t="shared" si="38"/>
        <v>0</v>
      </c>
      <c r="F36" s="20"/>
      <c r="G36" s="18">
        <f t="shared" si="39"/>
        <v>0</v>
      </c>
      <c r="H36" s="20"/>
      <c r="I36" s="18">
        <f t="shared" si="35"/>
        <v>0</v>
      </c>
      <c r="J36" s="18">
        <f t="shared" si="28"/>
        <v>0</v>
      </c>
      <c r="K36" s="18">
        <f t="shared" si="29"/>
        <v>0</v>
      </c>
      <c r="L36" s="18">
        <f t="shared" si="36"/>
        <v>0</v>
      </c>
      <c r="M36" s="18">
        <f t="shared" si="7"/>
        <v>28000</v>
      </c>
      <c r="N36" s="18">
        <f t="shared" si="33"/>
        <v>0</v>
      </c>
      <c r="O36" s="18">
        <f t="shared" si="34"/>
        <v>0</v>
      </c>
      <c r="P36" s="21">
        <f t="shared" si="16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4"/>
        <v>44254</v>
      </c>
      <c r="B37" s="20"/>
      <c r="C37" s="18">
        <f t="shared" si="37"/>
        <v>0</v>
      </c>
      <c r="D37" s="20"/>
      <c r="E37" s="18">
        <f t="shared" si="38"/>
        <v>0</v>
      </c>
      <c r="F37" s="20"/>
      <c r="G37" s="18">
        <f t="shared" si="39"/>
        <v>0</v>
      </c>
      <c r="H37" s="20"/>
      <c r="I37" s="18">
        <f t="shared" si="35"/>
        <v>0</v>
      </c>
      <c r="J37" s="18">
        <f t="shared" si="28"/>
        <v>0</v>
      </c>
      <c r="K37" s="18">
        <f t="shared" si="29"/>
        <v>0</v>
      </c>
      <c r="L37" s="18">
        <f t="shared" si="36"/>
        <v>0</v>
      </c>
      <c r="M37" s="18">
        <f t="shared" si="7"/>
        <v>28000</v>
      </c>
      <c r="N37" s="18">
        <f t="shared" si="33"/>
        <v>0</v>
      </c>
      <c r="O37" s="18">
        <f t="shared" si="34"/>
        <v>0</v>
      </c>
      <c r="P37" s="21">
        <f t="shared" si="16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4"/>
        <v>44255</v>
      </c>
      <c r="B38" s="20"/>
      <c r="C38" s="18">
        <f t="shared" si="37"/>
        <v>0</v>
      </c>
      <c r="D38" s="20"/>
      <c r="E38" s="18">
        <f t="shared" si="38"/>
        <v>0</v>
      </c>
      <c r="F38" s="20"/>
      <c r="G38" s="18">
        <f t="shared" si="39"/>
        <v>0</v>
      </c>
      <c r="H38" s="20"/>
      <c r="I38" s="18">
        <f t="shared" si="35"/>
        <v>0</v>
      </c>
      <c r="J38" s="18">
        <f t="shared" si="28"/>
        <v>0</v>
      </c>
      <c r="K38" s="18">
        <f t="shared" si="29"/>
        <v>0</v>
      </c>
      <c r="L38" s="18">
        <f t="shared" si="36"/>
        <v>0</v>
      </c>
      <c r="M38" s="18">
        <f t="shared" si="7"/>
        <v>28000</v>
      </c>
      <c r="N38" s="18">
        <f t="shared" si="33"/>
        <v>0</v>
      </c>
      <c r="O38" s="18">
        <f t="shared" si="34"/>
        <v>0</v>
      </c>
      <c r="P38" s="21">
        <f t="shared" si="16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4"/>
        <v>44256</v>
      </c>
      <c r="B39" s="20"/>
      <c r="C39" s="18">
        <f t="shared" si="37"/>
        <v>0</v>
      </c>
      <c r="D39" s="20"/>
      <c r="E39" s="18">
        <f t="shared" si="38"/>
        <v>0</v>
      </c>
      <c r="F39" s="20"/>
      <c r="G39" s="18">
        <f t="shared" si="39"/>
        <v>0</v>
      </c>
      <c r="H39" s="20"/>
      <c r="I39" s="18">
        <f t="shared" si="35"/>
        <v>0</v>
      </c>
      <c r="J39" s="18">
        <f t="shared" si="28"/>
        <v>0</v>
      </c>
      <c r="K39" s="18">
        <f t="shared" si="29"/>
        <v>0</v>
      </c>
      <c r="L39" s="18">
        <f t="shared" si="36"/>
        <v>0</v>
      </c>
      <c r="M39" s="18">
        <f t="shared" si="7"/>
        <v>28000</v>
      </c>
      <c r="N39" s="18">
        <f t="shared" si="33"/>
        <v>0</v>
      </c>
      <c r="O39" s="18">
        <f t="shared" si="34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si="37"/>
        <v>0</v>
      </c>
      <c r="D40" s="20"/>
      <c r="E40" s="18">
        <f t="shared" si="38"/>
        <v>0</v>
      </c>
      <c r="F40" s="20"/>
      <c r="G40" s="18">
        <f t="shared" si="39"/>
        <v>0</v>
      </c>
      <c r="H40" s="20"/>
      <c r="I40" s="18">
        <f t="shared" si="35"/>
        <v>0</v>
      </c>
      <c r="J40" s="18">
        <f t="shared" si="28"/>
        <v>0</v>
      </c>
      <c r="K40" s="18">
        <f t="shared" si="29"/>
        <v>0</v>
      </c>
      <c r="L40" s="18">
        <f t="shared" si="36"/>
        <v>0</v>
      </c>
      <c r="M40" s="18">
        <f t="shared" si="7"/>
        <v>28000</v>
      </c>
      <c r="N40" s="18">
        <f t="shared" si="33"/>
        <v>0</v>
      </c>
      <c r="O40" s="18">
        <f t="shared" si="34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37"/>
        <v>0</v>
      </c>
      <c r="D41" s="20"/>
      <c r="E41" s="18">
        <f t="shared" si="38"/>
        <v>0</v>
      </c>
      <c r="F41" s="20"/>
      <c r="G41" s="18">
        <f t="shared" si="39"/>
        <v>0</v>
      </c>
      <c r="H41" s="20"/>
      <c r="I41" s="18">
        <f t="shared" si="35"/>
        <v>0</v>
      </c>
      <c r="J41" s="18">
        <f t="shared" si="28"/>
        <v>0</v>
      </c>
      <c r="K41" s="18">
        <f t="shared" si="29"/>
        <v>0</v>
      </c>
      <c r="L41" s="18">
        <f t="shared" si="36"/>
        <v>0</v>
      </c>
      <c r="M41" s="18">
        <f t="shared" si="7"/>
        <v>28000</v>
      </c>
      <c r="N41" s="18">
        <f t="shared" si="33"/>
        <v>0</v>
      </c>
      <c r="O41" s="18">
        <f t="shared" si="34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37"/>
        <v>0</v>
      </c>
      <c r="D42" s="20"/>
      <c r="E42" s="18">
        <f t="shared" si="38"/>
        <v>0</v>
      </c>
      <c r="F42" s="20"/>
      <c r="G42" s="18">
        <f t="shared" si="39"/>
        <v>0</v>
      </c>
      <c r="H42" s="20"/>
      <c r="I42" s="18">
        <f t="shared" si="35"/>
        <v>0</v>
      </c>
      <c r="J42" s="18">
        <f t="shared" si="28"/>
        <v>0</v>
      </c>
      <c r="K42" s="18">
        <f t="shared" si="29"/>
        <v>0</v>
      </c>
      <c r="L42" s="18">
        <f t="shared" si="36"/>
        <v>0</v>
      </c>
      <c r="M42" s="18">
        <f t="shared" si="7"/>
        <v>28000</v>
      </c>
      <c r="N42" s="18">
        <f t="shared" si="33"/>
        <v>0</v>
      </c>
      <c r="O42" s="18">
        <f t="shared" si="34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SUM(C11:C38)</f>
        <v>46</v>
      </c>
      <c r="D43" s="20"/>
      <c r="E43" s="18">
        <f>SUM(E11:E38)</f>
        <v>50</v>
      </c>
      <c r="F43" s="20"/>
      <c r="G43" s="18">
        <f>SUM(G11:G38)</f>
        <v>60</v>
      </c>
      <c r="H43" s="20"/>
      <c r="I43" s="18">
        <f>SUM(I11:I38)</f>
        <v>61</v>
      </c>
      <c r="J43" s="16"/>
      <c r="K43" s="16"/>
      <c r="L43" s="16"/>
      <c r="M43" s="16"/>
      <c r="N43" s="18">
        <f>SUM(N11:N38)</f>
        <v>16380</v>
      </c>
      <c r="O43" s="18">
        <f>N43*0.53</f>
        <v>8681.4</v>
      </c>
      <c r="P43" s="21">
        <f t="shared" si="16"/>
        <v>80276.905799999993</v>
      </c>
      <c r="Q43" s="270">
        <f>SUM(Q11:Q38)</f>
        <v>5569</v>
      </c>
      <c r="R43" s="271"/>
      <c r="S43" s="272"/>
      <c r="T43" s="270">
        <f>SUM(T11:T38)</f>
        <v>5513</v>
      </c>
      <c r="U43" s="271"/>
      <c r="V43" s="272"/>
      <c r="W43" s="270">
        <f>SUM(W11:W38)</f>
        <v>6269</v>
      </c>
      <c r="X43" s="271"/>
      <c r="Y43" s="272"/>
      <c r="Z43" s="270">
        <f>SUM(Z11:Z38)</f>
        <v>5936</v>
      </c>
      <c r="AA43" s="271"/>
      <c r="AB43" s="272"/>
      <c r="AC43" s="137">
        <f>SUM(AC11:AC38)</f>
        <v>23287</v>
      </c>
      <c r="AD43" s="138"/>
      <c r="AE43" s="135"/>
    </row>
    <row r="44" spans="1:31" ht="35.25" customHeight="1" thickBot="1" x14ac:dyDescent="0.35">
      <c r="B44" s="273"/>
      <c r="C44" s="274"/>
      <c r="D44" s="274"/>
      <c r="E44" s="274"/>
      <c r="F44" s="274"/>
      <c r="G44" s="274"/>
      <c r="H44" s="274"/>
      <c r="I44" s="275"/>
      <c r="J44" s="16"/>
      <c r="K44" s="16"/>
      <c r="L44" s="16"/>
      <c r="M44" s="16"/>
      <c r="N44" s="16"/>
      <c r="O44" s="16"/>
      <c r="P44" s="16"/>
      <c r="Q44" s="276">
        <f>Q43+T43+W43+Z43</f>
        <v>23287</v>
      </c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8"/>
      <c r="AC44" s="136">
        <f>Q43+T43+W43+Z43</f>
        <v>23287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9" t="s">
        <v>36</v>
      </c>
      <c r="I47" s="280"/>
      <c r="J47" s="281"/>
      <c r="K47" s="28">
        <f>N43</f>
        <v>16380</v>
      </c>
      <c r="L47" s="29">
        <f>O43</f>
        <v>8681.4</v>
      </c>
      <c r="M47" s="29">
        <f>P43</f>
        <v>80276.905799999993</v>
      </c>
    </row>
    <row r="48" spans="1:31" ht="54.75" customHeight="1" thickBot="1" x14ac:dyDescent="0.35">
      <c r="H48" s="267" t="s">
        <v>37</v>
      </c>
      <c r="I48" s="268"/>
      <c r="J48" s="269"/>
      <c r="K48" s="26">
        <f>AC43</f>
        <v>23287</v>
      </c>
      <c r="L48" s="27">
        <f>K48*0.53</f>
        <v>12342.11</v>
      </c>
      <c r="M48" s="27">
        <f>L48*9.247</f>
        <v>114127.49117000001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40" sqref="B40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2"/>
      <c r="B1" s="313"/>
      <c r="C1" s="295" t="s">
        <v>58</v>
      </c>
      <c r="D1" s="296"/>
      <c r="E1" s="296"/>
      <c r="F1" s="296"/>
      <c r="G1" s="297"/>
      <c r="H1" s="304"/>
      <c r="I1" s="305"/>
      <c r="J1" s="33"/>
      <c r="K1" s="31"/>
      <c r="L1" s="31"/>
    </row>
    <row r="2" spans="1:20" ht="16.5" customHeight="1" x14ac:dyDescent="0.2">
      <c r="A2" s="314"/>
      <c r="B2" s="315"/>
      <c r="C2" s="298"/>
      <c r="D2" s="299"/>
      <c r="E2" s="299"/>
      <c r="F2" s="299"/>
      <c r="G2" s="300"/>
      <c r="H2" s="306"/>
      <c r="I2" s="307"/>
      <c r="J2" s="33"/>
      <c r="K2" s="31"/>
      <c r="L2" s="31"/>
    </row>
    <row r="3" spans="1:20" ht="48" customHeight="1" thickBot="1" x14ac:dyDescent="0.25">
      <c r="A3" s="316"/>
      <c r="B3" s="317"/>
      <c r="C3" s="301"/>
      <c r="D3" s="302"/>
      <c r="E3" s="302"/>
      <c r="F3" s="302"/>
      <c r="G3" s="303"/>
      <c r="H3" s="308"/>
      <c r="I3" s="309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6640</v>
      </c>
    </row>
    <row r="6" spans="1:20" ht="10.5" customHeight="1" thickBot="1" x14ac:dyDescent="0.25"/>
    <row r="7" spans="1:20" ht="16.5" customHeight="1" thickTop="1" thickBot="1" x14ac:dyDescent="0.25">
      <c r="A7" s="294" t="s">
        <v>1</v>
      </c>
      <c r="B7" s="310" t="s">
        <v>41</v>
      </c>
      <c r="C7" s="310"/>
      <c r="D7" s="311" t="s">
        <v>42</v>
      </c>
      <c r="E7" s="311"/>
      <c r="F7" s="311"/>
      <c r="G7" s="311"/>
      <c r="H7" s="311"/>
      <c r="I7" s="311"/>
    </row>
    <row r="8" spans="1:20" s="12" customFormat="1" ht="28.5" customHeight="1" thickTop="1" thickBot="1" x14ac:dyDescent="0.25">
      <c r="A8" s="294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39" si="1">IF(D10&lt;D9,0,D10-D9)</f>
        <v>3048</v>
      </c>
      <c r="F9" s="42">
        <v>34032290</v>
      </c>
      <c r="G9" s="41">
        <f t="shared" ref="G9:G39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407</v>
      </c>
      <c r="D17" s="42">
        <v>19033737</v>
      </c>
      <c r="E17" s="41">
        <f t="shared" si="1"/>
        <v>2875</v>
      </c>
      <c r="F17" s="42">
        <v>34073088</v>
      </c>
      <c r="G17" s="41">
        <f t="shared" si="2"/>
        <v>4572</v>
      </c>
      <c r="H17" s="42">
        <v>15092728</v>
      </c>
      <c r="I17" s="41">
        <f t="shared" si="3"/>
        <v>1964</v>
      </c>
    </row>
    <row r="18" spans="1:9" ht="21" thickTop="1" thickBot="1" x14ac:dyDescent="0.35">
      <c r="A18" s="39">
        <f t="shared" si="4"/>
        <v>44230</v>
      </c>
      <c r="B18" s="40">
        <v>4610</v>
      </c>
      <c r="C18" s="41">
        <f t="shared" si="0"/>
        <v>200</v>
      </c>
      <c r="D18" s="42">
        <v>19036612</v>
      </c>
      <c r="E18" s="41">
        <f t="shared" si="1"/>
        <v>3354</v>
      </c>
      <c r="F18" s="42">
        <v>34077660</v>
      </c>
      <c r="G18" s="41">
        <f t="shared" si="2"/>
        <v>4994</v>
      </c>
      <c r="H18" s="42">
        <v>15094692</v>
      </c>
      <c r="I18" s="41">
        <f t="shared" si="3"/>
        <v>2078</v>
      </c>
    </row>
    <row r="19" spans="1:9" ht="21" thickTop="1" thickBot="1" x14ac:dyDescent="0.35">
      <c r="A19" s="39">
        <f t="shared" si="4"/>
        <v>44231</v>
      </c>
      <c r="B19" s="40">
        <v>4810</v>
      </c>
      <c r="C19" s="41">
        <f t="shared" si="0"/>
        <v>188</v>
      </c>
      <c r="D19" s="42">
        <v>19039966</v>
      </c>
      <c r="E19" s="41">
        <f t="shared" si="1"/>
        <v>3313</v>
      </c>
      <c r="F19" s="42">
        <v>34082654</v>
      </c>
      <c r="G19" s="41">
        <f t="shared" si="2"/>
        <v>5166</v>
      </c>
      <c r="H19" s="42">
        <v>15096770</v>
      </c>
      <c r="I19" s="41">
        <f t="shared" si="3"/>
        <v>2046</v>
      </c>
    </row>
    <row r="20" spans="1:9" ht="21" thickTop="1" thickBot="1" x14ac:dyDescent="0.35">
      <c r="A20" s="39">
        <f t="shared" si="4"/>
        <v>44232</v>
      </c>
      <c r="B20" s="40">
        <v>4998</v>
      </c>
      <c r="C20" s="41">
        <f t="shared" si="0"/>
        <v>438</v>
      </c>
      <c r="D20" s="42">
        <v>19043279</v>
      </c>
      <c r="E20" s="41">
        <f t="shared" si="1"/>
        <v>3150</v>
      </c>
      <c r="F20" s="42">
        <v>34087820</v>
      </c>
      <c r="G20" s="41">
        <f t="shared" si="2"/>
        <v>4709</v>
      </c>
      <c r="H20" s="42">
        <v>15098816</v>
      </c>
      <c r="I20" s="41">
        <f t="shared" si="3"/>
        <v>2005</v>
      </c>
    </row>
    <row r="21" spans="1:9" ht="21" thickTop="1" thickBot="1" x14ac:dyDescent="0.35">
      <c r="A21" s="39">
        <f t="shared" si="4"/>
        <v>44233</v>
      </c>
      <c r="B21" s="40">
        <v>5436</v>
      </c>
      <c r="C21" s="41">
        <f t="shared" si="0"/>
        <v>188</v>
      </c>
      <c r="D21" s="42">
        <v>19046429</v>
      </c>
      <c r="E21" s="41">
        <f t="shared" si="1"/>
        <v>3145</v>
      </c>
      <c r="F21" s="42">
        <v>34092529</v>
      </c>
      <c r="G21" s="41">
        <f t="shared" si="2"/>
        <v>4868</v>
      </c>
      <c r="H21" s="42">
        <v>15100821</v>
      </c>
      <c r="I21" s="41">
        <f t="shared" si="3"/>
        <v>2051</v>
      </c>
    </row>
    <row r="22" spans="1:9" ht="21" thickTop="1" thickBot="1" x14ac:dyDescent="0.35">
      <c r="A22" s="39">
        <f t="shared" si="4"/>
        <v>44234</v>
      </c>
      <c r="B22" s="40">
        <v>5624</v>
      </c>
      <c r="C22" s="41">
        <f t="shared" si="0"/>
        <v>184</v>
      </c>
      <c r="D22" s="42">
        <v>19049574</v>
      </c>
      <c r="E22" s="41">
        <f t="shared" si="1"/>
        <v>3116</v>
      </c>
      <c r="F22" s="42">
        <v>34097397</v>
      </c>
      <c r="G22" s="41">
        <f t="shared" si="2"/>
        <v>5057</v>
      </c>
      <c r="H22" s="42">
        <v>15102872</v>
      </c>
      <c r="I22" s="41">
        <f t="shared" si="3"/>
        <v>2018</v>
      </c>
    </row>
    <row r="23" spans="1:9" ht="21" thickTop="1" thickBot="1" x14ac:dyDescent="0.35">
      <c r="A23" s="39">
        <f t="shared" si="4"/>
        <v>44235</v>
      </c>
      <c r="B23" s="40">
        <v>5808</v>
      </c>
      <c r="C23" s="41">
        <f t="shared" si="0"/>
        <v>371</v>
      </c>
      <c r="D23" s="42">
        <v>19052690</v>
      </c>
      <c r="E23" s="41">
        <f t="shared" si="1"/>
        <v>3181</v>
      </c>
      <c r="F23" s="42">
        <v>34102454</v>
      </c>
      <c r="G23" s="41">
        <f t="shared" si="2"/>
        <v>4491</v>
      </c>
      <c r="H23" s="42">
        <v>15104890</v>
      </c>
      <c r="I23" s="41">
        <f t="shared" si="3"/>
        <v>1993</v>
      </c>
    </row>
    <row r="24" spans="1:9" ht="21" thickTop="1" thickBot="1" x14ac:dyDescent="0.35">
      <c r="A24" s="39">
        <f t="shared" si="4"/>
        <v>44236</v>
      </c>
      <c r="B24" s="40">
        <v>6179</v>
      </c>
      <c r="C24" s="41">
        <f t="shared" si="0"/>
        <v>330</v>
      </c>
      <c r="D24" s="42">
        <v>19055871</v>
      </c>
      <c r="E24" s="41">
        <f t="shared" si="1"/>
        <v>3037</v>
      </c>
      <c r="F24" s="42">
        <v>34106945</v>
      </c>
      <c r="G24" s="41">
        <f t="shared" si="2"/>
        <v>4689</v>
      </c>
      <c r="H24" s="42">
        <v>15106883</v>
      </c>
      <c r="I24" s="41">
        <f t="shared" si="3"/>
        <v>1862</v>
      </c>
    </row>
    <row r="25" spans="1:9" ht="21" thickTop="1" thickBot="1" x14ac:dyDescent="0.35">
      <c r="A25" s="39">
        <f t="shared" si="4"/>
        <v>44237</v>
      </c>
      <c r="B25" s="40">
        <v>6509</v>
      </c>
      <c r="C25" s="41">
        <f t="shared" si="0"/>
        <v>185</v>
      </c>
      <c r="D25" s="42">
        <v>19058908</v>
      </c>
      <c r="E25" s="41">
        <f t="shared" si="1"/>
        <v>2898</v>
      </c>
      <c r="F25" s="42">
        <v>34111634</v>
      </c>
      <c r="G25" s="41">
        <f t="shared" si="2"/>
        <v>4330</v>
      </c>
      <c r="H25" s="42">
        <v>15108745</v>
      </c>
      <c r="I25" s="41">
        <f t="shared" si="3"/>
        <v>1865</v>
      </c>
    </row>
    <row r="26" spans="1:9" ht="21" thickTop="1" thickBot="1" x14ac:dyDescent="0.35">
      <c r="A26" s="39">
        <f t="shared" si="4"/>
        <v>44238</v>
      </c>
      <c r="B26" s="40">
        <v>6694</v>
      </c>
      <c r="C26" s="41">
        <f t="shared" si="0"/>
        <v>228</v>
      </c>
      <c r="D26" s="42">
        <v>19061806</v>
      </c>
      <c r="E26" s="41">
        <f t="shared" si="1"/>
        <v>2923</v>
      </c>
      <c r="F26" s="42">
        <v>34115964</v>
      </c>
      <c r="G26" s="41">
        <f t="shared" si="2"/>
        <v>4565</v>
      </c>
      <c r="H26" s="42">
        <v>15110610</v>
      </c>
      <c r="I26" s="41">
        <f t="shared" si="3"/>
        <v>2103</v>
      </c>
    </row>
    <row r="27" spans="1:9" ht="21" thickTop="1" thickBot="1" x14ac:dyDescent="0.35">
      <c r="A27" s="39">
        <f t="shared" si="4"/>
        <v>44239</v>
      </c>
      <c r="B27" s="40">
        <v>6922</v>
      </c>
      <c r="C27" s="41">
        <f t="shared" si="0"/>
        <v>356</v>
      </c>
      <c r="D27" s="42">
        <v>19064729</v>
      </c>
      <c r="E27" s="41">
        <f t="shared" si="1"/>
        <v>4143</v>
      </c>
      <c r="F27" s="42">
        <v>34120529</v>
      </c>
      <c r="G27" s="41">
        <f t="shared" si="2"/>
        <v>5018</v>
      </c>
      <c r="H27" s="42">
        <v>15112713</v>
      </c>
      <c r="I27" s="41">
        <f t="shared" si="3"/>
        <v>2403</v>
      </c>
    </row>
    <row r="28" spans="1:9" ht="21" thickTop="1" thickBot="1" x14ac:dyDescent="0.35">
      <c r="A28" s="39">
        <f t="shared" si="4"/>
        <v>44240</v>
      </c>
      <c r="B28" s="40">
        <v>7278</v>
      </c>
      <c r="C28" s="41">
        <f t="shared" si="0"/>
        <v>264</v>
      </c>
      <c r="D28" s="42">
        <v>19068872</v>
      </c>
      <c r="E28" s="41">
        <f t="shared" si="1"/>
        <v>3642</v>
      </c>
      <c r="F28" s="42">
        <v>34125547</v>
      </c>
      <c r="G28" s="41">
        <f t="shared" si="2"/>
        <v>6411</v>
      </c>
      <c r="H28" s="42">
        <v>15115116</v>
      </c>
      <c r="I28" s="41">
        <f t="shared" si="3"/>
        <v>2640</v>
      </c>
    </row>
    <row r="29" spans="1:9" ht="21" thickTop="1" thickBot="1" x14ac:dyDescent="0.35">
      <c r="A29" s="39">
        <f t="shared" si="4"/>
        <v>44241</v>
      </c>
      <c r="B29" s="40">
        <v>7542</v>
      </c>
      <c r="C29" s="41">
        <f t="shared" si="0"/>
        <v>274</v>
      </c>
      <c r="D29" s="42">
        <v>19072514</v>
      </c>
      <c r="E29" s="41">
        <f t="shared" si="1"/>
        <v>3094</v>
      </c>
      <c r="F29" s="42">
        <v>34131958</v>
      </c>
      <c r="G29" s="41">
        <f t="shared" si="2"/>
        <v>5466</v>
      </c>
      <c r="H29" s="42">
        <v>15117756</v>
      </c>
      <c r="I29" s="41">
        <f t="shared" si="3"/>
        <v>2952</v>
      </c>
    </row>
    <row r="30" spans="1:9" ht="21" thickTop="1" thickBot="1" x14ac:dyDescent="0.35">
      <c r="A30" s="39">
        <f t="shared" si="4"/>
        <v>44242</v>
      </c>
      <c r="B30" s="40">
        <v>7816</v>
      </c>
      <c r="C30" s="41">
        <f t="shared" si="0"/>
        <v>350</v>
      </c>
      <c r="D30" s="42">
        <v>19075608</v>
      </c>
      <c r="E30" s="41">
        <f t="shared" si="1"/>
        <v>4123</v>
      </c>
      <c r="F30" s="42">
        <v>34137424</v>
      </c>
      <c r="G30" s="41">
        <f t="shared" si="2"/>
        <v>5922</v>
      </c>
      <c r="H30" s="42">
        <v>15120708</v>
      </c>
      <c r="I30" s="41">
        <f t="shared" si="3"/>
        <v>2571</v>
      </c>
    </row>
    <row r="31" spans="1:9" ht="21" thickTop="1" thickBot="1" x14ac:dyDescent="0.35">
      <c r="A31" s="39">
        <f t="shared" si="4"/>
        <v>44243</v>
      </c>
      <c r="B31" s="40">
        <v>8166</v>
      </c>
      <c r="C31" s="41">
        <f t="shared" si="0"/>
        <v>276</v>
      </c>
      <c r="D31" s="42">
        <v>19079731</v>
      </c>
      <c r="E31" s="41">
        <f t="shared" si="1"/>
        <v>4143</v>
      </c>
      <c r="F31" s="42">
        <v>34143346</v>
      </c>
      <c r="G31" s="41">
        <f t="shared" si="2"/>
        <v>5588</v>
      </c>
      <c r="H31" s="42">
        <v>15123279</v>
      </c>
      <c r="I31" s="41">
        <f t="shared" si="3"/>
        <v>2421</v>
      </c>
    </row>
    <row r="32" spans="1:9" ht="21" thickTop="1" thickBot="1" x14ac:dyDescent="0.35">
      <c r="A32" s="39">
        <f t="shared" si="4"/>
        <v>44244</v>
      </c>
      <c r="B32" s="40">
        <v>8442</v>
      </c>
      <c r="C32" s="41">
        <f t="shared" si="0"/>
        <v>203</v>
      </c>
      <c r="D32" s="42">
        <v>19083874</v>
      </c>
      <c r="E32" s="41">
        <f t="shared" si="1"/>
        <v>3292</v>
      </c>
      <c r="F32" s="42">
        <v>34148934</v>
      </c>
      <c r="G32" s="41">
        <f t="shared" si="2"/>
        <v>5399</v>
      </c>
      <c r="H32" s="42">
        <v>15125700</v>
      </c>
      <c r="I32" s="41">
        <f t="shared" si="3"/>
        <v>2380</v>
      </c>
    </row>
    <row r="33" spans="1:9" ht="21" thickTop="1" thickBot="1" x14ac:dyDescent="0.35">
      <c r="A33" s="39">
        <f t="shared" si="4"/>
        <v>44245</v>
      </c>
      <c r="B33" s="40">
        <v>8645</v>
      </c>
      <c r="C33" s="41">
        <f t="shared" si="0"/>
        <v>341</v>
      </c>
      <c r="D33" s="42">
        <v>19087166</v>
      </c>
      <c r="E33" s="41">
        <f t="shared" si="1"/>
        <v>3824</v>
      </c>
      <c r="F33" s="42">
        <v>34154333</v>
      </c>
      <c r="G33" s="41">
        <f t="shared" si="2"/>
        <v>5407</v>
      </c>
      <c r="H33" s="42">
        <v>15128080</v>
      </c>
      <c r="I33" s="41">
        <f t="shared" si="3"/>
        <v>2464</v>
      </c>
    </row>
    <row r="34" spans="1:9" ht="21" thickTop="1" thickBot="1" x14ac:dyDescent="0.35">
      <c r="A34" s="39">
        <f t="shared" si="4"/>
        <v>44246</v>
      </c>
      <c r="B34" s="40">
        <v>8986</v>
      </c>
      <c r="C34" s="41">
        <f t="shared" si="0"/>
        <v>435</v>
      </c>
      <c r="D34" s="42">
        <v>19090990</v>
      </c>
      <c r="E34" s="41">
        <f t="shared" si="1"/>
        <v>3254</v>
      </c>
      <c r="F34" s="42">
        <v>34159740</v>
      </c>
      <c r="G34" s="41">
        <f t="shared" si="2"/>
        <v>5439</v>
      </c>
      <c r="H34" s="42">
        <v>15130544</v>
      </c>
      <c r="I34" s="41">
        <f t="shared" si="3"/>
        <v>2442</v>
      </c>
    </row>
    <row r="35" spans="1:9" ht="21" thickTop="1" thickBot="1" x14ac:dyDescent="0.35">
      <c r="A35" s="39">
        <f t="shared" si="4"/>
        <v>44247</v>
      </c>
      <c r="B35" s="40">
        <v>9421</v>
      </c>
      <c r="C35" s="41">
        <f t="shared" si="0"/>
        <v>316</v>
      </c>
      <c r="D35" s="42">
        <v>19094244</v>
      </c>
      <c r="E35" s="41">
        <f t="shared" si="1"/>
        <v>3501</v>
      </c>
      <c r="F35" s="42">
        <v>34165179</v>
      </c>
      <c r="G35" s="41">
        <f t="shared" si="2"/>
        <v>5607</v>
      </c>
      <c r="H35" s="42">
        <v>15132986</v>
      </c>
      <c r="I35" s="41">
        <f t="shared" si="3"/>
        <v>2443</v>
      </c>
    </row>
    <row r="36" spans="1:9" ht="21" thickTop="1" thickBot="1" x14ac:dyDescent="0.35">
      <c r="A36" s="39">
        <f t="shared" si="4"/>
        <v>44248</v>
      </c>
      <c r="B36" s="40">
        <v>9737</v>
      </c>
      <c r="C36" s="41">
        <f t="shared" si="0"/>
        <v>322</v>
      </c>
      <c r="D36" s="42">
        <v>19097745</v>
      </c>
      <c r="E36" s="41">
        <f t="shared" si="1"/>
        <v>3440</v>
      </c>
      <c r="F36" s="42">
        <v>34170786</v>
      </c>
      <c r="G36" s="41">
        <f t="shared" si="2"/>
        <v>5363</v>
      </c>
      <c r="H36" s="42">
        <v>15135429</v>
      </c>
      <c r="I36" s="41">
        <f t="shared" si="3"/>
        <v>2262</v>
      </c>
    </row>
    <row r="37" spans="1:9" ht="21" thickTop="1" thickBot="1" x14ac:dyDescent="0.35">
      <c r="A37" s="39">
        <f t="shared" si="4"/>
        <v>44249</v>
      </c>
      <c r="B37" s="40">
        <v>10059</v>
      </c>
      <c r="C37" s="41">
        <f t="shared" si="0"/>
        <v>306</v>
      </c>
      <c r="D37" s="42">
        <v>19101185</v>
      </c>
      <c r="E37" s="41">
        <f t="shared" si="1"/>
        <v>3544</v>
      </c>
      <c r="F37" s="42">
        <v>34176149</v>
      </c>
      <c r="G37" s="41">
        <f t="shared" si="2"/>
        <v>5797</v>
      </c>
      <c r="H37" s="42">
        <v>15137691</v>
      </c>
      <c r="I37" s="41">
        <f t="shared" si="3"/>
        <v>2328</v>
      </c>
    </row>
    <row r="38" spans="1:9" ht="21" thickTop="1" thickBot="1" x14ac:dyDescent="0.35">
      <c r="A38" s="39">
        <f t="shared" si="4"/>
        <v>44250</v>
      </c>
      <c r="B38" s="40">
        <v>10365</v>
      </c>
      <c r="C38" s="41">
        <f t="shared" si="0"/>
        <v>303</v>
      </c>
      <c r="D38" s="42">
        <v>19104729</v>
      </c>
      <c r="E38" s="41">
        <f t="shared" si="1"/>
        <v>3174</v>
      </c>
      <c r="F38" s="42">
        <v>34181946</v>
      </c>
      <c r="G38" s="41">
        <f t="shared" si="2"/>
        <v>3842</v>
      </c>
      <c r="H38" s="42">
        <v>15140019</v>
      </c>
      <c r="I38" s="41">
        <f t="shared" si="3"/>
        <v>2069</v>
      </c>
    </row>
    <row r="39" spans="1:9" ht="21" thickTop="1" thickBot="1" x14ac:dyDescent="0.35">
      <c r="A39" s="39">
        <f t="shared" si="4"/>
        <v>44251</v>
      </c>
      <c r="B39" s="40">
        <v>10668</v>
      </c>
      <c r="C39" s="41">
        <f t="shared" si="0"/>
        <v>0</v>
      </c>
      <c r="D39" s="42">
        <v>19107903</v>
      </c>
      <c r="E39" s="41">
        <f t="shared" si="1"/>
        <v>0</v>
      </c>
      <c r="F39" s="42">
        <v>34185788</v>
      </c>
      <c r="G39" s="41">
        <f t="shared" si="2"/>
        <v>0</v>
      </c>
      <c r="H39" s="42">
        <v>15142088</v>
      </c>
      <c r="I39" s="41">
        <f t="shared" si="3"/>
        <v>0</v>
      </c>
    </row>
    <row r="40" spans="1:9" ht="21" thickTop="1" thickBot="1" x14ac:dyDescent="0.35">
      <c r="A40" s="39">
        <f t="shared" si="4"/>
        <v>44252</v>
      </c>
      <c r="B40" s="40"/>
      <c r="C40" s="41">
        <f t="shared" si="0"/>
        <v>0</v>
      </c>
      <c r="D40" s="42"/>
      <c r="E40" s="41">
        <f t="shared" ref="E39:E47" si="5">IF(D41&lt;D40,0,D41-D40)</f>
        <v>0</v>
      </c>
      <c r="F40" s="42"/>
      <c r="G40" s="41">
        <f t="shared" ref="G39:G47" si="6">IF(F41&lt;F40,0,F41-F40)</f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44253</v>
      </c>
      <c r="B41" s="40"/>
      <c r="C41" s="41">
        <f t="shared" si="0"/>
        <v>0</v>
      </c>
      <c r="D41" s="42"/>
      <c r="E41" s="41">
        <f t="shared" si="5"/>
        <v>0</v>
      </c>
      <c r="F41" s="42"/>
      <c r="G41" s="41">
        <f t="shared" si="6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44254</v>
      </c>
      <c r="B42" s="40"/>
      <c r="C42" s="41">
        <f t="shared" si="0"/>
        <v>0</v>
      </c>
      <c r="D42" s="42"/>
      <c r="E42" s="41">
        <f t="shared" si="5"/>
        <v>0</v>
      </c>
      <c r="F42" s="42"/>
      <c r="G42" s="41">
        <f t="shared" si="6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44255</v>
      </c>
      <c r="B43" s="40"/>
      <c r="C43" s="41">
        <f t="shared" si="0"/>
        <v>0</v>
      </c>
      <c r="D43" s="42"/>
      <c r="E43" s="41">
        <f t="shared" si="5"/>
        <v>0</v>
      </c>
      <c r="F43" s="42"/>
      <c r="G43" s="41">
        <f t="shared" si="6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44256</v>
      </c>
      <c r="B44" s="40"/>
      <c r="C44" s="41">
        <f t="shared" si="0"/>
        <v>0</v>
      </c>
      <c r="D44" s="42"/>
      <c r="E44" s="41">
        <f t="shared" si="5"/>
        <v>0</v>
      </c>
      <c r="F44" s="42"/>
      <c r="G44" s="41">
        <f t="shared" si="6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si="5"/>
        <v>0</v>
      </c>
      <c r="F45" s="42"/>
      <c r="G45" s="41">
        <f t="shared" si="6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6640</v>
      </c>
      <c r="E48" s="41">
        <f>SUM(E16:E43)</f>
        <v>77627</v>
      </c>
      <c r="F48" s="53"/>
      <c r="G48" s="41">
        <f>SUM(G16:G43)</f>
        <v>117400</v>
      </c>
      <c r="H48" s="53"/>
      <c r="I48" s="41">
        <f>SUM(I16:I43)</f>
        <v>51544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96" priority="1250" stopIfTrue="1" operator="lessThanOrEqual">
      <formula>0</formula>
    </cfRule>
  </conditionalFormatting>
  <conditionalFormatting sqref="C48">
    <cfRule type="cellIs" dxfId="95" priority="912" stopIfTrue="1" operator="lessThanOrEqual">
      <formula>0</formula>
    </cfRule>
  </conditionalFormatting>
  <conditionalFormatting sqref="C48">
    <cfRule type="cellIs" dxfId="94" priority="911" stopIfTrue="1" operator="lessThanOrEqual">
      <formula>0</formula>
    </cfRule>
  </conditionalFormatting>
  <conditionalFormatting sqref="C48">
    <cfRule type="cellIs" dxfId="93" priority="910" stopIfTrue="1" operator="lessThanOrEqual">
      <formula>0</formula>
    </cfRule>
  </conditionalFormatting>
  <conditionalFormatting sqref="C48">
    <cfRule type="cellIs" dxfId="92" priority="909" stopIfTrue="1" operator="lessThanOrEqual">
      <formula>0</formula>
    </cfRule>
  </conditionalFormatting>
  <conditionalFormatting sqref="C9:C10">
    <cfRule type="cellIs" dxfId="91" priority="100" stopIfTrue="1" operator="lessThanOrEqual">
      <formula>0</formula>
    </cfRule>
  </conditionalFormatting>
  <conditionalFormatting sqref="C9:C10">
    <cfRule type="cellIs" dxfId="90" priority="99" stopIfTrue="1" operator="lessThanOrEqual">
      <formula>0</formula>
    </cfRule>
  </conditionalFormatting>
  <conditionalFormatting sqref="C9:C10">
    <cfRule type="cellIs" dxfId="89" priority="98" stopIfTrue="1" operator="lessThanOrEqual">
      <formula>0</formula>
    </cfRule>
  </conditionalFormatting>
  <conditionalFormatting sqref="C9:C10">
    <cfRule type="cellIs" dxfId="88" priority="97" stopIfTrue="1" operator="lessThanOrEqual">
      <formula>0</formula>
    </cfRule>
  </conditionalFormatting>
  <conditionalFormatting sqref="C11:C14">
    <cfRule type="cellIs" dxfId="87" priority="96" stopIfTrue="1" operator="lessThanOrEqual">
      <formula>0</formula>
    </cfRule>
  </conditionalFormatting>
  <conditionalFormatting sqref="C11:C14">
    <cfRule type="cellIs" dxfId="86" priority="95" stopIfTrue="1" operator="lessThanOrEqual">
      <formula>0</formula>
    </cfRule>
  </conditionalFormatting>
  <conditionalFormatting sqref="C11:C14">
    <cfRule type="cellIs" dxfId="85" priority="94" stopIfTrue="1" operator="lessThanOrEqual">
      <formula>0</formula>
    </cfRule>
  </conditionalFormatting>
  <conditionalFormatting sqref="C11:C14">
    <cfRule type="cellIs" dxfId="84" priority="93" stopIfTrue="1" operator="lessThanOrEqual">
      <formula>0</formula>
    </cfRule>
  </conditionalFormatting>
  <conditionalFormatting sqref="C15">
    <cfRule type="cellIs" dxfId="83" priority="92" stopIfTrue="1" operator="lessThanOrEqual">
      <formula>0</formula>
    </cfRule>
  </conditionalFormatting>
  <conditionalFormatting sqref="C15">
    <cfRule type="cellIs" dxfId="82" priority="91" stopIfTrue="1" operator="lessThanOrEqual">
      <formula>0</formula>
    </cfRule>
  </conditionalFormatting>
  <conditionalFormatting sqref="C15">
    <cfRule type="cellIs" dxfId="81" priority="90" stopIfTrue="1" operator="lessThanOrEqual">
      <formula>0</formula>
    </cfRule>
  </conditionalFormatting>
  <conditionalFormatting sqref="C15">
    <cfRule type="cellIs" dxfId="80" priority="89" stopIfTrue="1" operator="lessThanOrEqual">
      <formula>0</formula>
    </cfRule>
  </conditionalFormatting>
  <conditionalFormatting sqref="C16 C40:C47">
    <cfRule type="cellIs" dxfId="79" priority="88" stopIfTrue="1" operator="lessThanOrEqual">
      <formula>0</formula>
    </cfRule>
  </conditionalFormatting>
  <conditionalFormatting sqref="C16 C40:C47">
    <cfRule type="cellIs" dxfId="78" priority="87" stopIfTrue="1" operator="lessThanOrEqual">
      <formula>0</formula>
    </cfRule>
  </conditionalFormatting>
  <conditionalFormatting sqref="C16 C40:C47">
    <cfRule type="cellIs" dxfId="77" priority="86" stopIfTrue="1" operator="lessThanOrEqual">
      <formula>0</formula>
    </cfRule>
  </conditionalFormatting>
  <conditionalFormatting sqref="C16 C40:C47">
    <cfRule type="cellIs" dxfId="76" priority="85" stopIfTrue="1" operator="lessThanOrEqual">
      <formula>0</formula>
    </cfRule>
  </conditionalFormatting>
  <conditionalFormatting sqref="C17">
    <cfRule type="cellIs" dxfId="75" priority="72" stopIfTrue="1" operator="lessThanOrEqual">
      <formula>0</formula>
    </cfRule>
  </conditionalFormatting>
  <conditionalFormatting sqref="C17">
    <cfRule type="cellIs" dxfId="74" priority="71" stopIfTrue="1" operator="lessThanOrEqual">
      <formula>0</formula>
    </cfRule>
  </conditionalFormatting>
  <conditionalFormatting sqref="C17">
    <cfRule type="cellIs" dxfId="73" priority="70" stopIfTrue="1" operator="lessThanOrEqual">
      <formula>0</formula>
    </cfRule>
  </conditionalFormatting>
  <conditionalFormatting sqref="C17">
    <cfRule type="cellIs" dxfId="72" priority="69" stopIfTrue="1" operator="lessThanOrEqual">
      <formula>0</formula>
    </cfRule>
  </conditionalFormatting>
  <conditionalFormatting sqref="E48">
    <cfRule type="cellIs" dxfId="71" priority="68" stopIfTrue="1" operator="lessThanOrEqual">
      <formula>0</formula>
    </cfRule>
  </conditionalFormatting>
  <conditionalFormatting sqref="E48">
    <cfRule type="cellIs" dxfId="70" priority="67" stopIfTrue="1" operator="lessThanOrEqual">
      <formula>0</formula>
    </cfRule>
  </conditionalFormatting>
  <conditionalFormatting sqref="E48">
    <cfRule type="cellIs" dxfId="69" priority="66" stopIfTrue="1" operator="lessThanOrEqual">
      <formula>0</formula>
    </cfRule>
  </conditionalFormatting>
  <conditionalFormatting sqref="E48">
    <cfRule type="cellIs" dxfId="68" priority="65" stopIfTrue="1" operator="lessThanOrEqual">
      <formula>0</formula>
    </cfRule>
  </conditionalFormatting>
  <conditionalFormatting sqref="G48">
    <cfRule type="cellIs" dxfId="67" priority="64" stopIfTrue="1" operator="lessThanOrEqual">
      <formula>0</formula>
    </cfRule>
  </conditionalFormatting>
  <conditionalFormatting sqref="G48">
    <cfRule type="cellIs" dxfId="66" priority="63" stopIfTrue="1" operator="lessThanOrEqual">
      <formula>0</formula>
    </cfRule>
  </conditionalFormatting>
  <conditionalFormatting sqref="G48">
    <cfRule type="cellIs" dxfId="65" priority="62" stopIfTrue="1" operator="lessThanOrEqual">
      <formula>0</formula>
    </cfRule>
  </conditionalFormatting>
  <conditionalFormatting sqref="G48">
    <cfRule type="cellIs" dxfId="64" priority="61" stopIfTrue="1" operator="lessThanOrEqual">
      <formula>0</formula>
    </cfRule>
  </conditionalFormatting>
  <conditionalFormatting sqref="I48">
    <cfRule type="cellIs" dxfId="63" priority="60" stopIfTrue="1" operator="lessThanOrEqual">
      <formula>0</formula>
    </cfRule>
  </conditionalFormatting>
  <conditionalFormatting sqref="I48">
    <cfRule type="cellIs" dxfId="62" priority="59" stopIfTrue="1" operator="lessThanOrEqual">
      <formula>0</formula>
    </cfRule>
  </conditionalFormatting>
  <conditionalFormatting sqref="I48">
    <cfRule type="cellIs" dxfId="61" priority="58" stopIfTrue="1" operator="lessThanOrEqual">
      <formula>0</formula>
    </cfRule>
  </conditionalFormatting>
  <conditionalFormatting sqref="I48">
    <cfRule type="cellIs" dxfId="60" priority="57" stopIfTrue="1" operator="lessThanOrEqual">
      <formula>0</formula>
    </cfRule>
  </conditionalFormatting>
  <conditionalFormatting sqref="C18">
    <cfRule type="cellIs" dxfId="59" priority="56" stopIfTrue="1" operator="lessThanOrEqual">
      <formula>0</formula>
    </cfRule>
  </conditionalFormatting>
  <conditionalFormatting sqref="C18">
    <cfRule type="cellIs" dxfId="58" priority="55" stopIfTrue="1" operator="lessThanOrEqual">
      <formula>0</formula>
    </cfRule>
  </conditionalFormatting>
  <conditionalFormatting sqref="C18">
    <cfRule type="cellIs" dxfId="57" priority="54" stopIfTrue="1" operator="lessThanOrEqual">
      <formula>0</formula>
    </cfRule>
  </conditionalFormatting>
  <conditionalFormatting sqref="C18">
    <cfRule type="cellIs" dxfId="56" priority="53" stopIfTrue="1" operator="lessThanOrEqual">
      <formula>0</formula>
    </cfRule>
  </conditionalFormatting>
  <conditionalFormatting sqref="C19:C21">
    <cfRule type="cellIs" dxfId="55" priority="52" stopIfTrue="1" operator="lessThanOrEqual">
      <formula>0</formula>
    </cfRule>
  </conditionalFormatting>
  <conditionalFormatting sqref="C19:C21">
    <cfRule type="cellIs" dxfId="54" priority="51" stopIfTrue="1" operator="lessThanOrEqual">
      <formula>0</formula>
    </cfRule>
  </conditionalFormatting>
  <conditionalFormatting sqref="C19:C21">
    <cfRule type="cellIs" dxfId="53" priority="50" stopIfTrue="1" operator="lessThanOrEqual">
      <formula>0</formula>
    </cfRule>
  </conditionalFormatting>
  <conditionalFormatting sqref="C19:C21">
    <cfRule type="cellIs" dxfId="52" priority="49" stopIfTrue="1" operator="lessThanOrEqual">
      <formula>0</formula>
    </cfRule>
  </conditionalFormatting>
  <conditionalFormatting sqref="C22:C23">
    <cfRule type="cellIs" dxfId="51" priority="48" stopIfTrue="1" operator="lessThanOrEqual">
      <formula>0</formula>
    </cfRule>
  </conditionalFormatting>
  <conditionalFormatting sqref="C22:C23">
    <cfRule type="cellIs" dxfId="50" priority="47" stopIfTrue="1" operator="lessThanOrEqual">
      <formula>0</formula>
    </cfRule>
  </conditionalFormatting>
  <conditionalFormatting sqref="C22:C23">
    <cfRule type="cellIs" dxfId="49" priority="46" stopIfTrue="1" operator="lessThanOrEqual">
      <formula>0</formula>
    </cfRule>
  </conditionalFormatting>
  <conditionalFormatting sqref="C22:C23">
    <cfRule type="cellIs" dxfId="48" priority="45" stopIfTrue="1" operator="lessThanOrEqual">
      <formula>0</formula>
    </cfRule>
  </conditionalFormatting>
  <conditionalFormatting sqref="C24">
    <cfRule type="cellIs" dxfId="47" priority="44" stopIfTrue="1" operator="lessThanOrEqual">
      <formula>0</formula>
    </cfRule>
  </conditionalFormatting>
  <conditionalFormatting sqref="C24">
    <cfRule type="cellIs" dxfId="46" priority="43" stopIfTrue="1" operator="lessThanOrEqual">
      <formula>0</formula>
    </cfRule>
  </conditionalFormatting>
  <conditionalFormatting sqref="C24">
    <cfRule type="cellIs" dxfId="45" priority="42" stopIfTrue="1" operator="lessThanOrEqual">
      <formula>0</formula>
    </cfRule>
  </conditionalFormatting>
  <conditionalFormatting sqref="C24">
    <cfRule type="cellIs" dxfId="44" priority="41" stopIfTrue="1" operator="lessThanOrEqual">
      <formula>0</formula>
    </cfRule>
  </conditionalFormatting>
  <conditionalFormatting sqref="C25">
    <cfRule type="cellIs" dxfId="43" priority="40" stopIfTrue="1" operator="lessThanOrEqual">
      <formula>0</formula>
    </cfRule>
  </conditionalFormatting>
  <conditionalFormatting sqref="C25">
    <cfRule type="cellIs" dxfId="42" priority="39" stopIfTrue="1" operator="lessThanOrEqual">
      <formula>0</formula>
    </cfRule>
  </conditionalFormatting>
  <conditionalFormatting sqref="C25">
    <cfRule type="cellIs" dxfId="41" priority="38" stopIfTrue="1" operator="lessThanOrEqual">
      <formula>0</formula>
    </cfRule>
  </conditionalFormatting>
  <conditionalFormatting sqref="C25">
    <cfRule type="cellIs" dxfId="40" priority="37" stopIfTrue="1" operator="lessThanOrEqual">
      <formula>0</formula>
    </cfRule>
  </conditionalFormatting>
  <conditionalFormatting sqref="C26:C29">
    <cfRule type="cellIs" dxfId="39" priority="36" stopIfTrue="1" operator="lessThanOrEqual">
      <formula>0</formula>
    </cfRule>
  </conditionalFormatting>
  <conditionalFormatting sqref="C26:C29">
    <cfRule type="cellIs" dxfId="38" priority="35" stopIfTrue="1" operator="lessThanOrEqual">
      <formula>0</formula>
    </cfRule>
  </conditionalFormatting>
  <conditionalFormatting sqref="C26:C29">
    <cfRule type="cellIs" dxfId="37" priority="34" stopIfTrue="1" operator="lessThanOrEqual">
      <formula>0</formula>
    </cfRule>
  </conditionalFormatting>
  <conditionalFormatting sqref="C26:C29">
    <cfRule type="cellIs" dxfId="36" priority="33" stopIfTrue="1" operator="lessThanOrEqual">
      <formula>0</formula>
    </cfRule>
  </conditionalFormatting>
  <conditionalFormatting sqref="C30">
    <cfRule type="cellIs" dxfId="35" priority="32" stopIfTrue="1" operator="lessThanOrEqual">
      <formula>0</formula>
    </cfRule>
  </conditionalFormatting>
  <conditionalFormatting sqref="C30">
    <cfRule type="cellIs" dxfId="34" priority="31" stopIfTrue="1" operator="lessThanOrEqual">
      <formula>0</formula>
    </cfRule>
  </conditionalFormatting>
  <conditionalFormatting sqref="C30">
    <cfRule type="cellIs" dxfId="33" priority="30" stopIfTrue="1" operator="lessThanOrEqual">
      <formula>0</formula>
    </cfRule>
  </conditionalFormatting>
  <conditionalFormatting sqref="C30">
    <cfRule type="cellIs" dxfId="32" priority="29" stopIfTrue="1" operator="lessThanOrEqual">
      <formula>0</formula>
    </cfRule>
  </conditionalFormatting>
  <conditionalFormatting sqref="C31">
    <cfRule type="cellIs" dxfId="31" priority="28" stopIfTrue="1" operator="lessThanOrEqual">
      <formula>0</formula>
    </cfRule>
  </conditionalFormatting>
  <conditionalFormatting sqref="C31">
    <cfRule type="cellIs" dxfId="30" priority="27" stopIfTrue="1" operator="lessThanOrEqual">
      <formula>0</formula>
    </cfRule>
  </conditionalFormatting>
  <conditionalFormatting sqref="C31">
    <cfRule type="cellIs" dxfId="29" priority="26" stopIfTrue="1" operator="lessThanOrEqual">
      <formula>0</formula>
    </cfRule>
  </conditionalFormatting>
  <conditionalFormatting sqref="C31">
    <cfRule type="cellIs" dxfId="28" priority="25" stopIfTrue="1" operator="lessThanOrEqual">
      <formula>0</formula>
    </cfRule>
  </conditionalFormatting>
  <conditionalFormatting sqref="C32">
    <cfRule type="cellIs" dxfId="27" priority="24" stopIfTrue="1" operator="lessThanOrEqual">
      <formula>0</formula>
    </cfRule>
  </conditionalFormatting>
  <conditionalFormatting sqref="C32">
    <cfRule type="cellIs" dxfId="26" priority="23" stopIfTrue="1" operator="lessThanOrEqual">
      <formula>0</formula>
    </cfRule>
  </conditionalFormatting>
  <conditionalFormatting sqref="C32">
    <cfRule type="cellIs" dxfId="25" priority="22" stopIfTrue="1" operator="lessThanOrEqual">
      <formula>0</formula>
    </cfRule>
  </conditionalFormatting>
  <conditionalFormatting sqref="C32">
    <cfRule type="cellIs" dxfId="24" priority="21" stopIfTrue="1" operator="lessThanOrEqual">
      <formula>0</formula>
    </cfRule>
  </conditionalFormatting>
  <conditionalFormatting sqref="C33:C35">
    <cfRule type="cellIs" dxfId="23" priority="20" stopIfTrue="1" operator="lessThanOrEqual">
      <formula>0</formula>
    </cfRule>
  </conditionalFormatting>
  <conditionalFormatting sqref="C33:C35">
    <cfRule type="cellIs" dxfId="22" priority="19" stopIfTrue="1" operator="lessThanOrEqual">
      <formula>0</formula>
    </cfRule>
  </conditionalFormatting>
  <conditionalFormatting sqref="C33:C35">
    <cfRule type="cellIs" dxfId="21" priority="18" stopIfTrue="1" operator="lessThanOrEqual">
      <formula>0</formula>
    </cfRule>
  </conditionalFormatting>
  <conditionalFormatting sqref="C33:C35">
    <cfRule type="cellIs" dxfId="20" priority="17" stopIfTrue="1" operator="lessThanOrEqual">
      <formula>0</formula>
    </cfRule>
  </conditionalFormatting>
  <conditionalFormatting sqref="C36">
    <cfRule type="cellIs" dxfId="19" priority="16" stopIfTrue="1" operator="lessThanOrEqual">
      <formula>0</formula>
    </cfRule>
  </conditionalFormatting>
  <conditionalFormatting sqref="C36">
    <cfRule type="cellIs" dxfId="18" priority="15" stopIfTrue="1" operator="lessThanOrEqual">
      <formula>0</formula>
    </cfRule>
  </conditionalFormatting>
  <conditionalFormatting sqref="C36">
    <cfRule type="cellIs" dxfId="17" priority="14" stopIfTrue="1" operator="lessThanOrEqual">
      <formula>0</formula>
    </cfRule>
  </conditionalFormatting>
  <conditionalFormatting sqref="C36">
    <cfRule type="cellIs" dxfId="16" priority="13" stopIfTrue="1" operator="lessThanOrEqual">
      <formula>0</formula>
    </cfRule>
  </conditionalFormatting>
  <conditionalFormatting sqref="C37">
    <cfRule type="cellIs" dxfId="15" priority="12" stopIfTrue="1" operator="lessThanOrEqual">
      <formula>0</formula>
    </cfRule>
  </conditionalFormatting>
  <conditionalFormatting sqref="C37">
    <cfRule type="cellIs" dxfId="14" priority="11" stopIfTrue="1" operator="lessThanOrEqual">
      <formula>0</formula>
    </cfRule>
  </conditionalFormatting>
  <conditionalFormatting sqref="C37">
    <cfRule type="cellIs" dxfId="13" priority="10" stopIfTrue="1" operator="lessThanOrEqual">
      <formula>0</formula>
    </cfRule>
  </conditionalFormatting>
  <conditionalFormatting sqref="C37">
    <cfRule type="cellIs" dxfId="12" priority="9" stopIfTrue="1" operator="lessThanOrEqual">
      <formula>0</formula>
    </cfRule>
  </conditionalFormatting>
  <conditionalFormatting sqref="C38">
    <cfRule type="cellIs" dxfId="11" priority="8" stopIfTrue="1" operator="lessThanOrEqual">
      <formula>0</formula>
    </cfRule>
  </conditionalFormatting>
  <conditionalFormatting sqref="C38">
    <cfRule type="cellIs" dxfId="10" priority="7" stopIfTrue="1" operator="lessThanOrEqual">
      <formula>0</formula>
    </cfRule>
  </conditionalFormatting>
  <conditionalFormatting sqref="C38">
    <cfRule type="cellIs" dxfId="9" priority="6" stopIfTrue="1" operator="lessThanOrEqual">
      <formula>0</formula>
    </cfRule>
  </conditionalFormatting>
  <conditionalFormatting sqref="C38">
    <cfRule type="cellIs" dxfId="8" priority="5" stopIfTrue="1" operator="lessThanOrEqual">
      <formula>0</formula>
    </cfRule>
  </conditionalFormatting>
  <conditionalFormatting sqref="C39">
    <cfRule type="cellIs" dxfId="7" priority="4" stopIfTrue="1" operator="lessThanOrEqual">
      <formula>0</formula>
    </cfRule>
  </conditionalFormatting>
  <conditionalFormatting sqref="C39">
    <cfRule type="cellIs" dxfId="5" priority="3" stopIfTrue="1" operator="lessThanOrEqual">
      <formula>0</formula>
    </cfRule>
  </conditionalFormatting>
  <conditionalFormatting sqref="C39">
    <cfRule type="cellIs" dxfId="3" priority="2" stopIfTrue="1" operator="lessThanOrEqual">
      <formula>0</formula>
    </cfRule>
  </conditionalFormatting>
  <conditionalFormatting sqref="C39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2021-02-24T07:13:46Z</dcterms:modified>
</cp:coreProperties>
</file>