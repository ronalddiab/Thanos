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C28" i="7" l="1"/>
  <c r="BC32" i="7"/>
  <c r="BC36" i="7"/>
  <c r="BA47" i="7"/>
  <c r="BA46" i="7"/>
  <c r="BB28" i="7"/>
  <c r="S23" i="9" s="1"/>
  <c r="BB29" i="7"/>
  <c r="S24" i="9" s="1"/>
  <c r="BB30" i="7"/>
  <c r="S25" i="9" s="1"/>
  <c r="BB32" i="7"/>
  <c r="S27" i="9" s="1"/>
  <c r="BB33" i="7"/>
  <c r="S28" i="9" s="1"/>
  <c r="BB34" i="7"/>
  <c r="S29" i="9" s="1"/>
  <c r="BB36" i="7"/>
  <c r="S31" i="9" s="1"/>
  <c r="BB37" i="7"/>
  <c r="S32" i="9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A29" i="7"/>
  <c r="BA30" i="7"/>
  <c r="BA31" i="7"/>
  <c r="BB31" i="7" s="1"/>
  <c r="BA32" i="7"/>
  <c r="BA33" i="7"/>
  <c r="BA34" i="7"/>
  <c r="BA35" i="7"/>
  <c r="BB35" i="7" s="1"/>
  <c r="BA36" i="7"/>
  <c r="BA37" i="7"/>
  <c r="BA38" i="7"/>
  <c r="BA7" i="7"/>
  <c r="BB7" i="7" s="1"/>
  <c r="S19" i="9" l="1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<sst xmlns="http://schemas.openxmlformats.org/spreadsheetml/2006/main" count="140" uniqueCount="60">
  <si>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</si>
  <si>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</si>
  <si>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</si>
  <si>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</si>
  <si>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</si>
  <si>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</si>
  <si>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</si>
  <si>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</si>
  <si>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</si>
  <si>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</si>
  <si>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</si>
  <si>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</si>
  <si>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</si>
  <si>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</si>
  <si>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</si>
  <si>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</si>
  <si>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</si>
  <si>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</si>
  <si>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</si>
  <si>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</si>
  <si>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</si>
  <si>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</si>
  <si>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</si>
  <si>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</si>
  <si>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</si>
  <si>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</si>
  <si>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</si>
  <si>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</si>
  <si>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</si>
  <si>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</si>
  <si>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</si>
  <si>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</si>
  <si>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</si>
  <si>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</si>
  <si>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</si>
  <si>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</si>
  <si>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</si>
  <si>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</si>
  <si>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</si>
  <si>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</si>
  <si>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</si>
  <si>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</si>
  <si>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</si>
  <si>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</si>
  <si>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</si>
  <si>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</si>
  <si>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</si>
  <si>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</si>
  <si>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</si>
  <si>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</si>
  <si>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</si>
  <si>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</si>
  <si>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</si>
  <si>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</si>
  <si>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</si>
  <si>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</si>
  <si>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</si>
  <si>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</si>
  <si>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Feb</t>
  </si>
  <si>
    <t>Fuel Consumption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</si>
</sst>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I2" sqref="I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31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31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31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 x14ac:dyDescent="0.25">
      <c r="A3" s="21" t="s">
        <v>31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 x14ac:dyDescent="0.25">
      <c r="A4" s="21" t="s">
        <v>31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 x14ac:dyDescent="0.25">
      <c r="A5" s="21" t="s">
        <v>31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 x14ac:dyDescent="0.25">
      <c r="A6" s="21" t="s">
        <v>31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 x14ac:dyDescent="0.25">
      <c r="A7" s="21" t="s">
        <v>31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 x14ac:dyDescent="0.25">
      <c r="A8" s="21" t="s">
        <v>31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 x14ac:dyDescent="0.25">
      <c r="A9" s="21" t="s">
        <v>31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 x14ac:dyDescent="0.25">
      <c r="A10" s="21" t="s">
        <v>31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 x14ac:dyDescent="0.25">
      <c r="A11" s="21" t="s">
        <v>31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 x14ac:dyDescent="0.25">
      <c r="A12" s="21" t="s">
        <v>31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 x14ac:dyDescent="0.25">
      <c r="A13" s="21" t="s">
        <v>31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 x14ac:dyDescent="0.25">
      <c r="A14" s="21" t="s">
        <v>31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 x14ac:dyDescent="0.25">
      <c r="A15" s="21" t="s">
        <v>31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 x14ac:dyDescent="0.25">
      <c r="A16" s="21" t="s">
        <v>31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 x14ac:dyDescent="0.25">
      <c r="A17" s="21" t="s">
        <v>31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 x14ac:dyDescent="0.25">
      <c r="A18" s="21" t="s">
        <v>31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 x14ac:dyDescent="0.25">
      <c r="A19" s="21" t="s">
        <v>31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 x14ac:dyDescent="0.25">
      <c r="A20" s="21" t="s">
        <v>31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 x14ac:dyDescent="0.25">
      <c r="A21" s="21" t="s">
        <v>31</v>
      </c>
      <c r="B21" s="2">
        <f t="shared" si="0"/>
        <v>20</v>
      </c>
      <c r="C21" s="3">
        <v>2</v>
      </c>
      <c r="D21" s="11">
        <v>2023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Hotel!AU26</f>
        <v>0</v>
      </c>
      <c r="S21" s="4">
        <f>Hotel!BB26</f>
        <v>0</v>
      </c>
      <c r="T21" s="4">
        <f>Hotel!AY26</f>
        <v>0</v>
      </c>
      <c r="U21" s="4">
        <f>Hotel!B26</f>
        <v>0</v>
      </c>
    </row>
    <row r="22" spans="1:21" x14ac:dyDescent="0.25">
      <c r="A22" s="21" t="s">
        <v>31</v>
      </c>
      <c r="B22" s="2">
        <f t="shared" si="0"/>
        <v>21</v>
      </c>
      <c r="C22" s="3">
        <v>2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Hotel!BB27</f>
        <v>0</v>
      </c>
      <c r="T22" s="4">
        <f>Hotel!AY27</f>
        <v>0</v>
      </c>
      <c r="U22" s="4">
        <f>Hotel!B27</f>
        <v>0</v>
      </c>
    </row>
    <row r="23" spans="1:21" x14ac:dyDescent="0.25">
      <c r="A23" s="21" t="s">
        <v>31</v>
      </c>
      <c r="B23" s="2">
        <f t="shared" si="0"/>
        <v>22</v>
      </c>
      <c r="C23" s="3">
        <v>2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Hotel!BB28</f>
        <v>0</v>
      </c>
      <c r="T23" s="4">
        <f>Hotel!AY28</f>
        <v>0</v>
      </c>
      <c r="U23" s="4">
        <f>Hotel!B28</f>
        <v>0</v>
      </c>
    </row>
    <row r="24" spans="1:21" x14ac:dyDescent="0.25">
      <c r="A24" s="21" t="s">
        <v>31</v>
      </c>
      <c r="B24" s="2">
        <f t="shared" si="0"/>
        <v>23</v>
      </c>
      <c r="C24" s="3">
        <v>2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Hotel!BB29</f>
        <v>0</v>
      </c>
      <c r="T24" s="4">
        <f>Hotel!AY29</f>
        <v>0</v>
      </c>
      <c r="U24" s="4">
        <f>Hotel!B29</f>
        <v>0</v>
      </c>
    </row>
    <row r="25" spans="1:21" x14ac:dyDescent="0.25">
      <c r="A25" s="21" t="s">
        <v>31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Hotel!BB30</f>
        <v>0</v>
      </c>
      <c r="T25" s="4">
        <f>Hotel!AY30</f>
        <v>0</v>
      </c>
      <c r="U25" s="4">
        <f>Hotel!B30</f>
        <v>0</v>
      </c>
    </row>
    <row r="26" spans="1:21" x14ac:dyDescent="0.25">
      <c r="A26" s="21" t="s">
        <v>31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 x14ac:dyDescent="0.25">
      <c r="A27" s="21" t="s">
        <v>31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 x14ac:dyDescent="0.25">
      <c r="A28" s="21" t="s">
        <v>31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 x14ac:dyDescent="0.25">
      <c r="A29" s="21" t="s">
        <v>31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 x14ac:dyDescent="0.25">
      <c r="A30" s="21" t="s">
        <v>31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 x14ac:dyDescent="0.25">
      <c r="A31" s="21" t="s">
        <v>31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 x14ac:dyDescent="0.25">
      <c r="A32" s="21" t="s">
        <v>31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C47"/>
  <sheetViews>
    <sheetView tabSelected="1" topLeftCell="AD4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 x14ac:dyDescent="0.2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W2" s="61">
        <v>67633</v>
      </c>
      <c r="AX2" s="61"/>
      <c r="AY2" s="61"/>
      <c r="AZ2" s="55">
        <v>407070</v>
      </c>
    </row>
    <row r="4" spans="1:55" ht="20.25" customHeight="1" x14ac:dyDescent="0.25">
      <c r="A4" s="26" t="s">
        <v>22</v>
      </c>
      <c r="B4" s="41" t="s">
        <v>47</v>
      </c>
      <c r="C4" s="27" t="s">
        <v>58</v>
      </c>
      <c r="D4" s="75" t="s">
        <v>23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Q4" s="77" t="s">
        <v>24</v>
      </c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28" t="s">
        <v>25</v>
      </c>
      <c r="AF4" s="80" t="s">
        <v>26</v>
      </c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29" t="s">
        <v>27</v>
      </c>
      <c r="AT4" s="81" t="s">
        <v>59</v>
      </c>
      <c r="AU4" s="81" t="s">
        <v>51</v>
      </c>
      <c r="AW4" s="82" t="s">
        <v>53</v>
      </c>
      <c r="AX4" s="82" t="s">
        <v>55</v>
      </c>
      <c r="AY4" s="82" t="s">
        <v>56</v>
      </c>
      <c r="AZ4" s="71" t="s">
        <v>28</v>
      </c>
      <c r="BA4" s="72" t="s">
        <v>29</v>
      </c>
      <c r="BB4" s="72" t="s">
        <v>48</v>
      </c>
      <c r="BC4" s="74" t="s">
        <v>30</v>
      </c>
    </row>
    <row r="5" spans="1:55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81"/>
      <c r="AU5" s="81"/>
      <c r="AW5" s="82"/>
      <c r="AX5" s="82"/>
      <c r="AY5" s="82"/>
      <c r="AZ5" s="71"/>
      <c r="BA5" s="73"/>
      <c r="BB5" s="73"/>
      <c r="BC5" s="74"/>
    </row>
    <row r="6" spans="1:55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57</v>
      </c>
      <c r="AZ6" s="55">
        <v>407070</v>
      </c>
    </row>
    <row r="7" spans="1:55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 x14ac:dyDescent="0.25">
      <c r="A26" s="23">
        <v>44977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 t="str">
        <f t="shared" si="37"/>
        <v>0</v>
      </c>
      <c r="R26" s="37" t="str">
        <f t="shared" si="23"/>
        <v>0</v>
      </c>
      <c r="S26" s="37" t="str">
        <f t="shared" si="37"/>
        <v>0</v>
      </c>
      <c r="T26" s="37" t="str">
        <f t="shared" si="37"/>
        <v>0</v>
      </c>
      <c r="U26" s="37" t="str">
        <f t="shared" si="37"/>
        <v>0</v>
      </c>
      <c r="V26" s="37" t="str">
        <f t="shared" si="37"/>
        <v>0</v>
      </c>
      <c r="W26" s="37" t="str">
        <f t="shared" si="37"/>
        <v>0</v>
      </c>
      <c r="X26" s="37" t="str">
        <f t="shared" si="37"/>
        <v>0</v>
      </c>
      <c r="Y26" s="37" t="str">
        <f t="shared" si="37"/>
        <v>0</v>
      </c>
      <c r="Z26" s="37" t="str">
        <f t="shared" si="37"/>
        <v>0</v>
      </c>
      <c r="AA26" s="37" t="str">
        <f t="shared" si="37"/>
        <v>0</v>
      </c>
      <c r="AB26" s="37" t="str">
        <f t="shared" si="37"/>
        <v>0</v>
      </c>
      <c r="AC26" s="37" t="str">
        <f t="shared" si="37"/>
        <v>0</v>
      </c>
      <c r="AD26" s="35">
        <f t="shared" si="34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5"/>
        <v>0</v>
      </c>
      <c r="AT26" s="66"/>
      <c r="AU26" s="68">
        <f t="shared" si="16"/>
        <v>0</v>
      </c>
      <c r="AW26" s="62">
        <v>0</v>
      </c>
      <c r="AX26" s="61">
        <f t="shared" si="17"/>
        <v>0</v>
      </c>
      <c r="AY26" s="63">
        <f t="shared" si="18"/>
        <v>0</v>
      </c>
      <c r="AZ26" s="54"/>
      <c r="BA26" s="37">
        <f t="shared" si="19"/>
        <v>0</v>
      </c>
      <c r="BB26" s="37">
        <f t="shared" si="20"/>
        <v>0</v>
      </c>
      <c r="BC26" s="59">
        <f t="shared" si="21"/>
        <v>0</v>
      </c>
    </row>
    <row r="27" spans="1:55" x14ac:dyDescent="0.25">
      <c r="A27" s="23">
        <v>44978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7"/>
        <v>0</v>
      </c>
      <c r="R27" s="37">
        <f t="shared" si="23"/>
        <v>0</v>
      </c>
      <c r="S27" s="37">
        <f t="shared" si="37"/>
        <v>0</v>
      </c>
      <c r="T27" s="37">
        <f t="shared" si="37"/>
        <v>0</v>
      </c>
      <c r="U27" s="37">
        <f t="shared" si="37"/>
        <v>0</v>
      </c>
      <c r="V27" s="37">
        <f t="shared" si="37"/>
        <v>0</v>
      </c>
      <c r="W27" s="37">
        <f t="shared" si="37"/>
        <v>0</v>
      </c>
      <c r="X27" s="37">
        <f t="shared" si="37"/>
        <v>0</v>
      </c>
      <c r="Y27" s="37">
        <f t="shared" si="37"/>
        <v>0</v>
      </c>
      <c r="Z27" s="37">
        <f t="shared" si="37"/>
        <v>0</v>
      </c>
      <c r="AA27" s="37">
        <f t="shared" si="37"/>
        <v>0</v>
      </c>
      <c r="AB27" s="37">
        <f t="shared" si="37"/>
        <v>0</v>
      </c>
      <c r="AC27" s="37">
        <f t="shared" si="37"/>
        <v>0</v>
      </c>
      <c r="AD27" s="35">
        <f t="shared" si="34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5"/>
        <v>0</v>
      </c>
      <c r="AT27" s="66"/>
      <c r="AU27" s="68">
        <f t="shared" si="16"/>
        <v>0</v>
      </c>
      <c r="AW27" s="62">
        <v>0</v>
      </c>
      <c r="AX27" s="61">
        <f t="shared" si="17"/>
        <v>0</v>
      </c>
      <c r="AY27" s="63">
        <f t="shared" si="18"/>
        <v>0</v>
      </c>
      <c r="AZ27" s="52"/>
      <c r="BA27" s="37">
        <f t="shared" si="19"/>
        <v>0</v>
      </c>
      <c r="BB27" s="37">
        <f t="shared" si="20"/>
        <v>0</v>
      </c>
      <c r="BC27" s="59">
        <f t="shared" si="21"/>
        <v>0</v>
      </c>
    </row>
    <row r="28" spans="1:55" x14ac:dyDescent="0.25">
      <c r="A28" s="23">
        <v>44979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22"/>
        <v>0</v>
      </c>
      <c r="R28" s="37">
        <f t="shared" si="23"/>
        <v>0</v>
      </c>
      <c r="S28" s="37">
        <f t="shared" si="15"/>
        <v>0</v>
      </c>
      <c r="T28" s="37">
        <f t="shared" si="24"/>
        <v>0</v>
      </c>
      <c r="U28" s="37">
        <f t="shared" si="25"/>
        <v>0</v>
      </c>
      <c r="V28" s="37">
        <f t="shared" si="26"/>
        <v>0</v>
      </c>
      <c r="W28" s="37">
        <f t="shared" si="27"/>
        <v>0</v>
      </c>
      <c r="X28" s="37">
        <f t="shared" si="28"/>
        <v>0</v>
      </c>
      <c r="Y28" s="37">
        <f t="shared" si="29"/>
        <v>0</v>
      </c>
      <c r="Z28" s="37">
        <f t="shared" si="30"/>
        <v>0</v>
      </c>
      <c r="AA28" s="37">
        <f t="shared" si="31"/>
        <v>0</v>
      </c>
      <c r="AB28" s="37">
        <f t="shared" si="32"/>
        <v>0</v>
      </c>
      <c r="AC28" s="37">
        <f t="shared" si="33"/>
        <v>0</v>
      </c>
      <c r="AD28" s="35">
        <f t="shared" si="34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5"/>
        <v>0</v>
      </c>
      <c r="AT28" s="66"/>
      <c r="AU28" s="68">
        <f t="shared" si="16"/>
        <v>0</v>
      </c>
      <c r="AW28" s="62">
        <v>0</v>
      </c>
      <c r="AX28" s="61">
        <f t="shared" si="17"/>
        <v>0</v>
      </c>
      <c r="AY28" s="63">
        <f t="shared" si="18"/>
        <v>0</v>
      </c>
      <c r="AZ28" s="52"/>
      <c r="BA28" s="37">
        <f t="shared" si="19"/>
        <v>0</v>
      </c>
      <c r="BB28" s="37">
        <f t="shared" si="20"/>
        <v>0</v>
      </c>
      <c r="BC28" s="59">
        <f t="shared" si="21"/>
        <v>0</v>
      </c>
    </row>
    <row r="29" spans="1:55" x14ac:dyDescent="0.25">
      <c r="A29" s="23">
        <v>44980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22"/>
        <v>0</v>
      </c>
      <c r="R29" s="37">
        <f t="shared" si="23"/>
        <v>0</v>
      </c>
      <c r="S29" s="37">
        <f t="shared" si="15"/>
        <v>0</v>
      </c>
      <c r="T29" s="37">
        <f t="shared" si="24"/>
        <v>0</v>
      </c>
      <c r="U29" s="37">
        <f t="shared" si="25"/>
        <v>0</v>
      </c>
      <c r="V29" s="37">
        <f t="shared" si="26"/>
        <v>0</v>
      </c>
      <c r="W29" s="37">
        <f t="shared" si="27"/>
        <v>0</v>
      </c>
      <c r="X29" s="37">
        <f t="shared" si="28"/>
        <v>0</v>
      </c>
      <c r="Y29" s="37">
        <f t="shared" si="29"/>
        <v>0</v>
      </c>
      <c r="Z29" s="37">
        <f t="shared" si="30"/>
        <v>0</v>
      </c>
      <c r="AA29" s="37">
        <f t="shared" si="31"/>
        <v>0</v>
      </c>
      <c r="AB29" s="37">
        <f t="shared" si="32"/>
        <v>0</v>
      </c>
      <c r="AC29" s="37">
        <f t="shared" si="33"/>
        <v>0</v>
      </c>
      <c r="AD29" s="35">
        <f t="shared" si="34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5"/>
        <v>0</v>
      </c>
      <c r="AT29" s="66"/>
      <c r="AU29" s="68">
        <f t="shared" si="16"/>
        <v>0</v>
      </c>
      <c r="AW29" s="62">
        <v>0</v>
      </c>
      <c r="AX29" s="61">
        <f t="shared" si="17"/>
        <v>0</v>
      </c>
      <c r="AY29" s="63">
        <f t="shared" si="18"/>
        <v>0</v>
      </c>
      <c r="AZ29" s="58"/>
      <c r="BA29" s="37">
        <f t="shared" si="19"/>
        <v>0</v>
      </c>
      <c r="BB29" s="37">
        <f t="shared" si="20"/>
        <v>0</v>
      </c>
      <c r="BC29" s="59">
        <f t="shared" si="21"/>
        <v>0</v>
      </c>
    </row>
    <row r="30" spans="1:55" x14ac:dyDescent="0.25">
      <c r="A30" s="23">
        <v>44981</v>
      </c>
      <c r="B30" s="4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Q30" s="37">
        <f t="shared" si="22"/>
        <v>0</v>
      </c>
      <c r="R30" s="37">
        <f t="shared" si="23"/>
        <v>0</v>
      </c>
      <c r="S30" s="37">
        <f t="shared" si="15"/>
        <v>0</v>
      </c>
      <c r="T30" s="37">
        <f t="shared" si="24"/>
        <v>0</v>
      </c>
      <c r="U30" s="37">
        <f t="shared" si="25"/>
        <v>0</v>
      </c>
      <c r="V30" s="37">
        <f t="shared" si="26"/>
        <v>0</v>
      </c>
      <c r="W30" s="37">
        <f t="shared" si="27"/>
        <v>0</v>
      </c>
      <c r="X30" s="37">
        <f t="shared" si="28"/>
        <v>0</v>
      </c>
      <c r="Y30" s="37">
        <f t="shared" si="29"/>
        <v>0</v>
      </c>
      <c r="Z30" s="37">
        <f t="shared" si="30"/>
        <v>0</v>
      </c>
      <c r="AA30" s="37">
        <f t="shared" si="31"/>
        <v>0</v>
      </c>
      <c r="AB30" s="37">
        <f t="shared" si="32"/>
        <v>0</v>
      </c>
      <c r="AC30" s="37">
        <f t="shared" si="33"/>
        <v>0</v>
      </c>
      <c r="AD30" s="35">
        <f t="shared" si="34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5"/>
        <v>0</v>
      </c>
      <c r="AT30" s="66"/>
      <c r="AU30" s="68">
        <f t="shared" si="16"/>
        <v>0</v>
      </c>
      <c r="AW30" s="62">
        <v>0</v>
      </c>
      <c r="AX30" s="61">
        <f t="shared" si="17"/>
        <v>0</v>
      </c>
      <c r="AY30" s="63">
        <f t="shared" si="18"/>
        <v>0</v>
      </c>
      <c r="AZ30" s="54"/>
      <c r="BA30" s="37">
        <f t="shared" si="19"/>
        <v>0</v>
      </c>
      <c r="BB30" s="37">
        <f t="shared" si="20"/>
        <v>0</v>
      </c>
      <c r="BC30" s="59">
        <f t="shared" si="21"/>
        <v>0</v>
      </c>
    </row>
    <row r="31" spans="1:55" x14ac:dyDescent="0.25">
      <c r="A31" s="23">
        <v>44982</v>
      </c>
      <c r="B31" s="4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Q31" s="37">
        <f>IF((C31-C30&lt;0), "0",C31-C30)</f>
        <v>0</v>
      </c>
      <c r="R31" s="37">
        <f t="shared" si="23"/>
        <v>0</v>
      </c>
      <c r="S31" s="37">
        <f t="shared" si="15"/>
        <v>0</v>
      </c>
      <c r="T31" s="37">
        <f t="shared" si="24"/>
        <v>0</v>
      </c>
      <c r="U31" s="37">
        <f t="shared" si="25"/>
        <v>0</v>
      </c>
      <c r="V31" s="37">
        <f t="shared" si="26"/>
        <v>0</v>
      </c>
      <c r="W31" s="37">
        <f t="shared" si="27"/>
        <v>0</v>
      </c>
      <c r="X31" s="37">
        <f t="shared" si="28"/>
        <v>0</v>
      </c>
      <c r="Y31" s="37">
        <f t="shared" si="29"/>
        <v>0</v>
      </c>
      <c r="Z31" s="37">
        <f t="shared" si="30"/>
        <v>0</v>
      </c>
      <c r="AA31" s="37">
        <f t="shared" si="31"/>
        <v>0</v>
      </c>
      <c r="AB31" s="37">
        <f t="shared" si="32"/>
        <v>0</v>
      </c>
      <c r="AC31" s="37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62">
        <v>0</v>
      </c>
      <c r="AX31" s="61">
        <f t="shared" si="17"/>
        <v>0</v>
      </c>
      <c r="AY31" s="63">
        <f t="shared" si="18"/>
        <v>0</v>
      </c>
      <c r="AZ31" s="56"/>
      <c r="BA31" s="37">
        <f t="shared" si="19"/>
        <v>0</v>
      </c>
      <c r="BB31" s="37">
        <f t="shared" si="20"/>
        <v>0</v>
      </c>
      <c r="BC31" s="59">
        <f t="shared" si="21"/>
        <v>0</v>
      </c>
    </row>
    <row r="32" spans="1:55" x14ac:dyDescent="0.2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 x14ac:dyDescent="0.2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 x14ac:dyDescent="0.2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10670</v>
      </c>
      <c r="R38" s="38">
        <f t="shared" ref="R38:AD38" si="61">SUM(R7:R37)</f>
        <v>35010</v>
      </c>
      <c r="S38" s="38">
        <f t="shared" si="61"/>
        <v>47650</v>
      </c>
      <c r="T38" s="38">
        <f t="shared" si="61"/>
        <v>22140</v>
      </c>
      <c r="U38" s="38">
        <f t="shared" si="61"/>
        <v>118320</v>
      </c>
      <c r="V38" s="38">
        <f t="shared" si="61"/>
        <v>81970</v>
      </c>
      <c r="W38" s="38">
        <f t="shared" si="61"/>
        <v>61570</v>
      </c>
      <c r="X38" s="38">
        <f t="shared" si="61"/>
        <v>85240</v>
      </c>
      <c r="Y38" s="38">
        <f t="shared" si="61"/>
        <v>112700</v>
      </c>
      <c r="Z38" s="38">
        <f t="shared" si="61"/>
        <v>49650</v>
      </c>
      <c r="AA38" s="38">
        <f t="shared" si="61"/>
        <v>60980</v>
      </c>
      <c r="AB38" s="38">
        <f t="shared" si="61"/>
        <v>143260</v>
      </c>
      <c r="AC38" s="38">
        <f t="shared" si="61"/>
        <v>271280</v>
      </c>
      <c r="AD38" s="38">
        <f t="shared" si="61"/>
        <v>1100440</v>
      </c>
      <c r="AF38" s="35">
        <f>SUM(AF7:AF37)</f>
        <v>53.350000000000009</v>
      </c>
      <c r="AG38" s="35">
        <f t="shared" ref="AG38:AU38" si="62">SUM(AG7:AG37)</f>
        <v>175.05</v>
      </c>
      <c r="AH38" s="35">
        <f t="shared" si="62"/>
        <v>238.25</v>
      </c>
      <c r="AI38" s="35">
        <f t="shared" si="62"/>
        <v>110.7</v>
      </c>
      <c r="AJ38" s="35">
        <f t="shared" si="62"/>
        <v>591.59999999999991</v>
      </c>
      <c r="AK38" s="35">
        <f t="shared" si="62"/>
        <v>409.85000000000008</v>
      </c>
      <c r="AL38" s="35">
        <f t="shared" si="62"/>
        <v>307.85000000000002</v>
      </c>
      <c r="AM38" s="35">
        <f t="shared" si="62"/>
        <v>426.2</v>
      </c>
      <c r="AN38" s="35">
        <f t="shared" si="62"/>
        <v>563.49999999999989</v>
      </c>
      <c r="AO38" s="35">
        <f t="shared" si="62"/>
        <v>248.25000000000006</v>
      </c>
      <c r="AP38" s="35">
        <f t="shared" si="62"/>
        <v>304.89999999999998</v>
      </c>
      <c r="AQ38" s="35">
        <f t="shared" si="62"/>
        <v>716.30000000000018</v>
      </c>
      <c r="AR38" s="35">
        <f t="shared" si="62"/>
        <v>1356.3999999999999</v>
      </c>
      <c r="AS38" s="35">
        <f t="shared" si="62"/>
        <v>5502.1999999999989</v>
      </c>
      <c r="AT38" s="66"/>
      <c r="AU38" s="69">
        <f t="shared" si="62"/>
        <v>6145.3125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7824.1799999999994</v>
      </c>
      <c r="BC38" s="59">
        <f t="shared" si="21"/>
        <v>3477.0655919999999</v>
      </c>
    </row>
    <row r="39" spans="1:55" x14ac:dyDescent="0.25">
      <c r="B39" s="39">
        <f>SUM(B7:B37)</f>
        <v>2607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 x14ac:dyDescent="0.25">
      <c r="D40">
        <v>2E-3</v>
      </c>
    </row>
    <row r="41" spans="1:55" x14ac:dyDescent="0.25">
      <c r="BC41" t="s">
        <v>46</v>
      </c>
    </row>
    <row r="43" spans="1:55" x14ac:dyDescent="0.25">
      <c r="AU43" s="67">
        <v>178.125</v>
      </c>
    </row>
    <row r="44" spans="1:55" x14ac:dyDescent="0.2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 x14ac:dyDescent="0.25">
      <c r="BA46">
        <f>0.002/4.5</f>
        <v>4.4444444444444447E-4</v>
      </c>
    </row>
    <row r="47" spans="1:55" x14ac:dyDescent="0.2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2023-02-20T11:43:24Z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