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EDD881EF-92F8-4E74-9FBD-5DCE618A56EC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3" i="17" l="1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36" i="11"/>
  <c r="E37" i="11"/>
  <c r="E38" i="11"/>
  <c r="E39" i="11"/>
  <c r="E40" i="11"/>
  <c r="E41" i="11"/>
  <c r="E42" i="11"/>
  <c r="E43" i="11"/>
  <c r="E44" i="11"/>
  <c r="E45" i="11"/>
  <c r="E46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E157" i="10"/>
  <c r="G157" i="10" s="1"/>
  <c r="E158" i="10"/>
  <c r="G158" i="10" s="1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E27" i="2" l="1"/>
  <c r="G27" i="2" s="1"/>
  <c r="G22" i="19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79" i="16" l="1"/>
  <c r="AO18" i="44"/>
  <c r="G125" i="17"/>
  <c r="G47" i="17"/>
  <c r="G135" i="17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I125" i="17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I135" i="17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80" i="16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0" i="17" s="1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G60" i="15" s="1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60" i="16" l="1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E27" i="15" l="1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N7" i="15" l="1"/>
  <c r="H79" i="40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G8" i="16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27" i="16" l="1"/>
  <c r="G27" i="16" s="1"/>
  <c r="H27" i="16" s="1"/>
  <c r="H30" i="13"/>
  <c r="H28" i="30"/>
  <c r="G19" i="14"/>
  <c r="H19" i="14" s="1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G7" i="19" s="1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O8" i="18" l="1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E7" i="20"/>
  <c r="G95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27" i="19" l="1"/>
  <c r="G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H95" i="19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G19" i="17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95" i="27"/>
  <c r="I59" i="27"/>
  <c r="G97" i="27"/>
  <c r="G101" i="27"/>
  <c r="G105" i="27"/>
  <c r="G103" i="27"/>
  <c r="G99" i="27"/>
  <c r="O10" i="29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<sst xmlns="http://schemas.openxmlformats.org/spreadsheetml/2006/main" count="10759" uniqueCount="372">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</sst>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  <font>
      <sz val="12"/>
      <color rgb="FFFF0000"/>
      <name val="Cambria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7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164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5" fontId="83" fillId="2" borderId="0" xfId="3" applyNumberFormat="1" applyFont="1" applyFill="1" applyBorder="1" applyAlignment="1">
      <alignment horizontal="center" vertical="center" wrapText="1" shrinkToFit="1"/>
    </xf>
    <xf numFmtId="0" fontId="87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>
      <alignment horizontal="center" vertic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23.129999999994197</c:v>
                </c:pt>
                <c:pt idx="8">
                  <c:v>23.150000000002819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26</c:v>
                </c:pt>
                <c:pt idx="13">
                  <c:v>24</c:v>
                </c:pt>
                <c:pt idx="14">
                  <c:v>24</c:v>
                </c:pt>
                <c:pt idx="15">
                  <c:v>23.539999999999964</c:v>
                </c:pt>
                <c:pt idx="16">
                  <c:v>23.860000000000127</c:v>
                </c:pt>
                <c:pt idx="17">
                  <c:v>24.15000000000191</c:v>
                </c:pt>
                <c:pt idx="18">
                  <c:v>-721.60000000000036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2275456"/>
        <c:axId val="112276992"/>
      </c:lineChart>
      <c:catAx>
        <c:axId val="1122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76992"/>
        <c:crosses val="autoZero"/>
        <c:auto val="1"/>
        <c:lblAlgn val="ctr"/>
        <c:lblOffset val="100"/>
        <c:noMultiLvlLbl val="0"/>
      </c:catAx>
      <c:valAx>
        <c:axId val="112276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22754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13.280000000002474</c:v>
                </c:pt>
                <c:pt idx="8">
                  <c:v>14.430000000000291</c:v>
                </c:pt>
                <c:pt idx="9">
                  <c:v>15.569999999999709</c:v>
                </c:pt>
                <c:pt idx="10">
                  <c:v>15</c:v>
                </c:pt>
                <c:pt idx="11">
                  <c:v>19.629999999997381</c:v>
                </c:pt>
                <c:pt idx="12">
                  <c:v>18.580000000001746</c:v>
                </c:pt>
                <c:pt idx="13">
                  <c:v>17.959999999999127</c:v>
                </c:pt>
                <c:pt idx="14">
                  <c:v>20.100000000002183</c:v>
                </c:pt>
                <c:pt idx="15">
                  <c:v>19.82999999999447</c:v>
                </c:pt>
                <c:pt idx="16">
                  <c:v>15.489999999997963</c:v>
                </c:pt>
                <c:pt idx="17">
                  <c:v>14.980000000003201</c:v>
                </c:pt>
                <c:pt idx="18">
                  <c:v>-413.5599999999904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310144"/>
        <c:axId val="112311680"/>
      </c:lineChart>
      <c:catAx>
        <c:axId val="11231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1680"/>
        <c:crosses val="autoZero"/>
        <c:auto val="1"/>
        <c:lblAlgn val="ctr"/>
        <c:lblOffset val="100"/>
        <c:noMultiLvlLbl val="0"/>
      </c:catAx>
      <c:valAx>
        <c:axId val="1123116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10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56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232</c:v>
                </c:pt>
                <c:pt idx="8">
                  <c:v>256</c:v>
                </c:pt>
                <c:pt idx="9">
                  <c:v>317</c:v>
                </c:pt>
                <c:pt idx="10">
                  <c:v>316</c:v>
                </c:pt>
                <c:pt idx="11">
                  <c:v>339</c:v>
                </c:pt>
                <c:pt idx="12">
                  <c:v>296</c:v>
                </c:pt>
                <c:pt idx="13">
                  <c:v>296</c:v>
                </c:pt>
                <c:pt idx="14">
                  <c:v>316</c:v>
                </c:pt>
                <c:pt idx="15">
                  <c:v>298</c:v>
                </c:pt>
                <c:pt idx="16">
                  <c:v>306</c:v>
                </c:pt>
                <c:pt idx="17">
                  <c:v>298</c:v>
                </c:pt>
                <c:pt idx="18">
                  <c:v>-1518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5780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2673152"/>
        <c:axId val="112674688"/>
      </c:lineChart>
      <c:catAx>
        <c:axId val="1126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74688"/>
        <c:crosses val="autoZero"/>
        <c:auto val="1"/>
        <c:lblAlgn val="ctr"/>
        <c:lblOffset val="100"/>
        <c:noMultiLvlLbl val="0"/>
      </c:catAx>
      <c:valAx>
        <c:axId val="112674688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67315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8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1052.1799999999348</c:v>
                </c:pt>
                <c:pt idx="8">
                  <c:v>1070</c:v>
                </c:pt>
                <c:pt idx="9">
                  <c:v>1152</c:v>
                </c:pt>
                <c:pt idx="10">
                  <c:v>1118</c:v>
                </c:pt>
                <c:pt idx="11">
                  <c:v>1293</c:v>
                </c:pt>
                <c:pt idx="12">
                  <c:v>1108</c:v>
                </c:pt>
                <c:pt idx="13">
                  <c:v>1095</c:v>
                </c:pt>
                <c:pt idx="14">
                  <c:v>1135.2800000000279</c:v>
                </c:pt>
                <c:pt idx="15">
                  <c:v>1092.9150000000373</c:v>
                </c:pt>
                <c:pt idx="16">
                  <c:v>1023.3799999998882</c:v>
                </c:pt>
                <c:pt idx="17">
                  <c:v>1056.8049999999348</c:v>
                </c:pt>
                <c:pt idx="18">
                  <c:v>-30817.079999999842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78496"/>
        <c:axId val="113180032"/>
      </c:lineChart>
      <c:catAx>
        <c:axId val="11317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80032"/>
        <c:crosses val="autoZero"/>
        <c:auto val="1"/>
        <c:lblAlgn val="ctr"/>
        <c:lblOffset val="100"/>
        <c:noMultiLvlLbl val="0"/>
      </c:catAx>
      <c:valAx>
        <c:axId val="1131800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784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95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2923.2899999999936</c:v>
                </c:pt>
                <c:pt idx="8">
                  <c:v>3001</c:v>
                </c:pt>
                <c:pt idx="9">
                  <c:v>3035</c:v>
                </c:pt>
                <c:pt idx="10">
                  <c:v>3148</c:v>
                </c:pt>
                <c:pt idx="11">
                  <c:v>3245</c:v>
                </c:pt>
                <c:pt idx="12">
                  <c:v>3279</c:v>
                </c:pt>
                <c:pt idx="13">
                  <c:v>3213</c:v>
                </c:pt>
                <c:pt idx="14">
                  <c:v>3189.1999999999971</c:v>
                </c:pt>
                <c:pt idx="15">
                  <c:v>3126.6800000000076</c:v>
                </c:pt>
                <c:pt idx="16">
                  <c:v>3014.1399999999994</c:v>
                </c:pt>
                <c:pt idx="17">
                  <c:v>3089.679999999993</c:v>
                </c:pt>
                <c:pt idx="18">
                  <c:v>-84584.14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4205440"/>
        <c:axId val="114206976"/>
      </c:lineChart>
      <c:catAx>
        <c:axId val="11420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6976"/>
        <c:crosses val="autoZero"/>
        <c:auto val="1"/>
        <c:lblAlgn val="ctr"/>
        <c:lblOffset val="100"/>
        <c:noMultiLvlLbl val="0"/>
      </c:catAx>
      <c:valAx>
        <c:axId val="11420697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544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1754.8000000000029</c:v>
                </c:pt>
                <c:pt idx="8">
                  <c:v>1514</c:v>
                </c:pt>
                <c:pt idx="9">
                  <c:v>1557</c:v>
                </c:pt>
                <c:pt idx="10">
                  <c:v>1435</c:v>
                </c:pt>
                <c:pt idx="11">
                  <c:v>1625</c:v>
                </c:pt>
                <c:pt idx="12">
                  <c:v>1533</c:v>
                </c:pt>
                <c:pt idx="13">
                  <c:v>1426</c:v>
                </c:pt>
                <c:pt idx="14">
                  <c:v>1456.1299999999974</c:v>
                </c:pt>
                <c:pt idx="15">
                  <c:v>1572.5699999999997</c:v>
                </c:pt>
                <c:pt idx="16">
                  <c:v>1470.9800000000032</c:v>
                </c:pt>
                <c:pt idx="17">
                  <c:v>1628.2200000000012</c:v>
                </c:pt>
                <c:pt idx="18">
                  <c:v>-42845.380000000005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-3.637978807091713E-12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09760"/>
        <c:axId val="114315648"/>
      </c:lineChart>
      <c:catAx>
        <c:axId val="11430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15648"/>
        <c:crosses val="autoZero"/>
        <c:auto val="1"/>
        <c:lblAlgn val="ctr"/>
        <c:lblOffset val="100"/>
        <c:noMultiLvlLbl val="0"/>
      </c:catAx>
      <c:valAx>
        <c:axId val="11431564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9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0.45</c:v>
                </c:pt>
                <c:pt idx="9">
                  <c:v>0.91</c:v>
                </c:pt>
                <c:pt idx="10">
                  <c:v>0.54</c:v>
                </c:pt>
                <c:pt idx="11">
                  <c:v>0.73</c:v>
                </c:pt>
                <c:pt idx="12">
                  <c:v>0.67</c:v>
                </c:pt>
                <c:pt idx="13">
                  <c:v>0.45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1.3948967741935483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48416"/>
        <c:axId val="114349952"/>
      </c:lineChart>
      <c:catAx>
        <c:axId val="11434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49952"/>
        <c:crosses val="autoZero"/>
        <c:auto val="1"/>
        <c:lblAlgn val="ctr"/>
        <c:lblOffset val="100"/>
        <c:noMultiLvlLbl val="0"/>
      </c:catAx>
      <c:valAx>
        <c:axId val="1143499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4348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19730.089999999967</c:v>
                </c:pt>
                <c:pt idx="8">
                  <c:v>19467</c:v>
                </c:pt>
                <c:pt idx="9">
                  <c:v>20373</c:v>
                </c:pt>
                <c:pt idx="10">
                  <c:v>21020</c:v>
                </c:pt>
                <c:pt idx="11">
                  <c:v>22339</c:v>
                </c:pt>
                <c:pt idx="12">
                  <c:v>22200</c:v>
                </c:pt>
                <c:pt idx="13">
                  <c:v>21261</c:v>
                </c:pt>
                <c:pt idx="14">
                  <c:v>21100</c:v>
                </c:pt>
                <c:pt idx="15">
                  <c:v>20625.099999999999</c:v>
                </c:pt>
                <c:pt idx="16">
                  <c:v>20039.870000000003</c:v>
                </c:pt>
                <c:pt idx="17">
                  <c:v>20626.43</c:v>
                </c:pt>
                <c:pt idx="18">
                  <c:v>420440.2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1000026.6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4272512"/>
        <c:axId val="114282496"/>
      </c:lineChart>
      <c:catAx>
        <c:axId val="1142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82496"/>
        <c:crosses val="autoZero"/>
        <c:auto val="1"/>
        <c:lblAlgn val="ctr"/>
        <c:lblOffset val="100"/>
        <c:noMultiLvlLbl val="0"/>
      </c:catAx>
      <c:valAx>
        <c:axId val="11428249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725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11.100000000000364</c:v>
                </c:pt>
                <c:pt idx="8">
                  <c:v>11.150000000000091</c:v>
                </c:pt>
                <c:pt idx="9">
                  <c:v>12</c:v>
                </c:pt>
                <c:pt idx="10">
                  <c:v>12</c:v>
                </c:pt>
                <c:pt idx="11">
                  <c:v>11.860000000000127</c:v>
                </c:pt>
                <c:pt idx="12">
                  <c:v>10.599999999999909</c:v>
                </c:pt>
                <c:pt idx="13">
                  <c:v>11.170000000000073</c:v>
                </c:pt>
                <c:pt idx="14">
                  <c:v>10.589999999999691</c:v>
                </c:pt>
                <c:pt idx="15">
                  <c:v>11.200000000000273</c:v>
                </c:pt>
                <c:pt idx="16">
                  <c:v>11.329999999999927</c:v>
                </c:pt>
                <c:pt idx="17">
                  <c:v>11.320000000000164</c:v>
                </c:pt>
                <c:pt idx="18">
                  <c:v>-332.6899999999996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88352"/>
        <c:axId val="114398336"/>
      </c:lineChart>
      <c:catAx>
        <c:axId val="11438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98336"/>
        <c:crosses val="autoZero"/>
        <c:auto val="1"/>
        <c:lblAlgn val="ctr"/>
        <c:lblOffset val="100"/>
        <c:noMultiLvlLbl val="0"/>
      </c:catAx>
      <c:valAx>
        <c:axId val="11439833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88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222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302.52000000001863</c:v>
                </c:pt>
                <c:pt idx="5">
                  <c:v>301</c:v>
                </c:pt>
                <c:pt idx="6">
                  <c:v>341</c:v>
                </c:pt>
                <c:pt idx="7">
                  <c:v>316</c:v>
                </c:pt>
                <c:pt idx="8">
                  <c:v>324</c:v>
                </c:pt>
                <c:pt idx="9">
                  <c:v>287</c:v>
                </c:pt>
                <c:pt idx="10">
                  <c:v>294</c:v>
                </c:pt>
                <c:pt idx="11">
                  <c:v>280.39099999994505</c:v>
                </c:pt>
                <c:pt idx="12">
                  <c:v>295.77900000009686</c:v>
                </c:pt>
                <c:pt idx="13">
                  <c:v>298.61999999999534</c:v>
                </c:pt>
                <c:pt idx="14">
                  <c:v>298.39000000001397</c:v>
                </c:pt>
                <c:pt idx="15">
                  <c:v>-9095.6800000000512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587.65999999990891</c:v>
                </c:pt>
                <c:pt idx="5">
                  <c:v>617.80000000000291</c:v>
                </c:pt>
                <c:pt idx="6">
                  <c:v>651</c:v>
                </c:pt>
                <c:pt idx="7">
                  <c:v>622</c:v>
                </c:pt>
                <c:pt idx="8">
                  <c:v>755</c:v>
                </c:pt>
                <c:pt idx="9">
                  <c:v>647</c:v>
                </c:pt>
                <c:pt idx="10">
                  <c:v>669</c:v>
                </c:pt>
                <c:pt idx="11">
                  <c:v>715.02900000008231</c:v>
                </c:pt>
                <c:pt idx="12">
                  <c:v>659.76599999995233</c:v>
                </c:pt>
                <c:pt idx="13">
                  <c:v>590.65999999986707</c:v>
                </c:pt>
                <c:pt idx="14">
                  <c:v>593.96499999992739</c:v>
                </c:pt>
                <c:pt idx="15">
                  <c:v>-17183.719999999776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110.60000000000582</c:v>
                </c:pt>
                <c:pt idx="5">
                  <c:v>107</c:v>
                </c:pt>
                <c:pt idx="6">
                  <c:v>114</c:v>
                </c:pt>
                <c:pt idx="7">
                  <c:v>124</c:v>
                </c:pt>
                <c:pt idx="8">
                  <c:v>152</c:v>
                </c:pt>
                <c:pt idx="9">
                  <c:v>119</c:v>
                </c:pt>
                <c:pt idx="10">
                  <c:v>93</c:v>
                </c:pt>
                <c:pt idx="11">
                  <c:v>88.660000000003492</c:v>
                </c:pt>
                <c:pt idx="12">
                  <c:v>94.169999999983702</c:v>
                </c:pt>
                <c:pt idx="13">
                  <c:v>95.400000000023283</c:v>
                </c:pt>
                <c:pt idx="14">
                  <c:v>112.64999999999418</c:v>
                </c:pt>
                <c:pt idx="15">
                  <c:v>-3211.9800000000105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76704"/>
        <c:axId val="114790784"/>
      </c:lineChart>
      <c:catAx>
        <c:axId val="1147767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4790784"/>
        <c:crosses val="autoZero"/>
        <c:auto val="1"/>
        <c:lblAlgn val="ctr"/>
        <c:lblOffset val="100"/>
        <c:noMultiLvlLbl val="0"/>
      </c:catAx>
      <c:valAx>
        <c:axId val="1147907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47767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39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4082.4900000000066</c:v>
                </c:pt>
                <c:pt idx="8">
                  <c:v>3894.5299999999988</c:v>
                </c:pt>
                <c:pt idx="9">
                  <c:v>4557</c:v>
                </c:pt>
                <c:pt idx="10">
                  <c:v>4736</c:v>
                </c:pt>
                <c:pt idx="11">
                  <c:v>4928</c:v>
                </c:pt>
                <c:pt idx="12">
                  <c:v>5019</c:v>
                </c:pt>
                <c:pt idx="13">
                  <c:v>4624</c:v>
                </c:pt>
                <c:pt idx="14">
                  <c:v>4586.5399999999881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081216"/>
        <c:axId val="11909120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92736"/>
        <c:axId val="119094272"/>
      </c:lineChart>
      <c:catAx>
        <c:axId val="1190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91200"/>
        <c:crosses val="autoZero"/>
        <c:auto val="1"/>
        <c:lblAlgn val="ctr"/>
        <c:lblOffset val="100"/>
        <c:noMultiLvlLbl val="0"/>
      </c:catAx>
      <c:valAx>
        <c:axId val="11909120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81216"/>
        <c:crosses val="autoZero"/>
        <c:crossBetween val="between"/>
        <c:minorUnit val="50"/>
      </c:valAx>
      <c:catAx>
        <c:axId val="119092736"/>
        <c:scaling>
          <c:orientation val="minMax"/>
        </c:scaling>
        <c:delete val="1"/>
        <c:axPos val="b"/>
        <c:majorTickMark val="out"/>
        <c:minorTickMark val="none"/>
        <c:tickLblPos val="none"/>
        <c:crossAx val="119094272"/>
        <c:crosses val="autoZero"/>
        <c:auto val="1"/>
        <c:lblAlgn val="ctr"/>
        <c:lblOffset val="100"/>
        <c:noMultiLvlLbl val="0"/>
      </c:catAx>
      <c:valAx>
        <c:axId val="1190942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927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64480"/>
        <c:axId val="118170368"/>
      </c:lineChart>
      <c:catAx>
        <c:axId val="11816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0368"/>
        <c:crosses val="autoZero"/>
        <c:auto val="1"/>
        <c:lblAlgn val="ctr"/>
        <c:lblOffset val="100"/>
        <c:noMultiLvlLbl val="0"/>
      </c:catAx>
      <c:valAx>
        <c:axId val="11817036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644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211712"/>
        <c:axId val="118213248"/>
      </c:lineChart>
      <c:catAx>
        <c:axId val="11821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3248"/>
        <c:crosses val="autoZero"/>
        <c:auto val="1"/>
        <c:lblAlgn val="ctr"/>
        <c:lblOffset val="100"/>
        <c:noMultiLvlLbl val="0"/>
      </c:catAx>
      <c:valAx>
        <c:axId val="11821324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1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51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214</c:v>
                </c:pt>
                <c:pt idx="8">
                  <c:v>238</c:v>
                </c:pt>
                <c:pt idx="9">
                  <c:v>256</c:v>
                </c:pt>
                <c:pt idx="10">
                  <c:v>297</c:v>
                </c:pt>
                <c:pt idx="11">
                  <c:v>291</c:v>
                </c:pt>
                <c:pt idx="12">
                  <c:v>261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25344"/>
        <c:axId val="11882688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28416"/>
        <c:axId val="118838400"/>
      </c:lineChart>
      <c:catAx>
        <c:axId val="11882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6880"/>
        <c:crosses val="autoZero"/>
        <c:auto val="1"/>
        <c:lblAlgn val="ctr"/>
        <c:lblOffset val="100"/>
        <c:noMultiLvlLbl val="0"/>
      </c:catAx>
      <c:valAx>
        <c:axId val="11882688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5344"/>
        <c:crosses val="autoZero"/>
        <c:crossBetween val="between"/>
      </c:valAx>
      <c:catAx>
        <c:axId val="118828416"/>
        <c:scaling>
          <c:orientation val="minMax"/>
        </c:scaling>
        <c:delete val="1"/>
        <c:axPos val="b"/>
        <c:majorTickMark val="out"/>
        <c:minorTickMark val="none"/>
        <c:tickLblPos val="none"/>
        <c:crossAx val="118838400"/>
        <c:crosses val="autoZero"/>
        <c:auto val="1"/>
        <c:lblAlgn val="ctr"/>
        <c:lblOffset val="100"/>
        <c:noMultiLvlLbl val="0"/>
      </c:catAx>
      <c:valAx>
        <c:axId val="118838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8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40</c:v>
                </c:pt>
                <c:pt idx="8">
                  <c:v>46</c:v>
                </c:pt>
                <c:pt idx="9">
                  <c:v>58</c:v>
                </c:pt>
                <c:pt idx="10">
                  <c:v>85</c:v>
                </c:pt>
                <c:pt idx="11">
                  <c:v>66</c:v>
                </c:pt>
                <c:pt idx="12">
                  <c:v>43</c:v>
                </c:pt>
                <c:pt idx="13">
                  <c:v>45</c:v>
                </c:pt>
                <c:pt idx="1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33</c:v>
                </c:pt>
                <c:pt idx="8">
                  <c:v>14</c:v>
                </c:pt>
                <c:pt idx="9">
                  <c:v>8</c:v>
                </c:pt>
                <c:pt idx="10">
                  <c:v>12</c:v>
                </c:pt>
                <c:pt idx="11">
                  <c:v>5</c:v>
                </c:pt>
                <c:pt idx="12">
                  <c:v>8</c:v>
                </c:pt>
                <c:pt idx="13">
                  <c:v>287</c:v>
                </c:pt>
                <c:pt idx="14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77568"/>
        <c:axId val="11887936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865054</c:v>
                </c:pt>
                <c:pt idx="8">
                  <c:v>884521</c:v>
                </c:pt>
                <c:pt idx="9">
                  <c:v>904894</c:v>
                </c:pt>
                <c:pt idx="10">
                  <c:v>925914</c:v>
                </c:pt>
                <c:pt idx="11">
                  <c:v>948253</c:v>
                </c:pt>
                <c:pt idx="12">
                  <c:v>970453</c:v>
                </c:pt>
                <c:pt idx="13">
                  <c:v>991714</c:v>
                </c:pt>
                <c:pt idx="14">
                  <c:v>1012814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80896"/>
        <c:axId val="119419264"/>
      </c:lineChart>
      <c:catAx>
        <c:axId val="11887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9360"/>
        <c:crosses val="autoZero"/>
        <c:auto val="1"/>
        <c:lblAlgn val="ctr"/>
        <c:lblOffset val="100"/>
        <c:noMultiLvlLbl val="0"/>
      </c:catAx>
      <c:valAx>
        <c:axId val="11887936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77568"/>
        <c:crosses val="autoZero"/>
        <c:crossBetween val="between"/>
        <c:majorUnit val="2"/>
      </c:valAx>
      <c:catAx>
        <c:axId val="118880896"/>
        <c:scaling>
          <c:orientation val="minMax"/>
        </c:scaling>
        <c:delete val="1"/>
        <c:axPos val="b"/>
        <c:majorTickMark val="out"/>
        <c:minorTickMark val="none"/>
        <c:tickLblPos val="none"/>
        <c:crossAx val="119419264"/>
        <c:crosses val="autoZero"/>
        <c:auto val="1"/>
        <c:lblAlgn val="ctr"/>
        <c:lblOffset val="100"/>
        <c:noMultiLvlLbl val="0"/>
      </c:catAx>
      <c:valAx>
        <c:axId val="1194192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8089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7" workbookViewId="0">
      <selection activeCell="C2" sqref="C2:C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2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126</v>
      </c>
      <c r="L2" s="275">
        <f>Occupancy!F2</f>
        <v>290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2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142</v>
      </c>
      <c r="L3" s="275">
        <f>Occupancy!F3</f>
        <v>352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2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145</v>
      </c>
      <c r="L4" s="275">
        <f>Occupancy!F4</f>
        <v>406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2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166</v>
      </c>
      <c r="L5" s="275">
        <f>Occupancy!F5</f>
        <v>461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2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171</v>
      </c>
      <c r="L6" s="275">
        <f>Occupancy!F6</f>
        <v>1487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2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150</v>
      </c>
      <c r="L7" s="275">
        <f>Occupancy!F7</f>
        <v>494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2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159</v>
      </c>
      <c r="L8" s="275">
        <f>Occupancy!F8</f>
        <v>704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2</v>
      </c>
      <c r="D9" s="274">
        <v>2022</v>
      </c>
      <c r="E9" s="275">
        <f>(IF('Daily HLP'!H11&gt;0,'Daily HLP'!H11,0))</f>
        <v>19730.089999999967</v>
      </c>
      <c r="F9" s="276">
        <v>9</v>
      </c>
      <c r="G9" s="276">
        <f>(IF('Daily HLP'!L11&gt;0,'Daily HLP'!L11,0))</f>
        <v>1052.1799999999348</v>
      </c>
      <c r="H9" s="276">
        <v>75</v>
      </c>
      <c r="I9" s="276">
        <f>(IF('Daily HLP'!O11&gt;0,'Daily HLP'!O11,0))</f>
        <v>232</v>
      </c>
      <c r="J9" s="276">
        <v>99</v>
      </c>
      <c r="K9" s="281">
        <f>Occupancy!G9</f>
        <v>129</v>
      </c>
      <c r="L9" s="275">
        <f>Occupancy!F9</f>
        <v>418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2</v>
      </c>
      <c r="D10" s="274">
        <v>2022</v>
      </c>
      <c r="E10" s="275">
        <f>(IF('Daily HLP'!H12&gt;0,'Daily HLP'!H12,0))</f>
        <v>19467</v>
      </c>
      <c r="F10" s="276">
        <v>9</v>
      </c>
      <c r="G10" s="276">
        <f>(IF('Daily HLP'!L12&gt;0,'Daily HLP'!L12,0))</f>
        <v>1070</v>
      </c>
      <c r="H10" s="276">
        <v>75</v>
      </c>
      <c r="I10" s="276">
        <f>(IF('Daily HLP'!O12&gt;0,'Daily HLP'!O12,0))</f>
        <v>256</v>
      </c>
      <c r="J10" s="276">
        <v>99</v>
      </c>
      <c r="K10" s="281">
        <f>Occupancy!G10</f>
        <v>144</v>
      </c>
      <c r="L10" s="275">
        <f>Occupancy!F10</f>
        <v>483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2</v>
      </c>
      <c r="D11" s="274">
        <v>2022</v>
      </c>
      <c r="E11" s="275">
        <f>(IF('Daily HLP'!H13&gt;0,'Daily HLP'!H13,0))</f>
        <v>20373</v>
      </c>
      <c r="F11" s="276">
        <v>9</v>
      </c>
      <c r="G11" s="276">
        <f>(IF('Daily HLP'!L13&gt;0,'Daily HLP'!L13,0))</f>
        <v>1152</v>
      </c>
      <c r="H11" s="276">
        <v>75</v>
      </c>
      <c r="I11" s="276">
        <f>(IF('Daily HLP'!O13&gt;0,'Daily HLP'!O13,0))</f>
        <v>317</v>
      </c>
      <c r="J11" s="276">
        <v>99</v>
      </c>
      <c r="K11" s="281">
        <f>Occupancy!G11</f>
        <v>149</v>
      </c>
      <c r="L11" s="275">
        <f>Occupancy!F11</f>
        <v>723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2</v>
      </c>
      <c r="D12" s="274">
        <v>2022</v>
      </c>
      <c r="E12" s="275">
        <f>(IF('Daily HLP'!H14&gt;0,'Daily HLP'!H14,0))</f>
        <v>21020</v>
      </c>
      <c r="F12" s="276">
        <v>9</v>
      </c>
      <c r="G12" s="276">
        <f>(IF('Daily HLP'!L14&gt;0,'Daily HLP'!L14,0))</f>
        <v>1118</v>
      </c>
      <c r="H12" s="276">
        <v>75</v>
      </c>
      <c r="I12" s="276">
        <f>(IF('Daily HLP'!O14&gt;0,'Daily HLP'!O14,0))</f>
        <v>316</v>
      </c>
      <c r="J12" s="276">
        <v>99</v>
      </c>
      <c r="K12" s="281">
        <f>Occupancy!G12</f>
        <v>148</v>
      </c>
      <c r="L12" s="275">
        <f>Occupancy!F12</f>
        <v>899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2</v>
      </c>
      <c r="D13" s="274">
        <v>2022</v>
      </c>
      <c r="E13" s="275">
        <f>(IF('Daily HLP'!H15&gt;0,'Daily HLP'!H15,0))</f>
        <v>22339</v>
      </c>
      <c r="F13" s="276">
        <v>9</v>
      </c>
      <c r="G13" s="276">
        <f>(IF('Daily HLP'!L15&gt;0,'Daily HLP'!L15,0))</f>
        <v>1293</v>
      </c>
      <c r="H13" s="276">
        <v>75</v>
      </c>
      <c r="I13" s="276">
        <f>(IF('Daily HLP'!O15&gt;0,'Daily HLP'!O15,0))</f>
        <v>339</v>
      </c>
      <c r="J13" s="276">
        <v>99</v>
      </c>
      <c r="K13" s="281">
        <f>Occupancy!G13</f>
        <v>154</v>
      </c>
      <c r="L13" s="275">
        <f>Occupancy!F13</f>
        <v>683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2</v>
      </c>
      <c r="D14" s="274">
        <v>2022</v>
      </c>
      <c r="E14" s="275">
        <f>(IF('Daily HLP'!H16&gt;0,'Daily HLP'!H16,0))</f>
        <v>22200</v>
      </c>
      <c r="F14" s="276">
        <v>9</v>
      </c>
      <c r="G14" s="276">
        <f>(IF('Daily HLP'!L16&gt;0,'Daily HLP'!L16,0))</f>
        <v>1108</v>
      </c>
      <c r="H14" s="276">
        <v>75</v>
      </c>
      <c r="I14" s="276">
        <f>(IF('Daily HLP'!O16&gt;0,'Daily HLP'!O16,0))</f>
        <v>296</v>
      </c>
      <c r="J14" s="276">
        <v>99</v>
      </c>
      <c r="K14" s="281">
        <f>Occupancy!G14</f>
        <v>142</v>
      </c>
      <c r="L14" s="275">
        <f>Occupancy!F14</f>
        <v>1001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2</v>
      </c>
      <c r="D15" s="274">
        <v>2022</v>
      </c>
      <c r="E15" s="275">
        <f>(IF('Daily HLP'!H17&gt;0,'Daily HLP'!H17,0))</f>
        <v>21261</v>
      </c>
      <c r="F15" s="276">
        <v>9</v>
      </c>
      <c r="G15" s="276">
        <f>(IF('Daily HLP'!L17&gt;0,'Daily HLP'!L17,0))</f>
        <v>1095</v>
      </c>
      <c r="H15" s="276">
        <v>75</v>
      </c>
      <c r="I15" s="276">
        <f>(IF('Daily HLP'!O17&gt;0,'Daily HLP'!O17,0))</f>
        <v>296</v>
      </c>
      <c r="J15" s="276">
        <v>99</v>
      </c>
      <c r="K15" s="281">
        <f>Occupancy!G15</f>
        <v>155</v>
      </c>
      <c r="L15" s="275">
        <f>Occupancy!F15</f>
        <v>612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2</v>
      </c>
      <c r="D16" s="274">
        <v>2022</v>
      </c>
      <c r="E16" s="275">
        <f>(IF('Daily HLP'!H18&gt;0,'Daily HLP'!H18,0))</f>
        <v>21100</v>
      </c>
      <c r="F16" s="276">
        <v>9</v>
      </c>
      <c r="G16" s="276">
        <f>(IF('Daily HLP'!L18&gt;0,'Daily HLP'!L18,0))</f>
        <v>1135.2800000000279</v>
      </c>
      <c r="H16" s="276">
        <v>75</v>
      </c>
      <c r="I16" s="276">
        <f>(IF('Daily HLP'!O18&gt;0,'Daily HLP'!O18,0))</f>
        <v>316</v>
      </c>
      <c r="J16" s="276">
        <v>99</v>
      </c>
      <c r="K16" s="281">
        <f>Occupancy!G16</f>
        <v>149</v>
      </c>
      <c r="L16" s="275">
        <f>Occupancy!F16</f>
        <v>562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2</v>
      </c>
      <c r="D17" s="274">
        <v>2022</v>
      </c>
      <c r="E17" s="275">
        <f>(IF('Daily HLP'!H19&gt;0,'Daily HLP'!H19,0))</f>
        <v>20625.099999999999</v>
      </c>
      <c r="F17" s="276">
        <v>9</v>
      </c>
      <c r="G17" s="276">
        <f>(IF('Daily HLP'!L19&gt;0,'Daily HLP'!L19,0))</f>
        <v>1092.9150000000373</v>
      </c>
      <c r="H17" s="276">
        <v>75</v>
      </c>
      <c r="I17" s="276">
        <f>(IF('Daily HLP'!O19&gt;0,'Daily HLP'!O19,0))</f>
        <v>298</v>
      </c>
      <c r="J17" s="276">
        <v>99</v>
      </c>
      <c r="K17" s="281">
        <f>Occupancy!G17</f>
        <v>159</v>
      </c>
      <c r="L17" s="275">
        <f>Occupancy!F17</f>
        <v>521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2</v>
      </c>
      <c r="D18" s="274">
        <v>2022</v>
      </c>
      <c r="E18" s="275">
        <f>(IF('Daily HLP'!H20&gt;0,'Daily HLP'!H20,0))</f>
        <v>20039.870000000003</v>
      </c>
      <c r="F18" s="276">
        <v>9</v>
      </c>
      <c r="G18" s="276">
        <f>(IF('Daily HLP'!L20&gt;0,'Daily HLP'!L20,0))</f>
        <v>1023.3799999998882</v>
      </c>
      <c r="H18" s="276">
        <v>75</v>
      </c>
      <c r="I18" s="276">
        <f>(IF('Daily HLP'!O20&gt;0,'Daily HLP'!O20,0))</f>
        <v>306</v>
      </c>
      <c r="J18" s="276">
        <v>99</v>
      </c>
      <c r="K18" s="281">
        <f>Occupancy!G18</f>
        <v>170</v>
      </c>
      <c r="L18" s="275">
        <f>Occupancy!F18</f>
        <v>487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2</v>
      </c>
      <c r="D19" s="274">
        <v>2022</v>
      </c>
      <c r="E19" s="275">
        <f>(IF('Daily HLP'!H21&gt;0,'Daily HLP'!H21,0))</f>
        <v>20626.43</v>
      </c>
      <c r="F19" s="276">
        <v>9</v>
      </c>
      <c r="G19" s="276">
        <f>(IF('Daily HLP'!L21&gt;0,'Daily HLP'!L21,0))</f>
        <v>1056.8049999999348</v>
      </c>
      <c r="H19" s="276">
        <v>75</v>
      </c>
      <c r="I19" s="276">
        <f>(IF('Daily HLP'!O21&gt;0,'Daily HLP'!O21,0))</f>
        <v>298</v>
      </c>
      <c r="J19" s="276">
        <v>99</v>
      </c>
      <c r="K19" s="281">
        <f>Occupancy!G19</f>
        <v>175</v>
      </c>
      <c r="L19" s="275">
        <f>Occupancy!F19</f>
        <v>639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2</v>
      </c>
      <c r="D20" s="274">
        <v>2022</v>
      </c>
      <c r="E20" s="275">
        <f>(IF('Daily HLP'!H22&gt;0,'Daily HLP'!H22,0))</f>
        <v>420440.2</v>
      </c>
      <c r="F20" s="276">
        <v>9</v>
      </c>
      <c r="G20" s="276">
        <f>(IF('Daily HLP'!L22&gt;0,'Daily HLP'!L22,0))</f>
        <v>0</v>
      </c>
      <c r="H20" s="276">
        <v>75</v>
      </c>
      <c r="I20" s="276">
        <f>(IF('Daily HLP'!O22&gt;0,'Daily HLP'!O22,0))</f>
        <v>0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2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2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2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2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2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2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2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2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2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2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2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2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2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 x14ac:dyDescent="0.25">
      <c r="A3" s="287" t="s">
        <v>268</v>
      </c>
      <c r="B3" s="288">
        <f>B2+1</f>
        <v>2</v>
      </c>
      <c r="C3" s="288">
        <v>2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2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 x14ac:dyDescent="0.25">
      <c r="A5" s="287" t="s">
        <v>268</v>
      </c>
      <c r="B5" s="288">
        <f t="shared" si="0"/>
        <v>4</v>
      </c>
      <c r="C5" s="288">
        <v>2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 x14ac:dyDescent="0.25">
      <c r="A6" s="287" t="s">
        <v>268</v>
      </c>
      <c r="B6" s="288">
        <f t="shared" si="0"/>
        <v>5</v>
      </c>
      <c r="C6" s="288">
        <v>2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 x14ac:dyDescent="0.25">
      <c r="A7" s="287" t="s">
        <v>268</v>
      </c>
      <c r="B7" s="288">
        <f t="shared" si="0"/>
        <v>6</v>
      </c>
      <c r="C7" s="288">
        <v>2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 x14ac:dyDescent="0.25">
      <c r="A8" s="287" t="s">
        <v>268</v>
      </c>
      <c r="B8" s="288">
        <f t="shared" si="0"/>
        <v>7</v>
      </c>
      <c r="C8" s="288">
        <v>2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 x14ac:dyDescent="0.25">
      <c r="A9" s="287" t="s">
        <v>268</v>
      </c>
      <c r="B9" s="288">
        <f t="shared" si="0"/>
        <v>8</v>
      </c>
      <c r="C9" s="288">
        <v>2</v>
      </c>
      <c r="D9" s="288">
        <v>2022</v>
      </c>
      <c r="E9" s="294">
        <f>(IF('Section Load'!F12&gt;0,'Section Load'!F12,0))</f>
        <v>3021.0200000000041</v>
      </c>
      <c r="F9" s="294">
        <f>(IF('Section Load'!G12&gt;0,'Section Load'!G12,0))</f>
        <v>1609.0699999999997</v>
      </c>
      <c r="G9" s="294">
        <f>(IF('Section Load'!H12&gt;0,'Section Load'!H12,0))</f>
        <v>1914.6800000000003</v>
      </c>
      <c r="H9" s="294">
        <f>(IF('Section Load'!I12&gt;0,'Section Load'!I12,0))</f>
        <v>2923.2899999999936</v>
      </c>
      <c r="I9" s="294">
        <f>(IF('Section Load'!J12&gt;0,'Section Load'!J12,0))</f>
        <v>4082.4900000000066</v>
      </c>
      <c r="J9" s="294">
        <f>(IF('Section Load'!K12&gt;0,'Section Load'!K12,0))</f>
        <v>2123.6699999999983</v>
      </c>
      <c r="K9" s="294">
        <f>(IF('Section Load'!L12&gt;0,'Section Load'!L12,0))</f>
        <v>1131.1399999999994</v>
      </c>
      <c r="L9" s="294">
        <f>(IF('Section Load'!M12&gt;0,'Section Load'!M12,0))</f>
        <v>799.44000000000233</v>
      </c>
      <c r="M9" s="294">
        <f>(IF('Section Load'!N12&gt;0,'Section Load'!N12,0))</f>
        <v>70</v>
      </c>
      <c r="N9" s="294">
        <f>(IF('Section Load'!O12&gt;0,'Section Load'!O12,0))</f>
        <v>1</v>
      </c>
      <c r="O9" s="294">
        <f>(IF('Section Load'!P12&gt;0,'Section Load'!P12,0))</f>
        <v>2</v>
      </c>
      <c r="P9" s="294">
        <f>(IF('Section Load'!Q12&gt;0,'Section Load'!Q12,0))</f>
        <v>169.13999999999942</v>
      </c>
      <c r="Q9" s="294">
        <f>(IF('Section Load'!R12&gt;0,'Section Load'!R12,0))</f>
        <v>66.200000000000728</v>
      </c>
      <c r="R9" s="294">
        <f>(IF('Section Load'!S12&gt;0,'Section Load'!S12,0))</f>
        <v>14.149999999999636</v>
      </c>
      <c r="S9" s="294">
        <f>(IF('Section Load'!T12&gt;0,'Section Load'!T12,0))</f>
        <v>405</v>
      </c>
      <c r="T9" s="294">
        <f>(IF('Section Load'!U12&gt;0,'Section Load'!U12,0))</f>
        <v>208</v>
      </c>
      <c r="U9" s="294">
        <f>(IF('Section Load'!V12&gt;0,'Section Load'!V12,0))</f>
        <v>426.56000000005588</v>
      </c>
      <c r="V9" s="294">
        <f>(IF('Section Load'!W12&gt;0,'Section Load'!W12,0))</f>
        <v>300.23999999999069</v>
      </c>
      <c r="W9" s="294">
        <f>(IF('Section Load'!X12&gt;0,'Section Load'!X12,0))</f>
        <v>31</v>
      </c>
      <c r="X9" s="294">
        <f>(IF('Section Load'!Y12&gt;0,'Section Load'!Y12,0))</f>
        <v>202.01000000000022</v>
      </c>
      <c r="Y9" s="294">
        <f>(IF('Section Load'!Z12&gt;0,'Section Load'!Z12,0))</f>
        <v>233</v>
      </c>
      <c r="Z9" s="294">
        <f>(IF('Section Load'!AA12&gt;0,'Section Load'!AA12,0))</f>
        <v>44.559999999997672</v>
      </c>
      <c r="AA9" s="294">
        <f>(IF('Section Load'!AB12&gt;0,'Section Load'!AB12,0))</f>
        <v>42.30000000000291</v>
      </c>
      <c r="AB9" s="294">
        <f>(IF('Section Load'!AC12&gt;0,'Section Load'!AC12,0))</f>
        <v>0</v>
      </c>
      <c r="AC9" s="294">
        <f>(IF('Section Load'!AD12&gt;0,'Section Load'!AD12,0))</f>
        <v>46.299999999993815</v>
      </c>
      <c r="AD9" s="294">
        <f>(IF('Section Load'!AE12&gt;0,'Section Load'!AE12,0))</f>
        <v>290.83000000000004</v>
      </c>
      <c r="AE9" s="294">
        <f>(IF('Section Load'!AF12&gt;0,'Section Load'!AF12,0))</f>
        <v>177.53999999999996</v>
      </c>
      <c r="AF9" s="294">
        <f>(IF('Section Load'!AG12&gt;0,'Section Load'!AG12,0))</f>
        <v>372.45000000001164</v>
      </c>
      <c r="AG9" s="294">
        <f>(IF('Section Load'!AH12&gt;0,'Section Load'!AH12,0))</f>
        <v>401.92999999999302</v>
      </c>
      <c r="AH9" s="294">
        <f>(IF('Section Load'!AI12&gt;0,'Section Load'!AI12,0))</f>
        <v>424.23999999999796</v>
      </c>
      <c r="AI9" s="294">
        <f>(IF('Section Load'!AJ12&gt;0,'Section Load'!AJ12,0))</f>
        <v>705.92999999999302</v>
      </c>
      <c r="AJ9" s="294">
        <f>(IF('Section Load'!AK12&gt;0,'Section Load'!AK12,0))</f>
        <v>206.63000000000466</v>
      </c>
      <c r="AK9" s="294">
        <f>(IF('Section Load'!AL12&gt;0,'Section Load'!AL12,0))</f>
        <v>252.23000000001048</v>
      </c>
      <c r="AL9" s="294">
        <f>(IF('Section Load'!AM12&gt;0,'Section Load'!AM12,0))</f>
        <v>647.32000000000698</v>
      </c>
      <c r="AM9" s="295">
        <f>(IF('Water Report'!$K$7&gt;0,'Water Report'!$K$7,0))</f>
        <v>128</v>
      </c>
      <c r="AN9" s="295">
        <f>(IF('Water Report'!$K$8&gt;0,'Water Report'!$K$8,0))</f>
        <v>103</v>
      </c>
      <c r="AO9" s="295">
        <f>(IF('Water Report'!$K$9&gt;0,'Water Report'!$K$9,0))</f>
        <v>106</v>
      </c>
      <c r="AP9" s="295">
        <f>(IF('Water Report'!$K$10&gt;0,'Water Report'!$K$10,0))</f>
        <v>19</v>
      </c>
      <c r="AQ9" s="295">
        <f>(IF('Water Report'!$K$11&gt;0,'Water Report'!$K$11,0))</f>
        <v>16</v>
      </c>
      <c r="AR9" s="295">
        <f>(IF('Water Report'!$K$13&gt;0,'Water Report'!$K$13,0))</f>
        <v>30</v>
      </c>
      <c r="AS9" s="295">
        <f>(IF('Water Report'!$K$14&gt;0,'Water Report'!$K$14,0))</f>
        <v>10</v>
      </c>
      <c r="AT9" s="295">
        <f>(IF('Water Report'!$K$15&gt;0,'Water Report'!$K$15,0))</f>
        <v>33</v>
      </c>
      <c r="AU9" s="295">
        <f>(IF('Water Report'!$K$17&gt;0,'Water Report'!$K$17,0))</f>
        <v>0</v>
      </c>
      <c r="AV9" s="295">
        <f>(IF('Water Report'!$K$18&gt;0,'Water Report'!$K$18,0))</f>
        <v>17</v>
      </c>
      <c r="AW9" s="295">
        <f>(IF('Water Report'!$K$19&gt;0,'Water Report'!$K$19,0))</f>
        <v>12</v>
      </c>
      <c r="AX9" s="301">
        <f>(IF('Water Report'!$K$21&gt;0,'Water Report'!$K$21,0))</f>
        <v>46</v>
      </c>
      <c r="AY9" s="301">
        <f>(IF('Water Report'!$K$22&gt;0,'Water Report'!$K$22,0))</f>
        <v>25</v>
      </c>
      <c r="AZ9" s="301">
        <f>(IF('Water Report'!$K$23&gt;0,'Water Report'!$K$23,0))</f>
        <v>17</v>
      </c>
      <c r="BA9" s="301">
        <f>(IF('Water Report'!$K$14&gt;0,'Water Report'!$K$14,0))</f>
        <v>10</v>
      </c>
      <c r="BB9" s="301">
        <f>(IF('Water Report'!$K$15&gt;0,'Water Report'!$K$15,0))</f>
        <v>33</v>
      </c>
      <c r="BC9" s="301">
        <f>(IF('Water Report'!$K$13&gt;0,'Water Report'!$K$13,0))</f>
        <v>30</v>
      </c>
      <c r="BD9" s="301">
        <f>(IF('Water Report'!$K$24&gt;0,'Water Report'!$K$24,0))</f>
        <v>232</v>
      </c>
      <c r="BE9" s="301">
        <f>(IF('Water Report'!$K$25&gt;0,'Water Report'!$K$25,0))</f>
        <v>184</v>
      </c>
      <c r="BF9" s="301">
        <f>(IF('Water Report'!$K$27&gt;0,'Water Report'!$K$27,0))</f>
        <v>93</v>
      </c>
      <c r="BG9" s="296">
        <f>(IF('Section Load'!AN12&gt;0,'Section Load'!AN12,0))</f>
        <v>1052.1799999999348</v>
      </c>
      <c r="BH9" s="296">
        <f>(IF('Section Load'!AO12&gt;0,'Section Load'!AO12,0))</f>
        <v>302.52000000001863</v>
      </c>
      <c r="BI9" s="296">
        <f>(IF('Section Load'!AP12&gt;0,'Section Load'!AP12,0))</f>
        <v>0</v>
      </c>
      <c r="BJ9" s="296">
        <f>(IF('Section Load'!AQ12&gt;0,'Section Load'!AQ12,0))</f>
        <v>110.60000000000582</v>
      </c>
      <c r="BK9" s="296">
        <f>(IF('Section Load'!AR12&gt;0,'Section Load'!AR12,0))</f>
        <v>50.400000000001455</v>
      </c>
      <c r="BL9" s="296">
        <f>(IF('Section Load'!AS12&gt;0,'Section Load'!AS12,0))</f>
        <v>1</v>
      </c>
      <c r="BM9" s="296">
        <f>(IF('Section Load'!AT12&gt;0,'Section Load'!AT12,0))</f>
        <v>587.65999999990891</v>
      </c>
    </row>
    <row r="10" spans="1:65" x14ac:dyDescent="0.25">
      <c r="A10" s="287" t="s">
        <v>268</v>
      </c>
      <c r="B10" s="288">
        <f t="shared" si="0"/>
        <v>9</v>
      </c>
      <c r="C10" s="288">
        <v>2</v>
      </c>
      <c r="D10" s="288">
        <v>2022</v>
      </c>
      <c r="E10" s="294">
        <f>(IF('Section Load'!F13&gt;0,'Section Load'!F13,0))</f>
        <v>2906</v>
      </c>
      <c r="F10" s="294">
        <f>(IF('Section Load'!G13&gt;0,'Section Load'!G13,0))</f>
        <v>1638</v>
      </c>
      <c r="G10" s="294">
        <f>(IF('Section Load'!H13&gt;0,'Section Load'!H13,0))</f>
        <v>1923</v>
      </c>
      <c r="H10" s="294">
        <f>(IF('Section Load'!I13&gt;0,'Section Load'!I13,0))</f>
        <v>3001</v>
      </c>
      <c r="I10" s="294">
        <f>(IF('Section Load'!J13&gt;0,'Section Load'!J13,0))</f>
        <v>3894.5299999999988</v>
      </c>
      <c r="J10" s="294">
        <f>(IF('Section Load'!K13&gt;0,'Section Load'!K13,0))</f>
        <v>2087</v>
      </c>
      <c r="K10" s="294">
        <f>(IF('Section Load'!L13&gt;0,'Section Load'!L13,0))</f>
        <v>1118</v>
      </c>
      <c r="L10" s="294">
        <f>(IF('Section Load'!M13&gt;0,'Section Load'!M13,0))</f>
        <v>779</v>
      </c>
      <c r="M10" s="294">
        <f>(IF('Section Load'!N13&gt;0,'Section Load'!N13,0))</f>
        <v>79</v>
      </c>
      <c r="N10" s="294">
        <f>(IF('Section Load'!O13&gt;0,'Section Load'!O13,0))</f>
        <v>2</v>
      </c>
      <c r="O10" s="294">
        <f>(IF('Section Load'!P13&gt;0,'Section Load'!P13,0))</f>
        <v>1</v>
      </c>
      <c r="P10" s="294">
        <f>(IF('Section Load'!Q13&gt;0,'Section Load'!Q13,0))</f>
        <v>180</v>
      </c>
      <c r="Q10" s="294">
        <f>(IF('Section Load'!R13&gt;0,'Section Load'!R13,0))</f>
        <v>71</v>
      </c>
      <c r="R10" s="294">
        <f>(IF('Section Load'!S13&gt;0,'Section Load'!S13,0))</f>
        <v>14</v>
      </c>
      <c r="S10" s="294">
        <f>(IF('Section Load'!T13&gt;0,'Section Load'!T13,0))</f>
        <v>408</v>
      </c>
      <c r="T10" s="294">
        <f>(IF('Section Load'!U13&gt;0,'Section Load'!U13,0))</f>
        <v>213</v>
      </c>
      <c r="U10" s="294">
        <f>(IF('Section Load'!V13&gt;0,'Section Load'!V13,0))</f>
        <v>388</v>
      </c>
      <c r="V10" s="294">
        <f>(IF('Section Load'!W13&gt;0,'Section Load'!W13,0))</f>
        <v>244</v>
      </c>
      <c r="W10" s="294">
        <f>(IF('Section Load'!X13&gt;0,'Section Load'!X13,0))</f>
        <v>26</v>
      </c>
      <c r="X10" s="294">
        <f>(IF('Section Load'!Y13&gt;0,'Section Load'!Y13,0))</f>
        <v>285</v>
      </c>
      <c r="Y10" s="294">
        <f>(IF('Section Load'!Z13&gt;0,'Section Load'!Z13,0))</f>
        <v>218</v>
      </c>
      <c r="Z10" s="294">
        <f>(IF('Section Load'!AA13&gt;0,'Section Load'!AA13,0))</f>
        <v>18</v>
      </c>
      <c r="AA10" s="294">
        <f>(IF('Section Load'!AB13&gt;0,'Section Load'!AB13,0))</f>
        <v>38</v>
      </c>
      <c r="AB10" s="294">
        <f>(IF('Section Load'!AC13&gt;0,'Section Load'!AC13,0))</f>
        <v>0</v>
      </c>
      <c r="AC10" s="294">
        <f>(IF('Section Load'!AD13&gt;0,'Section Load'!AD13,0))</f>
        <v>72</v>
      </c>
      <c r="AD10" s="294">
        <f>(IF('Section Load'!AE13&gt;0,'Section Load'!AE13,0))</f>
        <v>290</v>
      </c>
      <c r="AE10" s="294">
        <f>(IF('Section Load'!AF13&gt;0,'Section Load'!AF13,0))</f>
        <v>216</v>
      </c>
      <c r="AF10" s="294">
        <f>(IF('Section Load'!AG13&gt;0,'Section Load'!AG13,0))</f>
        <v>383</v>
      </c>
      <c r="AG10" s="294">
        <f>(IF('Section Load'!AH13&gt;0,'Section Load'!AH13,0))</f>
        <v>435</v>
      </c>
      <c r="AH10" s="294">
        <f>(IF('Section Load'!AI13&gt;0,'Section Load'!AI13,0))</f>
        <v>443</v>
      </c>
      <c r="AI10" s="294">
        <f>(IF('Section Load'!AJ13&gt;0,'Section Load'!AJ13,0))</f>
        <v>741</v>
      </c>
      <c r="AJ10" s="294">
        <f>(IF('Section Load'!AK13&gt;0,'Section Load'!AK13,0))</f>
        <v>263</v>
      </c>
      <c r="AK10" s="294">
        <f>(IF('Section Load'!AL13&gt;0,'Section Load'!AL13,0))</f>
        <v>254</v>
      </c>
      <c r="AL10" s="294">
        <f>(IF('Section Load'!AM13&gt;0,'Section Load'!AM13,0))</f>
        <v>658</v>
      </c>
      <c r="AM10" s="295">
        <f>(IF('Water Report'!$L$7&gt;0,'Water Report'!$L$7,0))</f>
        <v>142</v>
      </c>
      <c r="AN10" s="295">
        <f>(IF('Water Report'!$L$8&gt;0,'Water Report'!$L$8,0))</f>
        <v>90</v>
      </c>
      <c r="AO10" s="295">
        <f>(IF('Water Report'!$L$9&gt;0,'Water Report'!$L$9,0))</f>
        <v>103</v>
      </c>
      <c r="AP10" s="295">
        <f>(IF('Water Report'!$L$10&gt;0,'Water Report'!$L$10,0))</f>
        <v>20</v>
      </c>
      <c r="AQ10" s="295">
        <f>(IF('Water Report'!$L$11&gt;0,'Water Report'!$L$11,0))</f>
        <v>55</v>
      </c>
      <c r="AR10" s="295">
        <f>(IF('Water Report'!$L$13&gt;0,'Water Report'!$L$13,0))</f>
        <v>37</v>
      </c>
      <c r="AS10" s="295">
        <f>(IF('Water Report'!$L$14&gt;0,'Water Report'!$L$14,0))</f>
        <v>9</v>
      </c>
      <c r="AT10" s="295">
        <f>(IF('Water Report'!$L$15&gt;0,'Water Report'!$L$15,0))</f>
        <v>14</v>
      </c>
      <c r="AU10" s="295">
        <f>(IF('Water Report'!$L$17&gt;0,'Water Report'!$L$17,0))</f>
        <v>5</v>
      </c>
      <c r="AV10" s="295">
        <f>(IF('Water Report'!$L$18&gt;0,'Water Report'!$L$18,0))</f>
        <v>12</v>
      </c>
      <c r="AW10" s="295">
        <f>(IF('Water Report'!$L$19&gt;0,'Water Report'!$L$19,0))</f>
        <v>12</v>
      </c>
      <c r="AX10" s="301">
        <f>(IF('Water Report'!$L$21&gt;0,'Water Report'!$L$21,0))</f>
        <v>38</v>
      </c>
      <c r="AY10" s="301">
        <f>(IF('Water Report'!$L$22&gt;0,'Water Report'!$L$22,0))</f>
        <v>35</v>
      </c>
      <c r="AZ10" s="301">
        <f>(IF('Water Report'!$L$23&gt;0,'Water Report'!$L$23,0))</f>
        <v>5</v>
      </c>
      <c r="BA10" s="301">
        <f>(IF('Water Report'!$L$14&gt;0,'Water Report'!$L$14,0))</f>
        <v>9</v>
      </c>
      <c r="BB10" s="301">
        <f>(IF('Water Report'!$L$15&gt;0,'Water Report'!$L$15,0))</f>
        <v>14</v>
      </c>
      <c r="BC10" s="301">
        <f>(IF('Water Report'!$L$13&gt;0,'Water Report'!$L$13,0))</f>
        <v>37</v>
      </c>
      <c r="BD10" s="301">
        <f>(IF('Water Report'!$L$24&gt;0,'Water Report'!$L$24,0))</f>
        <v>256</v>
      </c>
      <c r="BE10" s="301">
        <f>(IF('Water Report'!$L$25&gt;0,'Water Report'!$L$25,0))</f>
        <v>201</v>
      </c>
      <c r="BF10" s="301">
        <f>(IF('Water Report'!$L$27&gt;0,'Water Report'!$L$27,0))</f>
        <v>80</v>
      </c>
      <c r="BG10" s="296">
        <f>(IF('Section Load'!AN13&gt;0,'Section Load'!AN13,0))</f>
        <v>1070</v>
      </c>
      <c r="BH10" s="296">
        <f>(IF('Section Load'!AO13&gt;0,'Section Load'!AO13,0))</f>
        <v>301</v>
      </c>
      <c r="BI10" s="296">
        <f>(IF('Section Load'!AP13&gt;0,'Section Load'!AP13,0))</f>
        <v>0.19999999999708962</v>
      </c>
      <c r="BJ10" s="296">
        <f>(IF('Section Load'!AQ13&gt;0,'Section Load'!AQ13,0))</f>
        <v>107</v>
      </c>
      <c r="BK10" s="296">
        <f>(IF('Section Load'!AR13&gt;0,'Section Load'!AR13,0))</f>
        <v>43</v>
      </c>
      <c r="BL10" s="296">
        <f>(IF('Section Load'!AS13&gt;0,'Section Load'!AS13,0))</f>
        <v>1</v>
      </c>
      <c r="BM10" s="296">
        <f>(IF('Section Load'!AT13&gt;0,'Section Load'!AT13,0))</f>
        <v>617.80000000000291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2</v>
      </c>
      <c r="D11" s="288">
        <v>2022</v>
      </c>
      <c r="E11" s="294">
        <f>(IF('Section Load'!F14&gt;0,'Section Load'!F14,0))</f>
        <v>2839</v>
      </c>
      <c r="F11" s="294">
        <f>(IF('Section Load'!G14&gt;0,'Section Load'!G14,0))</f>
        <v>1647</v>
      </c>
      <c r="G11" s="294">
        <f>(IF('Section Load'!H14&gt;0,'Section Load'!H14,0))</f>
        <v>1955</v>
      </c>
      <c r="H11" s="294">
        <f>(IF('Section Load'!I14&gt;0,'Section Load'!I14,0))</f>
        <v>3035</v>
      </c>
      <c r="I11" s="294">
        <f>(IF('Section Load'!J14&gt;0,'Section Load'!J14,0))</f>
        <v>4557</v>
      </c>
      <c r="J11" s="294">
        <f>(IF('Section Load'!K14&gt;0,'Section Load'!K14,0))</f>
        <v>2097</v>
      </c>
      <c r="K11" s="294">
        <f>(IF('Section Load'!L14&gt;0,'Section Load'!L14,0))</f>
        <v>1144</v>
      </c>
      <c r="L11" s="294">
        <f>(IF('Section Load'!M14&gt;0,'Section Load'!M14,0))</f>
        <v>1084</v>
      </c>
      <c r="M11" s="294">
        <f>(IF('Section Load'!N14&gt;0,'Section Load'!N14,0))</f>
        <v>74</v>
      </c>
      <c r="N11" s="294">
        <f>(IF('Section Load'!O14&gt;0,'Section Load'!O14,0))</f>
        <v>2</v>
      </c>
      <c r="O11" s="294">
        <f>(IF('Section Load'!P14&gt;0,'Section Load'!P14,0))</f>
        <v>1</v>
      </c>
      <c r="P11" s="294">
        <f>(IF('Section Load'!Q14&gt;0,'Section Load'!Q14,0))</f>
        <v>176</v>
      </c>
      <c r="Q11" s="294">
        <f>(IF('Section Load'!R14&gt;0,'Section Load'!R14,0))</f>
        <v>69</v>
      </c>
      <c r="R11" s="294">
        <f>(IF('Section Load'!S14&gt;0,'Section Load'!S14,0))</f>
        <v>16</v>
      </c>
      <c r="S11" s="294">
        <f>(IF('Section Load'!T14&gt;0,'Section Load'!T14,0))</f>
        <v>410</v>
      </c>
      <c r="T11" s="294">
        <f>(IF('Section Load'!U14&gt;0,'Section Load'!U14,0))</f>
        <v>224</v>
      </c>
      <c r="U11" s="294">
        <f>(IF('Section Load'!V14&gt;0,'Section Load'!V14,0))</f>
        <v>398</v>
      </c>
      <c r="V11" s="294">
        <f>(IF('Section Load'!W14&gt;0,'Section Load'!W14,0))</f>
        <v>286</v>
      </c>
      <c r="W11" s="294">
        <f>(IF('Section Load'!X14&gt;0,'Section Load'!X14,0))</f>
        <v>30</v>
      </c>
      <c r="X11" s="294">
        <f>(IF('Section Load'!Y14&gt;0,'Section Load'!Y14,0))</f>
        <v>197</v>
      </c>
      <c r="Y11" s="294">
        <f>(IF('Section Load'!Z14&gt;0,'Section Load'!Z14,0))</f>
        <v>226</v>
      </c>
      <c r="Z11" s="294">
        <f>(IF('Section Load'!AA14&gt;0,'Section Load'!AA14,0))</f>
        <v>15</v>
      </c>
      <c r="AA11" s="294">
        <f>(IF('Section Load'!AB14&gt;0,'Section Load'!AB14,0))</f>
        <v>42</v>
      </c>
      <c r="AB11" s="294">
        <f>(IF('Section Load'!AC14&gt;0,'Section Load'!AC14,0))</f>
        <v>0</v>
      </c>
      <c r="AC11" s="294">
        <f>(IF('Section Load'!AD14&gt;0,'Section Load'!AD14,0))</f>
        <v>93</v>
      </c>
      <c r="AD11" s="294">
        <f>(IF('Section Load'!AE14&gt;0,'Section Load'!AE14,0))</f>
        <v>328</v>
      </c>
      <c r="AE11" s="294">
        <f>(IF('Section Load'!AF14&gt;0,'Section Load'!AF14,0))</f>
        <v>114</v>
      </c>
      <c r="AF11" s="294">
        <f>(IF('Section Load'!AG14&gt;0,'Section Load'!AG14,0))</f>
        <v>412</v>
      </c>
      <c r="AG11" s="294">
        <f>(IF('Section Load'!AH14&gt;0,'Section Load'!AH14,0))</f>
        <v>419</v>
      </c>
      <c r="AH11" s="294">
        <f>(IF('Section Load'!AI14&gt;0,'Section Load'!AI14,0))</f>
        <v>445</v>
      </c>
      <c r="AI11" s="294">
        <f>(IF('Section Load'!AJ14&gt;0,'Section Load'!AJ14,0))</f>
        <v>735</v>
      </c>
      <c r="AJ11" s="294">
        <f>(IF('Section Load'!AK14&gt;0,'Section Load'!AK14,0))</f>
        <v>143</v>
      </c>
      <c r="AK11" s="294">
        <f>(IF('Section Load'!AL14&gt;0,'Section Load'!AL14,0))</f>
        <v>254</v>
      </c>
      <c r="AL11" s="294">
        <f>(IF('Section Load'!AM14&gt;0,'Section Load'!AM14,0))</f>
        <v>522</v>
      </c>
      <c r="AM11" s="295">
        <f>(IF('Water Report'!$M$7&gt;0,'Water Report'!$M$7,0))</f>
        <v>170</v>
      </c>
      <c r="AN11" s="295">
        <f>(IF('Water Report'!$M$8&gt;0,'Water Report'!$M$8,0))</f>
        <v>129</v>
      </c>
      <c r="AO11" s="295">
        <f>(IF('Water Report'!$M$9&gt;0,'Water Report'!$M$9,0))</f>
        <v>105</v>
      </c>
      <c r="AP11" s="295">
        <f>(IF('Water Report'!$M$10&gt;0,'Water Report'!$M$10,0))</f>
        <v>20</v>
      </c>
      <c r="AQ11" s="295">
        <f>(IF('Water Report'!$M$11&gt;0,'Water Report'!$M$11,0))</f>
        <v>65</v>
      </c>
      <c r="AR11" s="295">
        <f>(IF('Water Report'!$M$13&gt;0,'Water Report'!$M$13,0))</f>
        <v>40</v>
      </c>
      <c r="AS11" s="295">
        <f>(IF('Water Report'!$M$14&gt;0,'Water Report'!$M$14,0))</f>
        <v>18</v>
      </c>
      <c r="AT11" s="295">
        <f>(IF('Water Report'!$M$15&gt;0,'Water Report'!$M$15,0))</f>
        <v>8</v>
      </c>
      <c r="AU11" s="295">
        <f>(IF('Water Report'!$M$17&gt;0,'Water Report'!$M$17,0))</f>
        <v>1</v>
      </c>
      <c r="AV11" s="295">
        <f>(IF('Water Report'!$M$18&gt;0,'Water Report'!$M$18,0))</f>
        <v>14</v>
      </c>
      <c r="AW11" s="295">
        <f>(IF('Water Report'!$M$19&gt;0,'Water Report'!$M$19,0))</f>
        <v>12</v>
      </c>
      <c r="AX11" s="301">
        <f>(IF('Water Report'!$M$21&gt;0,'Water Report'!$M$21,0))</f>
        <v>47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18</v>
      </c>
      <c r="BB11" s="301">
        <f>(IF('Water Report'!$M$15&gt;0,'Water Report'!$M$15,0))</f>
        <v>8</v>
      </c>
      <c r="BC11" s="301">
        <f>(IF('Water Report'!$M$13&gt;0,'Water Report'!$M$13,0))</f>
        <v>40</v>
      </c>
      <c r="BD11" s="301">
        <f>(IF('Water Report'!$M$24&gt;0,'Water Report'!$M$24,0))</f>
        <v>317</v>
      </c>
      <c r="BE11" s="301">
        <f>(IF('Water Report'!$M$25&gt;0,'Water Report'!$M$25,0))</f>
        <v>216</v>
      </c>
      <c r="BF11" s="301">
        <f>(IF('Water Report'!$M$27&gt;0,'Water Report'!$M$27,0))</f>
        <v>87</v>
      </c>
      <c r="BG11" s="296">
        <f>(IF('Section Load'!AN14&gt;0,'Section Load'!AN14,0))</f>
        <v>1152</v>
      </c>
      <c r="BH11" s="296">
        <f>(IF('Section Load'!AO14&gt;0,'Section Load'!AO14,0))</f>
        <v>341</v>
      </c>
      <c r="BI11" s="296">
        <f>(IF('Section Load'!AP14&gt;0,'Section Load'!AP14,0))</f>
        <v>0</v>
      </c>
      <c r="BJ11" s="296">
        <f>(IF('Section Load'!AQ14&gt;0,'Section Load'!AQ14,0))</f>
        <v>114</v>
      </c>
      <c r="BK11" s="296">
        <f>(IF('Section Load'!AR14&gt;0,'Section Load'!AR14,0))</f>
        <v>43</v>
      </c>
      <c r="BL11" s="296">
        <f>(IF('Section Load'!AS14&gt;0,'Section Load'!AS14,0))</f>
        <v>3</v>
      </c>
      <c r="BM11" s="296">
        <f>(IF('Section Load'!AT14&gt;0,'Section Load'!AT14,0))</f>
        <v>651</v>
      </c>
    </row>
    <row r="12" spans="1:65" x14ac:dyDescent="0.25">
      <c r="A12" s="287" t="s">
        <v>268</v>
      </c>
      <c r="B12" s="288">
        <f t="shared" si="0"/>
        <v>11</v>
      </c>
      <c r="C12" s="288">
        <v>2</v>
      </c>
      <c r="D12" s="288">
        <v>2022</v>
      </c>
      <c r="E12" s="294">
        <f>(IF('Section Load'!F15&gt;0,'Section Load'!F15,0))</f>
        <v>2776</v>
      </c>
      <c r="F12" s="294">
        <f>(IF('Section Load'!G15&gt;0,'Section Load'!G15,0))</f>
        <v>1684</v>
      </c>
      <c r="G12" s="294">
        <f>(IF('Section Load'!H15&gt;0,'Section Load'!H15,0))</f>
        <v>2076</v>
      </c>
      <c r="H12" s="294">
        <f>(IF('Section Load'!I15&gt;0,'Section Load'!I15,0))</f>
        <v>3148</v>
      </c>
      <c r="I12" s="294">
        <f>(IF('Section Load'!J15&gt;0,'Section Load'!J15,0))</f>
        <v>4736</v>
      </c>
      <c r="J12" s="294">
        <f>(IF('Section Load'!K15&gt;0,'Section Load'!K15,0))</f>
        <v>2112</v>
      </c>
      <c r="K12" s="294">
        <f>(IF('Section Load'!L15&gt;0,'Section Load'!L15,0))</f>
        <v>1282</v>
      </c>
      <c r="L12" s="294">
        <f>(IF('Section Load'!M15&gt;0,'Section Load'!M15,0))</f>
        <v>1077</v>
      </c>
      <c r="M12" s="294">
        <f>(IF('Section Load'!N15&gt;0,'Section Load'!N15,0))</f>
        <v>116</v>
      </c>
      <c r="N12" s="294">
        <f>(IF('Section Load'!O15&gt;0,'Section Load'!O15,0))</f>
        <v>13</v>
      </c>
      <c r="O12" s="294">
        <f>(IF('Section Load'!P15&gt;0,'Section Load'!P15,0))</f>
        <v>6</v>
      </c>
      <c r="P12" s="294">
        <f>(IF('Section Load'!Q15&gt;0,'Section Load'!Q15,0))</f>
        <v>190</v>
      </c>
      <c r="Q12" s="294">
        <f>(IF('Section Load'!R15&gt;0,'Section Load'!R15,0))</f>
        <v>70</v>
      </c>
      <c r="R12" s="294">
        <f>(IF('Section Load'!S15&gt;0,'Section Load'!S15,0))</f>
        <v>14</v>
      </c>
      <c r="S12" s="294">
        <f>(IF('Section Load'!T15&gt;0,'Section Load'!T15,0))</f>
        <v>421</v>
      </c>
      <c r="T12" s="294">
        <f>(IF('Section Load'!U15&gt;0,'Section Load'!U15,0))</f>
        <v>203</v>
      </c>
      <c r="U12" s="294">
        <f>(IF('Section Load'!V15&gt;0,'Section Load'!V15,0))</f>
        <v>412</v>
      </c>
      <c r="V12" s="294">
        <f>(IF('Section Load'!W15&gt;0,'Section Load'!W15,0))</f>
        <v>330</v>
      </c>
      <c r="W12" s="294">
        <f>(IF('Section Load'!X15&gt;0,'Section Load'!X15,0))</f>
        <v>23</v>
      </c>
      <c r="X12" s="294">
        <f>(IF('Section Load'!Y15&gt;0,'Section Load'!Y15,0))</f>
        <v>202</v>
      </c>
      <c r="Y12" s="294">
        <f>(IF('Section Load'!Z15&gt;0,'Section Load'!Z15,0))</f>
        <v>217</v>
      </c>
      <c r="Z12" s="294">
        <f>(IF('Section Load'!AA15&gt;0,'Section Load'!AA15,0))</f>
        <v>20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92</v>
      </c>
      <c r="AD12" s="294">
        <f>(IF('Section Load'!AE15&gt;0,'Section Load'!AE15,0))</f>
        <v>370</v>
      </c>
      <c r="AE12" s="294">
        <f>(IF('Section Load'!AF15&gt;0,'Section Load'!AF15,0))</f>
        <v>289</v>
      </c>
      <c r="AF12" s="294">
        <f>(IF('Section Load'!AG15&gt;0,'Section Load'!AG15,0))</f>
        <v>404</v>
      </c>
      <c r="AG12" s="294">
        <f>(IF('Section Load'!AH15&gt;0,'Section Load'!AH15,0))</f>
        <v>435</v>
      </c>
      <c r="AH12" s="294">
        <f>(IF('Section Load'!AI15&gt;0,'Section Load'!AI15,0))</f>
        <v>443</v>
      </c>
      <c r="AI12" s="294">
        <f>(IF('Section Load'!AJ15&gt;0,'Section Load'!AJ15,0))</f>
        <v>721</v>
      </c>
      <c r="AJ12" s="294">
        <f>(IF('Section Load'!AK15&gt;0,'Section Load'!AK15,0))</f>
        <v>212</v>
      </c>
      <c r="AK12" s="294">
        <f>(IF('Section Load'!AL15&gt;0,'Section Load'!AL15,0))</f>
        <v>250</v>
      </c>
      <c r="AL12" s="294">
        <f>(IF('Section Load'!AM15&gt;0,'Section Load'!AM15,0))</f>
        <v>494</v>
      </c>
      <c r="AM12" s="295">
        <f>(IF('Water Report'!$N$7&gt;0,'Water Report'!$N$7,0))</f>
        <v>181</v>
      </c>
      <c r="AN12" s="295">
        <f>(IF('Water Report'!$N$8&gt;0,'Water Report'!$N$8,0))</f>
        <v>136</v>
      </c>
      <c r="AO12" s="295">
        <f>(IF('Water Report'!$N$9&gt;0,'Water Report'!$N$9,0))</f>
        <v>104</v>
      </c>
      <c r="AP12" s="295">
        <f>(IF('Water Report'!$N$10&gt;0,'Water Report'!$N$10,0))</f>
        <v>31</v>
      </c>
      <c r="AQ12" s="295">
        <f>(IF('Water Report'!$N$11&gt;0,'Water Report'!$N$11,0))</f>
        <v>65</v>
      </c>
      <c r="AR12" s="295">
        <f>(IF('Water Report'!$N$13&gt;0,'Water Report'!$N$13,0))</f>
        <v>53</v>
      </c>
      <c r="AS12" s="295">
        <f>(IF('Water Report'!$N$14&gt;0,'Water Report'!$N$14,0))</f>
        <v>32</v>
      </c>
      <c r="AT12" s="295">
        <f>(IF('Water Report'!$N$15&gt;0,'Water Report'!$N$15,0))</f>
        <v>12</v>
      </c>
      <c r="AU12" s="295">
        <f>(IF('Water Report'!$N$17&gt;0,'Water Report'!$N$17,0))</f>
        <v>0</v>
      </c>
      <c r="AV12" s="295">
        <f>(IF('Water Report'!$N$18&gt;0,'Water Report'!$N$18,0))</f>
        <v>12</v>
      </c>
      <c r="AW12" s="295">
        <f>(IF('Water Report'!$N$19&gt;0,'Water Report'!$N$19,0))</f>
        <v>12</v>
      </c>
      <c r="AX12" s="301">
        <f>(IF('Water Report'!$N$21&gt;0,'Water Report'!$N$21,0))</f>
        <v>30</v>
      </c>
      <c r="AY12" s="301">
        <f>(IF('Water Report'!$N$22&gt;0,'Water Report'!$N$22,0))</f>
        <v>24</v>
      </c>
      <c r="AZ12" s="301">
        <f>(IF('Water Report'!$N$23&gt;0,'Water Report'!$N$23,0))</f>
        <v>2</v>
      </c>
      <c r="BA12" s="301">
        <f>(IF('Water Report'!$N$14&gt;0,'Water Report'!$N$14,0))</f>
        <v>32</v>
      </c>
      <c r="BB12" s="301">
        <f>(IF('Water Report'!$N$15&gt;0,'Water Report'!$N$15,0))</f>
        <v>12</v>
      </c>
      <c r="BC12" s="301">
        <f>(IF('Water Report'!$N$13&gt;0,'Water Report'!$N$13,0))</f>
        <v>53</v>
      </c>
      <c r="BD12" s="301">
        <f>(IF('Water Report'!$N$24&gt;0,'Water Report'!$N$24,0))</f>
        <v>316</v>
      </c>
      <c r="BE12" s="301">
        <f>(IF('Water Report'!$N$25&gt;0,'Water Report'!$N$25,0))</f>
        <v>244</v>
      </c>
      <c r="BF12" s="301">
        <f>(IF('Water Report'!$N$27&gt;0,'Water Report'!$N$27,0))</f>
        <v>85</v>
      </c>
      <c r="BG12" s="296">
        <f>(IF('Section Load'!AN15&gt;0,'Section Load'!AN15,0))</f>
        <v>1118</v>
      </c>
      <c r="BH12" s="296">
        <f>(IF('Section Load'!AO15&gt;0,'Section Load'!AO15,0))</f>
        <v>316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53</v>
      </c>
      <c r="BL12" s="296">
        <f>(IF('Section Load'!AS15&gt;0,'Section Load'!AS15,0))</f>
        <v>3</v>
      </c>
      <c r="BM12" s="296">
        <f>(IF('Section Load'!AT15&gt;0,'Section Load'!AT15,0))</f>
        <v>622</v>
      </c>
    </row>
    <row r="13" spans="1:65" x14ac:dyDescent="0.25">
      <c r="A13" s="287" t="s">
        <v>268</v>
      </c>
      <c r="B13" s="288">
        <f t="shared" si="0"/>
        <v>12</v>
      </c>
      <c r="C13" s="288">
        <v>2</v>
      </c>
      <c r="D13" s="288">
        <v>2022</v>
      </c>
      <c r="E13" s="294">
        <f>(IF('Section Load'!F16&gt;0,'Section Load'!F16,0))</f>
        <v>3199</v>
      </c>
      <c r="F13" s="294">
        <f>(IF('Section Load'!G16&gt;0,'Section Load'!G16,0))</f>
        <v>1783</v>
      </c>
      <c r="G13" s="294">
        <f>(IF('Section Load'!H16&gt;0,'Section Load'!H16,0))</f>
        <v>2162</v>
      </c>
      <c r="H13" s="294">
        <f>(IF('Section Load'!I16&gt;0,'Section Load'!I16,0))</f>
        <v>3245</v>
      </c>
      <c r="I13" s="294">
        <f>(IF('Section Load'!J16&gt;0,'Section Load'!J16,0))</f>
        <v>4928</v>
      </c>
      <c r="J13" s="294">
        <f>(IF('Section Load'!K16&gt;0,'Section Load'!K16,0))</f>
        <v>2226</v>
      </c>
      <c r="K13" s="294">
        <f>(IF('Section Load'!L16&gt;0,'Section Load'!L16,0))</f>
        <v>1310</v>
      </c>
      <c r="L13" s="294">
        <f>(IF('Section Load'!M16&gt;0,'Section Load'!M16,0))</f>
        <v>1194</v>
      </c>
      <c r="M13" s="294">
        <f>(IF('Section Load'!N16&gt;0,'Section Load'!N16,0))</f>
        <v>96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187</v>
      </c>
      <c r="Q13" s="294">
        <f>(IF('Section Load'!R16&gt;0,'Section Load'!R16,0))</f>
        <v>70</v>
      </c>
      <c r="R13" s="294">
        <f>(IF('Section Load'!S16&gt;0,'Section Load'!S16,0))</f>
        <v>9</v>
      </c>
      <c r="S13" s="294">
        <f>(IF('Section Load'!T16&gt;0,'Section Load'!T16,0))</f>
        <v>471</v>
      </c>
      <c r="T13" s="294">
        <f>(IF('Section Load'!U16&gt;0,'Section Load'!U16,0))</f>
        <v>220</v>
      </c>
      <c r="U13" s="294">
        <f>(IF('Section Load'!V16&gt;0,'Section Load'!V16,0))</f>
        <v>442</v>
      </c>
      <c r="V13" s="294">
        <f>(IF('Section Load'!W16&gt;0,'Section Load'!W16,0))</f>
        <v>383</v>
      </c>
      <c r="W13" s="294">
        <f>(IF('Section Load'!X16&gt;0,'Section Load'!X16,0))</f>
        <v>31</v>
      </c>
      <c r="X13" s="294">
        <f>(IF('Section Load'!Y16&gt;0,'Section Load'!Y16,0))</f>
        <v>231</v>
      </c>
      <c r="Y13" s="294">
        <f>(IF('Section Load'!Z16&gt;0,'Section Load'!Z16,0))</f>
        <v>279</v>
      </c>
      <c r="Z13" s="294">
        <f>(IF('Section Load'!AA16&gt;0,'Section Load'!AA16,0))</f>
        <v>18</v>
      </c>
      <c r="AA13" s="294">
        <f>(IF('Section Load'!AB16&gt;0,'Section Load'!AB16,0))</f>
        <v>21</v>
      </c>
      <c r="AB13" s="294">
        <f>(IF('Section Load'!AC16&gt;0,'Section Load'!AC16,0))</f>
        <v>3.7700000000004366</v>
      </c>
      <c r="AC13" s="294">
        <f>(IF('Section Load'!AD16&gt;0,'Section Load'!AD16,0))</f>
        <v>81</v>
      </c>
      <c r="AD13" s="294">
        <f>(IF('Section Load'!AE16&gt;0,'Section Load'!AE16,0))</f>
        <v>484</v>
      </c>
      <c r="AE13" s="294">
        <f>(IF('Section Load'!AF16&gt;0,'Section Load'!AF16,0))</f>
        <v>196</v>
      </c>
      <c r="AF13" s="294">
        <f>(IF('Section Load'!AG16&gt;0,'Section Load'!AG16,0))</f>
        <v>406</v>
      </c>
      <c r="AG13" s="294">
        <f>(IF('Section Load'!AH16&gt;0,'Section Load'!AH16,0))</f>
        <v>440</v>
      </c>
      <c r="AH13" s="294">
        <f>(IF('Section Load'!AI16&gt;0,'Section Load'!AI16,0))</f>
        <v>413</v>
      </c>
      <c r="AI13" s="294">
        <f>(IF('Section Load'!AJ16&gt;0,'Section Load'!AJ16,0))</f>
        <v>776</v>
      </c>
      <c r="AJ13" s="294">
        <f>(IF('Section Load'!AK16&gt;0,'Section Load'!AK16,0))</f>
        <v>184</v>
      </c>
      <c r="AK13" s="294">
        <f>(IF('Section Load'!AL16&gt;0,'Section Load'!AL16,0))</f>
        <v>263</v>
      </c>
      <c r="AL13" s="294">
        <f>(IF('Section Load'!AM16&gt;0,'Section Load'!AM16,0))</f>
        <v>698</v>
      </c>
      <c r="AM13" s="295">
        <f>(IF('Water Report'!$O$7&gt;0,'Water Report'!$O$7,0))</f>
        <v>177</v>
      </c>
      <c r="AN13" s="295">
        <f>(IF('Water Report'!$O$8&gt;0,'Water Report'!$O$8,0))</f>
        <v>182</v>
      </c>
      <c r="AO13" s="295">
        <f>(IF('Water Report'!$O$9&gt;0,'Water Report'!$O$9,0))</f>
        <v>126</v>
      </c>
      <c r="AP13" s="295">
        <f>(IF('Water Report'!$O$10&gt;0,'Water Report'!$O$10,0))</f>
        <v>28</v>
      </c>
      <c r="AQ13" s="295">
        <f>(IF('Water Report'!$O$11&gt;0,'Water Report'!$O$11,0))</f>
        <v>66</v>
      </c>
      <c r="AR13" s="295">
        <f>(IF('Water Report'!$O$13&gt;0,'Water Report'!$O$13,0))</f>
        <v>52</v>
      </c>
      <c r="AS13" s="295">
        <f>(IF('Water Report'!$O$14&gt;0,'Water Report'!$O$14,0))</f>
        <v>14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17</v>
      </c>
      <c r="AW13" s="295">
        <f>(IF('Water Report'!$O$19&gt;0,'Water Report'!$O$19,0))</f>
        <v>14</v>
      </c>
      <c r="AX13" s="301">
        <f>(IF('Water Report'!$O$21&gt;0,'Water Report'!$O$21,0))</f>
        <v>95</v>
      </c>
      <c r="AY13" s="301">
        <f>(IF('Water Report'!$O$22&gt;0,'Water Report'!$O$22,0))</f>
        <v>20</v>
      </c>
      <c r="AZ13" s="301">
        <f>(IF('Water Report'!$O$23&gt;0,'Water Report'!$O$23,0))</f>
        <v>10</v>
      </c>
      <c r="BA13" s="301">
        <f>(IF('Water Report'!$O$14&gt;0,'Water Report'!$O$14,0))</f>
        <v>14</v>
      </c>
      <c r="BB13" s="301">
        <f>(IF('Water Report'!$O$15&gt;0,'Water Report'!$O$15,0))</f>
        <v>5</v>
      </c>
      <c r="BC13" s="301">
        <f>(IF('Water Report'!$O$13&gt;0,'Water Report'!$O$13,0))</f>
        <v>52</v>
      </c>
      <c r="BD13" s="301">
        <f>(IF('Water Report'!$O$24&gt;0,'Water Report'!$O$24,0))</f>
        <v>339</v>
      </c>
      <c r="BE13" s="301">
        <f>(IF('Water Report'!$O$25&gt;0,'Water Report'!$O$25,0))</f>
        <v>239</v>
      </c>
      <c r="BF13" s="301">
        <f>(IF('Water Report'!$O$27&gt;0,'Water Report'!$O$27,0))</f>
        <v>157</v>
      </c>
      <c r="BG13" s="296">
        <f>(IF('Section Load'!AN16&gt;0,'Section Load'!AN16,0))</f>
        <v>1293</v>
      </c>
      <c r="BH13" s="296">
        <f>(IF('Section Load'!AO16&gt;0,'Section Load'!AO16,0))</f>
        <v>324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58</v>
      </c>
      <c r="BL13" s="296">
        <f>(IF('Section Load'!AS16&gt;0,'Section Load'!AS16,0))</f>
        <v>4</v>
      </c>
      <c r="BM13" s="296">
        <f>(IF('Section Load'!AT16&gt;0,'Section Load'!AT16,0))</f>
        <v>755</v>
      </c>
    </row>
    <row r="14" spans="1:65" x14ac:dyDescent="0.25">
      <c r="A14" s="287" t="s">
        <v>268</v>
      </c>
      <c r="B14" s="288">
        <f t="shared" si="0"/>
        <v>13</v>
      </c>
      <c r="C14" s="288">
        <v>2</v>
      </c>
      <c r="D14" s="288">
        <v>2022</v>
      </c>
      <c r="E14" s="294">
        <f>(IF('Section Load'!F17&gt;0,'Section Load'!F17,0))</f>
        <v>2981</v>
      </c>
      <c r="F14" s="294">
        <f>(IF('Section Load'!G17&gt;0,'Section Load'!G17,0))</f>
        <v>1781</v>
      </c>
      <c r="G14" s="294">
        <f>(IF('Section Load'!H17&gt;0,'Section Load'!H17,0))</f>
        <v>2029</v>
      </c>
      <c r="H14" s="294">
        <f>(IF('Section Load'!I17&gt;0,'Section Load'!I17,0))</f>
        <v>3279</v>
      </c>
      <c r="I14" s="294">
        <f>(IF('Section Load'!J17&gt;0,'Section Load'!J17,0))</f>
        <v>5019</v>
      </c>
      <c r="J14" s="294">
        <f>(IF('Section Load'!K17&gt;0,'Section Load'!K17,0))</f>
        <v>2145</v>
      </c>
      <c r="K14" s="294">
        <f>(IF('Section Load'!L17&gt;0,'Section Load'!L17,0))</f>
        <v>1558</v>
      </c>
      <c r="L14" s="294">
        <f>(IF('Section Load'!M17&gt;0,'Section Load'!M17,0))</f>
        <v>1069</v>
      </c>
      <c r="M14" s="294">
        <f>(IF('Section Load'!N17&gt;0,'Section Load'!N17,0))</f>
        <v>148</v>
      </c>
      <c r="N14" s="294">
        <f>(IF('Section Load'!O17&gt;0,'Section Load'!O17,0))</f>
        <v>20</v>
      </c>
      <c r="O14" s="294">
        <f>(IF('Section Load'!P17&gt;0,'Section Load'!P17,0))</f>
        <v>0</v>
      </c>
      <c r="P14" s="294">
        <f>(IF('Section Load'!Q17&gt;0,'Section Load'!Q17,0))</f>
        <v>179</v>
      </c>
      <c r="Q14" s="294">
        <f>(IF('Section Load'!R17&gt;0,'Section Load'!R17,0))</f>
        <v>70</v>
      </c>
      <c r="R14" s="294">
        <f>(IF('Section Load'!S17&gt;0,'Section Load'!S17,0))</f>
        <v>10</v>
      </c>
      <c r="S14" s="294">
        <f>(IF('Section Load'!T17&gt;0,'Section Load'!T17,0))</f>
        <v>472</v>
      </c>
      <c r="T14" s="294">
        <f>(IF('Section Load'!U17&gt;0,'Section Load'!U17,0))</f>
        <v>208</v>
      </c>
      <c r="U14" s="294">
        <f>(IF('Section Load'!V17&gt;0,'Section Load'!V17,0))</f>
        <v>443</v>
      </c>
      <c r="V14" s="294">
        <f>(IF('Section Load'!W17&gt;0,'Section Load'!W17,0))</f>
        <v>364</v>
      </c>
      <c r="W14" s="294">
        <f>(IF('Section Load'!X17&gt;0,'Section Load'!X17,0))</f>
        <v>30</v>
      </c>
      <c r="X14" s="294">
        <f>(IF('Section Load'!Y17&gt;0,'Section Load'!Y17,0))</f>
        <v>196</v>
      </c>
      <c r="Y14" s="294">
        <f>(IF('Section Load'!Z17&gt;0,'Section Load'!Z17,0))</f>
        <v>230</v>
      </c>
      <c r="Z14" s="294">
        <f>(IF('Section Load'!AA17&gt;0,'Section Load'!AA17,0))</f>
        <v>17</v>
      </c>
      <c r="AA14" s="294">
        <f>(IF('Section Load'!AB17&gt;0,'Section Load'!AB17,0))</f>
        <v>20</v>
      </c>
      <c r="AB14" s="294">
        <f>(IF('Section Load'!AC17&gt;0,'Section Load'!AC17,0))</f>
        <v>0</v>
      </c>
      <c r="AC14" s="294">
        <f>(IF('Section Load'!AD17&gt;0,'Section Load'!AD17,0))</f>
        <v>83</v>
      </c>
      <c r="AD14" s="294">
        <f>(IF('Section Load'!AE17&gt;0,'Section Load'!AE17,0))</f>
        <v>446</v>
      </c>
      <c r="AE14" s="294">
        <f>(IF('Section Load'!AF17&gt;0,'Section Load'!AF17,0))</f>
        <v>219</v>
      </c>
      <c r="AF14" s="294">
        <f>(IF('Section Load'!AG17&gt;0,'Section Load'!AG17,0))</f>
        <v>412</v>
      </c>
      <c r="AG14" s="294">
        <f>(IF('Section Load'!AH17&gt;0,'Section Load'!AH17,0))</f>
        <v>426</v>
      </c>
      <c r="AH14" s="294">
        <f>(IF('Section Load'!AI17&gt;0,'Section Load'!AI17,0))</f>
        <v>409</v>
      </c>
      <c r="AI14" s="294">
        <f>(IF('Section Load'!AJ17&gt;0,'Section Load'!AJ17,0))</f>
        <v>757</v>
      </c>
      <c r="AJ14" s="294">
        <f>(IF('Section Load'!AK17&gt;0,'Section Load'!AK17,0))</f>
        <v>260</v>
      </c>
      <c r="AK14" s="294">
        <f>(IF('Section Load'!AL17&gt;0,'Section Load'!AL17,0))</f>
        <v>259</v>
      </c>
      <c r="AL14" s="294">
        <f>(IF('Section Load'!AM17&gt;0,'Section Load'!AM17,0))</f>
        <v>676</v>
      </c>
      <c r="AM14" s="295">
        <f>(IF('Water Report'!$P$7&gt;0,'Water Report'!$P$7,0))</f>
        <v>177</v>
      </c>
      <c r="AN14" s="295">
        <f>(IF('Water Report'!$P$8&gt;0,'Water Report'!$P$8,0))</f>
        <v>140</v>
      </c>
      <c r="AO14" s="295">
        <f>(IF('Water Report'!$P$9&gt;0,'Water Report'!$P$9,0))</f>
        <v>112</v>
      </c>
      <c r="AP14" s="295">
        <f>(IF('Water Report'!$P$10&gt;0,'Water Report'!$P$10,0))</f>
        <v>27</v>
      </c>
      <c r="AQ14" s="295">
        <f>(IF('Water Report'!$P$11&gt;0,'Water Report'!$P$11,0))</f>
        <v>71</v>
      </c>
      <c r="AR14" s="295">
        <f>(IF('Water Report'!$P$13&gt;0,'Water Report'!$P$13,0))</f>
        <v>32</v>
      </c>
      <c r="AS14" s="295">
        <f>(IF('Water Report'!$P$14&gt;0,'Water Report'!$P$14,0))</f>
        <v>11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12</v>
      </c>
      <c r="AW14" s="295">
        <f>(IF('Water Report'!$P$19&gt;0,'Water Report'!$P$19,0))</f>
        <v>13</v>
      </c>
      <c r="AX14" s="301">
        <f>(IF('Water Report'!$P$21&gt;0,'Water Report'!$P$21,0))</f>
        <v>42</v>
      </c>
      <c r="AY14" s="301">
        <f>(IF('Water Report'!$P$22&gt;0,'Water Report'!$P$22,0))</f>
        <v>31</v>
      </c>
      <c r="AZ14" s="301">
        <f>(IF('Water Report'!$P$23&gt;0,'Water Report'!$P$23,0))</f>
        <v>0</v>
      </c>
      <c r="BA14" s="301">
        <f>(IF('Water Report'!$P$14&gt;0,'Water Report'!$P$14,0))</f>
        <v>11</v>
      </c>
      <c r="BB14" s="301">
        <f>(IF('Water Report'!$P$15&gt;0,'Water Report'!$P$15,0))</f>
        <v>8</v>
      </c>
      <c r="BC14" s="301">
        <f>(IF('Water Report'!$P$13&gt;0,'Water Report'!$P$13,0))</f>
        <v>32</v>
      </c>
      <c r="BD14" s="301">
        <f>(IF('Water Report'!$P$24&gt;0,'Water Report'!$P$24,0))</f>
        <v>296</v>
      </c>
      <c r="BE14" s="301">
        <f>(IF('Water Report'!$P$25&gt;0,'Water Report'!$P$25,0))</f>
        <v>229</v>
      </c>
      <c r="BF14" s="301">
        <f>(IF('Water Report'!$P$27&gt;0,'Water Report'!$P$27,0))</f>
        <v>74</v>
      </c>
      <c r="BG14" s="296">
        <f>(IF('Section Load'!AN17&gt;0,'Section Load'!AN17,0))</f>
        <v>1108</v>
      </c>
      <c r="BH14" s="296">
        <f>(IF('Section Load'!AO17&gt;0,'Section Load'!AO17,0))</f>
        <v>287</v>
      </c>
      <c r="BI14" s="296">
        <f>(IF('Section Load'!AP17&gt;0,'Section Load'!AP17,0))</f>
        <v>0</v>
      </c>
      <c r="BJ14" s="296">
        <f>(IF('Section Load'!AQ17&gt;0,'Section Load'!AQ17,0))</f>
        <v>119</v>
      </c>
      <c r="BK14" s="296">
        <f>(IF('Section Load'!AR17&gt;0,'Section Load'!AR17,0))</f>
        <v>52</v>
      </c>
      <c r="BL14" s="296">
        <f>(IF('Section Load'!AS17&gt;0,'Section Load'!AS17,0))</f>
        <v>3</v>
      </c>
      <c r="BM14" s="296">
        <f>(IF('Section Load'!AT17&gt;0,'Section Load'!AT17,0))</f>
        <v>647</v>
      </c>
    </row>
    <row r="15" spans="1:65" x14ac:dyDescent="0.25">
      <c r="A15" s="287" t="s">
        <v>268</v>
      </c>
      <c r="B15" s="288">
        <f t="shared" si="0"/>
        <v>14</v>
      </c>
      <c r="C15" s="288">
        <v>2</v>
      </c>
      <c r="D15" s="288">
        <v>2022</v>
      </c>
      <c r="E15" s="294">
        <f>(IF('Section Load'!F18&gt;0,'Section Load'!F18,0))</f>
        <v>3003</v>
      </c>
      <c r="F15" s="294">
        <f>(IF('Section Load'!G18&gt;0,'Section Load'!G18,0))</f>
        <v>1746</v>
      </c>
      <c r="G15" s="294">
        <f>(IF('Section Load'!H18&gt;0,'Section Load'!H18,0))</f>
        <v>2061</v>
      </c>
      <c r="H15" s="294">
        <f>(IF('Section Load'!I18&gt;0,'Section Load'!I18,0))</f>
        <v>3213</v>
      </c>
      <c r="I15" s="294">
        <f>(IF('Section Load'!J18&gt;0,'Section Load'!J18,0))</f>
        <v>4624</v>
      </c>
      <c r="J15" s="294">
        <f>(IF('Section Load'!K18&gt;0,'Section Load'!K18,0))</f>
        <v>2102</v>
      </c>
      <c r="K15" s="294">
        <f>(IF('Section Load'!L18&gt;0,'Section Load'!L18,0))</f>
        <v>1606</v>
      </c>
      <c r="L15" s="294">
        <f>(IF('Section Load'!M18&gt;0,'Section Load'!M18,0))</f>
        <v>834</v>
      </c>
      <c r="M15" s="294">
        <f>(IF('Section Load'!N18&gt;0,'Section Load'!N18,0))</f>
        <v>98</v>
      </c>
      <c r="N15" s="294">
        <f>(IF('Section Load'!O18&gt;0,'Section Load'!O18,0))</f>
        <v>1</v>
      </c>
      <c r="O15" s="294">
        <f>(IF('Section Load'!P18&gt;0,'Section Load'!P18,0))</f>
        <v>0</v>
      </c>
      <c r="P15" s="294">
        <f>(IF('Section Load'!Q18&gt;0,'Section Load'!Q18,0))</f>
        <v>176</v>
      </c>
      <c r="Q15" s="294">
        <f>(IF('Section Load'!R18&gt;0,'Section Load'!R18,0))</f>
        <v>69</v>
      </c>
      <c r="R15" s="294">
        <f>(IF('Section Load'!S18&gt;0,'Section Load'!S18,0))</f>
        <v>15</v>
      </c>
      <c r="S15" s="294">
        <f>(IF('Section Load'!T18&gt;0,'Section Load'!T18,0))</f>
        <v>493</v>
      </c>
      <c r="T15" s="294">
        <f>(IF('Section Load'!U18&gt;0,'Section Load'!U18,0))</f>
        <v>199</v>
      </c>
      <c r="U15" s="294">
        <f>(IF('Section Load'!V18&gt;0,'Section Load'!V18,0))</f>
        <v>449</v>
      </c>
      <c r="V15" s="294">
        <f>(IF('Section Load'!W18&gt;0,'Section Load'!W18,0))</f>
        <v>310</v>
      </c>
      <c r="W15" s="294">
        <f>(IF('Section Load'!X18&gt;0,'Section Load'!X18,0))</f>
        <v>28</v>
      </c>
      <c r="X15" s="294">
        <f>(IF('Section Load'!Y18&gt;0,'Section Load'!Y18,0))</f>
        <v>217</v>
      </c>
      <c r="Y15" s="294">
        <f>(IF('Section Load'!Z18&gt;0,'Section Load'!Z18,0))</f>
        <v>262</v>
      </c>
      <c r="Z15" s="294">
        <f>(IF('Section Load'!AA18&gt;0,'Section Load'!AA18,0))</f>
        <v>18</v>
      </c>
      <c r="AA15" s="294">
        <f>(IF('Section Load'!AB18&gt;0,'Section Load'!AB18,0))</f>
        <v>40</v>
      </c>
      <c r="AB15" s="294">
        <f>(IF('Section Load'!AC18&gt;0,'Section Load'!AC18,0))</f>
        <v>0.98999999999796273</v>
      </c>
      <c r="AC15" s="294">
        <f>(IF('Section Load'!AD18&gt;0,'Section Load'!AD18,0))</f>
        <v>125</v>
      </c>
      <c r="AD15" s="294">
        <f>(IF('Section Load'!AE18&gt;0,'Section Load'!AE18,0))</f>
        <v>435</v>
      </c>
      <c r="AE15" s="294">
        <f>(IF('Section Load'!AF18&gt;0,'Section Load'!AF18,0))</f>
        <v>254</v>
      </c>
      <c r="AF15" s="294">
        <f>(IF('Section Load'!AG18&gt;0,'Section Load'!AG18,0))</f>
        <v>461</v>
      </c>
      <c r="AG15" s="294">
        <f>(IF('Section Load'!AH18&gt;0,'Section Load'!AH18,0))</f>
        <v>445</v>
      </c>
      <c r="AH15" s="294">
        <f>(IF('Section Load'!AI18&gt;0,'Section Load'!AI18,0))</f>
        <v>417</v>
      </c>
      <c r="AI15" s="294">
        <f>(IF('Section Load'!AJ18&gt;0,'Section Load'!AJ18,0))</f>
        <v>760</v>
      </c>
      <c r="AJ15" s="294">
        <f>(IF('Section Load'!AK18&gt;0,'Section Load'!AK18,0))</f>
        <v>209</v>
      </c>
      <c r="AK15" s="294">
        <f>(IF('Section Load'!AL18&gt;0,'Section Load'!AL18,0))</f>
        <v>261</v>
      </c>
      <c r="AL15" s="294">
        <f>(IF('Section Load'!AM18&gt;0,'Section Load'!AM18,0))</f>
        <v>679</v>
      </c>
      <c r="AM15" s="295">
        <f>(IF('Water Report'!$Q$7&gt;0,'Water Report'!$Q$7,0))</f>
        <v>170</v>
      </c>
      <c r="AN15" s="295">
        <f>(IF('Water Report'!$Q$8&gt;0,'Water Report'!$Q$8,0))</f>
        <v>124</v>
      </c>
      <c r="AO15" s="295">
        <f>(IF('Water Report'!$Q$9&gt;0,'Water Report'!$Q$9,0))</f>
        <v>135</v>
      </c>
      <c r="AP15" s="295">
        <f>(IF('Water Report'!$Q$10&gt;0,'Water Report'!$Q$10,0))</f>
        <v>27</v>
      </c>
      <c r="AQ15" s="295">
        <f>(IF('Water Report'!$Q$11&gt;0,'Water Report'!$Q$11,0))</f>
        <v>69</v>
      </c>
      <c r="AR15" s="295">
        <f>(IF('Water Report'!$Q$13&gt;0,'Water Report'!$Q$13,0))</f>
        <v>34</v>
      </c>
      <c r="AS15" s="295">
        <f>(IF('Water Report'!$Q$14&gt;0,'Water Report'!$Q$14,0))</f>
        <v>11</v>
      </c>
      <c r="AT15" s="295">
        <f>(IF('Water Report'!$Q$15&gt;0,'Water Report'!$Q$15,0))</f>
        <v>11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64</v>
      </c>
      <c r="AY15" s="301">
        <f>(IF('Water Report'!$Q$22&gt;0,'Water Report'!$Q$22,0))</f>
        <v>3</v>
      </c>
      <c r="AZ15" s="301">
        <f>(IF('Water Report'!$Q$23&gt;0,'Water Report'!$Q$23,0))</f>
        <v>12</v>
      </c>
      <c r="BA15" s="301">
        <f>(IF('Water Report'!$Q$14&gt;0,'Water Report'!$Q$14,0))</f>
        <v>11</v>
      </c>
      <c r="BB15" s="301">
        <f>(IF('Water Report'!$Q$15&gt;0,'Water Report'!$Q$15,0))</f>
        <v>11</v>
      </c>
      <c r="BC15" s="301">
        <f>(IF('Water Report'!$Q$13&gt;0,'Water Report'!$Q$13,0))</f>
        <v>34</v>
      </c>
      <c r="BD15" s="301">
        <f>(IF('Water Report'!$Q$24&gt;0,'Water Report'!$Q$24,0))</f>
        <v>296</v>
      </c>
      <c r="BE15" s="301">
        <f>(IF('Water Report'!$Q$25&gt;0,'Water Report'!$Q$25,0))</f>
        <v>253</v>
      </c>
      <c r="BF15" s="301">
        <f>(IF('Water Report'!$Q$27&gt;0,'Water Report'!$Q$27,0))</f>
        <v>110</v>
      </c>
      <c r="BG15" s="296">
        <f>(IF('Section Load'!AN18&gt;0,'Section Load'!AN18,0))</f>
        <v>1095</v>
      </c>
      <c r="BH15" s="296">
        <f>(IF('Section Load'!AO18&gt;0,'Section Load'!AO18,0))</f>
        <v>294</v>
      </c>
      <c r="BI15" s="296">
        <f>(IF('Section Load'!AP18&gt;0,'Section Load'!AP18,0))</f>
        <v>0</v>
      </c>
      <c r="BJ15" s="296">
        <f>(IF('Section Load'!AQ18&gt;0,'Section Load'!AQ18,0))</f>
        <v>93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669</v>
      </c>
    </row>
    <row r="16" spans="1:65" x14ac:dyDescent="0.25">
      <c r="A16" s="287" t="s">
        <v>268</v>
      </c>
      <c r="B16" s="288">
        <f t="shared" si="0"/>
        <v>15</v>
      </c>
      <c r="C16" s="288">
        <v>2</v>
      </c>
      <c r="D16" s="288">
        <v>2022</v>
      </c>
      <c r="E16" s="294">
        <f>(IF('Section Load'!F19&gt;0,'Section Load'!F19,0))</f>
        <v>3027.0299999999988</v>
      </c>
      <c r="F16" s="294">
        <f>(IF('Section Load'!G19&gt;0,'Section Load'!G19,0))</f>
        <v>1780.6999999999971</v>
      </c>
      <c r="G16" s="294">
        <f>(IF('Section Load'!H19&gt;0,'Section Load'!H19,0))</f>
        <v>1992.6000000000058</v>
      </c>
      <c r="H16" s="294">
        <f>(IF('Section Load'!I19&gt;0,'Section Load'!I19,0))</f>
        <v>3189.1999999999971</v>
      </c>
      <c r="I16" s="294">
        <f>(IF('Section Load'!J19&gt;0,'Section Load'!J19,0))</f>
        <v>4586.5399999999881</v>
      </c>
      <c r="J16" s="294">
        <f>(IF('Section Load'!K19&gt;0,'Section Load'!K19,0))</f>
        <v>2095.5799999999872</v>
      </c>
      <c r="K16" s="294">
        <f>(IF('Section Load'!L19&gt;0,'Section Load'!L19,0))</f>
        <v>1491.9499999999971</v>
      </c>
      <c r="L16" s="294">
        <f>(IF('Section Load'!M19&gt;0,'Section Load'!M19,0))</f>
        <v>750.84999999999854</v>
      </c>
      <c r="M16" s="294">
        <f>(IF('Section Load'!N19&gt;0,'Section Load'!N19,0))</f>
        <v>88</v>
      </c>
      <c r="N16" s="294">
        <f>(IF('Section Load'!O19&gt;0,'Section Load'!O19,0))</f>
        <v>0</v>
      </c>
      <c r="O16" s="294">
        <f>(IF('Section Load'!P19&gt;0,'Section Load'!P19,0))</f>
        <v>0</v>
      </c>
      <c r="P16" s="294">
        <f>(IF('Section Load'!Q19&gt;0,'Section Load'!Q19,0))</f>
        <v>176.27999999999884</v>
      </c>
      <c r="Q16" s="294">
        <f>(IF('Section Load'!R19&gt;0,'Section Load'!R19,0))</f>
        <v>59</v>
      </c>
      <c r="R16" s="294">
        <f>(IF('Section Load'!S19&gt;0,'Section Load'!S19,0))</f>
        <v>13.25</v>
      </c>
      <c r="S16" s="294">
        <f>(IF('Section Load'!T19&gt;0,'Section Load'!T19,0))</f>
        <v>510</v>
      </c>
      <c r="T16" s="294">
        <f>(IF('Section Load'!U19&gt;0,'Section Load'!U19,0))</f>
        <v>213</v>
      </c>
      <c r="U16" s="294">
        <f>(IF('Section Load'!V19&gt;0,'Section Load'!V19,0))</f>
        <v>405.64000000001397</v>
      </c>
      <c r="V16" s="294">
        <f>(IF('Section Load'!W19&gt;0,'Section Load'!W19,0))</f>
        <v>245.64000000001397</v>
      </c>
      <c r="W16" s="294">
        <f>(IF('Section Load'!X19&gt;0,'Section Load'!X19,0))</f>
        <v>31.010000000000218</v>
      </c>
      <c r="X16" s="294">
        <f>(IF('Section Load'!Y19&gt;0,'Section Load'!Y19,0))</f>
        <v>215.47999999999956</v>
      </c>
      <c r="Y16" s="294">
        <f>(IF('Section Load'!Z19&gt;0,'Section Load'!Z19,0))</f>
        <v>230</v>
      </c>
      <c r="Z16" s="294">
        <f>(IF('Section Load'!AA19&gt;0,'Section Load'!AA19,0))</f>
        <v>32</v>
      </c>
      <c r="AA16" s="294">
        <f>(IF('Section Load'!AB19&gt;0,'Section Load'!AB19,0))</f>
        <v>44.80000000000291</v>
      </c>
      <c r="AB16" s="294">
        <f>(IF('Section Load'!AC19&gt;0,'Section Load'!AC19,0))</f>
        <v>0</v>
      </c>
      <c r="AC16" s="294">
        <f>(IF('Section Load'!AD19&gt;0,'Section Load'!AD19,0))</f>
        <v>146.39999999999964</v>
      </c>
      <c r="AD16" s="294">
        <f>(IF('Section Load'!AE19&gt;0,'Section Load'!AE19,0))</f>
        <v>0</v>
      </c>
      <c r="AE16" s="294">
        <f>(IF('Section Load'!AF19&gt;0,'Section Load'!AF19,0))</f>
        <v>219.19999999999982</v>
      </c>
      <c r="AF16" s="294">
        <f>(IF('Section Load'!AG19&gt;0,'Section Load'!AG19,0))</f>
        <v>452.42999999999302</v>
      </c>
      <c r="AG16" s="294">
        <f>(IF('Section Load'!AH19&gt;0,'Section Load'!AH19,0))</f>
        <v>433.80999999999767</v>
      </c>
      <c r="AH16" s="294">
        <f>(IF('Section Load'!AI19&gt;0,'Section Load'!AI19,0))</f>
        <v>442.84999999999854</v>
      </c>
      <c r="AI16" s="294">
        <f>(IF('Section Load'!AJ19&gt;0,'Section Load'!AJ19,0))</f>
        <v>792.46999999997206</v>
      </c>
      <c r="AJ16" s="294">
        <f>(IF('Section Load'!AK19&gt;0,'Section Load'!AK19,0))</f>
        <v>221.80000000000291</v>
      </c>
      <c r="AK16" s="294">
        <f>(IF('Section Load'!AL19&gt;0,'Section Load'!AL19,0))</f>
        <v>257.95000000001164</v>
      </c>
      <c r="AL16" s="294">
        <f>(IF('Section Load'!AM19&gt;0,'Section Load'!AM19,0))</f>
        <v>670.32000000000698</v>
      </c>
      <c r="AM16" s="295">
        <f>(IF('Water Report'!$R$7&gt;0,'Water Report'!$R$7,0))</f>
        <v>97</v>
      </c>
      <c r="AN16" s="295">
        <f>(IF('Water Report'!$R$8&gt;0,'Water Report'!$R$8,0))</f>
        <v>87</v>
      </c>
      <c r="AO16" s="295">
        <f>(IF('Water Report'!$R$9&gt;0,'Water Report'!$R$9,0))</f>
        <v>119</v>
      </c>
      <c r="AP16" s="295">
        <f>(IF('Water Report'!$R$10&gt;0,'Water Report'!$R$10,0))</f>
        <v>31</v>
      </c>
      <c r="AQ16" s="295">
        <f>(IF('Water Report'!$R$11&gt;0,'Water Report'!$R$11,0))</f>
        <v>71</v>
      </c>
      <c r="AR16" s="295">
        <f>(IF('Water Report'!$R$13&gt;0,'Water Report'!$R$13,0))</f>
        <v>44</v>
      </c>
      <c r="AS16" s="295">
        <f>(IF('Water Report'!$R$14&gt;0,'Water Report'!$R$14,0))</f>
        <v>26</v>
      </c>
      <c r="AT16" s="295">
        <f>(IF('Water Report'!$R$15&gt;0,'Water Report'!$R$15,0))</f>
        <v>15</v>
      </c>
      <c r="AU16" s="295">
        <f>(IF('Water Report'!$R$17&gt;0,'Water Report'!$R$17,0))</f>
        <v>33</v>
      </c>
      <c r="AV16" s="295">
        <f>(IF('Water Report'!$R$18&gt;0,'Water Report'!$R$18,0))</f>
        <v>16</v>
      </c>
      <c r="AW16" s="295">
        <f>(IF('Water Report'!$R$19&gt;0,'Water Report'!$R$19,0))</f>
        <v>13</v>
      </c>
      <c r="AX16" s="301">
        <f>(IF('Water Report'!$R$21&gt;0,'Water Report'!$R$21,0))</f>
        <v>64</v>
      </c>
      <c r="AY16" s="301">
        <f>(IF('Water Report'!$R$22&gt;0,'Water Report'!$R$22,0))</f>
        <v>32</v>
      </c>
      <c r="AZ16" s="301">
        <f>(IF('Water Report'!$R$23&gt;0,'Water Report'!$R$23,0))</f>
        <v>6</v>
      </c>
      <c r="BA16" s="301">
        <f>(IF('Water Report'!$R$14&gt;0,'Water Report'!$R$14,0))</f>
        <v>26</v>
      </c>
      <c r="BB16" s="301">
        <f>(IF('Water Report'!$R$15&gt;0,'Water Report'!$R$15,0))</f>
        <v>15</v>
      </c>
      <c r="BC16" s="301">
        <f>(IF('Water Report'!$R$13&gt;0,'Water Report'!$R$13,0))</f>
        <v>44</v>
      </c>
      <c r="BD16" s="301">
        <f>(IF('Water Report'!$R$24&gt;0,'Water Report'!$R$24,0))</f>
        <v>316</v>
      </c>
      <c r="BE16" s="301">
        <f>(IF('Water Report'!$R$25&gt;0,'Water Report'!$R$25,0))</f>
        <v>262</v>
      </c>
      <c r="BF16" s="301">
        <f>(IF('Water Report'!$R$27&gt;0,'Water Report'!$R$27,0))</f>
        <v>114</v>
      </c>
      <c r="BG16" s="296">
        <f>(IF('Section Load'!AN19&gt;0,'Section Load'!AN19,0))</f>
        <v>1135.2800000000279</v>
      </c>
      <c r="BH16" s="296">
        <f>(IF('Section Load'!AO19&gt;0,'Section Load'!AO19,0))</f>
        <v>280.39099999994505</v>
      </c>
      <c r="BI16" s="296">
        <f>(IF('Section Load'!AP19&gt;0,'Section Load'!AP19,0))</f>
        <v>0</v>
      </c>
      <c r="BJ16" s="296">
        <f>(IF('Section Load'!AQ19&gt;0,'Section Load'!AQ19,0))</f>
        <v>88.660000000003492</v>
      </c>
      <c r="BK16" s="296">
        <f>(IF('Section Load'!AR19&gt;0,'Section Load'!AR19,0))</f>
        <v>51.19999999999709</v>
      </c>
      <c r="BL16" s="296">
        <f>(IF('Section Load'!AS19&gt;0,'Section Load'!AS19,0))</f>
        <v>0</v>
      </c>
      <c r="BM16" s="296">
        <f>(IF('Section Load'!AT19&gt;0,'Section Load'!AT19,0))</f>
        <v>715.02900000008231</v>
      </c>
    </row>
    <row r="17" spans="1:65" x14ac:dyDescent="0.25">
      <c r="A17" s="287" t="s">
        <v>268</v>
      </c>
      <c r="B17" s="288">
        <f t="shared" si="0"/>
        <v>16</v>
      </c>
      <c r="C17" s="288">
        <v>2</v>
      </c>
      <c r="D17" s="288">
        <v>2022</v>
      </c>
      <c r="E17" s="294">
        <f>(IF('Section Load'!F20&gt;0,'Section Load'!F20,0))</f>
        <v>3072.0999999999985</v>
      </c>
      <c r="F17" s="294">
        <f>(IF('Section Load'!G20&gt;0,'Section Load'!G20,0))</f>
        <v>1774.7800000000061</v>
      </c>
      <c r="G17" s="294">
        <f>(IF('Section Load'!H20&gt;0,'Section Load'!H20,0))</f>
        <v>2035.1399999999994</v>
      </c>
      <c r="H17" s="294">
        <f>(IF('Section Load'!I20&gt;0,'Section Load'!I20,0))</f>
        <v>3126.6800000000076</v>
      </c>
      <c r="I17" s="294">
        <f>(IF('Section Load'!J20&gt;0,'Section Load'!J20,0))</f>
        <v>4325.9800000000105</v>
      </c>
      <c r="J17" s="294">
        <f>(IF('Section Load'!K20&gt;0,'Section Load'!K20,0))</f>
        <v>2105.7700000000186</v>
      </c>
      <c r="K17" s="294">
        <f>(IF('Section Load'!L20&gt;0,'Section Load'!L20,0))</f>
        <v>1217.9799999999959</v>
      </c>
      <c r="L17" s="294">
        <f>(IF('Section Load'!M20&gt;0,'Section Load'!M20,0))</f>
        <v>881.54000000000087</v>
      </c>
      <c r="M17" s="294">
        <f>(IF('Section Load'!N20&gt;0,'Section Load'!N20,0))</f>
        <v>87</v>
      </c>
      <c r="N17" s="294">
        <f>(IF('Section Load'!O20&gt;0,'Section Load'!O20,0))</f>
        <v>1</v>
      </c>
      <c r="O17" s="294">
        <f>(IF('Section Load'!P20&gt;0,'Section Load'!P20,0))</f>
        <v>0</v>
      </c>
      <c r="P17" s="294">
        <f>(IF('Section Load'!Q20&gt;0,'Section Load'!Q20,0))</f>
        <v>172.51000000000204</v>
      </c>
      <c r="Q17" s="294">
        <f>(IF('Section Load'!R20&gt;0,'Section Load'!R20,0))</f>
        <v>79.639999999999418</v>
      </c>
      <c r="R17" s="294">
        <f>(IF('Section Load'!S20&gt;0,'Section Load'!S20,0))</f>
        <v>14.75</v>
      </c>
      <c r="S17" s="294">
        <f>(IF('Section Load'!T20&gt;0,'Section Load'!T20,0))</f>
        <v>483</v>
      </c>
      <c r="T17" s="294">
        <f>(IF('Section Load'!U20&gt;0,'Section Load'!U20,0))</f>
        <v>210</v>
      </c>
      <c r="U17" s="294">
        <f>(IF('Section Load'!V20&gt;0,'Section Load'!V20,0))</f>
        <v>404.35999999998603</v>
      </c>
      <c r="V17" s="294">
        <f>(IF('Section Load'!W20&gt;0,'Section Load'!W20,0))</f>
        <v>292.88000000000466</v>
      </c>
      <c r="W17" s="294">
        <f>(IF('Section Load'!X20&gt;0,'Section Load'!X20,0))</f>
        <v>30.760000000000218</v>
      </c>
      <c r="X17" s="294">
        <f>(IF('Section Load'!Y20&gt;0,'Section Load'!Y20,0))</f>
        <v>207.45000000000073</v>
      </c>
      <c r="Y17" s="294">
        <f>(IF('Section Load'!Z20&gt;0,'Section Load'!Z20,0))</f>
        <v>274</v>
      </c>
      <c r="Z17" s="294">
        <f>(IF('Section Load'!AA20&gt;0,'Section Load'!AA20,0))</f>
        <v>17</v>
      </c>
      <c r="AA17" s="294">
        <f>(IF('Section Load'!AB20&gt;0,'Section Load'!AB20,0))</f>
        <v>46.599999999991269</v>
      </c>
      <c r="AB17" s="294">
        <f>(IF('Section Load'!AC20&gt;0,'Section Load'!AC20,0))</f>
        <v>0</v>
      </c>
      <c r="AC17" s="294">
        <f>(IF('Section Load'!AD20&gt;0,'Section Load'!AD20,0))</f>
        <v>89.399999999994179</v>
      </c>
      <c r="AD17" s="294">
        <f>(IF('Section Load'!AE20&gt;0,'Section Load'!AE20,0))</f>
        <v>865.44999999999982</v>
      </c>
      <c r="AE17" s="294">
        <f>(IF('Section Load'!AF20&gt;0,'Section Load'!AF20,0))</f>
        <v>173.88000000000011</v>
      </c>
      <c r="AF17" s="294">
        <f>(IF('Section Load'!AG20&gt;0,'Section Load'!AG20,0))</f>
        <v>384.66000000000349</v>
      </c>
      <c r="AG17" s="294">
        <f>(IF('Section Load'!AH20&gt;0,'Section Load'!AH20,0))</f>
        <v>456.11999999999534</v>
      </c>
      <c r="AH17" s="294">
        <f>(IF('Section Load'!AI20&gt;0,'Section Load'!AI20,0))</f>
        <v>440.02999999999884</v>
      </c>
      <c r="AI17" s="294">
        <f>(IF('Section Load'!AJ20&gt;0,'Section Load'!AJ20,0))</f>
        <v>776.76000000000931</v>
      </c>
      <c r="AJ17" s="294">
        <f>(IF('Section Load'!AK20&gt;0,'Section Load'!AK20,0))</f>
        <v>245.88999999999942</v>
      </c>
      <c r="AK17" s="294">
        <f>(IF('Section Load'!AL20&gt;0,'Section Load'!AL20,0))</f>
        <v>263.4199999999837</v>
      </c>
      <c r="AL17" s="294">
        <f>(IF('Section Load'!AM20&gt;0,'Section Load'!AM20,0))</f>
        <v>673.23999999999069</v>
      </c>
      <c r="AM17" s="295">
        <f>(IF('Water Report'!$S$7&gt;0,'Water Report'!$S$7,0))</f>
        <v>146</v>
      </c>
      <c r="AN17" s="295">
        <f>(IF('Water Report'!$S$8&gt;0,'Water Report'!$S$8,0))</f>
        <v>115</v>
      </c>
      <c r="AO17" s="295">
        <f>(IF('Water Report'!$S$9&gt;0,'Water Report'!$S$9,0))</f>
        <v>89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1092.9150000000373</v>
      </c>
      <c r="BH17" s="296">
        <f>(IF('Section Load'!AO20&gt;0,'Section Load'!AO20,0))</f>
        <v>295.77900000009686</v>
      </c>
      <c r="BI17" s="296">
        <f>(IF('Section Load'!AP20&gt;0,'Section Load'!AP20,0))</f>
        <v>0</v>
      </c>
      <c r="BJ17" s="296">
        <f>(IF('Section Load'!AQ20&gt;0,'Section Load'!AQ20,0))</f>
        <v>94.169999999983702</v>
      </c>
      <c r="BK17" s="296">
        <f>(IF('Section Load'!AR20&gt;0,'Section Load'!AR20,0))</f>
        <v>43.400000000001455</v>
      </c>
      <c r="BL17" s="296">
        <f>(IF('Section Load'!AS20&gt;0,'Section Load'!AS20,0))</f>
        <v>0</v>
      </c>
      <c r="BM17" s="296">
        <f>(IF('Section Load'!AT20&gt;0,'Section Load'!AT20,0))</f>
        <v>659.76599999995233</v>
      </c>
    </row>
    <row r="18" spans="1:65" x14ac:dyDescent="0.25">
      <c r="A18" s="287" t="s">
        <v>268</v>
      </c>
      <c r="B18" s="288">
        <f t="shared" si="0"/>
        <v>17</v>
      </c>
      <c r="C18" s="288">
        <v>2</v>
      </c>
      <c r="D18" s="288">
        <v>2022</v>
      </c>
      <c r="E18" s="294">
        <f>(IF('Section Load'!F21&gt;0,'Section Load'!F21,0))</f>
        <v>2907.5500000000029</v>
      </c>
      <c r="F18" s="294">
        <f>(IF('Section Load'!G21&gt;0,'Section Load'!G21,0))</f>
        <v>1757.6999999999971</v>
      </c>
      <c r="G18" s="294">
        <f>(IF('Section Load'!H21&gt;0,'Section Load'!H21,0))</f>
        <v>2041.2599999999948</v>
      </c>
      <c r="H18" s="294">
        <f>(IF('Section Load'!I21&gt;0,'Section Load'!I21,0))</f>
        <v>3014.1399999999994</v>
      </c>
      <c r="I18" s="294">
        <f>(IF('Section Load'!J21&gt;0,'Section Load'!J21,0))</f>
        <v>4155.3800000000047</v>
      </c>
      <c r="J18" s="294">
        <f>(IF('Section Load'!K21&gt;0,'Section Load'!K21,0))</f>
        <v>2052.7299999999814</v>
      </c>
      <c r="K18" s="294">
        <f>(IF('Section Load'!L21&gt;0,'Section Load'!L21,0))</f>
        <v>1099.6000000000058</v>
      </c>
      <c r="L18" s="294">
        <f>(IF('Section Load'!M21&gt;0,'Section Load'!M21,0))</f>
        <v>905.22000000000116</v>
      </c>
      <c r="M18" s="294">
        <f>(IF('Section Load'!N21&gt;0,'Section Load'!N21,0))</f>
        <v>81</v>
      </c>
      <c r="N18" s="294">
        <f>(IF('Section Load'!O21&gt;0,'Section Load'!O21,0))</f>
        <v>2</v>
      </c>
      <c r="O18" s="294">
        <f>(IF('Section Load'!P21&gt;0,'Section Load'!P21,0))</f>
        <v>0</v>
      </c>
      <c r="P18" s="294">
        <f>(IF('Section Load'!Q21&gt;0,'Section Load'!Q21,0))</f>
        <v>183.69000000000233</v>
      </c>
      <c r="Q18" s="294">
        <f>(IF('Section Load'!R21&gt;0,'Section Load'!R21,0))</f>
        <v>64.330000000001746</v>
      </c>
      <c r="R18" s="294">
        <f>(IF('Section Load'!S21&gt;0,'Section Load'!S21,0))</f>
        <v>14.729999999999563</v>
      </c>
      <c r="S18" s="294">
        <f>(IF('Section Load'!T21&gt;0,'Section Load'!T21,0))</f>
        <v>429</v>
      </c>
      <c r="T18" s="294">
        <f>(IF('Section Load'!U21&gt;0,'Section Load'!U21,0))</f>
        <v>212</v>
      </c>
      <c r="U18" s="294">
        <f>(IF('Section Load'!V21&gt;0,'Section Load'!V21,0))</f>
        <v>374.04000000003725</v>
      </c>
      <c r="V18" s="294">
        <f>(IF('Section Load'!W21&gt;0,'Section Load'!W21,0))</f>
        <v>298.95999999996275</v>
      </c>
      <c r="W18" s="294">
        <f>(IF('Section Load'!X21&gt;0,'Section Load'!X21,0))</f>
        <v>25.579999999999927</v>
      </c>
      <c r="X18" s="294">
        <f>(IF('Section Load'!Y21&gt;0,'Section Load'!Y21,0))</f>
        <v>223.06999999999971</v>
      </c>
      <c r="Y18" s="294">
        <f>(IF('Section Load'!Z21&gt;0,'Section Load'!Z21,0))</f>
        <v>220</v>
      </c>
      <c r="Z18" s="294">
        <f>(IF('Section Load'!AA21&gt;0,'Section Load'!AA21,0))</f>
        <v>16.919999999983702</v>
      </c>
      <c r="AA18" s="294">
        <f>(IF('Section Load'!AB21&gt;0,'Section Load'!AB21,0))</f>
        <v>43.200000000011642</v>
      </c>
      <c r="AB18" s="294">
        <f>(IF('Section Load'!AC21&gt;0,'Section Load'!AC21,0))</f>
        <v>2.0000000000436557E-2</v>
      </c>
      <c r="AC18" s="294">
        <f>(IF('Section Load'!AD21&gt;0,'Section Load'!AD21,0))</f>
        <v>86.200000000006185</v>
      </c>
      <c r="AD18" s="294">
        <f>(IF('Section Load'!AE21&gt;0,'Section Load'!AE21,0))</f>
        <v>443.34000000000015</v>
      </c>
      <c r="AE18" s="294">
        <f>(IF('Section Load'!AF21&gt;0,'Section Load'!AF21,0))</f>
        <v>166.63000000000011</v>
      </c>
      <c r="AF18" s="294">
        <f>(IF('Section Load'!AG21&gt;0,'Section Load'!AG21,0))</f>
        <v>388.79000000000815</v>
      </c>
      <c r="AG18" s="294">
        <f>(IF('Section Load'!AH21&gt;0,'Section Load'!AH21,0))</f>
        <v>419.1600000000326</v>
      </c>
      <c r="AH18" s="294">
        <f>(IF('Section Load'!AI21&gt;0,'Section Load'!AI21,0))</f>
        <v>421.59000000000378</v>
      </c>
      <c r="AI18" s="294">
        <f>(IF('Section Load'!AJ21&gt;0,'Section Load'!AJ21,0))</f>
        <v>708.52000000001863</v>
      </c>
      <c r="AJ18" s="294">
        <f>(IF('Section Load'!AK21&gt;0,'Section Load'!AK21,0))</f>
        <v>217.27999999999884</v>
      </c>
      <c r="AK18" s="294">
        <f>(IF('Section Load'!AL21&gt;0,'Section Load'!AL21,0))</f>
        <v>255.41000000000349</v>
      </c>
      <c r="AL18" s="294">
        <f>(IF('Section Load'!AM21&gt;0,'Section Load'!AM21,0))</f>
        <v>657.55999999999767</v>
      </c>
      <c r="AM18" s="295">
        <f>(IF('Water Report'!$T$7&gt;0,'Water Report'!$T$7,0))</f>
        <v>189</v>
      </c>
      <c r="AN18" s="295">
        <f>(IF('Water Report'!$T$8&gt;0,'Water Report'!$T$8,0))</f>
        <v>118</v>
      </c>
      <c r="AO18" s="295">
        <f>(IF('Water Report'!$T$9&gt;0,'Water Report'!$T$9,0))</f>
        <v>116</v>
      </c>
      <c r="AP18" s="295">
        <f>(IF('Water Report'!$T$10&gt;0,'Water Report'!$T$10,0))</f>
        <v>19</v>
      </c>
      <c r="AQ18" s="295">
        <f>(IF('Water Report'!$T$11&gt;0,'Water Report'!$T$11,0))</f>
        <v>86</v>
      </c>
      <c r="AR18" s="295">
        <f>(IF('Water Report'!$T$13&gt;0,'Water Report'!$T$13,0))</f>
        <v>55</v>
      </c>
      <c r="AS18" s="295">
        <f>(IF('Water Report'!$T$14&gt;0,'Water Report'!$T$14,0))</f>
        <v>13</v>
      </c>
      <c r="AT18" s="295">
        <f>(IF('Water Report'!$T$15&gt;0,'Water Report'!$T$15,0))</f>
        <v>14</v>
      </c>
      <c r="AU18" s="295">
        <f>(IF('Water Report'!$T$17&gt;0,'Water Report'!$T$17,0))</f>
        <v>18</v>
      </c>
      <c r="AV18" s="295">
        <f>(IF('Water Report'!$T$18&gt;0,'Water Report'!$T$18,0))</f>
        <v>12</v>
      </c>
      <c r="AW18" s="295">
        <f>(IF('Water Report'!$T$19&gt;0,'Water Report'!$T$19,0))</f>
        <v>11</v>
      </c>
      <c r="AX18" s="301">
        <f>(IF('Water Report'!$T$21&gt;0,'Water Report'!$T$21,0))</f>
        <v>67</v>
      </c>
      <c r="AY18" s="301">
        <f>(IF('Water Report'!$T$22&gt;0,'Water Report'!$T$22,0))</f>
        <v>0</v>
      </c>
      <c r="AZ18" s="301">
        <f>(IF('Water Report'!$T$23&gt;0,'Water Report'!$T$23,0))</f>
        <v>0</v>
      </c>
      <c r="BA18" s="301">
        <f>(IF('Water Report'!$T$14&gt;0,'Water Report'!$T$14,0))</f>
        <v>13</v>
      </c>
      <c r="BB18" s="301">
        <f>(IF('Water Report'!$T$15&gt;0,'Water Report'!$T$15,0))</f>
        <v>14</v>
      </c>
      <c r="BC18" s="301">
        <f>(IF('Water Report'!$T$13&gt;0,'Water Report'!$T$13,0))</f>
        <v>55</v>
      </c>
      <c r="BD18" s="301">
        <f>(IF('Water Report'!$T$24&gt;0,'Water Report'!$T$24,0))</f>
        <v>306</v>
      </c>
      <c r="BE18" s="301">
        <f>(IF('Water Report'!$T$25&gt;0,'Water Report'!$T$25,0))</f>
        <v>248</v>
      </c>
      <c r="BF18" s="301">
        <f>(IF('Water Report'!$T$27&gt;0,'Water Report'!$T$27,0))</f>
        <v>122</v>
      </c>
      <c r="BG18" s="296">
        <f>(IF('Section Load'!AN21&gt;0,'Section Load'!AN21,0))</f>
        <v>1023.3799999998882</v>
      </c>
      <c r="BH18" s="296">
        <f>(IF('Section Load'!AO21&gt;0,'Section Load'!AO21,0))</f>
        <v>298.61999999999534</v>
      </c>
      <c r="BI18" s="296">
        <f>(IF('Section Load'!AP21&gt;0,'Section Load'!AP21,0))</f>
        <v>0</v>
      </c>
      <c r="BJ18" s="296">
        <f>(IF('Section Load'!AQ21&gt;0,'Section Load'!AQ21,0))</f>
        <v>95.400000000023283</v>
      </c>
      <c r="BK18" s="296">
        <f>(IF('Section Load'!AR21&gt;0,'Section Load'!AR21,0))</f>
        <v>36.80000000000291</v>
      </c>
      <c r="BL18" s="296">
        <f>(IF('Section Load'!AS21&gt;0,'Section Load'!AS21,0))</f>
        <v>1.8999999999996362</v>
      </c>
      <c r="BM18" s="296">
        <f>(IF('Section Load'!AT21&gt;0,'Section Load'!AT21,0))</f>
        <v>590.65999999986707</v>
      </c>
    </row>
    <row r="19" spans="1:65" x14ac:dyDescent="0.25">
      <c r="A19" s="287" t="s">
        <v>268</v>
      </c>
      <c r="B19" s="288">
        <f t="shared" si="0"/>
        <v>18</v>
      </c>
      <c r="C19" s="288">
        <v>2</v>
      </c>
      <c r="D19" s="288">
        <v>2022</v>
      </c>
      <c r="E19" s="294">
        <f>(IF('Section Load'!F22&gt;0,'Section Load'!F22,0))</f>
        <v>3114.760000000002</v>
      </c>
      <c r="F19" s="294">
        <f>(IF('Section Load'!G22&gt;0,'Section Load'!G22,0))</f>
        <v>1732.8400000000038</v>
      </c>
      <c r="G19" s="294">
        <f>(IF('Section Load'!H22&gt;0,'Section Load'!H22,0))</f>
        <v>2102.5</v>
      </c>
      <c r="H19" s="294">
        <f>(IF('Section Load'!I22&gt;0,'Section Load'!I22,0))</f>
        <v>3089.679999999993</v>
      </c>
      <c r="I19" s="294">
        <f>(IF('Section Load'!J22&gt;0,'Section Load'!J22,0))</f>
        <v>4354.0499999999884</v>
      </c>
      <c r="J19" s="294">
        <f>(IF('Section Load'!K22&gt;0,'Section Load'!K22,0))</f>
        <v>2079.6800000000221</v>
      </c>
      <c r="K19" s="294">
        <f>(IF('Section Load'!L22&gt;0,'Section Load'!L22,0))</f>
        <v>1071.9199999999983</v>
      </c>
      <c r="L19" s="294">
        <f>(IF('Section Load'!M22&gt;0,'Section Load'!M22,0))</f>
        <v>982.98999999999796</v>
      </c>
      <c r="M19" s="294">
        <f>(IF('Section Load'!N22&gt;0,'Section Load'!N22,0))</f>
        <v>81</v>
      </c>
      <c r="N19" s="294">
        <f>(IF('Section Load'!O22&gt;0,'Section Load'!O22,0))</f>
        <v>1</v>
      </c>
      <c r="O19" s="294">
        <f>(IF('Section Load'!P22&gt;0,'Section Load'!P22,0))</f>
        <v>0.39999999999417923</v>
      </c>
      <c r="P19" s="294">
        <f>(IF('Section Load'!Q22&gt;0,'Section Load'!Q22,0))</f>
        <v>188.83999999999651</v>
      </c>
      <c r="Q19" s="294">
        <f>(IF('Section Load'!R22&gt;0,'Section Load'!R22,0))</f>
        <v>64.229999999999563</v>
      </c>
      <c r="R19" s="294">
        <f>(IF('Section Load'!S22&gt;0,'Section Load'!S22,0))</f>
        <v>14.570000000000618</v>
      </c>
      <c r="S19" s="294">
        <f>(IF('Section Load'!T22&gt;0,'Section Load'!T22,0))</f>
        <v>398</v>
      </c>
      <c r="T19" s="294">
        <f>(IF('Section Load'!U22&gt;0,'Section Load'!U22,0))</f>
        <v>210</v>
      </c>
      <c r="U19" s="294">
        <f>(IF('Section Load'!V22&gt;0,'Section Load'!V22,0))</f>
        <v>322.95999999996275</v>
      </c>
      <c r="V19" s="294">
        <f>(IF('Section Load'!W22&gt;0,'Section Load'!W22,0))</f>
        <v>244.32000000006519</v>
      </c>
      <c r="W19" s="294">
        <f>(IF('Section Load'!X22&gt;0,'Section Load'!X22,0))</f>
        <v>25.109999999999673</v>
      </c>
      <c r="X19" s="294">
        <f>(IF('Section Load'!Y22&gt;0,'Section Load'!Y22,0))</f>
        <v>219</v>
      </c>
      <c r="Y19" s="294">
        <f>(IF('Section Load'!Z22&gt;0,'Section Load'!Z22,0))</f>
        <v>278</v>
      </c>
      <c r="Z19" s="294">
        <f>(IF('Section Load'!AA22&gt;0,'Section Load'!AA22,0))</f>
        <v>13.28000000002794</v>
      </c>
      <c r="AA19" s="294">
        <f>(IF('Section Load'!AB22&gt;0,'Section Load'!AB22,0))</f>
        <v>50.799999999988358</v>
      </c>
      <c r="AB19" s="294">
        <f>(IF('Section Load'!AC22&gt;0,'Section Load'!AC22,0))</f>
        <v>0</v>
      </c>
      <c r="AC19" s="294">
        <f>(IF('Section Load'!AD22&gt;0,'Section Load'!AD22,0))</f>
        <v>116.39999999999691</v>
      </c>
      <c r="AD19" s="294">
        <f>(IF('Section Load'!AE22&gt;0,'Section Load'!AE22,0))</f>
        <v>399.32999999999993</v>
      </c>
      <c r="AE19" s="294">
        <f>(IF('Section Load'!AF22&gt;0,'Section Load'!AF22,0))</f>
        <v>176.44999999999982</v>
      </c>
      <c r="AF19" s="294">
        <f>(IF('Section Load'!AG22&gt;0,'Section Load'!AG22,0))</f>
        <v>405.38999999998487</v>
      </c>
      <c r="AG19" s="294">
        <f>(IF('Section Load'!AH22&gt;0,'Section Load'!AH22,0))</f>
        <v>432.23999999999069</v>
      </c>
      <c r="AH19" s="294">
        <f>(IF('Section Load'!AI22&gt;0,'Section Load'!AI22,0))</f>
        <v>441.54000000000087</v>
      </c>
      <c r="AI19" s="294">
        <f>(IF('Section Load'!AJ22&gt;0,'Section Load'!AJ22,0))</f>
        <v>743.76000000000931</v>
      </c>
      <c r="AJ19" s="294">
        <f>(IF('Section Load'!AK22&gt;0,'Section Load'!AK22,0))</f>
        <v>214.67999999999302</v>
      </c>
      <c r="AK19" s="294">
        <f>(IF('Section Load'!AL22&gt;0,'Section Load'!AL22,0))</f>
        <v>258.02999999999884</v>
      </c>
      <c r="AL19" s="294">
        <f>(IF('Section Load'!AM22&gt;0,'Section Load'!AM22,0))</f>
        <v>665.19000000000233</v>
      </c>
      <c r="AM19" s="295">
        <f>(IF('Water Report'!$U$7&gt;0,'Water Report'!$U$7,0))</f>
        <v>155</v>
      </c>
      <c r="AN19" s="295">
        <f>(IF('Water Report'!$U$8&gt;0,'Water Report'!$U$8,0))</f>
        <v>133</v>
      </c>
      <c r="AO19" s="295">
        <f>(IF('Water Report'!$U$9&gt;0,'Water Report'!$U$9,0))</f>
        <v>84</v>
      </c>
      <c r="AP19" s="295">
        <f>(IF('Water Report'!$U$10&gt;0,'Water Report'!$U$10,0))</f>
        <v>19</v>
      </c>
      <c r="AQ19" s="295">
        <f>(IF('Water Report'!$U$11&gt;0,'Water Report'!$U$11,0))</f>
        <v>75</v>
      </c>
      <c r="AR19" s="295">
        <f>(IF('Water Report'!$U$13&gt;0,'Water Report'!$U$13,0))</f>
        <v>63</v>
      </c>
      <c r="AS19" s="295">
        <f>(IF('Water Report'!$U$14&gt;0,'Water Report'!$U$14,0))</f>
        <v>6</v>
      </c>
      <c r="AT19" s="295">
        <f>(IF('Water Report'!$U$15&gt;0,'Water Report'!$U$15,0))</f>
        <v>12</v>
      </c>
      <c r="AU19" s="295">
        <f>(IF('Water Report'!$U$17&gt;0,'Water Report'!$U$17,0))</f>
        <v>0</v>
      </c>
      <c r="AV19" s="295">
        <f>(IF('Water Report'!$U$18&gt;0,'Water Report'!$U$18,0))</f>
        <v>16</v>
      </c>
      <c r="AW19" s="295">
        <f>(IF('Water Report'!$U$19&gt;0,'Water Report'!$U$19,0))</f>
        <v>13</v>
      </c>
      <c r="AX19" s="301">
        <f>(IF('Water Report'!$U$21&gt;0,'Water Report'!$U$21,0))</f>
        <v>66</v>
      </c>
      <c r="AY19" s="301">
        <f>(IF('Water Report'!$U$22&gt;0,'Water Report'!$U$22,0))</f>
        <v>13</v>
      </c>
      <c r="AZ19" s="301">
        <f>(IF('Water Report'!$U$23&gt;0,'Water Report'!$U$23,0))</f>
        <v>5</v>
      </c>
      <c r="BA19" s="301">
        <f>(IF('Water Report'!$U$14&gt;0,'Water Report'!$U$14,0))</f>
        <v>6</v>
      </c>
      <c r="BB19" s="301">
        <f>(IF('Water Report'!$U$15&gt;0,'Water Report'!$U$15,0))</f>
        <v>12</v>
      </c>
      <c r="BC19" s="301">
        <f>(IF('Water Report'!$U$13&gt;0,'Water Report'!$U$13,0))</f>
        <v>63</v>
      </c>
      <c r="BD19" s="301">
        <f>(IF('Water Report'!$U$24&gt;0,'Water Report'!$U$24,0))</f>
        <v>298</v>
      </c>
      <c r="BE19" s="301">
        <f>(IF('Water Report'!$U$25&gt;0,'Water Report'!$U$25,0))</f>
        <v>196</v>
      </c>
      <c r="BF19" s="301">
        <f>(IF('Water Report'!$U$27&gt;0,'Water Report'!$U$27,0))</f>
        <v>134</v>
      </c>
      <c r="BG19" s="296">
        <f>(IF('Section Load'!AN22&gt;0,'Section Load'!AN22,0))</f>
        <v>1056.8049999999348</v>
      </c>
      <c r="BH19" s="296">
        <f>(IF('Section Load'!AO22&gt;0,'Section Load'!AO22,0))</f>
        <v>298.39000000001397</v>
      </c>
      <c r="BI19" s="296">
        <f>(IF('Section Load'!AP22&gt;0,'Section Load'!AP22,0))</f>
        <v>0</v>
      </c>
      <c r="BJ19" s="296">
        <f>(IF('Section Load'!AQ22&gt;0,'Section Load'!AQ22,0))</f>
        <v>112.64999999999418</v>
      </c>
      <c r="BK19" s="296">
        <f>(IF('Section Load'!AR22&gt;0,'Section Load'!AR22,0))</f>
        <v>50.599999999998545</v>
      </c>
      <c r="BL19" s="296">
        <f>(IF('Section Load'!AS22&gt;0,'Section Load'!AS22,0))</f>
        <v>1.2000000000007276</v>
      </c>
      <c r="BM19" s="296">
        <f>(IF('Section Load'!AT22&gt;0,'Section Load'!AT22,0))</f>
        <v>593.96499999992739</v>
      </c>
    </row>
    <row r="20" spans="1:65" x14ac:dyDescent="0.25">
      <c r="A20" s="287" t="s">
        <v>268</v>
      </c>
      <c r="B20" s="288">
        <f t="shared" si="0"/>
        <v>19</v>
      </c>
      <c r="C20" s="288">
        <v>2</v>
      </c>
      <c r="D20" s="288">
        <v>2022</v>
      </c>
      <c r="E20" s="294">
        <f>(IF('Section Load'!F23&gt;0,'Section Load'!F23,0))</f>
        <v>0</v>
      </c>
      <c r="F20" s="294">
        <f>(IF('Section Load'!G23&gt;0,'Section Load'!G23,0))</f>
        <v>0</v>
      </c>
      <c r="G20" s="294">
        <f>(IF('Section Load'!H23&gt;0,'Section Load'!H23,0))</f>
        <v>0</v>
      </c>
      <c r="H20" s="294">
        <f>(IF('Section Load'!I23&gt;0,'Section Load'!I23,0))</f>
        <v>0</v>
      </c>
      <c r="I20" s="294">
        <f>(IF('Section Load'!J23&gt;0,'Section Load'!J23,0))</f>
        <v>0</v>
      </c>
      <c r="J20" s="294">
        <f>(IF('Section Load'!K23&gt;0,'Section Load'!K23,0))</f>
        <v>0</v>
      </c>
      <c r="K20" s="294">
        <f>(IF('Section Load'!L23&gt;0,'Section Load'!L23,0))</f>
        <v>0</v>
      </c>
      <c r="L20" s="294">
        <f>(IF('Section Load'!M23&gt;0,'Section Load'!M23,0))</f>
        <v>0</v>
      </c>
      <c r="M20" s="294">
        <f>(IF('Section Load'!N23&gt;0,'Section Load'!N23,0))</f>
        <v>0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0</v>
      </c>
      <c r="Q20" s="294">
        <f>(IF('Section Load'!R23&gt;0,'Section Load'!R23,0))</f>
        <v>0</v>
      </c>
      <c r="R20" s="294">
        <f>(IF('Section Load'!S23&gt;0,'Section Load'!S23,0))</f>
        <v>0</v>
      </c>
      <c r="S20" s="294">
        <f>(IF('Section Load'!T23&gt;0,'Section Load'!T23,0))</f>
        <v>0</v>
      </c>
      <c r="T20" s="294">
        <f>(IF('Section Load'!U23&gt;0,'Section Load'!U23,0))</f>
        <v>0</v>
      </c>
      <c r="U20" s="294">
        <f>(IF('Section Load'!V23&gt;0,'Section Load'!V23,0))</f>
        <v>0</v>
      </c>
      <c r="V20" s="294">
        <f>(IF('Section Load'!W23&gt;0,'Section Load'!W23,0))</f>
        <v>0</v>
      </c>
      <c r="W20" s="294">
        <f>(IF('Section Load'!X23&gt;0,'Section Load'!X23,0))</f>
        <v>0</v>
      </c>
      <c r="X20" s="294">
        <f>(IF('Section Load'!Y23&gt;0,'Section Load'!Y23,0))</f>
        <v>0</v>
      </c>
      <c r="Y20" s="294">
        <f>(IF('Section Load'!Z23&gt;0,'Section Load'!Z23,0))</f>
        <v>0</v>
      </c>
      <c r="Z20" s="294">
        <f>(IF('Section Load'!AA23&gt;0,'Section Load'!AA23,0))</f>
        <v>0</v>
      </c>
      <c r="AA20" s="294">
        <f>(IF('Section Load'!AB23&gt;0,'Section Load'!AB23,0))</f>
        <v>0</v>
      </c>
      <c r="AB20" s="294">
        <f>(IF('Section Load'!AC23&gt;0,'Section Load'!AC23,0))</f>
        <v>0</v>
      </c>
      <c r="AC20" s="294">
        <f>(IF('Section Load'!AD23&gt;0,'Section Load'!AD23,0))</f>
        <v>0</v>
      </c>
      <c r="AD20" s="294">
        <f>(IF('Section Load'!AE23&gt;0,'Section Load'!AE23,0))</f>
        <v>0</v>
      </c>
      <c r="AE20" s="294">
        <f>(IF('Section Load'!AF23&gt;0,'Section Load'!AF23,0))</f>
        <v>0</v>
      </c>
      <c r="AF20" s="294">
        <f>(IF('Section Load'!AG23&gt;0,'Section Load'!AG23,0))</f>
        <v>0</v>
      </c>
      <c r="AG20" s="294">
        <f>(IF('Section Load'!AH23&gt;0,'Section Load'!AH23,0))</f>
        <v>0</v>
      </c>
      <c r="AH20" s="294">
        <f>(IF('Section Load'!AI23&gt;0,'Section Load'!AI23,0))</f>
        <v>0</v>
      </c>
      <c r="AI20" s="294">
        <f>(IF('Section Load'!AJ23&gt;0,'Section Load'!AJ23,0))</f>
        <v>0</v>
      </c>
      <c r="AJ20" s="294">
        <f>(IF('Section Load'!AK23&gt;0,'Section Load'!AK23,0))</f>
        <v>0</v>
      </c>
      <c r="AK20" s="294">
        <f>(IF('Section Load'!AL23&gt;0,'Section Load'!AL23,0))</f>
        <v>0</v>
      </c>
      <c r="AL20" s="294">
        <f>(IF('Section Load'!AM23&gt;0,'Section Load'!AM23,0))</f>
        <v>0</v>
      </c>
      <c r="AM20" s="295">
        <f>(IF('Water Report'!$V$7&gt;0,'Water Report'!$V$7,0))</f>
        <v>0</v>
      </c>
      <c r="AN20" s="295">
        <f>(IF('Water Report'!$V$8&gt;0,'Water Report'!$V$8,0))</f>
        <v>0</v>
      </c>
      <c r="AO20" s="295">
        <f>(IF('Water Report'!$V$9&gt;0,'Water Report'!$V$9,0))</f>
        <v>0</v>
      </c>
      <c r="AP20" s="295">
        <f>(IF('Water Report'!$V$10&gt;0,'Water Report'!$V$10,0))</f>
        <v>0</v>
      </c>
      <c r="AQ20" s="295">
        <f>(IF('Water Report'!$V$11&gt;0,'Water Report'!$V$11,0))</f>
        <v>0</v>
      </c>
      <c r="AR20" s="295">
        <f>(IF('Water Report'!$V$13&gt;0,'Water Report'!$V$13,0))</f>
        <v>0</v>
      </c>
      <c r="AS20" s="295">
        <f>(IF('Water Report'!$V$14&gt;0,'Water Report'!$V$14,0))</f>
        <v>0</v>
      </c>
      <c r="AT20" s="295">
        <f>(IF('Water Report'!$V$15&gt;0,'Water Report'!$V$15,0))</f>
        <v>0</v>
      </c>
      <c r="AU20" s="295">
        <f>(IF('Water Report'!$V$17&gt;0,'Water Report'!$V$17,0))</f>
        <v>0</v>
      </c>
      <c r="AV20" s="295">
        <f>(IF('Water Report'!$V$18&gt;0,'Water Report'!$V$18,0))</f>
        <v>0</v>
      </c>
      <c r="AW20" s="295">
        <f>(IF('Water Report'!$V$19&gt;0,'Water Report'!$V$19,0))</f>
        <v>0</v>
      </c>
      <c r="AX20" s="301">
        <f>(IF('Water Report'!$V$21&gt;0,'Water Report'!$V$21,0))</f>
        <v>0</v>
      </c>
      <c r="AY20" s="301">
        <f>(IF('Water Report'!$V$22&gt;0,'Water Report'!$V$22,0))</f>
        <v>0</v>
      </c>
      <c r="AZ20" s="301">
        <f>(IF('Water Report'!$V$23&gt;0,'Water Report'!$V$23,0))</f>
        <v>0</v>
      </c>
      <c r="BA20" s="301">
        <f>(IF('Water Report'!$V$14&gt;0,'Water Report'!$V$14,0))</f>
        <v>0</v>
      </c>
      <c r="BB20" s="301">
        <f>(IF('Water Report'!$V$15&gt;0,'Water Report'!$V$15,0))</f>
        <v>0</v>
      </c>
      <c r="BC20" s="301">
        <f>(IF('Water Report'!$V$13&gt;0,'Water Report'!$V$13,0))</f>
        <v>0</v>
      </c>
      <c r="BD20" s="301">
        <f>(IF('Water Report'!$V$24&gt;0,'Water Report'!$V$24,0))</f>
        <v>0</v>
      </c>
      <c r="BE20" s="301">
        <f>(IF('Water Report'!$V$25&gt;0,'Water Report'!$V$25,0))</f>
        <v>0</v>
      </c>
      <c r="BF20" s="301">
        <f>(IF('Water Report'!$V$27&gt;0,'Water Report'!$V$27,0))</f>
        <v>0</v>
      </c>
      <c r="BG20" s="296">
        <f>(IF('Section Load'!AN23&gt;0,'Section Load'!AN23,0))</f>
        <v>0</v>
      </c>
      <c r="BH20" s="296">
        <f>(IF('Section Load'!AO23&gt;0,'Section Load'!AO23,0))</f>
        <v>0</v>
      </c>
      <c r="BI20" s="296">
        <f>(IF('Section Load'!AP23&gt;0,'Section Load'!AP23,0))</f>
        <v>0</v>
      </c>
      <c r="BJ20" s="296">
        <f>(IF('Section Load'!AQ23&gt;0,'Section Load'!AQ23,0))</f>
        <v>0</v>
      </c>
      <c r="BK20" s="296">
        <f>(IF('Section Load'!AR23&gt;0,'Section Load'!AR23,0))</f>
        <v>0</v>
      </c>
      <c r="BL20" s="296">
        <f>(IF('Section Load'!AS23&gt;0,'Section Load'!AS23,0))</f>
        <v>0</v>
      </c>
      <c r="BM20" s="296">
        <f>(IF('Section Load'!AT23&gt;0,'Section Load'!AT23,0))</f>
        <v>0</v>
      </c>
    </row>
    <row r="21" spans="1:65" x14ac:dyDescent="0.25">
      <c r="A21" s="287" t="s">
        <v>268</v>
      </c>
      <c r="B21" s="288">
        <f t="shared" si="0"/>
        <v>20</v>
      </c>
      <c r="C21" s="288">
        <v>2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2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2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2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2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2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2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2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2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2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2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2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46"/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  <c r="Y1" s="746"/>
      <c r="Z1" s="746"/>
      <c r="AA1" s="746"/>
      <c r="AB1" s="746"/>
      <c r="AC1" s="746"/>
      <c r="AD1" s="746"/>
      <c r="AE1" s="746"/>
      <c r="AF1" s="746"/>
      <c r="AG1" s="746"/>
      <c r="AH1" s="746"/>
      <c r="AI1" s="746"/>
      <c r="AJ1" s="746"/>
      <c r="AK1" s="746"/>
      <c r="AL1" s="746"/>
      <c r="AM1" s="746"/>
      <c r="AN1" s="746"/>
      <c r="AO1" s="746"/>
      <c r="AP1" s="746"/>
      <c r="AQ1" s="746"/>
      <c r="AR1" s="746"/>
      <c r="AS1" s="746"/>
      <c r="AT1" s="746"/>
      <c r="AU1" s="746"/>
      <c r="AV1" s="746"/>
      <c r="AW1" s="746"/>
      <c r="AX1" s="746"/>
      <c r="AY1" s="746"/>
      <c r="AZ1" s="746"/>
      <c r="BA1" s="746"/>
      <c r="BB1" s="746"/>
      <c r="BC1" s="746"/>
      <c r="BD1" s="746"/>
      <c r="BE1" s="746"/>
      <c r="BF1" s="746"/>
      <c r="BG1" s="746"/>
      <c r="BH1" s="746"/>
      <c r="BI1" s="746"/>
      <c r="BJ1" s="746"/>
      <c r="BK1" s="746"/>
      <c r="BL1" s="746"/>
      <c r="BM1" s="746"/>
      <c r="BN1" s="746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7" t="s">
        <v>5</v>
      </c>
      <c r="I2" s="747"/>
      <c r="J2" s="747"/>
      <c r="K2" s="44"/>
      <c r="L2" s="748" t="s">
        <v>6</v>
      </c>
      <c r="M2" s="748"/>
      <c r="N2" s="748"/>
      <c r="O2" s="749" t="s">
        <v>7</v>
      </c>
      <c r="P2" s="749"/>
      <c r="Q2" s="749"/>
      <c r="R2" s="44" t="s">
        <v>8</v>
      </c>
      <c r="S2" s="750" t="s">
        <v>9</v>
      </c>
      <c r="T2" s="750"/>
      <c r="U2" s="750"/>
      <c r="V2" s="751" t="s">
        <v>10</v>
      </c>
      <c r="W2" s="752"/>
      <c r="X2" s="753"/>
      <c r="Y2" s="263"/>
      <c r="Z2" s="754" t="s">
        <v>11</v>
      </c>
      <c r="AA2" s="754"/>
      <c r="AB2" s="754"/>
      <c r="AC2" s="754"/>
      <c r="AD2" s="264"/>
      <c r="AE2" s="264" t="s">
        <v>12</v>
      </c>
      <c r="AF2" s="264" t="s">
        <v>13</v>
      </c>
      <c r="AG2" s="754" t="s">
        <v>14</v>
      </c>
      <c r="AH2" s="754"/>
      <c r="AI2" s="754"/>
      <c r="AJ2" s="264" t="s">
        <v>15</v>
      </c>
      <c r="AK2" s="754" t="s">
        <v>16</v>
      </c>
      <c r="AL2" s="754"/>
      <c r="AM2" s="754"/>
      <c r="AN2" s="264" t="s">
        <v>17</v>
      </c>
      <c r="AO2" s="5" t="s">
        <v>18</v>
      </c>
      <c r="AP2" s="755" t="s">
        <v>19</v>
      </c>
      <c r="AQ2" s="756"/>
      <c r="AR2" s="756"/>
      <c r="AS2" s="756"/>
      <c r="AT2" s="756"/>
      <c r="AU2" s="756"/>
      <c r="AV2" s="756"/>
      <c r="AW2" s="756"/>
      <c r="AX2" s="756"/>
      <c r="AY2" s="757"/>
      <c r="AZ2" s="755" t="s">
        <v>20</v>
      </c>
      <c r="BA2" s="756"/>
      <c r="BB2" s="756"/>
      <c r="BC2" s="756"/>
      <c r="BD2" s="756"/>
      <c r="BE2" s="756"/>
      <c r="BF2" s="756"/>
      <c r="BG2" s="756"/>
      <c r="BH2" s="756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 x14ac:dyDescent="0.25">
      <c r="A11" s="16">
        <v>8</v>
      </c>
      <c r="B11" s="26">
        <v>8</v>
      </c>
      <c r="C11" s="18"/>
      <c r="D11" s="19">
        <f>'8'!D3</f>
        <v>24</v>
      </c>
      <c r="E11" s="50">
        <f>'8'!D4</f>
        <v>0.8</v>
      </c>
      <c r="F11" s="50">
        <f>'8'!D2</f>
        <v>0.71</v>
      </c>
      <c r="G11" s="19">
        <f>'8'!G7</f>
        <v>19667.729999999981</v>
      </c>
      <c r="H11" s="19">
        <f>'8'!G8</f>
        <v>19730.089999999967</v>
      </c>
      <c r="I11" s="19">
        <v>9</v>
      </c>
      <c r="J11" s="49">
        <f t="shared" si="3"/>
        <v>177570.80999999971</v>
      </c>
      <c r="K11" s="45">
        <f t="shared" si="4"/>
        <v>97.673712871286966</v>
      </c>
      <c r="L11" s="19">
        <f>'8'!G15</f>
        <v>1052.1799999999348</v>
      </c>
      <c r="M11" s="19">
        <v>56.2</v>
      </c>
      <c r="N11" s="45">
        <f t="shared" si="5"/>
        <v>59132.515999996336</v>
      </c>
      <c r="O11" s="19">
        <f>'8'!G20</f>
        <v>232</v>
      </c>
      <c r="P11" s="19">
        <v>108</v>
      </c>
      <c r="Q11" s="46">
        <f t="shared" si="0"/>
        <v>25056</v>
      </c>
      <c r="R11" s="47">
        <f t="shared" si="1"/>
        <v>161.76265513875333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106</v>
      </c>
      <c r="W11" s="22">
        <f>'8'!G66</f>
        <v>19</v>
      </c>
      <c r="X11" s="22">
        <f>'8'!G67</f>
        <v>16</v>
      </c>
      <c r="Y11" s="22">
        <f t="shared" si="7"/>
        <v>141</v>
      </c>
      <c r="Z11" s="19">
        <f>'8'!G84</f>
        <v>0</v>
      </c>
      <c r="AA11" s="19">
        <f>'8'!G85</f>
        <v>23.910000000000309</v>
      </c>
      <c r="AB11" s="19">
        <f>'8'!G86</f>
        <v>-0.30000000000291038</v>
      </c>
      <c r="AC11" s="19">
        <f>'8'!G87</f>
        <v>-0.48000000000320142</v>
      </c>
      <c r="AD11" s="19">
        <f t="shared" si="8"/>
        <v>23.129999999994197</v>
      </c>
      <c r="AE11" s="23">
        <f t="shared" si="2"/>
        <v>4082.4900000000066</v>
      </c>
      <c r="AF11" s="23">
        <f t="shared" si="9"/>
        <v>176.5019455253364</v>
      </c>
      <c r="AG11" s="19">
        <f>'8'!G88</f>
        <v>-0.43000000000029104</v>
      </c>
      <c r="AH11" s="19">
        <f>'8'!G89</f>
        <v>10.630000000001019</v>
      </c>
      <c r="AI11" s="19">
        <f>'8'!G90</f>
        <v>3.0800000000017462</v>
      </c>
      <c r="AJ11" s="19">
        <f t="shared" si="10"/>
        <v>13.280000000002474</v>
      </c>
      <c r="AK11" s="19">
        <f>'8'!G91</f>
        <v>11.170000000000073</v>
      </c>
      <c r="AL11" s="19">
        <f>'8'!G92</f>
        <v>-6.9999999999708962E-2</v>
      </c>
      <c r="AM11" s="19"/>
      <c r="AN11" s="19">
        <f t="shared" si="11"/>
        <v>11.100000000000364</v>
      </c>
      <c r="AO11" s="52">
        <f>'8'!G74</f>
        <v>302.52000000001863</v>
      </c>
      <c r="AP11" s="55">
        <f>'8'!G35</f>
        <v>1754.8000000000029</v>
      </c>
      <c r="AQ11" s="19">
        <f>'8'!G37</f>
        <v>1609.0699999999997</v>
      </c>
      <c r="AR11" s="19">
        <f>'8'!G38</f>
        <v>1914.6800000000003</v>
      </c>
      <c r="AS11" s="19">
        <f>'8'!G39</f>
        <v>2923.2899999999936</v>
      </c>
      <c r="AT11" s="19">
        <f>'8'!G40</f>
        <v>314.22999999999956</v>
      </c>
      <c r="AU11" s="19">
        <f>'8'!G41</f>
        <v>0.27000000000000313</v>
      </c>
      <c r="AV11" s="19">
        <f>'8'!G42</f>
        <v>4081.8500000000058</v>
      </c>
      <c r="AW11" s="19">
        <f>'8'!G43</f>
        <v>2123.6699999999983</v>
      </c>
      <c r="AX11" s="23">
        <f>'8'!G44</f>
        <v>0</v>
      </c>
      <c r="AY11" s="56">
        <f>'8'!G36</f>
        <v>799.44000000000233</v>
      </c>
      <c r="AZ11" s="55">
        <f>'8'!G49</f>
        <v>1266.2200000000012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537.15999999999985</v>
      </c>
      <c r="BE11" s="19">
        <f>'8'!G55</f>
        <v>0</v>
      </c>
      <c r="BF11" s="19">
        <f>'8'!G56</f>
        <v>0.37000000000080036</v>
      </c>
      <c r="BG11" s="19">
        <f>'8'!G57</f>
        <v>0</v>
      </c>
      <c r="BH11" s="56">
        <f>'8'!G50</f>
        <v>1131.1399999999994</v>
      </c>
      <c r="BI11" s="60">
        <f t="shared" si="12"/>
        <v>4082.4900000000066</v>
      </c>
      <c r="BJ11" s="60">
        <f>'8'!G133</f>
        <v>647.32000000000698</v>
      </c>
      <c r="BK11" s="23">
        <f t="shared" si="13"/>
        <v>46.767044651088895</v>
      </c>
      <c r="BL11" s="23">
        <f t="shared" si="14"/>
        <v>14.816404790854975</v>
      </c>
      <c r="BM11" s="24">
        <f t="shared" si="15"/>
        <v>9.7043652613850395E-2</v>
      </c>
      <c r="BN11" s="25">
        <f t="shared" si="16"/>
        <v>261759.32599999604</v>
      </c>
      <c r="BO11" s="38">
        <f t="shared" si="17"/>
        <v>6853.4800000000123</v>
      </c>
      <c r="BP11">
        <f t="shared" si="18"/>
        <v>1.0582237045274738</v>
      </c>
    </row>
    <row r="12" spans="1:69" x14ac:dyDescent="0.25">
      <c r="A12" s="16">
        <v>9</v>
      </c>
      <c r="B12" s="27">
        <v>9</v>
      </c>
      <c r="C12" s="26"/>
      <c r="D12" s="19">
        <f>'9'!D3</f>
        <v>24</v>
      </c>
      <c r="E12" s="50">
        <f>'9'!D4</f>
        <v>0.78</v>
      </c>
      <c r="F12" s="50">
        <f>'9'!D2</f>
        <v>0.45</v>
      </c>
      <c r="G12" s="19">
        <f>'9'!G7</f>
        <v>19382</v>
      </c>
      <c r="H12" s="19">
        <f>'9'!G8</f>
        <v>19467</v>
      </c>
      <c r="I12" s="19">
        <v>9</v>
      </c>
      <c r="J12" s="49">
        <f t="shared" si="3"/>
        <v>175203</v>
      </c>
      <c r="K12" s="45">
        <f t="shared" si="4"/>
        <v>96.371287128712865</v>
      </c>
      <c r="L12" s="19">
        <f>'9'!G15</f>
        <v>1070</v>
      </c>
      <c r="M12" s="19">
        <v>56.2</v>
      </c>
      <c r="N12" s="45">
        <f t="shared" si="5"/>
        <v>60134</v>
      </c>
      <c r="O12" s="19">
        <f>'9'!G20</f>
        <v>256</v>
      </c>
      <c r="P12" s="19">
        <v>108</v>
      </c>
      <c r="Q12" s="46">
        <f t="shared" si="0"/>
        <v>27648</v>
      </c>
      <c r="R12" s="47">
        <f t="shared" si="1"/>
        <v>281.62816281628164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103</v>
      </c>
      <c r="W12" s="22">
        <f>'9'!G66</f>
        <v>20</v>
      </c>
      <c r="X12" s="22">
        <f>'9'!G67</f>
        <v>55</v>
      </c>
      <c r="Y12" s="22">
        <f t="shared" si="7"/>
        <v>178</v>
      </c>
      <c r="Z12" s="19">
        <f>'9'!G84</f>
        <v>0</v>
      </c>
      <c r="AA12" s="19">
        <f>'9'!G85</f>
        <v>23.599999999999909</v>
      </c>
      <c r="AB12" s="19">
        <f>'9'!G86</f>
        <v>0</v>
      </c>
      <c r="AC12" s="19">
        <f>'9'!G87</f>
        <v>-0.44999999999708962</v>
      </c>
      <c r="AD12" s="19">
        <f t="shared" si="8"/>
        <v>23.150000000002819</v>
      </c>
      <c r="AE12" s="23">
        <f t="shared" si="2"/>
        <v>3894.5299999999988</v>
      </c>
      <c r="AF12" s="23">
        <f t="shared" si="9"/>
        <v>168.23023758097298</v>
      </c>
      <c r="AG12" s="19">
        <f>'9'!G88</f>
        <v>0</v>
      </c>
      <c r="AH12" s="19">
        <f>'9'!G89</f>
        <v>11.430000000000291</v>
      </c>
      <c r="AI12" s="19">
        <f>'9'!G90</f>
        <v>3</v>
      </c>
      <c r="AJ12" s="19">
        <f t="shared" si="10"/>
        <v>14.430000000000291</v>
      </c>
      <c r="AK12" s="19">
        <f>'9'!G91</f>
        <v>11.150000000000091</v>
      </c>
      <c r="AL12" s="19">
        <f>'9'!G92</f>
        <v>0</v>
      </c>
      <c r="AM12" s="19"/>
      <c r="AN12" s="19">
        <f t="shared" si="11"/>
        <v>11.150000000000091</v>
      </c>
      <c r="AO12" s="52">
        <f>'9'!G74</f>
        <v>301</v>
      </c>
      <c r="AP12" s="55">
        <f>'9'!G35</f>
        <v>1514</v>
      </c>
      <c r="AQ12" s="19">
        <f>'9'!G37</f>
        <v>1638</v>
      </c>
      <c r="AR12" s="19">
        <f>'9'!G38</f>
        <v>1923</v>
      </c>
      <c r="AS12" s="19">
        <f>'9'!G39</f>
        <v>3001</v>
      </c>
      <c r="AT12" s="19">
        <f>'9'!G40</f>
        <v>192</v>
      </c>
      <c r="AU12" s="19">
        <f>'9'!G41</f>
        <v>0</v>
      </c>
      <c r="AV12" s="19">
        <f>'9'!G42</f>
        <v>3895</v>
      </c>
      <c r="AW12" s="19">
        <f>'9'!G43</f>
        <v>2087</v>
      </c>
      <c r="AX12" s="23">
        <f>'9'!G44</f>
        <v>0</v>
      </c>
      <c r="AY12" s="56">
        <f>'9'!G36</f>
        <v>779</v>
      </c>
      <c r="AZ12" s="55">
        <f>'9'!G49</f>
        <v>1392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540</v>
      </c>
      <c r="BE12" s="19">
        <f>'9'!G55</f>
        <v>-0.47000000000116415</v>
      </c>
      <c r="BF12" s="19">
        <f>'9'!G56</f>
        <v>0</v>
      </c>
      <c r="BG12" s="19">
        <f>'9'!G57</f>
        <v>0</v>
      </c>
      <c r="BH12" s="56">
        <f>'9'!G50</f>
        <v>1118</v>
      </c>
      <c r="BI12" s="60">
        <f t="shared" si="12"/>
        <v>3894.5299999999988</v>
      </c>
      <c r="BJ12" s="60">
        <f>'8'!G133</f>
        <v>647.32000000000698</v>
      </c>
      <c r="BK12" s="23">
        <f t="shared" si="13"/>
        <v>45.654338110648787</v>
      </c>
      <c r="BL12" s="23">
        <f t="shared" si="14"/>
        <v>15.415831920686291</v>
      </c>
      <c r="BM12" s="24">
        <f t="shared" si="15"/>
        <v>9.8782555093234706E-2</v>
      </c>
      <c r="BN12" s="25">
        <f t="shared" si="16"/>
        <v>262985</v>
      </c>
      <c r="BO12" s="38">
        <f t="shared" si="17"/>
        <v>6628.8500000000058</v>
      </c>
      <c r="BP12">
        <f t="shared" si="18"/>
        <v>1.0226550447391543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20288</v>
      </c>
      <c r="H13" s="19">
        <f>'10'!G8</f>
        <v>20373</v>
      </c>
      <c r="I13" s="19">
        <v>9</v>
      </c>
      <c r="J13" s="49">
        <f t="shared" si="3"/>
        <v>183357</v>
      </c>
      <c r="K13" s="45">
        <f t="shared" si="4"/>
        <v>100.85643564356435</v>
      </c>
      <c r="L13" s="19">
        <f>'10'!G15</f>
        <v>1152</v>
      </c>
      <c r="M13" s="19">
        <v>56.2</v>
      </c>
      <c r="N13" s="45">
        <f t="shared" si="5"/>
        <v>64742.400000000001</v>
      </c>
      <c r="O13" s="19">
        <f>'10'!G20</f>
        <v>317</v>
      </c>
      <c r="P13" s="19">
        <v>108</v>
      </c>
      <c r="Q13" s="46">
        <f t="shared" si="0"/>
        <v>34236</v>
      </c>
      <c r="R13" s="47">
        <f t="shared" si="1"/>
        <v>172.45131106517246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105</v>
      </c>
      <c r="W13" s="22">
        <f>'10'!G66</f>
        <v>20</v>
      </c>
      <c r="X13" s="22">
        <f>'10'!G67</f>
        <v>65</v>
      </c>
      <c r="Y13" s="22">
        <f t="shared" si="7"/>
        <v>190</v>
      </c>
      <c r="Z13" s="19">
        <f>'10'!G84</f>
        <v>0</v>
      </c>
      <c r="AA13" s="19">
        <f>'10'!G85</f>
        <v>24</v>
      </c>
      <c r="AB13" s="19">
        <f>'10'!G86</f>
        <v>0</v>
      </c>
      <c r="AC13" s="19">
        <f>'10'!G87</f>
        <v>0</v>
      </c>
      <c r="AD13" s="19">
        <f t="shared" si="8"/>
        <v>24</v>
      </c>
      <c r="AE13" s="23">
        <f t="shared" si="2"/>
        <v>4557</v>
      </c>
      <c r="AF13" s="23">
        <f t="shared" si="9"/>
        <v>189.875</v>
      </c>
      <c r="AG13" s="19">
        <f>'10'!G88</f>
        <v>0</v>
      </c>
      <c r="AH13" s="19">
        <f>'10'!G89</f>
        <v>11.569999999999709</v>
      </c>
      <c r="AI13" s="19">
        <f>'10'!G90</f>
        <v>4</v>
      </c>
      <c r="AJ13" s="19">
        <f t="shared" si="10"/>
        <v>15.569999999999709</v>
      </c>
      <c r="AK13" s="19">
        <f>'10'!G91</f>
        <v>12</v>
      </c>
      <c r="AL13" s="19">
        <f>'10'!G92</f>
        <v>0</v>
      </c>
      <c r="AM13" s="19"/>
      <c r="AN13" s="19">
        <f t="shared" si="11"/>
        <v>12</v>
      </c>
      <c r="AO13" s="52">
        <f>'10'!G74</f>
        <v>341</v>
      </c>
      <c r="AP13" s="55">
        <f>'10'!G35</f>
        <v>1557</v>
      </c>
      <c r="AQ13" s="19">
        <f>'10'!G37</f>
        <v>1647</v>
      </c>
      <c r="AR13" s="19">
        <f>'10'!G38</f>
        <v>1955</v>
      </c>
      <c r="AS13" s="19">
        <f>'10'!G39</f>
        <v>3035</v>
      </c>
      <c r="AT13" s="19">
        <f>'10'!G40</f>
        <v>141</v>
      </c>
      <c r="AU13" s="19">
        <f>'10'!G41</f>
        <v>0</v>
      </c>
      <c r="AV13" s="19">
        <f>'10'!G42</f>
        <v>4557</v>
      </c>
      <c r="AW13" s="19">
        <f>'10'!G43</f>
        <v>2097</v>
      </c>
      <c r="AX13" s="23">
        <f>'10'!G44</f>
        <v>0</v>
      </c>
      <c r="AY13" s="56">
        <f>'10'!G36</f>
        <v>1084</v>
      </c>
      <c r="AZ13" s="55">
        <f>'10'!G49</f>
        <v>1282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539</v>
      </c>
      <c r="BE13" s="19">
        <f>'10'!G55</f>
        <v>0</v>
      </c>
      <c r="BF13" s="19">
        <f>'10'!G56</f>
        <v>0</v>
      </c>
      <c r="BG13" s="19">
        <f>'10'!G57</f>
        <v>0</v>
      </c>
      <c r="BH13" s="56">
        <f>'10'!G50</f>
        <v>1144</v>
      </c>
      <c r="BI13" s="60">
        <f t="shared" si="12"/>
        <v>4557</v>
      </c>
      <c r="BJ13" s="60">
        <f>'8'!G133</f>
        <v>647.32000000000698</v>
      </c>
      <c r="BK13" s="23">
        <f t="shared" si="13"/>
        <v>46.595984881951608</v>
      </c>
      <c r="BL13" s="23">
        <f t="shared" si="14"/>
        <v>14.897167820154126</v>
      </c>
      <c r="BM13" s="24">
        <f t="shared" si="15"/>
        <v>9.5960339665243213E-2</v>
      </c>
      <c r="BN13" s="25">
        <f t="shared" si="16"/>
        <v>282335.40000000002</v>
      </c>
      <c r="BO13" s="38">
        <f t="shared" si="17"/>
        <v>7301.320000000007</v>
      </c>
      <c r="BP13">
        <f t="shared" si="18"/>
        <v>1.0865059523809535</v>
      </c>
    </row>
    <row r="14" spans="1:69" x14ac:dyDescent="0.25">
      <c r="A14" s="16">
        <v>11</v>
      </c>
      <c r="B14" s="17">
        <v>11</v>
      </c>
      <c r="C14" s="27"/>
      <c r="D14" s="19">
        <f>'11'!D3</f>
        <v>26</v>
      </c>
      <c r="E14" s="50">
        <f>'11'!D4</f>
        <v>0.78</v>
      </c>
      <c r="F14" s="50">
        <f>'11'!D2</f>
        <v>0.54</v>
      </c>
      <c r="G14" s="19">
        <f>'11'!G7</f>
        <v>20918</v>
      </c>
      <c r="H14" s="19">
        <f>'11'!G8</f>
        <v>21020</v>
      </c>
      <c r="I14" s="19">
        <v>9</v>
      </c>
      <c r="J14" s="49">
        <f t="shared" si="3"/>
        <v>189180</v>
      </c>
      <c r="K14" s="45">
        <f t="shared" si="4"/>
        <v>104.05940594059406</v>
      </c>
      <c r="L14" s="19">
        <f>'11'!G15</f>
        <v>1118</v>
      </c>
      <c r="M14" s="19">
        <v>56.2</v>
      </c>
      <c r="N14" s="45">
        <f t="shared" si="5"/>
        <v>62831.600000000006</v>
      </c>
      <c r="O14" s="19">
        <f>'11'!G20</f>
        <v>316</v>
      </c>
      <c r="P14" s="19">
        <v>108</v>
      </c>
      <c r="Q14" s="46">
        <f t="shared" si="0"/>
        <v>34128</v>
      </c>
      <c r="R14" s="47">
        <f t="shared" si="1"/>
        <v>289.69563623028967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31</v>
      </c>
      <c r="X14" s="22">
        <f>'11'!G67</f>
        <v>65</v>
      </c>
      <c r="Y14" s="22">
        <f t="shared" si="7"/>
        <v>200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0</v>
      </c>
      <c r="AD14" s="19">
        <f t="shared" si="8"/>
        <v>24</v>
      </c>
      <c r="AE14" s="23">
        <f t="shared" si="2"/>
        <v>4736</v>
      </c>
      <c r="AF14" s="23">
        <f t="shared" si="9"/>
        <v>197.33333333333334</v>
      </c>
      <c r="AG14" s="19">
        <f>'11'!G88</f>
        <v>0</v>
      </c>
      <c r="AH14" s="19">
        <f>'11'!G89</f>
        <v>11</v>
      </c>
      <c r="AI14" s="19">
        <f>'11'!G90</f>
        <v>4</v>
      </c>
      <c r="AJ14" s="19">
        <f t="shared" si="10"/>
        <v>15</v>
      </c>
      <c r="AK14" s="19">
        <f>'11'!G91</f>
        <v>12</v>
      </c>
      <c r="AL14" s="19">
        <f>'11'!G92</f>
        <v>0</v>
      </c>
      <c r="AM14" s="19"/>
      <c r="AN14" s="19">
        <f t="shared" si="11"/>
        <v>12</v>
      </c>
      <c r="AO14" s="52">
        <f>'11'!G74</f>
        <v>316</v>
      </c>
      <c r="AP14" s="55">
        <f>'11'!G35</f>
        <v>1435</v>
      </c>
      <c r="AQ14" s="19">
        <f>'11'!G37</f>
        <v>1684</v>
      </c>
      <c r="AR14" s="19">
        <f>'11'!G38</f>
        <v>2076</v>
      </c>
      <c r="AS14" s="19">
        <f>'11'!G39</f>
        <v>3148</v>
      </c>
      <c r="AT14" s="19">
        <f>'11'!G40</f>
        <v>157</v>
      </c>
      <c r="AU14" s="19">
        <f>'11'!G41</f>
        <v>0</v>
      </c>
      <c r="AV14" s="19">
        <f>'11'!G42</f>
        <v>4736</v>
      </c>
      <c r="AW14" s="19">
        <f>'11'!G43</f>
        <v>2112</v>
      </c>
      <c r="AX14" s="23">
        <f>'11'!G44</f>
        <v>0</v>
      </c>
      <c r="AY14" s="56">
        <f>'11'!G36</f>
        <v>1077</v>
      </c>
      <c r="AZ14" s="55">
        <f>'11'!G49</f>
        <v>1341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540</v>
      </c>
      <c r="BE14" s="19">
        <f>'11'!G55</f>
        <v>0</v>
      </c>
      <c r="BF14" s="19">
        <f>'11'!G56</f>
        <v>0</v>
      </c>
      <c r="BG14" s="19">
        <f>'11'!G57</f>
        <v>0</v>
      </c>
      <c r="BH14" s="56">
        <f>'11'!G50</f>
        <v>1282</v>
      </c>
      <c r="BI14" s="60">
        <f t="shared" si="12"/>
        <v>4736</v>
      </c>
      <c r="BJ14" s="60">
        <f>'11'!G133</f>
        <v>494</v>
      </c>
      <c r="BK14" s="23">
        <f t="shared" si="13"/>
        <v>45.784966698382497</v>
      </c>
      <c r="BL14" s="23">
        <f t="shared" si="14"/>
        <v>14.976213130352047</v>
      </c>
      <c r="BM14" s="24">
        <f t="shared" si="15"/>
        <v>9.876308277830638E-2</v>
      </c>
      <c r="BN14" s="25">
        <f t="shared" si="16"/>
        <v>286139.59999999998</v>
      </c>
      <c r="BO14" s="38">
        <f t="shared" si="17"/>
        <v>7342</v>
      </c>
      <c r="BP14">
        <f t="shared" si="18"/>
        <v>1.0925595238095238</v>
      </c>
    </row>
    <row r="15" spans="1:69" x14ac:dyDescent="0.25">
      <c r="A15" s="16">
        <v>12</v>
      </c>
      <c r="B15" s="26">
        <v>12</v>
      </c>
      <c r="C15" s="27"/>
      <c r="D15" s="19">
        <f>'12'!D3</f>
        <v>23</v>
      </c>
      <c r="E15" s="50">
        <f>'12'!D4</f>
        <v>0.7</v>
      </c>
      <c r="F15" s="50">
        <f>'12'!D2</f>
        <v>0.73</v>
      </c>
      <c r="G15" s="19">
        <f>'12'!G7</f>
        <v>22223</v>
      </c>
      <c r="H15" s="19">
        <f>'12'!G8</f>
        <v>22339</v>
      </c>
      <c r="I15" s="19">
        <v>9</v>
      </c>
      <c r="J15" s="49">
        <f t="shared" si="3"/>
        <v>201051</v>
      </c>
      <c r="K15" s="45">
        <f t="shared" si="4"/>
        <v>110.58910891089108</v>
      </c>
      <c r="L15" s="19">
        <f>'12'!G15</f>
        <v>1293</v>
      </c>
      <c r="M15" s="19">
        <v>56.2</v>
      </c>
      <c r="N15" s="41">
        <f t="shared" si="5"/>
        <v>72666.600000000006</v>
      </c>
      <c r="O15" s="19">
        <f>'12'!G20</f>
        <v>339</v>
      </c>
      <c r="P15" s="19">
        <v>108</v>
      </c>
      <c r="Q15" s="46">
        <f t="shared" si="0"/>
        <v>36612</v>
      </c>
      <c r="R15" s="47">
        <f t="shared" si="1"/>
        <v>229.89285229892849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126</v>
      </c>
      <c r="W15" s="22">
        <f>'12'!G66</f>
        <v>28</v>
      </c>
      <c r="X15" s="22">
        <f>'12'!G67</f>
        <v>66</v>
      </c>
      <c r="Y15" s="22">
        <f t="shared" si="7"/>
        <v>220</v>
      </c>
      <c r="Z15" s="19">
        <f>'12'!G84</f>
        <v>0</v>
      </c>
      <c r="AA15" s="19">
        <f>'12'!G85</f>
        <v>24</v>
      </c>
      <c r="AB15" s="19">
        <f>'12'!G86</f>
        <v>2</v>
      </c>
      <c r="AC15" s="19">
        <f>'12'!G87</f>
        <v>0</v>
      </c>
      <c r="AD15" s="19">
        <f t="shared" si="8"/>
        <v>26</v>
      </c>
      <c r="AE15" s="23">
        <f t="shared" si="2"/>
        <v>4928</v>
      </c>
      <c r="AF15" s="23">
        <f t="shared" si="9"/>
        <v>189.53846153846155</v>
      </c>
      <c r="AG15" s="19">
        <f>'12'!G88</f>
        <v>3.7700000000004366</v>
      </c>
      <c r="AH15" s="19">
        <f>'12'!G89</f>
        <v>8.6300000000010186</v>
      </c>
      <c r="AI15" s="19">
        <f>'12'!G90</f>
        <v>7.2299999999959255</v>
      </c>
      <c r="AJ15" s="19">
        <f t="shared" si="10"/>
        <v>19.629999999997381</v>
      </c>
      <c r="AK15" s="19">
        <f>'12'!G91</f>
        <v>11.860000000000127</v>
      </c>
      <c r="AL15" s="19">
        <f>'12'!G92</f>
        <v>0</v>
      </c>
      <c r="AM15" s="19"/>
      <c r="AN15" s="19">
        <f t="shared" si="11"/>
        <v>11.860000000000127</v>
      </c>
      <c r="AO15" s="52">
        <f>'12'!G74</f>
        <v>324</v>
      </c>
      <c r="AP15" s="55">
        <f>'12'!G35</f>
        <v>1625</v>
      </c>
      <c r="AQ15" s="19">
        <f>'12'!G37</f>
        <v>1783</v>
      </c>
      <c r="AR15" s="19">
        <f>'12'!G38</f>
        <v>2162</v>
      </c>
      <c r="AS15" s="19">
        <f>'12'!G39</f>
        <v>3245</v>
      </c>
      <c r="AT15" s="19">
        <f>'12'!G40</f>
        <v>505</v>
      </c>
      <c r="AU15" s="19">
        <f>'12'!G41</f>
        <v>0</v>
      </c>
      <c r="AV15" s="19">
        <f>'12'!G42</f>
        <v>4709</v>
      </c>
      <c r="AW15" s="19">
        <f>'12'!G43</f>
        <v>2226</v>
      </c>
      <c r="AX15" s="23">
        <f>'12'!G44</f>
        <v>0</v>
      </c>
      <c r="AY15" s="56">
        <f>'12'!G36</f>
        <v>1194</v>
      </c>
      <c r="AZ15" s="55">
        <f>'12'!G49</f>
        <v>1574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543</v>
      </c>
      <c r="BE15" s="19">
        <f>'12'!G55</f>
        <v>219</v>
      </c>
      <c r="BF15" s="19">
        <f>'12'!G56</f>
        <v>0</v>
      </c>
      <c r="BG15" s="19">
        <f>'12'!G57</f>
        <v>0</v>
      </c>
      <c r="BH15" s="56">
        <f>'12'!G50</f>
        <v>1310</v>
      </c>
      <c r="BI15" s="60">
        <f t="shared" si="12"/>
        <v>4928</v>
      </c>
      <c r="BJ15" s="60">
        <f>'12'!G133</f>
        <v>698</v>
      </c>
      <c r="BK15" s="23">
        <f t="shared" si="13"/>
        <v>46.344957249653078</v>
      </c>
      <c r="BL15" s="23">
        <f t="shared" si="14"/>
        <v>14.52616500290971</v>
      </c>
      <c r="BM15" s="24">
        <f t="shared" si="15"/>
        <v>9.678141367115807E-2</v>
      </c>
      <c r="BN15" s="25">
        <f t="shared" si="16"/>
        <v>310329.59999999998</v>
      </c>
      <c r="BO15" s="38">
        <f t="shared" si="17"/>
        <v>7852</v>
      </c>
      <c r="BP15">
        <f t="shared" si="18"/>
        <v>1.0785714285714285</v>
      </c>
    </row>
    <row r="16" spans="1:69" x14ac:dyDescent="0.25">
      <c r="A16" s="16">
        <v>13</v>
      </c>
      <c r="B16" s="26">
        <v>13</v>
      </c>
      <c r="C16" s="26"/>
      <c r="D16" s="19">
        <f>'13'!D3</f>
        <v>23</v>
      </c>
      <c r="E16" s="50">
        <f>'13'!D4</f>
        <v>0.7</v>
      </c>
      <c r="F16" s="50">
        <f>'13'!D2</f>
        <v>0.67</v>
      </c>
      <c r="G16" s="19">
        <f>'13'!G7</f>
        <v>22076</v>
      </c>
      <c r="H16" s="19">
        <f>'13'!G8</f>
        <v>22200</v>
      </c>
      <c r="I16" s="19">
        <v>9</v>
      </c>
      <c r="J16" s="49">
        <f t="shared" si="3"/>
        <v>199800</v>
      </c>
      <c r="K16" s="45">
        <f t="shared" si="4"/>
        <v>109.9009900990099</v>
      </c>
      <c r="L16" s="19">
        <f>'13'!G15</f>
        <v>1108</v>
      </c>
      <c r="M16" s="19">
        <v>56.2</v>
      </c>
      <c r="N16" s="41">
        <f t="shared" si="5"/>
        <v>62269.600000000006</v>
      </c>
      <c r="O16" s="19">
        <f>'13'!G20</f>
        <v>296</v>
      </c>
      <c r="P16" s="19">
        <v>108</v>
      </c>
      <c r="Q16" s="46">
        <f t="shared" si="0"/>
        <v>31968</v>
      </c>
      <c r="R16" s="47">
        <f t="shared" si="1"/>
        <v>218.70843800797991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112</v>
      </c>
      <c r="W16" s="22">
        <f>'13'!G66</f>
        <v>27</v>
      </c>
      <c r="X16" s="22">
        <f>'13'!G67</f>
        <v>71</v>
      </c>
      <c r="Y16" s="22">
        <f t="shared" si="7"/>
        <v>210</v>
      </c>
      <c r="Z16" s="19">
        <f>'13'!G84</f>
        <v>0</v>
      </c>
      <c r="AA16" s="19">
        <f>'13'!G85</f>
        <v>24</v>
      </c>
      <c r="AB16" s="19">
        <f>'13'!G86</f>
        <v>2</v>
      </c>
      <c r="AC16" s="19">
        <f>'13'!G87</f>
        <v>0</v>
      </c>
      <c r="AD16" s="19">
        <f t="shared" si="8"/>
        <v>26</v>
      </c>
      <c r="AE16" s="23">
        <f t="shared" si="2"/>
        <v>5019</v>
      </c>
      <c r="AF16" s="23">
        <f t="shared" si="9"/>
        <v>193.03846153846155</v>
      </c>
      <c r="AG16" s="19">
        <f>'13'!G88</f>
        <v>0</v>
      </c>
      <c r="AH16" s="19">
        <f>'13'!G89</f>
        <v>10.029999999998836</v>
      </c>
      <c r="AI16" s="19">
        <f>'13'!G90</f>
        <v>8.5500000000029104</v>
      </c>
      <c r="AJ16" s="19">
        <f t="shared" si="10"/>
        <v>18.580000000001746</v>
      </c>
      <c r="AK16" s="19">
        <f>'13'!G91</f>
        <v>10.599999999999909</v>
      </c>
      <c r="AL16" s="19">
        <f>'13'!G92</f>
        <v>0</v>
      </c>
      <c r="AM16" s="19"/>
      <c r="AN16" s="19">
        <f t="shared" si="11"/>
        <v>10.599999999999909</v>
      </c>
      <c r="AO16" s="52">
        <f>'13'!G74</f>
        <v>287</v>
      </c>
      <c r="AP16" s="55">
        <f>'13'!G35</f>
        <v>1533</v>
      </c>
      <c r="AQ16" s="19">
        <f>'13'!G37</f>
        <v>1781</v>
      </c>
      <c r="AR16" s="19">
        <f>'13'!G38</f>
        <v>2029</v>
      </c>
      <c r="AS16" s="19">
        <f>'13'!G39</f>
        <v>3279</v>
      </c>
      <c r="AT16" s="19">
        <f>'13'!G40</f>
        <v>939</v>
      </c>
      <c r="AU16" s="19">
        <f>'13'!G41</f>
        <v>0</v>
      </c>
      <c r="AV16" s="19">
        <f>'13'!G42</f>
        <v>4813</v>
      </c>
      <c r="AW16" s="19">
        <f>'13'!G43</f>
        <v>2145</v>
      </c>
      <c r="AX16" s="23">
        <f>'13'!G44</f>
        <v>0</v>
      </c>
      <c r="AY16" s="56">
        <f>'13'!G36</f>
        <v>1069</v>
      </c>
      <c r="AZ16" s="55">
        <f>'13'!G49</f>
        <v>1448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539</v>
      </c>
      <c r="BE16" s="19">
        <f>'13'!G55</f>
        <v>206</v>
      </c>
      <c r="BF16" s="19">
        <f>'13'!G56</f>
        <v>0</v>
      </c>
      <c r="BG16" s="19">
        <f>'13'!G57</f>
        <v>0</v>
      </c>
      <c r="BH16" s="56">
        <f>'13'!G50</f>
        <v>1558</v>
      </c>
      <c r="BI16" s="60">
        <f t="shared" si="12"/>
        <v>5019</v>
      </c>
      <c r="BJ16" s="60">
        <f>'13'!G133</f>
        <v>676</v>
      </c>
      <c r="BK16" s="23">
        <f t="shared" si="13"/>
        <v>45.698198198198199</v>
      </c>
      <c r="BL16" s="23">
        <f t="shared" si="14"/>
        <v>14.77027027027027</v>
      </c>
      <c r="BM16" s="24">
        <f t="shared" si="15"/>
        <v>9.1396396396396393E-2</v>
      </c>
      <c r="BN16" s="25">
        <f t="shared" si="16"/>
        <v>294037.59999999998</v>
      </c>
      <c r="BO16" s="38">
        <f t="shared" si="17"/>
        <v>7840</v>
      </c>
      <c r="BP16">
        <f t="shared" si="18"/>
        <v>1.0769230769230769</v>
      </c>
    </row>
    <row r="17" spans="1:68" x14ac:dyDescent="0.25">
      <c r="A17" s="16">
        <v>14</v>
      </c>
      <c r="B17" s="17">
        <v>14</v>
      </c>
      <c r="C17" s="27"/>
      <c r="D17" s="19">
        <f>'14'!D3</f>
        <v>23</v>
      </c>
      <c r="E17" s="50">
        <f>'14'!D4</f>
        <v>0.7</v>
      </c>
      <c r="F17" s="50">
        <f>'14'!D2</f>
        <v>0.45</v>
      </c>
      <c r="G17" s="19">
        <f>'14'!G7</f>
        <v>21178</v>
      </c>
      <c r="H17" s="19">
        <f>'14'!G8</f>
        <v>21261</v>
      </c>
      <c r="I17" s="19">
        <v>9</v>
      </c>
      <c r="J17" s="49">
        <f t="shared" si="3"/>
        <v>191349</v>
      </c>
      <c r="K17" s="45">
        <f t="shared" si="4"/>
        <v>105.25247524752476</v>
      </c>
      <c r="L17" s="19">
        <f>'14'!G15</f>
        <v>1095</v>
      </c>
      <c r="M17" s="19">
        <v>56.2</v>
      </c>
      <c r="N17" s="41">
        <f t="shared" si="5"/>
        <v>61539</v>
      </c>
      <c r="O17" s="19">
        <f>'14'!G20</f>
        <v>296</v>
      </c>
      <c r="P17" s="19">
        <v>108</v>
      </c>
      <c r="Q17" s="46">
        <f t="shared" si="0"/>
        <v>31968</v>
      </c>
      <c r="R17" s="47">
        <f t="shared" si="1"/>
        <v>325.63256325632562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135</v>
      </c>
      <c r="W17" s="22">
        <f>'14'!G66</f>
        <v>27</v>
      </c>
      <c r="X17" s="22">
        <f>'14'!G67</f>
        <v>69</v>
      </c>
      <c r="Y17" s="22">
        <f>V17+W17+X17</f>
        <v>231</v>
      </c>
      <c r="Z17" s="19">
        <f>'14'!G84</f>
        <v>0</v>
      </c>
      <c r="AA17" s="19">
        <f>'14'!G85</f>
        <v>24</v>
      </c>
      <c r="AB17" s="19">
        <f>'14'!G86</f>
        <v>0</v>
      </c>
      <c r="AC17" s="19">
        <f>'14'!G87</f>
        <v>0</v>
      </c>
      <c r="AD17" s="19">
        <f t="shared" si="8"/>
        <v>24</v>
      </c>
      <c r="AE17" s="23">
        <f t="shared" si="2"/>
        <v>4624</v>
      </c>
      <c r="AF17" s="23">
        <f t="shared" si="9"/>
        <v>192.66666666666666</v>
      </c>
      <c r="AG17" s="19">
        <f>'14'!G88</f>
        <v>0.98999999999796273</v>
      </c>
      <c r="AH17" s="19">
        <f>'14'!G89</f>
        <v>10.779999999998836</v>
      </c>
      <c r="AI17" s="19">
        <f>'14'!G90</f>
        <v>6.1900000000023283</v>
      </c>
      <c r="AJ17" s="19">
        <f t="shared" si="10"/>
        <v>17.959999999999127</v>
      </c>
      <c r="AK17" s="19">
        <f>'14'!G91</f>
        <v>11.170000000000073</v>
      </c>
      <c r="AL17" s="19">
        <f>'14'!G92</f>
        <v>0</v>
      </c>
      <c r="AM17" s="19"/>
      <c r="AN17" s="19">
        <f t="shared" si="11"/>
        <v>11.170000000000073</v>
      </c>
      <c r="AO17" s="52">
        <f>'14'!G44</f>
        <v>0</v>
      </c>
      <c r="AP17" s="55">
        <f>'14'!G35</f>
        <v>1426</v>
      </c>
      <c r="AQ17" s="19">
        <f>'14'!G37</f>
        <v>1746</v>
      </c>
      <c r="AR17" s="19">
        <f>'14'!G38</f>
        <v>2061</v>
      </c>
      <c r="AS17" s="19">
        <f>'14'!G39</f>
        <v>3213</v>
      </c>
      <c r="AT17" s="19">
        <f>'14'!G40</f>
        <v>897</v>
      </c>
      <c r="AU17" s="19">
        <f>'14'!G41</f>
        <v>0</v>
      </c>
      <c r="AV17" s="19">
        <f>'14'!G42</f>
        <v>4624</v>
      </c>
      <c r="AW17" s="19">
        <f>'14'!G43</f>
        <v>2102</v>
      </c>
      <c r="AX17" s="23">
        <f>'14'!G44</f>
        <v>0</v>
      </c>
      <c r="AY17" s="56">
        <f>'14'!G36</f>
        <v>834</v>
      </c>
      <c r="AZ17" s="55">
        <f>'14'!G49</f>
        <v>1577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541</v>
      </c>
      <c r="BE17" s="19">
        <f>'14'!G55</f>
        <v>0</v>
      </c>
      <c r="BF17" s="19">
        <f>'14'!G56</f>
        <v>0</v>
      </c>
      <c r="BG17" s="19">
        <f>'14'!G57</f>
        <v>0</v>
      </c>
      <c r="BH17" s="56">
        <f>'14'!G50</f>
        <v>1606</v>
      </c>
      <c r="BI17" s="60">
        <f t="shared" si="12"/>
        <v>4624</v>
      </c>
      <c r="BJ17" s="60">
        <f>'14'!G133</f>
        <v>679</v>
      </c>
      <c r="BK17" s="23">
        <f t="shared" si="13"/>
        <v>45.759841964159726</v>
      </c>
      <c r="BL17" s="23">
        <f t="shared" si="14"/>
        <v>15.112177225906589</v>
      </c>
      <c r="BM17" s="24">
        <f t="shared" si="15"/>
        <v>9.6938055594750952E-2</v>
      </c>
      <c r="BN17" s="25">
        <f t="shared" si="16"/>
        <v>284856</v>
      </c>
      <c r="BO17" s="38">
        <f t="shared" si="17"/>
        <v>7405</v>
      </c>
      <c r="BP17">
        <f t="shared" si="18"/>
        <v>1.1019345238095237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20999.599999999977</v>
      </c>
      <c r="H18" s="19">
        <f>'15'!G8</f>
        <v>21100</v>
      </c>
      <c r="I18" s="19">
        <v>9</v>
      </c>
      <c r="J18" s="49">
        <f t="shared" si="3"/>
        <v>189900</v>
      </c>
      <c r="K18" s="45">
        <f t="shared" si="4"/>
        <v>104.45544554455445</v>
      </c>
      <c r="L18" s="19">
        <f>'15'!G15</f>
        <v>1135.2800000000279</v>
      </c>
      <c r="M18" s="19">
        <v>56.2</v>
      </c>
      <c r="N18" s="41">
        <f t="shared" si="5"/>
        <v>63802.736000001576</v>
      </c>
      <c r="O18" s="19">
        <f>'15'!G20</f>
        <v>316</v>
      </c>
      <c r="P18" s="19">
        <v>108</v>
      </c>
      <c r="Q18" s="46">
        <f t="shared" si="0"/>
        <v>34128</v>
      </c>
      <c r="R18" s="47">
        <f t="shared" si="1"/>
        <v>312.87128712871288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119</v>
      </c>
      <c r="W18" s="22">
        <f>'15'!G66</f>
        <v>31</v>
      </c>
      <c r="X18" s="22">
        <f>'15'!G67</f>
        <v>71</v>
      </c>
      <c r="Y18" s="22">
        <f t="shared" si="7"/>
        <v>221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0</v>
      </c>
      <c r="AD18" s="19">
        <f t="shared" si="8"/>
        <v>24</v>
      </c>
      <c r="AE18" s="23">
        <f t="shared" si="2"/>
        <v>4586.5399999999881</v>
      </c>
      <c r="AF18" s="23">
        <f t="shared" si="9"/>
        <v>191.10583333333284</v>
      </c>
      <c r="AG18" s="19">
        <f>'15'!G88</f>
        <v>0</v>
      </c>
      <c r="AH18" s="19">
        <f>'15'!G89</f>
        <v>12.130000000001019</v>
      </c>
      <c r="AI18" s="19">
        <f>'15'!G90</f>
        <v>7.9700000000011642</v>
      </c>
      <c r="AJ18" s="19">
        <f t="shared" si="10"/>
        <v>20.100000000002183</v>
      </c>
      <c r="AK18" s="19">
        <f>'15'!G91</f>
        <v>10.589999999999691</v>
      </c>
      <c r="AL18" s="19">
        <f>'15'!G92</f>
        <v>0</v>
      </c>
      <c r="AM18" s="19"/>
      <c r="AN18" s="19">
        <f t="shared" si="11"/>
        <v>10.589999999999691</v>
      </c>
      <c r="AO18" s="52">
        <f>'15'!G74</f>
        <v>280.39099999994505</v>
      </c>
      <c r="AP18" s="55">
        <f>'15'!G35</f>
        <v>1456.1299999999974</v>
      </c>
      <c r="AQ18" s="19">
        <f>'15'!G37</f>
        <v>1780.6999999999971</v>
      </c>
      <c r="AR18" s="19">
        <f>'15'!G38</f>
        <v>1992.6000000000058</v>
      </c>
      <c r="AS18" s="19">
        <f>'15'!G39</f>
        <v>3189.1999999999971</v>
      </c>
      <c r="AT18" s="19">
        <f>'15'!G40</f>
        <v>341.20000000000073</v>
      </c>
      <c r="AU18" s="19">
        <f>'15'!G41</f>
        <v>0</v>
      </c>
      <c r="AV18" s="19">
        <f>'15'!G42</f>
        <v>4587.0199999999895</v>
      </c>
      <c r="AW18" s="19">
        <f>'15'!G43</f>
        <v>2095.5799999999872</v>
      </c>
      <c r="AX18" s="23">
        <f>'15'!G44</f>
        <v>0</v>
      </c>
      <c r="AY18" s="56">
        <f>'15'!G36</f>
        <v>750.84999999999854</v>
      </c>
      <c r="AZ18" s="55">
        <f>'15'!G49</f>
        <v>1570.9000000000015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539.29000000000087</v>
      </c>
      <c r="BE18" s="19">
        <f>'15'!G55</f>
        <v>-0.11000000000058208</v>
      </c>
      <c r="BF18" s="19">
        <f>'15'!G56</f>
        <v>-0.37000000000080036</v>
      </c>
      <c r="BG18" s="19">
        <f>'15'!G57</f>
        <v>0</v>
      </c>
      <c r="BH18" s="56">
        <f>'15'!G50</f>
        <v>1491.9499999999971</v>
      </c>
      <c r="BI18" s="60">
        <f t="shared" si="12"/>
        <v>4586.5399999999881</v>
      </c>
      <c r="BJ18" s="60">
        <f>'15'!G133</f>
        <v>670.32000000000698</v>
      </c>
      <c r="BK18" s="23">
        <f t="shared" si="13"/>
        <v>46.014928909952481</v>
      </c>
      <c r="BL18" s="23">
        <f t="shared" si="14"/>
        <v>15.114691943127948</v>
      </c>
      <c r="BM18" s="24">
        <f t="shared" si="15"/>
        <v>9.4436018957346241E-2</v>
      </c>
      <c r="BN18" s="25">
        <f t="shared" si="16"/>
        <v>287830.73600000155</v>
      </c>
      <c r="BO18" s="38">
        <f t="shared" si="17"/>
        <v>7352.4399999999823</v>
      </c>
      <c r="BP18">
        <f t="shared" si="18"/>
        <v>1.0941130952380926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20546.979999999981</v>
      </c>
      <c r="H19" s="19">
        <f>'16'!G8</f>
        <v>20625.099999999999</v>
      </c>
      <c r="I19" s="19">
        <v>9</v>
      </c>
      <c r="J19" s="49">
        <f t="shared" si="3"/>
        <v>185625.9</v>
      </c>
      <c r="K19" s="45">
        <f t="shared" si="4"/>
        <v>102.10445544554455</v>
      </c>
      <c r="L19" s="19">
        <f>'16'!G15</f>
        <v>1092.9150000000373</v>
      </c>
      <c r="M19" s="19">
        <v>56.2</v>
      </c>
      <c r="N19" s="41">
        <f t="shared" si="5"/>
        <v>61421.823000002099</v>
      </c>
      <c r="O19" s="19">
        <f>'16'!G20</f>
        <v>298</v>
      </c>
      <c r="P19" s="19">
        <v>108</v>
      </c>
      <c r="Q19" s="46">
        <f t="shared" si="0"/>
        <v>32184</v>
      </c>
      <c r="R19" s="47">
        <f t="shared" si="1"/>
        <v>590.09900990099004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19</v>
      </c>
      <c r="X19" s="22">
        <f>'16'!G67</f>
        <v>72</v>
      </c>
      <c r="Y19" s="22">
        <f t="shared" si="7"/>
        <v>180</v>
      </c>
      <c r="Z19" s="19">
        <f>'16'!G84</f>
        <v>0</v>
      </c>
      <c r="AA19" s="19">
        <f>'16'!G85</f>
        <v>23.539999999999964</v>
      </c>
      <c r="AB19" s="19">
        <f>'16'!G86</f>
        <v>0</v>
      </c>
      <c r="AC19" s="19">
        <f>'16'!G87</f>
        <v>0</v>
      </c>
      <c r="AD19" s="19">
        <f t="shared" si="8"/>
        <v>23.539999999999964</v>
      </c>
      <c r="AE19" s="23">
        <f t="shared" si="2"/>
        <v>4325.9800000000105</v>
      </c>
      <c r="AF19" s="23">
        <f t="shared" si="9"/>
        <v>183.77145284621994</v>
      </c>
      <c r="AG19" s="19">
        <f>'16'!G88</f>
        <v>0</v>
      </c>
      <c r="AH19" s="19">
        <f>'16'!G89</f>
        <v>10.900000000001455</v>
      </c>
      <c r="AI19" s="19">
        <f>'16'!G90</f>
        <v>8.9299999999930151</v>
      </c>
      <c r="AJ19" s="19">
        <f t="shared" si="10"/>
        <v>19.82999999999447</v>
      </c>
      <c r="AK19" s="19">
        <f>'16'!G91</f>
        <v>11.200000000000273</v>
      </c>
      <c r="AL19" s="19">
        <f>'16'!G92</f>
        <v>0</v>
      </c>
      <c r="AM19" s="19"/>
      <c r="AN19" s="19">
        <f t="shared" si="11"/>
        <v>11.200000000000273</v>
      </c>
      <c r="AO19" s="52">
        <f>'16'!G74</f>
        <v>295.77900000009686</v>
      </c>
      <c r="AP19" s="55">
        <f>'16'!G35</f>
        <v>1572.5699999999997</v>
      </c>
      <c r="AQ19" s="19">
        <f>'16'!G37</f>
        <v>1774.7800000000061</v>
      </c>
      <c r="AR19" s="19">
        <f>'16'!G38</f>
        <v>2035.1399999999994</v>
      </c>
      <c r="AS19" s="19">
        <f>'16'!G39</f>
        <v>3126.6800000000076</v>
      </c>
      <c r="AT19" s="19">
        <f>'16'!G40</f>
        <v>232.18999999999869</v>
      </c>
      <c r="AU19" s="19">
        <f>'16'!G41</f>
        <v>0</v>
      </c>
      <c r="AV19" s="19">
        <f>'16'!G42</f>
        <v>4325.9800000000105</v>
      </c>
      <c r="AW19" s="19">
        <f>'16'!G43</f>
        <v>2105.7700000000186</v>
      </c>
      <c r="AX19" s="23">
        <f>'16'!G44</f>
        <v>0</v>
      </c>
      <c r="AY19" s="56">
        <f>'16'!G36</f>
        <v>881.54000000000087</v>
      </c>
      <c r="AZ19" s="55">
        <f>'16'!G49</f>
        <v>1499.5299999999988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542.45999999999913</v>
      </c>
      <c r="BE19" s="19">
        <f>'16'!G55</f>
        <v>0</v>
      </c>
      <c r="BF19" s="19">
        <f>'16'!G56</f>
        <v>0</v>
      </c>
      <c r="BG19" s="19">
        <f>'16'!G57</f>
        <v>0</v>
      </c>
      <c r="BH19" s="56">
        <f>'16'!G50</f>
        <v>1217.9799999999959</v>
      </c>
      <c r="BI19" s="60">
        <f t="shared" si="12"/>
        <v>4325.9800000000105</v>
      </c>
      <c r="BJ19" s="60">
        <f>'16'!G133</f>
        <v>673.23999999999069</v>
      </c>
      <c r="BK19" s="23">
        <f t="shared" si="13"/>
        <v>46.079049313700438</v>
      </c>
      <c r="BL19" s="23">
        <f t="shared" si="14"/>
        <v>15.159587105032257</v>
      </c>
      <c r="BM19" s="24">
        <f t="shared" si="15"/>
        <v>9.8672976131024798E-2</v>
      </c>
      <c r="BN19" s="25">
        <f t="shared" si="16"/>
        <v>279231.72300000209</v>
      </c>
      <c r="BO19" s="38">
        <f t="shared" si="17"/>
        <v>7104.9900000000198</v>
      </c>
      <c r="BP19">
        <f t="shared" si="18"/>
        <v>1.0779509042359556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19976.420000000042</v>
      </c>
      <c r="H20" s="19">
        <f>'17'!G8</f>
        <v>20039.870000000003</v>
      </c>
      <c r="I20" s="19">
        <v>9</v>
      </c>
      <c r="J20" s="49">
        <f t="shared" si="3"/>
        <v>180358.83000000002</v>
      </c>
      <c r="K20" s="45">
        <f t="shared" si="4"/>
        <v>99.207277227722784</v>
      </c>
      <c r="L20" s="19">
        <f>'17'!G15</f>
        <v>1023.3799999998882</v>
      </c>
      <c r="M20" s="19">
        <v>56.2</v>
      </c>
      <c r="N20" s="41">
        <f t="shared" si="5"/>
        <v>57513.955999993719</v>
      </c>
      <c r="O20" s="19">
        <f>'17'!G20</f>
        <v>306</v>
      </c>
      <c r="P20" s="19">
        <v>108</v>
      </c>
      <c r="Q20" s="46">
        <f t="shared" si="0"/>
        <v>33048</v>
      </c>
      <c r="R20" s="47">
        <f t="shared" si="1"/>
        <v>297.02970297029702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116</v>
      </c>
      <c r="W20" s="22">
        <f>'17'!G66</f>
        <v>19</v>
      </c>
      <c r="X20" s="22">
        <f>'17'!G67</f>
        <v>86</v>
      </c>
      <c r="Y20" s="22">
        <f t="shared" si="7"/>
        <v>221</v>
      </c>
      <c r="Z20" s="19">
        <f>'17'!G84</f>
        <v>0</v>
      </c>
      <c r="AA20" s="19">
        <f>'17'!G85</f>
        <v>23.860000000000127</v>
      </c>
      <c r="AB20" s="19">
        <f>'17'!G86</f>
        <v>0</v>
      </c>
      <c r="AC20" s="19">
        <f>'17'!G87</f>
        <v>0</v>
      </c>
      <c r="AD20" s="19">
        <f t="shared" si="8"/>
        <v>23.860000000000127</v>
      </c>
      <c r="AE20" s="23">
        <f t="shared" si="2"/>
        <v>4155.3800000000047</v>
      </c>
      <c r="AF20" s="23">
        <f t="shared" si="9"/>
        <v>174.15674769488609</v>
      </c>
      <c r="AG20" s="19">
        <f>'17'!G88</f>
        <v>2.0000000000436557E-2</v>
      </c>
      <c r="AH20" s="19">
        <f>'17'!G89</f>
        <v>11.68999999999869</v>
      </c>
      <c r="AI20" s="19">
        <f>'17'!G90</f>
        <v>3.7799999999988358</v>
      </c>
      <c r="AJ20" s="19">
        <f t="shared" si="10"/>
        <v>15.489999999997963</v>
      </c>
      <c r="AK20" s="19">
        <f>'17'!G91</f>
        <v>11.329999999999927</v>
      </c>
      <c r="AL20" s="19">
        <f>'17'!G92</f>
        <v>0</v>
      </c>
      <c r="AM20" s="19"/>
      <c r="AN20" s="19">
        <f t="shared" si="11"/>
        <v>11.329999999999927</v>
      </c>
      <c r="AO20" s="52">
        <f>'17'!G74</f>
        <v>298.61999999999534</v>
      </c>
      <c r="AP20" s="55">
        <f>'17'!G35</f>
        <v>1470.9800000000032</v>
      </c>
      <c r="AQ20" s="19">
        <f>'17'!G37</f>
        <v>1757.6999999999971</v>
      </c>
      <c r="AR20" s="19">
        <f>'17'!G38</f>
        <v>2041.2599999999948</v>
      </c>
      <c r="AS20" s="19">
        <f>'17'!G39</f>
        <v>3014.1399999999994</v>
      </c>
      <c r="AT20" s="19">
        <f>'17'!G40</f>
        <v>224.08000000000175</v>
      </c>
      <c r="AU20" s="19">
        <f>'17'!G41</f>
        <v>0</v>
      </c>
      <c r="AV20" s="19">
        <f>'17'!G42</f>
        <v>4155.3800000000047</v>
      </c>
      <c r="AW20" s="19">
        <f>'17'!G43</f>
        <v>2052.7299999999814</v>
      </c>
      <c r="AX20" s="23">
        <f>'17'!G44</f>
        <v>0</v>
      </c>
      <c r="AY20" s="56">
        <f>'17'!G36</f>
        <v>905.22000000000116</v>
      </c>
      <c r="AZ20" s="55">
        <f>'17'!G49</f>
        <v>1436.5699999999997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530.63999999999942</v>
      </c>
      <c r="BE20" s="19">
        <f>'17'!G55</f>
        <v>0</v>
      </c>
      <c r="BF20" s="19">
        <f>'17'!G56</f>
        <v>0</v>
      </c>
      <c r="BG20" s="19">
        <f>'17'!G57</f>
        <v>0</v>
      </c>
      <c r="BH20" s="56">
        <f>'17'!G50</f>
        <v>1099.6000000000058</v>
      </c>
      <c r="BI20" s="60">
        <f t="shared" si="12"/>
        <v>4155.3800000000047</v>
      </c>
      <c r="BJ20" s="60">
        <f>'17'!G133</f>
        <v>657.55999999999767</v>
      </c>
      <c r="BK20" s="23">
        <f t="shared" si="13"/>
        <v>45.487620428675378</v>
      </c>
      <c r="BL20" s="23">
        <f t="shared" si="14"/>
        <v>15.040716331992169</v>
      </c>
      <c r="BM20" s="24">
        <f t="shared" si="15"/>
        <v>0.10185994220521363</v>
      </c>
      <c r="BN20" s="25">
        <f t="shared" si="16"/>
        <v>270920.78599999374</v>
      </c>
      <c r="BO20" s="38">
        <f t="shared" si="17"/>
        <v>6865.6699999999837</v>
      </c>
      <c r="BP20">
        <f t="shared" si="18"/>
        <v>1.0276718357082906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20562</v>
      </c>
      <c r="H21" s="19">
        <f>'18 '!G8</f>
        <v>20626.43</v>
      </c>
      <c r="I21" s="19">
        <v>9</v>
      </c>
      <c r="J21" s="49">
        <f t="shared" si="3"/>
        <v>185637.87</v>
      </c>
      <c r="K21" s="45">
        <f t="shared" si="4"/>
        <v>102.11103960396039</v>
      </c>
      <c r="L21" s="19">
        <f>'18 '!G15</f>
        <v>1056.8049999999348</v>
      </c>
      <c r="M21" s="19">
        <v>56.2</v>
      </c>
      <c r="N21" s="41">
        <f t="shared" si="5"/>
        <v>59392.440999996339</v>
      </c>
      <c r="O21" s="19">
        <f>'18 '!G20</f>
        <v>298</v>
      </c>
      <c r="P21" s="19">
        <v>108</v>
      </c>
      <c r="Q21" s="46">
        <f t="shared" si="0"/>
        <v>32184</v>
      </c>
      <c r="R21" s="47">
        <f t="shared" si="1"/>
        <v>289.264220539701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19</v>
      </c>
      <c r="X21" s="22">
        <f>'18 '!G67</f>
        <v>75</v>
      </c>
      <c r="Y21" s="22">
        <f t="shared" si="7"/>
        <v>178</v>
      </c>
      <c r="Z21" s="19">
        <f>'18 '!G84</f>
        <v>0.26000000000203727</v>
      </c>
      <c r="AA21" s="19">
        <f>'18 '!G85</f>
        <v>23.889999999999873</v>
      </c>
      <c r="AB21" s="19">
        <f>'18 '!G86</f>
        <v>0</v>
      </c>
      <c r="AC21" s="19">
        <f>'18 '!G87</f>
        <v>0</v>
      </c>
      <c r="AD21" s="19">
        <f t="shared" si="8"/>
        <v>24.15000000000191</v>
      </c>
      <c r="AE21" s="23">
        <f t="shared" si="2"/>
        <v>4354.0499999999884</v>
      </c>
      <c r="AF21" s="23">
        <f t="shared" si="9"/>
        <v>180.29192546582377</v>
      </c>
      <c r="AG21" s="19">
        <f>'18 '!G88</f>
        <v>0</v>
      </c>
      <c r="AH21" s="19">
        <f>'18 '!G89</f>
        <v>10.959999999999127</v>
      </c>
      <c r="AI21" s="19">
        <f>'18 '!G90</f>
        <v>4.0200000000040745</v>
      </c>
      <c r="AJ21" s="19">
        <f t="shared" si="10"/>
        <v>14.980000000003201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298.39000000001397</v>
      </c>
      <c r="AP21" s="55">
        <f>'18 '!G35</f>
        <v>1628.2200000000012</v>
      </c>
      <c r="AQ21" s="19">
        <f>'18 '!G37</f>
        <v>1732.8400000000038</v>
      </c>
      <c r="AR21" s="19">
        <f>'18 '!G38</f>
        <v>2102.5</v>
      </c>
      <c r="AS21" s="19">
        <f>'18 '!G39</f>
        <v>3089.679999999993</v>
      </c>
      <c r="AT21" s="19">
        <f>'18 '!G40</f>
        <v>847.91999999999825</v>
      </c>
      <c r="AU21" s="19">
        <f>'18 '!G41</f>
        <v>0</v>
      </c>
      <c r="AV21" s="19">
        <f>'18 '!G42</f>
        <v>4354.0499999999884</v>
      </c>
      <c r="AW21" s="19">
        <f>'18 '!G43</f>
        <v>2079.6800000000221</v>
      </c>
      <c r="AX21" s="23">
        <f>'18 '!G44</f>
        <v>0</v>
      </c>
      <c r="AY21" s="56">
        <f>'18 '!G36</f>
        <v>982.98999999999796</v>
      </c>
      <c r="AZ21" s="55">
        <f>'18 '!G49</f>
        <v>1486.5400000000009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535.06000000000131</v>
      </c>
      <c r="BE21" s="19">
        <f>'18 '!G55</f>
        <v>0</v>
      </c>
      <c r="BF21" s="19">
        <f>'18 '!G56</f>
        <v>0</v>
      </c>
      <c r="BG21" s="19">
        <f>'18 '!G57</f>
        <v>0</v>
      </c>
      <c r="BH21" s="56">
        <f>'18 '!G50</f>
        <v>1071.9199999999983</v>
      </c>
      <c r="BI21" s="60">
        <f t="shared" si="12"/>
        <v>4354.0499999999884</v>
      </c>
      <c r="BJ21" s="60">
        <f>'18 '!G133</f>
        <v>665.19000000000233</v>
      </c>
      <c r="BK21" s="23">
        <f t="shared" si="13"/>
        <v>46.29249947761204</v>
      </c>
      <c r="BL21" s="23">
        <f t="shared" si="14"/>
        <v>14.979228106851226</v>
      </c>
      <c r="BM21" s="24">
        <f t="shared" si="15"/>
        <v>0.10193232663141416</v>
      </c>
      <c r="BN21" s="25">
        <f t="shared" si="16"/>
        <v>277214.31099999632</v>
      </c>
      <c r="BO21" s="38">
        <f t="shared" si="17"/>
        <v>7098.9200000000128</v>
      </c>
      <c r="BP21">
        <f t="shared" si="18"/>
        <v>1.0498254954154764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-572201</v>
      </c>
      <c r="H22" s="19">
        <f>'19'!G8</f>
        <v>420440.2</v>
      </c>
      <c r="I22" s="19">
        <v>9</v>
      </c>
      <c r="J22" s="49">
        <f t="shared" si="3"/>
        <v>3783961.8000000003</v>
      </c>
      <c r="K22" s="45">
        <f t="shared" si="4"/>
        <v>2081.3871287128713</v>
      </c>
      <c r="L22" s="19">
        <f>'19'!G15</f>
        <v>-30817.079999999842</v>
      </c>
      <c r="M22" s="19">
        <v>56.2</v>
      </c>
      <c r="N22" s="41">
        <f t="shared" si="5"/>
        <v>-1731919.8959999911</v>
      </c>
      <c r="O22" s="19">
        <f>'19'!G20</f>
        <v>-1518</v>
      </c>
      <c r="P22" s="19">
        <v>108</v>
      </c>
      <c r="Q22" s="46">
        <f t="shared" si="0"/>
        <v>-163944</v>
      </c>
      <c r="R22" s="47">
        <f t="shared" si="1"/>
        <v>-808.22235804995864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-2832</v>
      </c>
      <c r="W22" s="22">
        <f>'19'!G66</f>
        <v>-653</v>
      </c>
      <c r="X22" s="22">
        <f>'19'!G67</f>
        <v>-1158</v>
      </c>
      <c r="Y22" s="22">
        <f t="shared" si="7"/>
        <v>-4643</v>
      </c>
      <c r="Z22" s="19">
        <f>'19'!G84</f>
        <v>0.13999999999941792</v>
      </c>
      <c r="AA22" s="19">
        <f>'19'!G85</f>
        <v>-478.73999999999978</v>
      </c>
      <c r="AB22" s="19">
        <f>'19'!G86</f>
        <v>-243</v>
      </c>
      <c r="AC22" s="19">
        <f>'19'!G87</f>
        <v>0</v>
      </c>
      <c r="AD22" s="19">
        <f t="shared" si="8"/>
        <v>-721.60000000000036</v>
      </c>
      <c r="AE22" s="23">
        <f t="shared" si="2"/>
        <v>-114167.97999999998</v>
      </c>
      <c r="AF22" s="23">
        <f t="shared" si="9"/>
        <v>158.21504988913514</v>
      </c>
      <c r="AG22" s="19">
        <f>'19'!G88</f>
        <v>-6.4099999999998545</v>
      </c>
      <c r="AH22" s="19">
        <f>'19'!G89</f>
        <v>-300.04999999999927</v>
      </c>
      <c r="AI22" s="19">
        <f>'19'!G90</f>
        <v>-107.09999999999127</v>
      </c>
      <c r="AJ22" s="19">
        <f t="shared" si="10"/>
        <v>-413.5599999999904</v>
      </c>
      <c r="AK22" s="19">
        <f>'19'!G91</f>
        <v>-227.75</v>
      </c>
      <c r="AL22" s="19">
        <f>'19'!G92</f>
        <v>-104.9399999999996</v>
      </c>
      <c r="AM22" s="19"/>
      <c r="AN22" s="19">
        <f t="shared" si="11"/>
        <v>-332.6899999999996</v>
      </c>
      <c r="AO22" s="52">
        <f>'19'!G74</f>
        <v>-9095.6800000000512</v>
      </c>
      <c r="AP22" s="55">
        <f>'19'!G35</f>
        <v>-42845.380000000005</v>
      </c>
      <c r="AQ22" s="19">
        <f>'19'!G37</f>
        <v>-49134.880000000005</v>
      </c>
      <c r="AR22" s="19">
        <f>'19'!G38</f>
        <v>-55958.5</v>
      </c>
      <c r="AS22" s="19">
        <f>'19'!G39</f>
        <v>-84584.14</v>
      </c>
      <c r="AT22" s="19">
        <f>'19'!G40</f>
        <v>-14937.019999999999</v>
      </c>
      <c r="AU22" s="19">
        <f>'19'!G41</f>
        <v>-63</v>
      </c>
      <c r="AV22" s="19">
        <f>'19'!G42</f>
        <v>-84098.829999999987</v>
      </c>
      <c r="AW22" s="19">
        <f>'19'!G43</f>
        <v>-63440.240000000005</v>
      </c>
      <c r="AX22" s="23">
        <f>'19'!G44</f>
        <v>0</v>
      </c>
      <c r="AY22" s="56">
        <f>'19'!G36</f>
        <v>-25494.639999999999</v>
      </c>
      <c r="AZ22" s="55">
        <f>'19'!G49</f>
        <v>-35802.720000000001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-8769.0300000000007</v>
      </c>
      <c r="BE22" s="19">
        <f>'19'!G55</f>
        <v>-29893.059999999998</v>
      </c>
      <c r="BF22" s="19">
        <f>'19'!G56</f>
        <v>-113.08999999999833</v>
      </c>
      <c r="BG22" s="19">
        <f>'19'!G57</f>
        <v>0</v>
      </c>
      <c r="BH22" s="56">
        <f>'19'!G50</f>
        <v>-35756.759999999995</v>
      </c>
      <c r="BI22" s="60">
        <f t="shared" si="12"/>
        <v>-114167.97999999998</v>
      </c>
      <c r="BJ22" s="60">
        <f>'19'!G133</f>
        <v>-17441.880000000005</v>
      </c>
      <c r="BK22" s="23">
        <f t="shared" si="13"/>
        <v>-60.949528613105976</v>
      </c>
      <c r="BL22" s="23">
        <f t="shared" si="14"/>
        <v>-20.117995377226059</v>
      </c>
      <c r="BM22" s="24">
        <f t="shared" si="15"/>
        <v>-0.13309502754493979</v>
      </c>
      <c r="BN22" s="25">
        <f t="shared" si="16"/>
        <v>1888097.9040000092</v>
      </c>
      <c r="BO22" s="38">
        <f t="shared" si="17"/>
        <v>-195050.1</v>
      </c>
      <c r="BP22">
        <f t="shared" si="18"/>
        <v>0.96536516075387979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24.806451612903224</v>
      </c>
      <c r="E35" s="33"/>
      <c r="F35" s="73">
        <f>AVERAGE(F4:F34)</f>
        <v>1.3948967741935483</v>
      </c>
      <c r="G35" s="34">
        <f>SUM(G4:G34)</f>
        <v>15</v>
      </c>
      <c r="H35" s="34">
        <f t="shared" ref="H35:BN35" si="37">SUM(H4:H34)</f>
        <v>1000026.6</v>
      </c>
      <c r="I35" s="19">
        <v>9</v>
      </c>
      <c r="J35" s="34">
        <f t="shared" si="37"/>
        <v>9000239.4000000004</v>
      </c>
      <c r="K35" s="34">
        <f t="shared" si="37"/>
        <v>4950.6267326732668</v>
      </c>
      <c r="L35" s="34">
        <f t="shared" si="37"/>
        <v>0</v>
      </c>
      <c r="M35" s="34">
        <f t="shared" si="37"/>
        <v>1742.200000000001</v>
      </c>
      <c r="N35" s="34">
        <f t="shared" si="37"/>
        <v>-8.0035533756017685E-11</v>
      </c>
      <c r="O35" s="34">
        <f t="shared" si="37"/>
        <v>5780</v>
      </c>
      <c r="P35" s="34">
        <f t="shared" si="37"/>
        <v>3348</v>
      </c>
      <c r="Q35" s="34">
        <f t="shared" si="37"/>
        <v>624240</v>
      </c>
      <c r="R35" s="34">
        <f t="shared" si="37"/>
        <v>5202.5476763236948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-3091.1299999999901</v>
      </c>
      <c r="AF35" s="34">
        <f t="shared" si="37"/>
        <v>4750.4613579337811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-294</v>
      </c>
      <c r="AP35" s="34">
        <f t="shared" si="37"/>
        <v>-3.637978807091713E-12</v>
      </c>
      <c r="AQ35" s="34">
        <f t="shared" si="37"/>
        <v>0</v>
      </c>
      <c r="AR35" s="34">
        <f t="shared" si="37"/>
        <v>0</v>
      </c>
      <c r="AS35" s="34">
        <f t="shared" si="37"/>
        <v>-3.637978807091713E-12</v>
      </c>
      <c r="AT35" s="34">
        <f t="shared" si="37"/>
        <v>-867.13000000000193</v>
      </c>
      <c r="AU35" s="34">
        <f t="shared" si="37"/>
        <v>-62.73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-0.42000000000007276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-3091.1299999999901</v>
      </c>
      <c r="BJ35" s="34">
        <f t="shared" si="37"/>
        <v>-11.039999999964493</v>
      </c>
      <c r="BK35" s="34">
        <f t="shared" si="37"/>
        <v>1245.458314536505</v>
      </c>
      <c r="BL35" s="34">
        <f t="shared" si="37"/>
        <v>418.0987481846455</v>
      </c>
      <c r="BM35" s="34">
        <f t="shared" si="37"/>
        <v>2.7673115061401865</v>
      </c>
      <c r="BN35" s="34">
        <f t="shared" si="37"/>
        <v>9624479.4000000004</v>
      </c>
      <c r="BO35" s="38">
        <f t="shared" si="17"/>
        <v>-3102.1699999999587</v>
      </c>
      <c r="BP35">
        <f t="shared" si="18"/>
        <v>-7.0121383363474266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3</v>
      </c>
      <c r="E36" s="35">
        <f t="shared" si="38"/>
        <v>-9.9999999999999978E-2</v>
      </c>
      <c r="F36" s="35">
        <f t="shared" si="38"/>
        <v>4.9999999999999989E-2</v>
      </c>
      <c r="G36" s="35"/>
      <c r="H36" s="35">
        <f t="shared" ref="H36:AN36" si="39">H18-H17</f>
        <v>-161</v>
      </c>
      <c r="I36" s="35">
        <f t="shared" si="39"/>
        <v>0</v>
      </c>
      <c r="J36" s="42">
        <f t="shared" si="39"/>
        <v>-1449</v>
      </c>
      <c r="K36" s="42">
        <f t="shared" si="39"/>
        <v>-0.79702970297030618</v>
      </c>
      <c r="L36" s="35">
        <f t="shared" si="39"/>
        <v>40.28000000002794</v>
      </c>
      <c r="M36" s="35">
        <f t="shared" si="39"/>
        <v>0</v>
      </c>
      <c r="N36" s="42">
        <f t="shared" si="39"/>
        <v>2263.736000001576</v>
      </c>
      <c r="O36" s="35">
        <f t="shared" si="39"/>
        <v>20</v>
      </c>
      <c r="P36" s="35">
        <f t="shared" si="39"/>
        <v>0</v>
      </c>
      <c r="Q36" s="42">
        <f t="shared" si="39"/>
        <v>2160</v>
      </c>
      <c r="R36" s="42">
        <f t="shared" si="39"/>
        <v>-12.761276127612746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-16</v>
      </c>
      <c r="W36" s="35">
        <f t="shared" si="39"/>
        <v>4</v>
      </c>
      <c r="X36" s="35">
        <f t="shared" si="39"/>
        <v>2</v>
      </c>
      <c r="Y36" s="35">
        <f t="shared" si="39"/>
        <v>-10</v>
      </c>
      <c r="Z36" s="35">
        <f t="shared" si="39"/>
        <v>0</v>
      </c>
      <c r="AA36" s="35">
        <f t="shared" si="39"/>
        <v>0</v>
      </c>
      <c r="AB36" s="35">
        <f t="shared" si="39"/>
        <v>0</v>
      </c>
      <c r="AC36" s="35">
        <f t="shared" si="39"/>
        <v>0</v>
      </c>
      <c r="AD36" s="35">
        <f t="shared" si="39"/>
        <v>0</v>
      </c>
      <c r="AE36" s="35">
        <f t="shared" si="39"/>
        <v>-37.46000000001186</v>
      </c>
      <c r="AF36" s="35">
        <f t="shared" si="39"/>
        <v>-1.560833333333818</v>
      </c>
      <c r="AG36" s="35">
        <f t="shared" si="39"/>
        <v>-0.98999999999796273</v>
      </c>
      <c r="AH36" s="35">
        <f t="shared" si="39"/>
        <v>1.3500000000021828</v>
      </c>
      <c r="AI36" s="35">
        <f t="shared" si="39"/>
        <v>1.7799999999988358</v>
      </c>
      <c r="AJ36" s="35">
        <f t="shared" si="39"/>
        <v>2.1400000000030559</v>
      </c>
      <c r="AK36" s="35">
        <f t="shared" si="39"/>
        <v>-0.58000000000038199</v>
      </c>
      <c r="AL36" s="35">
        <f t="shared" si="39"/>
        <v>0</v>
      </c>
      <c r="AM36" s="35">
        <f t="shared" si="39"/>
        <v>0</v>
      </c>
      <c r="AN36" s="35">
        <f t="shared" si="39"/>
        <v>-0.58000000000038199</v>
      </c>
      <c r="AO36" s="35"/>
      <c r="AP36" s="35">
        <f t="shared" ref="AP36:AW36" si="40">AP18-AP17</f>
        <v>30.129999999997381</v>
      </c>
      <c r="AQ36" s="35">
        <f t="shared" si="40"/>
        <v>34.69999999999709</v>
      </c>
      <c r="AR36" s="35">
        <f t="shared" si="40"/>
        <v>-68.399999999994179</v>
      </c>
      <c r="AS36" s="35">
        <f t="shared" si="40"/>
        <v>-23.80000000000291</v>
      </c>
      <c r="AT36" s="35">
        <f t="shared" si="40"/>
        <v>-555.79999999999927</v>
      </c>
      <c r="AU36" s="35">
        <f t="shared" si="40"/>
        <v>0</v>
      </c>
      <c r="AV36" s="35">
        <f t="shared" si="40"/>
        <v>-36.980000000010477</v>
      </c>
      <c r="AW36" s="35">
        <f t="shared" si="40"/>
        <v>-6.4200000000128057</v>
      </c>
      <c r="AX36" s="35"/>
      <c r="AY36" s="35"/>
      <c r="AZ36" s="35">
        <f t="shared" ref="AZ36:BG36" si="41">AZ18-AZ17</f>
        <v>-6.0999999999985448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-1.7099999999991269</v>
      </c>
      <c r="BE36" s="35">
        <f t="shared" si="41"/>
        <v>-0.11000000000058208</v>
      </c>
      <c r="BF36" s="35">
        <f t="shared" si="41"/>
        <v>-0.37000000000080036</v>
      </c>
      <c r="BG36" s="35">
        <f t="shared" si="41"/>
        <v>0</v>
      </c>
      <c r="BH36" s="35"/>
      <c r="BI36" s="35"/>
      <c r="BJ36" s="35"/>
      <c r="BK36" s="35">
        <f>BK18-BK17</f>
        <v>0.2550869457927547</v>
      </c>
      <c r="BL36" s="35">
        <f>BL18-BL17</f>
        <v>2.5147172213593194E-3</v>
      </c>
      <c r="BM36" s="35"/>
      <c r="BN36" s="35">
        <f>BN18-BN17</f>
        <v>2974.7360000015469</v>
      </c>
      <c r="BO36" s="35">
        <f>BO18-BO17</f>
        <v>-52.560000000017681</v>
      </c>
    </row>
    <row r="37" spans="1:68" x14ac:dyDescent="0.25">
      <c r="F37" s="38">
        <f>AVERAGE(F4:F35)</f>
        <v>1.3948967741935483</v>
      </c>
      <c r="G37" s="38"/>
      <c r="H37" s="38">
        <f>AVERAGE(H4:H35)</f>
        <v>62501.662499999999</v>
      </c>
    </row>
    <row r="38" spans="1:68" x14ac:dyDescent="0.25">
      <c r="B38" s="36" t="s">
        <v>66</v>
      </c>
      <c r="F38" s="72">
        <f>AVERAGE(F4:F35)</f>
        <v>1.3948967741935483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K14" sqref="K14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 x14ac:dyDescent="0.25">
      <c r="A2" s="248">
        <v>1</v>
      </c>
      <c r="B2" s="463">
        <f>C2/202%</f>
        <v>56.435643564356432</v>
      </c>
      <c r="C2" s="463">
        <v>114</v>
      </c>
      <c r="D2" s="463">
        <v>12</v>
      </c>
      <c r="E2" s="463">
        <v>80</v>
      </c>
      <c r="F2" s="464">
        <v>290</v>
      </c>
      <c r="G2" s="464">
        <f>C2+D2</f>
        <v>126</v>
      </c>
      <c r="H2" s="465">
        <f>C2/202%</f>
        <v>56.435643564356432</v>
      </c>
      <c r="I2" s="466"/>
      <c r="J2" s="465">
        <f>'Section Load'!C5/G2</f>
        <v>138.56230158730139</v>
      </c>
      <c r="K2">
        <f>10/202</f>
        <v>4.9504950495049507E-2</v>
      </c>
    </row>
    <row r="3" spans="1:17" x14ac:dyDescent="0.25">
      <c r="A3" s="248">
        <v>2</v>
      </c>
      <c r="B3" s="463">
        <f t="shared" ref="B3:B32" si="0">C3/202%</f>
        <v>63.861386138613859</v>
      </c>
      <c r="C3" s="463">
        <v>129</v>
      </c>
      <c r="D3" s="463">
        <v>13</v>
      </c>
      <c r="E3" s="463">
        <v>56</v>
      </c>
      <c r="F3" s="464">
        <v>352</v>
      </c>
      <c r="G3" s="464">
        <f t="shared" ref="G3:G31" si="1">C3+D3</f>
        <v>142</v>
      </c>
      <c r="H3" s="465">
        <f t="shared" ref="H3:H32" si="2">C3/202%</f>
        <v>63.861386138613859</v>
      </c>
      <c r="I3" s="466"/>
      <c r="J3" s="465">
        <f>'Section Load'!C6/G3</f>
        <v>129.14084507042253</v>
      </c>
    </row>
    <row r="4" spans="1:17" x14ac:dyDescent="0.25">
      <c r="A4" s="248">
        <v>3</v>
      </c>
      <c r="B4" s="463">
        <f t="shared" si="0"/>
        <v>65.841584158415841</v>
      </c>
      <c r="C4" s="463">
        <v>133</v>
      </c>
      <c r="D4" s="463">
        <v>12</v>
      </c>
      <c r="E4" s="463">
        <v>57</v>
      </c>
      <c r="F4" s="464">
        <v>406</v>
      </c>
      <c r="G4" s="464">
        <f t="shared" si="1"/>
        <v>145</v>
      </c>
      <c r="H4" s="465">
        <f t="shared" si="2"/>
        <v>65.841584158415841</v>
      </c>
      <c r="I4" s="466"/>
      <c r="J4" s="465">
        <f>'Section Load'!C7/G4</f>
        <v>132.54482758620691</v>
      </c>
      <c r="Q4" s="485">
        <f>C2/202</f>
        <v>0.5643564356435643</v>
      </c>
    </row>
    <row r="5" spans="1:17" x14ac:dyDescent="0.25">
      <c r="A5" s="248">
        <v>4</v>
      </c>
      <c r="B5" s="463">
        <f t="shared" si="0"/>
        <v>76.237623762376231</v>
      </c>
      <c r="C5" s="463">
        <v>154</v>
      </c>
      <c r="D5" s="463">
        <v>12</v>
      </c>
      <c r="E5" s="463">
        <v>65</v>
      </c>
      <c r="F5" s="464">
        <v>461</v>
      </c>
      <c r="G5" s="464">
        <f t="shared" si="1"/>
        <v>166</v>
      </c>
      <c r="H5" s="465">
        <f t="shared" si="2"/>
        <v>76.237623762376231</v>
      </c>
      <c r="I5" s="466"/>
      <c r="J5" s="465">
        <f>'Section Load'!C8/G5</f>
        <v>112.12475903614435</v>
      </c>
    </row>
    <row r="6" spans="1:17" x14ac:dyDescent="0.25">
      <c r="A6" s="248">
        <v>5</v>
      </c>
      <c r="B6" s="463">
        <f t="shared" si="0"/>
        <v>78.21782178217822</v>
      </c>
      <c r="C6" s="463">
        <v>158</v>
      </c>
      <c r="D6" s="463">
        <v>13</v>
      </c>
      <c r="E6" s="463">
        <v>63</v>
      </c>
      <c r="F6" s="464">
        <v>1487</v>
      </c>
      <c r="G6" s="464">
        <f t="shared" si="1"/>
        <v>171</v>
      </c>
      <c r="H6" s="465">
        <f t="shared" si="2"/>
        <v>78.21782178217822</v>
      </c>
      <c r="I6" s="466"/>
      <c r="J6" s="465">
        <f>'Section Load'!C9/G6</f>
        <v>121.8184795321642</v>
      </c>
    </row>
    <row r="7" spans="1:17" x14ac:dyDescent="0.25">
      <c r="A7" s="248">
        <v>6</v>
      </c>
      <c r="B7" s="463">
        <f t="shared" si="0"/>
        <v>68.811881188118818</v>
      </c>
      <c r="C7" s="463">
        <v>139</v>
      </c>
      <c r="D7" s="463">
        <v>11</v>
      </c>
      <c r="E7" s="463">
        <v>63</v>
      </c>
      <c r="F7" s="464">
        <v>494</v>
      </c>
      <c r="G7" s="464">
        <f t="shared" si="1"/>
        <v>150</v>
      </c>
      <c r="H7" s="465">
        <f t="shared" si="2"/>
        <v>68.811881188118818</v>
      </c>
      <c r="I7" s="466"/>
      <c r="J7" s="465">
        <f>'Section Load'!C10/G7</f>
        <v>137.41333333333333</v>
      </c>
    </row>
    <row r="8" spans="1:17" x14ac:dyDescent="0.25">
      <c r="A8" s="248">
        <v>7</v>
      </c>
      <c r="B8" s="463">
        <f t="shared" si="0"/>
        <v>72.772277227722768</v>
      </c>
      <c r="C8" s="463">
        <v>147</v>
      </c>
      <c r="D8" s="463">
        <v>12</v>
      </c>
      <c r="E8" s="463">
        <v>57</v>
      </c>
      <c r="F8" s="464">
        <v>704</v>
      </c>
      <c r="G8" s="464">
        <f t="shared" si="1"/>
        <v>159</v>
      </c>
      <c r="H8" s="465">
        <f t="shared" si="2"/>
        <v>72.772277227722768</v>
      </c>
      <c r="I8" s="466"/>
      <c r="J8" s="465">
        <f>'Section Load'!C11/G8</f>
        <v>136.50465408805024</v>
      </c>
      <c r="K8" s="737" t="s">
        <v>371</v>
      </c>
    </row>
    <row r="9" spans="1:17" x14ac:dyDescent="0.25">
      <c r="A9" s="248">
        <v>8</v>
      </c>
      <c r="B9" s="463">
        <f t="shared" si="0"/>
        <v>59.900990099009903</v>
      </c>
      <c r="C9" s="463">
        <v>121</v>
      </c>
      <c r="D9" s="463">
        <v>8</v>
      </c>
      <c r="E9" s="463">
        <v>55</v>
      </c>
      <c r="F9" s="464">
        <v>418</v>
      </c>
      <c r="G9" s="464">
        <f t="shared" si="1"/>
        <v>129</v>
      </c>
      <c r="H9" s="465">
        <f t="shared" si="2"/>
        <v>59.900990099009903</v>
      </c>
      <c r="I9" s="466"/>
      <c r="J9" s="465">
        <f>'Section Load'!C12/G9</f>
        <v>152.94643410852689</v>
      </c>
    </row>
    <row r="10" spans="1:17" x14ac:dyDescent="0.25">
      <c r="A10" s="248">
        <v>9</v>
      </c>
      <c r="B10" s="463">
        <f t="shared" si="0"/>
        <v>66.831683168316829</v>
      </c>
      <c r="C10" s="463">
        <v>135</v>
      </c>
      <c r="D10" s="463">
        <v>9</v>
      </c>
      <c r="E10" s="463">
        <v>54</v>
      </c>
      <c r="F10" s="464">
        <v>483</v>
      </c>
      <c r="G10" s="464">
        <f t="shared" si="1"/>
        <v>144</v>
      </c>
      <c r="H10" s="465">
        <f t="shared" si="2"/>
        <v>66.831683168316829</v>
      </c>
      <c r="I10" s="466"/>
      <c r="J10" s="465">
        <f>'Section Load'!C13/G10</f>
        <v>135.1875</v>
      </c>
    </row>
    <row r="11" spans="1:17" x14ac:dyDescent="0.25">
      <c r="A11" s="248">
        <v>10</v>
      </c>
      <c r="B11" s="463">
        <f t="shared" si="0"/>
        <v>68.811881188118818</v>
      </c>
      <c r="C11" s="463">
        <v>139</v>
      </c>
      <c r="D11" s="463">
        <v>10</v>
      </c>
      <c r="E11" s="463">
        <v>51</v>
      </c>
      <c r="F11" s="464">
        <v>723</v>
      </c>
      <c r="G11" s="464">
        <f t="shared" si="1"/>
        <v>149</v>
      </c>
      <c r="H11" s="465">
        <f t="shared" si="2"/>
        <v>68.811881188118818</v>
      </c>
      <c r="I11" s="466"/>
      <c r="J11" s="465">
        <f>'Section Load'!C14/G11</f>
        <v>136.73154362416108</v>
      </c>
    </row>
    <row r="12" spans="1:17" x14ac:dyDescent="0.25">
      <c r="A12" s="248">
        <v>11</v>
      </c>
      <c r="B12" s="463">
        <f t="shared" si="0"/>
        <v>66.336633663366342</v>
      </c>
      <c r="C12" s="463">
        <v>134</v>
      </c>
      <c r="D12" s="463">
        <v>14</v>
      </c>
      <c r="E12" s="463">
        <v>41</v>
      </c>
      <c r="F12" s="464">
        <v>899</v>
      </c>
      <c r="G12" s="464">
        <f t="shared" si="1"/>
        <v>148</v>
      </c>
      <c r="H12" s="465">
        <f t="shared" si="2"/>
        <v>66.336633663366342</v>
      </c>
      <c r="I12" s="466"/>
      <c r="J12" s="465">
        <f>'Section Load'!C15/G12</f>
        <v>142.02702702702703</v>
      </c>
    </row>
    <row r="13" spans="1:17" x14ac:dyDescent="0.25">
      <c r="A13" s="248">
        <v>12</v>
      </c>
      <c r="B13" s="463">
        <f t="shared" si="0"/>
        <v>68.316831683168317</v>
      </c>
      <c r="C13" s="463">
        <v>138</v>
      </c>
      <c r="D13" s="463">
        <v>16</v>
      </c>
      <c r="E13" s="463">
        <v>41</v>
      </c>
      <c r="F13" s="463">
        <v>683</v>
      </c>
      <c r="G13" s="464">
        <f t="shared" si="1"/>
        <v>154</v>
      </c>
      <c r="H13" s="465">
        <f t="shared" si="2"/>
        <v>68.316831683168317</v>
      </c>
      <c r="I13" s="466"/>
      <c r="J13" s="465">
        <f>'Section Load'!C16/G13</f>
        <v>145.05844155844156</v>
      </c>
    </row>
    <row r="14" spans="1:17" x14ac:dyDescent="0.25">
      <c r="A14" s="248">
        <v>13</v>
      </c>
      <c r="B14" s="463">
        <f t="shared" si="0"/>
        <v>63.366336633663366</v>
      </c>
      <c r="C14" s="463">
        <v>128</v>
      </c>
      <c r="D14" s="463">
        <v>14</v>
      </c>
      <c r="E14" s="463">
        <f t="shared" ref="E14:E31" si="3">SUM(C14:D14)/202%</f>
        <v>70.297029702970292</v>
      </c>
      <c r="F14" s="463">
        <v>1001</v>
      </c>
      <c r="G14" s="464">
        <f t="shared" si="1"/>
        <v>142</v>
      </c>
      <c r="H14" s="465">
        <f t="shared" si="2"/>
        <v>63.366336633663366</v>
      </c>
      <c r="I14" s="466"/>
      <c r="J14" s="465">
        <f>'Section Load'!C17/G14</f>
        <v>156.33802816901408</v>
      </c>
    </row>
    <row r="15" spans="1:17" x14ac:dyDescent="0.25">
      <c r="A15" s="248">
        <v>14</v>
      </c>
      <c r="B15" s="463">
        <f t="shared" si="0"/>
        <v>69.306930693069305</v>
      </c>
      <c r="C15" s="463">
        <v>140</v>
      </c>
      <c r="D15" s="463">
        <v>15</v>
      </c>
      <c r="E15" s="463">
        <f t="shared" si="3"/>
        <v>76.732673267326732</v>
      </c>
      <c r="F15" s="463">
        <v>612</v>
      </c>
      <c r="G15" s="464">
        <f t="shared" si="1"/>
        <v>155</v>
      </c>
      <c r="H15" s="465">
        <f t="shared" si="2"/>
        <v>69.306930693069305</v>
      </c>
      <c r="I15" s="466"/>
      <c r="J15" s="465">
        <f>'Section Load'!C18/G15</f>
        <v>137.16774193548386</v>
      </c>
    </row>
    <row r="16" spans="1:17" x14ac:dyDescent="0.25">
      <c r="A16" s="248">
        <v>15</v>
      </c>
      <c r="B16" s="463">
        <f t="shared" si="0"/>
        <v>68.811881188118818</v>
      </c>
      <c r="C16" s="463">
        <v>139</v>
      </c>
      <c r="D16" s="463">
        <v>10</v>
      </c>
      <c r="E16" s="463">
        <f t="shared" si="3"/>
        <v>73.762376237623755</v>
      </c>
      <c r="F16" s="463">
        <v>562</v>
      </c>
      <c r="G16" s="464">
        <f t="shared" si="1"/>
        <v>149</v>
      </c>
      <c r="H16" s="465">
        <f t="shared" si="2"/>
        <v>68.811881188118818</v>
      </c>
      <c r="I16" s="466"/>
      <c r="J16" s="465">
        <f>'Section Load'!C19/G16</f>
        <v>141.61073825503357</v>
      </c>
    </row>
    <row r="17" spans="1:10" x14ac:dyDescent="0.25">
      <c r="A17" s="248">
        <v>16</v>
      </c>
      <c r="B17" s="463">
        <f t="shared" si="0"/>
        <v>72.772277227722768</v>
      </c>
      <c r="C17" s="463">
        <v>147</v>
      </c>
      <c r="D17" s="463">
        <v>12</v>
      </c>
      <c r="E17" s="463">
        <f>SUM(C17:D17)/202%</f>
        <v>78.712871287128706</v>
      </c>
      <c r="F17" s="463">
        <v>521</v>
      </c>
      <c r="G17" s="464">
        <f t="shared" si="1"/>
        <v>159</v>
      </c>
      <c r="H17" s="465">
        <f t="shared" si="2"/>
        <v>72.772277227722768</v>
      </c>
      <c r="I17" s="466"/>
      <c r="J17" s="465">
        <f>'Section Load'!C20/G17</f>
        <v>129.71761006289307</v>
      </c>
    </row>
    <row r="18" spans="1:10" x14ac:dyDescent="0.25">
      <c r="A18" s="248">
        <v>17</v>
      </c>
      <c r="B18" s="463">
        <f t="shared" si="0"/>
        <v>79.702970297029708</v>
      </c>
      <c r="C18" s="463">
        <v>161</v>
      </c>
      <c r="D18" s="463">
        <v>9</v>
      </c>
      <c r="E18" s="463">
        <f t="shared" si="3"/>
        <v>84.158415841584159</v>
      </c>
      <c r="F18" s="463">
        <v>487</v>
      </c>
      <c r="G18" s="464">
        <f t="shared" si="1"/>
        <v>170</v>
      </c>
      <c r="H18" s="465">
        <f t="shared" si="2"/>
        <v>79.702970297029708</v>
      </c>
      <c r="I18" s="466"/>
      <c r="J18" s="465">
        <f>'Section Load'!C21/G18</f>
        <v>117.88158823529413</v>
      </c>
    </row>
    <row r="19" spans="1:10" x14ac:dyDescent="0.25">
      <c r="A19" s="248">
        <v>18</v>
      </c>
      <c r="B19" s="463">
        <f t="shared" si="0"/>
        <v>82.178217821782184</v>
      </c>
      <c r="C19" s="467">
        <v>166</v>
      </c>
      <c r="D19" s="467">
        <v>9</v>
      </c>
      <c r="E19" s="463">
        <f t="shared" si="3"/>
        <v>86.633663366336634</v>
      </c>
      <c r="F19" s="467">
        <v>639</v>
      </c>
      <c r="G19" s="464">
        <f t="shared" si="1"/>
        <v>175</v>
      </c>
      <c r="H19" s="465">
        <f t="shared" si="2"/>
        <v>82.178217821782184</v>
      </c>
      <c r="I19" s="466"/>
      <c r="J19" s="465">
        <f>'Section Load'!C22/G19</f>
        <v>117.86531428571429</v>
      </c>
    </row>
    <row r="20" spans="1:10" x14ac:dyDescent="0.25">
      <c r="A20" s="248">
        <v>19</v>
      </c>
      <c r="B20" s="463">
        <f t="shared" si="0"/>
        <v>0</v>
      </c>
      <c r="C20" s="463"/>
      <c r="D20" s="463"/>
      <c r="E20" s="463">
        <f t="shared" si="3"/>
        <v>0</v>
      </c>
      <c r="F20" s="463"/>
      <c r="G20" s="464">
        <f t="shared" si="1"/>
        <v>0</v>
      </c>
      <c r="H20" s="465">
        <f t="shared" si="2"/>
        <v>0</v>
      </c>
      <c r="I20" s="466"/>
      <c r="J20" s="465" t="e">
        <f>'Section Load'!C23/G20</f>
        <v>#DIV/0!</v>
      </c>
    </row>
    <row r="21" spans="1:10" x14ac:dyDescent="0.25">
      <c r="A21" s="248">
        <v>20</v>
      </c>
      <c r="B21" s="463">
        <f t="shared" si="0"/>
        <v>0</v>
      </c>
      <c r="C21" s="463"/>
      <c r="D21" s="463"/>
      <c r="E21" s="463">
        <f t="shared" si="3"/>
        <v>0</v>
      </c>
      <c r="F21" s="463"/>
      <c r="G21" s="464">
        <f t="shared" si="1"/>
        <v>0</v>
      </c>
      <c r="H21" s="465">
        <f t="shared" si="2"/>
        <v>0</v>
      </c>
      <c r="I21" s="466"/>
      <c r="J21" s="465" t="e">
        <f>'Section Load'!C24/G21</f>
        <v>#DIV/0!</v>
      </c>
    </row>
    <row r="22" spans="1:10" x14ac:dyDescent="0.25">
      <c r="A22" s="248">
        <v>21</v>
      </c>
      <c r="B22" s="463">
        <f t="shared" si="0"/>
        <v>0</v>
      </c>
      <c r="C22" s="463"/>
      <c r="D22" s="463"/>
      <c r="E22" s="463">
        <f t="shared" si="3"/>
        <v>0</v>
      </c>
      <c r="F22" s="463"/>
      <c r="G22" s="464">
        <f t="shared" si="1"/>
        <v>0</v>
      </c>
      <c r="H22" s="465">
        <f t="shared" si="2"/>
        <v>0</v>
      </c>
      <c r="I22" s="466"/>
      <c r="J22" s="465" t="e">
        <f>'Section Load'!C25/G22</f>
        <v>#DIV/0!</v>
      </c>
    </row>
    <row r="23" spans="1:10" x14ac:dyDescent="0.25">
      <c r="A23" s="248">
        <v>22</v>
      </c>
      <c r="B23" s="463">
        <v>83</v>
      </c>
      <c r="C23" s="463"/>
      <c r="D23" s="463"/>
      <c r="E23" s="463">
        <f t="shared" si="3"/>
        <v>0</v>
      </c>
      <c r="F23" s="463"/>
      <c r="G23" s="464">
        <f t="shared" si="1"/>
        <v>0</v>
      </c>
      <c r="H23" s="465">
        <f t="shared" si="2"/>
        <v>0</v>
      </c>
      <c r="I23" s="466"/>
      <c r="J23" s="465" t="e">
        <f>'Section Load'!C26/G23</f>
        <v>#DIV/0!</v>
      </c>
    </row>
    <row r="24" spans="1:10" x14ac:dyDescent="0.25">
      <c r="A24" s="248">
        <v>23</v>
      </c>
      <c r="B24" s="463">
        <v>98</v>
      </c>
      <c r="C24" s="463"/>
      <c r="D24" s="463"/>
      <c r="E24" s="463">
        <f t="shared" si="3"/>
        <v>0</v>
      </c>
      <c r="F24" s="463"/>
      <c r="G24" s="464">
        <f t="shared" si="1"/>
        <v>0</v>
      </c>
      <c r="H24" s="465">
        <f t="shared" si="2"/>
        <v>0</v>
      </c>
      <c r="I24" s="466"/>
      <c r="J24" s="465" t="e">
        <f>'Section Load'!C27/G24</f>
        <v>#DIV/0!</v>
      </c>
    </row>
    <row r="25" spans="1:10" x14ac:dyDescent="0.25">
      <c r="A25" s="248">
        <v>24</v>
      </c>
      <c r="B25" s="463">
        <f t="shared" si="0"/>
        <v>0</v>
      </c>
      <c r="C25" s="463"/>
      <c r="D25" s="463"/>
      <c r="E25" s="463">
        <f t="shared" si="3"/>
        <v>0</v>
      </c>
      <c r="F25" s="463"/>
      <c r="G25" s="464">
        <f t="shared" si="1"/>
        <v>0</v>
      </c>
      <c r="H25" s="465">
        <f t="shared" si="2"/>
        <v>0</v>
      </c>
      <c r="I25" s="466"/>
      <c r="J25" s="465" t="e">
        <f>'Section Load'!C28/G25</f>
        <v>#DIV/0!</v>
      </c>
    </row>
    <row r="26" spans="1:10" x14ac:dyDescent="0.25">
      <c r="A26" s="248">
        <v>25</v>
      </c>
      <c r="B26" s="463">
        <f t="shared" si="0"/>
        <v>0</v>
      </c>
      <c r="C26" s="463"/>
      <c r="D26" s="463"/>
      <c r="E26" s="463">
        <f t="shared" si="3"/>
        <v>0</v>
      </c>
      <c r="F26" s="463"/>
      <c r="G26" s="464">
        <f t="shared" si="1"/>
        <v>0</v>
      </c>
      <c r="H26" s="465">
        <f t="shared" si="2"/>
        <v>0</v>
      </c>
      <c r="I26" s="466"/>
      <c r="J26" s="465" t="e">
        <f>'Section Load'!C29/G26</f>
        <v>#DIV/0!</v>
      </c>
    </row>
    <row r="27" spans="1:10" x14ac:dyDescent="0.25">
      <c r="A27" s="248">
        <v>26</v>
      </c>
      <c r="B27" s="463">
        <f t="shared" si="0"/>
        <v>0</v>
      </c>
      <c r="C27" s="463"/>
      <c r="D27" s="463"/>
      <c r="E27" s="463">
        <f t="shared" si="3"/>
        <v>0</v>
      </c>
      <c r="F27" s="463"/>
      <c r="G27" s="464">
        <f t="shared" si="1"/>
        <v>0</v>
      </c>
      <c r="H27" s="465">
        <f t="shared" si="2"/>
        <v>0</v>
      </c>
      <c r="I27" s="466"/>
      <c r="J27" s="465" t="e">
        <f>'Section Load'!C30/G27</f>
        <v>#DIV/0!</v>
      </c>
    </row>
    <row r="28" spans="1:10" x14ac:dyDescent="0.25">
      <c r="A28" s="248">
        <v>27</v>
      </c>
      <c r="B28" s="463">
        <f t="shared" si="0"/>
        <v>0</v>
      </c>
      <c r="C28" s="463"/>
      <c r="D28" s="463"/>
      <c r="E28" s="463">
        <f t="shared" si="3"/>
        <v>0</v>
      </c>
      <c r="F28" s="463"/>
      <c r="G28" s="464">
        <f t="shared" si="1"/>
        <v>0</v>
      </c>
      <c r="H28" s="465">
        <f t="shared" si="2"/>
        <v>0</v>
      </c>
      <c r="I28" s="466"/>
      <c r="J28" s="465" t="e">
        <f>'Section Load'!C31/G28</f>
        <v>#DIV/0!</v>
      </c>
    </row>
    <row r="29" spans="1:10" x14ac:dyDescent="0.25">
      <c r="A29" s="248">
        <v>28</v>
      </c>
      <c r="B29" s="463">
        <f t="shared" si="0"/>
        <v>0</v>
      </c>
      <c r="C29" s="463"/>
      <c r="D29" s="463"/>
      <c r="E29" s="463">
        <f t="shared" si="3"/>
        <v>0</v>
      </c>
      <c r="F29" s="463"/>
      <c r="G29" s="464">
        <f t="shared" si="1"/>
        <v>0</v>
      </c>
      <c r="H29" s="465">
        <f t="shared" si="2"/>
        <v>0</v>
      </c>
      <c r="I29" s="466"/>
      <c r="J29" s="465" t="e">
        <f>'Section Load'!C32/G29</f>
        <v>#DIV/0!</v>
      </c>
    </row>
    <row r="30" spans="1:10" x14ac:dyDescent="0.25">
      <c r="A30" s="248">
        <v>29</v>
      </c>
      <c r="B30" s="463">
        <f>C30/202%</f>
        <v>0</v>
      </c>
      <c r="C30" s="463"/>
      <c r="D30" s="463"/>
      <c r="E30" s="463">
        <f t="shared" si="3"/>
        <v>0</v>
      </c>
      <c r="F30" s="463"/>
      <c r="G30" s="464">
        <f t="shared" si="1"/>
        <v>0</v>
      </c>
      <c r="H30" s="465">
        <f>C30/202%</f>
        <v>0</v>
      </c>
      <c r="I30" s="466"/>
      <c r="J30" s="465" t="e">
        <f>'Section Load'!C33/G30</f>
        <v>#DIV/0!</v>
      </c>
    </row>
    <row r="31" spans="1:10" x14ac:dyDescent="0.25">
      <c r="A31" s="248">
        <v>30</v>
      </c>
      <c r="B31" s="463">
        <f t="shared" si="0"/>
        <v>0</v>
      </c>
      <c r="C31" s="463"/>
      <c r="D31" s="463"/>
      <c r="E31" s="463">
        <f t="shared" si="3"/>
        <v>0</v>
      </c>
      <c r="F31" s="463"/>
      <c r="G31" s="468">
        <f t="shared" si="1"/>
        <v>0</v>
      </c>
      <c r="H31" s="465">
        <f t="shared" si="2"/>
        <v>0</v>
      </c>
      <c r="I31" s="466"/>
      <c r="J31" s="465" t="e">
        <f>'Section Load'!C34/G31</f>
        <v>#DIV/0!</v>
      </c>
    </row>
    <row r="32" spans="1:10" x14ac:dyDescent="0.25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 x14ac:dyDescent="0.25">
      <c r="A33" t="s">
        <v>316</v>
      </c>
      <c r="B33" s="275">
        <f>AVERAGE(B2:B31)</f>
        <v>47.650495049504947</v>
      </c>
      <c r="C33" s="275">
        <f t="shared" ref="C33:H33" si="4">AVERAGE(C2:C31)</f>
        <v>140.11111111111111</v>
      </c>
      <c r="D33" s="275">
        <f t="shared" si="4"/>
        <v>11.722222222222221</v>
      </c>
      <c r="E33" s="275">
        <f t="shared" si="4"/>
        <v>38.443234323432335</v>
      </c>
      <c r="F33" s="275">
        <f t="shared" si="4"/>
        <v>623.44444444444446</v>
      </c>
      <c r="G33" s="275">
        <f t="shared" si="4"/>
        <v>91.1</v>
      </c>
      <c r="H33" s="275">
        <f t="shared" si="4"/>
        <v>41.617161716171616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56.435643564356432</v>
      </c>
      <c r="E4" s="91">
        <f>Occupancy!B3</f>
        <v>63.861386138613859</v>
      </c>
      <c r="F4" s="91">
        <f>Occupancy!C3</f>
        <v>129</v>
      </c>
      <c r="G4" s="91">
        <f>Occupancy!D3</f>
        <v>13</v>
      </c>
      <c r="H4" s="91">
        <f>Occupancy!E3</f>
        <v>56</v>
      </c>
      <c r="I4" s="91">
        <f>Occupancy!F3</f>
        <v>352</v>
      </c>
      <c r="J4" s="91">
        <f>Occupancy!G3</f>
        <v>142</v>
      </c>
      <c r="K4" s="91">
        <f>Occupancy!H3</f>
        <v>63.861386138613859</v>
      </c>
      <c r="L4" s="91">
        <f>Occupancy!I3</f>
        <v>0</v>
      </c>
      <c r="M4" s="91">
        <f>Occupancy!J3</f>
        <v>129.14084507042253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180</v>
      </c>
      <c r="L5" s="91">
        <f>'9'!G18</f>
        <v>200</v>
      </c>
      <c r="M5" s="91">
        <f>'10'!G18</f>
        <v>260</v>
      </c>
      <c r="N5" s="91">
        <f>'11'!G18</f>
        <v>260</v>
      </c>
      <c r="O5" s="91">
        <f>'12'!G18</f>
        <v>280</v>
      </c>
      <c r="P5" s="91">
        <f>'13'!G18</f>
        <v>240</v>
      </c>
      <c r="Q5" s="91">
        <f>'14'!G18</f>
        <v>240</v>
      </c>
      <c r="R5" s="91">
        <f>'15'!G18</f>
        <v>260</v>
      </c>
      <c r="S5" s="91">
        <f>'16'!G18</f>
        <v>240</v>
      </c>
      <c r="T5" s="91">
        <f>'17'!G18</f>
        <v>250</v>
      </c>
      <c r="U5" s="91">
        <f>'18 '!G18</f>
        <v>250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52</v>
      </c>
      <c r="L6" s="91">
        <f>'9'!G19</f>
        <v>56</v>
      </c>
      <c r="M6" s="91">
        <f>'10'!G19</f>
        <v>57</v>
      </c>
      <c r="N6" s="91">
        <f>'11'!G19</f>
        <v>56</v>
      </c>
      <c r="O6" s="91">
        <f>'12'!G19</f>
        <v>59</v>
      </c>
      <c r="P6" s="91">
        <f>'13'!G19</f>
        <v>56</v>
      </c>
      <c r="Q6" s="91">
        <f>'14'!G19</f>
        <v>56</v>
      </c>
      <c r="R6" s="91">
        <f>'15'!G19</f>
        <v>56</v>
      </c>
      <c r="S6" s="91">
        <f>'16'!G19</f>
        <v>58</v>
      </c>
      <c r="T6" s="91">
        <f>'17'!G19</f>
        <v>56</v>
      </c>
      <c r="U6" s="91">
        <f>'18 '!G19</f>
        <v>48</v>
      </c>
      <c r="V6" s="91">
        <f>'19'!G19</f>
        <v>-1618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128</v>
      </c>
      <c r="L7" s="91">
        <f>'9'!G62</f>
        <v>142</v>
      </c>
      <c r="M7" s="91">
        <f>'10'!G62</f>
        <v>170</v>
      </c>
      <c r="N7" s="91">
        <f>'11'!G62</f>
        <v>181</v>
      </c>
      <c r="O7" s="91">
        <f>'12'!G62</f>
        <v>177</v>
      </c>
      <c r="P7" s="91">
        <f>'13'!G62</f>
        <v>177</v>
      </c>
      <c r="Q7" s="91">
        <f>'14'!G62</f>
        <v>170</v>
      </c>
      <c r="R7" s="91">
        <f>'15'!G62</f>
        <v>97</v>
      </c>
      <c r="S7" s="91">
        <f>'16'!G62</f>
        <v>146</v>
      </c>
      <c r="T7" s="91">
        <f>'17'!G62</f>
        <v>189</v>
      </c>
      <c r="U7" s="91">
        <f>'18 '!G62</f>
        <v>155</v>
      </c>
      <c r="V7" s="91">
        <f>'19'!G62</f>
        <v>-3652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103</v>
      </c>
      <c r="L8" s="91">
        <f>'9'!G63</f>
        <v>90</v>
      </c>
      <c r="M8" s="91">
        <f>'10'!G63</f>
        <v>129</v>
      </c>
      <c r="N8" s="91">
        <f>'11'!G63</f>
        <v>136</v>
      </c>
      <c r="O8" s="91">
        <f>'12'!G63</f>
        <v>182</v>
      </c>
      <c r="P8" s="91">
        <f>'13'!G63</f>
        <v>140</v>
      </c>
      <c r="Q8" s="91">
        <f>'14'!G63</f>
        <v>124</v>
      </c>
      <c r="R8" s="91">
        <f>'15'!G63</f>
        <v>87</v>
      </c>
      <c r="S8" s="91">
        <f>'16'!G63</f>
        <v>115</v>
      </c>
      <c r="T8" s="91">
        <f>'17'!G63</f>
        <v>118</v>
      </c>
      <c r="U8" s="91">
        <f>'18 '!G63</f>
        <v>133</v>
      </c>
      <c r="V8" s="91">
        <f>'19'!G63</f>
        <v>-3762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758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106</v>
      </c>
      <c r="L9" s="91">
        <f>'9'!G65</f>
        <v>103</v>
      </c>
      <c r="M9" s="91">
        <f>'10'!G65</f>
        <v>105</v>
      </c>
      <c r="N9" s="91">
        <f>'11'!G65</f>
        <v>104</v>
      </c>
      <c r="O9" s="91">
        <f>'12'!G65</f>
        <v>126</v>
      </c>
      <c r="P9" s="91">
        <f>'13'!G65</f>
        <v>112</v>
      </c>
      <c r="Q9" s="91">
        <f>'14'!G65</f>
        <v>135</v>
      </c>
      <c r="R9" s="91">
        <f>'15'!G65</f>
        <v>119</v>
      </c>
      <c r="S9" s="91">
        <f>'16'!G65</f>
        <v>89</v>
      </c>
      <c r="T9" s="91">
        <f>'17'!G65</f>
        <v>116</v>
      </c>
      <c r="U9" s="91">
        <f>'18 '!G65</f>
        <v>84</v>
      </c>
      <c r="V9" s="91">
        <f>'19'!G65</f>
        <v>-2832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758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19</v>
      </c>
      <c r="L10" s="91">
        <f>'9'!G66</f>
        <v>20</v>
      </c>
      <c r="M10" s="91">
        <f>'10'!G66</f>
        <v>20</v>
      </c>
      <c r="N10" s="91">
        <f>'11'!G66</f>
        <v>31</v>
      </c>
      <c r="O10" s="91">
        <f>'12'!G66</f>
        <v>28</v>
      </c>
      <c r="P10" s="91">
        <f>'13'!G66</f>
        <v>27</v>
      </c>
      <c r="Q10" s="91">
        <f>'14'!G66</f>
        <v>27</v>
      </c>
      <c r="R10" s="91">
        <f>'15'!G66</f>
        <v>31</v>
      </c>
      <c r="S10" s="91">
        <f>'16'!G66</f>
        <v>19</v>
      </c>
      <c r="T10" s="91">
        <f>'17'!G66</f>
        <v>19</v>
      </c>
      <c r="U10" s="91">
        <f>'18 '!G66</f>
        <v>19</v>
      </c>
      <c r="V10" s="91">
        <f>'19'!G66</f>
        <v>-653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758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16</v>
      </c>
      <c r="L11" s="91">
        <f>'9'!G67</f>
        <v>55</v>
      </c>
      <c r="M11" s="91">
        <f>'10'!G67</f>
        <v>65</v>
      </c>
      <c r="N11" s="91">
        <f>'11'!G67</f>
        <v>65</v>
      </c>
      <c r="O11" s="91">
        <f>'12'!G67</f>
        <v>66</v>
      </c>
      <c r="P11" s="91">
        <f>'13'!G67</f>
        <v>71</v>
      </c>
      <c r="Q11" s="91">
        <f>'14'!G67</f>
        <v>69</v>
      </c>
      <c r="R11" s="91">
        <f>'15'!G67</f>
        <v>71</v>
      </c>
      <c r="S11" s="91">
        <f>'16'!G67</f>
        <v>72</v>
      </c>
      <c r="T11" s="91">
        <f>'17'!G67</f>
        <v>86</v>
      </c>
      <c r="U11" s="91">
        <f>'18 '!G67</f>
        <v>75</v>
      </c>
      <c r="V11" s="91">
        <f>'19'!G67</f>
        <v>-1158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58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30</v>
      </c>
      <c r="L13" s="91">
        <f>'9'!G68</f>
        <v>37</v>
      </c>
      <c r="M13" s="91">
        <f>'10'!G68</f>
        <v>40</v>
      </c>
      <c r="N13" s="91">
        <f>'11'!G68</f>
        <v>53</v>
      </c>
      <c r="O13" s="91">
        <f>'12'!G68</f>
        <v>52</v>
      </c>
      <c r="P13" s="91">
        <f>'13'!G68</f>
        <v>32</v>
      </c>
      <c r="Q13" s="91">
        <f>'14'!G68</f>
        <v>34</v>
      </c>
      <c r="R13" s="91">
        <f>'15'!G68</f>
        <v>44</v>
      </c>
      <c r="S13" s="91">
        <f>'16'!G68</f>
        <v>43</v>
      </c>
      <c r="T13" s="91">
        <f>'17'!G68</f>
        <v>55</v>
      </c>
      <c r="U13" s="91">
        <f>'18 '!G68</f>
        <v>63</v>
      </c>
      <c r="V13" s="91">
        <f>'19'!G68</f>
        <v>-1294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758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10</v>
      </c>
      <c r="L14" s="91">
        <f>'9'!G69</f>
        <v>9</v>
      </c>
      <c r="M14" s="91">
        <f>'10'!G69</f>
        <v>18</v>
      </c>
      <c r="N14" s="91">
        <f>'11'!G69</f>
        <v>32</v>
      </c>
      <c r="O14" s="91">
        <f>'12'!G69</f>
        <v>14</v>
      </c>
      <c r="P14" s="91">
        <f>'13'!G69</f>
        <v>11</v>
      </c>
      <c r="Q14" s="91">
        <f>'14'!G69</f>
        <v>11</v>
      </c>
      <c r="R14" s="91">
        <f>'15'!G69</f>
        <v>26</v>
      </c>
      <c r="S14" s="91">
        <f>'16'!G69</f>
        <v>9</v>
      </c>
      <c r="T14" s="91">
        <f>'17'!G69</f>
        <v>13</v>
      </c>
      <c r="U14" s="91">
        <f>'18 '!G69</f>
        <v>6</v>
      </c>
      <c r="V14" s="91">
        <f>'19'!G69</f>
        <v>-381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758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33</v>
      </c>
      <c r="L15" s="91">
        <f>'9'!G70</f>
        <v>14</v>
      </c>
      <c r="M15" s="91">
        <f>'10'!G70</f>
        <v>8</v>
      </c>
      <c r="N15" s="91">
        <f>'11'!G70</f>
        <v>12</v>
      </c>
      <c r="O15" s="91">
        <f>'12'!G70</f>
        <v>5</v>
      </c>
      <c r="P15" s="91">
        <f>'13'!G70</f>
        <v>8</v>
      </c>
      <c r="Q15" s="91">
        <f>'14'!G70</f>
        <v>11</v>
      </c>
      <c r="R15" s="91">
        <f>'15'!G70</f>
        <v>15</v>
      </c>
      <c r="S15" s="91">
        <f>'16'!G70</f>
        <v>9</v>
      </c>
      <c r="T15" s="91">
        <f>'17'!G70</f>
        <v>14</v>
      </c>
      <c r="U15" s="91">
        <f>'18 '!G70</f>
        <v>12</v>
      </c>
      <c r="V15" s="91">
        <f>'19'!G70</f>
        <v>-336.89999999999964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58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5</v>
      </c>
      <c r="M17" s="91">
        <f>'10'!G173</f>
        <v>1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33</v>
      </c>
      <c r="S17" s="91">
        <f>'16'!G173</f>
        <v>0</v>
      </c>
      <c r="T17" s="91">
        <f>'17'!G173</f>
        <v>18</v>
      </c>
      <c r="U17" s="91">
        <f>'18 '!G173</f>
        <v>0</v>
      </c>
      <c r="V17" s="91">
        <f>'19'!G173</f>
        <v>-57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58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17</v>
      </c>
      <c r="L18" s="91">
        <f>'9'!G174</f>
        <v>12</v>
      </c>
      <c r="M18" s="91">
        <f>'10'!G174</f>
        <v>14</v>
      </c>
      <c r="N18" s="91">
        <f>'11'!G174</f>
        <v>12</v>
      </c>
      <c r="O18" s="91">
        <f>'12'!G174</f>
        <v>17</v>
      </c>
      <c r="P18" s="91">
        <f>'13'!G174</f>
        <v>12</v>
      </c>
      <c r="Q18" s="91">
        <f>'14'!G174</f>
        <v>16</v>
      </c>
      <c r="R18" s="91">
        <f>'15'!G174</f>
        <v>16</v>
      </c>
      <c r="S18" s="91">
        <f>'16'!G174</f>
        <v>14</v>
      </c>
      <c r="T18" s="91">
        <f>'17'!G174</f>
        <v>12</v>
      </c>
      <c r="U18" s="91">
        <f>'18 '!G174</f>
        <v>16</v>
      </c>
      <c r="V18" s="91">
        <f>'19'!G174</f>
        <v>-398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758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12</v>
      </c>
      <c r="L19" s="91">
        <f>'9'!G175</f>
        <v>12</v>
      </c>
      <c r="M19" s="91">
        <f>'10'!G175</f>
        <v>12</v>
      </c>
      <c r="N19" s="91">
        <f>'11'!G175</f>
        <v>12</v>
      </c>
      <c r="O19" s="91">
        <f>'12'!G175</f>
        <v>14</v>
      </c>
      <c r="P19" s="91">
        <f>'13'!G175</f>
        <v>13</v>
      </c>
      <c r="Q19" s="91">
        <f>'14'!G175</f>
        <v>14</v>
      </c>
      <c r="R19" s="91">
        <f>'15'!G175</f>
        <v>13</v>
      </c>
      <c r="S19" s="91">
        <f>'16'!G175</f>
        <v>14</v>
      </c>
      <c r="T19" s="91">
        <f>'17'!G175</f>
        <v>11</v>
      </c>
      <c r="U19" s="91">
        <f>'18 '!G175</f>
        <v>13</v>
      </c>
      <c r="V19" s="91">
        <f>'19'!G175</f>
        <v>-331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58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46</v>
      </c>
      <c r="L21" s="91">
        <f>'9'!G178</f>
        <v>38</v>
      </c>
      <c r="M21" s="91">
        <f>'10'!G178</f>
        <v>47</v>
      </c>
      <c r="N21" s="91">
        <f>'11'!G178</f>
        <v>30</v>
      </c>
      <c r="O21" s="91">
        <f>'12'!G178</f>
        <v>95</v>
      </c>
      <c r="P21" s="91">
        <f>'13'!G178</f>
        <v>42</v>
      </c>
      <c r="Q21" s="91">
        <f>'14'!G178</f>
        <v>64</v>
      </c>
      <c r="R21" s="91">
        <f>'15'!G178</f>
        <v>64</v>
      </c>
      <c r="S21" s="91">
        <f>'16'!G178</f>
        <v>58</v>
      </c>
      <c r="T21" s="91">
        <f>'17'!G178</f>
        <v>67</v>
      </c>
      <c r="U21" s="91">
        <f>'18 '!G178</f>
        <v>66</v>
      </c>
      <c r="V21" s="91">
        <f>'19'!G178</f>
        <v>-1646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758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25</v>
      </c>
      <c r="L22" s="91">
        <f>'9'!G179</f>
        <v>35</v>
      </c>
      <c r="M22" s="91">
        <f>'10'!G179</f>
        <v>0</v>
      </c>
      <c r="N22" s="91">
        <f>'11'!G179</f>
        <v>24</v>
      </c>
      <c r="O22" s="91">
        <f>'12'!G179</f>
        <v>20</v>
      </c>
      <c r="P22" s="91">
        <f>'13'!G179</f>
        <v>31</v>
      </c>
      <c r="Q22" s="91">
        <f>'14'!G179</f>
        <v>3</v>
      </c>
      <c r="R22" s="91">
        <f>'15'!G179</f>
        <v>32</v>
      </c>
      <c r="S22" s="91">
        <f>'16'!G179</f>
        <v>33</v>
      </c>
      <c r="T22" s="91">
        <f>'17'!G179</f>
        <v>0</v>
      </c>
      <c r="U22" s="91">
        <f>'18 '!G179</f>
        <v>13</v>
      </c>
      <c r="V22" s="91">
        <f>'19'!G179</f>
        <v>-953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758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17</v>
      </c>
      <c r="L23" s="91">
        <f>'9'!G180</f>
        <v>5</v>
      </c>
      <c r="M23" s="91">
        <f>'10'!G180</f>
        <v>0</v>
      </c>
      <c r="N23" s="91">
        <f>'11'!G180</f>
        <v>2</v>
      </c>
      <c r="O23" s="91">
        <f>'12'!G180</f>
        <v>10</v>
      </c>
      <c r="P23" s="91">
        <f>'13'!G180</f>
        <v>0</v>
      </c>
      <c r="Q23" s="91">
        <f>'14'!G180</f>
        <v>12</v>
      </c>
      <c r="R23" s="91">
        <f>'15'!G180</f>
        <v>6</v>
      </c>
      <c r="S23" s="91">
        <f>'16'!G180</f>
        <v>1</v>
      </c>
      <c r="T23" s="91">
        <f>'17'!G180</f>
        <v>0</v>
      </c>
      <c r="U23" s="91">
        <f>'18 '!G180</f>
        <v>5</v>
      </c>
      <c r="V23" s="91">
        <f>'19'!G180</f>
        <v>-195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232</v>
      </c>
      <c r="L24" s="91">
        <f t="shared" si="0"/>
        <v>256</v>
      </c>
      <c r="M24" s="91">
        <f t="shared" si="0"/>
        <v>317</v>
      </c>
      <c r="N24" s="91">
        <f t="shared" si="0"/>
        <v>316</v>
      </c>
      <c r="O24" s="91">
        <f t="shared" si="0"/>
        <v>339</v>
      </c>
      <c r="P24" s="91">
        <f t="shared" si="0"/>
        <v>296</v>
      </c>
      <c r="Q24" s="91">
        <f t="shared" si="0"/>
        <v>296</v>
      </c>
      <c r="R24" s="91">
        <f t="shared" si="0"/>
        <v>316</v>
      </c>
      <c r="S24" s="91">
        <f t="shared" si="0"/>
        <v>298</v>
      </c>
      <c r="T24" s="91">
        <f t="shared" si="0"/>
        <v>306</v>
      </c>
      <c r="U24" s="91">
        <f t="shared" si="0"/>
        <v>298</v>
      </c>
      <c r="V24" s="91">
        <f t="shared" si="0"/>
        <v>-1518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184</v>
      </c>
      <c r="L25" s="91">
        <f t="shared" si="1"/>
        <v>201</v>
      </c>
      <c r="M25" s="91">
        <f t="shared" si="1"/>
        <v>216</v>
      </c>
      <c r="N25" s="91">
        <f t="shared" si="1"/>
        <v>244</v>
      </c>
      <c r="O25" s="91">
        <f t="shared" si="1"/>
        <v>239</v>
      </c>
      <c r="P25" s="91">
        <f t="shared" si="1"/>
        <v>229</v>
      </c>
      <c r="Q25" s="91">
        <f t="shared" si="1"/>
        <v>253</v>
      </c>
      <c r="R25" s="91">
        <f t="shared" si="1"/>
        <v>262</v>
      </c>
      <c r="S25" s="91">
        <f t="shared" si="1"/>
        <v>198</v>
      </c>
      <c r="T25" s="91">
        <f>SUM(T9:T11,T14:T15,)</f>
        <v>248</v>
      </c>
      <c r="U25" s="91">
        <f t="shared" si="1"/>
        <v>196</v>
      </c>
      <c r="V25" s="91">
        <f t="shared" si="1"/>
        <v>-5360.9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93</v>
      </c>
      <c r="L27" s="91">
        <f t="shared" si="2"/>
        <v>80</v>
      </c>
      <c r="M27" s="91">
        <f t="shared" si="2"/>
        <v>87</v>
      </c>
      <c r="N27" s="91">
        <f t="shared" si="2"/>
        <v>85</v>
      </c>
      <c r="O27" s="91">
        <f t="shared" si="2"/>
        <v>157</v>
      </c>
      <c r="P27" s="91">
        <f t="shared" si="2"/>
        <v>74</v>
      </c>
      <c r="Q27" s="91">
        <f t="shared" si="2"/>
        <v>110</v>
      </c>
      <c r="R27" s="91">
        <f t="shared" si="2"/>
        <v>114</v>
      </c>
      <c r="S27" s="91">
        <f t="shared" si="2"/>
        <v>102</v>
      </c>
      <c r="T27" s="91">
        <f t="shared" si="2"/>
        <v>122</v>
      </c>
      <c r="U27" s="91">
        <f t="shared" si="2"/>
        <v>134</v>
      </c>
      <c r="V27" s="91">
        <f t="shared" si="2"/>
        <v>-3135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106</v>
      </c>
      <c r="L29" s="249">
        <f t="shared" si="4"/>
        <v>103</v>
      </c>
      <c r="M29" s="249">
        <f t="shared" si="4"/>
        <v>105</v>
      </c>
      <c r="N29" s="249">
        <f t="shared" si="4"/>
        <v>104</v>
      </c>
      <c r="O29" s="249">
        <f t="shared" si="4"/>
        <v>126</v>
      </c>
      <c r="P29" s="249">
        <f t="shared" si="4"/>
        <v>112</v>
      </c>
      <c r="Q29" s="249">
        <f t="shared" si="4"/>
        <v>135</v>
      </c>
      <c r="R29" s="249">
        <f t="shared" si="4"/>
        <v>119</v>
      </c>
      <c r="S29" s="249">
        <f t="shared" si="4"/>
        <v>89</v>
      </c>
      <c r="T29" s="249">
        <f t="shared" si="4"/>
        <v>116</v>
      </c>
      <c r="U29" s="249">
        <f t="shared" si="4"/>
        <v>84</v>
      </c>
      <c r="V29" s="249">
        <f t="shared" si="4"/>
        <v>-2832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78</v>
      </c>
      <c r="L30" s="249">
        <f t="shared" si="5"/>
        <v>98</v>
      </c>
      <c r="M30" s="249">
        <f t="shared" si="5"/>
        <v>111</v>
      </c>
      <c r="N30" s="249">
        <f t="shared" si="5"/>
        <v>140</v>
      </c>
      <c r="O30" s="249">
        <f t="shared" si="5"/>
        <v>113</v>
      </c>
      <c r="P30" s="249">
        <f t="shared" si="5"/>
        <v>117</v>
      </c>
      <c r="Q30" s="249">
        <f t="shared" si="5"/>
        <v>118</v>
      </c>
      <c r="R30" s="249">
        <f t="shared" si="5"/>
        <v>143</v>
      </c>
      <c r="S30" s="249">
        <f t="shared" si="5"/>
        <v>109</v>
      </c>
      <c r="T30" s="249">
        <f t="shared" si="5"/>
        <v>132</v>
      </c>
      <c r="U30" s="249">
        <f t="shared" si="5"/>
        <v>112</v>
      </c>
      <c r="V30" s="249">
        <f t="shared" si="5"/>
        <v>-2528.8999999999996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42.391304347826086</v>
      </c>
      <c r="L31" s="248">
        <f t="shared" si="6"/>
        <v>48.756218905472643</v>
      </c>
      <c r="M31" s="248">
        <f t="shared" si="6"/>
        <v>51.388888888888886</v>
      </c>
      <c r="N31" s="248">
        <f t="shared" si="6"/>
        <v>57.377049180327873</v>
      </c>
      <c r="O31" s="248">
        <f t="shared" si="6"/>
        <v>47.280334728033473</v>
      </c>
      <c r="P31" s="248">
        <f t="shared" si="6"/>
        <v>51.091703056768559</v>
      </c>
      <c r="Q31" s="248">
        <f t="shared" si="6"/>
        <v>46.640316205533601</v>
      </c>
      <c r="R31" s="248">
        <f t="shared" si="6"/>
        <v>54.580152671755719</v>
      </c>
      <c r="S31" s="248">
        <f t="shared" si="6"/>
        <v>55.050505050505052</v>
      </c>
      <c r="T31" s="248">
        <f t="shared" si="6"/>
        <v>53.225806451612904</v>
      </c>
      <c r="U31" s="248">
        <f t="shared" si="6"/>
        <v>57.142857142857146</v>
      </c>
      <c r="V31" s="248">
        <f t="shared" si="6"/>
        <v>47.173049301423269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22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62" t="s">
        <v>308</v>
      </c>
      <c r="G2" s="763"/>
      <c r="H2" s="763"/>
      <c r="I2" s="763"/>
      <c r="J2" s="763"/>
      <c r="K2" s="763"/>
      <c r="L2" s="763"/>
      <c r="M2" s="764"/>
      <c r="N2" s="761" t="s">
        <v>86</v>
      </c>
      <c r="O2" s="761"/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761"/>
      <c r="AB2" s="761"/>
      <c r="AC2" s="761"/>
      <c r="AD2" s="761"/>
      <c r="AE2" s="761"/>
      <c r="AF2" s="761"/>
      <c r="AG2" s="761"/>
      <c r="AH2" s="761"/>
      <c r="AI2" s="761"/>
      <c r="AJ2" s="761"/>
      <c r="AK2" s="761"/>
      <c r="AL2" s="761"/>
      <c r="AM2" s="761"/>
      <c r="AN2" s="760"/>
      <c r="AO2" s="760"/>
      <c r="AP2" s="760"/>
      <c r="AQ2" s="760"/>
      <c r="AR2" s="760"/>
      <c r="AS2" s="760"/>
      <c r="AT2" s="760"/>
      <c r="AU2" s="634"/>
      <c r="AV2" s="759" t="s">
        <v>87</v>
      </c>
      <c r="AW2" s="759"/>
      <c r="AX2" s="759"/>
      <c r="AY2" s="759"/>
      <c r="BB2" s="318" t="s">
        <v>334</v>
      </c>
      <c r="BC2" s="318" t="s">
        <v>335</v>
      </c>
    </row>
    <row r="3" spans="1:55" x14ac:dyDescent="0.2">
      <c r="F3" s="636"/>
      <c r="G3" s="637"/>
      <c r="H3" s="637"/>
      <c r="I3" s="637"/>
      <c r="J3" s="637"/>
      <c r="K3" s="637"/>
      <c r="L3" s="637"/>
      <c r="M3" s="638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5"/>
      <c r="AN3" s="765" t="s">
        <v>138</v>
      </c>
      <c r="AO3" s="765"/>
      <c r="AP3" s="765"/>
      <c r="AQ3" s="765"/>
      <c r="AR3" s="765"/>
      <c r="AS3" s="765"/>
      <c r="AT3" s="765"/>
      <c r="AU3" s="766" t="s">
        <v>283</v>
      </c>
      <c r="AV3" s="766"/>
      <c r="AW3" s="766"/>
      <c r="AX3" s="766"/>
      <c r="AY3" s="766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39" t="s">
        <v>284</v>
      </c>
      <c r="G4" s="640" t="s">
        <v>285</v>
      </c>
      <c r="H4" s="640" t="s">
        <v>286</v>
      </c>
      <c r="I4" s="640" t="s">
        <v>287</v>
      </c>
      <c r="J4" s="640" t="s">
        <v>282</v>
      </c>
      <c r="K4" s="640" t="s">
        <v>51</v>
      </c>
      <c r="L4" s="641" t="s">
        <v>60</v>
      </c>
      <c r="M4" s="64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2">
        <f>'1'!G7</f>
        <v>17264.770000000019</v>
      </c>
      <c r="C5" s="642">
        <f>'1'!G8</f>
        <v>17458.849999999977</v>
      </c>
      <c r="D5" s="642">
        <f>'1'!G15</f>
        <v>918.55799999996088</v>
      </c>
      <c r="E5" s="642">
        <f>'1'!G20</f>
        <v>235</v>
      </c>
      <c r="F5" s="642">
        <f>SUM('1'!G35,'1'!G49)</f>
        <v>2185.1000000000022</v>
      </c>
      <c r="G5" s="642">
        <f>SUM('1'!H37,'1'!H51)</f>
        <v>1554.1100000000006</v>
      </c>
      <c r="H5" s="642">
        <f>SUM('1'!G38,'1'!G52)</f>
        <v>1620.2699999999968</v>
      </c>
      <c r="I5" s="642">
        <f>SUM('1'!G39,'1'!G53)</f>
        <v>2609.5899999999965</v>
      </c>
      <c r="J5" s="642">
        <f>SUM('1'!G41,'1'!G42,'1'!G55,'1'!G56)</f>
        <v>3987.7899999999936</v>
      </c>
      <c r="K5" s="642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 x14ac:dyDescent="0.2">
      <c r="A6" s="359">
        <v>2</v>
      </c>
      <c r="B6" s="642">
        <f>'2'!G7</f>
        <v>18049</v>
      </c>
      <c r="C6" s="642">
        <f>'2'!G8</f>
        <v>18338</v>
      </c>
      <c r="D6" s="642">
        <f>'2'!G15</f>
        <v>983.14500000001863</v>
      </c>
      <c r="E6" s="642">
        <f>'2'!G20</f>
        <v>183</v>
      </c>
      <c r="F6" s="642">
        <f>SUM('2'!G35,'2'!G49)</f>
        <v>2435.0399999999972</v>
      </c>
      <c r="G6" s="642">
        <f>SUM('2'!G37,'2'!G51)</f>
        <v>1547.1000000000058</v>
      </c>
      <c r="H6" s="642">
        <f>SUM('2'!G38,'2'!G52)</f>
        <v>1758.7900000000009</v>
      </c>
      <c r="I6" s="642">
        <f>SUM('2'!G39,'2'!G53)</f>
        <v>2628.2200000000012</v>
      </c>
      <c r="J6" s="642">
        <f>SUM('2'!G41,'2'!G42,'2'!G55,'2'!G56)</f>
        <v>3469.6100000000006</v>
      </c>
      <c r="K6" s="642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 x14ac:dyDescent="0.2">
      <c r="A7" s="359">
        <v>3</v>
      </c>
      <c r="B7" s="642">
        <f>'3'!G7</f>
        <v>19083</v>
      </c>
      <c r="C7" s="642">
        <f>'3'!G8</f>
        <v>19219</v>
      </c>
      <c r="D7" s="642">
        <f>'3'!G15</f>
        <v>1012.3479999999981</v>
      </c>
      <c r="E7" s="642">
        <f>'3'!G20</f>
        <v>233</v>
      </c>
      <c r="F7" s="642">
        <f>SUM('3'!G35,'3'!G49)</f>
        <v>2503.1700000000019</v>
      </c>
      <c r="G7" s="642">
        <f>SUM('3'!G37,'3'!G51)</f>
        <v>1552.1100000000006</v>
      </c>
      <c r="H7" s="642">
        <f>SUM('3'!G38,'3'!G52)</f>
        <v>1668.1500000000015</v>
      </c>
      <c r="I7" s="642">
        <f>SUM('3'!G39,'3'!G53)</f>
        <v>2641.8299999999945</v>
      </c>
      <c r="J7" s="642">
        <f>SUM('3'!G41,'3'!G42,'3'!G55,'3'!G56)</f>
        <v>3484.5699999999943</v>
      </c>
      <c r="K7" s="642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 x14ac:dyDescent="0.2">
      <c r="A8" s="359">
        <v>4</v>
      </c>
      <c r="B8" s="642">
        <f>'4'!G7</f>
        <v>18470.589999999967</v>
      </c>
      <c r="C8" s="642">
        <f>'4'!G8</f>
        <v>18612.709999999963</v>
      </c>
      <c r="D8" s="642">
        <f>'4'!G15</f>
        <v>997.95200000004843</v>
      </c>
      <c r="E8" s="642">
        <f>'4'!G20</f>
        <v>261</v>
      </c>
      <c r="F8" s="642">
        <f>SUM('4'!G35,'4'!G49)</f>
        <v>2682.8700000000026</v>
      </c>
      <c r="G8" s="642">
        <f>SUM('4'!G37,'4'!G51)</f>
        <v>1614.0999999999985</v>
      </c>
      <c r="H8" s="642">
        <f>SUM('4'!G38,'4'!G52)</f>
        <v>1858.4700000000012</v>
      </c>
      <c r="I8" s="642">
        <f>SUM('4'!G39,'4'!G53)</f>
        <v>2666.7100000000064</v>
      </c>
      <c r="J8" s="642">
        <f>SUM('4'!G41,'4'!G42,'4'!G55,'4'!G56)</f>
        <v>2816.8300000000017</v>
      </c>
      <c r="K8" s="642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 x14ac:dyDescent="0.2">
      <c r="A9" s="359">
        <v>5</v>
      </c>
      <c r="B9" s="642">
        <f>'5'!G7</f>
        <v>20600.080000000075</v>
      </c>
      <c r="C9" s="642">
        <f>'5'!G8</f>
        <v>20830.960000000079</v>
      </c>
      <c r="D9" s="642">
        <f>'5'!G15</f>
        <v>1047.8699999998789</v>
      </c>
      <c r="E9" s="642">
        <f>'5'!G20</f>
        <v>294</v>
      </c>
      <c r="F9" s="642">
        <f>SUM('5'!G35,'5'!G49)</f>
        <v>2888.9999999999964</v>
      </c>
      <c r="G9" s="642">
        <f>SUM('5'!G37,'5'!G51)</f>
        <v>1683.9199999999983</v>
      </c>
      <c r="H9" s="642">
        <f>SUM('5'!G38,'5'!G52)</f>
        <v>1939.4400000000023</v>
      </c>
      <c r="I9" s="642">
        <f>SUM('5'!G39,'5'!G53)</f>
        <v>2758.0200000000041</v>
      </c>
      <c r="J9" s="642">
        <f>SUM('5'!G41,'5'!G42,'5'!G55,'5'!G56)</f>
        <v>3196.3899999999994</v>
      </c>
      <c r="K9" s="642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 x14ac:dyDescent="0.2">
      <c r="A10" s="359">
        <v>6</v>
      </c>
      <c r="B10" s="642">
        <f>'6'!G7</f>
        <v>20386.880000000005</v>
      </c>
      <c r="C10" s="642">
        <f>'6'!G8</f>
        <v>20612</v>
      </c>
      <c r="D10" s="642">
        <f>'6'!G15</f>
        <v>1049.5</v>
      </c>
      <c r="E10" s="642">
        <f>'6'!G20</f>
        <v>275</v>
      </c>
      <c r="F10" s="642">
        <f>SUM('6'!G35,'6'!G49)</f>
        <v>3019.2900000000009</v>
      </c>
      <c r="G10" s="642">
        <f>SUM('6'!G37,'6'!G51)</f>
        <v>1645.6599999999962</v>
      </c>
      <c r="H10" s="642">
        <f>SUM('6'!G38,'6'!G52)</f>
        <v>1915.0299999999988</v>
      </c>
      <c r="I10" s="642">
        <f>SUM('6'!G39,'6'!G53)</f>
        <v>2776.5599999999977</v>
      </c>
      <c r="J10" s="642">
        <f>SUM('6'!G41,'6'!G42,'6'!G55,'6'!G56)</f>
        <v>3426.9199999999983</v>
      </c>
      <c r="K10" s="642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 x14ac:dyDescent="0.2">
      <c r="A11" s="359">
        <v>7</v>
      </c>
      <c r="B11" s="642">
        <f>'7'!G7</f>
        <v>21554.719999999972</v>
      </c>
      <c r="C11" s="642">
        <f>'7'!G8</f>
        <v>21704.239999999991</v>
      </c>
      <c r="D11" s="642">
        <f>'7'!G15</f>
        <v>1030.6800000001676</v>
      </c>
      <c r="E11" s="642">
        <f>'7'!G20</f>
        <v>242</v>
      </c>
      <c r="F11" s="642">
        <f>SUM('7'!G35,'7'!G49)</f>
        <v>3100.3399999999965</v>
      </c>
      <c r="G11" s="642">
        <f>SUM('7'!G37,'7'!G51)</f>
        <v>1658.8400000000038</v>
      </c>
      <c r="H11" s="642">
        <f>SUM('7'!G38,'7'!G52)</f>
        <v>2017.739999999998</v>
      </c>
      <c r="I11" s="642">
        <f>SUM('7'!G39,'7'!G53)</f>
        <v>3066.4900000000052</v>
      </c>
      <c r="J11" s="642">
        <f>SUM('7'!G41,'7'!G42,'7'!G55,'7'!G56)</f>
        <v>4458.75</v>
      </c>
      <c r="K11" s="642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 x14ac:dyDescent="0.2">
      <c r="A12" s="359">
        <v>8</v>
      </c>
      <c r="B12" s="642">
        <f>'8'!G7</f>
        <v>19667.729999999981</v>
      </c>
      <c r="C12" s="642">
        <f>'8'!G8</f>
        <v>19730.089999999967</v>
      </c>
      <c r="D12" s="642">
        <f>'8'!G15</f>
        <v>1052.1799999999348</v>
      </c>
      <c r="E12" s="642">
        <f>'8'!G20</f>
        <v>232</v>
      </c>
      <c r="F12" s="642">
        <f>SUM('8'!G35,'8'!G49)</f>
        <v>3021.0200000000041</v>
      </c>
      <c r="G12" s="642">
        <f>SUM('8'!G37,'8'!G51)</f>
        <v>1609.0699999999997</v>
      </c>
      <c r="H12" s="642">
        <f>SUM('8'!G38,'8'!G52)</f>
        <v>1914.6800000000003</v>
      </c>
      <c r="I12" s="642">
        <f>SUM('8'!G39,'8'!G53)</f>
        <v>2923.2899999999936</v>
      </c>
      <c r="J12" s="642">
        <f>SUM('8'!G41,'8'!G42,'8'!G55,'8'!G56)</f>
        <v>4082.4900000000066</v>
      </c>
      <c r="K12" s="642">
        <f>SUM('8'!G43,'8'!G57)</f>
        <v>2123.6699999999983</v>
      </c>
      <c r="L12" s="254">
        <f>'8'!G50</f>
        <v>1131.1399999999994</v>
      </c>
      <c r="M12" s="254">
        <f>'8'!G36</f>
        <v>799.44000000000233</v>
      </c>
      <c r="N12" s="254">
        <f>'8'!G138</f>
        <v>70</v>
      </c>
      <c r="O12" s="254">
        <f>'8'!$G$139</f>
        <v>1</v>
      </c>
      <c r="P12" s="254">
        <f>'8'!$G$140</f>
        <v>2</v>
      </c>
      <c r="Q12" s="254">
        <f>'8'!$G$141</f>
        <v>169.13999999999942</v>
      </c>
      <c r="R12" s="254">
        <f>'8'!$G$142</f>
        <v>66.200000000000728</v>
      </c>
      <c r="S12" s="254">
        <f>'8'!$G$145</f>
        <v>14.149999999999636</v>
      </c>
      <c r="T12" s="251">
        <f>'8'!$G$146</f>
        <v>405</v>
      </c>
      <c r="U12" s="251">
        <f>'8'!$G$144</f>
        <v>208</v>
      </c>
      <c r="V12" s="251">
        <f>'8'!$G$147</f>
        <v>426.56000000005588</v>
      </c>
      <c r="W12" s="251">
        <f>'8'!$G$148</f>
        <v>300.23999999999069</v>
      </c>
      <c r="X12" s="251">
        <f>'8'!$G$143</f>
        <v>31</v>
      </c>
      <c r="Y12" s="251">
        <f>'8'!$G$58</f>
        <v>202.01000000000022</v>
      </c>
      <c r="Z12" s="251">
        <f>'8'!$G$151</f>
        <v>233</v>
      </c>
      <c r="AA12" s="251">
        <f>'8'!G161</f>
        <v>44.559999999997672</v>
      </c>
      <c r="AB12" s="251">
        <f>'8'!G162</f>
        <v>42.30000000000291</v>
      </c>
      <c r="AC12" s="251"/>
      <c r="AD12" s="251">
        <f>'8'!G163+'8'!G164</f>
        <v>46.299999999993815</v>
      </c>
      <c r="AE12" s="254">
        <f>'8'!$G$116</f>
        <v>290.83000000000004</v>
      </c>
      <c r="AF12" s="254">
        <f>'8'!$G$117</f>
        <v>177.53999999999996</v>
      </c>
      <c r="AG12" s="254">
        <f>'8'!$G$118</f>
        <v>372.45000000001164</v>
      </c>
      <c r="AH12" s="254">
        <f>'8'!$G$119</f>
        <v>401.92999999999302</v>
      </c>
      <c r="AI12" s="254">
        <f>'8'!$G$120</f>
        <v>424.23999999999796</v>
      </c>
      <c r="AJ12" s="254">
        <f>'8'!$G$121</f>
        <v>705.92999999999302</v>
      </c>
      <c r="AK12" s="254">
        <f>'8'!$G$122</f>
        <v>206.63000000000466</v>
      </c>
      <c r="AL12" s="254">
        <f>'8'!$G$123</f>
        <v>252.23000000001048</v>
      </c>
      <c r="AM12" s="254">
        <f>'8'!$G$133</f>
        <v>647.32000000000698</v>
      </c>
      <c r="AN12" s="254">
        <f>'8'!$G$15</f>
        <v>1052.1799999999348</v>
      </c>
      <c r="AO12" s="256">
        <f>'8'!$G$74</f>
        <v>302.52000000001863</v>
      </c>
      <c r="AP12" s="256">
        <f>'8'!$G$75</f>
        <v>0</v>
      </c>
      <c r="AQ12" s="256">
        <f>'8'!$G$76</f>
        <v>110.60000000000582</v>
      </c>
      <c r="AR12" s="256">
        <f>'8'!$G$77</f>
        <v>50.400000000001455</v>
      </c>
      <c r="AS12" s="256">
        <f>'8'!$G$78</f>
        <v>1</v>
      </c>
      <c r="AT12" s="256">
        <f t="shared" si="0"/>
        <v>587.65999999990891</v>
      </c>
      <c r="AU12" s="254">
        <f>SUM('8'!G91:G92)</f>
        <v>11.100000000000364</v>
      </c>
      <c r="AV12" s="254">
        <f>'8'!$G$88</f>
        <v>-0.43000000000029104</v>
      </c>
      <c r="AW12" s="254">
        <f>'8'!$G$89</f>
        <v>10.630000000001019</v>
      </c>
      <c r="AX12" s="254">
        <f>'8'!$G$90</f>
        <v>3.0800000000017462</v>
      </c>
      <c r="AY12" s="252">
        <f t="shared" si="1"/>
        <v>13.280000000002474</v>
      </c>
      <c r="AZ12" s="311">
        <f t="shared" si="6"/>
        <v>27.254054054054841</v>
      </c>
      <c r="BA12" s="311">
        <f t="shared" si="3"/>
        <v>44.25150602408128</v>
      </c>
      <c r="BB12" s="351">
        <f t="shared" si="4"/>
        <v>3853.8599999999642</v>
      </c>
      <c r="BC12" s="351">
        <f t="shared" si="5"/>
        <v>19.594838855322745</v>
      </c>
    </row>
    <row r="13" spans="1:55" x14ac:dyDescent="0.2">
      <c r="A13" s="359">
        <v>9</v>
      </c>
      <c r="B13" s="642">
        <f>'9'!G7</f>
        <v>19382</v>
      </c>
      <c r="C13" s="642">
        <f>'9'!G8</f>
        <v>19467</v>
      </c>
      <c r="D13" s="642">
        <f>'9'!G15</f>
        <v>1070</v>
      </c>
      <c r="E13" s="642">
        <f>'9'!G20</f>
        <v>256</v>
      </c>
      <c r="F13" s="642">
        <f>SUM('9'!G35,'9'!G49)</f>
        <v>2906</v>
      </c>
      <c r="G13" s="642">
        <f>SUM('9'!G37,'9'!G51)</f>
        <v>1638</v>
      </c>
      <c r="H13" s="642">
        <f>SUM('9'!G38,'9'!G52)</f>
        <v>1923</v>
      </c>
      <c r="I13" s="642">
        <f>SUM('9'!G39,'9'!G53)</f>
        <v>3001</v>
      </c>
      <c r="J13" s="642">
        <f>SUM('9'!G41,'9'!G42,'9'!G55,'9'!G56)</f>
        <v>3894.5299999999988</v>
      </c>
      <c r="K13" s="642">
        <f>SUM('9'!G43,'9'!G57)</f>
        <v>2087</v>
      </c>
      <c r="L13" s="254">
        <f>'9'!G50</f>
        <v>1118</v>
      </c>
      <c r="M13" s="254">
        <f>'9'!G36</f>
        <v>779</v>
      </c>
      <c r="N13" s="254">
        <f>'9'!G138</f>
        <v>79</v>
      </c>
      <c r="O13" s="254">
        <f>'9'!$G$139</f>
        <v>2</v>
      </c>
      <c r="P13" s="254">
        <f>'9'!$G$140</f>
        <v>1</v>
      </c>
      <c r="Q13" s="254">
        <f>'9'!$G$141</f>
        <v>180</v>
      </c>
      <c r="R13" s="254">
        <f>'9'!$G$142</f>
        <v>71</v>
      </c>
      <c r="S13" s="254">
        <f>'9'!$G$145</f>
        <v>14</v>
      </c>
      <c r="T13" s="251">
        <f>'9'!$G$146</f>
        <v>408</v>
      </c>
      <c r="U13" s="251">
        <f>'9'!$G$144</f>
        <v>213</v>
      </c>
      <c r="V13" s="251">
        <f>'9'!$G$147</f>
        <v>388</v>
      </c>
      <c r="W13" s="251">
        <f>'9'!$G$148</f>
        <v>244</v>
      </c>
      <c r="X13" s="251">
        <f>'9'!$G$143</f>
        <v>26</v>
      </c>
      <c r="Y13" s="251">
        <f>'9'!$G$58</f>
        <v>285</v>
      </c>
      <c r="Z13" s="251">
        <f>'9'!$G$151</f>
        <v>218</v>
      </c>
      <c r="AA13" s="251">
        <f>'9'!G161</f>
        <v>18</v>
      </c>
      <c r="AB13" s="251">
        <f>'9'!G162</f>
        <v>38</v>
      </c>
      <c r="AC13" s="251"/>
      <c r="AD13" s="251">
        <f>'9'!G163+'9'!G164</f>
        <v>72</v>
      </c>
      <c r="AE13" s="254">
        <f>'9'!$G$116</f>
        <v>290</v>
      </c>
      <c r="AF13" s="254">
        <f>'9'!$G$117</f>
        <v>216</v>
      </c>
      <c r="AG13" s="254">
        <f>'9'!$G$118</f>
        <v>383</v>
      </c>
      <c r="AH13" s="254">
        <f>'9'!$G$119</f>
        <v>435</v>
      </c>
      <c r="AI13" s="254">
        <f>'9'!$G$120</f>
        <v>443</v>
      </c>
      <c r="AJ13" s="254">
        <f>'9'!$G$121</f>
        <v>741</v>
      </c>
      <c r="AK13" s="254">
        <f>'9'!$G$122</f>
        <v>263</v>
      </c>
      <c r="AL13" s="254">
        <f>'9'!$G$123</f>
        <v>254</v>
      </c>
      <c r="AM13" s="254">
        <f>'9'!$G$133</f>
        <v>658</v>
      </c>
      <c r="AN13" s="254">
        <f>'9'!$G$15</f>
        <v>1070</v>
      </c>
      <c r="AO13" s="256">
        <f>'9'!$G$74</f>
        <v>301</v>
      </c>
      <c r="AP13" s="256">
        <f>'9'!$G$75</f>
        <v>0.19999999999708962</v>
      </c>
      <c r="AQ13" s="256">
        <f>'9'!$G$76</f>
        <v>107</v>
      </c>
      <c r="AR13" s="256">
        <f>'9'!$G$77</f>
        <v>43</v>
      </c>
      <c r="AS13" s="256">
        <f>'9'!$G$78</f>
        <v>1</v>
      </c>
      <c r="AT13" s="256">
        <f t="shared" si="0"/>
        <v>617.80000000000291</v>
      </c>
      <c r="AU13" s="254">
        <f>SUM('9'!G91:G92)</f>
        <v>11.150000000000091</v>
      </c>
      <c r="AV13" s="254">
        <f>'9'!$G$88</f>
        <v>0</v>
      </c>
      <c r="AW13" s="254">
        <f>'9'!$G$89</f>
        <v>11.430000000000291</v>
      </c>
      <c r="AX13" s="254">
        <f>'9'!$G$90</f>
        <v>3</v>
      </c>
      <c r="AY13" s="252">
        <f t="shared" si="1"/>
        <v>14.430000000000291</v>
      </c>
      <c r="AZ13" s="311">
        <f t="shared" si="6"/>
        <v>26.995515695067045</v>
      </c>
      <c r="BA13" s="311">
        <f t="shared" si="3"/>
        <v>42.813582813582151</v>
      </c>
      <c r="BB13" s="351">
        <f t="shared" si="4"/>
        <v>3732.4700000000012</v>
      </c>
      <c r="BC13" s="351">
        <f t="shared" si="5"/>
        <v>19.257403776700038</v>
      </c>
    </row>
    <row r="14" spans="1:55" x14ac:dyDescent="0.2">
      <c r="A14" s="359">
        <v>10</v>
      </c>
      <c r="B14" s="642">
        <f>'10'!G7</f>
        <v>20288</v>
      </c>
      <c r="C14" s="642">
        <f>'10'!G8</f>
        <v>20373</v>
      </c>
      <c r="D14" s="642">
        <f>'10'!G15</f>
        <v>1152</v>
      </c>
      <c r="E14" s="642">
        <f>'10'!G20</f>
        <v>317</v>
      </c>
      <c r="F14" s="642">
        <f>SUM('10'!G35,'10'!G49)</f>
        <v>2839</v>
      </c>
      <c r="G14" s="642">
        <f>SUM('10'!G37,'10'!G51)</f>
        <v>1647</v>
      </c>
      <c r="H14" s="642">
        <f>SUM('10'!G38,'10'!G52)</f>
        <v>1955</v>
      </c>
      <c r="I14" s="642">
        <f>SUM('10'!G39,'10'!G53)</f>
        <v>3035</v>
      </c>
      <c r="J14" s="642">
        <f>SUM('10'!G41,'10'!G42,'10'!G55,'10'!G56)</f>
        <v>4557</v>
      </c>
      <c r="K14" s="642">
        <f>SUM('10'!G43,'10'!G57)</f>
        <v>2097</v>
      </c>
      <c r="L14" s="254">
        <f>'10'!G50</f>
        <v>1144</v>
      </c>
      <c r="M14" s="254">
        <f>'10'!G36</f>
        <v>1084</v>
      </c>
      <c r="N14" s="254">
        <f>'10'!G138</f>
        <v>74</v>
      </c>
      <c r="O14" s="254">
        <f>'10'!$G$139</f>
        <v>2</v>
      </c>
      <c r="P14" s="254">
        <f>'10'!$G$140</f>
        <v>1</v>
      </c>
      <c r="Q14" s="254">
        <f>'10'!$G$141</f>
        <v>176</v>
      </c>
      <c r="R14" s="254">
        <f>'10'!$G$142</f>
        <v>69</v>
      </c>
      <c r="S14" s="254">
        <f>'10'!$G$145</f>
        <v>16</v>
      </c>
      <c r="T14" s="251">
        <f>'10'!$G$146</f>
        <v>410</v>
      </c>
      <c r="U14" s="251">
        <f>'10'!$G$144</f>
        <v>224</v>
      </c>
      <c r="V14" s="257">
        <f>'10'!$G$147</f>
        <v>398</v>
      </c>
      <c r="W14" s="257">
        <f>'10'!$G$148</f>
        <v>286</v>
      </c>
      <c r="X14" s="251">
        <f>'10'!$G$143</f>
        <v>30</v>
      </c>
      <c r="Y14" s="251">
        <f>'10'!$G$58</f>
        <v>197</v>
      </c>
      <c r="Z14" s="251">
        <f>'10'!$G$151</f>
        <v>226</v>
      </c>
      <c r="AA14" s="251">
        <f>'10'!G161</f>
        <v>15</v>
      </c>
      <c r="AB14" s="251">
        <f>'10'!G162</f>
        <v>42</v>
      </c>
      <c r="AC14" s="251"/>
      <c r="AD14" s="251">
        <f>'10'!G163+'10'!G164</f>
        <v>93</v>
      </c>
      <c r="AE14" s="254">
        <f>'10'!$G$116</f>
        <v>328</v>
      </c>
      <c r="AF14" s="254">
        <f>'10'!$G$117</f>
        <v>114</v>
      </c>
      <c r="AG14" s="254">
        <f>'10'!$G$118</f>
        <v>412</v>
      </c>
      <c r="AH14" s="254">
        <f>'10'!$G$119</f>
        <v>419</v>
      </c>
      <c r="AI14" s="254">
        <f>'10'!$G$120</f>
        <v>445</v>
      </c>
      <c r="AJ14" s="254">
        <f>'10'!$G$121</f>
        <v>735</v>
      </c>
      <c r="AK14" s="254">
        <f>'10'!$G$122</f>
        <v>143</v>
      </c>
      <c r="AL14" s="254">
        <f>'10'!$G$123</f>
        <v>254</v>
      </c>
      <c r="AM14" s="254">
        <f>'10'!$G$133</f>
        <v>522</v>
      </c>
      <c r="AN14" s="254">
        <f>'10'!$G$15</f>
        <v>1152</v>
      </c>
      <c r="AO14" s="256">
        <f>'10'!$G$74</f>
        <v>341</v>
      </c>
      <c r="AP14" s="256">
        <f>'10'!$G$75</f>
        <v>0</v>
      </c>
      <c r="AQ14" s="256">
        <f>'10'!$G$76</f>
        <v>114</v>
      </c>
      <c r="AR14" s="256">
        <f>'10'!$G$77</f>
        <v>43</v>
      </c>
      <c r="AS14" s="256">
        <f>'10'!$G$78</f>
        <v>3</v>
      </c>
      <c r="AT14" s="256">
        <f t="shared" si="0"/>
        <v>651</v>
      </c>
      <c r="AU14" s="254">
        <f>SUM('10'!G91:G92)</f>
        <v>12</v>
      </c>
      <c r="AV14" s="254">
        <f>'10'!$G$88</f>
        <v>0</v>
      </c>
      <c r="AW14" s="254">
        <f>'10'!$G$89</f>
        <v>11.569999999999709</v>
      </c>
      <c r="AX14" s="254">
        <f>'10'!$G$90</f>
        <v>4</v>
      </c>
      <c r="AY14" s="252">
        <f t="shared" si="1"/>
        <v>15.569999999999709</v>
      </c>
      <c r="AZ14" s="311">
        <f t="shared" si="6"/>
        <v>28.416666666666668</v>
      </c>
      <c r="BA14" s="311">
        <f t="shared" si="3"/>
        <v>41.811175337187677</v>
      </c>
      <c r="BB14" s="351">
        <f t="shared" si="4"/>
        <v>4046</v>
      </c>
      <c r="BC14" s="351">
        <f t="shared" si="5"/>
        <v>19.94282334384858</v>
      </c>
    </row>
    <row r="15" spans="1:55" x14ac:dyDescent="0.2">
      <c r="A15" s="359">
        <v>11</v>
      </c>
      <c r="B15" s="642">
        <f>'11'!G7</f>
        <v>20918</v>
      </c>
      <c r="C15" s="642">
        <f>'11'!G8</f>
        <v>21020</v>
      </c>
      <c r="D15" s="642">
        <f>'11'!G15</f>
        <v>1118</v>
      </c>
      <c r="E15" s="642">
        <f>'11'!G20</f>
        <v>316</v>
      </c>
      <c r="F15" s="642">
        <f>SUM('11'!G35,'11'!G49)</f>
        <v>2776</v>
      </c>
      <c r="G15" s="642">
        <f>SUM('11'!G37,'11'!G51)</f>
        <v>1684</v>
      </c>
      <c r="H15" s="642">
        <f>SUM('11'!G38,'11'!G52)</f>
        <v>2076</v>
      </c>
      <c r="I15" s="642">
        <f>SUM('11'!G39,'11'!G53)</f>
        <v>3148</v>
      </c>
      <c r="J15" s="642">
        <f>SUM('11'!G41,'11'!G42,'11'!G55,'11'!G56)</f>
        <v>4736</v>
      </c>
      <c r="K15" s="642">
        <f>SUM('11'!G43,'11'!G57)</f>
        <v>2112</v>
      </c>
      <c r="L15" s="254">
        <f>'11'!G50</f>
        <v>1282</v>
      </c>
      <c r="M15" s="254">
        <f>'11'!G36</f>
        <v>1077</v>
      </c>
      <c r="N15" s="254">
        <f>'11'!G138</f>
        <v>116</v>
      </c>
      <c r="O15" s="254">
        <f>'11'!$G$139</f>
        <v>13</v>
      </c>
      <c r="P15" s="254">
        <f>'11'!$G$140</f>
        <v>6</v>
      </c>
      <c r="Q15" s="254">
        <f>'11'!$G$141</f>
        <v>190</v>
      </c>
      <c r="R15" s="254">
        <f>'11'!$G$142</f>
        <v>70</v>
      </c>
      <c r="S15" s="254">
        <f>'11'!$G$145</f>
        <v>14</v>
      </c>
      <c r="T15" s="251">
        <f>'11'!$G$146</f>
        <v>421</v>
      </c>
      <c r="U15" s="251">
        <f>'11'!$G$144</f>
        <v>203</v>
      </c>
      <c r="V15" s="251">
        <f>'11'!$G$147</f>
        <v>412</v>
      </c>
      <c r="W15" s="251">
        <f>'11'!$G$148</f>
        <v>330</v>
      </c>
      <c r="X15" s="251">
        <f>'11'!$G$143</f>
        <v>23</v>
      </c>
      <c r="Y15" s="251">
        <f>'11'!$G$58</f>
        <v>202</v>
      </c>
      <c r="Z15" s="251">
        <f>'11'!$G$151</f>
        <v>217</v>
      </c>
      <c r="AA15" s="251">
        <f>'11'!G161</f>
        <v>20</v>
      </c>
      <c r="AB15" s="251">
        <f>'11'!G162</f>
        <v>36</v>
      </c>
      <c r="AC15" s="251">
        <f>'11'!G88</f>
        <v>0</v>
      </c>
      <c r="AD15" s="251">
        <f>'11'!G163+'11'!G164</f>
        <v>92</v>
      </c>
      <c r="AE15" s="254">
        <f>'11'!$G$116</f>
        <v>370</v>
      </c>
      <c r="AF15" s="254">
        <f>'11'!$G$117</f>
        <v>289</v>
      </c>
      <c r="AG15" s="254">
        <f>'11'!$G$118</f>
        <v>404</v>
      </c>
      <c r="AH15" s="254">
        <f>'11'!$G$119</f>
        <v>435</v>
      </c>
      <c r="AI15" s="254">
        <f>'11'!$G$120</f>
        <v>443</v>
      </c>
      <c r="AJ15" s="254">
        <f>'11'!$G$121</f>
        <v>721</v>
      </c>
      <c r="AK15" s="254">
        <f>'11'!$G$122</f>
        <v>212</v>
      </c>
      <c r="AL15" s="254">
        <f>'11'!$G$123</f>
        <v>250</v>
      </c>
      <c r="AM15" s="254">
        <f>'11'!$G$133</f>
        <v>494</v>
      </c>
      <c r="AN15" s="254">
        <f>'11'!$G$15</f>
        <v>1118</v>
      </c>
      <c r="AO15" s="256">
        <f>'11'!$G$74</f>
        <v>316</v>
      </c>
      <c r="AP15" s="256">
        <f>'11'!$G$75</f>
        <v>0</v>
      </c>
      <c r="AQ15" s="256">
        <f>'11'!$G$76</f>
        <v>124</v>
      </c>
      <c r="AR15" s="256">
        <f>'11'!$G$77</f>
        <v>53</v>
      </c>
      <c r="AS15" s="256">
        <f>'11'!$G$78</f>
        <v>3</v>
      </c>
      <c r="AT15" s="256">
        <f t="shared" si="0"/>
        <v>622</v>
      </c>
      <c r="AU15" s="254">
        <f>SUM('11'!G91:G92)</f>
        <v>12</v>
      </c>
      <c r="AV15" s="254">
        <f>'11'!$G$88</f>
        <v>0</v>
      </c>
      <c r="AW15" s="254">
        <f>'11'!$G$89</f>
        <v>11</v>
      </c>
      <c r="AX15" s="254">
        <f>'11'!$G$90</f>
        <v>4</v>
      </c>
      <c r="AY15" s="252">
        <f t="shared" si="1"/>
        <v>15</v>
      </c>
      <c r="AZ15" s="311">
        <f t="shared" si="6"/>
        <v>26.333333333333332</v>
      </c>
      <c r="BA15" s="311">
        <f t="shared" si="3"/>
        <v>41.466666666666669</v>
      </c>
      <c r="BB15" s="351">
        <f t="shared" si="4"/>
        <v>4286</v>
      </c>
      <c r="BC15" s="351">
        <f t="shared" si="5"/>
        <v>20.489530547853523</v>
      </c>
    </row>
    <row r="16" spans="1:55" x14ac:dyDescent="0.2">
      <c r="A16" s="359">
        <v>12</v>
      </c>
      <c r="B16" s="642">
        <f>'12'!G7</f>
        <v>22223</v>
      </c>
      <c r="C16" s="642">
        <f>'12'!G8</f>
        <v>22339</v>
      </c>
      <c r="D16" s="642">
        <f>'12'!G15</f>
        <v>1293</v>
      </c>
      <c r="E16" s="642">
        <f>'12'!G20</f>
        <v>339</v>
      </c>
      <c r="F16" s="642">
        <f>SUM('12'!G35,'12'!G49)</f>
        <v>3199</v>
      </c>
      <c r="G16" s="642">
        <f>SUM('12'!G37,'12'!G51)</f>
        <v>1783</v>
      </c>
      <c r="H16" s="642">
        <f>SUM('12'!G38,'12'!G52)</f>
        <v>2162</v>
      </c>
      <c r="I16" s="642">
        <f>SUM('12'!G39,'12'!G53)</f>
        <v>3245</v>
      </c>
      <c r="J16" s="642">
        <f>SUM('12'!G41,'12'!G42,'12'!G55,'12'!G56)</f>
        <v>4928</v>
      </c>
      <c r="K16" s="642">
        <f>SUM('12'!G43,'12'!G57)</f>
        <v>2226</v>
      </c>
      <c r="L16" s="254">
        <f>'12'!G50</f>
        <v>1310</v>
      </c>
      <c r="M16" s="254">
        <f>'12'!G36</f>
        <v>1194</v>
      </c>
      <c r="N16" s="254">
        <f>'12'!G138</f>
        <v>96</v>
      </c>
      <c r="O16" s="254">
        <f>'12'!$G$139</f>
        <v>7</v>
      </c>
      <c r="P16" s="254">
        <f>'12'!$G$140</f>
        <v>0</v>
      </c>
      <c r="Q16" s="254">
        <f>'12'!$G$141</f>
        <v>187</v>
      </c>
      <c r="R16" s="254">
        <f>'12'!$G$142</f>
        <v>70</v>
      </c>
      <c r="S16" s="254">
        <f>'12'!$G$145</f>
        <v>9</v>
      </c>
      <c r="T16" s="251">
        <f>'12'!$G$146</f>
        <v>471</v>
      </c>
      <c r="U16" s="251">
        <f>'12'!$G$144</f>
        <v>220</v>
      </c>
      <c r="V16" s="251">
        <f>'12'!$G$147</f>
        <v>442</v>
      </c>
      <c r="W16" s="251">
        <f>'12'!$G$148</f>
        <v>383</v>
      </c>
      <c r="X16" s="251">
        <f>'12'!$G$143</f>
        <v>31</v>
      </c>
      <c r="Y16" s="251">
        <f>'12'!$G$58</f>
        <v>231</v>
      </c>
      <c r="Z16" s="251">
        <f>'12'!$G$151</f>
        <v>279</v>
      </c>
      <c r="AA16" s="251">
        <f>'12'!G161</f>
        <v>18</v>
      </c>
      <c r="AB16" s="251">
        <f>'12'!G162</f>
        <v>21</v>
      </c>
      <c r="AC16" s="251">
        <f>'12'!G88</f>
        <v>3.7700000000004366</v>
      </c>
      <c r="AD16" s="251">
        <f>'12'!G163+'12'!G164</f>
        <v>81</v>
      </c>
      <c r="AE16" s="254">
        <f>'12'!$G$116</f>
        <v>484</v>
      </c>
      <c r="AF16" s="254">
        <f>'12'!$G$117</f>
        <v>196</v>
      </c>
      <c r="AG16" s="254">
        <f>'12'!$G$118</f>
        <v>406</v>
      </c>
      <c r="AH16" s="254">
        <f>'12'!$G$119</f>
        <v>440</v>
      </c>
      <c r="AI16" s="254">
        <f>'12'!$G$120</f>
        <v>413</v>
      </c>
      <c r="AJ16" s="254">
        <f>'12'!$G$121</f>
        <v>776</v>
      </c>
      <c r="AK16" s="254">
        <f>'12'!$G$122</f>
        <v>184</v>
      </c>
      <c r="AL16" s="254">
        <f>'12'!$G$123</f>
        <v>263</v>
      </c>
      <c r="AM16" s="254">
        <f>'12'!$G$133</f>
        <v>698</v>
      </c>
      <c r="AN16" s="254">
        <f>'12'!$G$15</f>
        <v>1293</v>
      </c>
      <c r="AO16" s="256">
        <f>'12'!$G$74</f>
        <v>324</v>
      </c>
      <c r="AP16" s="256">
        <f>'12'!$G$75</f>
        <v>0</v>
      </c>
      <c r="AQ16" s="256">
        <f>'12'!$G$76</f>
        <v>152</v>
      </c>
      <c r="AR16" s="256">
        <f>'12'!$G$77</f>
        <v>58</v>
      </c>
      <c r="AS16" s="256">
        <f>'12'!$G$78</f>
        <v>4</v>
      </c>
      <c r="AT16" s="256">
        <f t="shared" si="0"/>
        <v>755</v>
      </c>
      <c r="AU16" s="254">
        <f>SUM('12'!G91:G92)</f>
        <v>11.860000000000127</v>
      </c>
      <c r="AV16" s="254">
        <f>'12'!$G$88</f>
        <v>3.7700000000004366</v>
      </c>
      <c r="AW16" s="254">
        <f>'12'!$G$89</f>
        <v>8.6300000000010186</v>
      </c>
      <c r="AX16" s="254">
        <f>'12'!$G$90</f>
        <v>7.2299999999959255</v>
      </c>
      <c r="AY16" s="252">
        <f t="shared" si="1"/>
        <v>19.629999999997381</v>
      </c>
      <c r="AZ16" s="311">
        <f t="shared" si="6"/>
        <v>27.318718381112692</v>
      </c>
      <c r="BA16" s="311">
        <f t="shared" si="3"/>
        <v>38.461538461543597</v>
      </c>
      <c r="BB16" s="351">
        <f t="shared" si="4"/>
        <v>4565</v>
      </c>
      <c r="BC16" s="351">
        <f t="shared" si="5"/>
        <v>20.541781037663682</v>
      </c>
    </row>
    <row r="17" spans="1:55" x14ac:dyDescent="0.2">
      <c r="A17" s="359">
        <v>13</v>
      </c>
      <c r="B17" s="642">
        <f>'13'!G7</f>
        <v>22076</v>
      </c>
      <c r="C17" s="642">
        <f>'13'!G8</f>
        <v>22200</v>
      </c>
      <c r="D17" s="642">
        <f>'13'!G15</f>
        <v>1108</v>
      </c>
      <c r="E17" s="642">
        <f>'13'!G20</f>
        <v>296</v>
      </c>
      <c r="F17" s="642">
        <f>SUM('13'!G35,'13'!G49)</f>
        <v>2981</v>
      </c>
      <c r="G17" s="642">
        <f>SUM('13'!G37,'13'!G51)</f>
        <v>1781</v>
      </c>
      <c r="H17" s="642">
        <f>SUM('13'!G38,'13'!G52)</f>
        <v>2029</v>
      </c>
      <c r="I17" s="642">
        <f>SUM('13'!G39,'13'!G53)</f>
        <v>3279</v>
      </c>
      <c r="J17" s="642">
        <f>SUM('13'!G41,'13'!G42,'13'!G55,'13'!G56)</f>
        <v>5019</v>
      </c>
      <c r="K17" s="642">
        <f>SUM('13'!G43,'13'!G57)</f>
        <v>2145</v>
      </c>
      <c r="L17" s="254">
        <f>'13'!G50</f>
        <v>1558</v>
      </c>
      <c r="M17" s="254">
        <f>'13'!G36</f>
        <v>1069</v>
      </c>
      <c r="N17" s="254">
        <f>'13'!G138</f>
        <v>148</v>
      </c>
      <c r="O17" s="254">
        <f>'13'!$G$139</f>
        <v>20</v>
      </c>
      <c r="P17" s="254">
        <f>'13'!$G$140</f>
        <v>0</v>
      </c>
      <c r="Q17" s="254">
        <f>'13'!$G$141</f>
        <v>179</v>
      </c>
      <c r="R17" s="254">
        <f>'13'!$G$142</f>
        <v>70</v>
      </c>
      <c r="S17" s="254">
        <f>'13'!$G$145</f>
        <v>10</v>
      </c>
      <c r="T17" s="251">
        <f>'13'!$G$146</f>
        <v>472</v>
      </c>
      <c r="U17" s="251">
        <f>'13'!$G$144</f>
        <v>208</v>
      </c>
      <c r="V17" s="251">
        <f>'13'!$G$147</f>
        <v>443</v>
      </c>
      <c r="W17" s="251">
        <f>'13'!$G$148</f>
        <v>364</v>
      </c>
      <c r="X17" s="251">
        <f>'13'!$G$143</f>
        <v>30</v>
      </c>
      <c r="Y17" s="251">
        <f>'13'!$G$58</f>
        <v>196</v>
      </c>
      <c r="Z17" s="251">
        <f>'13'!$G$151</f>
        <v>230</v>
      </c>
      <c r="AA17" s="251">
        <f>'13'!G161</f>
        <v>17</v>
      </c>
      <c r="AB17" s="251">
        <f>'13'!G162</f>
        <v>20</v>
      </c>
      <c r="AC17" s="251">
        <f>'13'!G88</f>
        <v>0</v>
      </c>
      <c r="AD17" s="251">
        <f>'13'!G163+'13'!G164</f>
        <v>83</v>
      </c>
      <c r="AE17" s="254">
        <f>'13'!$G$116</f>
        <v>446</v>
      </c>
      <c r="AF17" s="254">
        <f>'13'!$G$117</f>
        <v>219</v>
      </c>
      <c r="AG17" s="254">
        <f>'13'!$G$118</f>
        <v>412</v>
      </c>
      <c r="AH17" s="254">
        <f>'13'!$G$119</f>
        <v>426</v>
      </c>
      <c r="AI17" s="254">
        <f>'13'!$G$120</f>
        <v>409</v>
      </c>
      <c r="AJ17" s="254">
        <f>'13'!$G$121</f>
        <v>757</v>
      </c>
      <c r="AK17" s="254">
        <f>'13'!$G$122</f>
        <v>260</v>
      </c>
      <c r="AL17" s="254">
        <f>'13'!$G$123</f>
        <v>259</v>
      </c>
      <c r="AM17" s="254">
        <f>'13'!$G$133</f>
        <v>676</v>
      </c>
      <c r="AN17" s="254">
        <f>'13'!$G$15</f>
        <v>1108</v>
      </c>
      <c r="AO17" s="256">
        <f>'13'!$G$74</f>
        <v>287</v>
      </c>
      <c r="AP17" s="256">
        <f>'13'!$G$75</f>
        <v>0</v>
      </c>
      <c r="AQ17" s="256">
        <f>'13'!$G$76</f>
        <v>119</v>
      </c>
      <c r="AR17" s="256">
        <f>'13'!$G$77</f>
        <v>52</v>
      </c>
      <c r="AS17" s="256">
        <f>'13'!$G$78</f>
        <v>3</v>
      </c>
      <c r="AT17" s="256">
        <f t="shared" si="0"/>
        <v>647</v>
      </c>
      <c r="AU17" s="254">
        <f>SUM('13'!G91:G92)</f>
        <v>10.599999999999909</v>
      </c>
      <c r="AV17" s="254">
        <f>'13'!$G$88</f>
        <v>0</v>
      </c>
      <c r="AW17" s="254">
        <f>'13'!$G$89</f>
        <v>10.029999999998836</v>
      </c>
      <c r="AX17" s="254">
        <f>'13'!$G$90</f>
        <v>8.5500000000029104</v>
      </c>
      <c r="AY17" s="252">
        <f t="shared" si="1"/>
        <v>18.580000000001746</v>
      </c>
      <c r="AZ17" s="311">
        <f t="shared" si="6"/>
        <v>27.075471698113439</v>
      </c>
      <c r="BA17" s="311">
        <f t="shared" si="3"/>
        <v>34.822389666304588</v>
      </c>
      <c r="BB17" s="351">
        <f t="shared" si="4"/>
        <v>4770</v>
      </c>
      <c r="BC17" s="351">
        <f t="shared" si="5"/>
        <v>21.607175212900888</v>
      </c>
    </row>
    <row r="18" spans="1:55" x14ac:dyDescent="0.2">
      <c r="A18" s="359">
        <v>14</v>
      </c>
      <c r="B18" s="642">
        <f>'14'!G7</f>
        <v>21178</v>
      </c>
      <c r="C18" s="642">
        <f>'14'!G8</f>
        <v>21261</v>
      </c>
      <c r="D18" s="642">
        <f>'14'!G15</f>
        <v>1095</v>
      </c>
      <c r="E18" s="642">
        <f>'14'!G20</f>
        <v>296</v>
      </c>
      <c r="F18" s="642">
        <f>SUM('14'!G35,'14'!G49)</f>
        <v>3003</v>
      </c>
      <c r="G18" s="642">
        <f>SUM('14'!G37,'14'!G51)</f>
        <v>1746</v>
      </c>
      <c r="H18" s="642">
        <f>SUM('14'!G38,'14'!G52)</f>
        <v>2061</v>
      </c>
      <c r="I18" s="642">
        <f>SUM('14'!G39,'14'!G53)</f>
        <v>3213</v>
      </c>
      <c r="J18" s="642">
        <f>SUM('14'!G41,'14'!G42,'14'!G55,'14'!G56)</f>
        <v>4624</v>
      </c>
      <c r="K18" s="642">
        <f>SUM('14'!G43,'14'!G57)</f>
        <v>2102</v>
      </c>
      <c r="L18" s="254">
        <f>'14'!G50</f>
        <v>1606</v>
      </c>
      <c r="M18" s="254">
        <f>'14'!G36</f>
        <v>834</v>
      </c>
      <c r="N18" s="254">
        <f>'14'!G138</f>
        <v>98</v>
      </c>
      <c r="O18" s="254">
        <f>'14'!$G$139</f>
        <v>1</v>
      </c>
      <c r="P18" s="254">
        <f>'14'!$G$140</f>
        <v>0</v>
      </c>
      <c r="Q18" s="254">
        <f>'14'!$G$141</f>
        <v>176</v>
      </c>
      <c r="R18" s="254">
        <f>'14'!$G$142</f>
        <v>69</v>
      </c>
      <c r="S18" s="254">
        <f>'14'!$G$145</f>
        <v>15</v>
      </c>
      <c r="T18" s="251">
        <f>'14'!$G$146</f>
        <v>493</v>
      </c>
      <c r="U18" s="251">
        <f>'14'!$G$144</f>
        <v>199</v>
      </c>
      <c r="V18" s="251">
        <f>'14'!$G$147</f>
        <v>449</v>
      </c>
      <c r="W18" s="251">
        <f>'14'!$G$148</f>
        <v>310</v>
      </c>
      <c r="X18" s="251">
        <f>'14'!$G$143</f>
        <v>28</v>
      </c>
      <c r="Y18" s="251">
        <f>'14'!$G$58</f>
        <v>217</v>
      </c>
      <c r="Z18" s="251">
        <f>'14'!$G$151</f>
        <v>262</v>
      </c>
      <c r="AA18" s="251">
        <f>'14'!G161</f>
        <v>18</v>
      </c>
      <c r="AB18" s="251">
        <f>'14'!G162</f>
        <v>40</v>
      </c>
      <c r="AC18" s="251">
        <f>'14'!G88</f>
        <v>0.98999999999796273</v>
      </c>
      <c r="AD18" s="251">
        <f>'14'!G163+'14'!G164</f>
        <v>125</v>
      </c>
      <c r="AE18" s="254">
        <f>'14'!$G$116</f>
        <v>435</v>
      </c>
      <c r="AF18" s="254">
        <f>'14'!$G$117</f>
        <v>254</v>
      </c>
      <c r="AG18" s="254">
        <f>'14'!$G$118</f>
        <v>461</v>
      </c>
      <c r="AH18" s="254">
        <f>'14'!$G$119</f>
        <v>445</v>
      </c>
      <c r="AI18" s="254">
        <f>'14'!$G$120</f>
        <v>417</v>
      </c>
      <c r="AJ18" s="254">
        <f>'14'!$G$121</f>
        <v>760</v>
      </c>
      <c r="AK18" s="254">
        <f>'14'!$G$122</f>
        <v>209</v>
      </c>
      <c r="AL18" s="254">
        <f>'14'!$G$123</f>
        <v>261</v>
      </c>
      <c r="AM18" s="254">
        <f>'14'!$G$133</f>
        <v>679</v>
      </c>
      <c r="AN18" s="254">
        <f>'14'!$G$15</f>
        <v>1095</v>
      </c>
      <c r="AO18" s="256">
        <f>'14'!$G$74</f>
        <v>294</v>
      </c>
      <c r="AP18" s="256">
        <f>'14'!$G$75</f>
        <v>0</v>
      </c>
      <c r="AQ18" s="256">
        <f>'14'!$G$76</f>
        <v>93</v>
      </c>
      <c r="AR18" s="256">
        <f>'14'!$G$77</f>
        <v>39</v>
      </c>
      <c r="AS18" s="256">
        <f>'14'!$G$78</f>
        <v>0</v>
      </c>
      <c r="AT18" s="256">
        <f t="shared" si="0"/>
        <v>669</v>
      </c>
      <c r="AU18" s="254">
        <f>SUM('14'!G91:G92)</f>
        <v>11.170000000000073</v>
      </c>
      <c r="AV18" s="254">
        <f>'14'!$G$88</f>
        <v>0.98999999999796273</v>
      </c>
      <c r="AW18" s="254">
        <f>'14'!$G$89</f>
        <v>10.779999999998836</v>
      </c>
      <c r="AX18" s="254">
        <f>'14'!$G$90</f>
        <v>6.1900000000023283</v>
      </c>
      <c r="AY18" s="252">
        <f t="shared" si="1"/>
        <v>17.959999999999127</v>
      </c>
      <c r="AZ18" s="311">
        <f t="shared" si="6"/>
        <v>26.320501342882551</v>
      </c>
      <c r="BA18" s="311">
        <f t="shared" si="3"/>
        <v>37.249443207128756</v>
      </c>
      <c r="BB18" s="351">
        <f t="shared" si="4"/>
        <v>4295</v>
      </c>
      <c r="BC18" s="351">
        <f t="shared" si="5"/>
        <v>20.280479743129664</v>
      </c>
    </row>
    <row r="19" spans="1:55" x14ac:dyDescent="0.2">
      <c r="A19" s="359">
        <v>15</v>
      </c>
      <c r="B19" s="642">
        <f>'15'!G7</f>
        <v>20999.599999999977</v>
      </c>
      <c r="C19" s="642">
        <f>'15'!G8</f>
        <v>21100</v>
      </c>
      <c r="D19" s="642">
        <f>'15'!G15</f>
        <v>1135.2800000000279</v>
      </c>
      <c r="E19" s="642">
        <f>'15'!G20</f>
        <v>316</v>
      </c>
      <c r="F19" s="642">
        <f>SUM('15'!G35,'15'!G49)</f>
        <v>3027.0299999999988</v>
      </c>
      <c r="G19" s="642">
        <f>SUM('15'!G37,'15'!G51)</f>
        <v>1780.6999999999971</v>
      </c>
      <c r="H19" s="642">
        <f>SUM('15'!G38,'15'!G52)</f>
        <v>1992.6000000000058</v>
      </c>
      <c r="I19" s="642">
        <f>SUM('15'!G39,'15'!G53)</f>
        <v>3189.1999999999971</v>
      </c>
      <c r="J19" s="642">
        <f>SUM('15'!G41,'15'!G42,'15'!G55,'15'!G56)</f>
        <v>4586.5399999999881</v>
      </c>
      <c r="K19" s="642">
        <f>SUM('15'!G43,'15'!G57)</f>
        <v>2095.5799999999872</v>
      </c>
      <c r="L19" s="254">
        <f>'15'!G50</f>
        <v>1491.9499999999971</v>
      </c>
      <c r="M19" s="254">
        <f>'15'!G36</f>
        <v>750.84999999999854</v>
      </c>
      <c r="N19" s="254">
        <f>'15'!G138</f>
        <v>88</v>
      </c>
      <c r="O19" s="254">
        <f>'15'!$G$139</f>
        <v>0</v>
      </c>
      <c r="P19" s="254">
        <f>'15'!$G$140</f>
        <v>0</v>
      </c>
      <c r="Q19" s="254">
        <f>'15'!$G$141</f>
        <v>176.27999999999884</v>
      </c>
      <c r="R19" s="254">
        <f>'15'!$G$142</f>
        <v>59</v>
      </c>
      <c r="S19" s="254">
        <f>'15'!$G$145</f>
        <v>13.25</v>
      </c>
      <c r="T19" s="251">
        <f>'15'!$G$146</f>
        <v>510</v>
      </c>
      <c r="U19" s="251">
        <f>'15'!$G$144</f>
        <v>213</v>
      </c>
      <c r="V19" s="251">
        <f>'15'!$G$147</f>
        <v>405.64000000001397</v>
      </c>
      <c r="W19" s="251">
        <f>'15'!$G$148</f>
        <v>245.64000000001397</v>
      </c>
      <c r="X19" s="251">
        <f>'15'!$G$143</f>
        <v>31.010000000000218</v>
      </c>
      <c r="Y19" s="251">
        <f>'15'!$G$58</f>
        <v>215.47999999999956</v>
      </c>
      <c r="Z19" s="251">
        <f>'15'!$G$151</f>
        <v>230</v>
      </c>
      <c r="AA19" s="251">
        <f>'15'!G161</f>
        <v>32</v>
      </c>
      <c r="AB19" s="251">
        <f>'15'!G162</f>
        <v>44.80000000000291</v>
      </c>
      <c r="AC19" s="251">
        <f>'15'!G88</f>
        <v>0</v>
      </c>
      <c r="AD19" s="251">
        <f>'15'!G163+'15'!G164</f>
        <v>146.39999999999964</v>
      </c>
      <c r="AE19" s="254">
        <f>'15'!$G$116</f>
        <v>0</v>
      </c>
      <c r="AF19" s="254">
        <f>'15'!$G$117</f>
        <v>219.19999999999982</v>
      </c>
      <c r="AG19" s="254">
        <f>'15'!$G$118</f>
        <v>452.42999999999302</v>
      </c>
      <c r="AH19" s="254">
        <f>'15'!$G$119</f>
        <v>433.80999999999767</v>
      </c>
      <c r="AI19" s="254">
        <f>'15'!$G$120</f>
        <v>442.84999999999854</v>
      </c>
      <c r="AJ19" s="254">
        <f>'15'!$G$121</f>
        <v>792.46999999997206</v>
      </c>
      <c r="AK19" s="254">
        <f>'15'!$G$122</f>
        <v>221.80000000000291</v>
      </c>
      <c r="AL19" s="254">
        <f>'15'!$G$123</f>
        <v>257.95000000001164</v>
      </c>
      <c r="AM19" s="254">
        <f>'15'!$G$133</f>
        <v>670.32000000000698</v>
      </c>
      <c r="AN19" s="254">
        <f>'15'!$G$15</f>
        <v>1135.2800000000279</v>
      </c>
      <c r="AO19" s="256">
        <f>'15'!$G$74</f>
        <v>280.39099999994505</v>
      </c>
      <c r="AP19" s="256">
        <f>'15'!$G$75</f>
        <v>0</v>
      </c>
      <c r="AQ19" s="256">
        <f>'15'!$G$76</f>
        <v>88.660000000003492</v>
      </c>
      <c r="AR19" s="256">
        <f>'15'!$G$77</f>
        <v>51.19999999999709</v>
      </c>
      <c r="AS19" s="256">
        <f>'15'!$G$78</f>
        <v>0</v>
      </c>
      <c r="AT19" s="256">
        <f t="shared" si="0"/>
        <v>715.02900000008231</v>
      </c>
      <c r="AU19" s="254">
        <f>SUM('15'!G91:G92)</f>
        <v>10.589999999999691</v>
      </c>
      <c r="AV19" s="254">
        <f>'15'!$G$88</f>
        <v>0</v>
      </c>
      <c r="AW19" s="254">
        <f>'15'!$G$89</f>
        <v>12.130000000001019</v>
      </c>
      <c r="AX19" s="254">
        <f>'15'!$G$90</f>
        <v>7.9700000000011642</v>
      </c>
      <c r="AY19" s="252">
        <f t="shared" si="1"/>
        <v>20.100000000002183</v>
      </c>
      <c r="AZ19" s="311">
        <f t="shared" si="6"/>
        <v>26.476959395651864</v>
      </c>
      <c r="BA19" s="311">
        <f t="shared" si="3"/>
        <v>35.573582089552474</v>
      </c>
      <c r="BB19" s="351">
        <f t="shared" si="4"/>
        <v>4212.8700000000281</v>
      </c>
      <c r="BC19" s="351">
        <f t="shared" si="5"/>
        <v>20.061667841292373</v>
      </c>
    </row>
    <row r="20" spans="1:55" x14ac:dyDescent="0.2">
      <c r="A20" s="359">
        <v>16</v>
      </c>
      <c r="B20" s="642">
        <f>'16'!G7</f>
        <v>20546.979999999981</v>
      </c>
      <c r="C20" s="642">
        <f>'16'!G8</f>
        <v>20625.099999999999</v>
      </c>
      <c r="D20" s="642">
        <f>'16'!G15</f>
        <v>1092.9150000000373</v>
      </c>
      <c r="E20" s="642">
        <f>'16'!G20</f>
        <v>298</v>
      </c>
      <c r="F20" s="642">
        <f>SUM('16'!G35,'16'!G49)</f>
        <v>3072.0999999999985</v>
      </c>
      <c r="G20" s="642">
        <f>SUM('16'!G37,'16'!G51)</f>
        <v>1774.7800000000061</v>
      </c>
      <c r="H20" s="642">
        <f>SUM('16'!G38,'16'!G52)</f>
        <v>2035.1399999999994</v>
      </c>
      <c r="I20" s="642">
        <f>SUM('16'!G39,'16'!G53)</f>
        <v>3126.6800000000076</v>
      </c>
      <c r="J20" s="642">
        <f>SUM('16'!G41,'16'!G42,'16'!G55,'16'!G56)</f>
        <v>4325.9800000000105</v>
      </c>
      <c r="K20" s="642">
        <f>SUM('16'!G43,'16'!G57)</f>
        <v>2105.7700000000186</v>
      </c>
      <c r="L20" s="254">
        <f>'16'!G50</f>
        <v>1217.9799999999959</v>
      </c>
      <c r="M20" s="254">
        <f>'16'!G36</f>
        <v>881.54000000000087</v>
      </c>
      <c r="N20" s="254">
        <f>'16'!G138</f>
        <v>87</v>
      </c>
      <c r="O20" s="254">
        <f>'16'!$G$139</f>
        <v>1</v>
      </c>
      <c r="P20" s="254">
        <f>'16'!$G$140</f>
        <v>0</v>
      </c>
      <c r="Q20" s="254">
        <f>'16'!$G$141</f>
        <v>172.51000000000204</v>
      </c>
      <c r="R20" s="254">
        <f>'16'!$G$142</f>
        <v>79.639999999999418</v>
      </c>
      <c r="S20" s="254">
        <f>'16'!$G$145</f>
        <v>14.75</v>
      </c>
      <c r="T20" s="251">
        <f>'16'!$G$146</f>
        <v>483</v>
      </c>
      <c r="U20" s="251">
        <f>'16'!$G$144</f>
        <v>210</v>
      </c>
      <c r="V20" s="251">
        <f>'16'!$G$147</f>
        <v>404.35999999998603</v>
      </c>
      <c r="W20" s="251">
        <f>'16'!$G$148</f>
        <v>292.88000000000466</v>
      </c>
      <c r="X20" s="251">
        <f>'16'!$G$143</f>
        <v>30.760000000000218</v>
      </c>
      <c r="Y20" s="251">
        <f>'16'!$G$58</f>
        <v>207.45000000000073</v>
      </c>
      <c r="Z20" s="251">
        <f>'16'!$G$151</f>
        <v>274</v>
      </c>
      <c r="AA20" s="251">
        <f>'16'!G161</f>
        <v>17</v>
      </c>
      <c r="AB20" s="251">
        <f>'16'!G162</f>
        <v>46.599999999991269</v>
      </c>
      <c r="AC20" s="251">
        <f>'16'!G88</f>
        <v>0</v>
      </c>
      <c r="AD20" s="251">
        <f>'16'!G163+'16'!G164</f>
        <v>89.399999999994179</v>
      </c>
      <c r="AE20" s="254">
        <f>'16'!$G$116</f>
        <v>865.44999999999982</v>
      </c>
      <c r="AF20" s="254">
        <f>'16'!$G$117</f>
        <v>173.88000000000011</v>
      </c>
      <c r="AG20" s="254">
        <f>'16'!$G$118</f>
        <v>384.66000000000349</v>
      </c>
      <c r="AH20" s="254">
        <f>'16'!$G$119</f>
        <v>456.11999999999534</v>
      </c>
      <c r="AI20" s="254">
        <f>'16'!$G$120</f>
        <v>440.02999999999884</v>
      </c>
      <c r="AJ20" s="254">
        <f>'16'!$G$121</f>
        <v>776.76000000000931</v>
      </c>
      <c r="AK20" s="254">
        <f>'16'!$G$122</f>
        <v>245.88999999999942</v>
      </c>
      <c r="AL20" s="254">
        <f>'16'!$G$123</f>
        <v>263.4199999999837</v>
      </c>
      <c r="AM20" s="254">
        <f>'16'!$G$133</f>
        <v>673.23999999999069</v>
      </c>
      <c r="AN20" s="254">
        <f>'16'!$G$15</f>
        <v>1092.9150000000373</v>
      </c>
      <c r="AO20" s="256">
        <f>'16'!$G$74</f>
        <v>295.77900000009686</v>
      </c>
      <c r="AP20" s="256">
        <f>'16'!$G$75</f>
        <v>-0.19999999999708962</v>
      </c>
      <c r="AQ20" s="256">
        <f>'16'!$G$76</f>
        <v>94.169999999983702</v>
      </c>
      <c r="AR20" s="256">
        <f>'16'!$G$77</f>
        <v>43.400000000001455</v>
      </c>
      <c r="AS20" s="256">
        <f>'16'!$G$78</f>
        <v>0</v>
      </c>
      <c r="AT20" s="256">
        <f t="shared" si="0"/>
        <v>659.76599999995233</v>
      </c>
      <c r="AU20" s="254">
        <f>SUM('16'!G91:G92)</f>
        <v>11.200000000000273</v>
      </c>
      <c r="AV20" s="254">
        <f>'16'!$G$88</f>
        <v>0</v>
      </c>
      <c r="AW20" s="254">
        <f>'16'!$G$89</f>
        <v>10.900000000001455</v>
      </c>
      <c r="AX20" s="254">
        <f>'16'!$G$90</f>
        <v>8.9299999999930151</v>
      </c>
      <c r="AY20" s="252">
        <f t="shared" si="1"/>
        <v>19.82999999999447</v>
      </c>
      <c r="AZ20" s="311">
        <f t="shared" si="6"/>
        <v>26.408839285722291</v>
      </c>
      <c r="BA20" s="311">
        <f t="shared" si="3"/>
        <v>33.271104387298855</v>
      </c>
      <c r="BB20" s="351">
        <f t="shared" si="4"/>
        <v>3977.1999999999571</v>
      </c>
      <c r="BC20" s="351">
        <f t="shared" si="5"/>
        <v>19.356615911437888</v>
      </c>
    </row>
    <row r="21" spans="1:55" x14ac:dyDescent="0.2">
      <c r="A21" s="359">
        <v>17</v>
      </c>
      <c r="B21" s="642">
        <f>'17'!G7</f>
        <v>19976.420000000042</v>
      </c>
      <c r="C21" s="642">
        <f>'17'!G8</f>
        <v>20039.870000000003</v>
      </c>
      <c r="D21" s="642">
        <f>'17'!G15</f>
        <v>1023.3799999998882</v>
      </c>
      <c r="E21" s="642">
        <f>'17'!G20</f>
        <v>306</v>
      </c>
      <c r="F21" s="642">
        <f>SUM('17'!G35,'17'!G49)</f>
        <v>2907.5500000000029</v>
      </c>
      <c r="G21" s="642">
        <f>SUM('17'!G37,'17'!G51)</f>
        <v>1757.6999999999971</v>
      </c>
      <c r="H21" s="642">
        <f>SUM('17'!G38,'17'!G52)</f>
        <v>2041.2599999999948</v>
      </c>
      <c r="I21" s="642">
        <f>SUM('17'!G39,'17'!G53)</f>
        <v>3014.1399999999994</v>
      </c>
      <c r="J21" s="642">
        <f>SUM('17'!G41,'17'!G42,'17'!G55,'17'!G56)</f>
        <v>4155.3800000000047</v>
      </c>
      <c r="K21" s="642">
        <f>SUM('17'!G43,'17'!G57)</f>
        <v>2052.7299999999814</v>
      </c>
      <c r="L21" s="254">
        <f>'17'!G50</f>
        <v>1099.6000000000058</v>
      </c>
      <c r="M21" s="254">
        <f>'17'!G36</f>
        <v>905.22000000000116</v>
      </c>
      <c r="N21" s="254">
        <f>'18 '!G138</f>
        <v>81</v>
      </c>
      <c r="O21" s="254">
        <f>'17'!$G$139</f>
        <v>2</v>
      </c>
      <c r="P21" s="254">
        <f>'17'!$G$140</f>
        <v>0</v>
      </c>
      <c r="Q21" s="254">
        <f>'17'!$G$141</f>
        <v>183.69000000000233</v>
      </c>
      <c r="R21" s="254">
        <f>'17'!$G$142</f>
        <v>64.330000000001746</v>
      </c>
      <c r="S21" s="254">
        <f>'17'!$G$145</f>
        <v>14.729999999999563</v>
      </c>
      <c r="T21" s="251">
        <f>'17'!$G$146</f>
        <v>429</v>
      </c>
      <c r="U21" s="251">
        <f>'17'!$G$144</f>
        <v>212</v>
      </c>
      <c r="V21" s="251">
        <f>'17'!$G$147</f>
        <v>374.04000000003725</v>
      </c>
      <c r="W21" s="251">
        <f>'17'!$G$148</f>
        <v>298.95999999996275</v>
      </c>
      <c r="X21" s="251">
        <f>'17'!$G$143</f>
        <v>25.579999999999927</v>
      </c>
      <c r="Y21" s="251">
        <f>'17'!$G$58</f>
        <v>223.06999999999971</v>
      </c>
      <c r="Z21" s="251">
        <f>'17'!$G$151</f>
        <v>220</v>
      </c>
      <c r="AA21" s="251">
        <f>'17'!G161</f>
        <v>16.919999999983702</v>
      </c>
      <c r="AB21" s="251">
        <f>'17'!G162</f>
        <v>43.200000000011642</v>
      </c>
      <c r="AC21" s="251">
        <f>'17'!G88</f>
        <v>2.0000000000436557E-2</v>
      </c>
      <c r="AD21" s="251">
        <f>'17'!G163+'17'!G164</f>
        <v>86.200000000006185</v>
      </c>
      <c r="AE21" s="254">
        <f>'17'!$G$116</f>
        <v>443.34000000000015</v>
      </c>
      <c r="AF21" s="254">
        <f>'17'!$G$117</f>
        <v>166.63000000000011</v>
      </c>
      <c r="AG21" s="254">
        <f>'17'!$G$118</f>
        <v>388.79000000000815</v>
      </c>
      <c r="AH21" s="254">
        <f>'17'!$G$119</f>
        <v>419.1600000000326</v>
      </c>
      <c r="AI21" s="254">
        <f>'17'!$G$120</f>
        <v>421.59000000000378</v>
      </c>
      <c r="AJ21" s="254">
        <f>'17'!$G$121</f>
        <v>708.52000000001863</v>
      </c>
      <c r="AK21" s="254">
        <f>'17'!$G$122</f>
        <v>217.27999999999884</v>
      </c>
      <c r="AL21" s="254">
        <f>'17'!$G$123</f>
        <v>255.41000000000349</v>
      </c>
      <c r="AM21" s="254">
        <f>'17'!$G$133</f>
        <v>657.55999999999767</v>
      </c>
      <c r="AN21" s="254">
        <f>'17'!$G$15</f>
        <v>1023.3799999998882</v>
      </c>
      <c r="AO21" s="256">
        <f>'17'!$G$74</f>
        <v>298.61999999999534</v>
      </c>
      <c r="AP21" s="256">
        <f>'17'!$G$75</f>
        <v>0</v>
      </c>
      <c r="AQ21" s="256">
        <f>'17'!$G$76</f>
        <v>95.400000000023283</v>
      </c>
      <c r="AR21" s="256">
        <f>'17'!$G$77</f>
        <v>36.80000000000291</v>
      </c>
      <c r="AS21" s="256">
        <f>'17'!$G$78</f>
        <v>1.8999999999996362</v>
      </c>
      <c r="AT21" s="256">
        <f t="shared" si="0"/>
        <v>590.65999999986707</v>
      </c>
      <c r="AU21" s="254">
        <f>SUM('17'!G91:G92)</f>
        <v>11.329999999999927</v>
      </c>
      <c r="AV21" s="254">
        <f>'17'!$G$88</f>
        <v>2.0000000000436557E-2</v>
      </c>
      <c r="AW21" s="254">
        <f>'17'!$G$89</f>
        <v>11.68999999999869</v>
      </c>
      <c r="AX21" s="254">
        <f>'17'!$G$90</f>
        <v>3.7799999999988358</v>
      </c>
      <c r="AY21" s="252">
        <f t="shared" si="1"/>
        <v>15.489999999997963</v>
      </c>
      <c r="AZ21" s="311">
        <f t="shared" si="6"/>
        <v>26.356575463371339</v>
      </c>
      <c r="BA21" s="311">
        <f t="shared" si="3"/>
        <v>38.131697869589722</v>
      </c>
      <c r="BB21" s="351">
        <f t="shared" si="4"/>
        <v>3888.0400000000227</v>
      </c>
      <c r="BC21" s="351">
        <f t="shared" si="5"/>
        <v>19.463147050372463</v>
      </c>
    </row>
    <row r="22" spans="1:55" x14ac:dyDescent="0.2">
      <c r="A22" s="359">
        <v>18</v>
      </c>
      <c r="B22" s="642">
        <f>'18 '!G7</f>
        <v>20562</v>
      </c>
      <c r="C22" s="642">
        <f>'18 '!G8</f>
        <v>20626.43</v>
      </c>
      <c r="D22" s="642">
        <f>'18 '!G15</f>
        <v>1056.8049999999348</v>
      </c>
      <c r="E22" s="642">
        <f>'18 '!G20</f>
        <v>298</v>
      </c>
      <c r="F22" s="642">
        <f>SUM('18 '!G35,'18 '!G49)</f>
        <v>3114.760000000002</v>
      </c>
      <c r="G22" s="642">
        <f>SUM('18 '!G37,'18 '!G51)</f>
        <v>1732.8400000000038</v>
      </c>
      <c r="H22" s="642">
        <f>SUM('18 '!G38,'18 '!G52)</f>
        <v>2102.5</v>
      </c>
      <c r="I22" s="642">
        <f>SUM('18 '!G39,'18 '!G53)</f>
        <v>3089.679999999993</v>
      </c>
      <c r="J22" s="642">
        <f>SUM('18 '!G41,'18 '!G42,'18 '!G55,'18 '!G56)</f>
        <v>4354.0499999999884</v>
      </c>
      <c r="K22" s="642">
        <f>SUM('18 '!G43,'18 '!G57)</f>
        <v>2079.6800000000221</v>
      </c>
      <c r="L22" s="254">
        <f>'18 '!G50</f>
        <v>1071.9199999999983</v>
      </c>
      <c r="M22" s="254">
        <f>'18 '!G36</f>
        <v>982.98999999999796</v>
      </c>
      <c r="N22" s="254">
        <f>'18 '!G138</f>
        <v>81</v>
      </c>
      <c r="O22" s="254">
        <f>'18 '!$G$139</f>
        <v>1</v>
      </c>
      <c r="P22" s="254">
        <f>'18 '!$G$140</f>
        <v>0.39999999999417923</v>
      </c>
      <c r="Q22" s="254">
        <f>'18 '!$G$141</f>
        <v>188.83999999999651</v>
      </c>
      <c r="R22" s="254">
        <f>'18 '!$G$142</f>
        <v>64.229999999999563</v>
      </c>
      <c r="S22" s="254">
        <f>'18 '!$G$145</f>
        <v>14.570000000000618</v>
      </c>
      <c r="T22" s="251">
        <f>'18 '!$G$146</f>
        <v>398</v>
      </c>
      <c r="U22" s="251">
        <f>'18 '!$G$144</f>
        <v>210</v>
      </c>
      <c r="V22" s="256">
        <f>'18 '!$G$147</f>
        <v>322.95999999996275</v>
      </c>
      <c r="W22" s="256">
        <f>'18 '!$G$148</f>
        <v>244.32000000006519</v>
      </c>
      <c r="X22" s="256">
        <f>'18 '!$G$143</f>
        <v>25.109999999999673</v>
      </c>
      <c r="Y22" s="256">
        <f>'18 '!$G$58</f>
        <v>219</v>
      </c>
      <c r="Z22" s="256">
        <f>'18 '!$G$151</f>
        <v>278</v>
      </c>
      <c r="AA22" s="256">
        <f>'18 '!G161</f>
        <v>13.28000000002794</v>
      </c>
      <c r="AB22" s="251">
        <f>'18 '!G162</f>
        <v>50.799999999988358</v>
      </c>
      <c r="AC22" s="251">
        <f>'18 '!G88</f>
        <v>0</v>
      </c>
      <c r="AD22" s="251">
        <f>'18 '!G163+'18 '!G164</f>
        <v>116.39999999999691</v>
      </c>
      <c r="AE22" s="254">
        <f>'18 '!$G$116</f>
        <v>399.32999999999993</v>
      </c>
      <c r="AF22" s="254">
        <f>'18 '!$G$117</f>
        <v>176.44999999999982</v>
      </c>
      <c r="AG22" s="254">
        <f>'18 '!$G$118</f>
        <v>405.38999999998487</v>
      </c>
      <c r="AH22" s="254">
        <f>'18 '!$G$119</f>
        <v>432.23999999999069</v>
      </c>
      <c r="AI22" s="254">
        <f>'18 '!$G$120</f>
        <v>441.54000000000087</v>
      </c>
      <c r="AJ22" s="254">
        <f>'18 '!$G$121</f>
        <v>743.76000000000931</v>
      </c>
      <c r="AK22" s="254">
        <f>'18 '!$G$122</f>
        <v>214.67999999999302</v>
      </c>
      <c r="AL22" s="254">
        <f>'18 '!$G$123</f>
        <v>258.02999999999884</v>
      </c>
      <c r="AM22" s="254">
        <f>'18 '!$G$133</f>
        <v>665.19000000000233</v>
      </c>
      <c r="AN22" s="254">
        <f>'18 '!$G$15</f>
        <v>1056.8049999999348</v>
      </c>
      <c r="AO22" s="256">
        <f>'18 '!$G$74</f>
        <v>298.39000000001397</v>
      </c>
      <c r="AP22" s="256">
        <f>'18 '!$G$75</f>
        <v>0</v>
      </c>
      <c r="AQ22" s="256">
        <f>'18 '!$G$76</f>
        <v>112.64999999999418</v>
      </c>
      <c r="AR22" s="256">
        <f>'18 '!$G$77</f>
        <v>50.599999999998545</v>
      </c>
      <c r="AS22" s="256">
        <f>'18 '!$G$78</f>
        <v>1.2000000000007276</v>
      </c>
      <c r="AT22" s="256">
        <f t="shared" si="0"/>
        <v>593.96499999992739</v>
      </c>
      <c r="AU22" s="254">
        <f>SUM('18 '!G91:G92)</f>
        <v>11.320000000000164</v>
      </c>
      <c r="AV22" s="254">
        <f>'18 '!$G$88</f>
        <v>0</v>
      </c>
      <c r="AW22" s="254">
        <f>'18 '!$G$89</f>
        <v>10.959999999999127</v>
      </c>
      <c r="AX22" s="254">
        <f>'18 '!$G$90</f>
        <v>4.0200000000040745</v>
      </c>
      <c r="AY22" s="252">
        <f t="shared" si="1"/>
        <v>14.980000000003201</v>
      </c>
      <c r="AZ22" s="311">
        <f t="shared" si="6"/>
        <v>26.359540636043256</v>
      </c>
      <c r="BA22" s="311">
        <f t="shared" si="3"/>
        <v>39.650534045380539</v>
      </c>
      <c r="BB22" s="351">
        <f t="shared" si="4"/>
        <v>3933.919999999991</v>
      </c>
      <c r="BC22" s="351">
        <f t="shared" si="5"/>
        <v>19.131991051454094</v>
      </c>
    </row>
    <row r="23" spans="1:55" s="313" customFormat="1" x14ac:dyDescent="0.2">
      <c r="A23" s="359">
        <v>19</v>
      </c>
      <c r="B23" s="642">
        <f>'19'!G7</f>
        <v>-572201</v>
      </c>
      <c r="C23" s="642">
        <f>'19'!G8</f>
        <v>420440.2</v>
      </c>
      <c r="D23" s="642">
        <f>'19'!G15</f>
        <v>-30817.079999999842</v>
      </c>
      <c r="E23" s="642">
        <f>'19'!G20</f>
        <v>-1518</v>
      </c>
      <c r="F23" s="642">
        <f>SUM('19'!G35,'19'!G49)</f>
        <v>-78648.100000000006</v>
      </c>
      <c r="G23" s="642">
        <f>SUM('19'!G37,'19'!G51)</f>
        <v>-49134.880000000005</v>
      </c>
      <c r="H23" s="642">
        <f>SUM('19'!G38,'19'!G52)</f>
        <v>-55958.5</v>
      </c>
      <c r="I23" s="642">
        <f>SUM('19'!G39,'19'!G53)</f>
        <v>-84584.14</v>
      </c>
      <c r="J23" s="642">
        <f>SUM('19'!G41,'19'!G42,'19'!G55,'19'!G56)</f>
        <v>-114167.97999999998</v>
      </c>
      <c r="K23" s="642">
        <f>SUM('19'!G43,'19'!G57)</f>
        <v>-63440.240000000005</v>
      </c>
      <c r="L23" s="251">
        <f>'19'!G50</f>
        <v>-35756.759999999995</v>
      </c>
      <c r="M23" s="251">
        <f>'19'!G36</f>
        <v>-25494.639999999999</v>
      </c>
      <c r="N23" s="251">
        <f>'19'!G138</f>
        <v>-2444</v>
      </c>
      <c r="O23" s="251">
        <f>'19'!$G$139</f>
        <v>-128</v>
      </c>
      <c r="P23" s="251">
        <f>'19'!$G$140</f>
        <v>-50.399999999994179</v>
      </c>
      <c r="Q23" s="251">
        <f>'19'!$G$141</f>
        <v>-5308.6200000000026</v>
      </c>
      <c r="R23" s="254">
        <f>'19'!G142</f>
        <v>-2175.9599999999991</v>
      </c>
      <c r="S23" s="251">
        <f>'19'!$G$145</f>
        <v>-348.90000000000055</v>
      </c>
      <c r="T23" s="251">
        <f>'19'!$G$146</f>
        <v>-12658</v>
      </c>
      <c r="U23" s="251">
        <f>'19'!$G$144</f>
        <v>-6314</v>
      </c>
      <c r="V23" s="251">
        <f>'19'!$G$147</f>
        <v>-11675.359999999986</v>
      </c>
      <c r="W23" s="251">
        <f>'19'!$G$148</f>
        <v>-7645.2800000000279</v>
      </c>
      <c r="X23" s="251">
        <f>'19'!$G$143</f>
        <v>-822.94</v>
      </c>
      <c r="Y23" s="251">
        <f>'19'!$G$58</f>
        <v>-6336.73</v>
      </c>
      <c r="Z23" s="251">
        <f>'19'!$G$151</f>
        <v>-7287</v>
      </c>
      <c r="AA23" s="251">
        <f>'19'!G161</f>
        <v>-1161.4400000000023</v>
      </c>
      <c r="AB23" s="251">
        <f>'19'!G162</f>
        <v>-1051</v>
      </c>
      <c r="AC23" s="251">
        <f>'19'!G88</f>
        <v>-6.4099999999998545</v>
      </c>
      <c r="AD23" s="251">
        <f>'19'!G163+'19'!G164</f>
        <v>-1827.099999999994</v>
      </c>
      <c r="AE23" s="251">
        <f>'19'!$G$116</f>
        <v>-4994.12</v>
      </c>
      <c r="AF23" s="251">
        <f>'19'!$G$117</f>
        <v>-3024.71</v>
      </c>
      <c r="AG23" s="251">
        <f>'19'!$G$118</f>
        <v>-10858.179999999993</v>
      </c>
      <c r="AH23" s="251">
        <f>'19'!$G$119</f>
        <v>-12627.880000000005</v>
      </c>
      <c r="AI23" s="251">
        <f>'19'!$G$120</f>
        <v>-12630.880000000005</v>
      </c>
      <c r="AJ23" s="251">
        <f>'19'!$G$121</f>
        <v>-21599.080000000016</v>
      </c>
      <c r="AK23" s="251">
        <f>'19'!$G$122</f>
        <v>-6298.1599999999889</v>
      </c>
      <c r="AL23" s="251">
        <f>'19'!$G$123</f>
        <v>-7877.4599999999919</v>
      </c>
      <c r="AM23" s="251">
        <f>'19'!$G$133</f>
        <v>-17441.880000000005</v>
      </c>
      <c r="AN23" s="251">
        <f>'19'!$G$15</f>
        <v>-30817.079999999842</v>
      </c>
      <c r="AO23" s="256">
        <f>'19'!$G$74</f>
        <v>-9095.6800000000512</v>
      </c>
      <c r="AP23" s="256">
        <f>'19'!$G$75</f>
        <v>0</v>
      </c>
      <c r="AQ23" s="256">
        <f>'19'!$G$76</f>
        <v>-3211.9800000000105</v>
      </c>
      <c r="AR23" s="256">
        <f>'19'!$G$77</f>
        <v>-1285.9000000000015</v>
      </c>
      <c r="AS23" s="256">
        <f>'19'!$G$78</f>
        <v>-39.800000000001091</v>
      </c>
      <c r="AT23" s="256">
        <f t="shared" si="0"/>
        <v>-17183.719999999776</v>
      </c>
      <c r="AU23" s="251">
        <f>SUM('19'!G91:G92)</f>
        <v>-332.6899999999996</v>
      </c>
      <c r="AV23" s="251">
        <f>'19'!$G$88</f>
        <v>-6.4099999999998545</v>
      </c>
      <c r="AW23" s="251">
        <f>'19'!$G$89</f>
        <v>-300.04999999999927</v>
      </c>
      <c r="AX23" s="251">
        <f>'19'!$G$90</f>
        <v>-107.09999999999127</v>
      </c>
      <c r="AY23" s="255">
        <f t="shared" si="1"/>
        <v>-413.5599999999904</v>
      </c>
      <c r="AZ23" s="311">
        <f t="shared" si="6"/>
        <v>27.339805825242905</v>
      </c>
      <c r="BA23" s="311">
        <f t="shared" si="3"/>
        <v>41.550730244704937</v>
      </c>
      <c r="BB23" s="351">
        <f t="shared" si="4"/>
        <v>872710.77</v>
      </c>
      <c r="BC23" s="351">
        <f t="shared" si="5"/>
        <v>-152.51821824848261</v>
      </c>
    </row>
    <row r="24" spans="1:55" x14ac:dyDescent="0.2">
      <c r="A24" s="359">
        <v>20</v>
      </c>
      <c r="B24" s="642">
        <f>'20'!G7</f>
        <v>16723.150000000023</v>
      </c>
      <c r="C24" s="642">
        <f>'20'!G8</f>
        <v>17336.710000000021</v>
      </c>
      <c r="D24" s="642">
        <f>'20'!G15</f>
        <v>986.94999999995343</v>
      </c>
      <c r="E24" s="642">
        <f>'20'!G20</f>
        <v>216</v>
      </c>
      <c r="F24" s="642">
        <f>SUM('20'!G35,'20'!G49)</f>
        <v>2570.5700000000015</v>
      </c>
      <c r="G24" s="642">
        <f>SUM('20'!G37,'20'!G51)</f>
        <v>1537.7799999999988</v>
      </c>
      <c r="H24" s="642">
        <f>SUM('20'!G38,'20'!G52)</f>
        <v>1612.8499999999985</v>
      </c>
      <c r="I24" s="642">
        <f>SUM('20'!G39,'20'!G53)</f>
        <v>2507.0499999999993</v>
      </c>
      <c r="J24" s="642">
        <f>SUM('20'!G41,'20'!G42,'20'!G55,'20'!G56)</f>
        <v>2588.6399999999994</v>
      </c>
      <c r="K24" s="642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2">
        <f>'21'!G7</f>
        <v>17868.559999999998</v>
      </c>
      <c r="C25" s="642">
        <f>'21'!G8</f>
        <v>18548.039999999979</v>
      </c>
      <c r="D25" s="642">
        <f>'21'!G15</f>
        <v>1017.3400000000838</v>
      </c>
      <c r="E25" s="642">
        <f>'21'!G20</f>
        <v>167</v>
      </c>
      <c r="F25" s="642">
        <f>SUM('21'!G35,'21'!G49)</f>
        <v>2555.7699999999968</v>
      </c>
      <c r="G25" s="642">
        <f>SUM('21'!G37,'21'!G51)</f>
        <v>1565.5</v>
      </c>
      <c r="H25" s="642">
        <f>SUM('21'!G38,'21'!G52)</f>
        <v>1671.4500000000007</v>
      </c>
      <c r="I25" s="642">
        <f>SUM('21'!G39,'21'!G53)</f>
        <v>2598.239999999998</v>
      </c>
      <c r="J25" s="642">
        <f>SUM('21'!G41,'21'!G42,'21'!G55,'21'!G56)</f>
        <v>2838.3999999999942</v>
      </c>
      <c r="K25" s="642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2">
        <f>'22'!G7</f>
        <v>19215.959999999963</v>
      </c>
      <c r="C26" s="642">
        <f>'22'!G8</f>
        <v>19922.760000000009</v>
      </c>
      <c r="D26" s="642">
        <f>'22'!G15</f>
        <v>1036.4099999999162</v>
      </c>
      <c r="E26" s="642">
        <f>'22'!G20</f>
        <v>176</v>
      </c>
      <c r="F26" s="642">
        <f>SUM('22'!G35,'22'!G49)</f>
        <v>2596.6300000000028</v>
      </c>
      <c r="G26" s="642">
        <f>SUM('22'!G37,'22'!G51)</f>
        <v>1587.0900000000001</v>
      </c>
      <c r="H26" s="642">
        <f>SUM('22'!G38,'22'!G52)</f>
        <v>1787.2400000000016</v>
      </c>
      <c r="I26" s="642">
        <f>SUM('22'!G39,'22'!G53)</f>
        <v>2648.7000000000044</v>
      </c>
      <c r="J26" s="642">
        <f>SUM('22'!G41,'22'!G42,'22'!G55,'22'!G56)</f>
        <v>3073.5800000000017</v>
      </c>
      <c r="K26" s="642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2">
        <f>'23'!G7</f>
        <v>18703.160000000033</v>
      </c>
      <c r="C27" s="642">
        <f>'23'!G8</f>
        <v>19388.319999999949</v>
      </c>
      <c r="D27" s="642">
        <f>'23'!G15</f>
        <v>979.91999999992549</v>
      </c>
      <c r="E27" s="642">
        <f>'23'!G20</f>
        <v>216</v>
      </c>
      <c r="F27" s="642">
        <f>SUM('23'!G35,'23'!G49)</f>
        <v>2448.6800000000003</v>
      </c>
      <c r="G27" s="642">
        <f>SUM('23'!G37,'23'!G51)</f>
        <v>1571.9800000000032</v>
      </c>
      <c r="H27" s="642">
        <f>SUM('23'!G38,'23'!G52)</f>
        <v>1932.0699999999997</v>
      </c>
      <c r="I27" s="642">
        <f>SUM('23'!G39,'23'!G53)</f>
        <v>2576.25</v>
      </c>
      <c r="J27" s="642">
        <f>SUM('23'!G41,'23'!G42,'23'!G55,'23'!G56)</f>
        <v>2695.2200000000012</v>
      </c>
      <c r="K27" s="642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2">
        <f>'24'!G7</f>
        <v>16363.169999999984</v>
      </c>
      <c r="C28" s="642">
        <f>'24'!G8</f>
        <v>16876.170000000042</v>
      </c>
      <c r="D28" s="642">
        <f>'24'!G15</f>
        <v>1037.0800000000745</v>
      </c>
      <c r="E28" s="642">
        <f>'24'!G20</f>
        <v>212</v>
      </c>
      <c r="F28" s="642">
        <f>SUM('24'!G35,'24'!G49)</f>
        <v>2037.0099999999984</v>
      </c>
      <c r="G28" s="642">
        <f>SUM('24'!G37,'24'!G51)</f>
        <v>1645.5099999999984</v>
      </c>
      <c r="H28" s="642">
        <f>SUM('24'!G38,'24'!G52)</f>
        <v>1826.3899999999994</v>
      </c>
      <c r="I28" s="642">
        <f>SUM('24'!G39,'24'!G53)</f>
        <v>2607.1999999999971</v>
      </c>
      <c r="J28" s="642">
        <f>SUM('24'!G41,'24'!G42,'24'!G55,'24'!G56)</f>
        <v>2484.3300000000017</v>
      </c>
      <c r="K28" s="642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2">
        <f>'25'!G7</f>
        <v>16329</v>
      </c>
      <c r="C29" s="642">
        <f>'25'!G8</f>
        <v>16627</v>
      </c>
      <c r="D29" s="642">
        <f>'25'!G15</f>
        <v>815</v>
      </c>
      <c r="E29" s="642">
        <f>'25'!G20</f>
        <v>190</v>
      </c>
      <c r="F29" s="642">
        <f>SUM('25'!G35,'25'!G49)</f>
        <v>2140</v>
      </c>
      <c r="G29" s="642">
        <f>SUM('25'!G37,'25'!G51)</f>
        <v>1608</v>
      </c>
      <c r="H29" s="642">
        <f>SUM('25'!G38,'25'!G52)</f>
        <v>1761</v>
      </c>
      <c r="I29" s="642">
        <f>SUM('25'!G39,'25'!G53)</f>
        <v>2591</v>
      </c>
      <c r="J29" s="642">
        <f>SUM('25'!G41,'25'!G42,'25'!G55,'25'!G56)</f>
        <v>3028.3999999999942</v>
      </c>
      <c r="K29" s="642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2">
        <f>'26'!G7</f>
        <v>16454</v>
      </c>
      <c r="C30" s="642">
        <f>'26'!G8</f>
        <v>16892</v>
      </c>
      <c r="D30" s="642">
        <f>'26'!G15</f>
        <v>936</v>
      </c>
      <c r="E30" s="642">
        <f>'26'!G20</f>
        <v>175</v>
      </c>
      <c r="F30" s="642">
        <f>SUM('26'!G35,'26'!G49)</f>
        <v>2079</v>
      </c>
      <c r="G30" s="642">
        <f>SUM('26'!G37,'26'!G51)</f>
        <v>1519</v>
      </c>
      <c r="H30" s="642">
        <f>SUM('26'!G38,'26'!G52)</f>
        <v>1746</v>
      </c>
      <c r="I30" s="642">
        <f>SUM('26'!G39,'26'!G53)</f>
        <v>2557</v>
      </c>
      <c r="J30" s="642">
        <f>SUM('26'!G41,'26'!G42,'26'!G55,'26'!G56)</f>
        <v>3448</v>
      </c>
      <c r="K30" s="642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2">
        <f>'27'!G7</f>
        <v>17608</v>
      </c>
      <c r="C31" s="642">
        <f>'27'!G8</f>
        <v>17701</v>
      </c>
      <c r="D31" s="642">
        <f>'27'!G15</f>
        <v>954</v>
      </c>
      <c r="E31" s="642">
        <f>'27'!G20</f>
        <v>177</v>
      </c>
      <c r="F31" s="642">
        <f>SUM('27'!G35,'27'!G49)</f>
        <v>2111</v>
      </c>
      <c r="G31" s="642">
        <f>SUM('27'!G37,'27'!G51)</f>
        <v>1582</v>
      </c>
      <c r="H31" s="642">
        <f>SUM('27'!G38,'27'!G52)</f>
        <v>1792</v>
      </c>
      <c r="I31" s="642">
        <f>SUM('27'!G39,'27'!G53)</f>
        <v>2612</v>
      </c>
      <c r="J31" s="642">
        <f>SUM('27'!G41,'27'!G42,'27'!G55,'27'!G56)</f>
        <v>3934</v>
      </c>
      <c r="K31" s="642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 x14ac:dyDescent="0.2">
      <c r="A32" s="359">
        <v>28</v>
      </c>
      <c r="B32" s="642">
        <f>'28'!G7</f>
        <v>17654</v>
      </c>
      <c r="C32" s="642">
        <f>'28'!G8</f>
        <v>17886</v>
      </c>
      <c r="D32" s="642">
        <f>'28'!G15</f>
        <v>971</v>
      </c>
      <c r="E32" s="642">
        <f>'28'!G20</f>
        <v>92</v>
      </c>
      <c r="F32" s="642">
        <f>SUM('28'!G35,'28'!G49)</f>
        <v>2153</v>
      </c>
      <c r="G32" s="642">
        <f>SUM('28'!G37,'28'!G51)</f>
        <v>1576</v>
      </c>
      <c r="H32" s="642">
        <f>SUM('28'!G38,'28'!G52)</f>
        <v>1753</v>
      </c>
      <c r="I32" s="642">
        <f>SUM('28'!G39,'28'!G53)</f>
        <v>2604</v>
      </c>
      <c r="J32" s="642">
        <f>SUM('28'!G41,'28'!G42,'28'!G55,'28'!G56)</f>
        <v>4136</v>
      </c>
      <c r="K32" s="642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 x14ac:dyDescent="0.2">
      <c r="A33" s="359">
        <v>29</v>
      </c>
      <c r="B33" s="642">
        <f>'29'!G7</f>
        <v>17167</v>
      </c>
      <c r="C33" s="642">
        <f>'29'!G8</f>
        <v>17492</v>
      </c>
      <c r="D33" s="642">
        <f>'29'!G15</f>
        <v>1002</v>
      </c>
      <c r="E33" s="642">
        <f>'29'!G20</f>
        <v>312</v>
      </c>
      <c r="F33" s="642">
        <f>SUM('29'!G35,'29'!G49)</f>
        <v>2108</v>
      </c>
      <c r="G33" s="642">
        <f>SUM('29'!G37,'29'!G51)</f>
        <v>1611</v>
      </c>
      <c r="H33" s="642">
        <f>SUM('29'!G38,'29'!G52)</f>
        <v>1750</v>
      </c>
      <c r="I33" s="642">
        <f>SUM('29'!G39,'29'!G53)</f>
        <v>2606</v>
      </c>
      <c r="J33" s="642">
        <f>SUM('29'!G41,'29'!G42,'29'!G55,'29'!G56)</f>
        <v>3572</v>
      </c>
      <c r="K33" s="642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 x14ac:dyDescent="0.2">
      <c r="A34" s="359">
        <v>30</v>
      </c>
      <c r="B34" s="642">
        <f>'30'!G7</f>
        <v>17289</v>
      </c>
      <c r="C34" s="642">
        <f>'30'!G8</f>
        <v>17529</v>
      </c>
      <c r="D34" s="642">
        <f>'30'!G15</f>
        <v>929</v>
      </c>
      <c r="E34" s="642">
        <f>'30'!G20</f>
        <v>226</v>
      </c>
      <c r="F34" s="642">
        <f>SUM('30'!G35,'30'!G49)</f>
        <v>2077</v>
      </c>
      <c r="G34" s="642">
        <f>SUM('30'!G37,'30'!G51)</f>
        <v>1553</v>
      </c>
      <c r="H34" s="642">
        <f>SUM('30'!G38,'30'!G52)</f>
        <v>1629</v>
      </c>
      <c r="I34" s="642">
        <f>SUM('30'!G39,'30'!G53)</f>
        <v>2616</v>
      </c>
      <c r="J34" s="642">
        <f>SUM('30'!G41,'30'!G42,'30'!G55,'30'!G56)</f>
        <v>3884</v>
      </c>
      <c r="K34" s="642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 x14ac:dyDescent="0.2">
      <c r="A35" s="359">
        <v>31</v>
      </c>
      <c r="B35" s="642">
        <f>'31'!G7</f>
        <v>17614.229999999981</v>
      </c>
      <c r="C35" s="642">
        <f>'31'!G8</f>
        <v>17830.150000000023</v>
      </c>
      <c r="D35" s="642">
        <f>'31'!G15</f>
        <v>915.76699999999255</v>
      </c>
      <c r="E35" s="642">
        <f>'31'!G20</f>
        <v>146</v>
      </c>
      <c r="F35" s="642">
        <f>SUM('31'!G35,'31'!G49)</f>
        <v>2110.1699999999983</v>
      </c>
      <c r="G35" s="642">
        <f>SUM('31'!G37,'31'!G51)</f>
        <v>1588.0899999999965</v>
      </c>
      <c r="H35" s="642">
        <f>SUM('31'!G38,'31'!G52)</f>
        <v>1627.4300000000003</v>
      </c>
      <c r="I35" s="642">
        <f>SUM('31'!G39,'31'!G53)</f>
        <v>2649.2900000000009</v>
      </c>
      <c r="J35" s="642">
        <f>SUM('31'!G41,'31'!G42,'31'!G55,'31'!G56)</f>
        <v>4318.8500000000058</v>
      </c>
      <c r="K35" s="642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 x14ac:dyDescent="0.2">
      <c r="A36" s="304" t="s">
        <v>359</v>
      </c>
      <c r="B36" s="305">
        <f>AVERAGE(B5:B35)</f>
        <v>0.4838709677419355</v>
      </c>
      <c r="C36" s="305">
        <f t="shared" ref="C36:BC36" si="9">AVERAGE(C5:C35)</f>
        <v>32258.922580645161</v>
      </c>
      <c r="D36" s="305">
        <f t="shared" si="9"/>
        <v>0</v>
      </c>
      <c r="E36" s="305">
        <f t="shared" si="9"/>
        <v>186.45161290322579</v>
      </c>
      <c r="F36" s="305">
        <f t="shared" si="9"/>
        <v>-1.1735415506747461E-13</v>
      </c>
      <c r="G36" s="305">
        <f t="shared" si="9"/>
        <v>0</v>
      </c>
      <c r="H36" s="305">
        <f t="shared" si="9"/>
        <v>0</v>
      </c>
      <c r="I36" s="305">
        <f t="shared" si="9"/>
        <v>-1.1735415506747461E-13</v>
      </c>
      <c r="J36" s="305">
        <f t="shared" si="9"/>
        <v>-2.0235483870966426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-1.1290322580645162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1.4669269383434326E-14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0.46333333333331256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9.6774193548387094E-2</v>
      </c>
      <c r="AT36" s="305">
        <f t="shared" si="9"/>
        <v>-9.6774193548328419E-2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27.238491677446827</v>
      </c>
      <c r="BA36" s="305">
        <f t="shared" si="9"/>
        <v>42.3704350192058</v>
      </c>
      <c r="BB36" s="305">
        <f t="shared" si="9"/>
        <v>32260.946129032262</v>
      </c>
      <c r="BC36" s="305">
        <f t="shared" si="9"/>
        <v>16.637057732249723</v>
      </c>
    </row>
    <row r="37" spans="1:55" x14ac:dyDescent="0.2">
      <c r="A37" s="261" t="s">
        <v>196</v>
      </c>
      <c r="B37" s="305">
        <f>SUM(B5:B35)</f>
        <v>15</v>
      </c>
      <c r="C37" s="305">
        <f t="shared" ref="C37:BC37" si="10">SUM(C5:C35)</f>
        <v>1000026.6</v>
      </c>
      <c r="D37" s="305">
        <f t="shared" si="10"/>
        <v>0</v>
      </c>
      <c r="E37" s="305">
        <f t="shared" si="10"/>
        <v>5780</v>
      </c>
      <c r="F37" s="305">
        <f>SUM(F5:F35)</f>
        <v>-3.637978807091713E-12</v>
      </c>
      <c r="G37" s="305">
        <f t="shared" si="10"/>
        <v>0</v>
      </c>
      <c r="H37" s="305">
        <f t="shared" si="10"/>
        <v>0</v>
      </c>
      <c r="I37" s="305">
        <f t="shared" si="10"/>
        <v>-3.637978807091713E-12</v>
      </c>
      <c r="J37" s="305">
        <f t="shared" si="10"/>
        <v>-62.729999999995925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-35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4.5474735088646412E-13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9.7299999999995634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3</v>
      </c>
      <c r="AT37" s="305">
        <f t="shared" si="10"/>
        <v>-2.999999999998181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653.72380025872383</v>
      </c>
      <c r="BA37" s="305">
        <f t="shared" si="10"/>
        <v>1313.4834855953798</v>
      </c>
      <c r="BB37" s="305">
        <f t="shared" si="10"/>
        <v>1000089.3300000001</v>
      </c>
      <c r="BC37" s="305">
        <f t="shared" si="10"/>
        <v>515.74878969974145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3">
        <f t="shared" ref="F39:K39" si="11">F19-F18</f>
        <v>24.029999999998836</v>
      </c>
      <c r="G39" s="643">
        <f t="shared" si="11"/>
        <v>34.69999999999709</v>
      </c>
      <c r="H39" s="643">
        <f t="shared" si="11"/>
        <v>-68.399999999994179</v>
      </c>
      <c r="I39" s="643">
        <f t="shared" si="11"/>
        <v>-23.80000000000291</v>
      </c>
      <c r="J39" s="643">
        <f t="shared" si="11"/>
        <v>-37.46000000001186</v>
      </c>
      <c r="K39" s="643">
        <f t="shared" si="11"/>
        <v>-6.4200000000128057</v>
      </c>
      <c r="L39" s="643"/>
      <c r="M39" s="643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1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85" t="s">
        <v>115</v>
      </c>
      <c r="B1" s="786"/>
      <c r="C1" s="786"/>
      <c r="D1" s="786"/>
      <c r="E1" s="786"/>
      <c r="F1" s="786"/>
      <c r="G1" s="786"/>
      <c r="H1" s="786"/>
      <c r="I1" s="786"/>
      <c r="J1" s="787"/>
    </row>
    <row r="2" spans="1:15" ht="27" x14ac:dyDescent="0.4">
      <c r="A2" s="508" t="s">
        <v>350</v>
      </c>
      <c r="B2" s="531">
        <v>44593</v>
      </c>
      <c r="C2" s="378" t="s">
        <v>67</v>
      </c>
      <c r="D2" s="379">
        <v>0.40589999999999998</v>
      </c>
      <c r="E2" s="699"/>
      <c r="F2" s="378"/>
      <c r="G2" s="711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09"/>
      <c r="B3" s="380"/>
      <c r="C3" s="378" t="s">
        <v>118</v>
      </c>
      <c r="D3" s="381">
        <v>23</v>
      </c>
      <c r="E3" s="797" t="s">
        <v>119</v>
      </c>
      <c r="F3" s="798"/>
      <c r="G3" s="711"/>
      <c r="H3" s="382"/>
      <c r="I3" s="382"/>
      <c r="J3" s="383"/>
      <c r="K3" s="532"/>
      <c r="L3" s="427"/>
    </row>
    <row r="4" spans="1:15" ht="27" x14ac:dyDescent="0.5">
      <c r="A4" s="510"/>
      <c r="B4" s="384"/>
      <c r="C4" s="378" t="s">
        <v>120</v>
      </c>
      <c r="D4" s="379">
        <v>0.55000000000000004</v>
      </c>
      <c r="E4" s="700"/>
      <c r="F4" s="385"/>
      <c r="G4" s="711"/>
      <c r="H4" s="385"/>
      <c r="I4" s="386"/>
      <c r="J4" s="383"/>
      <c r="K4" s="533"/>
      <c r="L4" s="427"/>
    </row>
    <row r="5" spans="1:15" s="160" customFormat="1" ht="22.5" x14ac:dyDescent="0.4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6"/>
      <c r="L5" s="180"/>
    </row>
    <row r="6" spans="1:15" ht="22.5" x14ac:dyDescent="0.4">
      <c r="A6" s="788" t="s">
        <v>128</v>
      </c>
      <c r="B6" s="789"/>
      <c r="C6" s="790"/>
      <c r="D6" s="389"/>
      <c r="E6" s="389"/>
      <c r="F6" s="390"/>
      <c r="G6" s="712"/>
      <c r="H6" s="390"/>
      <c r="I6" s="390"/>
      <c r="J6" s="391"/>
      <c r="K6" s="534"/>
      <c r="L6" s="427"/>
    </row>
    <row r="7" spans="1:15" ht="23.25" thickBot="1" x14ac:dyDescent="0.45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49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 x14ac:dyDescent="0.45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49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 x14ac:dyDescent="0.4">
      <c r="A9" s="514" t="s">
        <v>132</v>
      </c>
      <c r="B9" s="400"/>
      <c r="C9" s="400"/>
      <c r="D9" s="393" t="s">
        <v>130</v>
      </c>
      <c r="E9" s="701">
        <v>282253.84999999998</v>
      </c>
      <c r="F9" s="660">
        <v>297005.71000000002</v>
      </c>
      <c r="G9" s="713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 x14ac:dyDescent="0.4">
      <c r="A10" s="512" t="s">
        <v>133</v>
      </c>
      <c r="B10" s="392"/>
      <c r="C10" s="392"/>
      <c r="D10" s="393" t="s">
        <v>130</v>
      </c>
      <c r="E10" s="702">
        <v>105258.97</v>
      </c>
      <c r="F10" s="660">
        <v>107261.54</v>
      </c>
      <c r="G10" s="713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 x14ac:dyDescent="0.4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3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 x14ac:dyDescent="0.4">
      <c r="A12" s="512" t="s">
        <v>135</v>
      </c>
      <c r="B12" s="392"/>
      <c r="C12" s="392"/>
      <c r="D12" s="393" t="s">
        <v>130</v>
      </c>
      <c r="E12" s="401">
        <v>40010</v>
      </c>
      <c r="F12" s="660">
        <v>40010</v>
      </c>
      <c r="G12" s="713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 x14ac:dyDescent="0.4">
      <c r="A13" s="515" t="s">
        <v>136</v>
      </c>
      <c r="B13" s="403"/>
      <c r="C13" s="403"/>
      <c r="D13" s="393"/>
      <c r="E13" s="394"/>
      <c r="F13" s="395"/>
      <c r="G13" s="713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 x14ac:dyDescent="0.4">
      <c r="A14" s="791" t="s">
        <v>137</v>
      </c>
      <c r="B14" s="792"/>
      <c r="C14" s="793"/>
      <c r="D14" s="390"/>
      <c r="E14" s="390"/>
      <c r="F14" s="646"/>
      <c r="G14" s="714"/>
      <c r="H14" s="646"/>
      <c r="I14" s="646"/>
      <c r="J14" s="647"/>
      <c r="K14" s="538"/>
      <c r="L14" s="427"/>
      <c r="N14" s="536"/>
      <c r="O14" s="171"/>
    </row>
    <row r="15" spans="1:15" ht="22.5" x14ac:dyDescent="0.4">
      <c r="A15" s="516" t="s">
        <v>138</v>
      </c>
      <c r="B15" s="405"/>
      <c r="C15" s="405"/>
      <c r="D15" s="393" t="s">
        <v>139</v>
      </c>
      <c r="E15" s="406">
        <v>1906636.767</v>
      </c>
      <c r="F15" s="661">
        <v>1907555.325</v>
      </c>
      <c r="G15" s="715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 x14ac:dyDescent="0.4">
      <c r="A16" s="517"/>
      <c r="B16" s="408"/>
      <c r="C16" s="408"/>
      <c r="D16" s="409"/>
      <c r="E16" s="406"/>
      <c r="F16" s="659"/>
      <c r="G16" s="713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 x14ac:dyDescent="0.4">
      <c r="A17" s="791" t="s">
        <v>140</v>
      </c>
      <c r="B17" s="792"/>
      <c r="C17" s="793"/>
      <c r="D17" s="390"/>
      <c r="E17" s="390"/>
      <c r="F17" s="646"/>
      <c r="G17" s="714"/>
      <c r="H17" s="646"/>
      <c r="I17" s="646"/>
      <c r="J17" s="647"/>
      <c r="K17" s="537"/>
      <c r="L17" s="427"/>
      <c r="N17" s="536"/>
      <c r="O17" s="171"/>
    </row>
    <row r="18" spans="1:15" ht="22.5" x14ac:dyDescent="0.4">
      <c r="A18" s="782" t="s">
        <v>141</v>
      </c>
      <c r="B18" s="783"/>
      <c r="C18" s="784"/>
      <c r="D18" s="393" t="s">
        <v>142</v>
      </c>
      <c r="E18" s="433">
        <v>9</v>
      </c>
      <c r="F18" s="662">
        <v>18</v>
      </c>
      <c r="G18" s="655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 x14ac:dyDescent="0.4">
      <c r="A19" s="782" t="s">
        <v>69</v>
      </c>
      <c r="B19" s="783"/>
      <c r="C19" s="784"/>
      <c r="D19" s="393" t="s">
        <v>142</v>
      </c>
      <c r="E19" s="411">
        <v>153891</v>
      </c>
      <c r="F19" s="662">
        <v>153946</v>
      </c>
      <c r="G19" s="713">
        <f t="shared" ref="G19" si="2">F19-E19</f>
        <v>55</v>
      </c>
      <c r="H19" s="395">
        <f t="shared" ref="H19" si="3">G19</f>
        <v>55</v>
      </c>
      <c r="I19" s="660"/>
      <c r="J19" s="396">
        <f>H19/DAY(B2)</f>
        <v>55</v>
      </c>
      <c r="K19" s="537"/>
      <c r="L19" s="427"/>
      <c r="N19" s="536"/>
      <c r="O19" s="171"/>
    </row>
    <row r="20" spans="1:15" ht="22.5" x14ac:dyDescent="0.4">
      <c r="A20" s="515" t="s">
        <v>143</v>
      </c>
      <c r="B20" s="403"/>
      <c r="C20" s="403"/>
      <c r="D20" s="412"/>
      <c r="E20" s="412"/>
      <c r="F20" s="663"/>
      <c r="G20" s="716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 x14ac:dyDescent="0.4">
      <c r="A21" s="791" t="s">
        <v>144</v>
      </c>
      <c r="B21" s="792"/>
      <c r="C21" s="793"/>
      <c r="D21" s="390"/>
      <c r="E21" s="390"/>
      <c r="F21" s="646"/>
      <c r="G21" s="714"/>
      <c r="H21" s="646"/>
      <c r="I21" s="646"/>
      <c r="J21" s="647"/>
      <c r="K21" s="537"/>
      <c r="L21" s="427"/>
      <c r="N21" s="536"/>
      <c r="O21" s="171"/>
    </row>
    <row r="22" spans="1:15" ht="22.5" x14ac:dyDescent="0.4">
      <c r="A22" s="516" t="s">
        <v>145</v>
      </c>
      <c r="B22" s="405"/>
      <c r="C22" s="405"/>
      <c r="D22" s="393" t="s">
        <v>146</v>
      </c>
      <c r="E22" s="411">
        <v>2970</v>
      </c>
      <c r="F22" s="662">
        <v>2970</v>
      </c>
      <c r="G22" s="655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 x14ac:dyDescent="0.4">
      <c r="A23" s="516" t="s">
        <v>147</v>
      </c>
      <c r="B23" s="405"/>
      <c r="C23" s="405"/>
      <c r="D23" s="393" t="s">
        <v>146</v>
      </c>
      <c r="E23" s="411">
        <v>2000</v>
      </c>
      <c r="F23" s="662">
        <v>2000</v>
      </c>
      <c r="G23" s="655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 x14ac:dyDescent="0.4">
      <c r="A24" s="518" t="s">
        <v>148</v>
      </c>
      <c r="B24" s="414"/>
      <c r="C24" s="414"/>
      <c r="D24" s="387" t="s">
        <v>146</v>
      </c>
      <c r="E24" s="703">
        <v>4970</v>
      </c>
      <c r="F24" s="664"/>
      <c r="G24" s="655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 x14ac:dyDescent="0.4">
      <c r="A25" s="788" t="s">
        <v>149</v>
      </c>
      <c r="B25" s="789"/>
      <c r="C25" s="790"/>
      <c r="D25" s="389"/>
      <c r="E25" s="389"/>
      <c r="F25" s="646"/>
      <c r="G25" s="714"/>
      <c r="H25" s="646"/>
      <c r="I25" s="665"/>
      <c r="J25" s="647"/>
      <c r="K25" s="537"/>
      <c r="L25" s="427"/>
      <c r="N25" s="536"/>
      <c r="O25" s="171"/>
    </row>
    <row r="26" spans="1:15" ht="22.5" x14ac:dyDescent="0.4">
      <c r="A26" s="519" t="s">
        <v>150</v>
      </c>
      <c r="B26" s="415"/>
      <c r="C26" s="416"/>
      <c r="D26" s="417" t="s">
        <v>151</v>
      </c>
      <c r="E26" s="704"/>
      <c r="F26" s="666"/>
      <c r="G26" s="717"/>
      <c r="H26" s="395"/>
      <c r="I26" s="418"/>
      <c r="J26" s="396"/>
      <c r="K26" s="538"/>
      <c r="L26" s="427"/>
      <c r="N26" s="536"/>
      <c r="O26" s="171"/>
    </row>
    <row r="27" spans="1:15" ht="22.5" x14ac:dyDescent="0.4">
      <c r="A27" s="519" t="s">
        <v>5</v>
      </c>
      <c r="B27" s="415"/>
      <c r="C27" s="416"/>
      <c r="D27" s="419" t="s">
        <v>24</v>
      </c>
      <c r="E27" s="705">
        <f>G8</f>
        <v>17458.849999999977</v>
      </c>
      <c r="F27" s="667">
        <v>9</v>
      </c>
      <c r="G27" s="718">
        <f>E27*F27</f>
        <v>157129.64999999979</v>
      </c>
      <c r="H27" s="395">
        <f t="shared" ref="H27:H32" si="6">G27</f>
        <v>157129.64999999979</v>
      </c>
      <c r="I27" s="668"/>
      <c r="J27" s="396">
        <f>H27/DAY(B2)</f>
        <v>157129.64999999979</v>
      </c>
      <c r="K27" s="537"/>
      <c r="L27" s="427"/>
      <c r="N27" s="536"/>
      <c r="O27" s="171"/>
    </row>
    <row r="28" spans="1:15" ht="22.5" x14ac:dyDescent="0.4">
      <c r="A28" s="519" t="s">
        <v>152</v>
      </c>
      <c r="B28" s="415"/>
      <c r="C28" s="416"/>
      <c r="D28" s="419" t="s">
        <v>153</v>
      </c>
      <c r="E28" s="705">
        <f>G15</f>
        <v>918.55799999996088</v>
      </c>
      <c r="F28" s="667">
        <v>52</v>
      </c>
      <c r="G28" s="718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 x14ac:dyDescent="0.4">
      <c r="A29" s="519" t="s">
        <v>154</v>
      </c>
      <c r="B29" s="415"/>
      <c r="C29" s="416"/>
      <c r="D29" s="419" t="s">
        <v>155</v>
      </c>
      <c r="E29" s="705">
        <f>G24</f>
        <v>0</v>
      </c>
      <c r="F29" s="667">
        <v>69</v>
      </c>
      <c r="G29" s="718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 x14ac:dyDescent="0.4">
      <c r="A30" s="519" t="s">
        <v>156</v>
      </c>
      <c r="B30" s="415"/>
      <c r="C30" s="416"/>
      <c r="D30" s="419" t="s">
        <v>157</v>
      </c>
      <c r="E30" s="705">
        <f>G19</f>
        <v>55</v>
      </c>
      <c r="F30" s="667">
        <v>146</v>
      </c>
      <c r="G30" s="718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 x14ac:dyDescent="0.4">
      <c r="A31" s="519" t="s">
        <v>158</v>
      </c>
      <c r="B31" s="415"/>
      <c r="C31" s="416"/>
      <c r="D31" s="419" t="s">
        <v>142</v>
      </c>
      <c r="E31" s="705">
        <f>G18</f>
        <v>180</v>
      </c>
      <c r="F31" s="667">
        <v>80</v>
      </c>
      <c r="G31" s="718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 x14ac:dyDescent="0.4">
      <c r="A32" s="520" t="s">
        <v>159</v>
      </c>
      <c r="B32" s="420"/>
      <c r="C32" s="421"/>
      <c r="D32" s="422"/>
      <c r="E32" s="422"/>
      <c r="F32" s="648"/>
      <c r="G32" s="719">
        <f>G27+G28+G29+G30+G31</f>
        <v>227324.66599999776</v>
      </c>
      <c r="H32" s="672">
        <f t="shared" si="6"/>
        <v>227324.66599999776</v>
      </c>
      <c r="I32" s="673"/>
      <c r="J32" s="674">
        <f>H32/DAY(B2)</f>
        <v>227324.66599999776</v>
      </c>
      <c r="K32" s="537"/>
      <c r="L32" s="427"/>
      <c r="N32" s="536"/>
      <c r="O32" s="171"/>
    </row>
    <row r="33" spans="1:15" ht="25.5" customHeight="1" x14ac:dyDescent="0.4">
      <c r="A33" s="799" t="s">
        <v>331</v>
      </c>
      <c r="B33" s="800"/>
      <c r="C33" s="800"/>
      <c r="D33" s="539"/>
      <c r="E33" s="706"/>
      <c r="F33" s="669"/>
      <c r="G33" s="669"/>
      <c r="H33" s="669"/>
      <c r="I33" s="669"/>
      <c r="J33" s="670"/>
      <c r="K33" s="537"/>
      <c r="L33" s="427"/>
      <c r="N33" s="536"/>
      <c r="O33" s="171"/>
    </row>
    <row r="34" spans="1:15" ht="22.5" x14ac:dyDescent="0.4">
      <c r="A34" s="521" t="s">
        <v>160</v>
      </c>
      <c r="B34" s="423"/>
      <c r="C34" s="423"/>
      <c r="D34" s="390"/>
      <c r="E34" s="389"/>
      <c r="F34" s="646"/>
      <c r="G34" s="646"/>
      <c r="H34" s="646"/>
      <c r="I34" s="646"/>
      <c r="J34" s="647"/>
      <c r="K34" s="537"/>
      <c r="L34" s="427"/>
      <c r="N34" s="536"/>
      <c r="O34" s="171"/>
    </row>
    <row r="35" spans="1:15" ht="22.5" x14ac:dyDescent="0.4">
      <c r="A35" s="512" t="s">
        <v>161</v>
      </c>
      <c r="B35" s="392"/>
      <c r="C35" s="392"/>
      <c r="D35" s="393" t="s">
        <v>130</v>
      </c>
      <c r="E35" s="707">
        <v>32004.98</v>
      </c>
      <c r="F35" s="660">
        <v>33251</v>
      </c>
      <c r="G35" s="713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 x14ac:dyDescent="0.4">
      <c r="A36" s="512" t="s">
        <v>162</v>
      </c>
      <c r="B36" s="392"/>
      <c r="C36" s="392"/>
      <c r="D36" s="393" t="s">
        <v>130</v>
      </c>
      <c r="E36" s="707">
        <v>43458.74</v>
      </c>
      <c r="F36" s="660">
        <v>44169.5</v>
      </c>
      <c r="G36" s="713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 x14ac:dyDescent="0.4">
      <c r="A37" s="512" t="s">
        <v>163</v>
      </c>
      <c r="B37" s="392"/>
      <c r="C37" s="392"/>
      <c r="D37" s="393" t="s">
        <v>130</v>
      </c>
      <c r="E37" s="707">
        <v>35425.089999999997</v>
      </c>
      <c r="F37" s="660">
        <v>36979.199999999997</v>
      </c>
      <c r="G37" s="713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 x14ac:dyDescent="0.4">
      <c r="A38" s="512" t="s">
        <v>164</v>
      </c>
      <c r="B38" s="392"/>
      <c r="C38" s="392"/>
      <c r="D38" s="393" t="s">
        <v>130</v>
      </c>
      <c r="E38" s="708">
        <v>38376.43</v>
      </c>
      <c r="F38" s="395">
        <v>39996.699999999997</v>
      </c>
      <c r="G38" s="713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 x14ac:dyDescent="0.4">
      <c r="A39" s="512" t="s">
        <v>165</v>
      </c>
      <c r="B39" s="392"/>
      <c r="C39" s="392"/>
      <c r="D39" s="393" t="s">
        <v>130</v>
      </c>
      <c r="E39" s="707">
        <v>59173.29</v>
      </c>
      <c r="F39" s="660">
        <v>61782.879999999997</v>
      </c>
      <c r="G39" s="713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 x14ac:dyDescent="0.4">
      <c r="A40" s="522" t="s">
        <v>166</v>
      </c>
      <c r="B40" s="424"/>
      <c r="C40" s="424"/>
      <c r="D40" s="393" t="s">
        <v>130</v>
      </c>
      <c r="E40" s="707">
        <v>21249.86</v>
      </c>
      <c r="F40" s="660">
        <v>21938.6</v>
      </c>
      <c r="G40" s="713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 x14ac:dyDescent="0.4">
      <c r="A41" s="512" t="s">
        <v>167</v>
      </c>
      <c r="B41" s="392"/>
      <c r="C41" s="392"/>
      <c r="D41" s="393" t="s">
        <v>130</v>
      </c>
      <c r="E41" s="707">
        <v>62.73</v>
      </c>
      <c r="F41" s="660">
        <v>62.73</v>
      </c>
      <c r="G41" s="713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 x14ac:dyDescent="0.4">
      <c r="A42" s="512" t="s">
        <v>168</v>
      </c>
      <c r="B42" s="392"/>
      <c r="C42" s="392"/>
      <c r="D42" s="393" t="s">
        <v>130</v>
      </c>
      <c r="E42" s="707">
        <v>100129.74</v>
      </c>
      <c r="F42" s="660">
        <v>104117.53</v>
      </c>
      <c r="G42" s="713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 x14ac:dyDescent="0.4">
      <c r="A43" s="512" t="s">
        <v>169</v>
      </c>
      <c r="B43" s="392"/>
      <c r="C43" s="392"/>
      <c r="D43" s="393" t="s">
        <v>130</v>
      </c>
      <c r="E43" s="707">
        <v>114851.6</v>
      </c>
      <c r="F43" s="660">
        <v>116753.53</v>
      </c>
      <c r="G43" s="713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 x14ac:dyDescent="0.4">
      <c r="A44" s="512" t="s">
        <v>170</v>
      </c>
      <c r="B44" s="392"/>
      <c r="C44" s="392"/>
      <c r="D44" s="393" t="s">
        <v>130</v>
      </c>
      <c r="E44" s="707">
        <v>0</v>
      </c>
      <c r="F44" s="660">
        <v>0</v>
      </c>
      <c r="G44" s="713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 x14ac:dyDescent="0.4">
      <c r="A45" s="512" t="s">
        <v>171</v>
      </c>
      <c r="B45" s="392"/>
      <c r="C45" s="392"/>
      <c r="D45" s="393" t="s">
        <v>130</v>
      </c>
      <c r="E45" s="707">
        <v>0</v>
      </c>
      <c r="F45" s="660">
        <v>0</v>
      </c>
      <c r="G45" s="713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 x14ac:dyDescent="0.4">
      <c r="A46" s="512" t="s">
        <v>172</v>
      </c>
      <c r="B46" s="392"/>
      <c r="C46" s="392"/>
      <c r="D46" s="393" t="s">
        <v>130</v>
      </c>
      <c r="E46" s="707">
        <v>0</v>
      </c>
      <c r="F46" s="660">
        <v>0</v>
      </c>
      <c r="G46" s="713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 x14ac:dyDescent="0.4">
      <c r="A47" s="515" t="s">
        <v>173</v>
      </c>
      <c r="B47" s="403"/>
      <c r="C47" s="403"/>
      <c r="D47" s="388"/>
      <c r="E47" s="387"/>
      <c r="F47" s="395"/>
      <c r="G47" s="655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 x14ac:dyDescent="0.4">
      <c r="A48" s="521" t="s">
        <v>174</v>
      </c>
      <c r="B48" s="423"/>
      <c r="C48" s="423"/>
      <c r="D48" s="390"/>
      <c r="E48" s="389"/>
      <c r="F48" s="646"/>
      <c r="G48" s="646"/>
      <c r="H48" s="646"/>
      <c r="I48" s="646"/>
      <c r="J48" s="647"/>
      <c r="K48" s="537"/>
      <c r="L48" s="427"/>
      <c r="N48" s="536"/>
      <c r="O48" s="171"/>
    </row>
    <row r="49" spans="1:15" ht="22.5" x14ac:dyDescent="0.4">
      <c r="A49" s="512" t="s">
        <v>161</v>
      </c>
      <c r="B49" s="425"/>
      <c r="C49" s="425"/>
      <c r="D49" s="393" t="s">
        <v>130</v>
      </c>
      <c r="E49" s="707">
        <v>24996.19</v>
      </c>
      <c r="F49" s="660">
        <v>25935.27</v>
      </c>
      <c r="G49" s="713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 x14ac:dyDescent="0.4">
      <c r="A50" s="512" t="s">
        <v>175</v>
      </c>
      <c r="B50" s="425"/>
      <c r="C50" s="425"/>
      <c r="D50" s="393" t="s">
        <v>130</v>
      </c>
      <c r="E50" s="707">
        <v>56386.63</v>
      </c>
      <c r="F50" s="660">
        <v>57325.55</v>
      </c>
      <c r="G50" s="713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 x14ac:dyDescent="0.4">
      <c r="A51" s="512" t="s">
        <v>163</v>
      </c>
      <c r="B51" s="425"/>
      <c r="C51" s="425"/>
      <c r="D51" s="393" t="s">
        <v>130</v>
      </c>
      <c r="E51" s="707">
        <v>0</v>
      </c>
      <c r="F51" s="660">
        <v>0</v>
      </c>
      <c r="G51" s="713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 x14ac:dyDescent="0.4">
      <c r="A52" s="512" t="s">
        <v>176</v>
      </c>
      <c r="B52" s="425"/>
      <c r="C52" s="425"/>
      <c r="D52" s="393" t="s">
        <v>130</v>
      </c>
      <c r="E52" s="707">
        <v>0</v>
      </c>
      <c r="F52" s="660">
        <v>0</v>
      </c>
      <c r="G52" s="713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 x14ac:dyDescent="0.4">
      <c r="A53" s="512" t="s">
        <v>165</v>
      </c>
      <c r="B53" s="425"/>
      <c r="C53" s="425"/>
      <c r="D53" s="393" t="s">
        <v>130</v>
      </c>
      <c r="E53" s="707">
        <v>0</v>
      </c>
      <c r="F53" s="660">
        <v>0</v>
      </c>
      <c r="G53" s="713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 x14ac:dyDescent="0.4">
      <c r="A54" s="512" t="s">
        <v>177</v>
      </c>
      <c r="B54" s="425"/>
      <c r="C54" s="425"/>
      <c r="D54" s="393" t="s">
        <v>130</v>
      </c>
      <c r="E54" s="707">
        <v>5147.42</v>
      </c>
      <c r="F54" s="660">
        <v>5147.42</v>
      </c>
      <c r="G54" s="713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 x14ac:dyDescent="0.4">
      <c r="A55" s="512" t="s">
        <v>178</v>
      </c>
      <c r="B55" s="425"/>
      <c r="C55" s="425"/>
      <c r="D55" s="393" t="s">
        <v>130</v>
      </c>
      <c r="E55" s="707">
        <v>74366.11</v>
      </c>
      <c r="F55" s="660">
        <v>74366.11</v>
      </c>
      <c r="G55" s="713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 x14ac:dyDescent="0.4">
      <c r="A56" s="512" t="s">
        <v>179</v>
      </c>
      <c r="B56" s="425"/>
      <c r="C56" s="425"/>
      <c r="D56" s="393" t="s">
        <v>180</v>
      </c>
      <c r="E56" s="707">
        <v>8610.5400000000009</v>
      </c>
      <c r="F56" s="660">
        <v>8610.5400000000009</v>
      </c>
      <c r="G56" s="713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 x14ac:dyDescent="0.4">
      <c r="A57" s="512" t="s">
        <v>169</v>
      </c>
      <c r="B57" s="425"/>
      <c r="C57" s="425"/>
      <c r="D57" s="393" t="s">
        <v>130</v>
      </c>
      <c r="E57" s="707">
        <v>0</v>
      </c>
      <c r="F57" s="660">
        <v>0</v>
      </c>
      <c r="G57" s="713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 x14ac:dyDescent="0.4">
      <c r="A58" s="512" t="s">
        <v>181</v>
      </c>
      <c r="B58" s="425"/>
      <c r="C58" s="425"/>
      <c r="D58" s="393" t="s">
        <v>130</v>
      </c>
      <c r="E58" s="707">
        <v>4796.21</v>
      </c>
      <c r="F58" s="660">
        <v>4983.34</v>
      </c>
      <c r="G58" s="713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 x14ac:dyDescent="0.4">
      <c r="A59" s="515" t="s">
        <v>173</v>
      </c>
      <c r="B59" s="403"/>
      <c r="C59" s="403"/>
      <c r="D59" s="387"/>
      <c r="E59" s="387"/>
      <c r="F59" s="395"/>
      <c r="G59" s="655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 x14ac:dyDescent="0.4">
      <c r="A60" s="512"/>
      <c r="B60" s="392"/>
      <c r="C60" s="392"/>
      <c r="D60" s="387" t="s">
        <v>182</v>
      </c>
      <c r="E60" s="387"/>
      <c r="F60" s="395"/>
      <c r="G60" s="655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 x14ac:dyDescent="0.4">
      <c r="A61" s="801" t="s">
        <v>332</v>
      </c>
      <c r="B61" s="802"/>
      <c r="C61" s="803"/>
      <c r="D61" s="426"/>
      <c r="E61" s="426"/>
      <c r="F61" s="645"/>
      <c r="G61" s="720"/>
      <c r="H61" s="645"/>
      <c r="I61" s="645"/>
      <c r="J61" s="671"/>
      <c r="K61" s="542"/>
      <c r="L61" s="543"/>
      <c r="N61" s="536"/>
      <c r="O61" s="171"/>
    </row>
    <row r="62" spans="1:15" ht="22.5" x14ac:dyDescent="0.4">
      <c r="A62" s="782" t="s">
        <v>198</v>
      </c>
      <c r="B62" s="783"/>
      <c r="C62" s="784"/>
      <c r="D62" s="393" t="s">
        <v>142</v>
      </c>
      <c r="E62" s="411">
        <v>269516</v>
      </c>
      <c r="F62" s="662">
        <v>269579</v>
      </c>
      <c r="G62" s="713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 x14ac:dyDescent="0.4">
      <c r="A63" s="782" t="s">
        <v>199</v>
      </c>
      <c r="B63" s="783"/>
      <c r="C63" s="784"/>
      <c r="D63" s="393" t="s">
        <v>142</v>
      </c>
      <c r="E63" s="433">
        <v>215797</v>
      </c>
      <c r="F63" s="662">
        <v>215929</v>
      </c>
      <c r="G63" s="713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 x14ac:dyDescent="0.4">
      <c r="A64" s="767" t="s">
        <v>200</v>
      </c>
      <c r="B64" s="768"/>
      <c r="C64" s="769"/>
      <c r="D64" s="393"/>
      <c r="E64" s="411"/>
      <c r="F64" s="662"/>
      <c r="G64" s="713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 x14ac:dyDescent="0.4">
      <c r="A65" s="794" t="s">
        <v>201</v>
      </c>
      <c r="B65" s="795"/>
      <c r="C65" s="796"/>
      <c r="D65" s="393" t="s">
        <v>142</v>
      </c>
      <c r="E65" s="411">
        <v>434923</v>
      </c>
      <c r="F65" s="662">
        <v>434994</v>
      </c>
      <c r="G65" s="713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 x14ac:dyDescent="0.4">
      <c r="A66" s="516" t="s">
        <v>202</v>
      </c>
      <c r="B66" s="405"/>
      <c r="C66" s="405"/>
      <c r="D66" s="393" t="s">
        <v>142</v>
      </c>
      <c r="E66" s="411">
        <v>107743</v>
      </c>
      <c r="F66" s="662">
        <v>107760</v>
      </c>
      <c r="G66" s="713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 x14ac:dyDescent="0.4">
      <c r="A67" s="516" t="s">
        <v>203</v>
      </c>
      <c r="B67" s="405"/>
      <c r="C67" s="405"/>
      <c r="D67" s="393" t="s">
        <v>142</v>
      </c>
      <c r="E67" s="411">
        <v>104648</v>
      </c>
      <c r="F67" s="662">
        <v>104662</v>
      </c>
      <c r="G67" s="713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 x14ac:dyDescent="0.4">
      <c r="A68" s="516" t="s">
        <v>204</v>
      </c>
      <c r="B68" s="405"/>
      <c r="C68" s="405"/>
      <c r="D68" s="393" t="s">
        <v>142</v>
      </c>
      <c r="E68" s="411">
        <v>157697</v>
      </c>
      <c r="F68" s="662">
        <v>157736</v>
      </c>
      <c r="G68" s="713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 x14ac:dyDescent="0.4">
      <c r="A69" s="516" t="s">
        <v>205</v>
      </c>
      <c r="B69" s="405"/>
      <c r="C69" s="405"/>
      <c r="D69" s="393" t="s">
        <v>142</v>
      </c>
      <c r="E69" s="411">
        <v>10541</v>
      </c>
      <c r="F69" s="662">
        <v>10550</v>
      </c>
      <c r="G69" s="713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 x14ac:dyDescent="0.4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1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 x14ac:dyDescent="0.4">
      <c r="A71" s="767" t="s">
        <v>208</v>
      </c>
      <c r="B71" s="768"/>
      <c r="C71" s="769"/>
      <c r="D71" s="409"/>
      <c r="E71" s="409"/>
      <c r="F71" s="409"/>
      <c r="G71" s="722">
        <f>SUM(G65:G70)</f>
        <v>158</v>
      </c>
      <c r="H71" s="395">
        <f t="shared" si="12"/>
        <v>158</v>
      </c>
      <c r="I71" s="651"/>
      <c r="J71" s="396">
        <f>H71/DAY(B2)</f>
        <v>158</v>
      </c>
      <c r="K71" s="542"/>
      <c r="L71" s="427"/>
      <c r="N71" s="536"/>
      <c r="O71" s="171"/>
    </row>
    <row r="72" spans="1:15" ht="22.5" x14ac:dyDescent="0.4">
      <c r="A72" s="804"/>
      <c r="B72" s="781"/>
      <c r="C72" s="505"/>
      <c r="D72" s="427"/>
      <c r="E72" s="652"/>
      <c r="F72" s="652"/>
      <c r="G72" s="723"/>
      <c r="H72" s="428"/>
      <c r="I72" s="652"/>
      <c r="J72" s="653"/>
      <c r="N72" s="536"/>
      <c r="O72" s="171"/>
    </row>
    <row r="73" spans="1:15" ht="22.5" x14ac:dyDescent="0.4">
      <c r="A73" s="801" t="s">
        <v>333</v>
      </c>
      <c r="B73" s="802"/>
      <c r="C73" s="803"/>
      <c r="D73" s="426"/>
      <c r="E73" s="426"/>
      <c r="F73" s="426"/>
      <c r="G73" s="724"/>
      <c r="H73" s="429"/>
      <c r="I73" s="429"/>
      <c r="J73" s="430"/>
      <c r="K73" s="542"/>
      <c r="L73" s="427"/>
      <c r="N73" s="536"/>
      <c r="O73" s="171"/>
    </row>
    <row r="74" spans="1:15" ht="22.5" x14ac:dyDescent="0.4">
      <c r="A74" s="782" t="s">
        <v>220</v>
      </c>
      <c r="B74" s="783"/>
      <c r="C74" s="784"/>
      <c r="D74" s="393" t="s">
        <v>139</v>
      </c>
      <c r="E74" s="406">
        <v>901306.14899999998</v>
      </c>
      <c r="F74" s="406">
        <v>901620.68</v>
      </c>
      <c r="G74" s="721">
        <f t="shared" ref="G74:G78" si="14">F74-E74</f>
        <v>314.53100000007544</v>
      </c>
      <c r="H74" s="395">
        <f t="shared" ref="H74:H79" si="15">G74</f>
        <v>314.53100000007544</v>
      </c>
      <c r="I74" s="651"/>
      <c r="J74" s="396">
        <f>H74/DAY(B2)</f>
        <v>314.53100000007544</v>
      </c>
      <c r="K74" s="542"/>
      <c r="L74" s="427"/>
      <c r="N74" s="536"/>
      <c r="O74" s="171"/>
    </row>
    <row r="75" spans="1:15" ht="22.5" x14ac:dyDescent="0.4">
      <c r="A75" s="782" t="s">
        <v>221</v>
      </c>
      <c r="B75" s="783"/>
      <c r="C75" s="784"/>
      <c r="D75" s="393" t="s">
        <v>139</v>
      </c>
      <c r="E75" s="406">
        <v>73586.8</v>
      </c>
      <c r="F75" s="406">
        <v>73586.8</v>
      </c>
      <c r="G75" s="721">
        <f t="shared" si="14"/>
        <v>0</v>
      </c>
      <c r="H75" s="395">
        <f t="shared" si="15"/>
        <v>0</v>
      </c>
      <c r="I75" s="651"/>
      <c r="J75" s="396">
        <f>H75/DAY(B2)</f>
        <v>0</v>
      </c>
      <c r="K75" s="542"/>
      <c r="L75" s="427"/>
      <c r="N75" s="536"/>
      <c r="O75" s="171"/>
    </row>
    <row r="76" spans="1:15" ht="22.5" x14ac:dyDescent="0.4">
      <c r="A76" s="805" t="s">
        <v>222</v>
      </c>
      <c r="B76" s="806"/>
      <c r="C76" s="807"/>
      <c r="D76" s="393" t="s">
        <v>139</v>
      </c>
      <c r="E76" s="406">
        <v>169975</v>
      </c>
      <c r="F76" s="406">
        <v>170066.06</v>
      </c>
      <c r="G76" s="721">
        <f t="shared" si="14"/>
        <v>91.059999999997672</v>
      </c>
      <c r="H76" s="395">
        <f t="shared" si="15"/>
        <v>91.059999999997672</v>
      </c>
      <c r="I76" s="651"/>
      <c r="J76" s="396">
        <f>H76/DAY(B2)</f>
        <v>91.059999999997672</v>
      </c>
      <c r="K76" s="542"/>
      <c r="L76" s="427"/>
      <c r="N76" s="536"/>
      <c r="O76" s="171"/>
    </row>
    <row r="77" spans="1:15" ht="22.5" x14ac:dyDescent="0.4">
      <c r="A77" s="805" t="s">
        <v>223</v>
      </c>
      <c r="B77" s="806"/>
      <c r="C77" s="807"/>
      <c r="D77" s="393" t="s">
        <v>139</v>
      </c>
      <c r="E77" s="507">
        <v>41302.199999999997</v>
      </c>
      <c r="F77" s="406">
        <v>41331.9</v>
      </c>
      <c r="G77" s="721">
        <f t="shared" si="14"/>
        <v>29.700000000004366</v>
      </c>
      <c r="H77" s="395">
        <f t="shared" si="15"/>
        <v>29.700000000004366</v>
      </c>
      <c r="I77" s="651"/>
      <c r="J77" s="396">
        <f>H77/DAY(B2)</f>
        <v>29.700000000004366</v>
      </c>
      <c r="K77" s="542"/>
      <c r="L77" s="427"/>
      <c r="N77" s="536"/>
      <c r="O77" s="171"/>
    </row>
    <row r="78" spans="1:15" ht="22.5" x14ac:dyDescent="0.4">
      <c r="A78" s="805" t="s">
        <v>224</v>
      </c>
      <c r="B78" s="806"/>
      <c r="C78" s="807"/>
      <c r="D78" s="393" t="s">
        <v>139</v>
      </c>
      <c r="E78" s="507">
        <v>9516</v>
      </c>
      <c r="F78" s="406">
        <v>9516</v>
      </c>
      <c r="G78" s="721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 x14ac:dyDescent="0.4">
      <c r="A79" s="805" t="s">
        <v>225</v>
      </c>
      <c r="B79" s="806"/>
      <c r="C79" s="807"/>
      <c r="D79" s="393"/>
      <c r="E79" s="406"/>
      <c r="F79" s="406"/>
      <c r="G79" s="721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 x14ac:dyDescent="0.4">
      <c r="A80" s="767" t="s">
        <v>329</v>
      </c>
      <c r="B80" s="768"/>
      <c r="C80" s="769"/>
      <c r="D80" s="393"/>
      <c r="E80" s="401"/>
      <c r="F80" s="401"/>
      <c r="G80" s="721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 x14ac:dyDescent="0.4">
      <c r="A81" s="808" t="s">
        <v>226</v>
      </c>
      <c r="B81" s="809"/>
      <c r="C81" s="810"/>
      <c r="D81" s="389"/>
      <c r="E81" s="389"/>
      <c r="F81" s="390"/>
      <c r="G81" s="725"/>
      <c r="H81" s="431"/>
      <c r="I81" s="431"/>
      <c r="J81" s="432"/>
      <c r="O81" s="171"/>
    </row>
    <row r="82" spans="1:15" ht="22.5" x14ac:dyDescent="0.4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1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 x14ac:dyDescent="0.4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1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 x14ac:dyDescent="0.4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1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 x14ac:dyDescent="0.4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1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 x14ac:dyDescent="0.4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6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 x14ac:dyDescent="0.4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1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 x14ac:dyDescent="0.4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1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 x14ac:dyDescent="0.4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1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 x14ac:dyDescent="0.4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1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 x14ac:dyDescent="0.4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1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 x14ac:dyDescent="0.4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1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 x14ac:dyDescent="0.4">
      <c r="A93" s="811" t="s">
        <v>239</v>
      </c>
      <c r="B93" s="812"/>
      <c r="C93" s="813"/>
      <c r="D93" s="390"/>
      <c r="E93" s="390"/>
      <c r="F93" s="390"/>
      <c r="G93" s="727"/>
      <c r="H93" s="404"/>
      <c r="I93" s="404"/>
      <c r="J93" s="435"/>
      <c r="K93" s="542"/>
      <c r="L93" s="427"/>
      <c r="O93" s="171"/>
    </row>
    <row r="94" spans="1:15" ht="22.5" x14ac:dyDescent="0.4">
      <c r="A94" s="782" t="s">
        <v>240</v>
      </c>
      <c r="B94" s="783"/>
      <c r="C94" s="784"/>
      <c r="D94" s="393" t="s">
        <v>130</v>
      </c>
      <c r="E94" s="393"/>
      <c r="F94" s="393"/>
      <c r="G94" s="728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 x14ac:dyDescent="0.4">
      <c r="A95" s="782" t="s">
        <v>241</v>
      </c>
      <c r="B95" s="783"/>
      <c r="C95" s="784"/>
      <c r="D95" s="393" t="s">
        <v>23</v>
      </c>
      <c r="E95" s="387"/>
      <c r="F95" s="393"/>
      <c r="G95" s="729">
        <f>G94/G7</f>
        <v>0.23672658251456524</v>
      </c>
      <c r="H95" s="395">
        <f t="shared" si="18"/>
        <v>0.23672658251456524</v>
      </c>
      <c r="I95" s="654"/>
      <c r="J95" s="396">
        <f>H95/DAY(B2)</f>
        <v>0.23672658251456524</v>
      </c>
      <c r="K95" s="542"/>
      <c r="L95" s="427"/>
      <c r="O95" s="171"/>
    </row>
    <row r="96" spans="1:15" ht="22.5" x14ac:dyDescent="0.4">
      <c r="A96" s="782" t="s">
        <v>242</v>
      </c>
      <c r="B96" s="783"/>
      <c r="C96" s="784"/>
      <c r="D96" s="393" t="s">
        <v>130</v>
      </c>
      <c r="E96" s="394"/>
      <c r="F96" s="394"/>
      <c r="G96" s="728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 x14ac:dyDescent="0.4">
      <c r="A97" s="782" t="s">
        <v>243</v>
      </c>
      <c r="B97" s="783"/>
      <c r="C97" s="784"/>
      <c r="D97" s="393" t="s">
        <v>23</v>
      </c>
      <c r="E97" s="394"/>
      <c r="F97" s="394"/>
      <c r="G97" s="729">
        <f>G96/G7</f>
        <v>0.23097846076142278</v>
      </c>
      <c r="H97" s="395">
        <f t="shared" si="18"/>
        <v>0.23097846076142278</v>
      </c>
      <c r="I97" s="654"/>
      <c r="J97" s="396">
        <f>H97/DAY(B2)</f>
        <v>0.23097846076142278</v>
      </c>
      <c r="K97" s="542"/>
      <c r="L97" s="427"/>
      <c r="O97" s="171"/>
    </row>
    <row r="98" spans="1:15" ht="22.5" x14ac:dyDescent="0.4">
      <c r="A98" s="782" t="s">
        <v>244</v>
      </c>
      <c r="B98" s="783"/>
      <c r="C98" s="784"/>
      <c r="D98" s="393" t="s">
        <v>130</v>
      </c>
      <c r="E98" s="394"/>
      <c r="F98" s="394"/>
      <c r="G98" s="728">
        <f>G39+G53</f>
        <v>2609.5899999999965</v>
      </c>
      <c r="H98" s="395">
        <f t="shared" si="18"/>
        <v>2609.5899999999965</v>
      </c>
      <c r="I98" s="655"/>
      <c r="J98" s="396">
        <f>H98/DAY(B2)</f>
        <v>2609.5899999999965</v>
      </c>
      <c r="K98" s="542"/>
      <c r="L98" s="427"/>
      <c r="O98" s="171"/>
    </row>
    <row r="99" spans="1:15" ht="22.5" x14ac:dyDescent="0.4">
      <c r="A99" s="782" t="s">
        <v>245</v>
      </c>
      <c r="B99" s="783"/>
      <c r="C99" s="784"/>
      <c r="D99" s="393" t="s">
        <v>23</v>
      </c>
      <c r="E99" s="394"/>
      <c r="F99" s="394"/>
      <c r="G99" s="729">
        <f>G98/G7</f>
        <v>0.15115115926826675</v>
      </c>
      <c r="H99" s="395">
        <f t="shared" si="18"/>
        <v>0.15115115926826675</v>
      </c>
      <c r="I99" s="655"/>
      <c r="J99" s="396">
        <f>H99/DAY(B2)</f>
        <v>0.15115115926826675</v>
      </c>
      <c r="O99" s="171"/>
    </row>
    <row r="100" spans="1:15" ht="22.5" x14ac:dyDescent="0.4">
      <c r="A100" s="782" t="s">
        <v>246</v>
      </c>
      <c r="B100" s="783"/>
      <c r="C100" s="784"/>
      <c r="D100" s="393" t="s">
        <v>180</v>
      </c>
      <c r="E100" s="394"/>
      <c r="F100" s="394"/>
      <c r="G100" s="728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 x14ac:dyDescent="0.4">
      <c r="A101" s="782" t="s">
        <v>247</v>
      </c>
      <c r="B101" s="783"/>
      <c r="C101" s="784"/>
      <c r="D101" s="393" t="s">
        <v>23</v>
      </c>
      <c r="E101" s="394"/>
      <c r="F101" s="394"/>
      <c r="G101" s="729">
        <f>G100/G7</f>
        <v>9.3848339711446779E-2</v>
      </c>
      <c r="H101" s="395">
        <f t="shared" si="18"/>
        <v>9.3848339711446779E-2</v>
      </c>
      <c r="I101" s="655"/>
      <c r="J101" s="396">
        <f>H101/DAY(B2)</f>
        <v>9.3848339711446779E-2</v>
      </c>
      <c r="O101" s="171"/>
    </row>
    <row r="102" spans="1:15" ht="22.5" x14ac:dyDescent="0.4">
      <c r="A102" s="782" t="s">
        <v>248</v>
      </c>
      <c r="B102" s="783"/>
      <c r="C102" s="784"/>
      <c r="D102" s="393" t="s">
        <v>180</v>
      </c>
      <c r="E102" s="394"/>
      <c r="F102" s="394"/>
      <c r="G102" s="728">
        <f>G36+G50</f>
        <v>1649.6800000000076</v>
      </c>
      <c r="H102" s="395">
        <f t="shared" si="18"/>
        <v>1649.6800000000076</v>
      </c>
      <c r="I102" s="655"/>
      <c r="J102" s="396">
        <f>H102/DAY(B2)</f>
        <v>1649.6800000000076</v>
      </c>
      <c r="O102" s="171"/>
    </row>
    <row r="103" spans="1:15" ht="22.5" x14ac:dyDescent="0.4">
      <c r="A103" s="782" t="s">
        <v>249</v>
      </c>
      <c r="B103" s="783"/>
      <c r="C103" s="784"/>
      <c r="D103" s="393" t="s">
        <v>23</v>
      </c>
      <c r="E103" s="394"/>
      <c r="F103" s="394"/>
      <c r="G103" s="729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 x14ac:dyDescent="0.4">
      <c r="A104" s="782" t="s">
        <v>250</v>
      </c>
      <c r="B104" s="783"/>
      <c r="C104" s="784"/>
      <c r="D104" s="393" t="s">
        <v>180</v>
      </c>
      <c r="E104" s="394"/>
      <c r="F104" s="394"/>
      <c r="G104" s="728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 x14ac:dyDescent="0.45">
      <c r="A105" s="818" t="s">
        <v>251</v>
      </c>
      <c r="B105" s="819"/>
      <c r="C105" s="820"/>
      <c r="D105" s="436" t="s">
        <v>23</v>
      </c>
      <c r="E105" s="437"/>
      <c r="F105" s="437"/>
      <c r="G105" s="730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821" t="s">
        <v>324</v>
      </c>
      <c r="B108" s="821"/>
      <c r="C108" s="821"/>
      <c r="D108" s="821"/>
      <c r="E108" s="821"/>
      <c r="F108" s="821"/>
      <c r="G108" s="821"/>
      <c r="H108" s="821"/>
      <c r="I108" s="821"/>
      <c r="J108" s="821"/>
    </row>
    <row r="109" spans="1:15" ht="22.5" x14ac:dyDescent="0.4">
      <c r="A109" s="814"/>
      <c r="B109" s="814"/>
    </row>
    <row r="110" spans="1:15" ht="22.5" x14ac:dyDescent="0.4">
      <c r="A110" s="822" t="s">
        <v>165</v>
      </c>
      <c r="B110" s="823"/>
      <c r="C110" s="823"/>
      <c r="D110" s="823"/>
      <c r="E110" s="823"/>
      <c r="F110" s="823"/>
      <c r="G110" s="823"/>
      <c r="H110" s="823"/>
      <c r="I110" s="823"/>
      <c r="J110" s="824"/>
    </row>
    <row r="111" spans="1:15" ht="22.5" x14ac:dyDescent="0.4">
      <c r="A111" s="825"/>
      <c r="B111" s="826"/>
      <c r="C111" s="827"/>
      <c r="D111" s="434"/>
      <c r="E111" s="442"/>
      <c r="F111" s="442"/>
      <c r="G111" s="732"/>
      <c r="H111" s="439"/>
      <c r="I111" s="442"/>
      <c r="J111" s="439"/>
    </row>
    <row r="112" spans="1:15" ht="22.5" x14ac:dyDescent="0.4">
      <c r="A112" s="779" t="s">
        <v>252</v>
      </c>
      <c r="B112" s="780"/>
      <c r="C112" s="781"/>
      <c r="D112" s="387" t="s">
        <v>183</v>
      </c>
      <c r="E112" s="440">
        <v>58054</v>
      </c>
      <c r="F112" s="440">
        <v>58132</v>
      </c>
      <c r="G112" s="721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 x14ac:dyDescent="0.4">
      <c r="A113" s="779" t="s">
        <v>253</v>
      </c>
      <c r="B113" s="780"/>
      <c r="C113" s="781"/>
      <c r="D113" s="387" t="s">
        <v>183</v>
      </c>
      <c r="E113" s="440">
        <v>46400.89</v>
      </c>
      <c r="F113" s="440">
        <v>46884.44</v>
      </c>
      <c r="G113" s="721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 x14ac:dyDescent="0.4">
      <c r="A114" s="779" t="s">
        <v>254</v>
      </c>
      <c r="B114" s="780"/>
      <c r="C114" s="781"/>
      <c r="D114" s="387" t="s">
        <v>183</v>
      </c>
      <c r="E114" s="440">
        <v>33160</v>
      </c>
      <c r="F114" s="440">
        <v>33421.300000000003</v>
      </c>
      <c r="G114" s="721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 x14ac:dyDescent="0.4">
      <c r="A115" s="779" t="s">
        <v>255</v>
      </c>
      <c r="B115" s="780"/>
      <c r="C115" s="781"/>
      <c r="D115" s="387" t="s">
        <v>183</v>
      </c>
      <c r="E115" s="440">
        <v>9094.65</v>
      </c>
      <c r="F115" s="440">
        <v>9103.4500000000007</v>
      </c>
      <c r="G115" s="721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 x14ac:dyDescent="0.4">
      <c r="A116" s="815" t="s">
        <v>96</v>
      </c>
      <c r="B116" s="816"/>
      <c r="C116" s="817"/>
      <c r="D116" s="387" t="s">
        <v>183</v>
      </c>
      <c r="E116" s="440">
        <v>0</v>
      </c>
      <c r="F116" s="440">
        <v>0</v>
      </c>
      <c r="G116" s="721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79"/>
      <c r="R116" s="781"/>
    </row>
    <row r="117" spans="1:18" ht="29.25" customHeight="1" x14ac:dyDescent="0.4">
      <c r="A117" s="815" t="s">
        <v>184</v>
      </c>
      <c r="B117" s="816"/>
      <c r="C117" s="817"/>
      <c r="D117" s="387" t="s">
        <v>183</v>
      </c>
      <c r="E117" s="440">
        <v>3337.95</v>
      </c>
      <c r="F117" s="440">
        <v>3359.77</v>
      </c>
      <c r="G117" s="721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79"/>
      <c r="R117" s="781"/>
    </row>
    <row r="118" spans="1:18" ht="22.5" x14ac:dyDescent="0.4">
      <c r="A118" s="835" t="s">
        <v>97</v>
      </c>
      <c r="B118" s="835"/>
      <c r="C118" s="835"/>
      <c r="D118" s="393" t="s">
        <v>183</v>
      </c>
      <c r="E118" s="440">
        <v>252452.31</v>
      </c>
      <c r="F118" s="440">
        <v>252762.81</v>
      </c>
      <c r="G118" s="721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79"/>
      <c r="R118" s="781"/>
    </row>
    <row r="119" spans="1:18" ht="22.5" x14ac:dyDescent="0.4">
      <c r="A119" s="835" t="s">
        <v>98</v>
      </c>
      <c r="B119" s="835"/>
      <c r="C119" s="835"/>
      <c r="D119" s="393" t="s">
        <v>183</v>
      </c>
      <c r="E119" s="440">
        <v>258148.55</v>
      </c>
      <c r="F119" s="440">
        <v>258589.7</v>
      </c>
      <c r="G119" s="721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 x14ac:dyDescent="0.4">
      <c r="A120" s="835" t="s">
        <v>99</v>
      </c>
      <c r="B120" s="835"/>
      <c r="C120" s="835"/>
      <c r="D120" s="393" t="s">
        <v>183</v>
      </c>
      <c r="E120" s="440">
        <v>42959.61</v>
      </c>
      <c r="F120" s="440">
        <v>43373.75</v>
      </c>
      <c r="G120" s="721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 x14ac:dyDescent="0.4">
      <c r="A121" s="835" t="s">
        <v>100</v>
      </c>
      <c r="B121" s="835"/>
      <c r="C121" s="835"/>
      <c r="D121" s="393" t="s">
        <v>183</v>
      </c>
      <c r="E121" s="440">
        <v>398034.43</v>
      </c>
      <c r="F121" s="440">
        <v>398755.31</v>
      </c>
      <c r="G121" s="721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 x14ac:dyDescent="0.4">
      <c r="A122" s="835" t="s">
        <v>101</v>
      </c>
      <c r="B122" s="835"/>
      <c r="C122" s="835"/>
      <c r="D122" s="393" t="s">
        <v>183</v>
      </c>
      <c r="E122" s="440">
        <v>126186.18</v>
      </c>
      <c r="F122" s="440">
        <v>126392.21</v>
      </c>
      <c r="G122" s="721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 x14ac:dyDescent="0.4">
      <c r="A123" s="835" t="s">
        <v>102</v>
      </c>
      <c r="B123" s="835"/>
      <c r="C123" s="835"/>
      <c r="D123" s="393" t="s">
        <v>183</v>
      </c>
      <c r="E123" s="440">
        <v>154046.95000000001</v>
      </c>
      <c r="F123" s="440">
        <v>154308.20000000001</v>
      </c>
      <c r="G123" s="721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 x14ac:dyDescent="0.4">
      <c r="A124" s="825"/>
      <c r="B124" s="826"/>
      <c r="C124" s="827"/>
      <c r="D124" s="434"/>
      <c r="E124" s="442"/>
      <c r="F124" s="442"/>
      <c r="G124" s="732"/>
      <c r="H124" s="439"/>
      <c r="I124" s="442"/>
      <c r="J124" s="439"/>
    </row>
    <row r="125" spans="1:18" ht="27" x14ac:dyDescent="0.5">
      <c r="A125" s="767" t="s">
        <v>196</v>
      </c>
      <c r="B125" s="768"/>
      <c r="C125" s="769"/>
      <c r="D125" s="393"/>
      <c r="E125" s="709"/>
      <c r="F125" s="442"/>
      <c r="G125" s="721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 x14ac:dyDescent="0.4">
      <c r="A126" s="837" t="s">
        <v>317</v>
      </c>
      <c r="B126" s="837"/>
      <c r="C126" s="837"/>
      <c r="D126" s="837"/>
      <c r="E126" s="837"/>
      <c r="F126" s="837"/>
      <c r="G126" s="837"/>
      <c r="H126" s="837"/>
      <c r="I126" s="837"/>
      <c r="J126" s="837"/>
    </row>
    <row r="127" spans="1:18" ht="27" x14ac:dyDescent="0.5">
      <c r="A127" s="828"/>
      <c r="B127" s="828"/>
      <c r="C127" s="434"/>
      <c r="D127" s="393"/>
      <c r="E127" s="709"/>
      <c r="F127" s="442"/>
      <c r="G127" s="721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 x14ac:dyDescent="0.4">
      <c r="A128" s="779" t="s">
        <v>318</v>
      </c>
      <c r="B128" s="780"/>
      <c r="C128" s="781"/>
      <c r="D128" s="393" t="s">
        <v>183</v>
      </c>
      <c r="E128" s="442">
        <v>47746</v>
      </c>
      <c r="F128" s="442">
        <v>48067</v>
      </c>
      <c r="G128" s="721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 x14ac:dyDescent="0.4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1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 x14ac:dyDescent="0.4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1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 x14ac:dyDescent="0.4">
      <c r="A131" s="779" t="s">
        <v>321</v>
      </c>
      <c r="B131" s="780"/>
      <c r="C131" s="781"/>
      <c r="D131" s="393" t="s">
        <v>183</v>
      </c>
      <c r="E131" s="442">
        <v>15307.68</v>
      </c>
      <c r="F131" s="644">
        <v>15367.2</v>
      </c>
      <c r="G131" s="726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 x14ac:dyDescent="0.4">
      <c r="A132" s="779" t="s">
        <v>322</v>
      </c>
      <c r="B132" s="780"/>
      <c r="C132" s="781"/>
      <c r="D132" s="393" t="s">
        <v>183</v>
      </c>
      <c r="E132" s="442">
        <v>51848.3</v>
      </c>
      <c r="F132" s="644">
        <v>52011.77</v>
      </c>
      <c r="G132" s="726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 x14ac:dyDescent="0.4">
      <c r="A133" s="779" t="s">
        <v>342</v>
      </c>
      <c r="B133" s="780"/>
      <c r="C133" s="781"/>
      <c r="D133" s="393" t="s">
        <v>183</v>
      </c>
      <c r="E133" s="442">
        <v>105343.7</v>
      </c>
      <c r="F133" s="644">
        <v>105836.27</v>
      </c>
      <c r="G133" s="726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 x14ac:dyDescent="0.4">
      <c r="A134" s="836" t="s">
        <v>340</v>
      </c>
      <c r="B134" s="833"/>
      <c r="C134" s="834"/>
      <c r="D134" s="393" t="s">
        <v>183</v>
      </c>
      <c r="E134" s="442">
        <v>8601.23</v>
      </c>
      <c r="F134" s="644">
        <v>8755.39</v>
      </c>
      <c r="G134" s="726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 x14ac:dyDescent="0.4">
      <c r="A135" s="767" t="s">
        <v>196</v>
      </c>
      <c r="B135" s="768"/>
      <c r="C135" s="769"/>
      <c r="D135" s="393"/>
      <c r="E135" s="442"/>
      <c r="F135" s="442"/>
      <c r="G135" s="721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 x14ac:dyDescent="0.4">
      <c r="A136" s="837" t="s">
        <v>325</v>
      </c>
      <c r="B136" s="837"/>
      <c r="C136" s="837"/>
      <c r="D136" s="837"/>
      <c r="E136" s="837"/>
      <c r="F136" s="837"/>
      <c r="G136" s="837"/>
      <c r="H136" s="837"/>
      <c r="I136" s="837"/>
      <c r="J136" s="837"/>
    </row>
    <row r="137" spans="1:15" ht="22.5" x14ac:dyDescent="0.4">
      <c r="A137" s="165"/>
      <c r="B137" s="434"/>
      <c r="C137" s="434"/>
      <c r="D137" s="434"/>
      <c r="E137" s="442"/>
      <c r="F137" s="442"/>
      <c r="G137" s="732"/>
      <c r="H137" s="439"/>
      <c r="I137" s="442"/>
      <c r="J137" s="439"/>
    </row>
    <row r="138" spans="1:15" ht="22.5" x14ac:dyDescent="0.4">
      <c r="A138" s="835" t="s">
        <v>185</v>
      </c>
      <c r="B138" s="835"/>
      <c r="C138" s="835"/>
      <c r="D138" s="393" t="s">
        <v>183</v>
      </c>
      <c r="E138" s="445">
        <v>866173</v>
      </c>
      <c r="F138" s="445">
        <v>866234</v>
      </c>
      <c r="G138" s="721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 x14ac:dyDescent="0.4">
      <c r="A139" s="835" t="s">
        <v>186</v>
      </c>
      <c r="B139" s="835"/>
      <c r="C139" s="835"/>
      <c r="D139" s="393" t="s">
        <v>183</v>
      </c>
      <c r="E139" s="446">
        <v>886573</v>
      </c>
      <c r="F139" s="446">
        <v>886574</v>
      </c>
      <c r="G139" s="721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 x14ac:dyDescent="0.4">
      <c r="A140" s="835" t="s">
        <v>187</v>
      </c>
      <c r="B140" s="835"/>
      <c r="C140" s="835"/>
      <c r="D140" s="393" t="s">
        <v>183</v>
      </c>
      <c r="E140" s="447">
        <v>88922</v>
      </c>
      <c r="F140" s="447">
        <v>88922</v>
      </c>
      <c r="G140" s="721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 x14ac:dyDescent="0.4">
      <c r="A141" s="773" t="s">
        <v>188</v>
      </c>
      <c r="B141" s="773"/>
      <c r="C141" s="773"/>
      <c r="D141" s="448" t="s">
        <v>183</v>
      </c>
      <c r="E141" s="447">
        <v>54685.58</v>
      </c>
      <c r="F141" s="446">
        <v>54851.17</v>
      </c>
      <c r="G141" s="726">
        <f t="shared" si="24"/>
        <v>165.58999999999651</v>
      </c>
      <c r="H141" s="453">
        <f t="shared" si="25"/>
        <v>165.58999999999651</v>
      </c>
      <c r="I141" s="656"/>
      <c r="J141" s="525">
        <f>H141/DAY(B2)</f>
        <v>165.58999999999651</v>
      </c>
    </row>
    <row r="142" spans="1:15" ht="22.5" x14ac:dyDescent="0.4">
      <c r="A142" s="773" t="s">
        <v>189</v>
      </c>
      <c r="B142" s="773"/>
      <c r="C142" s="773"/>
      <c r="D142" s="448" t="s">
        <v>183</v>
      </c>
      <c r="E142" s="446">
        <v>21284.1</v>
      </c>
      <c r="F142" s="446">
        <v>21357.57</v>
      </c>
      <c r="G142" s="726">
        <f t="shared" si="24"/>
        <v>73.470000000001164</v>
      </c>
      <c r="H142" s="453">
        <f t="shared" si="25"/>
        <v>73.470000000001164</v>
      </c>
      <c r="I142" s="657"/>
      <c r="J142" s="525">
        <f>H142/DAY(B2)</f>
        <v>73.470000000001164</v>
      </c>
    </row>
    <row r="143" spans="1:15" ht="22.5" x14ac:dyDescent="0.4">
      <c r="A143" s="775" t="s">
        <v>91</v>
      </c>
      <c r="B143" s="775"/>
      <c r="C143" s="775"/>
      <c r="D143" s="448" t="s">
        <v>183</v>
      </c>
      <c r="E143" s="447">
        <v>3835.39</v>
      </c>
      <c r="F143" s="446">
        <v>3864.39</v>
      </c>
      <c r="G143" s="726">
        <f t="shared" si="24"/>
        <v>29</v>
      </c>
      <c r="H143" s="453">
        <f t="shared" si="25"/>
        <v>29</v>
      </c>
      <c r="I143" s="657"/>
      <c r="J143" s="525">
        <f>H143/DAY(B2)</f>
        <v>29</v>
      </c>
    </row>
    <row r="144" spans="1:15" ht="22.5" x14ac:dyDescent="0.4">
      <c r="A144" s="773" t="s">
        <v>90</v>
      </c>
      <c r="B144" s="773"/>
      <c r="C144" s="773"/>
      <c r="D144" s="448" t="s">
        <v>183</v>
      </c>
      <c r="E144" s="447">
        <v>876487</v>
      </c>
      <c r="F144" s="446">
        <v>876683</v>
      </c>
      <c r="G144" s="726">
        <f t="shared" si="24"/>
        <v>196</v>
      </c>
      <c r="H144" s="453">
        <f t="shared" si="25"/>
        <v>196</v>
      </c>
      <c r="I144" s="657"/>
      <c r="J144" s="525">
        <f>H144/DAY(B2)</f>
        <v>196</v>
      </c>
    </row>
    <row r="145" spans="1:10" ht="22.5" x14ac:dyDescent="0.4">
      <c r="A145" s="775" t="s">
        <v>190</v>
      </c>
      <c r="B145" s="775"/>
      <c r="C145" s="775"/>
      <c r="D145" s="448" t="s">
        <v>183</v>
      </c>
      <c r="E145" s="447">
        <v>4958.84</v>
      </c>
      <c r="F145" s="446">
        <v>4971.62</v>
      </c>
      <c r="G145" s="726">
        <f t="shared" si="24"/>
        <v>12.779999999999745</v>
      </c>
      <c r="H145" s="453">
        <f t="shared" si="25"/>
        <v>12.779999999999745</v>
      </c>
      <c r="I145" s="657"/>
      <c r="J145" s="525">
        <f>H145/DAY(B2)</f>
        <v>12.779999999999745</v>
      </c>
    </row>
    <row r="146" spans="1:10" ht="22.5" x14ac:dyDescent="0.4">
      <c r="A146" s="776" t="s">
        <v>191</v>
      </c>
      <c r="B146" s="777"/>
      <c r="C146" s="778"/>
      <c r="D146" s="448" t="s">
        <v>183</v>
      </c>
      <c r="E146" s="446">
        <v>737333</v>
      </c>
      <c r="F146" s="446">
        <v>737727</v>
      </c>
      <c r="G146" s="726">
        <f t="shared" si="24"/>
        <v>394</v>
      </c>
      <c r="H146" s="453">
        <f t="shared" si="25"/>
        <v>394</v>
      </c>
      <c r="I146" s="657"/>
      <c r="J146" s="525">
        <f>H146/DAY(B2)</f>
        <v>394</v>
      </c>
    </row>
    <row r="147" spans="1:10" ht="22.5" x14ac:dyDescent="0.4">
      <c r="A147" s="773" t="s">
        <v>192</v>
      </c>
      <c r="B147" s="773"/>
      <c r="C147" s="773"/>
      <c r="D147" s="448" t="s">
        <v>183</v>
      </c>
      <c r="E147" s="446">
        <v>626612.52</v>
      </c>
      <c r="F147" s="446">
        <v>626981.80000000005</v>
      </c>
      <c r="G147" s="726">
        <f t="shared" si="24"/>
        <v>369.28000000002794</v>
      </c>
      <c r="H147" s="453">
        <f t="shared" si="25"/>
        <v>369.28000000002794</v>
      </c>
      <c r="I147" s="657"/>
      <c r="J147" s="525">
        <f>H147/DAY(B2)</f>
        <v>369.28000000002794</v>
      </c>
    </row>
    <row r="148" spans="1:10" ht="22.5" x14ac:dyDescent="0.4">
      <c r="A148" s="770" t="s">
        <v>193</v>
      </c>
      <c r="B148" s="771"/>
      <c r="C148" s="772"/>
      <c r="D148" s="507" t="s">
        <v>130</v>
      </c>
      <c r="E148" s="407">
        <v>689442.96</v>
      </c>
      <c r="F148" s="433">
        <v>689638</v>
      </c>
      <c r="G148" s="726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 x14ac:dyDescent="0.4">
      <c r="A149" s="770" t="s">
        <v>336</v>
      </c>
      <c r="B149" s="771"/>
      <c r="C149" s="772"/>
      <c r="D149" s="526" t="s">
        <v>130</v>
      </c>
      <c r="E149" s="387">
        <v>24678.2</v>
      </c>
      <c r="F149" s="448">
        <v>25075.18</v>
      </c>
      <c r="G149" s="726">
        <f t="shared" si="24"/>
        <v>396.97999999999956</v>
      </c>
      <c r="H149" s="453">
        <f t="shared" si="25"/>
        <v>396.97999999999956</v>
      </c>
      <c r="I149" s="649"/>
      <c r="J149" s="525">
        <f>H149/DAY(B2)</f>
        <v>396.97999999999956</v>
      </c>
    </row>
    <row r="150" spans="1:10" ht="22.5" x14ac:dyDescent="0.4">
      <c r="A150" s="770" t="s">
        <v>337</v>
      </c>
      <c r="B150" s="771"/>
      <c r="C150" s="772"/>
      <c r="D150" s="507" t="s">
        <v>130</v>
      </c>
      <c r="E150" s="448">
        <v>10850.83</v>
      </c>
      <c r="F150" s="448">
        <v>11065.7</v>
      </c>
      <c r="G150" s="726">
        <f t="shared" si="24"/>
        <v>214.8700000000008</v>
      </c>
      <c r="H150" s="453">
        <f t="shared" si="25"/>
        <v>214.8700000000008</v>
      </c>
      <c r="I150" s="649"/>
      <c r="J150" s="525">
        <f>H150/DAY(B2)</f>
        <v>214.8700000000008</v>
      </c>
    </row>
    <row r="151" spans="1:10" ht="22.5" x14ac:dyDescent="0.4">
      <c r="A151" s="770" t="s">
        <v>338</v>
      </c>
      <c r="B151" s="771"/>
      <c r="C151" s="772"/>
      <c r="D151" s="527"/>
      <c r="E151" s="448">
        <v>85480</v>
      </c>
      <c r="F151" s="448">
        <v>85706</v>
      </c>
      <c r="G151" s="726">
        <f t="shared" ref="G151:G152" si="26">F151-E151</f>
        <v>226</v>
      </c>
      <c r="H151" s="453">
        <f t="shared" ref="H151:H153" si="27">G151</f>
        <v>226</v>
      </c>
      <c r="I151" s="649"/>
      <c r="J151" s="525">
        <f>H151/DAY(B2)</f>
        <v>226</v>
      </c>
    </row>
    <row r="152" spans="1:10" ht="22.5" x14ac:dyDescent="0.4">
      <c r="A152" s="770" t="s">
        <v>339</v>
      </c>
      <c r="B152" s="771"/>
      <c r="C152" s="772"/>
      <c r="D152" s="527"/>
      <c r="E152" s="448">
        <v>1660</v>
      </c>
      <c r="F152" s="448">
        <v>1676.46</v>
      </c>
      <c r="G152" s="726">
        <f t="shared" si="26"/>
        <v>16.460000000000036</v>
      </c>
      <c r="H152" s="453">
        <f t="shared" si="27"/>
        <v>16.460000000000036</v>
      </c>
      <c r="I152" s="649"/>
      <c r="J152" s="525">
        <f>H152/DAY(B2)</f>
        <v>16.460000000000036</v>
      </c>
    </row>
    <row r="153" spans="1:10" ht="22.5" x14ac:dyDescent="0.4">
      <c r="A153" s="767" t="s">
        <v>196</v>
      </c>
      <c r="B153" s="768"/>
      <c r="C153" s="769"/>
      <c r="D153" s="527"/>
      <c r="E153" s="449"/>
      <c r="F153" s="449"/>
      <c r="G153" s="733">
        <f>SUM(G138:G152)</f>
        <v>2351.470000000063</v>
      </c>
      <c r="H153" s="528">
        <f t="shared" si="27"/>
        <v>2351.470000000063</v>
      </c>
      <c r="I153" s="650">
        <f>G153-(G38+G52)</f>
        <v>731.20000000006621</v>
      </c>
      <c r="J153" s="529"/>
    </row>
    <row r="154" spans="1:10" ht="22.5" x14ac:dyDescent="0.4">
      <c r="A154" s="774" t="s">
        <v>344</v>
      </c>
      <c r="B154" s="774"/>
      <c r="C154" s="774"/>
      <c r="D154" s="774"/>
      <c r="E154" s="774"/>
      <c r="F154" s="774"/>
      <c r="G154" s="774"/>
      <c r="H154" s="774"/>
      <c r="I154" s="774"/>
      <c r="J154" s="774"/>
    </row>
    <row r="155" spans="1:10" ht="27.75" customHeight="1" x14ac:dyDescent="0.5">
      <c r="A155" s="773" t="s">
        <v>345</v>
      </c>
      <c r="B155" s="773"/>
      <c r="C155" s="773"/>
      <c r="D155" s="457"/>
      <c r="E155" s="710">
        <v>32385</v>
      </c>
      <c r="F155" s="644">
        <v>32945</v>
      </c>
      <c r="G155" s="726">
        <f t="shared" ref="G155:G158" si="28">F155-E155</f>
        <v>560</v>
      </c>
      <c r="H155" s="644"/>
      <c r="I155" s="644"/>
      <c r="J155" s="525">
        <f>H155/DAY(B2)</f>
        <v>0</v>
      </c>
    </row>
    <row r="156" spans="1:10" ht="25.5" customHeight="1" x14ac:dyDescent="0.4">
      <c r="A156" s="773" t="s">
        <v>349</v>
      </c>
      <c r="B156" s="773"/>
      <c r="C156" s="773"/>
      <c r="D156" s="461"/>
      <c r="E156" s="442">
        <v>2736</v>
      </c>
      <c r="F156" s="644">
        <v>2788</v>
      </c>
      <c r="G156" s="726">
        <f t="shared" si="28"/>
        <v>52</v>
      </c>
      <c r="H156" s="460"/>
      <c r="I156" s="644"/>
      <c r="J156" s="525">
        <f>H156/DAY(B2)</f>
        <v>0</v>
      </c>
    </row>
    <row r="157" spans="1:10" ht="25.5" customHeight="1" x14ac:dyDescent="0.5">
      <c r="A157" s="838" t="s">
        <v>363</v>
      </c>
      <c r="B157" s="839"/>
      <c r="C157" s="840"/>
      <c r="D157" s="401" t="s">
        <v>130</v>
      </c>
      <c r="E157" s="394">
        <v>4032</v>
      </c>
      <c r="F157" s="644">
        <v>4127.37</v>
      </c>
      <c r="G157" s="726">
        <f t="shared" si="28"/>
        <v>95.369999999999891</v>
      </c>
      <c r="H157" s="460"/>
      <c r="I157" s="644"/>
      <c r="J157" s="525"/>
    </row>
    <row r="158" spans="1:10" ht="25.5" customHeight="1" x14ac:dyDescent="0.5">
      <c r="A158" s="838" t="s">
        <v>364</v>
      </c>
      <c r="B158" s="839"/>
      <c r="C158" s="840"/>
      <c r="D158" s="401" t="s">
        <v>130</v>
      </c>
      <c r="E158" s="442">
        <v>46.66</v>
      </c>
      <c r="F158" s="644">
        <v>46.66</v>
      </c>
      <c r="G158" s="726">
        <f t="shared" si="28"/>
        <v>0</v>
      </c>
      <c r="H158" s="460"/>
      <c r="I158" s="644"/>
      <c r="J158" s="525"/>
    </row>
    <row r="159" spans="1:10" ht="25.5" customHeight="1" x14ac:dyDescent="0.4">
      <c r="A159" s="841"/>
      <c r="B159" s="842"/>
      <c r="C159" s="843"/>
      <c r="D159" s="461"/>
      <c r="E159" s="442"/>
      <c r="F159" s="644"/>
      <c r="G159" s="726"/>
      <c r="H159" s="460"/>
      <c r="I159" s="644"/>
      <c r="J159" s="525"/>
    </row>
    <row r="160" spans="1:10" ht="22.5" x14ac:dyDescent="0.4">
      <c r="A160" s="837" t="s">
        <v>326</v>
      </c>
      <c r="B160" s="837"/>
      <c r="C160" s="837"/>
      <c r="D160" s="837"/>
      <c r="E160" s="837"/>
      <c r="F160" s="837"/>
      <c r="G160" s="837"/>
      <c r="H160" s="837"/>
      <c r="I160" s="837"/>
      <c r="J160" s="837"/>
    </row>
    <row r="161" spans="1:10" ht="22.5" x14ac:dyDescent="0.4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4">
        <f t="shared" ref="G161:G168" si="29">F161-E161</f>
        <v>48.28000000002794</v>
      </c>
      <c r="H161" s="395">
        <f t="shared" ref="H161:H168" si="30">G161</f>
        <v>48.28000000002794</v>
      </c>
      <c r="I161" s="649"/>
      <c r="J161" s="454">
        <f>H161/DAY(B2)</f>
        <v>48.28000000002794</v>
      </c>
    </row>
    <row r="162" spans="1:10" ht="22.5" x14ac:dyDescent="0.4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4">
        <f t="shared" si="29"/>
        <v>42</v>
      </c>
      <c r="H162" s="395">
        <f t="shared" si="30"/>
        <v>42</v>
      </c>
      <c r="I162" s="649"/>
      <c r="J162" s="454">
        <f>H162/DAY(B2)</f>
        <v>42</v>
      </c>
    </row>
    <row r="163" spans="1:10" ht="22.5" x14ac:dyDescent="0.4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4">
        <f t="shared" si="29"/>
        <v>31.399999999994179</v>
      </c>
      <c r="H163" s="395">
        <f t="shared" si="30"/>
        <v>31.399999999994179</v>
      </c>
      <c r="I163" s="649"/>
      <c r="J163" s="454">
        <f>H163/DAY(B2)</f>
        <v>31.399999999994179</v>
      </c>
    </row>
    <row r="164" spans="1:10" ht="22.5" x14ac:dyDescent="0.4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4">
        <f>F164-E164</f>
        <v>0.8000000000001819</v>
      </c>
      <c r="H164" s="395">
        <f t="shared" si="30"/>
        <v>0.8000000000001819</v>
      </c>
      <c r="I164" s="649"/>
      <c r="J164" s="454">
        <f>H164/DAY(B2)</f>
        <v>0.8000000000001819</v>
      </c>
    </row>
    <row r="165" spans="1:10" ht="22.5" x14ac:dyDescent="0.4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4">
        <f t="shared" si="29"/>
        <v>8.8300000000017462</v>
      </c>
      <c r="H165" s="395">
        <f t="shared" si="30"/>
        <v>8.8300000000017462</v>
      </c>
      <c r="I165" s="649"/>
      <c r="J165" s="454">
        <f>H165/DAY(B2)</f>
        <v>8.8300000000017462</v>
      </c>
    </row>
    <row r="166" spans="1:10" ht="22.5" x14ac:dyDescent="0.4">
      <c r="A166" s="828"/>
      <c r="B166" s="828"/>
      <c r="C166" s="434"/>
      <c r="D166" s="451" t="s">
        <v>180</v>
      </c>
      <c r="E166" s="442"/>
      <c r="F166" s="442"/>
      <c r="G166" s="734">
        <f t="shared" si="29"/>
        <v>0</v>
      </c>
      <c r="H166" s="395">
        <f t="shared" si="30"/>
        <v>0</v>
      </c>
      <c r="I166" s="442"/>
      <c r="J166" s="439"/>
    </row>
    <row r="167" spans="1:10" ht="22.5" x14ac:dyDescent="0.4">
      <c r="A167" s="828"/>
      <c r="B167" s="828"/>
      <c r="C167" s="434"/>
      <c r="D167" s="451" t="s">
        <v>180</v>
      </c>
      <c r="E167" s="442"/>
      <c r="F167" s="442"/>
      <c r="G167" s="734">
        <f t="shared" si="29"/>
        <v>0</v>
      </c>
      <c r="H167" s="395">
        <f t="shared" si="30"/>
        <v>0</v>
      </c>
      <c r="I167" s="442"/>
      <c r="J167" s="439"/>
    </row>
    <row r="168" spans="1:10" ht="22.5" x14ac:dyDescent="0.4">
      <c r="A168" s="828"/>
      <c r="B168" s="828"/>
      <c r="C168" s="434"/>
      <c r="D168" s="451" t="s">
        <v>180</v>
      </c>
      <c r="E168" s="442"/>
      <c r="F168" s="442"/>
      <c r="G168" s="734">
        <f t="shared" si="29"/>
        <v>0</v>
      </c>
      <c r="H168" s="395">
        <f t="shared" si="30"/>
        <v>0</v>
      </c>
      <c r="I168" s="442"/>
      <c r="J168" s="439"/>
    </row>
    <row r="169" spans="1:10" ht="22.5" x14ac:dyDescent="0.4"/>
    <row r="170" spans="1:10" ht="22.5" x14ac:dyDescent="0.4"/>
    <row r="171" spans="1:10" ht="22.5" x14ac:dyDescent="0.4">
      <c r="A171" s="829" t="s">
        <v>330</v>
      </c>
      <c r="B171" s="830"/>
      <c r="C171" s="830"/>
      <c r="D171" s="830"/>
      <c r="E171" s="830"/>
      <c r="F171" s="830"/>
      <c r="G171" s="830"/>
      <c r="H171" s="830"/>
      <c r="I171" s="830"/>
      <c r="J171" s="831"/>
    </row>
    <row r="172" spans="1:10" ht="22.5" x14ac:dyDescent="0.4">
      <c r="A172" s="848"/>
      <c r="B172" s="849"/>
      <c r="C172" s="455"/>
      <c r="D172" s="506"/>
      <c r="E172" s="442"/>
      <c r="F172" s="442"/>
      <c r="G172" s="732"/>
      <c r="H172" s="439"/>
      <c r="I172" s="442"/>
      <c r="J172" s="456">
        <f>H172/DAY(B2)</f>
        <v>0</v>
      </c>
    </row>
    <row r="173" spans="1:10" ht="22.5" x14ac:dyDescent="0.4">
      <c r="A173" s="832" t="s">
        <v>209</v>
      </c>
      <c r="B173" s="834"/>
      <c r="C173" s="377"/>
      <c r="D173" s="506" t="s">
        <v>142</v>
      </c>
      <c r="E173" s="698">
        <v>8126</v>
      </c>
      <c r="F173" s="442">
        <v>8126</v>
      </c>
      <c r="G173" s="732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 x14ac:dyDescent="0.4">
      <c r="A174" s="832" t="s">
        <v>75</v>
      </c>
      <c r="B174" s="834"/>
      <c r="C174" s="377"/>
      <c r="D174" s="506" t="s">
        <v>142</v>
      </c>
      <c r="E174" s="697">
        <v>38615</v>
      </c>
      <c r="F174" s="644">
        <v>38626</v>
      </c>
      <c r="G174" s="732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 x14ac:dyDescent="0.4">
      <c r="A175" s="832" t="s">
        <v>76</v>
      </c>
      <c r="B175" s="833"/>
      <c r="C175" s="834"/>
      <c r="D175" s="506" t="s">
        <v>142</v>
      </c>
      <c r="E175" s="442">
        <v>21813</v>
      </c>
      <c r="F175" s="442">
        <v>21823</v>
      </c>
      <c r="G175" s="732">
        <f t="shared" si="32"/>
        <v>10</v>
      </c>
      <c r="H175" s="395">
        <f t="shared" si="31"/>
        <v>10</v>
      </c>
      <c r="I175" s="442"/>
      <c r="J175" s="456"/>
    </row>
    <row r="176" spans="1:10" ht="22.5" x14ac:dyDescent="0.4">
      <c r="A176" s="844" t="s">
        <v>196</v>
      </c>
      <c r="B176" s="845"/>
      <c r="C176" s="377"/>
      <c r="D176" s="506"/>
      <c r="E176" s="442"/>
      <c r="F176" s="442"/>
      <c r="G176" s="732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 x14ac:dyDescent="0.4">
      <c r="A177" s="832" t="s">
        <v>77</v>
      </c>
      <c r="B177" s="834"/>
      <c r="C177" s="377"/>
      <c r="D177" s="506" t="s">
        <v>142</v>
      </c>
      <c r="E177" s="442"/>
      <c r="F177" s="442"/>
      <c r="G177" s="732"/>
      <c r="H177" s="395">
        <f t="shared" si="31"/>
        <v>0</v>
      </c>
      <c r="I177" s="442"/>
      <c r="J177" s="456">
        <f>H177/DAY(B2)</f>
        <v>0</v>
      </c>
    </row>
    <row r="178" spans="1:10" ht="22.5" x14ac:dyDescent="0.4">
      <c r="A178" s="832" t="s">
        <v>210</v>
      </c>
      <c r="B178" s="834"/>
      <c r="C178" s="377"/>
      <c r="D178" s="506" t="s">
        <v>142</v>
      </c>
      <c r="E178" s="442">
        <v>81315</v>
      </c>
      <c r="F178" s="442">
        <v>81358</v>
      </c>
      <c r="G178" s="732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 x14ac:dyDescent="0.4">
      <c r="A179" s="832" t="s">
        <v>211</v>
      </c>
      <c r="B179" s="834"/>
      <c r="C179" s="377"/>
      <c r="D179" s="506" t="s">
        <v>142</v>
      </c>
      <c r="E179" s="697">
        <v>34803</v>
      </c>
      <c r="F179" s="442">
        <v>34832</v>
      </c>
      <c r="G179" s="732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 x14ac:dyDescent="0.4">
      <c r="A180" s="832" t="s">
        <v>212</v>
      </c>
      <c r="B180" s="834"/>
      <c r="C180" s="377"/>
      <c r="D180" s="506" t="s">
        <v>142</v>
      </c>
      <c r="E180" s="697">
        <v>5702</v>
      </c>
      <c r="F180" s="442">
        <v>5705</v>
      </c>
      <c r="G180" s="732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 x14ac:dyDescent="0.4">
      <c r="A181" s="844" t="s">
        <v>108</v>
      </c>
      <c r="B181" s="845"/>
      <c r="C181" s="377"/>
      <c r="D181" s="506"/>
      <c r="E181" s="697"/>
      <c r="F181" s="442"/>
      <c r="G181" s="732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 x14ac:dyDescent="0.4">
      <c r="A182" s="832" t="s">
        <v>213</v>
      </c>
      <c r="B182" s="834"/>
      <c r="C182" s="377"/>
      <c r="D182" s="506"/>
      <c r="E182" s="442"/>
      <c r="F182" s="442"/>
      <c r="G182" s="732"/>
      <c r="H182" s="395">
        <f t="shared" si="31"/>
        <v>0</v>
      </c>
      <c r="I182" s="442"/>
      <c r="J182" s="456">
        <f>H182/DAY(B2)</f>
        <v>0</v>
      </c>
    </row>
    <row r="183" spans="1:10" ht="21.95" customHeight="1" x14ac:dyDescent="0.4">
      <c r="A183" s="832" t="s">
        <v>214</v>
      </c>
      <c r="B183" s="834"/>
      <c r="C183" s="377"/>
      <c r="D183" s="506" t="s">
        <v>142</v>
      </c>
      <c r="E183" s="697">
        <v>15345</v>
      </c>
      <c r="F183" s="644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 x14ac:dyDescent="0.4">
      <c r="A184" s="832" t="s">
        <v>215</v>
      </c>
      <c r="B184" s="834"/>
      <c r="C184" s="377"/>
      <c r="D184" s="506" t="s">
        <v>142</v>
      </c>
      <c r="E184" s="697">
        <v>10518</v>
      </c>
      <c r="F184" s="644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 x14ac:dyDescent="0.4">
      <c r="A185" s="832" t="s">
        <v>216</v>
      </c>
      <c r="B185" s="834"/>
      <c r="C185" s="377"/>
      <c r="D185" s="506" t="s">
        <v>142</v>
      </c>
      <c r="E185" s="697"/>
      <c r="F185" s="644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 x14ac:dyDescent="0.4">
      <c r="A186" s="844" t="s">
        <v>196</v>
      </c>
      <c r="B186" s="845"/>
      <c r="C186" s="377"/>
      <c r="D186" s="229"/>
      <c r="E186" s="697"/>
      <c r="F186" s="644"/>
      <c r="G186" s="584">
        <f>SUM(G183:G185)</f>
        <v>18</v>
      </c>
      <c r="H186" s="395">
        <f t="shared" si="31"/>
        <v>18</v>
      </c>
      <c r="I186" s="644"/>
      <c r="J186" s="458">
        <f>H186/DAY(B2)</f>
        <v>18</v>
      </c>
    </row>
    <row r="187" spans="1:10" ht="22.5" x14ac:dyDescent="0.4">
      <c r="A187" s="832" t="s">
        <v>217</v>
      </c>
      <c r="B187" s="834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4"/>
      <c r="J187" s="458">
        <f>H187/DAY(B2)</f>
        <v>118</v>
      </c>
    </row>
    <row r="188" spans="1:10" ht="22.5" x14ac:dyDescent="0.4">
      <c r="A188" s="832" t="s">
        <v>218</v>
      </c>
      <c r="B188" s="834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4"/>
      <c r="J188" s="653"/>
    </row>
    <row r="189" spans="1:10" ht="22.5" x14ac:dyDescent="0.4">
      <c r="A189" s="832" t="s">
        <v>219</v>
      </c>
      <c r="B189" s="834"/>
      <c r="C189" s="377"/>
      <c r="D189" s="459" t="s">
        <v>142</v>
      </c>
      <c r="E189" s="697"/>
      <c r="F189" s="644"/>
      <c r="G189" s="584">
        <f>G181</f>
        <v>75</v>
      </c>
      <c r="H189" s="395">
        <f t="shared" si="31"/>
        <v>75</v>
      </c>
      <c r="I189" s="644"/>
      <c r="J189" s="454">
        <f>H189/DAY(B2)</f>
        <v>75</v>
      </c>
    </row>
    <row r="190" spans="1:10" ht="27" x14ac:dyDescent="0.5">
      <c r="A190" s="846" t="s">
        <v>360</v>
      </c>
      <c r="B190" s="847"/>
      <c r="C190" s="595"/>
      <c r="D190" s="474"/>
      <c r="E190" s="658"/>
      <c r="F190" s="596">
        <v>52955</v>
      </c>
      <c r="G190" s="735">
        <f>F190-E190</f>
        <v>52955</v>
      </c>
      <c r="H190" s="476"/>
      <c r="I190" s="596"/>
      <c r="J190" s="476"/>
    </row>
    <row r="191" spans="1:10" ht="22.5" x14ac:dyDescent="0.4">
      <c r="A191" s="832"/>
      <c r="B191" s="834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6" s="57" customFormat="1" ht="27" x14ac:dyDescent="0.5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 x14ac:dyDescent="0.5">
      <c r="A18" s="853" t="s">
        <v>141</v>
      </c>
      <c r="B18" s="854"/>
      <c r="C18" s="855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 x14ac:dyDescent="0.5">
      <c r="A19" s="853" t="s">
        <v>69</v>
      </c>
      <c r="B19" s="854"/>
      <c r="C19" s="855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 x14ac:dyDescent="0.5">
      <c r="A116" s="904" t="s">
        <v>96</v>
      </c>
      <c r="B116" s="905"/>
      <c r="C116" s="906"/>
      <c r="D116" s="677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 x14ac:dyDescent="0.5">
      <c r="A133" s="886" t="s">
        <v>342</v>
      </c>
      <c r="B133" s="887"/>
      <c r="C133" s="888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 x14ac:dyDescent="0.5">
      <c r="A134" s="886" t="s">
        <v>340</v>
      </c>
      <c r="B134" s="887"/>
      <c r="C134" s="888"/>
      <c r="D134" s="675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675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 x14ac:dyDescent="0.5">
      <c r="A139" s="881" t="s">
        <v>186</v>
      </c>
      <c r="B139" s="881"/>
      <c r="C139" s="881"/>
      <c r="D139" s="675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 x14ac:dyDescent="0.5">
      <c r="A140" s="881" t="s">
        <v>187</v>
      </c>
      <c r="B140" s="881"/>
      <c r="C140" s="881"/>
      <c r="D140" s="675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 x14ac:dyDescent="0.5">
      <c r="A144" s="885" t="s">
        <v>90</v>
      </c>
      <c r="B144" s="885"/>
      <c r="C144" s="885"/>
      <c r="D144" s="675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 x14ac:dyDescent="0.5">
      <c r="A146" s="882" t="s">
        <v>191</v>
      </c>
      <c r="B146" s="883"/>
      <c r="C146" s="884"/>
      <c r="D146" s="675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 x14ac:dyDescent="0.5">
      <c r="A147" s="885" t="s">
        <v>192</v>
      </c>
      <c r="B147" s="885"/>
      <c r="C147" s="885"/>
      <c r="D147" s="675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 x14ac:dyDescent="0.5">
      <c r="A148" s="877" t="s">
        <v>193</v>
      </c>
      <c r="B148" s="878"/>
      <c r="C148" s="879"/>
      <c r="D148" s="676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 x14ac:dyDescent="0.5">
      <c r="A149" s="877" t="s">
        <v>336</v>
      </c>
      <c r="B149" s="878"/>
      <c r="C149" s="879"/>
      <c r="D149" s="677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 x14ac:dyDescent="0.5">
      <c r="A151" s="877" t="s">
        <v>338</v>
      </c>
      <c r="B151" s="878"/>
      <c r="C151" s="879"/>
      <c r="D151" s="676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678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 x14ac:dyDescent="0.5">
      <c r="A156" s="885" t="s">
        <v>347</v>
      </c>
      <c r="B156" s="885"/>
      <c r="C156" s="885"/>
      <c r="D156" s="678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 x14ac:dyDescent="0.5">
      <c r="A157" s="877" t="s">
        <v>363</v>
      </c>
      <c r="B157" s="878"/>
      <c r="C157" s="879"/>
      <c r="D157" s="678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 x14ac:dyDescent="0.5">
      <c r="A159" s="877"/>
      <c r="B159" s="878"/>
      <c r="C159" s="87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 x14ac:dyDescent="0.5">
      <c r="A166" s="917"/>
      <c r="B166" s="917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17"/>
      <c r="B167" s="917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17"/>
      <c r="B168" s="917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4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75" t="s">
        <v>209</v>
      </c>
      <c r="B173" s="876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75" t="s">
        <v>75</v>
      </c>
      <c r="B174" s="876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 x14ac:dyDescent="0.5">
      <c r="A175" s="875" t="s">
        <v>76</v>
      </c>
      <c r="B175" s="880"/>
      <c r="C175" s="876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 x14ac:dyDescent="0.5">
      <c r="A176" s="914" t="s">
        <v>196</v>
      </c>
      <c r="B176" s="915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 x14ac:dyDescent="0.5">
      <c r="A181" s="919" t="s">
        <v>108</v>
      </c>
      <c r="B181" s="920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75" t="s">
        <v>214</v>
      </c>
      <c r="B183" s="876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 x14ac:dyDescent="0.5">
      <c r="A184" s="875" t="s">
        <v>215</v>
      </c>
      <c r="B184" s="876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875" t="s">
        <v>216</v>
      </c>
      <c r="B185" s="876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14" t="s">
        <v>196</v>
      </c>
      <c r="B186" s="915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6" s="57" customFormat="1" ht="27" x14ac:dyDescent="0.5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50" t="s">
        <v>196</v>
      </c>
      <c r="B125" s="851"/>
      <c r="C125" s="852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 x14ac:dyDescent="0.5">
      <c r="A133" s="886" t="s">
        <v>342</v>
      </c>
      <c r="B133" s="887"/>
      <c r="C133" s="888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 x14ac:dyDescent="0.5">
      <c r="A134" s="928" t="s">
        <v>340</v>
      </c>
      <c r="B134" s="929"/>
      <c r="C134" s="924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 x14ac:dyDescent="0.5">
      <c r="A135" s="850" t="s">
        <v>196</v>
      </c>
      <c r="B135" s="851"/>
      <c r="C135" s="852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 x14ac:dyDescent="0.5">
      <c r="A149" s="930" t="s">
        <v>336</v>
      </c>
      <c r="B149" s="931"/>
      <c r="C149" s="932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 x14ac:dyDescent="0.5">
      <c r="A150" s="930" t="s">
        <v>337</v>
      </c>
      <c r="B150" s="931"/>
      <c r="C150" s="932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 x14ac:dyDescent="0.5">
      <c r="A151" s="930" t="s">
        <v>338</v>
      </c>
      <c r="B151" s="931"/>
      <c r="C151" s="932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 x14ac:dyDescent="0.5">
      <c r="A152" s="930" t="s">
        <v>339</v>
      </c>
      <c r="B152" s="931"/>
      <c r="C152" s="932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 x14ac:dyDescent="0.5">
      <c r="A153" s="850" t="s">
        <v>196</v>
      </c>
      <c r="B153" s="851"/>
      <c r="C153" s="852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29.25" customHeight="1" x14ac:dyDescent="0.55000000000000004">
      <c r="A155" s="885" t="s">
        <v>345</v>
      </c>
      <c r="B155" s="885"/>
      <c r="C155" s="885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 x14ac:dyDescent="0.5">
      <c r="A156" s="933" t="s">
        <v>346</v>
      </c>
      <c r="B156" s="933"/>
      <c r="C156" s="933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 x14ac:dyDescent="0.5">
      <c r="A157" s="877" t="s">
        <v>363</v>
      </c>
      <c r="B157" s="878"/>
      <c r="C157" s="879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 x14ac:dyDescent="0.5">
      <c r="A158" s="877" t="s">
        <v>364</v>
      </c>
      <c r="B158" s="878"/>
      <c r="C158" s="879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 x14ac:dyDescent="0.5">
      <c r="A159" s="930"/>
      <c r="B159" s="931"/>
      <c r="C159" s="932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 x14ac:dyDescent="0.5">
      <c r="A166" s="917"/>
      <c r="B166" s="917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17"/>
      <c r="B167" s="917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17"/>
      <c r="B168" s="917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 x14ac:dyDescent="0.5">
      <c r="A175" s="875" t="s">
        <v>76</v>
      </c>
      <c r="B175" s="880"/>
      <c r="C175" s="876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 x14ac:dyDescent="0.5">
      <c r="A176" s="850" t="s">
        <v>196</v>
      </c>
      <c r="B176" s="851"/>
      <c r="C176" s="852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75" t="s">
        <v>210</v>
      </c>
      <c r="B178" s="876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 x14ac:dyDescent="0.5">
      <c r="A179" s="875" t="s">
        <v>211</v>
      </c>
      <c r="B179" s="876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 x14ac:dyDescent="0.5">
      <c r="A180" s="875" t="s">
        <v>212</v>
      </c>
      <c r="B180" s="876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 x14ac:dyDescent="0.5">
      <c r="A181" s="850" t="s">
        <v>196</v>
      </c>
      <c r="B181" s="851"/>
      <c r="C181" s="852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75" t="s">
        <v>214</v>
      </c>
      <c r="B183" s="876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 x14ac:dyDescent="0.5">
      <c r="A184" s="875" t="s">
        <v>215</v>
      </c>
      <c r="B184" s="876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50" t="s">
        <v>196</v>
      </c>
      <c r="B186" s="851"/>
      <c r="C186" s="852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 x14ac:dyDescent="0.5">
      <c r="A190" s="923"/>
      <c r="B190" s="92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 x14ac:dyDescent="0.5">
      <c r="A135" s="850" t="s">
        <v>196</v>
      </c>
      <c r="B135" s="851"/>
      <c r="C135" s="852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 x14ac:dyDescent="0.5">
      <c r="A153" s="850" t="s">
        <v>196</v>
      </c>
      <c r="B153" s="851"/>
      <c r="C153" s="852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 x14ac:dyDescent="0.5">
      <c r="A166" s="917"/>
      <c r="B166" s="917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17"/>
      <c r="B167" s="917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17"/>
      <c r="B168" s="917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 x14ac:dyDescent="0.5">
      <c r="A175" s="875" t="s">
        <v>76</v>
      </c>
      <c r="B175" s="880"/>
      <c r="C175" s="876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50" t="s">
        <v>196</v>
      </c>
      <c r="B176" s="851"/>
      <c r="C176" s="852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75" t="s">
        <v>210</v>
      </c>
      <c r="B178" s="876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 x14ac:dyDescent="0.5">
      <c r="A179" s="875" t="s">
        <v>211</v>
      </c>
      <c r="B179" s="876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 x14ac:dyDescent="0.5">
      <c r="A181" s="850" t="s">
        <v>196</v>
      </c>
      <c r="B181" s="851"/>
      <c r="C181" s="852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50" t="s">
        <v>196</v>
      </c>
      <c r="B186" s="851"/>
      <c r="C186" s="852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 x14ac:dyDescent="0.5">
      <c r="A187" s="923" t="s">
        <v>217</v>
      </c>
      <c r="B187" s="924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 x14ac:dyDescent="0.5">
      <c r="A190" s="923"/>
      <c r="B190" s="924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136" zoomScale="53" zoomScaleNormal="48" zoomScaleSheetLayoutView="53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39"/>
      <c r="R116" s="939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39"/>
      <c r="R117" s="939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39"/>
      <c r="R118" s="939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37" t="s">
        <v>196</v>
      </c>
      <c r="B125" s="937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 x14ac:dyDescent="0.5">
      <c r="A135" s="937" t="s">
        <v>196</v>
      </c>
      <c r="B135" s="937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 x14ac:dyDescent="0.5">
      <c r="A153" s="937" t="s">
        <v>196</v>
      </c>
      <c r="B153" s="937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 x14ac:dyDescent="0.5">
      <c r="A166" s="917"/>
      <c r="B166" s="917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17"/>
      <c r="B167" s="917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17"/>
      <c r="B168" s="917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43"/>
      <c r="B172" s="943"/>
      <c r="C172" s="472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38" t="s">
        <v>209</v>
      </c>
      <c r="B173" s="938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38" t="s">
        <v>75</v>
      </c>
      <c r="B174" s="938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 x14ac:dyDescent="0.5">
      <c r="A175" s="938" t="s">
        <v>76</v>
      </c>
      <c r="B175" s="938"/>
      <c r="C175" s="938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37" t="s">
        <v>196</v>
      </c>
      <c r="B176" s="937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 x14ac:dyDescent="0.5">
      <c r="A177" s="938" t="s">
        <v>77</v>
      </c>
      <c r="B177" s="938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38" t="s">
        <v>210</v>
      </c>
      <c r="B178" s="938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 x14ac:dyDescent="0.5">
      <c r="A179" s="938" t="s">
        <v>211</v>
      </c>
      <c r="B179" s="938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 x14ac:dyDescent="0.5">
      <c r="A180" s="938" t="s">
        <v>212</v>
      </c>
      <c r="B180" s="938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 x14ac:dyDescent="0.5">
      <c r="A181" s="942" t="s">
        <v>108</v>
      </c>
      <c r="B181" s="942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 x14ac:dyDescent="0.5">
      <c r="A182" s="938" t="s">
        <v>213</v>
      </c>
      <c r="B182" s="938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38" t="s">
        <v>214</v>
      </c>
      <c r="B183" s="938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 x14ac:dyDescent="0.5">
      <c r="A184" s="938" t="s">
        <v>215</v>
      </c>
      <c r="B184" s="938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 x14ac:dyDescent="0.5">
      <c r="A185" s="938" t="s">
        <v>216</v>
      </c>
      <c r="B185" s="938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37" t="s">
        <v>196</v>
      </c>
      <c r="B186" s="937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 x14ac:dyDescent="0.5">
      <c r="A187" s="941" t="s">
        <v>217</v>
      </c>
      <c r="B187" s="941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 x14ac:dyDescent="0.5">
      <c r="A188" s="941" t="s">
        <v>218</v>
      </c>
      <c r="B188" s="941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 x14ac:dyDescent="0.5">
      <c r="A189" s="941" t="s">
        <v>219</v>
      </c>
      <c r="B189" s="941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 x14ac:dyDescent="0.5">
      <c r="A190" s="940"/>
      <c r="B190" s="940"/>
      <c r="C190" s="473"/>
      <c r="D190" s="474"/>
      <c r="E190" s="475"/>
      <c r="F190" s="474"/>
      <c r="G190" s="474"/>
      <c r="H190" s="476"/>
      <c r="I190" s="474"/>
      <c r="J190" s="477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09" zoomScale="55" zoomScaleSheetLayoutView="55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 x14ac:dyDescent="0.5">
      <c r="A124" s="911"/>
      <c r="B124" s="912"/>
      <c r="C124" s="913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 x14ac:dyDescent="0.5">
      <c r="A166" s="917"/>
      <c r="B166" s="917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 x14ac:dyDescent="0.5">
      <c r="A181" s="919" t="s">
        <v>108</v>
      </c>
      <c r="B181" s="920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 x14ac:dyDescent="0.5">
      <c r="A182" s="875" t="s">
        <v>213</v>
      </c>
      <c r="B182" s="876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 x14ac:dyDescent="0.5">
      <c r="A190" s="846"/>
      <c r="B190" s="847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15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 x14ac:dyDescent="0.5">
      <c r="A166" s="917"/>
      <c r="B166" s="917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 x14ac:dyDescent="0.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 x14ac:dyDescent="0.5">
      <c r="A181" s="919" t="s">
        <v>108</v>
      </c>
      <c r="B181" s="920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 x14ac:dyDescent="0.5">
      <c r="A187" s="923" t="s">
        <v>217</v>
      </c>
      <c r="B187" s="924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 x14ac:dyDescent="0.5">
      <c r="A190" s="846"/>
      <c r="B190" s="847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06" zoomScale="55" zoomScaleSheetLayoutView="55" workbookViewId="0">
      <selection activeCell="E159" sqref="E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44600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806257</v>
      </c>
      <c r="G7" s="112">
        <f>F7-E7</f>
        <v>19667.729999999981</v>
      </c>
      <c r="H7" s="99">
        <f>G7+'7'!H7</f>
        <v>155076.77000000002</v>
      </c>
      <c r="I7" s="113">
        <f>'1'!I7</f>
        <v>12000</v>
      </c>
      <c r="J7" s="175">
        <f>H7/DAY(B2)</f>
        <v>19384.596250000002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865054</v>
      </c>
      <c r="G8" s="115">
        <f>F8-E8</f>
        <v>19730.089999999967</v>
      </c>
      <c r="H8" s="99">
        <f>G8+'7'!H8</f>
        <v>156505.84999999998</v>
      </c>
      <c r="I8" s="116"/>
      <c r="J8" s="175">
        <f>H8/DAY(B2)</f>
        <v>19563.231249999997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391914</v>
      </c>
      <c r="G9" s="112">
        <f>F9-E9</f>
        <v>16469.849999999977</v>
      </c>
      <c r="H9" s="99">
        <f>G9+'7'!H9</f>
        <v>109660.15000000002</v>
      </c>
      <c r="I9" s="124">
        <f>I7-J7</f>
        <v>-7384.5962500000023</v>
      </c>
      <c r="J9" s="175">
        <f>H9/DAY(B2)</f>
        <v>13707.518750000003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146363</v>
      </c>
      <c r="G10" s="112">
        <f t="shared" ref="G10:G12" si="0">F10-E10</f>
        <v>2628.0499999999884</v>
      </c>
      <c r="H10" s="99">
        <f>G10+'7'!H10</f>
        <v>41104.03</v>
      </c>
      <c r="I10" s="282"/>
      <c r="J10" s="175">
        <f>H10/DAY(B2)</f>
        <v>5138.0037499999999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37170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19097.899999999965</v>
      </c>
      <c r="H13" s="99">
        <f>G13+'7'!H13</f>
        <v>134009.75</v>
      </c>
      <c r="I13" s="120">
        <f>G7-G13</f>
        <v>569.8300000000163</v>
      </c>
      <c r="J13" s="175">
        <f>H13/DAY(B2)</f>
        <v>16751.21875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1914729</v>
      </c>
      <c r="G15" s="112">
        <f>(F15-E15)</f>
        <v>1052.1799999999348</v>
      </c>
      <c r="H15" s="99">
        <f>G15+'7'!H15</f>
        <v>8092.2330000000075</v>
      </c>
      <c r="I15" s="113">
        <f>'1'!I15</f>
        <v>800</v>
      </c>
      <c r="J15" s="175">
        <f>H15/DAY(B2)</f>
        <v>1011.5291250000009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-211.52912500000093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'7'!F18</f>
        <v>19</v>
      </c>
      <c r="F18" s="122">
        <v>18</v>
      </c>
      <c r="G18" s="119">
        <f>F18*10</f>
        <v>180</v>
      </c>
      <c r="H18" s="99">
        <f>G18+'7'!H18</f>
        <v>1550</v>
      </c>
      <c r="I18" s="113">
        <f>'1'!I18</f>
        <v>65</v>
      </c>
      <c r="J18" s="175">
        <f>H18/DAY(B2)</f>
        <v>193.75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'7'!F19</f>
        <v>154244</v>
      </c>
      <c r="F19" s="122">
        <v>154296</v>
      </c>
      <c r="G19" s="112">
        <f t="shared" ref="G19" si="1">F19-E19</f>
        <v>52</v>
      </c>
      <c r="H19" s="99">
        <f>G19+'7'!H19</f>
        <v>405</v>
      </c>
      <c r="I19" s="335"/>
      <c r="J19" s="175">
        <f>H19/DAY(B2)</f>
        <v>50.625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232</v>
      </c>
      <c r="H20" s="99">
        <f>G20+'7'!H20</f>
        <v>1955</v>
      </c>
      <c r="I20" s="336">
        <f>I18-J20</f>
        <v>-179.375</v>
      </c>
      <c r="J20" s="175">
        <f>H20/DAY(B2)</f>
        <v>244.375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19730.089999999967</v>
      </c>
      <c r="F27" s="136">
        <v>9</v>
      </c>
      <c r="G27" s="137">
        <f>E27*F27</f>
        <v>177570.80999999971</v>
      </c>
      <c r="H27" s="99">
        <f>G27+'7'!H27</f>
        <v>1408552.65</v>
      </c>
      <c r="I27" s="138"/>
      <c r="J27" s="175">
        <f>H27/DAY(B2)</f>
        <v>176069.08124999999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1052.1799999999348</v>
      </c>
      <c r="F28" s="136">
        <v>52</v>
      </c>
      <c r="G28" s="137">
        <f>E28*F28</f>
        <v>54713.35999999661</v>
      </c>
      <c r="H28" s="99">
        <f>G28+'7'!H28</f>
        <v>420796.11600000039</v>
      </c>
      <c r="I28" s="140"/>
      <c r="J28" s="175">
        <f>H28/DAY(B2)</f>
        <v>52599.514500000048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G30+'7'!H30</f>
        <v>59130</v>
      </c>
      <c r="I30" s="140"/>
      <c r="J30" s="175">
        <f>H30/DAY(B2)</f>
        <v>7391.25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G31+'7'!H31</f>
        <v>124000</v>
      </c>
      <c r="I31" s="140"/>
      <c r="J31" s="175">
        <f>H31/DAY(B2)</f>
        <v>15500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254276.16999999632</v>
      </c>
      <c r="H32" s="99">
        <f>G32+'7'!H32</f>
        <v>2012478.7660000003</v>
      </c>
      <c r="I32" s="144"/>
      <c r="J32" s="175">
        <f>H32/DAY(B2)</f>
        <v>251559.84575000004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43930</v>
      </c>
      <c r="G35" s="112">
        <f t="shared" ref="G35:G46" si="3">F35-E35</f>
        <v>1754.8000000000029</v>
      </c>
      <c r="H35" s="99">
        <f>G35+'7'!H35</f>
        <v>11925.02</v>
      </c>
      <c r="I35" s="95"/>
      <c r="J35" s="175">
        <f>H35/DAY(B2)</f>
        <v>1490.6275000000001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50674</v>
      </c>
      <c r="G36" s="112">
        <f t="shared" si="3"/>
        <v>799.44000000000233</v>
      </c>
      <c r="H36" s="99">
        <f>G36+'7'!H36</f>
        <v>7215.260000000002</v>
      </c>
      <c r="I36" s="95"/>
      <c r="J36" s="175">
        <f>H36/DAY(B2)</f>
        <v>901.90750000000025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48290</v>
      </c>
      <c r="G37" s="112">
        <f t="shared" si="3"/>
        <v>1609.0699999999997</v>
      </c>
      <c r="H37" s="99">
        <f>G37+'7'!H37</f>
        <v>12864.910000000003</v>
      </c>
      <c r="I37" s="95"/>
      <c r="J37" s="175">
        <f>H37/DAY(B2)</f>
        <v>1608.1137500000004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53069</v>
      </c>
      <c r="G38" s="112">
        <f t="shared" si="3"/>
        <v>1914.6800000000003</v>
      </c>
      <c r="H38" s="99">
        <f>G38+'7'!H38</f>
        <v>14692.57</v>
      </c>
      <c r="I38" s="95"/>
      <c r="J38" s="175">
        <f>H38/DAY(B2)</f>
        <v>1836.57125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81244</v>
      </c>
      <c r="G39" s="112">
        <f t="shared" si="3"/>
        <v>2923.2899999999936</v>
      </c>
      <c r="H39" s="99">
        <f>G39+'7'!H39</f>
        <v>22070.71</v>
      </c>
      <c r="I39" s="95"/>
      <c r="J39" s="175">
        <f>H39/DAY(B2)</f>
        <v>2758.8387499999999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24519</v>
      </c>
      <c r="G40" s="112">
        <f t="shared" si="3"/>
        <v>314.22999999999956</v>
      </c>
      <c r="H40" s="99">
        <f>G40+'7'!H40</f>
        <v>2402.0099999999975</v>
      </c>
      <c r="I40" s="95"/>
      <c r="J40" s="175">
        <f>H40/DAY(B2)</f>
        <v>300.25124999999969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63</v>
      </c>
      <c r="G41" s="112">
        <f t="shared" si="3"/>
        <v>0.27000000000000313</v>
      </c>
      <c r="H41" s="99">
        <f>G41+'7'!H41</f>
        <v>0.27000000000000313</v>
      </c>
      <c r="I41" s="95"/>
      <c r="J41" s="175">
        <f>H41/DAY(B2)</f>
        <v>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113151</v>
      </c>
      <c r="G42" s="112">
        <f t="shared" si="3"/>
        <v>4081.8500000000058</v>
      </c>
      <c r="H42" s="99">
        <f>G42+'7'!H42</f>
        <v>13021.259999999995</v>
      </c>
      <c r="I42" s="95"/>
      <c r="J42" s="175">
        <f>H42/DAY(B2)</f>
        <v>1627.6574999999993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132091</v>
      </c>
      <c r="G43" s="112">
        <f t="shared" si="3"/>
        <v>2123.6699999999983</v>
      </c>
      <c r="H43" s="99">
        <f>G43+'7'!H43</f>
        <v>17239.399999999994</v>
      </c>
      <c r="I43" s="95"/>
      <c r="J43" s="175">
        <f>H43/DAY(B2)</f>
        <v>2154.9249999999993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15521.300000000003</v>
      </c>
      <c r="H47" s="99">
        <f>G47+'7'!H47</f>
        <v>101431.41</v>
      </c>
      <c r="I47" s="95"/>
      <c r="J47" s="175">
        <f>H47/DAY(B2)</f>
        <v>12678.92625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34907</v>
      </c>
      <c r="G49" s="112">
        <f t="shared" ref="G49:G58" si="4">F49-E49</f>
        <v>1266.2200000000012</v>
      </c>
      <c r="H49" s="99">
        <f>G49+'7'!H49</f>
        <v>9910.8100000000013</v>
      </c>
      <c r="I49" s="95"/>
      <c r="J49" s="175">
        <f>H49/DAY(B2)</f>
        <v>1238.8512500000002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65879</v>
      </c>
      <c r="G50" s="112">
        <f t="shared" si="4"/>
        <v>1131.1399999999994</v>
      </c>
      <c r="H50" s="99">
        <f>G50+'7'!H50</f>
        <v>9492.3700000000026</v>
      </c>
      <c r="I50" s="95"/>
      <c r="J50" s="175">
        <f>H50/DAY(B2)</f>
        <v>1186.5462500000003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8527</v>
      </c>
      <c r="G54" s="112">
        <f t="shared" si="4"/>
        <v>537.15999999999985</v>
      </c>
      <c r="H54" s="99">
        <f>G54+'7'!H54</f>
        <v>3379.58</v>
      </c>
      <c r="I54" s="95"/>
      <c r="J54" s="175">
        <f>H54/DAY(B2)</f>
        <v>422.44749999999999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90154.47</v>
      </c>
      <c r="G55" s="112">
        <f t="shared" si="4"/>
        <v>0</v>
      </c>
      <c r="H55" s="99">
        <f>G55+'7'!H55</f>
        <v>15788.36</v>
      </c>
      <c r="I55" s="95"/>
      <c r="J55" s="175">
        <f>H55/DAY(B2)</f>
        <v>1973.5450000000001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8724</v>
      </c>
      <c r="G56" s="112">
        <f t="shared" si="4"/>
        <v>0.37000000000080036</v>
      </c>
      <c r="H56" s="99">
        <f>G56+'7'!H56</f>
        <v>113.45999999999913</v>
      </c>
      <c r="I56" s="95"/>
      <c r="J56" s="175">
        <f>H56/DAY(B2)</f>
        <v>14.182499999999891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6454</v>
      </c>
      <c r="G58" s="112">
        <f t="shared" si="4"/>
        <v>202.01000000000022</v>
      </c>
      <c r="H58" s="99">
        <f>G58+'7'!H58</f>
        <v>1657.79</v>
      </c>
      <c r="I58" s="95"/>
      <c r="J58" s="175">
        <f>H58/DAY(B2)</f>
        <v>207.22375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3136.9000000000015</v>
      </c>
      <c r="H59" s="99">
        <f>G59+'7'!H59</f>
        <v>40342.370000000003</v>
      </c>
      <c r="I59" s="95">
        <f>G7-G60</f>
        <v>1009.529999999977</v>
      </c>
      <c r="J59" s="175">
        <f>H59/DAY(B2)</f>
        <v>5042.7962500000003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18658.200000000004</v>
      </c>
      <c r="H60" s="99">
        <f>G60+'7'!H60</f>
        <v>141773.78</v>
      </c>
      <c r="I60" s="95">
        <f>G13-G60</f>
        <v>439.69999999996071</v>
      </c>
      <c r="J60" s="175">
        <f>H60/DAY(B2)</f>
        <v>17721.7225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'7'!F62</f>
        <v>270288</v>
      </c>
      <c r="F62" s="122">
        <v>270416</v>
      </c>
      <c r="G62" s="112">
        <f t="shared" ref="G62:G63" si="5">F62-E62</f>
        <v>128</v>
      </c>
      <c r="H62" s="99">
        <f>G62+'7'!H62</f>
        <v>900</v>
      </c>
      <c r="I62" s="118"/>
      <c r="J62" s="175">
        <f>H62/DAY(B2)</f>
        <v>112.5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'7'!F63</f>
        <v>216740</v>
      </c>
      <c r="F63" s="122">
        <v>216843</v>
      </c>
      <c r="G63" s="112">
        <f t="shared" si="5"/>
        <v>103</v>
      </c>
      <c r="H63" s="99">
        <f>G63+'7'!H63</f>
        <v>1046</v>
      </c>
      <c r="I63" s="118"/>
      <c r="J63" s="175">
        <f>H63/DAY(B2)</f>
        <v>130.75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'7'!F64</f>
        <v>0</v>
      </c>
      <c r="F64" s="122"/>
      <c r="G64" s="112">
        <f>G62+G63</f>
        <v>231</v>
      </c>
      <c r="H64" s="99">
        <f>G64+'7'!H64</f>
        <v>1946</v>
      </c>
      <c r="I64" s="118"/>
      <c r="J64" s="175">
        <f>H64/DAY(B2)</f>
        <v>243.25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'7'!F65</f>
        <v>435552</v>
      </c>
      <c r="F65" s="122">
        <v>435658</v>
      </c>
      <c r="G65" s="112">
        <f t="shared" ref="G65:G70" si="6">F65-E65</f>
        <v>106</v>
      </c>
      <c r="H65" s="99">
        <f>G65+'7'!H65</f>
        <v>735</v>
      </c>
      <c r="I65" s="118"/>
      <c r="J65" s="175">
        <f>H65/DAY(B2)</f>
        <v>91.875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107946</v>
      </c>
      <c r="G66" s="112">
        <f t="shared" si="6"/>
        <v>19</v>
      </c>
      <c r="H66" s="99">
        <f>G66+'7'!H66</f>
        <v>203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104830</v>
      </c>
      <c r="G67" s="112">
        <f t="shared" si="6"/>
        <v>16</v>
      </c>
      <c r="H67" s="99">
        <f>G67+'7'!H67</f>
        <v>182</v>
      </c>
      <c r="I67" s="118"/>
      <c r="J67" s="175">
        <f>H67/DAY(B2)</f>
        <v>22.75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157984</v>
      </c>
      <c r="G68" s="112">
        <f t="shared" si="6"/>
        <v>30</v>
      </c>
      <c r="H68" s="99">
        <f>G68+'7'!H68</f>
        <v>287</v>
      </c>
      <c r="I68" s="118"/>
      <c r="J68" s="175">
        <f>H68/DAY(B2)</f>
        <v>35.875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10629</v>
      </c>
      <c r="G69" s="112">
        <f t="shared" si="6"/>
        <v>10</v>
      </c>
      <c r="H69" s="99">
        <f>G69+'7'!H69</f>
        <v>88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8230</v>
      </c>
      <c r="G70" s="112">
        <f t="shared" si="6"/>
        <v>33</v>
      </c>
      <c r="H70" s="99">
        <f>G70+'7'!H70</f>
        <v>110</v>
      </c>
      <c r="I70" s="118"/>
      <c r="J70" s="175">
        <f>H70/DAY(B2)</f>
        <v>13.75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214</v>
      </c>
      <c r="H71" s="99">
        <f>G71+'7'!H71</f>
        <v>1605</v>
      </c>
      <c r="I71" s="154"/>
      <c r="J71" s="175">
        <f>H71/DAY(B2)</f>
        <v>200.625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'7'!F74</f>
        <v>903429.48</v>
      </c>
      <c r="F74" s="123">
        <v>903732</v>
      </c>
      <c r="G74" s="112">
        <f t="shared" ref="G74:G78" si="7">F74-E74</f>
        <v>302.52000000001863</v>
      </c>
      <c r="H74" s="99">
        <f>G74+'7'!H74</f>
        <v>2425.8510000000242</v>
      </c>
      <c r="I74" s="154"/>
      <c r="J74" s="175">
        <f>H74/DAY(B2)</f>
        <v>303.23137500000303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'7'!F76</f>
        <v>170796.4</v>
      </c>
      <c r="F76" s="123">
        <v>170907</v>
      </c>
      <c r="G76" s="112">
        <f t="shared" si="7"/>
        <v>110.60000000000582</v>
      </c>
      <c r="H76" s="99">
        <f>G76+'7'!H76</f>
        <v>932</v>
      </c>
      <c r="I76" s="154"/>
      <c r="J76" s="175">
        <f>H76/DAY(B2)</f>
        <v>116.5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'7'!F77</f>
        <v>41636.6</v>
      </c>
      <c r="F77" s="123">
        <v>41687</v>
      </c>
      <c r="G77" s="112">
        <f t="shared" si="7"/>
        <v>50.400000000001455</v>
      </c>
      <c r="H77" s="99">
        <f>G77+'7'!H77</f>
        <v>384.80000000000291</v>
      </c>
      <c r="I77" s="154"/>
      <c r="J77" s="175">
        <f>H77/DAY(B2)</f>
        <v>48.100000000000364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'7'!F78</f>
        <v>9526</v>
      </c>
      <c r="F78" s="123">
        <v>9527</v>
      </c>
      <c r="G78" s="112">
        <f t="shared" si="7"/>
        <v>1</v>
      </c>
      <c r="H78" s="99">
        <f>G78+'7'!H78</f>
        <v>11</v>
      </c>
      <c r="I78" s="118"/>
      <c r="J78" s="175">
        <f>H78/DAY(B2)</f>
        <v>1.375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'7'!F79</f>
        <v>0</v>
      </c>
      <c r="F79" s="117"/>
      <c r="G79" s="112">
        <f>G15-SUM(G74:G78)</f>
        <v>587.65999999990891</v>
      </c>
      <c r="H79" s="99">
        <f>G79+'7'!H79</f>
        <v>4338.5819999999803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1052.1799999999348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2336.4</v>
      </c>
      <c r="G85" s="112">
        <f t="shared" si="8"/>
        <v>23.910000000000309</v>
      </c>
      <c r="H85" s="99">
        <f>G85+'7'!H85</f>
        <v>75.980000000000018</v>
      </c>
      <c r="I85" s="118">
        <f>G82+G83+G84+G85</f>
        <v>23.910000000000309</v>
      </c>
      <c r="J85" s="175">
        <f>H85/DAY(B2)</f>
        <v>9.4975000000000023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43560</v>
      </c>
      <c r="G86" s="112">
        <f t="shared" si="8"/>
        <v>-0.30000000000291038</v>
      </c>
      <c r="H86" s="99">
        <f>G86+'7'!H86</f>
        <v>118</v>
      </c>
      <c r="I86" s="118"/>
      <c r="J86" s="175">
        <f>H86/DAY(B2)</f>
        <v>14.75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34599</v>
      </c>
      <c r="G87" s="112">
        <f t="shared" si="8"/>
        <v>-0.48000000000320142</v>
      </c>
      <c r="H87" s="99">
        <f>G87+'7'!H87</f>
        <v>0.5</v>
      </c>
      <c r="I87" s="118"/>
      <c r="J87" s="175">
        <f>H87/DAY(B2)</f>
        <v>6.25E-2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24063</v>
      </c>
      <c r="G88" s="112">
        <f t="shared" si="8"/>
        <v>-0.43000000000029104</v>
      </c>
      <c r="H88" s="99">
        <f>G88+'7'!H88</f>
        <v>-0.43000000000029104</v>
      </c>
      <c r="I88" s="118">
        <f>G86+G87+G88</f>
        <v>-1.2100000000064028</v>
      </c>
      <c r="J88" s="175">
        <f>H88/DAY(B2)</f>
        <v>-5.375000000003638E-2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25970</v>
      </c>
      <c r="G89" s="112">
        <f t="shared" si="8"/>
        <v>10.630000000001019</v>
      </c>
      <c r="H89" s="99">
        <f>G89+'7'!H89</f>
        <v>78.880000000001019</v>
      </c>
      <c r="I89" s="118"/>
      <c r="J89" s="175">
        <f>H89/DAY(B2)</f>
        <v>9.8600000000001273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71183</v>
      </c>
      <c r="G90" s="112">
        <f t="shared" si="8"/>
        <v>3.0800000000017462</v>
      </c>
      <c r="H90" s="99">
        <f>G90+'7'!H90</f>
        <v>19.679999999993015</v>
      </c>
      <c r="I90" s="118">
        <f>G89+G90</f>
        <v>13.710000000002765</v>
      </c>
      <c r="J90" s="175">
        <f>H90/DAY(B2)</f>
        <v>2.4599999999991269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3340.85</v>
      </c>
      <c r="G91" s="112">
        <f t="shared" si="8"/>
        <v>11.170000000000073</v>
      </c>
      <c r="H91" s="99">
        <f>G91+'7'!H91</f>
        <v>89.759999999999764</v>
      </c>
      <c r="I91" s="165"/>
      <c r="J91" s="175">
        <f>H91/DAY(B2)</f>
        <v>11.21999999999997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-6.9999999999708962E-2</v>
      </c>
      <c r="I92" s="165"/>
      <c r="J92" s="175">
        <f>H92/DAY(B2)</f>
        <v>-8.7499999999636202E-3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5144.6900000000023</v>
      </c>
      <c r="H94" s="99">
        <f>G94+'7'!H94</f>
        <v>39075.229999999996</v>
      </c>
      <c r="I94" s="118"/>
      <c r="J94" s="175">
        <f>H94/DAY(B2)</f>
        <v>4884.4037499999995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0.26158026371116583</v>
      </c>
      <c r="H95" s="99">
        <f>G95+'7'!H95</f>
        <v>2.0153180824801282</v>
      </c>
      <c r="I95" s="167"/>
      <c r="J95" s="175">
        <f>H95/DAY(B2)</f>
        <v>0.25191476031001603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4082.4900000000066</v>
      </c>
      <c r="H96" s="99">
        <f>G96+'7'!H96</f>
        <v>28923.349999999991</v>
      </c>
      <c r="I96" s="118"/>
      <c r="J96" s="175">
        <f>H96/DAY(B2)</f>
        <v>3615.4187499999989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0.20757301427261868</v>
      </c>
      <c r="H97" s="99">
        <f>G97+'7'!H97</f>
        <v>1.4960041382810723</v>
      </c>
      <c r="I97" s="167"/>
      <c r="J97" s="175">
        <f>H97/DAY(B2)</f>
        <v>0.18700051728513403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2923.2899999999936</v>
      </c>
      <c r="H98" s="99">
        <f>G98+'7'!H98</f>
        <v>22070.71</v>
      </c>
      <c r="I98" s="168"/>
      <c r="J98" s="175">
        <f>H98/DAY(B2)</f>
        <v>2758.8387499999999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0.1486338281031922</v>
      </c>
      <c r="H99" s="99">
        <f>G99+'7'!H99</f>
        <v>1.1405585204827573</v>
      </c>
      <c r="I99" s="168"/>
      <c r="J99" s="175">
        <f>H99/DAY(B2)</f>
        <v>0.14256981506034466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1914.6800000000003</v>
      </c>
      <c r="H100" s="99">
        <f>G100+'7'!H100</f>
        <v>14692.57</v>
      </c>
      <c r="I100" s="118"/>
      <c r="J100" s="175">
        <f>H100/DAY(B2)</f>
        <v>1836.57125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9.735134659668411E-2</v>
      </c>
      <c r="H101" s="99">
        <f>G101+'7'!H101</f>
        <v>0.75837003075782494</v>
      </c>
      <c r="I101" s="168"/>
      <c r="J101" s="175">
        <f>H101/DAY(B2)</f>
        <v>9.4796253844728118E-2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1930.5800000000017</v>
      </c>
      <c r="H102" s="99">
        <f>G102+'7'!H102</f>
        <v>16707.630000000005</v>
      </c>
      <c r="I102" s="168"/>
      <c r="J102" s="175">
        <f>H102/DAY(B2)</f>
        <v>2088.4537500000006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9.8159777462879724E-2</v>
      </c>
      <c r="H103" s="99">
        <f>G103+'7'!H103</f>
        <v>0.85855579856515474</v>
      </c>
      <c r="I103" s="118"/>
      <c r="J103" s="175">
        <f>H103/DAY(B2)</f>
        <v>0.10731947482064434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1609.0699999999997</v>
      </c>
      <c r="H104" s="99">
        <f>G104+'7'!H104</f>
        <v>12864.910000000003</v>
      </c>
      <c r="I104" s="118"/>
      <c r="J104" s="175">
        <f>H104/DAY(B2)</f>
        <v>1608.1137500000004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8.1812695211903014E-2</v>
      </c>
      <c r="H105" s="99">
        <f>G105+'7'!H105</f>
        <v>0.6656922537776625</v>
      </c>
      <c r="I105" s="187"/>
      <c r="J105" s="188">
        <f>H105/DAY(B2)</f>
        <v>8.3211531722207813E-2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'7'!F112</f>
        <v>58586.720000000001</v>
      </c>
      <c r="F112" s="237">
        <v>58659</v>
      </c>
      <c r="G112" s="112">
        <f t="shared" ref="G112:G123" si="9">F112-E112</f>
        <v>72.279999999998836</v>
      </c>
      <c r="H112" s="99">
        <f>G112+'7'!H112</f>
        <v>605</v>
      </c>
      <c r="I112" s="165"/>
      <c r="J112" s="328">
        <f>H112/DAY(B2)</f>
        <v>75.625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'7'!F113</f>
        <v>49699.03</v>
      </c>
      <c r="F113" s="237">
        <v>50163</v>
      </c>
      <c r="G113" s="112">
        <f t="shared" si="9"/>
        <v>463.97000000000116</v>
      </c>
      <c r="H113" s="99">
        <f>G113+'7'!H113</f>
        <v>3762.1100000000006</v>
      </c>
      <c r="I113" s="165"/>
      <c r="J113" s="328">
        <f>H113/DAY(B2)</f>
        <v>470.26375000000007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'7'!F114</f>
        <v>35418.1</v>
      </c>
      <c r="F114" s="237">
        <v>35685</v>
      </c>
      <c r="G114" s="112">
        <f t="shared" si="9"/>
        <v>266.90000000000146</v>
      </c>
      <c r="H114" s="99">
        <f>G114+'7'!H114</f>
        <v>2525</v>
      </c>
      <c r="I114" s="165"/>
      <c r="J114" s="328">
        <f>H114/DAY(B2)</f>
        <v>315.625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'7'!F115</f>
        <v>9168.2199999999993</v>
      </c>
      <c r="F115" s="237">
        <v>9179</v>
      </c>
      <c r="G115" s="112">
        <f t="shared" si="9"/>
        <v>10.780000000000655</v>
      </c>
      <c r="H115" s="99">
        <f>G115+'7'!H115</f>
        <v>84.350000000000364</v>
      </c>
      <c r="I115" s="165"/>
      <c r="J115" s="328">
        <f>H115/DAY(B2)</f>
        <v>10.543750000000045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'7'!F116</f>
        <v>642.16999999999996</v>
      </c>
      <c r="F116" s="237">
        <v>933</v>
      </c>
      <c r="G116" s="112">
        <f t="shared" si="9"/>
        <v>290.83000000000004</v>
      </c>
      <c r="H116" s="99">
        <f>G116+'7'!H116</f>
        <v>933</v>
      </c>
      <c r="I116" s="165"/>
      <c r="J116" s="328">
        <f>H116/DAY(B2)</f>
        <v>116.625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'7'!F117</f>
        <v>3869.46</v>
      </c>
      <c r="F117" s="237">
        <v>4047</v>
      </c>
      <c r="G117" s="112">
        <f t="shared" si="9"/>
        <v>177.53999999999996</v>
      </c>
      <c r="H117" s="99">
        <f>G117+'7'!H117</f>
        <v>709.05000000000018</v>
      </c>
      <c r="I117" s="165"/>
      <c r="J117" s="328">
        <f>H117/DAY(B2)</f>
        <v>88.631250000000023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'7'!F118</f>
        <v>254777.55</v>
      </c>
      <c r="F118" s="237">
        <v>255150</v>
      </c>
      <c r="G118" s="112">
        <f t="shared" si="9"/>
        <v>372.45000000001164</v>
      </c>
      <c r="H118" s="99">
        <f>G118+'7'!H118</f>
        <v>2697.6900000000023</v>
      </c>
      <c r="I118" s="165"/>
      <c r="J118" s="328">
        <f>H118/DAY(B2)</f>
        <v>337.21125000000029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'7'!F119</f>
        <v>261010.07</v>
      </c>
      <c r="F119" s="237">
        <v>261412</v>
      </c>
      <c r="G119" s="112">
        <f t="shared" si="9"/>
        <v>401.92999999999302</v>
      </c>
      <c r="H119" s="99">
        <f>G119+'7'!H119</f>
        <v>3263.4500000000116</v>
      </c>
      <c r="I119" s="165"/>
      <c r="J119" s="328">
        <f>H119/DAY(B2)</f>
        <v>407.93125000000146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'7'!F120</f>
        <v>45877.760000000002</v>
      </c>
      <c r="F120" s="237">
        <v>46302</v>
      </c>
      <c r="G120" s="112">
        <f t="shared" si="9"/>
        <v>424.23999999999796</v>
      </c>
      <c r="H120" s="99">
        <f>G120+'7'!H120</f>
        <v>3342.3899999999994</v>
      </c>
      <c r="I120" s="165"/>
      <c r="J120" s="328">
        <f>H120/DAY(B2)</f>
        <v>417.79874999999993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'7'!F121</f>
        <v>403126.07</v>
      </c>
      <c r="F121" s="237">
        <v>403832</v>
      </c>
      <c r="G121" s="112">
        <f t="shared" si="9"/>
        <v>705.92999999999302</v>
      </c>
      <c r="H121" s="99">
        <f>G121+'7'!H121</f>
        <v>5797.570000000007</v>
      </c>
      <c r="I121" s="165"/>
      <c r="J121" s="328">
        <f>H121/DAY(B2)</f>
        <v>724.69625000000087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'7'!F122</f>
        <v>127796.37</v>
      </c>
      <c r="F122" s="237">
        <v>128003</v>
      </c>
      <c r="G122" s="112">
        <f t="shared" si="9"/>
        <v>206.63000000000466</v>
      </c>
      <c r="H122" s="99">
        <f>G122+'7'!H122</f>
        <v>1816.820000000007</v>
      </c>
      <c r="I122" s="165"/>
      <c r="J122" s="328">
        <f>H122/DAY(B2)</f>
        <v>227.10250000000087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'7'!F123</f>
        <v>155830.76999999999</v>
      </c>
      <c r="F123" s="237">
        <v>156083</v>
      </c>
      <c r="G123" s="112">
        <f t="shared" si="9"/>
        <v>252.23000000001048</v>
      </c>
      <c r="H123" s="99">
        <f>G123+'7'!H123</f>
        <v>2036.0499999999884</v>
      </c>
      <c r="I123" s="165"/>
      <c r="J123" s="328">
        <f>H123/DAY(B2)</f>
        <v>254.50624999999854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3645.7100000000128</v>
      </c>
      <c r="H125" s="156"/>
      <c r="I125" s="327">
        <f>G125-(G39+G53)</f>
        <v>722.42000000001917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'7'!F128</f>
        <v>49874.35</v>
      </c>
      <c r="F128" s="165">
        <v>50155</v>
      </c>
      <c r="G128" s="112">
        <f t="shared" ref="G128:G134" si="10">F128-E128</f>
        <v>280.65000000000146</v>
      </c>
      <c r="H128" s="99">
        <f>G128+'7'!H128</f>
        <v>2409</v>
      </c>
      <c r="I128" s="165"/>
      <c r="J128" s="328">
        <f>H128/DAY(B2)</f>
        <v>301.125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28501</v>
      </c>
      <c r="G129" s="112">
        <f t="shared" si="10"/>
        <v>176.54999999999927</v>
      </c>
      <c r="H129" s="99">
        <f>G129+'7'!H129</f>
        <v>1590.130000000001</v>
      </c>
      <c r="I129" s="165"/>
      <c r="J129" s="328">
        <f>H129/DAY(B2)</f>
        <v>198.76625000000013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40315</v>
      </c>
      <c r="G130" s="112">
        <f t="shared" si="10"/>
        <v>647.2300000000032</v>
      </c>
      <c r="H130" s="99">
        <f>G130+'7'!H130</f>
        <v>4621</v>
      </c>
      <c r="I130" s="165"/>
      <c r="J130" s="328">
        <f>H130/DAY(B2)</f>
        <v>577.625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'7'!F131</f>
        <v>15813.91</v>
      </c>
      <c r="F131" s="165">
        <v>15930</v>
      </c>
      <c r="G131" s="112">
        <f t="shared" si="10"/>
        <v>116.09000000000015</v>
      </c>
      <c r="H131" s="99">
        <f>G131+'7'!H131</f>
        <v>622.31999999999971</v>
      </c>
      <c r="I131" s="165"/>
      <c r="J131" s="328">
        <f>H131/DAY(B2)</f>
        <v>77.789999999999964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'7'!F132</f>
        <v>54117.24</v>
      </c>
      <c r="F132" s="165">
        <v>54553</v>
      </c>
      <c r="G132" s="112">
        <f t="shared" si="10"/>
        <v>435.76000000000204</v>
      </c>
      <c r="H132" s="99">
        <f>G132+'7'!H132</f>
        <v>2704.6999999999971</v>
      </c>
      <c r="I132" s="165"/>
      <c r="J132" s="328">
        <f>H132/DAY(B2)</f>
        <v>338.08749999999964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'7'!F133</f>
        <v>109652.68</v>
      </c>
      <c r="F133" s="165">
        <v>110300</v>
      </c>
      <c r="G133" s="112">
        <f t="shared" si="10"/>
        <v>647.32000000000698</v>
      </c>
      <c r="H133" s="99">
        <f>G133+'7'!H133</f>
        <v>4956.3000000000029</v>
      </c>
      <c r="I133" s="165"/>
      <c r="J133" s="328">
        <f>H133/DAY(B2)</f>
        <v>619.53750000000036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'7'!F134</f>
        <v>9919.08</v>
      </c>
      <c r="F134" s="165">
        <v>10166.85</v>
      </c>
      <c r="G134" s="112">
        <f t="shared" si="10"/>
        <v>247.77000000000044</v>
      </c>
      <c r="H134" s="99">
        <f>G134+'7'!H134</f>
        <v>1565.6200000000008</v>
      </c>
      <c r="I134" s="165"/>
      <c r="J134" s="328">
        <f>H134/DAY(B2)</f>
        <v>195.7025000000001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2551.3700000000135</v>
      </c>
      <c r="H135" s="99">
        <f>G135+'7'!H135</f>
        <v>18469.07</v>
      </c>
      <c r="I135" s="327">
        <f>G135-(G35+G49)</f>
        <v>-469.64999999999054</v>
      </c>
      <c r="J135" s="328" t="e">
        <f t="shared" ref="J135" si="11">H135/DAY(B54)</f>
        <v>#DIV/0!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'7'!F138</f>
        <v>866739</v>
      </c>
      <c r="F138" s="147">
        <v>866809</v>
      </c>
      <c r="G138" s="112">
        <f t="shared" ref="G138:G152" si="12">F138-E138</f>
        <v>70</v>
      </c>
      <c r="H138" s="99">
        <f>G138+'7'!H138</f>
        <v>636</v>
      </c>
      <c r="I138" s="118"/>
      <c r="J138" s="328">
        <f>H138/DAY(B2)</f>
        <v>79.5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'7'!F139</f>
        <v>886629</v>
      </c>
      <c r="F139" s="148">
        <v>886630</v>
      </c>
      <c r="G139" s="112">
        <f t="shared" si="12"/>
        <v>1</v>
      </c>
      <c r="H139" s="99">
        <f>G139+'7'!H139</f>
        <v>57</v>
      </c>
      <c r="I139" s="118"/>
      <c r="J139" s="328">
        <f>H139/DAY(B2)</f>
        <v>7.125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'7'!F140</f>
        <v>88938</v>
      </c>
      <c r="F140" s="149">
        <v>88940</v>
      </c>
      <c r="G140" s="112">
        <f t="shared" si="12"/>
        <v>2</v>
      </c>
      <c r="H140" s="99">
        <f>G140+'7'!H140</f>
        <v>18</v>
      </c>
      <c r="I140" s="118"/>
      <c r="J140" s="328">
        <f>H140/DAY(B2)</f>
        <v>2.25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'7'!F141</f>
        <v>55907.86</v>
      </c>
      <c r="F141" s="149">
        <v>56077</v>
      </c>
      <c r="G141" s="112">
        <f t="shared" si="12"/>
        <v>169.13999999999942</v>
      </c>
      <c r="H141" s="99">
        <f>G141+'7'!H141</f>
        <v>1391.4199999999983</v>
      </c>
      <c r="I141" s="118"/>
      <c r="J141" s="328">
        <f>H141/DAY(B2)</f>
        <v>173.92749999999978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'7'!F142</f>
        <v>21767.8</v>
      </c>
      <c r="F142" s="679">
        <v>21834</v>
      </c>
      <c r="G142" s="112">
        <f t="shared" si="12"/>
        <v>66.200000000000728</v>
      </c>
      <c r="H142" s="99">
        <f>G142+'7'!H142</f>
        <v>549.90000000000146</v>
      </c>
      <c r="I142" s="140"/>
      <c r="J142" s="328">
        <f>H142/DAY(B2)</f>
        <v>68.737500000000182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'7'!F143</f>
        <v>4027</v>
      </c>
      <c r="F143" s="149">
        <v>4058</v>
      </c>
      <c r="G143" s="112">
        <f t="shared" si="12"/>
        <v>31</v>
      </c>
      <c r="H143" s="99">
        <f>G143+'7'!H143</f>
        <v>222.61000000000013</v>
      </c>
      <c r="I143" s="140"/>
      <c r="J143" s="328">
        <f>H143/DAY(B2)</f>
        <v>27.826250000000016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'7'!F144</f>
        <v>877957</v>
      </c>
      <c r="F144" s="149">
        <v>878165</v>
      </c>
      <c r="G144" s="112">
        <f t="shared" si="12"/>
        <v>208</v>
      </c>
      <c r="H144" s="99">
        <f>G144+'7'!H144</f>
        <v>1678</v>
      </c>
      <c r="I144" s="140"/>
      <c r="J144" s="328">
        <f>H144/DAY(B2)</f>
        <v>209.75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'7'!F145</f>
        <v>5042.8500000000004</v>
      </c>
      <c r="F145" s="149">
        <v>5057</v>
      </c>
      <c r="G145" s="112">
        <f t="shared" si="12"/>
        <v>14.149999999999636</v>
      </c>
      <c r="H145" s="99">
        <f>G145+'7'!H145</f>
        <v>98.159999999999854</v>
      </c>
      <c r="I145" s="140"/>
      <c r="J145" s="328">
        <f>H145/DAY(B2)</f>
        <v>12.269999999999982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'7'!F146</f>
        <v>740287</v>
      </c>
      <c r="F146" s="148">
        <v>740692</v>
      </c>
      <c r="G146" s="112">
        <f t="shared" si="12"/>
        <v>405</v>
      </c>
      <c r="H146" s="99">
        <f>G146+'7'!H146</f>
        <v>3359</v>
      </c>
      <c r="I146" s="140"/>
      <c r="J146" s="328">
        <f>H146/DAY(B2)</f>
        <v>419.875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'7'!F147</f>
        <v>629374.43999999994</v>
      </c>
      <c r="F147" s="148">
        <v>629801</v>
      </c>
      <c r="G147" s="112">
        <f t="shared" si="12"/>
        <v>426.56000000005588</v>
      </c>
      <c r="H147" s="99">
        <f>G147+'7'!H147</f>
        <v>3188.4799999999814</v>
      </c>
      <c r="I147" s="140"/>
      <c r="J147" s="328">
        <f>H147/DAY(B2)</f>
        <v>398.55999999999767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'7'!F148</f>
        <v>691527.76</v>
      </c>
      <c r="F148" s="150">
        <v>691828</v>
      </c>
      <c r="G148" s="112">
        <f t="shared" si="12"/>
        <v>300.23999999999069</v>
      </c>
      <c r="H148" s="99">
        <f>G148+'7'!H148</f>
        <v>2385.0400000000373</v>
      </c>
      <c r="I148" s="124"/>
      <c r="J148" s="328">
        <f>H148/DAY(B2)</f>
        <v>298.13000000000466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'7'!F149</f>
        <v>28230.75</v>
      </c>
      <c r="F149" s="146">
        <v>28830</v>
      </c>
      <c r="G149" s="112">
        <f t="shared" si="12"/>
        <v>599.25</v>
      </c>
      <c r="H149" s="99">
        <f>G149+'7'!H149</f>
        <v>4151.7999999999993</v>
      </c>
      <c r="I149" s="119"/>
      <c r="J149" s="328">
        <f>H149/DAY(B2)</f>
        <v>518.97499999999991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'7'!F150</f>
        <v>12423.9</v>
      </c>
      <c r="F150" s="233">
        <v>12658</v>
      </c>
      <c r="G150" s="112">
        <f t="shared" si="12"/>
        <v>234.10000000000036</v>
      </c>
      <c r="H150" s="99">
        <f>G150+'7'!H150</f>
        <v>1807.17</v>
      </c>
      <c r="I150" s="119"/>
      <c r="J150" s="328">
        <f>H150/DAY(B2)</f>
        <v>225.89625000000001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'7'!F151</f>
        <v>87220</v>
      </c>
      <c r="F151" s="233">
        <v>87453</v>
      </c>
      <c r="G151" s="112">
        <f t="shared" si="12"/>
        <v>233</v>
      </c>
      <c r="H151" s="99">
        <f>G151+'7'!H151</f>
        <v>1973</v>
      </c>
      <c r="I151" s="119"/>
      <c r="J151" s="328">
        <f>H151/DAY(B2)</f>
        <v>246.625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'7'!F152</f>
        <v>1999.73</v>
      </c>
      <c r="F152" s="233">
        <v>2039</v>
      </c>
      <c r="G152" s="112">
        <f t="shared" si="12"/>
        <v>39.269999999999982</v>
      </c>
      <c r="H152" s="99">
        <f>G152+'7'!H152</f>
        <v>379</v>
      </c>
      <c r="I152" s="119"/>
      <c r="J152" s="328">
        <f>H152/DAY(B2)</f>
        <v>47.375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2798.9100000000467</v>
      </c>
      <c r="H153" s="363"/>
      <c r="I153" s="119">
        <f>G153-(G38+G52)</f>
        <v>884.2300000000464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'7'!F155</f>
        <v>37208.25</v>
      </c>
      <c r="F155" s="374">
        <v>37876</v>
      </c>
      <c r="G155" s="112">
        <f t="shared" ref="G155:G156" si="13">F155-E155</f>
        <v>667.75</v>
      </c>
      <c r="H155" s="99">
        <f>G155+'7'!H155</f>
        <v>4931</v>
      </c>
      <c r="I155" s="364"/>
      <c r="J155" s="328">
        <f>H155/DAY(B2)</f>
        <v>616.375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'7'!F156</f>
        <v>3101.97</v>
      </c>
      <c r="F156" s="155">
        <v>3151</v>
      </c>
      <c r="G156" s="112">
        <f t="shared" si="13"/>
        <v>49.0300000000002</v>
      </c>
      <c r="H156" s="99">
        <f>G156+'7'!H156</f>
        <v>363</v>
      </c>
      <c r="I156" s="165"/>
      <c r="J156" s="328">
        <f>H156/DAY(B2)</f>
        <v>45.375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v>0</v>
      </c>
      <c r="F157" s="155">
        <v>4801</v>
      </c>
      <c r="G157" s="112"/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v>0</v>
      </c>
      <c r="F158" s="155">
        <v>69</v>
      </c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472437</v>
      </c>
      <c r="G161" s="238">
        <f t="shared" ref="G161:G165" si="14">F161-E161</f>
        <v>44.559999999997672</v>
      </c>
      <c r="H161" s="99">
        <f>G161+'7'!H161</f>
        <v>383.44000000000233</v>
      </c>
      <c r="I161" s="236"/>
      <c r="J161" s="239">
        <f>H161/DAY(B2)</f>
        <v>47.930000000000291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88804</v>
      </c>
      <c r="G162" s="238">
        <f t="shared" si="14"/>
        <v>42.30000000000291</v>
      </c>
      <c r="H162" s="99">
        <f>G162+'7'!H162</f>
        <v>287.60000000000582</v>
      </c>
      <c r="I162" s="236"/>
      <c r="J162" s="239">
        <f>H162/DAY(B2)</f>
        <v>35.950000000000728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79499</v>
      </c>
      <c r="G163" s="238">
        <f t="shared" si="14"/>
        <v>44.399999999994179</v>
      </c>
      <c r="H163" s="99">
        <f>G163+'7'!H163</f>
        <v>278.89999999999418</v>
      </c>
      <c r="I163" s="236"/>
      <c r="J163" s="239">
        <f>H163/DAY(B2)</f>
        <v>34.862499999999272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4328</v>
      </c>
      <c r="G164" s="238">
        <f t="shared" si="14"/>
        <v>1.8999999999996362</v>
      </c>
      <c r="H164" s="99">
        <f>G164+'7'!H164</f>
        <v>8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29925</v>
      </c>
      <c r="G165" s="238">
        <f t="shared" si="14"/>
        <v>8.3800000000010186</v>
      </c>
      <c r="H165" s="99">
        <f>G165+'7'!H165</f>
        <v>67.75</v>
      </c>
      <c r="I165" s="236"/>
      <c r="J165" s="239">
        <f>H165/DAY(B2)</f>
        <v>8.46875</v>
      </c>
    </row>
    <row r="166" spans="1:10" ht="29.25" x14ac:dyDescent="0.5">
      <c r="A166" s="917"/>
      <c r="B166" s="917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'7'!F174</f>
        <v>38706</v>
      </c>
      <c r="F174" s="157">
        <v>38723</v>
      </c>
      <c r="G174" s="155">
        <f t="shared" ref="G174:G175" si="15">F174-E174</f>
        <v>17</v>
      </c>
      <c r="H174" s="99">
        <f>G174+'7'!H174</f>
        <v>108</v>
      </c>
      <c r="I174" s="155"/>
      <c r="J174" s="178">
        <f>H174/DAY(B2)</f>
        <v>13.5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'7'!F175</f>
        <v>21883</v>
      </c>
      <c r="F175" s="155">
        <v>21895</v>
      </c>
      <c r="G175" s="155">
        <f t="shared" si="15"/>
        <v>12</v>
      </c>
      <c r="H175" s="99">
        <f>G175+'7'!H175</f>
        <v>82</v>
      </c>
      <c r="I175" s="155"/>
      <c r="J175" s="178">
        <f>H175/DAY(B2)</f>
        <v>10.25</v>
      </c>
    </row>
    <row r="176" spans="1:10" ht="27.75" x14ac:dyDescent="0.5">
      <c r="A176" s="914" t="s">
        <v>196</v>
      </c>
      <c r="B176" s="915"/>
      <c r="C176" s="333"/>
      <c r="D176" s="228" t="s">
        <v>142</v>
      </c>
      <c r="E176" s="95"/>
      <c r="F176" s="155"/>
      <c r="G176" s="155">
        <f>SUM(G173:G175)</f>
        <v>29</v>
      </c>
      <c r="H176" s="99">
        <f>G176+'7'!H176</f>
        <v>190</v>
      </c>
      <c r="I176" s="155"/>
      <c r="J176" s="178">
        <f>H176/DAY(B2)</f>
        <v>23.75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'7'!F178</f>
        <v>81717</v>
      </c>
      <c r="F178" s="155">
        <v>81763</v>
      </c>
      <c r="G178" s="155">
        <f>F178-E178</f>
        <v>46</v>
      </c>
      <c r="H178" s="99">
        <f>G178+'7'!H178</f>
        <v>448</v>
      </c>
      <c r="I178" s="155"/>
      <c r="J178" s="178">
        <f>H178/DAY(B2)</f>
        <v>56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'7'!F179</f>
        <v>35073</v>
      </c>
      <c r="F179" s="155">
        <v>35098</v>
      </c>
      <c r="G179" s="155">
        <f t="shared" ref="G179:G180" si="16">F179-E179</f>
        <v>25</v>
      </c>
      <c r="H179" s="99">
        <f>G179+'7'!H179</f>
        <v>295</v>
      </c>
      <c r="I179" s="155"/>
      <c r="J179" s="178">
        <f>H179/DAY(B2)</f>
        <v>36.875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'7'!F180</f>
        <v>5748</v>
      </c>
      <c r="F180" s="155">
        <v>5765</v>
      </c>
      <c r="G180" s="155">
        <f t="shared" si="16"/>
        <v>17</v>
      </c>
      <c r="H180" s="99">
        <f>G180+'7'!H180</f>
        <v>63</v>
      </c>
      <c r="I180" s="155"/>
      <c r="J180" s="178">
        <f>H180/DAY(B2)</f>
        <v>7.875</v>
      </c>
    </row>
    <row r="181" spans="1:10" ht="27.75" x14ac:dyDescent="0.5">
      <c r="A181" s="919" t="s">
        <v>108</v>
      </c>
      <c r="B181" s="920"/>
      <c r="C181" s="333"/>
      <c r="D181" s="228" t="s">
        <v>142</v>
      </c>
      <c r="E181" s="95"/>
      <c r="F181" s="155"/>
      <c r="G181" s="155">
        <f>SUM(G178:G180)</f>
        <v>88</v>
      </c>
      <c r="H181" s="99">
        <f>G181+'7'!H181</f>
        <v>806</v>
      </c>
      <c r="I181" s="155"/>
      <c r="J181" s="178">
        <f>H181/DAY(B2)</f>
        <v>100.75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'7'!F183</f>
        <v>15439</v>
      </c>
      <c r="F183" s="157">
        <v>15451</v>
      </c>
      <c r="G183" s="157">
        <f>F183-E183</f>
        <v>12</v>
      </c>
      <c r="H183" s="99">
        <f>G183+'7'!H183</f>
        <v>106</v>
      </c>
      <c r="I183" s="155"/>
      <c r="J183" s="178">
        <f>H183/DAY(B2)</f>
        <v>13.25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'7'!F184</f>
        <v>10575</v>
      </c>
      <c r="F184" s="157">
        <v>10599</v>
      </c>
      <c r="G184" s="157">
        <f t="shared" ref="G184:G185" si="17">F184-E184</f>
        <v>24</v>
      </c>
      <c r="H184" s="99">
        <f>G184+'7'!H184</f>
        <v>81</v>
      </c>
      <c r="I184" s="155"/>
      <c r="J184" s="178">
        <f>H184/DAY(B2)</f>
        <v>10.125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14" t="s">
        <v>196</v>
      </c>
      <c r="B186" s="915"/>
      <c r="C186" s="334"/>
      <c r="D186" s="228" t="s">
        <v>142</v>
      </c>
      <c r="E186" s="95"/>
      <c r="F186" s="157"/>
      <c r="G186" s="157">
        <f>SUM(G183:G185)</f>
        <v>36</v>
      </c>
      <c r="H186" s="99">
        <f>G186+'7'!H186</f>
        <v>187</v>
      </c>
      <c r="I186" s="157"/>
      <c r="J186" s="178">
        <f>H186/DAY(B2)</f>
        <v>23.375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180</v>
      </c>
      <c r="H187" s="99">
        <f>G187+'7'!H187</f>
        <v>1305</v>
      </c>
      <c r="I187" s="158"/>
      <c r="J187" s="179">
        <f>H187/DAY(B2)</f>
        <v>163.125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184</v>
      </c>
      <c r="H188" s="99">
        <f>G188+'7'!H188</f>
        <v>1318</v>
      </c>
      <c r="I188" s="158"/>
      <c r="J188" s="179">
        <f>H188/DAY(B2)</f>
        <v>164.75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88</v>
      </c>
      <c r="H189" s="99">
        <f>G189+'7'!H189</f>
        <v>806</v>
      </c>
      <c r="I189" s="158"/>
      <c r="J189" s="179">
        <f>H189/DAY(B2)</f>
        <v>100.75</v>
      </c>
    </row>
    <row r="190" spans="1:10" ht="27.75" x14ac:dyDescent="0.5">
      <c r="A190" s="846"/>
      <c r="B190" s="847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15" zoomScale="55" zoomScaleNormal="80" zoomScaleSheetLayoutView="55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361</v>
      </c>
      <c r="B2" s="262">
        <v>44601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806257</v>
      </c>
      <c r="F7" s="95">
        <v>825639</v>
      </c>
      <c r="G7" s="112">
        <f>F7-E7</f>
        <v>19382</v>
      </c>
      <c r="H7" s="99">
        <f>G7+'8'!H7</f>
        <v>174458.77000000002</v>
      </c>
      <c r="I7" s="113">
        <f>'1'!I7</f>
        <v>12000</v>
      </c>
      <c r="J7" s="175">
        <f>H7/DAY(B2)</f>
        <v>19384.30777777778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865054</v>
      </c>
      <c r="F8" s="95">
        <v>884521</v>
      </c>
      <c r="G8" s="115">
        <f>F8-E8</f>
        <v>19467</v>
      </c>
      <c r="H8" s="99">
        <f>G8+'8'!H8</f>
        <v>175972.84999999998</v>
      </c>
      <c r="I8" s="116"/>
      <c r="J8" s="175">
        <f>H8/DAY(B2)</f>
        <v>19552.538888888885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391914</v>
      </c>
      <c r="F9" s="353">
        <v>408069</v>
      </c>
      <c r="G9" s="112">
        <f>F9-E9</f>
        <v>16155</v>
      </c>
      <c r="H9" s="99">
        <f>G9+'8'!H9</f>
        <v>125815.15000000002</v>
      </c>
      <c r="I9" s="124">
        <f>I7-J7</f>
        <v>-7384.3077777777798</v>
      </c>
      <c r="J9" s="175">
        <f>H9/DAY(B2)</f>
        <v>13979.461111111113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146363</v>
      </c>
      <c r="F10" s="117">
        <v>149027</v>
      </c>
      <c r="G10" s="112">
        <f t="shared" ref="G10:G12" si="0">F10-E10</f>
        <v>2664</v>
      </c>
      <c r="H10" s="99">
        <f>G10+'8'!H10</f>
        <v>43768.03</v>
      </c>
      <c r="I10" s="282"/>
      <c r="J10" s="175">
        <f>H10/DAY(B2)</f>
        <v>4863.1144444444444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37170</v>
      </c>
      <c r="F11" s="95">
        <v>37170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18819</v>
      </c>
      <c r="H13" s="99">
        <f>G13+'8'!H13</f>
        <v>152828.75</v>
      </c>
      <c r="I13" s="120">
        <f>G7-G13</f>
        <v>563</v>
      </c>
      <c r="J13" s="175">
        <f>H13/DAY(B2)</f>
        <v>16980.972222222223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1914729</v>
      </c>
      <c r="F15" s="598">
        <v>1915799</v>
      </c>
      <c r="G15" s="112">
        <f>(F15-E15)</f>
        <v>1070</v>
      </c>
      <c r="H15" s="99">
        <f>G15+'8'!H15</f>
        <v>9162.2330000000075</v>
      </c>
      <c r="I15" s="113">
        <f>'1'!I15</f>
        <v>800</v>
      </c>
      <c r="J15" s="175">
        <f>H15/DAY(B2)</f>
        <v>1018.0258888888898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-218.02588888888977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'8'!F18</f>
        <v>18</v>
      </c>
      <c r="F18" s="122">
        <v>20</v>
      </c>
      <c r="G18" s="119">
        <f>F18*10</f>
        <v>200</v>
      </c>
      <c r="H18" s="99">
        <f>G18+'8'!H18</f>
        <v>1750</v>
      </c>
      <c r="I18" s="113">
        <f>'1'!I18</f>
        <v>65</v>
      </c>
      <c r="J18" s="175">
        <f>H18/DAY(B2)</f>
        <v>194.44444444444446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'8'!F19</f>
        <v>154296</v>
      </c>
      <c r="F19" s="122">
        <v>154352</v>
      </c>
      <c r="G19" s="112">
        <f t="shared" ref="G19" si="1">F19-E19</f>
        <v>56</v>
      </c>
      <c r="H19" s="99">
        <f>G19+'8'!H19</f>
        <v>461</v>
      </c>
      <c r="I19" s="335"/>
      <c r="J19" s="175">
        <f>H19/DAY(B2)</f>
        <v>51.222222222222221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G20+'8'!H20</f>
        <v>2211</v>
      </c>
      <c r="I20" s="336">
        <f>I18-J20</f>
        <v>-180.66666666666666</v>
      </c>
      <c r="J20" s="175">
        <f>H20/DAY(B2)</f>
        <v>245.66666666666666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19467</v>
      </c>
      <c r="F27" s="136">
        <v>9</v>
      </c>
      <c r="G27" s="137">
        <f>E27*F27</f>
        <v>175203</v>
      </c>
      <c r="H27" s="99">
        <f>G27+'8'!H27</f>
        <v>1583755.65</v>
      </c>
      <c r="I27" s="138"/>
      <c r="J27" s="175">
        <f>H27/DAY(B2)</f>
        <v>175972.84999999998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1070</v>
      </c>
      <c r="F28" s="136">
        <v>52</v>
      </c>
      <c r="G28" s="137">
        <f>E28*F28</f>
        <v>55640</v>
      </c>
      <c r="H28" s="99">
        <f>G28+'8'!H28</f>
        <v>476436.11600000039</v>
      </c>
      <c r="I28" s="140"/>
      <c r="J28" s="175">
        <f>H28/DAY(B2)</f>
        <v>52937.346222222266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G30+'8'!H30</f>
        <v>67306</v>
      </c>
      <c r="I30" s="140"/>
      <c r="J30" s="175">
        <f>H30/DAY(B2)</f>
        <v>7478.4444444444443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140000</v>
      </c>
      <c r="I31" s="140"/>
      <c r="J31" s="175">
        <f>H31/DAY(B2)</f>
        <v>15555.555555555555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255019</v>
      </c>
      <c r="H32" s="99">
        <f>G32+'8'!H32</f>
        <v>2267497.7660000003</v>
      </c>
      <c r="I32" s="144"/>
      <c r="J32" s="175">
        <f>H32/DAY(B2)</f>
        <v>251944.19622222226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43930</v>
      </c>
      <c r="F35" s="145">
        <v>45444</v>
      </c>
      <c r="G35" s="112">
        <f t="shared" ref="G35:G46" si="3">F35-E35</f>
        <v>1514</v>
      </c>
      <c r="H35" s="99">
        <f>G35+'8'!H35</f>
        <v>13439.02</v>
      </c>
      <c r="I35" s="95"/>
      <c r="J35" s="175">
        <f>H35/DAY(B2)</f>
        <v>1493.2244444444445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50674</v>
      </c>
      <c r="F36" s="145">
        <v>51453</v>
      </c>
      <c r="G36" s="112">
        <f t="shared" si="3"/>
        <v>779</v>
      </c>
      <c r="H36" s="99">
        <f>G36+'8'!H36</f>
        <v>7994.260000000002</v>
      </c>
      <c r="I36" s="95"/>
      <c r="J36" s="175">
        <f>H36/DAY(B2)</f>
        <v>888.2511111111113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48290</v>
      </c>
      <c r="F37" s="145">
        <v>49928</v>
      </c>
      <c r="G37" s="112">
        <f t="shared" si="3"/>
        <v>1638</v>
      </c>
      <c r="H37" s="99">
        <f>G37+'8'!H37</f>
        <v>14502.910000000003</v>
      </c>
      <c r="I37" s="95"/>
      <c r="J37" s="175">
        <f>H37/DAY(B2)</f>
        <v>1611.4344444444448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53069</v>
      </c>
      <c r="F38" s="108">
        <v>54992</v>
      </c>
      <c r="G38" s="112">
        <f t="shared" si="3"/>
        <v>1923</v>
      </c>
      <c r="H38" s="99">
        <f>G38+'8'!H38</f>
        <v>16615.57</v>
      </c>
      <c r="I38" s="95"/>
      <c r="J38" s="175">
        <f>H38/DAY(B2)</f>
        <v>1846.1744444444444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81244</v>
      </c>
      <c r="F39" s="145">
        <v>84245</v>
      </c>
      <c r="G39" s="112">
        <f t="shared" si="3"/>
        <v>3001</v>
      </c>
      <c r="H39" s="99">
        <f>G39+'8'!H39</f>
        <v>25071.71</v>
      </c>
      <c r="I39" s="95"/>
      <c r="J39" s="175">
        <f>H39/DAY(B2)</f>
        <v>2785.7455555555553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24519</v>
      </c>
      <c r="F40" s="145">
        <v>24711</v>
      </c>
      <c r="G40" s="112">
        <f t="shared" si="3"/>
        <v>192</v>
      </c>
      <c r="H40" s="99">
        <f>G40+'8'!H40</f>
        <v>2594.0099999999975</v>
      </c>
      <c r="I40" s="95"/>
      <c r="J40" s="175">
        <f>H40/DAY(B2)</f>
        <v>288.22333333333307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G41+'8'!H41</f>
        <v>0.27000000000000313</v>
      </c>
      <c r="I41" s="95"/>
      <c r="J41" s="175">
        <f>H41/DAY(B2)</f>
        <v>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113151</v>
      </c>
      <c r="F42" s="145">
        <v>117046</v>
      </c>
      <c r="G42" s="112">
        <f t="shared" si="3"/>
        <v>3895</v>
      </c>
      <c r="H42" s="99">
        <f>G42+'8'!H42</f>
        <v>16916.259999999995</v>
      </c>
      <c r="I42" s="95"/>
      <c r="J42" s="175">
        <f>H42/DAY(B2)</f>
        <v>1879.5844444444438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132091</v>
      </c>
      <c r="F43" s="145">
        <v>134178</v>
      </c>
      <c r="G43" s="112">
        <f t="shared" si="3"/>
        <v>2087</v>
      </c>
      <c r="H43" s="99">
        <f>G43+'8'!H43</f>
        <v>19326.399999999994</v>
      </c>
      <c r="I43" s="95"/>
      <c r="J43" s="175">
        <f>H43/DAY(B2)</f>
        <v>2147.3777777777773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15029</v>
      </c>
      <c r="H47" s="99">
        <f>G47+'8'!H47</f>
        <v>116460.41</v>
      </c>
      <c r="I47" s="95"/>
      <c r="J47" s="175">
        <f>H47/DAY(B2)</f>
        <v>12940.045555555556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34907</v>
      </c>
      <c r="F49" s="145">
        <v>36299</v>
      </c>
      <c r="G49" s="112">
        <f t="shared" ref="G49:G58" si="4">F49-E49</f>
        <v>1392</v>
      </c>
      <c r="H49" s="99">
        <f>G49+'8'!H49</f>
        <v>11302.810000000001</v>
      </c>
      <c r="I49" s="95"/>
      <c r="J49" s="175">
        <f>H49/DAY(B2)</f>
        <v>1255.867777777778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65879</v>
      </c>
      <c r="F50" s="145">
        <v>66997</v>
      </c>
      <c r="G50" s="112">
        <f t="shared" si="4"/>
        <v>1118</v>
      </c>
      <c r="H50" s="99">
        <f>G50+'8'!H50</f>
        <v>10610.370000000003</v>
      </c>
      <c r="I50" s="95"/>
      <c r="J50" s="175">
        <f>H50/DAY(B2)</f>
        <v>1178.9300000000003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8527</v>
      </c>
      <c r="F54" s="145">
        <v>9067</v>
      </c>
      <c r="G54" s="112">
        <f t="shared" si="4"/>
        <v>540</v>
      </c>
      <c r="H54" s="99">
        <f>G54+'8'!H54</f>
        <v>3919.58</v>
      </c>
      <c r="I54" s="95"/>
      <c r="J54" s="175">
        <f>H54/DAY(B2)</f>
        <v>435.50888888888886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90154.47</v>
      </c>
      <c r="F55" s="145">
        <v>90154</v>
      </c>
      <c r="G55" s="112">
        <f t="shared" si="4"/>
        <v>-0.47000000000116415</v>
      </c>
      <c r="H55" s="99">
        <f>G55+'8'!H55</f>
        <v>15787.89</v>
      </c>
      <c r="I55" s="95"/>
      <c r="J55" s="175">
        <f>H55/DAY(B2)</f>
        <v>1754.21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8724</v>
      </c>
      <c r="F56" s="145">
        <v>8724</v>
      </c>
      <c r="G56" s="112">
        <f t="shared" si="4"/>
        <v>0</v>
      </c>
      <c r="H56" s="99">
        <f>G56+'8'!H56</f>
        <v>113.45999999999913</v>
      </c>
      <c r="I56" s="95"/>
      <c r="J56" s="175">
        <f>H56/DAY(B2)</f>
        <v>12.60666666666657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6454</v>
      </c>
      <c r="F58" s="145">
        <v>6739</v>
      </c>
      <c r="G58" s="112">
        <f t="shared" si="4"/>
        <v>285</v>
      </c>
      <c r="H58" s="99">
        <f>G58+'8'!H58</f>
        <v>1942.79</v>
      </c>
      <c r="I58" s="95"/>
      <c r="J58" s="175">
        <f>H58/DAY(B2)</f>
        <v>215.86555555555555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3334.5299999999988</v>
      </c>
      <c r="H59" s="99">
        <f>G59+'8'!H59</f>
        <v>43676.9</v>
      </c>
      <c r="I59" s="95">
        <f>G7-G60</f>
        <v>1018.4700000000012</v>
      </c>
      <c r="J59" s="175">
        <f>H59/DAY(B2)</f>
        <v>4852.9888888888891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18363.53</v>
      </c>
      <c r="H60" s="99">
        <f>G60+'8'!H60</f>
        <v>160137.31</v>
      </c>
      <c r="I60" s="95">
        <f>G13-G60</f>
        <v>455.47000000000116</v>
      </c>
      <c r="J60" s="175">
        <f>H60/DAY(B2)</f>
        <v>17793.034444444445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'8'!F62</f>
        <v>270416</v>
      </c>
      <c r="F62" s="122">
        <v>270558</v>
      </c>
      <c r="G62" s="112">
        <f t="shared" ref="G62:G63" si="5">F62-E62</f>
        <v>142</v>
      </c>
      <c r="H62" s="99">
        <f>G62+'8'!H62</f>
        <v>1042</v>
      </c>
      <c r="I62" s="118"/>
      <c r="J62" s="175">
        <f>H62/DAY(B2)</f>
        <v>115.77777777777777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'8'!F63</f>
        <v>216843</v>
      </c>
      <c r="F63" s="122">
        <v>216933</v>
      </c>
      <c r="G63" s="112">
        <f t="shared" si="5"/>
        <v>90</v>
      </c>
      <c r="H63" s="99">
        <f>G63+'8'!H63</f>
        <v>1136</v>
      </c>
      <c r="I63" s="118"/>
      <c r="J63" s="175">
        <f>H63/DAY(B2)</f>
        <v>126.22222222222223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'8'!F64</f>
        <v>0</v>
      </c>
      <c r="F64" s="122">
        <v>0</v>
      </c>
      <c r="G64" s="112">
        <f>G62+G63</f>
        <v>232</v>
      </c>
      <c r="H64" s="99">
        <f>G64+'8'!H64</f>
        <v>2178</v>
      </c>
      <c r="I64" s="118"/>
      <c r="J64" s="175">
        <f>H64/DAY(B2)</f>
        <v>242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'8'!F65</f>
        <v>435658</v>
      </c>
      <c r="F65" s="122">
        <v>435761</v>
      </c>
      <c r="G65" s="112">
        <f t="shared" ref="G65:G70" si="6">F65-E65</f>
        <v>103</v>
      </c>
      <c r="H65" s="99">
        <f>G65+'8'!H65</f>
        <v>838</v>
      </c>
      <c r="I65" s="118"/>
      <c r="J65" s="175">
        <f>H65/DAY(B2)</f>
        <v>93.111111111111114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107946</v>
      </c>
      <c r="F66" s="122">
        <v>107966</v>
      </c>
      <c r="G66" s="112">
        <f t="shared" si="6"/>
        <v>20</v>
      </c>
      <c r="H66" s="99">
        <f>G66+'8'!H66</f>
        <v>223</v>
      </c>
      <c r="I66" s="118"/>
      <c r="J66" s="175">
        <f>H66/DAY(B2)</f>
        <v>24.777777777777779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104830</v>
      </c>
      <c r="F67" s="122">
        <v>104885</v>
      </c>
      <c r="G67" s="112">
        <f t="shared" si="6"/>
        <v>55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157984</v>
      </c>
      <c r="F68" s="122">
        <v>158021</v>
      </c>
      <c r="G68" s="112">
        <f t="shared" si="6"/>
        <v>37</v>
      </c>
      <c r="H68" s="99">
        <f>G68+'8'!H68</f>
        <v>324</v>
      </c>
      <c r="I68" s="118"/>
      <c r="J68" s="175">
        <f>H68/DAY(B2)</f>
        <v>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10629</v>
      </c>
      <c r="F69" s="122">
        <v>10638</v>
      </c>
      <c r="G69" s="112">
        <f t="shared" si="6"/>
        <v>9</v>
      </c>
      <c r="H69" s="99">
        <f>G69+'8'!H69</f>
        <v>97</v>
      </c>
      <c r="I69" s="118"/>
      <c r="J69" s="175">
        <f>H69/DAY(B2)</f>
        <v>10.777777777777779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8230</v>
      </c>
      <c r="F70" s="122">
        <v>8244</v>
      </c>
      <c r="G70" s="112">
        <f t="shared" si="6"/>
        <v>14</v>
      </c>
      <c r="H70" s="99">
        <f>G70+'8'!H70</f>
        <v>124</v>
      </c>
      <c r="I70" s="118"/>
      <c r="J70" s="175">
        <f>H70/DAY(B2)</f>
        <v>13.777777777777779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238</v>
      </c>
      <c r="H71" s="99">
        <f>G71+'8'!H71</f>
        <v>1843</v>
      </c>
      <c r="I71" s="154"/>
      <c r="J71" s="175">
        <f>H71/DAY(B2)</f>
        <v>204.77777777777777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'8'!F74</f>
        <v>903732</v>
      </c>
      <c r="F74" s="117">
        <v>904033</v>
      </c>
      <c r="G74" s="112">
        <f t="shared" ref="G74:G78" si="7">F74-E74</f>
        <v>301</v>
      </c>
      <c r="H74" s="99">
        <f>G74+'8'!H74</f>
        <v>2726.8510000000242</v>
      </c>
      <c r="I74" s="154"/>
      <c r="J74" s="175">
        <f>H74/DAY(B2)</f>
        <v>302.98344444444712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'8'!F76</f>
        <v>170907</v>
      </c>
      <c r="F76" s="123">
        <v>171014</v>
      </c>
      <c r="G76" s="112">
        <f t="shared" si="7"/>
        <v>107</v>
      </c>
      <c r="H76" s="99">
        <f>G76+'8'!H76</f>
        <v>1039</v>
      </c>
      <c r="I76" s="154"/>
      <c r="J76" s="175">
        <f>H76/DAY(B2)</f>
        <v>115.44444444444444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'8'!F77</f>
        <v>41687</v>
      </c>
      <c r="F77" s="123">
        <v>41730</v>
      </c>
      <c r="G77" s="112">
        <f t="shared" si="7"/>
        <v>43</v>
      </c>
      <c r="H77" s="99">
        <f>G77+'8'!H77</f>
        <v>427.80000000000291</v>
      </c>
      <c r="I77" s="154"/>
      <c r="J77" s="175">
        <f>H77/DAY(B2)</f>
        <v>47.533333333333658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'8'!F78</f>
        <v>9527</v>
      </c>
      <c r="F78" s="123">
        <v>9528</v>
      </c>
      <c r="G78" s="112">
        <f t="shared" si="7"/>
        <v>1</v>
      </c>
      <c r="H78" s="99">
        <f>G78+'8'!H78</f>
        <v>12</v>
      </c>
      <c r="I78" s="118"/>
      <c r="J78" s="175">
        <f>H78/DAY(B2)</f>
        <v>1.3333333333333333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'8'!F79</f>
        <v>0</v>
      </c>
      <c r="F79" s="117"/>
      <c r="G79" s="112">
        <f>G15-SUM(G74:G78)</f>
        <v>617.80000000000291</v>
      </c>
      <c r="H79" s="99">
        <f>G79+'8'!H79</f>
        <v>4956.3819999999832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1070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2336.4</v>
      </c>
      <c r="F85" s="164">
        <v>2360</v>
      </c>
      <c r="G85" s="112">
        <f t="shared" si="8"/>
        <v>23.599999999999909</v>
      </c>
      <c r="H85" s="99">
        <f>G85+'8'!H85</f>
        <v>99.579999999999927</v>
      </c>
      <c r="I85" s="118">
        <f>G82+G83+G84+G85</f>
        <v>23.599999999999909</v>
      </c>
      <c r="J85" s="175">
        <f>H85/DAY(B2)</f>
        <v>11.064444444444437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43560</v>
      </c>
      <c r="F86" s="164">
        <v>43560</v>
      </c>
      <c r="G86" s="112">
        <f t="shared" si="8"/>
        <v>0</v>
      </c>
      <c r="H86" s="99">
        <f>G86+'8'!H86</f>
        <v>118</v>
      </c>
      <c r="I86" s="118"/>
      <c r="J86" s="175">
        <f>H86/DAY(B2)</f>
        <v>13.111111111111111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34599</v>
      </c>
      <c r="F87" s="164">
        <v>34598.550000000003</v>
      </c>
      <c r="G87" s="112">
        <f t="shared" si="8"/>
        <v>-0.44999999999708962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24063</v>
      </c>
      <c r="F88" s="164">
        <v>24063</v>
      </c>
      <c r="G88" s="112">
        <f t="shared" si="8"/>
        <v>0</v>
      </c>
      <c r="H88" s="99">
        <f>G88+'8'!H88</f>
        <v>-0.43000000000029104</v>
      </c>
      <c r="I88" s="118">
        <f>G86+G87+G88</f>
        <v>-0.44999999999708962</v>
      </c>
      <c r="J88" s="175">
        <f>H88/DAY(B2)</f>
        <v>-4.7777777777810115E-2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25970</v>
      </c>
      <c r="F89" s="164">
        <v>25981.43</v>
      </c>
      <c r="G89" s="112">
        <f t="shared" si="8"/>
        <v>11.430000000000291</v>
      </c>
      <c r="H89" s="99">
        <f>G89+'8'!H89</f>
        <v>90.31000000000131</v>
      </c>
      <c r="I89" s="118"/>
      <c r="J89" s="175">
        <f>H89/DAY(B2)</f>
        <v>10.03444444444459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71183</v>
      </c>
      <c r="F90" s="164">
        <v>71186</v>
      </c>
      <c r="G90" s="112">
        <f t="shared" si="8"/>
        <v>3</v>
      </c>
      <c r="H90" s="99">
        <f>G90+'8'!H90</f>
        <v>22.679999999993015</v>
      </c>
      <c r="I90" s="118">
        <f>G89+G90</f>
        <v>14.430000000000291</v>
      </c>
      <c r="J90" s="175">
        <f>H90/DAY(B2)</f>
        <v>2.5199999999992237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3340.85</v>
      </c>
      <c r="F91" s="122">
        <v>3352</v>
      </c>
      <c r="G91" s="112">
        <f t="shared" si="8"/>
        <v>11.150000000000091</v>
      </c>
      <c r="H91" s="99">
        <f>G91+'8'!H91</f>
        <v>100.90999999999985</v>
      </c>
      <c r="I91" s="165"/>
      <c r="J91" s="175">
        <f>H91/DAY(B2)</f>
        <v>11.212222222222206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-6.9999999999708962E-2</v>
      </c>
      <c r="I92" s="165"/>
      <c r="J92" s="175">
        <f>H92/DAY(B2)</f>
        <v>-7.7777777777454406E-3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4993</v>
      </c>
      <c r="H94" s="99">
        <f>G94+'8'!H94</f>
        <v>44068.229999999996</v>
      </c>
      <c r="I94" s="118"/>
      <c r="J94" s="175">
        <f>H94/DAY(B2)</f>
        <v>4896.4699999999993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0.2576101537509029</v>
      </c>
      <c r="H95" s="99">
        <f>G95+'8'!H95</f>
        <v>2.272928236231031</v>
      </c>
      <c r="I95" s="167"/>
      <c r="J95" s="175">
        <f>H95/DAY(B2)</f>
        <v>0.25254758180344788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3894.5299999999988</v>
      </c>
      <c r="H96" s="99">
        <f>G96+'8'!H96</f>
        <v>32817.87999999999</v>
      </c>
      <c r="I96" s="118"/>
      <c r="J96" s="175">
        <f>H96/DAY(B2)</f>
        <v>3646.4311111111101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0.20093540398307702</v>
      </c>
      <c r="H97" s="99">
        <f>G97+'8'!H97</f>
        <v>1.6969395422641493</v>
      </c>
      <c r="I97" s="167"/>
      <c r="J97" s="175">
        <f>H97/DAY(B2)</f>
        <v>0.18854883802934994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3001</v>
      </c>
      <c r="H98" s="99">
        <f>G98+'8'!H98</f>
        <v>25071.71</v>
      </c>
      <c r="I98" s="168"/>
      <c r="J98" s="175">
        <f>H98/DAY(B2)</f>
        <v>2785.7455555555553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0.15483438241667527</v>
      </c>
      <c r="H99" s="99">
        <f>G99+'8'!H99</f>
        <v>1.2953929028994327</v>
      </c>
      <c r="I99" s="168"/>
      <c r="J99" s="175">
        <f>H99/DAY(B2)</f>
        <v>0.14393254476660364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1923</v>
      </c>
      <c r="H100" s="99">
        <f>G100+'8'!H100</f>
        <v>16615.57</v>
      </c>
      <c r="I100" s="118"/>
      <c r="J100" s="175">
        <f>H100/DAY(B2)</f>
        <v>1846.1744444444444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9.9215767206686623E-2</v>
      </c>
      <c r="H101" s="99">
        <f>G101+'8'!H101</f>
        <v>0.85758579796451162</v>
      </c>
      <c r="I101" s="168"/>
      <c r="J101" s="175">
        <f>H101/DAY(B2)</f>
        <v>9.5287310884945742E-2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1897</v>
      </c>
      <c r="H102" s="99">
        <f>G102+'8'!H102</f>
        <v>18604.630000000005</v>
      </c>
      <c r="I102" s="168"/>
      <c r="J102" s="175">
        <f>H102/DAY(B2)</f>
        <v>2067.1811111111115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9.7874316376018983E-2</v>
      </c>
      <c r="H103" s="99">
        <f>G103+'8'!H103</f>
        <v>0.95643011494117369</v>
      </c>
      <c r="I103" s="118"/>
      <c r="J103" s="175">
        <f>H103/DAY(B2)</f>
        <v>0.10627001277124153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1638</v>
      </c>
      <c r="H104" s="99">
        <f>G104+'8'!H104</f>
        <v>14502.910000000003</v>
      </c>
      <c r="I104" s="118"/>
      <c r="J104" s="175">
        <f>H104/DAY(B2)</f>
        <v>1611.4344444444448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8.451140233206067E-2</v>
      </c>
      <c r="H105" s="99">
        <f>G105+'8'!H105</f>
        <v>0.75020365610972317</v>
      </c>
      <c r="I105" s="187"/>
      <c r="J105" s="188">
        <f>H105/DAY(B2)</f>
        <v>8.3355961789969235E-2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'8'!F112</f>
        <v>58659</v>
      </c>
      <c r="F112" s="237">
        <v>58734</v>
      </c>
      <c r="G112" s="112">
        <f t="shared" ref="G112:G123" si="9">F112-E112</f>
        <v>75</v>
      </c>
      <c r="H112" s="99">
        <f>G112+'8'!H112</f>
        <v>680</v>
      </c>
      <c r="I112" s="165"/>
      <c r="J112" s="328">
        <f>H112/DAY(B2)</f>
        <v>75.555555555555557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'8'!F113</f>
        <v>50163</v>
      </c>
      <c r="F113" s="237">
        <v>50610</v>
      </c>
      <c r="G113" s="112">
        <f t="shared" si="9"/>
        <v>447</v>
      </c>
      <c r="H113" s="99">
        <f>G113+'8'!H113</f>
        <v>4209.1100000000006</v>
      </c>
      <c r="I113" s="165"/>
      <c r="J113" s="328">
        <f>H113/DAY(B2)</f>
        <v>467.67888888888893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'8'!F114</f>
        <v>35685</v>
      </c>
      <c r="F114" s="237">
        <v>35947</v>
      </c>
      <c r="G114" s="112">
        <f t="shared" si="9"/>
        <v>262</v>
      </c>
      <c r="H114" s="99">
        <f>G114+'8'!H114</f>
        <v>2787</v>
      </c>
      <c r="I114" s="165"/>
      <c r="J114" s="328">
        <f>H114/DAY(B2)</f>
        <v>309.66666666666669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'8'!F115</f>
        <v>9179</v>
      </c>
      <c r="F115" s="237">
        <v>9190</v>
      </c>
      <c r="G115" s="112">
        <f t="shared" si="9"/>
        <v>11</v>
      </c>
      <c r="H115" s="99">
        <f>G115+'8'!H115</f>
        <v>95.350000000000364</v>
      </c>
      <c r="I115" s="165"/>
      <c r="J115" s="328">
        <f>H115/DAY(B2)</f>
        <v>10.594444444444484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'8'!F116</f>
        <v>933</v>
      </c>
      <c r="F116" s="237">
        <v>1223</v>
      </c>
      <c r="G116" s="112">
        <f t="shared" si="9"/>
        <v>290</v>
      </c>
      <c r="H116" s="99">
        <f>G116+'8'!H116</f>
        <v>1223</v>
      </c>
      <c r="I116" s="165"/>
      <c r="J116" s="328">
        <f>H116/DAY(B2)</f>
        <v>135.88888888888889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'8'!F117</f>
        <v>4047</v>
      </c>
      <c r="F117" s="237">
        <v>4263</v>
      </c>
      <c r="G117" s="112">
        <f t="shared" si="9"/>
        <v>216</v>
      </c>
      <c r="H117" s="99">
        <f>G117+'8'!H117</f>
        <v>925.05000000000018</v>
      </c>
      <c r="I117" s="165"/>
      <c r="J117" s="328">
        <f>H117/DAY(B2)</f>
        <v>102.78333333333336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'8'!F118</f>
        <v>255150</v>
      </c>
      <c r="F118" s="237">
        <v>255533</v>
      </c>
      <c r="G118" s="112">
        <f t="shared" si="9"/>
        <v>383</v>
      </c>
      <c r="H118" s="99">
        <f>G118+'8'!H118</f>
        <v>3080.6900000000023</v>
      </c>
      <c r="I118" s="165"/>
      <c r="J118" s="328">
        <f>H118/DAY(B2)</f>
        <v>342.29888888888917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'8'!F119</f>
        <v>261412</v>
      </c>
      <c r="F119" s="237">
        <v>261847</v>
      </c>
      <c r="G119" s="112">
        <f t="shared" si="9"/>
        <v>435</v>
      </c>
      <c r="H119" s="99">
        <f>G119+'8'!H119</f>
        <v>3698.4500000000116</v>
      </c>
      <c r="I119" s="165"/>
      <c r="J119" s="328">
        <f>H119/DAY(B2)</f>
        <v>410.93888888889018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'8'!F120</f>
        <v>46302</v>
      </c>
      <c r="F120" s="237">
        <v>46745</v>
      </c>
      <c r="G120" s="112">
        <f t="shared" si="9"/>
        <v>443</v>
      </c>
      <c r="H120" s="99">
        <f>G120+'8'!H120</f>
        <v>3785.3899999999994</v>
      </c>
      <c r="I120" s="165"/>
      <c r="J120" s="328">
        <f>H120/DAY(B2)</f>
        <v>420.59888888888884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'8'!F121</f>
        <v>403832</v>
      </c>
      <c r="F121" s="237">
        <v>404573</v>
      </c>
      <c r="G121" s="112">
        <f t="shared" si="9"/>
        <v>741</v>
      </c>
      <c r="H121" s="99">
        <f>G121+'8'!H121</f>
        <v>6538.570000000007</v>
      </c>
      <c r="I121" s="165"/>
      <c r="J121" s="328">
        <f>H121/DAY(B2)</f>
        <v>726.50777777777853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'8'!F122</f>
        <v>128003</v>
      </c>
      <c r="F122" s="237">
        <v>128266</v>
      </c>
      <c r="G122" s="112">
        <f t="shared" si="9"/>
        <v>263</v>
      </c>
      <c r="H122" s="99">
        <f>G122+'8'!H122</f>
        <v>2079.820000000007</v>
      </c>
      <c r="I122" s="165"/>
      <c r="J122" s="328">
        <f>H122/DAY(B2)</f>
        <v>231.0911111111119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'8'!F123</f>
        <v>156083</v>
      </c>
      <c r="F123" s="237">
        <v>156337</v>
      </c>
      <c r="G123" s="112">
        <f t="shared" si="9"/>
        <v>254</v>
      </c>
      <c r="H123" s="99">
        <f>G123+'8'!H123</f>
        <v>2290.0499999999884</v>
      </c>
      <c r="I123" s="165"/>
      <c r="J123" s="328">
        <f>H123/DAY(B2)</f>
        <v>254.44999999999871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3820</v>
      </c>
      <c r="H125" s="156"/>
      <c r="I125" s="327">
        <f>G125-(G39+G53)</f>
        <v>819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'8'!F128</f>
        <v>50155</v>
      </c>
      <c r="F128" s="155">
        <v>50522</v>
      </c>
      <c r="G128" s="112">
        <f t="shared" ref="G128:G134" si="10">F128-E128</f>
        <v>367</v>
      </c>
      <c r="H128" s="99">
        <f>G128+'8'!H128</f>
        <v>2776</v>
      </c>
      <c r="I128" s="165"/>
      <c r="J128" s="328">
        <f>H128/DAY(B2)</f>
        <v>308.44444444444446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28501</v>
      </c>
      <c r="F129" s="155">
        <v>28699</v>
      </c>
      <c r="G129" s="112">
        <f t="shared" si="10"/>
        <v>198</v>
      </c>
      <c r="H129" s="99">
        <f>G129+'8'!H129</f>
        <v>1788.130000000001</v>
      </c>
      <c r="I129" s="165"/>
      <c r="J129" s="328">
        <f>H129/DAY(B2)</f>
        <v>198.68111111111122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40315</v>
      </c>
      <c r="F130" s="155">
        <v>40844</v>
      </c>
      <c r="G130" s="112">
        <f t="shared" si="10"/>
        <v>529</v>
      </c>
      <c r="H130" s="99">
        <f>G130+'8'!H130</f>
        <v>5150</v>
      </c>
      <c r="I130" s="165"/>
      <c r="J130" s="328">
        <f>H130/DAY(B2)</f>
        <v>572.22222222222217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'8'!F131</f>
        <v>15930</v>
      </c>
      <c r="F131" s="155">
        <v>16070</v>
      </c>
      <c r="G131" s="112">
        <f t="shared" si="10"/>
        <v>140</v>
      </c>
      <c r="H131" s="99">
        <f>G131+'8'!H131</f>
        <v>762.31999999999971</v>
      </c>
      <c r="I131" s="165"/>
      <c r="J131" s="328">
        <f>H131/DAY(B2)</f>
        <v>84.70222222222219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'8'!F132</f>
        <v>54553</v>
      </c>
      <c r="F132" s="155">
        <v>54991</v>
      </c>
      <c r="G132" s="112">
        <f t="shared" si="10"/>
        <v>438</v>
      </c>
      <c r="H132" s="99">
        <f>G132+'8'!H132</f>
        <v>3142.6999999999971</v>
      </c>
      <c r="I132" s="165"/>
      <c r="J132" s="328">
        <f>H132/DAY(B2)</f>
        <v>349.18888888888858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'8'!F133</f>
        <v>110300</v>
      </c>
      <c r="F133" s="155">
        <v>110958</v>
      </c>
      <c r="G133" s="112">
        <f t="shared" si="10"/>
        <v>658</v>
      </c>
      <c r="H133" s="99">
        <f>G133+'8'!H133</f>
        <v>5614.3000000000029</v>
      </c>
      <c r="I133" s="165"/>
      <c r="J133" s="328">
        <f>H133/DAY(B2)</f>
        <v>623.81111111111147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'8'!F134</f>
        <v>10166.85</v>
      </c>
      <c r="F134" s="155">
        <v>10365</v>
      </c>
      <c r="G134" s="112">
        <f t="shared" si="10"/>
        <v>198.14999999999964</v>
      </c>
      <c r="H134" s="99">
        <f>G134+'8'!H134</f>
        <v>1763.7700000000004</v>
      </c>
      <c r="I134" s="165"/>
      <c r="J134" s="328">
        <f>H134/DAY(B2)</f>
        <v>195.97444444444449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2528.1499999999996</v>
      </c>
      <c r="H135" s="99">
        <f>G135+'8'!H135</f>
        <v>20997.22</v>
      </c>
      <c r="I135" s="327">
        <f>G135-(G35+G49)</f>
        <v>-377.85000000000036</v>
      </c>
      <c r="J135" s="328">
        <f>H135/DAY(B2)</f>
        <v>2333.0244444444447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'8'!F138</f>
        <v>866809</v>
      </c>
      <c r="F138" s="147">
        <v>866888</v>
      </c>
      <c r="G138" s="112">
        <f t="shared" ref="G138:G152" si="11">F138-E138</f>
        <v>79</v>
      </c>
      <c r="H138" s="99">
        <f>G138+'8'!H138</f>
        <v>715</v>
      </c>
      <c r="I138" s="118"/>
      <c r="J138" s="328">
        <f>H138/DAY(B2)</f>
        <v>79.444444444444443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'8'!F139</f>
        <v>886630</v>
      </c>
      <c r="F139" s="148">
        <v>886632</v>
      </c>
      <c r="G139" s="112">
        <f t="shared" si="11"/>
        <v>2</v>
      </c>
      <c r="H139" s="99">
        <f>G139+'8'!H139</f>
        <v>59</v>
      </c>
      <c r="I139" s="118"/>
      <c r="J139" s="328">
        <f>H139/DAY(B2)</f>
        <v>6.5555555555555554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'8'!F140</f>
        <v>88940</v>
      </c>
      <c r="F140" s="149">
        <v>88941</v>
      </c>
      <c r="G140" s="112">
        <f t="shared" si="11"/>
        <v>1</v>
      </c>
      <c r="H140" s="99">
        <f>G140+'8'!H140</f>
        <v>19</v>
      </c>
      <c r="I140" s="118"/>
      <c r="J140" s="328">
        <f>H140/DAY(B2)</f>
        <v>2.1111111111111112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'8'!F141</f>
        <v>56077</v>
      </c>
      <c r="F141" s="149">
        <v>56257</v>
      </c>
      <c r="G141" s="112">
        <f t="shared" si="11"/>
        <v>180</v>
      </c>
      <c r="H141" s="99">
        <f>G141+'8'!H141</f>
        <v>1571.4199999999983</v>
      </c>
      <c r="I141" s="118"/>
      <c r="J141" s="328">
        <f>H141/DAY(B2)</f>
        <v>174.60222222222203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'8'!F142</f>
        <v>21834</v>
      </c>
      <c r="F142" s="148">
        <v>21905</v>
      </c>
      <c r="G142" s="112">
        <f t="shared" si="11"/>
        <v>71</v>
      </c>
      <c r="H142" s="99">
        <f>G142+'8'!H142</f>
        <v>620.90000000000146</v>
      </c>
      <c r="I142" s="140"/>
      <c r="J142" s="328">
        <f>H142/DAY(B2)</f>
        <v>68.988888888889051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'8'!F143</f>
        <v>4058</v>
      </c>
      <c r="F143" s="149">
        <v>4084</v>
      </c>
      <c r="G143" s="112">
        <f t="shared" si="11"/>
        <v>26</v>
      </c>
      <c r="H143" s="99">
        <f>G143+'8'!H143</f>
        <v>248.61000000000013</v>
      </c>
      <c r="I143" s="140"/>
      <c r="J143" s="328">
        <f>H143/DAY(B2)</f>
        <v>27.623333333333349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'8'!F144</f>
        <v>878165</v>
      </c>
      <c r="F144" s="149">
        <v>878378</v>
      </c>
      <c r="G144" s="112">
        <f t="shared" si="11"/>
        <v>213</v>
      </c>
      <c r="H144" s="99">
        <f>G144+'8'!H144</f>
        <v>1891</v>
      </c>
      <c r="I144" s="140"/>
      <c r="J144" s="328">
        <f>H144/DAY(B2)</f>
        <v>210.11111111111111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'8'!F145</f>
        <v>5057</v>
      </c>
      <c r="F145" s="149">
        <v>5071</v>
      </c>
      <c r="G145" s="112">
        <f t="shared" si="11"/>
        <v>14</v>
      </c>
      <c r="H145" s="99">
        <f>G145+'8'!H145</f>
        <v>112.15999999999985</v>
      </c>
      <c r="I145" s="140"/>
      <c r="J145" s="328">
        <f>H145/DAY(B2)</f>
        <v>12.462222222222206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'8'!F146</f>
        <v>740692</v>
      </c>
      <c r="F146" s="148">
        <v>741100</v>
      </c>
      <c r="G146" s="112">
        <f t="shared" si="11"/>
        <v>408</v>
      </c>
      <c r="H146" s="99">
        <f>G146+'8'!H146</f>
        <v>3767</v>
      </c>
      <c r="I146" s="140"/>
      <c r="J146" s="328">
        <f>H146/DAY(B2)</f>
        <v>418.55555555555554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'8'!F147</f>
        <v>629801</v>
      </c>
      <c r="F147" s="148">
        <v>630189</v>
      </c>
      <c r="G147" s="112">
        <f t="shared" si="11"/>
        <v>388</v>
      </c>
      <c r="H147" s="99">
        <f>G147+'8'!H147</f>
        <v>3576.4799999999814</v>
      </c>
      <c r="I147" s="140"/>
      <c r="J147" s="328">
        <f>H147/DAY(B2)</f>
        <v>397.38666666666461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'8'!F148</f>
        <v>691828</v>
      </c>
      <c r="F148" s="486">
        <v>692072</v>
      </c>
      <c r="G148" s="112">
        <f t="shared" si="11"/>
        <v>244</v>
      </c>
      <c r="H148" s="99">
        <f>G148+'8'!H148</f>
        <v>2629.0400000000373</v>
      </c>
      <c r="I148" s="124"/>
      <c r="J148" s="328">
        <f>H148/DAY(B2)</f>
        <v>292.11555555555969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'8'!F149</f>
        <v>28830</v>
      </c>
      <c r="F149" s="146">
        <v>29435</v>
      </c>
      <c r="G149" s="112">
        <f t="shared" si="11"/>
        <v>605</v>
      </c>
      <c r="H149" s="99">
        <f>G149+'8'!H149</f>
        <v>4756.7999999999993</v>
      </c>
      <c r="I149" s="119"/>
      <c r="J149" s="328">
        <f>H149/DAY(B2)</f>
        <v>528.5333333333333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'8'!F150</f>
        <v>12658</v>
      </c>
      <c r="F150" s="233">
        <v>12888</v>
      </c>
      <c r="G150" s="112">
        <f t="shared" si="11"/>
        <v>230</v>
      </c>
      <c r="H150" s="99">
        <f>G150+'8'!H150</f>
        <v>2037.17</v>
      </c>
      <c r="I150" s="119"/>
      <c r="J150" s="328">
        <f>H150/DAY(B2)</f>
        <v>226.35222222222222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'8'!F151</f>
        <v>87453</v>
      </c>
      <c r="F151" s="233">
        <v>87671</v>
      </c>
      <c r="G151" s="112">
        <f t="shared" si="11"/>
        <v>218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'8'!F152</f>
        <v>2039</v>
      </c>
      <c r="F152" s="233">
        <v>2120</v>
      </c>
      <c r="G152" s="112">
        <f t="shared" si="11"/>
        <v>81</v>
      </c>
      <c r="H152" s="99">
        <f>G152+'8'!H152</f>
        <v>460</v>
      </c>
      <c r="I152" s="119"/>
      <c r="J152" s="328">
        <f>H152/DAY(B2)</f>
        <v>51.111111111111114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2760</v>
      </c>
      <c r="H153" s="363"/>
      <c r="I153" s="119">
        <f>G153-(G38+G52)</f>
        <v>837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'8'!F155</f>
        <v>37876</v>
      </c>
      <c r="F155" s="374">
        <v>38549</v>
      </c>
      <c r="G155" s="112">
        <f t="shared" ref="G155:G158" si="12">F155-E155</f>
        <v>673</v>
      </c>
      <c r="H155" s="99">
        <f>G155+'8'!H155</f>
        <v>5604</v>
      </c>
      <c r="I155" s="364"/>
      <c r="J155" s="328">
        <f>H155/DAY(B2)</f>
        <v>622.66666666666663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'8'!F156</f>
        <v>3151</v>
      </c>
      <c r="F156" s="155">
        <v>3199</v>
      </c>
      <c r="G156" s="112">
        <f t="shared" si="12"/>
        <v>48</v>
      </c>
      <c r="H156" s="99">
        <f>G156+'8'!H156</f>
        <v>411</v>
      </c>
      <c r="I156" s="165"/>
      <c r="J156" s="328">
        <f>H156/DAY(B2)</f>
        <v>45.666666666666664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'8'!F157</f>
        <v>4801</v>
      </c>
      <c r="F157" s="155">
        <v>4932</v>
      </c>
      <c r="G157" s="112">
        <f t="shared" si="12"/>
        <v>131</v>
      </c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'8'!F158</f>
        <v>69</v>
      </c>
      <c r="F158" s="155">
        <v>69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472437</v>
      </c>
      <c r="F161" s="501">
        <v>472455</v>
      </c>
      <c r="G161" s="238">
        <f t="shared" ref="G161:G166" si="13">F161-E161</f>
        <v>18</v>
      </c>
      <c r="H161" s="99">
        <f>G161+'8'!H161</f>
        <v>401.44000000000233</v>
      </c>
      <c r="I161" s="236"/>
      <c r="J161" s="239">
        <f>H161/DAY(B2)</f>
        <v>44.604444444444702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88804</v>
      </c>
      <c r="F162" s="235">
        <v>88842</v>
      </c>
      <c r="G162" s="238">
        <f t="shared" si="13"/>
        <v>38</v>
      </c>
      <c r="H162" s="99">
        <f>G162+'8'!H162</f>
        <v>325.60000000000582</v>
      </c>
      <c r="I162" s="236"/>
      <c r="J162" s="239">
        <f>H162/DAY(B2)</f>
        <v>36.177777777778424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79499</v>
      </c>
      <c r="F163" s="235">
        <v>79570</v>
      </c>
      <c r="G163" s="238">
        <f t="shared" si="13"/>
        <v>71</v>
      </c>
      <c r="H163" s="99">
        <f>G163+'8'!H163</f>
        <v>349.89999999999418</v>
      </c>
      <c r="I163" s="236"/>
      <c r="J163" s="239">
        <f>H163/DAY(B2)</f>
        <v>38.877777777777133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4328</v>
      </c>
      <c r="F164" s="235">
        <v>4329</v>
      </c>
      <c r="G164" s="238">
        <f t="shared" si="13"/>
        <v>1</v>
      </c>
      <c r="H164" s="99">
        <f>G164+'8'!H164</f>
        <v>9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29925</v>
      </c>
      <c r="F165" s="235">
        <v>29935</v>
      </c>
      <c r="G165" s="238">
        <f t="shared" si="13"/>
        <v>10</v>
      </c>
      <c r="H165" s="99">
        <f>G165+'8'!H165</f>
        <v>77.75</v>
      </c>
      <c r="I165" s="236"/>
      <c r="J165" s="239">
        <f>H165/DAY(B2)</f>
        <v>8.6388888888888893</v>
      </c>
    </row>
    <row r="166" spans="1:10" ht="29.25" x14ac:dyDescent="0.5">
      <c r="A166" s="917"/>
      <c r="B166" s="917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'8'!F173</f>
        <v>8126</v>
      </c>
      <c r="F173" s="155">
        <v>8131</v>
      </c>
      <c r="G173" s="155">
        <f>F173-E173</f>
        <v>5</v>
      </c>
      <c r="H173" s="99">
        <f>G173+'8'!H173</f>
        <v>5</v>
      </c>
      <c r="I173" s="155"/>
      <c r="J173" s="178">
        <f>H173/DAY(B2)</f>
        <v>0.55555555555555558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'8'!F174</f>
        <v>38723</v>
      </c>
      <c r="F174" s="157">
        <v>38735</v>
      </c>
      <c r="G174" s="155">
        <f t="shared" ref="G174:G175" si="14">F174-E174</f>
        <v>12</v>
      </c>
      <c r="H174" s="99">
        <f>G174+'8'!H174</f>
        <v>120</v>
      </c>
      <c r="I174" s="155"/>
      <c r="J174" s="178">
        <f>H174/DAY(B2)</f>
        <v>13.333333333333334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'8'!F175</f>
        <v>21895</v>
      </c>
      <c r="F175" s="155">
        <v>21907</v>
      </c>
      <c r="G175" s="155">
        <f t="shared" si="14"/>
        <v>12</v>
      </c>
      <c r="H175" s="99">
        <f>G175+'8'!H175</f>
        <v>94</v>
      </c>
      <c r="I175" s="155"/>
      <c r="J175" s="178">
        <f>H175/DAY(B2)</f>
        <v>10.444444444444445</v>
      </c>
    </row>
    <row r="176" spans="1:10" ht="27.75" x14ac:dyDescent="0.5">
      <c r="A176" s="914" t="s">
        <v>196</v>
      </c>
      <c r="B176" s="915"/>
      <c r="C176" s="333"/>
      <c r="D176" s="228" t="s">
        <v>142</v>
      </c>
      <c r="E176" s="95"/>
      <c r="F176" s="155"/>
      <c r="G176" s="155">
        <f>SUM(G173:G175)</f>
        <v>29</v>
      </c>
      <c r="H176" s="99">
        <f>G176+'8'!H176</f>
        <v>219</v>
      </c>
      <c r="I176" s="155"/>
      <c r="J176" s="178">
        <f>H176/DAY(B2)</f>
        <v>24.333333333333332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'8'!F178</f>
        <v>81763</v>
      </c>
      <c r="F178" s="155">
        <v>81801</v>
      </c>
      <c r="G178" s="155">
        <f>F178-E178</f>
        <v>38</v>
      </c>
      <c r="H178" s="99">
        <f>G178+'8'!H178</f>
        <v>486</v>
      </c>
      <c r="I178" s="155"/>
      <c r="J178" s="178">
        <f>H178/DAY(B2)</f>
        <v>54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'8'!F179</f>
        <v>35098</v>
      </c>
      <c r="F179" s="155">
        <v>35133</v>
      </c>
      <c r="G179" s="155">
        <f t="shared" ref="G179:G180" si="15">F179-E179</f>
        <v>35</v>
      </c>
      <c r="H179" s="99">
        <f>G179+'8'!H179</f>
        <v>330</v>
      </c>
      <c r="I179" s="155"/>
      <c r="J179" s="178">
        <f>H179/DAY(B2)</f>
        <v>36.666666666666664</v>
      </c>
    </row>
    <row r="180" spans="1:10" ht="31.5" customHeight="1" x14ac:dyDescent="0.5">
      <c r="A180" s="875" t="s">
        <v>212</v>
      </c>
      <c r="B180" s="876"/>
      <c r="C180" s="333"/>
      <c r="D180" s="228" t="s">
        <v>142</v>
      </c>
      <c r="E180" s="95">
        <f>'8'!F180</f>
        <v>5765</v>
      </c>
      <c r="F180" s="155">
        <v>5770</v>
      </c>
      <c r="G180" s="155">
        <f t="shared" si="15"/>
        <v>5</v>
      </c>
      <c r="H180" s="99">
        <f>G180+'8'!H180</f>
        <v>68</v>
      </c>
      <c r="I180" s="155"/>
      <c r="J180" s="178">
        <f>H180/DAY(B2)</f>
        <v>7.5555555555555554</v>
      </c>
    </row>
    <row r="181" spans="1:10" ht="27.75" x14ac:dyDescent="0.5">
      <c r="A181" s="919" t="s">
        <v>108</v>
      </c>
      <c r="B181" s="920"/>
      <c r="C181" s="333"/>
      <c r="D181" s="228" t="s">
        <v>142</v>
      </c>
      <c r="E181" s="95"/>
      <c r="F181" s="155"/>
      <c r="G181" s="155">
        <f>SUM(G178:G180)</f>
        <v>78</v>
      </c>
      <c r="H181" s="99">
        <f>G181+'8'!H181</f>
        <v>884</v>
      </c>
      <c r="I181" s="155"/>
      <c r="J181" s="178">
        <f>H181/DAY(B2)</f>
        <v>98.222222222222229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'8'!F183</f>
        <v>15451</v>
      </c>
      <c r="F183" s="157">
        <v>15462</v>
      </c>
      <c r="G183" s="157">
        <f>F183-E183</f>
        <v>11</v>
      </c>
      <c r="H183" s="99">
        <f>G183+'8'!H183</f>
        <v>117</v>
      </c>
      <c r="I183" s="155"/>
      <c r="J183" s="178">
        <f>H183/DAY(B2)</f>
        <v>13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'8'!F184</f>
        <v>10599</v>
      </c>
      <c r="F184" s="157">
        <v>10647</v>
      </c>
      <c r="G184" s="157">
        <f t="shared" ref="G184:G185" si="16">F184-E184</f>
        <v>48</v>
      </c>
      <c r="H184" s="99">
        <f>G184+'8'!H184</f>
        <v>129</v>
      </c>
      <c r="I184" s="155"/>
      <c r="J184" s="178">
        <f>H184/DAY(B2)</f>
        <v>14.333333333333334</v>
      </c>
    </row>
    <row r="185" spans="1:10" ht="35.25" customHeight="1" x14ac:dyDescent="0.5">
      <c r="A185" s="875" t="s">
        <v>216</v>
      </c>
      <c r="B185" s="876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14" t="s">
        <v>196</v>
      </c>
      <c r="B186" s="915"/>
      <c r="C186" s="334"/>
      <c r="D186" s="228" t="s">
        <v>142</v>
      </c>
      <c r="E186" s="95"/>
      <c r="F186" s="157"/>
      <c r="G186" s="157">
        <f>SUM(G183:G185)</f>
        <v>59</v>
      </c>
      <c r="H186" s="99">
        <f>G186+'8'!H186</f>
        <v>246</v>
      </c>
      <c r="I186" s="157"/>
      <c r="J186" s="178">
        <f>H186/DAY(B2)</f>
        <v>27.333333333333332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198</v>
      </c>
      <c r="H187" s="99">
        <f>G187+'8'!H187</f>
        <v>1503</v>
      </c>
      <c r="I187" s="158"/>
      <c r="J187" s="179">
        <f>H187/DAY(B2)</f>
        <v>167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201</v>
      </c>
      <c r="H188" s="99">
        <f>G188+'8'!H188</f>
        <v>1519</v>
      </c>
      <c r="I188" s="158"/>
      <c r="J188" s="179">
        <f>H188/DAY(B2)</f>
        <v>168.77777777777777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78</v>
      </c>
      <c r="H189" s="99">
        <f>G189+'8'!H189</f>
        <v>884</v>
      </c>
      <c r="I189" s="158"/>
      <c r="J189" s="179">
        <f>H189/DAY(B2)</f>
        <v>98.222222222222229</v>
      </c>
    </row>
    <row r="190" spans="1:10" ht="29.25" customHeight="1" x14ac:dyDescent="0.5">
      <c r="A190" s="846"/>
      <c r="B190" s="847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6" zoomScale="50" zoomScaleNormal="55" zoomScaleSheetLayoutView="50" workbookViewId="0">
      <selection activeCell="F19" sqref="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44602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825639</v>
      </c>
      <c r="F7" s="95">
        <v>845927</v>
      </c>
      <c r="G7" s="112">
        <f>F7-E7</f>
        <v>20288</v>
      </c>
      <c r="H7" s="99">
        <f>G7+'9'!H7</f>
        <v>194746.77000000002</v>
      </c>
      <c r="I7" s="113">
        <f>'1'!I7</f>
        <v>12000</v>
      </c>
      <c r="J7" s="175">
        <f>H7/DAY(B2)</f>
        <v>19474.677000000003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884521</v>
      </c>
      <c r="F8" s="95">
        <v>904894</v>
      </c>
      <c r="G8" s="115">
        <f>F8-E8</f>
        <v>20373</v>
      </c>
      <c r="H8" s="99">
        <f>G8+'9'!H8</f>
        <v>196345.84999999998</v>
      </c>
      <c r="I8" s="116"/>
      <c r="J8" s="175">
        <f>H8/DAY(B2)</f>
        <v>19634.584999999999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408069</v>
      </c>
      <c r="F9" s="598">
        <v>425272</v>
      </c>
      <c r="G9" s="112">
        <f>F9-E9</f>
        <v>17203</v>
      </c>
      <c r="H9" s="99">
        <f>G9+'9'!H9</f>
        <v>143018.15000000002</v>
      </c>
      <c r="I9" s="124">
        <f>I7-J7</f>
        <v>-7474.6770000000033</v>
      </c>
      <c r="J9" s="175">
        <f>H9/DAY(B2)</f>
        <v>14301.815000000002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149027</v>
      </c>
      <c r="F10" s="117">
        <v>151529</v>
      </c>
      <c r="G10" s="112">
        <f t="shared" ref="G10:G12" si="0">F10-E10</f>
        <v>2502</v>
      </c>
      <c r="H10" s="99">
        <f>G10+'9'!H10</f>
        <v>46270.03</v>
      </c>
      <c r="I10" s="282"/>
      <c r="J10" s="175">
        <f>H10/DAY(B2)</f>
        <v>4627.0029999999997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37170</v>
      </c>
      <c r="F11" s="95">
        <v>37170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19705</v>
      </c>
      <c r="H13" s="99">
        <f>G13+'9'!H13</f>
        <v>172533.75</v>
      </c>
      <c r="I13" s="120">
        <f>G7-G13</f>
        <v>583</v>
      </c>
      <c r="J13" s="175">
        <f>H13/DAY(B2)</f>
        <v>17253.375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1915799</v>
      </c>
      <c r="F15" s="232">
        <v>1916951</v>
      </c>
      <c r="G15" s="112">
        <f>(F15-E15)</f>
        <v>1152</v>
      </c>
      <c r="H15" s="99">
        <f>G15+'9'!H15</f>
        <v>10314.233000000007</v>
      </c>
      <c r="I15" s="113">
        <f>'1'!I15</f>
        <v>800</v>
      </c>
      <c r="J15" s="175">
        <f>H15/DAY(B2)</f>
        <v>1031.4233000000008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-231.42330000000084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'9'!F18</f>
        <v>20</v>
      </c>
      <c r="F18" s="122">
        <v>26</v>
      </c>
      <c r="G18" s="119">
        <f>F18*10</f>
        <v>260</v>
      </c>
      <c r="H18" s="99">
        <f>G18+'9'!H18</f>
        <v>2010</v>
      </c>
      <c r="I18" s="113">
        <f>'1'!I18</f>
        <v>65</v>
      </c>
      <c r="J18" s="175">
        <f>H18/DAY(B2)</f>
        <v>201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'9'!F19</f>
        <v>154352</v>
      </c>
      <c r="F19" s="122">
        <v>154409</v>
      </c>
      <c r="G19" s="112">
        <f t="shared" ref="G19" si="1">F19-E19</f>
        <v>57</v>
      </c>
      <c r="H19" s="99">
        <f>G19+'9'!H19</f>
        <v>518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G20+'9'!H20</f>
        <v>2528</v>
      </c>
      <c r="I20" s="336">
        <f>I18-J20</f>
        <v>-187.8</v>
      </c>
      <c r="J20" s="175">
        <f>H20/DAY(B2)</f>
        <v>252.8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20373</v>
      </c>
      <c r="F27" s="136">
        <v>9</v>
      </c>
      <c r="G27" s="137">
        <f>E27*F27</f>
        <v>183357</v>
      </c>
      <c r="H27" s="99">
        <f>G27+'9'!H27</f>
        <v>1767112.65</v>
      </c>
      <c r="I27" s="138"/>
      <c r="J27" s="175">
        <f>H27/DAY(B2)</f>
        <v>176711.26499999998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1152</v>
      </c>
      <c r="F28" s="136">
        <v>52</v>
      </c>
      <c r="G28" s="137">
        <f>E28*F28</f>
        <v>59904</v>
      </c>
      <c r="H28" s="99">
        <f>G28+'9'!H28</f>
        <v>536340.11600000039</v>
      </c>
      <c r="I28" s="140"/>
      <c r="J28" s="175">
        <f>H28/DAY(B2)</f>
        <v>53634.011600000042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G30+'9'!H30</f>
        <v>75628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G31+'9'!H31</f>
        <v>160800</v>
      </c>
      <c r="I31" s="140"/>
      <c r="J31" s="175">
        <f>H31/DAY(B2)</f>
        <v>16080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272383</v>
      </c>
      <c r="H32" s="99">
        <f>G32+'9'!H32</f>
        <v>2539880.7660000003</v>
      </c>
      <c r="I32" s="144"/>
      <c r="J32" s="175">
        <f>H32/DAY(B2)</f>
        <v>253988.07660000003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45444</v>
      </c>
      <c r="F35" s="145">
        <v>47001</v>
      </c>
      <c r="G35" s="112">
        <f t="shared" ref="G35:G46" si="3">F35-E35</f>
        <v>1557</v>
      </c>
      <c r="H35" s="99">
        <f>G35+'9'!H35</f>
        <v>14996.02</v>
      </c>
      <c r="I35" s="95"/>
      <c r="J35" s="175">
        <f>H35/DAY(B2)</f>
        <v>1499.6020000000001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51453</v>
      </c>
      <c r="F36" s="145">
        <v>52537</v>
      </c>
      <c r="G36" s="112">
        <f t="shared" si="3"/>
        <v>1084</v>
      </c>
      <c r="H36" s="99">
        <f>G36+'9'!H36</f>
        <v>9078.260000000002</v>
      </c>
      <c r="I36" s="95"/>
      <c r="J36" s="175">
        <f>H36/DAY(B2)</f>
        <v>907.82600000000025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49928</v>
      </c>
      <c r="F37" s="145">
        <v>51575</v>
      </c>
      <c r="G37" s="112">
        <f t="shared" si="3"/>
        <v>1647</v>
      </c>
      <c r="H37" s="99">
        <f>G37+'9'!H37</f>
        <v>16149.910000000003</v>
      </c>
      <c r="I37" s="95"/>
      <c r="J37" s="175">
        <f>H37/DAY(B2)</f>
        <v>1614.9910000000004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54992</v>
      </c>
      <c r="F38" s="108">
        <v>56947</v>
      </c>
      <c r="G38" s="112">
        <f t="shared" si="3"/>
        <v>1955</v>
      </c>
      <c r="H38" s="99">
        <f>G38+'9'!H38</f>
        <v>18570.57</v>
      </c>
      <c r="I38" s="95"/>
      <c r="J38" s="175">
        <f>H38/DAY(B2)</f>
        <v>1857.057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84245</v>
      </c>
      <c r="F39" s="145">
        <v>87280</v>
      </c>
      <c r="G39" s="112">
        <f t="shared" si="3"/>
        <v>3035</v>
      </c>
      <c r="H39" s="99">
        <f>G39+'9'!H39</f>
        <v>28106.71</v>
      </c>
      <c r="I39" s="95"/>
      <c r="J39" s="175">
        <f>H39/DAY(B2)</f>
        <v>2810.6709999999998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24711</v>
      </c>
      <c r="F40" s="145">
        <v>24852</v>
      </c>
      <c r="G40" s="112">
        <f t="shared" si="3"/>
        <v>141</v>
      </c>
      <c r="H40" s="99">
        <f>G40+'9'!H40</f>
        <v>2735.0099999999975</v>
      </c>
      <c r="I40" s="95"/>
      <c r="J40" s="175">
        <f>H40/DAY(B2)</f>
        <v>273.50099999999975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63</v>
      </c>
      <c r="F41" s="145">
        <v>63</v>
      </c>
      <c r="G41" s="112">
        <f t="shared" si="3"/>
        <v>0</v>
      </c>
      <c r="H41" s="99">
        <f>G41+'9'!H41</f>
        <v>0.27000000000000313</v>
      </c>
      <c r="I41" s="95"/>
      <c r="J41" s="175">
        <f>H41/DAY(B2)</f>
        <v>2.7000000000000312E-2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117046</v>
      </c>
      <c r="F42" s="145">
        <v>121603</v>
      </c>
      <c r="G42" s="112">
        <f t="shared" si="3"/>
        <v>4557</v>
      </c>
      <c r="H42" s="99">
        <f>G42+'9'!H42</f>
        <v>21473.259999999995</v>
      </c>
      <c r="I42" s="95"/>
      <c r="J42" s="175">
        <f>H42/DAY(B2)</f>
        <v>2147.3259999999996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134178</v>
      </c>
      <c r="F43" s="145">
        <v>136275</v>
      </c>
      <c r="G43" s="112">
        <f t="shared" si="3"/>
        <v>2097</v>
      </c>
      <c r="H43" s="99">
        <f>G43+'9'!H43</f>
        <v>21423.399999999994</v>
      </c>
      <c r="I43" s="95"/>
      <c r="J43" s="175">
        <f>H43/DAY(B2)</f>
        <v>2142.3399999999992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16073</v>
      </c>
      <c r="H47" s="99">
        <f>G47+'9'!H47</f>
        <v>132533.41</v>
      </c>
      <c r="I47" s="95"/>
      <c r="J47" s="175">
        <f>H47/DAY(B2)</f>
        <v>13253.341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36299</v>
      </c>
      <c r="F49" s="145">
        <v>37581</v>
      </c>
      <c r="G49" s="112">
        <f t="shared" ref="G49:G58" si="4">F49-E49</f>
        <v>1282</v>
      </c>
      <c r="H49" s="99">
        <f>G49+'9'!H49</f>
        <v>12584.810000000001</v>
      </c>
      <c r="I49" s="95"/>
      <c r="J49" s="175">
        <f>H49/DAY(B2)</f>
        <v>1258.4810000000002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66997</v>
      </c>
      <c r="F50" s="145">
        <v>68141</v>
      </c>
      <c r="G50" s="112">
        <f t="shared" si="4"/>
        <v>1144</v>
      </c>
      <c r="H50" s="99">
        <f>G50+'9'!H50</f>
        <v>11754.370000000003</v>
      </c>
      <c r="I50" s="95"/>
      <c r="J50" s="175">
        <f>H50/DAY(B2)</f>
        <v>1175.4370000000004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9067</v>
      </c>
      <c r="F54" s="145">
        <v>9606</v>
      </c>
      <c r="G54" s="112">
        <f t="shared" si="4"/>
        <v>539</v>
      </c>
      <c r="H54" s="99">
        <f>G54+'9'!H54</f>
        <v>4458.58</v>
      </c>
      <c r="I54" s="95"/>
      <c r="J54" s="175">
        <f>H54/DAY(B2)</f>
        <v>445.858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90154</v>
      </c>
      <c r="F55" s="145">
        <v>90154</v>
      </c>
      <c r="G55" s="112">
        <f t="shared" si="4"/>
        <v>0</v>
      </c>
      <c r="H55" s="99">
        <f>G55+'9'!H55</f>
        <v>15787.89</v>
      </c>
      <c r="I55" s="95"/>
      <c r="J55" s="175">
        <f>H55/DAY(B2)</f>
        <v>1578.789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8724</v>
      </c>
      <c r="F56" s="376">
        <v>8724</v>
      </c>
      <c r="G56" s="112">
        <f t="shared" si="4"/>
        <v>0</v>
      </c>
      <c r="H56" s="99">
        <f>G56+'9'!H56</f>
        <v>113.45999999999913</v>
      </c>
      <c r="I56" s="95"/>
      <c r="J56" s="175">
        <f>H56/DAY(B2)</f>
        <v>11.345999999999913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6739</v>
      </c>
      <c r="F58" s="376">
        <v>6936</v>
      </c>
      <c r="G58" s="112">
        <f t="shared" si="4"/>
        <v>197</v>
      </c>
      <c r="H58" s="99">
        <f>G58+'9'!H58</f>
        <v>2139.79</v>
      </c>
      <c r="I58" s="95"/>
      <c r="J58" s="175">
        <f>H58/DAY(B2)</f>
        <v>213.97899999999998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3162</v>
      </c>
      <c r="H59" s="99">
        <f>G59+'9'!H59</f>
        <v>46838.9</v>
      </c>
      <c r="I59" s="95">
        <f>G7-G60</f>
        <v>1053</v>
      </c>
      <c r="J59" s="175">
        <f>H59/DAY(B2)</f>
        <v>4683.8900000000003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19235</v>
      </c>
      <c r="H60" s="99">
        <f>G60+'9'!H60</f>
        <v>179372.31</v>
      </c>
      <c r="I60" s="95">
        <f>G13-G60</f>
        <v>470</v>
      </c>
      <c r="J60" s="175">
        <f>H60/DAY(B2)</f>
        <v>17937.231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'9'!F62</f>
        <v>270558</v>
      </c>
      <c r="F62" s="122">
        <v>270728</v>
      </c>
      <c r="G62" s="112">
        <f t="shared" ref="G62:G63" si="5">F62-E62</f>
        <v>170</v>
      </c>
      <c r="H62" s="99">
        <f>G62+'9'!H62</f>
        <v>1212</v>
      </c>
      <c r="I62" s="118"/>
      <c r="J62" s="175">
        <f>H62/DAY(B2)</f>
        <v>121.2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'9'!F63</f>
        <v>216933</v>
      </c>
      <c r="F63" s="122">
        <v>217062</v>
      </c>
      <c r="G63" s="112">
        <f t="shared" si="5"/>
        <v>129</v>
      </c>
      <c r="H63" s="99">
        <f>G63+'9'!H63</f>
        <v>1265</v>
      </c>
      <c r="I63" s="118"/>
      <c r="J63" s="175">
        <f>H63/DAY(B2)</f>
        <v>126.5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'9'!F64</f>
        <v>0</v>
      </c>
      <c r="F64" s="122"/>
      <c r="G64" s="112">
        <f>G62+G63</f>
        <v>299</v>
      </c>
      <c r="H64" s="99">
        <f>G64+'9'!H64</f>
        <v>2477</v>
      </c>
      <c r="I64" s="118"/>
      <c r="J64" s="175">
        <f>H64/DAY(B2)</f>
        <v>247.7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'9'!F65</f>
        <v>435761</v>
      </c>
      <c r="F65" s="122">
        <v>435866</v>
      </c>
      <c r="G65" s="112">
        <f t="shared" ref="G65:G70" si="6">F65-E65</f>
        <v>105</v>
      </c>
      <c r="H65" s="99">
        <f>G65+'9'!H65</f>
        <v>943</v>
      </c>
      <c r="I65" s="118"/>
      <c r="J65" s="175">
        <f>H65/DAY(B2)</f>
        <v>94.3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107966</v>
      </c>
      <c r="F66" s="122">
        <v>107986</v>
      </c>
      <c r="G66" s="112">
        <f t="shared" si="6"/>
        <v>20</v>
      </c>
      <c r="H66" s="99">
        <f>G66+'9'!H66</f>
        <v>243</v>
      </c>
      <c r="I66" s="118"/>
      <c r="J66" s="175">
        <f>H66/DAY(B2)</f>
        <v>24.3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104885</v>
      </c>
      <c r="F67" s="122">
        <v>104950</v>
      </c>
      <c r="G67" s="112">
        <f t="shared" si="6"/>
        <v>65</v>
      </c>
      <c r="H67" s="99">
        <f>G67+'9'!H67</f>
        <v>302</v>
      </c>
      <c r="I67" s="118"/>
      <c r="J67" s="175">
        <f>H67/DAY(B2)</f>
        <v>30.2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158021</v>
      </c>
      <c r="F68" s="122">
        <v>158061</v>
      </c>
      <c r="G68" s="112">
        <f t="shared" si="6"/>
        <v>40</v>
      </c>
      <c r="H68" s="99">
        <f>G68+'9'!H68</f>
        <v>364</v>
      </c>
      <c r="I68" s="118"/>
      <c r="J68" s="175">
        <f>H68/DAY(B2)</f>
        <v>36.4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10638</v>
      </c>
      <c r="F69" s="122">
        <v>10656</v>
      </c>
      <c r="G69" s="112">
        <f t="shared" si="6"/>
        <v>18</v>
      </c>
      <c r="H69" s="99">
        <f>G69+'9'!H69</f>
        <v>115</v>
      </c>
      <c r="I69" s="118"/>
      <c r="J69" s="175">
        <f>H69/DAY(B2)</f>
        <v>11.5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8244</v>
      </c>
      <c r="F70" s="122">
        <v>8252</v>
      </c>
      <c r="G70" s="112">
        <f t="shared" si="6"/>
        <v>8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256</v>
      </c>
      <c r="H71" s="99">
        <f>G71+'9'!H71</f>
        <v>2099</v>
      </c>
      <c r="I71" s="154"/>
      <c r="J71" s="175">
        <f>H71/DAY(B2)</f>
        <v>209.9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'9'!F74</f>
        <v>904033</v>
      </c>
      <c r="F74" s="117">
        <v>904374</v>
      </c>
      <c r="G74" s="112">
        <f t="shared" ref="G74:G78" si="7">F74-E74</f>
        <v>341</v>
      </c>
      <c r="H74" s="99">
        <f>G74+'9'!H74</f>
        <v>3067.8510000000242</v>
      </c>
      <c r="I74" s="154"/>
      <c r="J74" s="175">
        <f>H74/DAY(B2)</f>
        <v>306.78510000000244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'9'!F76</f>
        <v>171014</v>
      </c>
      <c r="F76" s="123">
        <v>171128</v>
      </c>
      <c r="G76" s="112">
        <f t="shared" si="7"/>
        <v>114</v>
      </c>
      <c r="H76" s="99">
        <f>G76+'9'!H76</f>
        <v>1153</v>
      </c>
      <c r="I76" s="154"/>
      <c r="J76" s="175">
        <f>H76/DAY(B2)</f>
        <v>115.3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'9'!F77</f>
        <v>41730</v>
      </c>
      <c r="F77" s="123">
        <v>41773</v>
      </c>
      <c r="G77" s="112">
        <f t="shared" si="7"/>
        <v>43</v>
      </c>
      <c r="H77" s="99">
        <f>G77+'9'!H77</f>
        <v>470.80000000000291</v>
      </c>
      <c r="I77" s="154"/>
      <c r="J77" s="175">
        <f>H77/DAY(B2)</f>
        <v>47.08000000000029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'9'!F78</f>
        <v>9528</v>
      </c>
      <c r="F78" s="123">
        <v>9531</v>
      </c>
      <c r="G78" s="112">
        <f t="shared" si="7"/>
        <v>3</v>
      </c>
      <c r="H78" s="99">
        <f>G78+'9'!H78</f>
        <v>15</v>
      </c>
      <c r="I78" s="118"/>
      <c r="J78" s="175">
        <f>H78/DAY(B2)</f>
        <v>1.5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'9'!F79</f>
        <v>0</v>
      </c>
      <c r="F79" s="117"/>
      <c r="G79" s="112">
        <f>G15-SUM(G74:G78)</f>
        <v>651</v>
      </c>
      <c r="H79" s="99">
        <f>G79+'9'!H79</f>
        <v>5607.3819999999832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1152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2360</v>
      </c>
      <c r="F85" s="164">
        <v>2384</v>
      </c>
      <c r="G85" s="112">
        <f t="shared" si="8"/>
        <v>24</v>
      </c>
      <c r="H85" s="99">
        <f>G85+'9'!H85</f>
        <v>123.57999999999993</v>
      </c>
      <c r="I85" s="118">
        <f>G82+G83+G84+G85</f>
        <v>24</v>
      </c>
      <c r="J85" s="175">
        <f>H85/DAY(B2)</f>
        <v>12.357999999999993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43560</v>
      </c>
      <c r="F86" s="164">
        <v>43560</v>
      </c>
      <c r="G86" s="112">
        <f t="shared" si="8"/>
        <v>0</v>
      </c>
      <c r="H86" s="99">
        <f>G86+'9'!H86</f>
        <v>118</v>
      </c>
      <c r="I86" s="118"/>
      <c r="J86" s="175">
        <f>H86/DAY(B2)</f>
        <v>11.8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24063</v>
      </c>
      <c r="F88" s="164">
        <v>24063</v>
      </c>
      <c r="G88" s="112">
        <f t="shared" si="8"/>
        <v>0</v>
      </c>
      <c r="H88" s="99">
        <f>G88+'9'!H88</f>
        <v>-0.43000000000029104</v>
      </c>
      <c r="I88" s="118">
        <f>G86+G87+G88</f>
        <v>0</v>
      </c>
      <c r="J88" s="175">
        <f>H88/DAY(B2)</f>
        <v>-4.3000000000029105E-2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25981.43</v>
      </c>
      <c r="F89" s="164">
        <v>25993</v>
      </c>
      <c r="G89" s="112">
        <f t="shared" si="8"/>
        <v>11.569999999999709</v>
      </c>
      <c r="H89" s="99">
        <f>G89+'9'!H89</f>
        <v>101.88000000000102</v>
      </c>
      <c r="I89" s="118"/>
      <c r="J89" s="175">
        <f>H89/DAY(B2)</f>
        <v>10.188000000000102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71186</v>
      </c>
      <c r="F90" s="164">
        <v>71190</v>
      </c>
      <c r="G90" s="112">
        <f t="shared" si="8"/>
        <v>4</v>
      </c>
      <c r="H90" s="99">
        <f>G90+'9'!H90</f>
        <v>26.679999999993015</v>
      </c>
      <c r="I90" s="118">
        <f>G89+G90</f>
        <v>15.569999999999709</v>
      </c>
      <c r="J90" s="175">
        <f>H90/DAY(B2)</f>
        <v>2.6679999999993016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3352</v>
      </c>
      <c r="F91" s="122">
        <v>3364</v>
      </c>
      <c r="G91" s="112">
        <f t="shared" si="8"/>
        <v>12</v>
      </c>
      <c r="H91" s="99">
        <f>G91+'9'!H91</f>
        <v>112.90999999999985</v>
      </c>
      <c r="I91" s="165"/>
      <c r="J91" s="175">
        <f>H91/DAY(B2)</f>
        <v>11.290999999999986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-6.9999999999708962E-2</v>
      </c>
      <c r="I92" s="165"/>
      <c r="J92" s="175">
        <f>H92/DAY(B2)</f>
        <v>-6.9999999999708958E-3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4936</v>
      </c>
      <c r="H94" s="99">
        <f>G94+'9'!H94</f>
        <v>49004.229999999996</v>
      </c>
      <c r="I94" s="118"/>
      <c r="J94" s="175">
        <f>H94/DAY(B2)</f>
        <v>4900.4229999999998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0.24329652996845424</v>
      </c>
      <c r="H95" s="99">
        <f>G95+'9'!H95</f>
        <v>2.5162247661994854</v>
      </c>
      <c r="I95" s="167"/>
      <c r="J95" s="175">
        <f>H95/DAY(B2)</f>
        <v>0.25162247661994852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4557</v>
      </c>
      <c r="H96" s="99">
        <f>G96+'9'!H96</f>
        <v>37374.87999999999</v>
      </c>
      <c r="I96" s="118"/>
      <c r="J96" s="175">
        <f>H96/DAY(B2)</f>
        <v>3737.4879999999989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0.22461553627760253</v>
      </c>
      <c r="H97" s="99">
        <f>G97+'9'!H97</f>
        <v>1.9215550785417519</v>
      </c>
      <c r="I97" s="167"/>
      <c r="J97" s="175">
        <f>H97/DAY(B2)</f>
        <v>0.19215550785417518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3035</v>
      </c>
      <c r="H98" s="99">
        <f>G98+'9'!H98</f>
        <v>28106.71</v>
      </c>
      <c r="I98" s="168"/>
      <c r="J98" s="175">
        <f>H98/DAY(B2)</f>
        <v>2810.6709999999998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0.14959582018927445</v>
      </c>
      <c r="H99" s="99">
        <f>G99+'9'!H99</f>
        <v>1.4449887230887071</v>
      </c>
      <c r="I99" s="168"/>
      <c r="J99" s="175">
        <f>H99/DAY(B2)</f>
        <v>0.14449887230887071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1955</v>
      </c>
      <c r="H100" s="99">
        <f>G100+'9'!H100</f>
        <v>18570.57</v>
      </c>
      <c r="I100" s="118"/>
      <c r="J100" s="175">
        <f>H100/DAY(B2)</f>
        <v>1857.057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9.6362381703470029E-2</v>
      </c>
      <c r="H101" s="99">
        <f>G101+'9'!H101</f>
        <v>0.95394817966798162</v>
      </c>
      <c r="I101" s="168"/>
      <c r="J101" s="175">
        <f>H101/DAY(B2)</f>
        <v>9.5394817966798162E-2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2228</v>
      </c>
      <c r="H102" s="99">
        <f>G102+'9'!H102</f>
        <v>20832.630000000005</v>
      </c>
      <c r="I102" s="168"/>
      <c r="J102" s="175">
        <f>H102/DAY(B2)</f>
        <v>2083.2630000000004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0.1098186119873817</v>
      </c>
      <c r="H103" s="99">
        <f>G103+'9'!H103</f>
        <v>1.0662487269285554</v>
      </c>
      <c r="I103" s="118"/>
      <c r="J103" s="175">
        <f>H103/DAY(B2)</f>
        <v>0.10662487269285555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1647</v>
      </c>
      <c r="H104" s="99">
        <f>G104+'9'!H104</f>
        <v>16149.910000000003</v>
      </c>
      <c r="I104" s="118"/>
      <c r="J104" s="175">
        <f>H104/DAY(B2)</f>
        <v>1614.9910000000004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8.118099369085173E-2</v>
      </c>
      <c r="H105" s="99">
        <f>G105+'9'!H105</f>
        <v>0.83138464980057492</v>
      </c>
      <c r="I105" s="187"/>
      <c r="J105" s="188">
        <f>H105/DAY(B2)</f>
        <v>8.3138464980057489E-2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'9'!F112</f>
        <v>58734</v>
      </c>
      <c r="F112" s="237">
        <v>58809</v>
      </c>
      <c r="G112" s="112">
        <f t="shared" ref="G112:G123" si="9">F112-E112</f>
        <v>75</v>
      </c>
      <c r="H112" s="99">
        <f>G112+'9'!H112</f>
        <v>755</v>
      </c>
      <c r="I112" s="165"/>
      <c r="J112" s="328">
        <f>H112/DAY(B2)</f>
        <v>75.5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'9'!F113</f>
        <v>50610</v>
      </c>
      <c r="F113" s="237">
        <v>51099</v>
      </c>
      <c r="G113" s="112">
        <f t="shared" si="9"/>
        <v>489</v>
      </c>
      <c r="H113" s="99">
        <f>G113+'9'!H113</f>
        <v>4698.1100000000006</v>
      </c>
      <c r="I113" s="165"/>
      <c r="J113" s="328">
        <f>H113/DAY(B2)</f>
        <v>469.81100000000004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'9'!F114</f>
        <v>35947</v>
      </c>
      <c r="F114" s="237">
        <v>36210</v>
      </c>
      <c r="G114" s="112">
        <f t="shared" si="9"/>
        <v>263</v>
      </c>
      <c r="H114" s="99">
        <f>G114+'9'!H114</f>
        <v>3050</v>
      </c>
      <c r="I114" s="165"/>
      <c r="J114" s="328">
        <f>H114/DAY(B2)</f>
        <v>305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'9'!F115</f>
        <v>9190</v>
      </c>
      <c r="F115" s="237">
        <v>9202</v>
      </c>
      <c r="G115" s="112">
        <f t="shared" si="9"/>
        <v>12</v>
      </c>
      <c r="H115" s="99">
        <f>G115+'9'!H115</f>
        <v>107.35000000000036</v>
      </c>
      <c r="I115" s="165"/>
      <c r="J115" s="328">
        <f>H115/DAY(B2)</f>
        <v>10.735000000000037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'9'!F116</f>
        <v>1223</v>
      </c>
      <c r="F116" s="237">
        <v>1551</v>
      </c>
      <c r="G116" s="112">
        <f t="shared" si="9"/>
        <v>328</v>
      </c>
      <c r="H116" s="99">
        <f>G116+'9'!H116</f>
        <v>1551</v>
      </c>
      <c r="I116" s="165"/>
      <c r="J116" s="328">
        <f>H116/DAY(B2)</f>
        <v>155.1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'9'!F117</f>
        <v>4263</v>
      </c>
      <c r="F117" s="237">
        <v>4377</v>
      </c>
      <c r="G117" s="112">
        <f t="shared" si="9"/>
        <v>114</v>
      </c>
      <c r="H117" s="99">
        <f>G117+'9'!H117</f>
        <v>1039.0500000000002</v>
      </c>
      <c r="I117" s="165"/>
      <c r="J117" s="328">
        <f>H117/DAY(B2)</f>
        <v>103.90500000000002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'9'!F118</f>
        <v>255533</v>
      </c>
      <c r="F118" s="237">
        <v>255945</v>
      </c>
      <c r="G118" s="112">
        <f t="shared" si="9"/>
        <v>412</v>
      </c>
      <c r="H118" s="99">
        <f>G118+'9'!H118</f>
        <v>3492.6900000000023</v>
      </c>
      <c r="I118" s="165"/>
      <c r="J118" s="328">
        <f>H118/DAY(B2)</f>
        <v>349.26900000000023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'9'!F119</f>
        <v>261847</v>
      </c>
      <c r="F119" s="237">
        <v>262266</v>
      </c>
      <c r="G119" s="112">
        <f t="shared" si="9"/>
        <v>419</v>
      </c>
      <c r="H119" s="99">
        <f>G119+'9'!H119</f>
        <v>4117.4500000000116</v>
      </c>
      <c r="I119" s="165"/>
      <c r="J119" s="328">
        <f>H119/DAY(B2)</f>
        <v>411.74500000000114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'9'!F120</f>
        <v>46745</v>
      </c>
      <c r="F120" s="237">
        <v>47190</v>
      </c>
      <c r="G120" s="112">
        <f t="shared" si="9"/>
        <v>445</v>
      </c>
      <c r="H120" s="99">
        <f>G120+'9'!H120</f>
        <v>4230.3899999999994</v>
      </c>
      <c r="I120" s="165"/>
      <c r="J120" s="328">
        <f>H120/DAY(B2)</f>
        <v>423.03899999999993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'9'!F121</f>
        <v>404573</v>
      </c>
      <c r="F121" s="237">
        <v>405308</v>
      </c>
      <c r="G121" s="112">
        <f t="shared" si="9"/>
        <v>735</v>
      </c>
      <c r="H121" s="99">
        <f>G121+'9'!H121</f>
        <v>7273.570000000007</v>
      </c>
      <c r="I121" s="165"/>
      <c r="J121" s="328">
        <f>H121/DAY(B2)</f>
        <v>727.35700000000065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'9'!F122</f>
        <v>128266</v>
      </c>
      <c r="F122" s="237">
        <v>128409</v>
      </c>
      <c r="G122" s="112">
        <f t="shared" si="9"/>
        <v>143</v>
      </c>
      <c r="H122" s="99">
        <f>G122+'9'!H122</f>
        <v>2222.820000000007</v>
      </c>
      <c r="I122" s="165"/>
      <c r="J122" s="328">
        <f>H122/DAY(B2)</f>
        <v>222.28200000000069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'9'!F123</f>
        <v>156337</v>
      </c>
      <c r="F123" s="237">
        <v>156591</v>
      </c>
      <c r="G123" s="112">
        <f t="shared" si="9"/>
        <v>254</v>
      </c>
      <c r="H123" s="99">
        <f>G123+'9'!H123</f>
        <v>2544.0499999999884</v>
      </c>
      <c r="I123" s="165"/>
      <c r="J123" s="328">
        <f>H123/DAY(B2)</f>
        <v>254.40499999999884</v>
      </c>
    </row>
    <row r="124" spans="1:18" ht="29.25" customHeight="1" x14ac:dyDescent="0.5">
      <c r="A124" s="911"/>
      <c r="B124" s="912"/>
      <c r="C124" s="913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3689</v>
      </c>
      <c r="H125" s="156"/>
      <c r="I125" s="327">
        <f>G125-(G39+G53)</f>
        <v>654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'9'!F128</f>
        <v>50522</v>
      </c>
      <c r="F128" s="155">
        <v>50880</v>
      </c>
      <c r="G128" s="112">
        <f t="shared" ref="G128:G134" si="10">F128-E128</f>
        <v>358</v>
      </c>
      <c r="H128" s="99">
        <f>G128+'9'!H128</f>
        <v>3134</v>
      </c>
      <c r="I128" s="165"/>
      <c r="J128" s="328">
        <f>H128/DAY(B2)</f>
        <v>313.39999999999998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28699</v>
      </c>
      <c r="F129" s="155">
        <v>28890</v>
      </c>
      <c r="G129" s="112">
        <f t="shared" si="10"/>
        <v>191</v>
      </c>
      <c r="H129" s="99">
        <f>G129+'9'!H129</f>
        <v>1979.130000000001</v>
      </c>
      <c r="I129" s="165"/>
      <c r="J129" s="328">
        <f>H129/DAY(B2)</f>
        <v>197.9130000000001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40844</v>
      </c>
      <c r="F130" s="155">
        <v>41497</v>
      </c>
      <c r="G130" s="112">
        <f t="shared" si="10"/>
        <v>653</v>
      </c>
      <c r="H130" s="99">
        <f>G130+'9'!H130</f>
        <v>5803</v>
      </c>
      <c r="I130" s="165"/>
      <c r="J130" s="328">
        <f>H130/DAY(B2)</f>
        <v>580.29999999999995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'9'!F131</f>
        <v>16070</v>
      </c>
      <c r="F131" s="155">
        <v>16210</v>
      </c>
      <c r="G131" s="112">
        <f t="shared" si="10"/>
        <v>140</v>
      </c>
      <c r="H131" s="99">
        <f>G131+'9'!H131</f>
        <v>902.31999999999971</v>
      </c>
      <c r="I131" s="165"/>
      <c r="J131" s="328">
        <f>H131/DAY(B2)</f>
        <v>90.231999999999971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'9'!F132</f>
        <v>54991</v>
      </c>
      <c r="F132" s="155">
        <v>55427</v>
      </c>
      <c r="G132" s="112">
        <f t="shared" si="10"/>
        <v>436</v>
      </c>
      <c r="H132" s="99">
        <f>G132+'9'!H132</f>
        <v>3578.6999999999971</v>
      </c>
      <c r="I132" s="165"/>
      <c r="J132" s="328">
        <f>H132/DAY(B2)</f>
        <v>357.86999999999972</v>
      </c>
    </row>
    <row r="133" spans="1:15" ht="27.75" x14ac:dyDescent="0.5">
      <c r="A133" s="886" t="s">
        <v>323</v>
      </c>
      <c r="B133" s="887"/>
      <c r="C133" s="888"/>
      <c r="D133" s="151" t="s">
        <v>183</v>
      </c>
      <c r="E133" s="95">
        <f>'9'!F133</f>
        <v>110958</v>
      </c>
      <c r="F133" s="155">
        <v>111480</v>
      </c>
      <c r="G133" s="112">
        <f t="shared" si="10"/>
        <v>522</v>
      </c>
      <c r="H133" s="99">
        <f>G133+'9'!H133</f>
        <v>6136.3000000000029</v>
      </c>
      <c r="I133" s="165"/>
      <c r="J133" s="328">
        <f>H133/DAY(B2)</f>
        <v>613.63000000000034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'9'!F134</f>
        <v>10365</v>
      </c>
      <c r="F134" s="551">
        <v>10524</v>
      </c>
      <c r="G134" s="112">
        <f t="shared" si="10"/>
        <v>159</v>
      </c>
      <c r="H134" s="99">
        <f>G134+'9'!H134</f>
        <v>1922.7700000000004</v>
      </c>
      <c r="I134" s="165"/>
      <c r="J134" s="328">
        <f>H134/DAY(B2)</f>
        <v>192.27700000000004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2459</v>
      </c>
      <c r="H135" s="99">
        <f>G135+'9'!H135</f>
        <v>23456.22</v>
      </c>
      <c r="I135" s="327">
        <f>G135-(G35+G49)</f>
        <v>-380</v>
      </c>
      <c r="J135" s="328">
        <f>H135/DAY(B2)</f>
        <v>2345.6220000000003</v>
      </c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'9'!F138</f>
        <v>866888</v>
      </c>
      <c r="F138" s="147">
        <v>866962</v>
      </c>
      <c r="G138" s="112">
        <f t="shared" ref="G138:G152" si="11">F138-E138</f>
        <v>74</v>
      </c>
      <c r="H138" s="99">
        <f>G138+'9'!H138</f>
        <v>789</v>
      </c>
      <c r="I138" s="118"/>
      <c r="J138" s="328">
        <f>H138/DAY(B2)</f>
        <v>78.900000000000006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'9'!F139</f>
        <v>886632</v>
      </c>
      <c r="F139" s="148">
        <v>886634</v>
      </c>
      <c r="G139" s="112">
        <f t="shared" si="11"/>
        <v>2</v>
      </c>
      <c r="H139" s="99">
        <f>G139+'9'!H139</f>
        <v>61</v>
      </c>
      <c r="I139" s="118"/>
      <c r="J139" s="328">
        <f>H139/DAY(B2)</f>
        <v>6.1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'9'!F140</f>
        <v>88941</v>
      </c>
      <c r="F140" s="149">
        <v>88942</v>
      </c>
      <c r="G140" s="112">
        <f t="shared" si="11"/>
        <v>1</v>
      </c>
      <c r="H140" s="99">
        <f>G140+'9'!H140</f>
        <v>20</v>
      </c>
      <c r="I140" s="118"/>
      <c r="J140" s="328">
        <f>H140/DAY(B2)</f>
        <v>2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'9'!F141</f>
        <v>56257</v>
      </c>
      <c r="F141" s="149">
        <v>56433</v>
      </c>
      <c r="G141" s="112">
        <f t="shared" si="11"/>
        <v>176</v>
      </c>
      <c r="H141" s="99">
        <f>G141+'9'!H141</f>
        <v>1747.4199999999983</v>
      </c>
      <c r="I141" s="118"/>
      <c r="J141" s="328">
        <f>H141/DAY(B2)</f>
        <v>174.74199999999982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'9'!F142</f>
        <v>21905</v>
      </c>
      <c r="F142" s="148">
        <v>21974</v>
      </c>
      <c r="G142" s="112">
        <f t="shared" si="11"/>
        <v>69</v>
      </c>
      <c r="H142" s="99">
        <f>G142+'9'!H142</f>
        <v>689.90000000000146</v>
      </c>
      <c r="I142" s="140"/>
      <c r="J142" s="328">
        <f>H142/DAY(B2)</f>
        <v>68.990000000000151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'9'!F143</f>
        <v>4084</v>
      </c>
      <c r="F143" s="149">
        <v>4114</v>
      </c>
      <c r="G143" s="112">
        <f t="shared" si="11"/>
        <v>30</v>
      </c>
      <c r="H143" s="99">
        <f>G143+'9'!H143</f>
        <v>278.61000000000013</v>
      </c>
      <c r="I143" s="140"/>
      <c r="J143" s="328">
        <f>H143/DAY(B2)</f>
        <v>27.861000000000011</v>
      </c>
      <c r="O143" s="148">
        <v>582206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'9'!F144</f>
        <v>878378</v>
      </c>
      <c r="F144" s="149">
        <v>878602</v>
      </c>
      <c r="G144" s="112">
        <f t="shared" si="11"/>
        <v>224</v>
      </c>
      <c r="H144" s="99">
        <f>G144+'9'!H144</f>
        <v>2115</v>
      </c>
      <c r="I144" s="140"/>
      <c r="J144" s="328">
        <f>H144/DAY(B2)</f>
        <v>211.5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'9'!F145</f>
        <v>5071</v>
      </c>
      <c r="F145" s="149">
        <v>5087</v>
      </c>
      <c r="G145" s="112">
        <f t="shared" si="11"/>
        <v>16</v>
      </c>
      <c r="H145" s="99">
        <f>G145+'9'!H145</f>
        <v>128.15999999999985</v>
      </c>
      <c r="I145" s="140"/>
      <c r="J145" s="328">
        <f>H145/DAY(B2)</f>
        <v>12.815999999999985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'9'!F146</f>
        <v>741100</v>
      </c>
      <c r="F146" s="148">
        <v>741510</v>
      </c>
      <c r="G146" s="112">
        <f t="shared" si="11"/>
        <v>410</v>
      </c>
      <c r="H146" s="99">
        <f>G146+'9'!H146</f>
        <v>4177</v>
      </c>
      <c r="I146" s="140"/>
      <c r="J146" s="328">
        <f>H146/DAY(B2)</f>
        <v>417.7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'9'!F147</f>
        <v>630189</v>
      </c>
      <c r="F147" s="148">
        <v>630587</v>
      </c>
      <c r="G147" s="112">
        <f t="shared" si="11"/>
        <v>398</v>
      </c>
      <c r="H147" s="99">
        <f>G147+'9'!H147</f>
        <v>3974.4799999999814</v>
      </c>
      <c r="I147" s="140"/>
      <c r="J147" s="328">
        <f>H147/DAY(B2)</f>
        <v>397.44799999999816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'9'!F148</f>
        <v>692072</v>
      </c>
      <c r="F148" s="150">
        <v>692358</v>
      </c>
      <c r="G148" s="112">
        <f t="shared" si="11"/>
        <v>286</v>
      </c>
      <c r="H148" s="99">
        <f>G148+'9'!H148</f>
        <v>2915.0400000000373</v>
      </c>
      <c r="I148" s="124"/>
      <c r="J148" s="328">
        <f>H148/DAY(B2)</f>
        <v>291.50400000000371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'9'!F149</f>
        <v>29435</v>
      </c>
      <c r="F149" s="146">
        <v>30087</v>
      </c>
      <c r="G149" s="112">
        <f t="shared" si="11"/>
        <v>652</v>
      </c>
      <c r="H149" s="99">
        <f>G149+'9'!H149</f>
        <v>5408.7999999999993</v>
      </c>
      <c r="I149" s="119"/>
      <c r="J149" s="328">
        <f>H149/DAY(B2)</f>
        <v>540.87999999999988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'9'!F150</f>
        <v>12888</v>
      </c>
      <c r="F150" s="233">
        <v>13102</v>
      </c>
      <c r="G150" s="112">
        <f t="shared" si="11"/>
        <v>214</v>
      </c>
      <c r="H150" s="99">
        <f>G150+'9'!H150</f>
        <v>2251.17</v>
      </c>
      <c r="I150" s="119"/>
      <c r="J150" s="328">
        <f>H150/DAY(B2)</f>
        <v>225.11700000000002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'9'!F151</f>
        <v>87671</v>
      </c>
      <c r="F151" s="233">
        <v>87897</v>
      </c>
      <c r="G151" s="112">
        <f t="shared" si="11"/>
        <v>226</v>
      </c>
      <c r="H151" s="99">
        <f>G151+'9'!H151</f>
        <v>2417</v>
      </c>
      <c r="I151" s="119"/>
      <c r="J151" s="328">
        <f>H151/DAY(B2)</f>
        <v>241.7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'9'!F152</f>
        <v>2120</v>
      </c>
      <c r="F152" s="233">
        <v>2180</v>
      </c>
      <c r="G152" s="112">
        <f t="shared" si="11"/>
        <v>60</v>
      </c>
      <c r="H152" s="99">
        <f>G152+'9'!H152</f>
        <v>520</v>
      </c>
      <c r="I152" s="119"/>
      <c r="J152" s="328">
        <f>H152/DAY(B2)</f>
        <v>52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2838</v>
      </c>
      <c r="H153" s="363"/>
      <c r="I153" s="119">
        <f>G153-(G38+G52)</f>
        <v>883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'9'!F155</f>
        <v>38549</v>
      </c>
      <c r="F155" s="374">
        <v>39240</v>
      </c>
      <c r="G155" s="112">
        <f t="shared" ref="G155:G156" si="12">F155-E155</f>
        <v>691</v>
      </c>
      <c r="H155" s="99">
        <f>G155+'9'!H155</f>
        <v>6295</v>
      </c>
      <c r="I155" s="364"/>
      <c r="J155" s="328">
        <f>H155/DAY(B2)</f>
        <v>629.5</v>
      </c>
    </row>
    <row r="156" spans="1:10" ht="27.75" x14ac:dyDescent="0.5">
      <c r="A156" s="885" t="s">
        <v>346</v>
      </c>
      <c r="B156" s="885"/>
      <c r="C156" s="885"/>
      <c r="D156" s="117" t="s">
        <v>130</v>
      </c>
      <c r="E156" s="95">
        <f>'9'!F156</f>
        <v>3199</v>
      </c>
      <c r="F156" s="155">
        <v>3245</v>
      </c>
      <c r="G156" s="112">
        <f t="shared" si="12"/>
        <v>46</v>
      </c>
      <c r="H156" s="99">
        <f>G156+'9'!H156</f>
        <v>457</v>
      </c>
      <c r="I156" s="165"/>
      <c r="J156" s="328">
        <f>H156/DAY(B2)</f>
        <v>45.7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472455</v>
      </c>
      <c r="F161" s="235">
        <v>472470</v>
      </c>
      <c r="G161" s="238">
        <f t="shared" ref="G161:G165" si="13">F161-E161</f>
        <v>15</v>
      </c>
      <c r="H161" s="99">
        <f>G161+'9'!H161</f>
        <v>416.44000000000233</v>
      </c>
      <c r="I161" s="236"/>
      <c r="J161" s="239">
        <f>H161/DAY(B2)</f>
        <v>41.644000000000233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88842</v>
      </c>
      <c r="F162" s="235">
        <v>88884</v>
      </c>
      <c r="G162" s="238">
        <f t="shared" si="13"/>
        <v>42</v>
      </c>
      <c r="H162" s="99">
        <f>G162+'9'!H162</f>
        <v>367.60000000000582</v>
      </c>
      <c r="I162" s="236"/>
      <c r="J162" s="239">
        <f>H162/DAY(B2)</f>
        <v>36.760000000000581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79570</v>
      </c>
      <c r="F163" s="235">
        <v>79662</v>
      </c>
      <c r="G163" s="238">
        <f t="shared" si="13"/>
        <v>92</v>
      </c>
      <c r="H163" s="99">
        <f>G163+'9'!H163</f>
        <v>441.89999999999418</v>
      </c>
      <c r="I163" s="236"/>
      <c r="J163" s="239">
        <f>H163/DAY(B2)</f>
        <v>44.189999999999415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4329</v>
      </c>
      <c r="F164" s="235">
        <v>4330</v>
      </c>
      <c r="G164" s="238">
        <f t="shared" si="13"/>
        <v>1</v>
      </c>
      <c r="H164" s="99">
        <f>G164+'9'!H164</f>
        <v>10</v>
      </c>
      <c r="I164" s="236"/>
      <c r="J164" s="239">
        <f>H164/DAY(B2)</f>
        <v>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29935</v>
      </c>
      <c r="F165" s="235">
        <v>29949</v>
      </c>
      <c r="G165" s="238">
        <f t="shared" si="13"/>
        <v>14</v>
      </c>
      <c r="H165" s="99">
        <f>G165+'9'!H165</f>
        <v>91.75</v>
      </c>
      <c r="I165" s="236"/>
      <c r="J165" s="239">
        <f>H165/DAY(B2)</f>
        <v>9.1750000000000007</v>
      </c>
    </row>
    <row r="166" spans="1:10" ht="29.25" x14ac:dyDescent="0.5">
      <c r="A166" s="917"/>
      <c r="B166" s="917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'9'!F173</f>
        <v>8131</v>
      </c>
      <c r="F173" s="155">
        <v>8132</v>
      </c>
      <c r="G173" s="155">
        <f>F173-E173</f>
        <v>1</v>
      </c>
      <c r="H173" s="99">
        <f>G173+'9'!H173</f>
        <v>6</v>
      </c>
      <c r="I173" s="155"/>
      <c r="J173" s="178">
        <f>H173/DAY(B2)</f>
        <v>0.6</v>
      </c>
    </row>
    <row r="174" spans="1:10" ht="34.5" customHeight="1" x14ac:dyDescent="0.5">
      <c r="A174" s="875" t="s">
        <v>75</v>
      </c>
      <c r="B174" s="876"/>
      <c r="C174" s="333"/>
      <c r="D174" s="228" t="s">
        <v>142</v>
      </c>
      <c r="E174" s="95">
        <f>'9'!F174</f>
        <v>38735</v>
      </c>
      <c r="F174" s="157">
        <v>38749</v>
      </c>
      <c r="G174" s="155">
        <f t="shared" ref="G174:G175" si="14">F174-E174</f>
        <v>14</v>
      </c>
      <c r="H174" s="99">
        <f>G174+'9'!H174</f>
        <v>134</v>
      </c>
      <c r="I174" s="155"/>
      <c r="J174" s="178">
        <f>H174/DAY(B2)</f>
        <v>13.4</v>
      </c>
    </row>
    <row r="175" spans="1:10" ht="31.5" customHeight="1" x14ac:dyDescent="0.5">
      <c r="A175" s="875" t="s">
        <v>76</v>
      </c>
      <c r="B175" s="880"/>
      <c r="C175" s="876"/>
      <c r="D175" s="228" t="s">
        <v>142</v>
      </c>
      <c r="E175" s="95">
        <f>'9'!F175</f>
        <v>21907</v>
      </c>
      <c r="F175" s="155">
        <v>21919</v>
      </c>
      <c r="G175" s="155">
        <f t="shared" si="14"/>
        <v>12</v>
      </c>
      <c r="H175" s="99">
        <f>G175+'9'!H175</f>
        <v>106</v>
      </c>
      <c r="I175" s="155"/>
      <c r="J175" s="178">
        <f>H175/DAY(B2)</f>
        <v>10.6</v>
      </c>
    </row>
    <row r="176" spans="1:10" ht="21.75" customHeight="1" x14ac:dyDescent="0.5">
      <c r="A176" s="914" t="s">
        <v>196</v>
      </c>
      <c r="B176" s="915"/>
      <c r="C176" s="333"/>
      <c r="D176" s="228"/>
      <c r="E176" s="95"/>
      <c r="F176" s="155"/>
      <c r="G176" s="155">
        <f>SUM(G173:G175)</f>
        <v>27</v>
      </c>
      <c r="H176" s="99">
        <f>G176+'9'!H176</f>
        <v>246</v>
      </c>
      <c r="I176" s="155"/>
      <c r="J176" s="178">
        <f>H176/DAY(B2)</f>
        <v>24.6</v>
      </c>
    </row>
    <row r="177" spans="1:10" ht="27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75" t="s">
        <v>210</v>
      </c>
      <c r="B178" s="876"/>
      <c r="C178" s="333"/>
      <c r="D178" s="228" t="s">
        <v>142</v>
      </c>
      <c r="E178" s="95">
        <f>'9'!F178</f>
        <v>81801</v>
      </c>
      <c r="F178" s="155">
        <v>81848</v>
      </c>
      <c r="G178" s="155">
        <f>F178-E178</f>
        <v>47</v>
      </c>
      <c r="H178" s="99">
        <f>G178+'9'!H178</f>
        <v>533</v>
      </c>
      <c r="I178" s="155"/>
      <c r="J178" s="178">
        <f>H178/DAY(B2)</f>
        <v>53.3</v>
      </c>
    </row>
    <row r="179" spans="1:10" ht="27.75" customHeight="1" x14ac:dyDescent="0.5">
      <c r="A179" s="875" t="s">
        <v>211</v>
      </c>
      <c r="B179" s="876"/>
      <c r="C179" s="333"/>
      <c r="D179" s="228" t="s">
        <v>142</v>
      </c>
      <c r="E179" s="95">
        <f>'9'!F179</f>
        <v>35133</v>
      </c>
      <c r="F179" s="155">
        <v>35133</v>
      </c>
      <c r="G179" s="155">
        <f t="shared" ref="G179:G180" si="15">F179-E179</f>
        <v>0</v>
      </c>
      <c r="H179" s="99">
        <f>G179+'9'!H179</f>
        <v>330</v>
      </c>
      <c r="I179" s="155"/>
      <c r="J179" s="178">
        <f>H179/DAY(B2)</f>
        <v>33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'9'!F180</f>
        <v>5770</v>
      </c>
      <c r="F180" s="155">
        <v>5770</v>
      </c>
      <c r="G180" s="155">
        <f t="shared" si="15"/>
        <v>0</v>
      </c>
      <c r="H180" s="99">
        <f>G180+'9'!H180</f>
        <v>68</v>
      </c>
      <c r="I180" s="155"/>
      <c r="J180" s="178">
        <f>H180/DAY(B2)</f>
        <v>6.8</v>
      </c>
    </row>
    <row r="181" spans="1:10" ht="27.75" x14ac:dyDescent="0.5">
      <c r="A181" s="919" t="s">
        <v>108</v>
      </c>
      <c r="B181" s="920"/>
      <c r="C181" s="333"/>
      <c r="D181" s="228"/>
      <c r="E181" s="95"/>
      <c r="F181" s="155"/>
      <c r="G181" s="155">
        <f>SUM(G178:G180)</f>
        <v>47</v>
      </c>
      <c r="H181" s="99">
        <f>G181+'9'!H181</f>
        <v>931</v>
      </c>
      <c r="I181" s="155"/>
      <c r="J181" s="178">
        <f>H181/DAY(B2)</f>
        <v>93.1</v>
      </c>
    </row>
    <row r="182" spans="1:10" ht="27.75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'9'!F183</f>
        <v>15462</v>
      </c>
      <c r="F183" s="157">
        <v>15484</v>
      </c>
      <c r="G183" s="157">
        <f>F183-E183</f>
        <v>22</v>
      </c>
      <c r="H183" s="99">
        <f>G183+'9'!H183</f>
        <v>139</v>
      </c>
      <c r="I183" s="155"/>
      <c r="J183" s="178">
        <f>H183/DAY(B2)</f>
        <v>13.9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'9'!F184</f>
        <v>10647</v>
      </c>
      <c r="F184" s="157">
        <v>10651</v>
      </c>
      <c r="G184" s="157">
        <f t="shared" ref="G184:G185" si="16">F184-E184</f>
        <v>4</v>
      </c>
      <c r="H184" s="99">
        <f>G184+'9'!H184</f>
        <v>133</v>
      </c>
      <c r="I184" s="155"/>
      <c r="J184" s="178">
        <f>H184/DAY(B2)</f>
        <v>13.3</v>
      </c>
    </row>
    <row r="185" spans="1:10" ht="37.5" customHeight="1" x14ac:dyDescent="0.5">
      <c r="A185" s="875" t="s">
        <v>216</v>
      </c>
      <c r="B185" s="876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14" t="s">
        <v>196</v>
      </c>
      <c r="B186" s="915"/>
      <c r="C186" s="334"/>
      <c r="D186" s="229"/>
      <c r="E186" s="95"/>
      <c r="F186" s="157"/>
      <c r="G186" s="157">
        <f>SUM(G183:G185)</f>
        <v>26</v>
      </c>
      <c r="H186" s="99">
        <f>G186+'9'!H186</f>
        <v>272</v>
      </c>
      <c r="I186" s="157"/>
      <c r="J186" s="178">
        <f>H186/DAY(B2)</f>
        <v>27.2</v>
      </c>
    </row>
    <row r="187" spans="1:10" ht="21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550">
        <f>G62+G19</f>
        <v>227</v>
      </c>
      <c r="H187" s="99">
        <f>G187+'9'!H187</f>
        <v>1730</v>
      </c>
      <c r="I187" s="158"/>
      <c r="J187" s="179">
        <f>H187/DAY(B2)</f>
        <v>173</v>
      </c>
    </row>
    <row r="188" spans="1:10" ht="21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550">
        <f>G65+G66+G67+G69+G70</f>
        <v>216</v>
      </c>
      <c r="H188" s="99">
        <f>G188+'9'!H188</f>
        <v>1735</v>
      </c>
      <c r="I188" s="158"/>
      <c r="J188" s="179">
        <f>H188/DAY(B2)</f>
        <v>173.5</v>
      </c>
    </row>
    <row r="189" spans="1:10" ht="21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530">
        <f>G181</f>
        <v>47</v>
      </c>
      <c r="H189" s="99">
        <f>G189+'9'!H189</f>
        <v>931</v>
      </c>
      <c r="I189" s="158"/>
      <c r="J189" s="179">
        <f>H189/DAY(B2)</f>
        <v>93.1</v>
      </c>
    </row>
    <row r="190" spans="1:10" ht="27" customHeight="1" x14ac:dyDescent="0.5">
      <c r="A190" s="846"/>
      <c r="B190" s="847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41" zoomScale="55" zoomScaleNormal="55" workbookViewId="0">
      <selection activeCell="F174" sqref="F17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30.75" customHeight="1" x14ac:dyDescent="0.5">
      <c r="A2" s="191" t="s">
        <v>357</v>
      </c>
      <c r="B2" s="262">
        <v>44603</v>
      </c>
      <c r="C2" s="348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26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845927</v>
      </c>
      <c r="F7" s="95">
        <v>866845</v>
      </c>
      <c r="G7" s="112">
        <f>F7-E7</f>
        <v>20918</v>
      </c>
      <c r="H7" s="99">
        <f>G7+'10'!H7</f>
        <v>215664.77000000002</v>
      </c>
      <c r="I7" s="113">
        <f>'1'!I7</f>
        <v>12000</v>
      </c>
      <c r="J7" s="175">
        <f>H7/DAY(B2)</f>
        <v>19605.888181818184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904894</v>
      </c>
      <c r="F8" s="95">
        <v>925914</v>
      </c>
      <c r="G8" s="115">
        <f>F8-E8</f>
        <v>21020</v>
      </c>
      <c r="H8" s="99">
        <f>G8+'10'!H8</f>
        <v>217365.84999999998</v>
      </c>
      <c r="I8" s="116"/>
      <c r="J8" s="175">
        <f>H8/DAY(B2)</f>
        <v>19760.531818181815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425272</v>
      </c>
      <c r="F9" s="598">
        <v>442898</v>
      </c>
      <c r="G9" s="112">
        <f>F9-E9</f>
        <v>17626</v>
      </c>
      <c r="H9" s="99">
        <f>G9+'10'!H9</f>
        <v>160644.15000000002</v>
      </c>
      <c r="I9" s="124">
        <f>I7-J7</f>
        <v>-7605.8881818181835</v>
      </c>
      <c r="J9" s="175">
        <f>H9/DAY(B2)</f>
        <v>14604.013636363639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151529</v>
      </c>
      <c r="F10" s="353">
        <v>154225</v>
      </c>
      <c r="G10" s="112">
        <f t="shared" ref="G10:G12" si="0">F10-E10</f>
        <v>2696</v>
      </c>
      <c r="H10" s="99">
        <f>G10+'10'!H10</f>
        <v>48966.03</v>
      </c>
      <c r="I10" s="282"/>
      <c r="J10" s="175">
        <f>H10/DAY(B2)</f>
        <v>4451.4572727272725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37170</v>
      </c>
      <c r="F11" s="95">
        <v>37170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20322</v>
      </c>
      <c r="H13" s="99">
        <f>G13+'10'!H13</f>
        <v>192855.75</v>
      </c>
      <c r="I13" s="120">
        <f>G7-G13</f>
        <v>596</v>
      </c>
      <c r="J13" s="175">
        <f>H13/DAY(B2)</f>
        <v>17532.340909090908</v>
      </c>
      <c r="K13" s="79"/>
      <c r="L13" s="66"/>
      <c r="N13" s="87"/>
      <c r="O13" s="71"/>
    </row>
    <row r="14" spans="1:15" ht="30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1916951</v>
      </c>
      <c r="F15" s="598">
        <v>1918069</v>
      </c>
      <c r="G15" s="112">
        <f>(F15-E15)</f>
        <v>1118</v>
      </c>
      <c r="H15" s="99">
        <f>G15+'10'!H15</f>
        <v>11432.233000000007</v>
      </c>
      <c r="I15" s="113">
        <f>'1'!I15</f>
        <v>800</v>
      </c>
      <c r="J15" s="175">
        <f>H15/DAY(B2)</f>
        <v>1039.2939090909097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-239.29390909090966</v>
      </c>
      <c r="J16" s="176"/>
      <c r="K16" s="79"/>
      <c r="L16" s="66"/>
      <c r="N16" s="87"/>
      <c r="O16" s="71"/>
    </row>
    <row r="17" spans="1:15" ht="30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3" t="s">
        <v>141</v>
      </c>
      <c r="B18" s="854"/>
      <c r="C18" s="855"/>
      <c r="D18" s="151" t="s">
        <v>142</v>
      </c>
      <c r="E18" s="95">
        <f>'10'!F18</f>
        <v>26</v>
      </c>
      <c r="F18" s="122">
        <v>26</v>
      </c>
      <c r="G18" s="119">
        <f>F18*10</f>
        <v>260</v>
      </c>
      <c r="H18" s="99">
        <f>G18+'10'!H18</f>
        <v>2270</v>
      </c>
      <c r="I18" s="113">
        <f>'1'!I18</f>
        <v>65</v>
      </c>
      <c r="J18" s="175">
        <f>H18/DAY(B2)</f>
        <v>206.36363636363637</v>
      </c>
      <c r="K18" s="79"/>
      <c r="L18" s="66"/>
      <c r="N18" s="87"/>
      <c r="O18" s="71"/>
    </row>
    <row r="19" spans="1:15" ht="30.75" customHeight="1" x14ac:dyDescent="0.5">
      <c r="A19" s="853" t="s">
        <v>69</v>
      </c>
      <c r="B19" s="854"/>
      <c r="C19" s="855"/>
      <c r="D19" s="151" t="s">
        <v>142</v>
      </c>
      <c r="E19" s="95">
        <f>'10'!F19</f>
        <v>154409</v>
      </c>
      <c r="F19" s="122">
        <v>154465</v>
      </c>
      <c r="G19" s="112">
        <f t="shared" ref="G19" si="1">F19-E19</f>
        <v>56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G20+'10'!H20</f>
        <v>2844</v>
      </c>
      <c r="I20" s="336">
        <f>I18-J20</f>
        <v>-193.54545454545456</v>
      </c>
      <c r="J20" s="175">
        <f>H20/DAY(B2)</f>
        <v>258.54545454545456</v>
      </c>
      <c r="K20" s="79"/>
      <c r="L20" s="66"/>
      <c r="N20" s="87"/>
      <c r="O20" s="71"/>
    </row>
    <row r="21" spans="1:15" ht="30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21020</v>
      </c>
      <c r="F27" s="136">
        <v>9</v>
      </c>
      <c r="G27" s="137">
        <f>E27*F27</f>
        <v>189180</v>
      </c>
      <c r="H27" s="99">
        <f>G27+'10'!H27</f>
        <v>1956292.65</v>
      </c>
      <c r="I27" s="138"/>
      <c r="J27" s="175">
        <f>H27/DAY(B2)</f>
        <v>177844.78636363635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1118</v>
      </c>
      <c r="F28" s="136">
        <v>52</v>
      </c>
      <c r="G28" s="137">
        <f>E28*F28</f>
        <v>58136</v>
      </c>
      <c r="H28" s="99">
        <f>G28+'10'!H28</f>
        <v>594476.11600000039</v>
      </c>
      <c r="I28" s="140"/>
      <c r="J28" s="175">
        <f>H28/DAY(B2)</f>
        <v>54043.283272727305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181600</v>
      </c>
      <c r="I31" s="140"/>
      <c r="J31" s="175">
        <f>H31/DAY(B2)</f>
        <v>16509.090909090908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276292</v>
      </c>
      <c r="H32" s="99">
        <f>G32+'10'!H32</f>
        <v>2816172.7660000003</v>
      </c>
      <c r="I32" s="144"/>
      <c r="J32" s="175">
        <f>H32/DAY(B2)</f>
        <v>256015.70600000003</v>
      </c>
      <c r="K32" s="63"/>
      <c r="L32" s="89"/>
      <c r="N32" s="87"/>
      <c r="O32" s="71"/>
    </row>
    <row r="33" spans="1:15" ht="30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47001</v>
      </c>
      <c r="F35" s="145">
        <v>48436</v>
      </c>
      <c r="G35" s="112">
        <f t="shared" ref="G35:G46" si="3">F35-E35</f>
        <v>1435</v>
      </c>
      <c r="H35" s="99">
        <f>G35+'10'!H35</f>
        <v>16431.02</v>
      </c>
      <c r="I35" s="95"/>
      <c r="J35" s="175">
        <f>H35/DAY(B2)</f>
        <v>1493.7290909090909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52537</v>
      </c>
      <c r="F36" s="145">
        <v>53614</v>
      </c>
      <c r="G36" s="112">
        <f t="shared" si="3"/>
        <v>1077</v>
      </c>
      <c r="H36" s="99">
        <f>G36+'10'!H36</f>
        <v>10155.260000000002</v>
      </c>
      <c r="I36" s="95"/>
      <c r="J36" s="175">
        <f>H36/DAY(B2)</f>
        <v>923.2054545454547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51575</v>
      </c>
      <c r="F37" s="145">
        <v>53259</v>
      </c>
      <c r="G37" s="112">
        <f t="shared" si="3"/>
        <v>1684</v>
      </c>
      <c r="H37" s="99">
        <f>G37+'10'!H37</f>
        <v>17833.910000000003</v>
      </c>
      <c r="I37" s="95"/>
      <c r="J37" s="175">
        <f>H37/DAY(B2)</f>
        <v>1621.2645454545457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56947</v>
      </c>
      <c r="F38" s="108">
        <v>59023</v>
      </c>
      <c r="G38" s="112">
        <f t="shared" si="3"/>
        <v>2076</v>
      </c>
      <c r="H38" s="99">
        <f>G38+'10'!H38</f>
        <v>20646.57</v>
      </c>
      <c r="I38" s="95"/>
      <c r="J38" s="175">
        <f>H38/DAY(B2)</f>
        <v>1876.9609090909091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87280</v>
      </c>
      <c r="F39" s="145">
        <v>90428</v>
      </c>
      <c r="G39" s="112">
        <f t="shared" si="3"/>
        <v>3148</v>
      </c>
      <c r="H39" s="99">
        <f>G39+'10'!H39</f>
        <v>31254.71</v>
      </c>
      <c r="I39" s="95"/>
      <c r="J39" s="175">
        <f>H39/DAY(B2)</f>
        <v>2841.3372727272726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24852</v>
      </c>
      <c r="F40" s="145">
        <v>25009</v>
      </c>
      <c r="G40" s="112">
        <f t="shared" si="3"/>
        <v>157</v>
      </c>
      <c r="H40" s="99">
        <f>G40+'10'!H40</f>
        <v>2892.0099999999975</v>
      </c>
      <c r="I40" s="95"/>
      <c r="J40" s="175">
        <f>H40/DAY(B2)</f>
        <v>262.9099999999998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0.27000000000000313</v>
      </c>
      <c r="I41" s="95"/>
      <c r="J41" s="175">
        <f>H41/DAY(B2)</f>
        <v>2.4545454545454828E-2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121603</v>
      </c>
      <c r="F42" s="145">
        <v>126339</v>
      </c>
      <c r="G42" s="112">
        <f t="shared" si="3"/>
        <v>4736</v>
      </c>
      <c r="H42" s="99">
        <f>G42+'10'!H42</f>
        <v>26209.259999999995</v>
      </c>
      <c r="I42" s="95"/>
      <c r="J42" s="175">
        <f>H42/DAY(B2)</f>
        <v>2382.6599999999994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136275</v>
      </c>
      <c r="F43" s="376">
        <v>138387</v>
      </c>
      <c r="G43" s="112">
        <f t="shared" si="3"/>
        <v>2112</v>
      </c>
      <c r="H43" s="99">
        <f>G43+'10'!H43</f>
        <v>23535.399999999994</v>
      </c>
      <c r="I43" s="95"/>
      <c r="J43" s="175">
        <f>H43/DAY(B2)</f>
        <v>2139.5818181818177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16425</v>
      </c>
      <c r="H47" s="99">
        <f>G47+'10'!H47</f>
        <v>148958.41</v>
      </c>
      <c r="I47" s="95"/>
      <c r="J47" s="175">
        <f>H47/DAY(B2)</f>
        <v>13541.673636363637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37581</v>
      </c>
      <c r="F49" s="145">
        <v>38922</v>
      </c>
      <c r="G49" s="112">
        <f t="shared" ref="G49:G58" si="4">F49-E49</f>
        <v>1341</v>
      </c>
      <c r="H49" s="99">
        <f>G49+'10'!H49</f>
        <v>13925.810000000001</v>
      </c>
      <c r="I49" s="95"/>
      <c r="J49" s="175">
        <f>H49/DAY(B2)</f>
        <v>1265.9827272727273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68141</v>
      </c>
      <c r="F50" s="145">
        <v>69423</v>
      </c>
      <c r="G50" s="112">
        <f t="shared" si="4"/>
        <v>1282</v>
      </c>
      <c r="H50" s="99">
        <f>G50+'10'!H50</f>
        <v>13036.370000000003</v>
      </c>
      <c r="I50" s="95"/>
      <c r="J50" s="175">
        <f>H50/DAY(B2)</f>
        <v>1185.1245454545458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9606</v>
      </c>
      <c r="F54" s="145">
        <v>10146</v>
      </c>
      <c r="G54" s="112">
        <f t="shared" si="4"/>
        <v>540</v>
      </c>
      <c r="H54" s="99">
        <f>G54+'10'!H54</f>
        <v>4998.58</v>
      </c>
      <c r="I54" s="95"/>
      <c r="J54" s="175">
        <f>H54/DAY(B2)</f>
        <v>454.41636363636366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90154</v>
      </c>
      <c r="F55" s="145">
        <v>90154</v>
      </c>
      <c r="G55" s="112">
        <f t="shared" si="4"/>
        <v>0</v>
      </c>
      <c r="H55" s="99">
        <f>G55+'10'!H55</f>
        <v>15787.89</v>
      </c>
      <c r="I55" s="95"/>
      <c r="J55" s="175">
        <f>H55/DAY(B2)</f>
        <v>1435.2627272727273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8724</v>
      </c>
      <c r="F56" s="376">
        <v>8724</v>
      </c>
      <c r="G56" s="112">
        <f t="shared" si="4"/>
        <v>0</v>
      </c>
      <c r="H56" s="99">
        <f>G56+'10'!H56</f>
        <v>113.45999999999913</v>
      </c>
      <c r="I56" s="95"/>
      <c r="J56" s="175">
        <f>H56/DAY(B2)</f>
        <v>10.314545454545375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6936</v>
      </c>
      <c r="F58" s="145">
        <v>7138</v>
      </c>
      <c r="G58" s="112">
        <f t="shared" si="4"/>
        <v>202</v>
      </c>
      <c r="H58" s="99">
        <f>G58+'10'!H58</f>
        <v>2341.79</v>
      </c>
      <c r="I58" s="95"/>
      <c r="J58" s="175">
        <f>H58/DAY(B2)</f>
        <v>212.89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3365</v>
      </c>
      <c r="H59" s="99">
        <f>G59+'10'!H59</f>
        <v>50203.9</v>
      </c>
      <c r="I59" s="95">
        <f>G7-G60</f>
        <v>1128</v>
      </c>
      <c r="J59" s="175">
        <f>H59/DAY(B2)</f>
        <v>4563.9909090909096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19790</v>
      </c>
      <c r="H60" s="99">
        <f>G60+'10'!H60</f>
        <v>199162.31</v>
      </c>
      <c r="I60" s="95">
        <f>G13-G60</f>
        <v>532</v>
      </c>
      <c r="J60" s="175">
        <f>H60/DAY(B2)</f>
        <v>18105.664545454547</v>
      </c>
      <c r="K60" s="79"/>
      <c r="L60" s="66"/>
      <c r="N60" s="87"/>
      <c r="O60" s="71"/>
    </row>
    <row r="61" spans="1:15" s="68" customFormat="1" ht="30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3" t="s">
        <v>198</v>
      </c>
      <c r="B62" s="854"/>
      <c r="C62" s="855"/>
      <c r="D62" s="151" t="s">
        <v>142</v>
      </c>
      <c r="E62" s="95">
        <f>'10'!F62</f>
        <v>270728</v>
      </c>
      <c r="F62" s="122">
        <v>270909</v>
      </c>
      <c r="G62" s="112">
        <f t="shared" ref="G62:G63" si="5">F62-E62</f>
        <v>181</v>
      </c>
      <c r="H62" s="99">
        <f>G62+'10'!H62</f>
        <v>1393</v>
      </c>
      <c r="I62" s="118"/>
      <c r="J62" s="175">
        <f>H62/DAY(B2)</f>
        <v>126.63636363636364</v>
      </c>
      <c r="K62" s="80"/>
      <c r="L62" s="66"/>
      <c r="N62" s="87"/>
      <c r="O62" s="71"/>
    </row>
    <row r="63" spans="1:15" ht="30.75" customHeight="1" x14ac:dyDescent="0.5">
      <c r="A63" s="853" t="s">
        <v>199</v>
      </c>
      <c r="B63" s="854"/>
      <c r="C63" s="855"/>
      <c r="D63" s="151" t="s">
        <v>142</v>
      </c>
      <c r="E63" s="95">
        <f>'10'!F63</f>
        <v>217062</v>
      </c>
      <c r="F63" s="150">
        <v>217198</v>
      </c>
      <c r="G63" s="112">
        <f t="shared" si="5"/>
        <v>136</v>
      </c>
      <c r="H63" s="99">
        <f>G63+'10'!H63</f>
        <v>1401</v>
      </c>
      <c r="I63" s="118"/>
      <c r="J63" s="175">
        <f>H63/DAY(B2)</f>
        <v>127.36363636363636</v>
      </c>
      <c r="K63" s="69"/>
      <c r="L63" s="66"/>
      <c r="N63" s="87"/>
      <c r="O63" s="71"/>
    </row>
    <row r="64" spans="1:15" ht="30.75" customHeight="1" x14ac:dyDescent="0.5">
      <c r="A64" s="850" t="s">
        <v>200</v>
      </c>
      <c r="B64" s="851"/>
      <c r="C64" s="852"/>
      <c r="D64" s="151"/>
      <c r="E64" s="95">
        <f>'10'!F64</f>
        <v>0</v>
      </c>
      <c r="F64" s="122"/>
      <c r="G64" s="112">
        <f>G62+G63</f>
        <v>317</v>
      </c>
      <c r="H64" s="99">
        <f>G64+'10'!H64</f>
        <v>2794</v>
      </c>
      <c r="I64" s="118"/>
      <c r="J64" s="175">
        <f>H64/DAY(B2)</f>
        <v>254</v>
      </c>
      <c r="K64" s="69"/>
      <c r="L64" s="66"/>
      <c r="N64" s="87"/>
      <c r="O64" s="71"/>
    </row>
    <row r="65" spans="1:15" ht="30.75" customHeight="1" x14ac:dyDescent="0.5">
      <c r="A65" s="853" t="s">
        <v>201</v>
      </c>
      <c r="B65" s="854"/>
      <c r="C65" s="855"/>
      <c r="D65" s="151" t="s">
        <v>142</v>
      </c>
      <c r="E65" s="95">
        <f>'10'!F65</f>
        <v>435866</v>
      </c>
      <c r="F65" s="122">
        <v>435970</v>
      </c>
      <c r="G65" s="112">
        <f t="shared" ref="G65:G70" si="6">F65-E65</f>
        <v>104</v>
      </c>
      <c r="H65" s="99">
        <f>G65+'10'!H65</f>
        <v>1047</v>
      </c>
      <c r="I65" s="118"/>
      <c r="J65" s="175">
        <f>H65/DAY(B2)</f>
        <v>95.181818181818187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107986</v>
      </c>
      <c r="F66" s="122">
        <v>108017</v>
      </c>
      <c r="G66" s="112">
        <f t="shared" si="6"/>
        <v>31</v>
      </c>
      <c r="H66" s="99">
        <f>G66+'10'!H66</f>
        <v>274</v>
      </c>
      <c r="I66" s="118"/>
      <c r="J66" s="175">
        <f>H66/DAY(B2)</f>
        <v>24.90909090909091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104950</v>
      </c>
      <c r="F67" s="122">
        <v>105015</v>
      </c>
      <c r="G67" s="112">
        <f t="shared" si="6"/>
        <v>65</v>
      </c>
      <c r="H67" s="99">
        <f>G67+'10'!H67</f>
        <v>367</v>
      </c>
      <c r="I67" s="118"/>
      <c r="J67" s="175">
        <f>H67/DAY(B2)</f>
        <v>33.363636363636367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158061</v>
      </c>
      <c r="F68" s="122">
        <v>158114</v>
      </c>
      <c r="G68" s="112">
        <f t="shared" si="6"/>
        <v>53</v>
      </c>
      <c r="H68" s="99">
        <f>G68+'10'!H68</f>
        <v>417</v>
      </c>
      <c r="I68" s="118"/>
      <c r="J68" s="175">
        <f>H68/DAY(B2)</f>
        <v>37.909090909090907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10656</v>
      </c>
      <c r="F69" s="122">
        <v>10688</v>
      </c>
      <c r="G69" s="112">
        <f t="shared" si="6"/>
        <v>32</v>
      </c>
      <c r="H69" s="99">
        <f>G69+'10'!H69</f>
        <v>147</v>
      </c>
      <c r="I69" s="118"/>
      <c r="J69" s="175">
        <f>H69/DAY(B2)</f>
        <v>13.363636363636363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8252</v>
      </c>
      <c r="F70" s="122">
        <v>8264</v>
      </c>
      <c r="G70" s="112">
        <f t="shared" si="6"/>
        <v>12</v>
      </c>
      <c r="H70" s="99">
        <f>G70+'10'!H70</f>
        <v>144</v>
      </c>
      <c r="I70" s="118"/>
      <c r="J70" s="175">
        <f>H70/DAY(B2)</f>
        <v>13.090909090909092</v>
      </c>
      <c r="K70" s="69"/>
      <c r="L70" s="66"/>
      <c r="N70" s="87"/>
      <c r="O70" s="71"/>
    </row>
    <row r="71" spans="1:15" ht="30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297</v>
      </c>
      <c r="H71" s="99">
        <f>G71+'10'!H71</f>
        <v>2396</v>
      </c>
      <c r="I71" s="154"/>
      <c r="J71" s="175">
        <f>H71/DAY(B2)</f>
        <v>217.81818181818181</v>
      </c>
      <c r="K71" s="69"/>
      <c r="L71" s="66"/>
      <c r="N71" s="87"/>
      <c r="O71" s="71"/>
    </row>
    <row r="72" spans="1:15" s="88" customFormat="1" ht="30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3" t="s">
        <v>220</v>
      </c>
      <c r="B74" s="854"/>
      <c r="C74" s="855"/>
      <c r="D74" s="151" t="s">
        <v>139</v>
      </c>
      <c r="E74" s="95">
        <f>'10'!F74</f>
        <v>904374</v>
      </c>
      <c r="F74" s="117">
        <v>904690</v>
      </c>
      <c r="G74" s="112">
        <f t="shared" ref="G74:G78" si="7">F74-E74</f>
        <v>316</v>
      </c>
      <c r="H74" s="99">
        <f>G74+'10'!H74</f>
        <v>3383.8510000000242</v>
      </c>
      <c r="I74" s="154"/>
      <c r="J74" s="175">
        <f>H74/DAY(B2)</f>
        <v>307.62281818182038</v>
      </c>
      <c r="K74" s="69"/>
      <c r="L74" s="66"/>
      <c r="N74" s="87"/>
      <c r="O74" s="71"/>
    </row>
    <row r="75" spans="1:15" ht="30.75" customHeight="1" x14ac:dyDescent="0.5">
      <c r="A75" s="853" t="s">
        <v>221</v>
      </c>
      <c r="B75" s="854"/>
      <c r="C75" s="855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97" t="s">
        <v>222</v>
      </c>
      <c r="B76" s="883"/>
      <c r="C76" s="884"/>
      <c r="D76" s="151" t="s">
        <v>139</v>
      </c>
      <c r="E76" s="95">
        <f>'10'!F76</f>
        <v>171128</v>
      </c>
      <c r="F76" s="123">
        <v>171252</v>
      </c>
      <c r="G76" s="112">
        <f t="shared" si="7"/>
        <v>124</v>
      </c>
      <c r="H76" s="99">
        <f>G76+'10'!H76</f>
        <v>1277</v>
      </c>
      <c r="I76" s="154"/>
      <c r="J76" s="175">
        <f>H76/DAY(B2)</f>
        <v>116.09090909090909</v>
      </c>
      <c r="K76" s="69"/>
      <c r="L76" s="66"/>
      <c r="N76" s="87"/>
      <c r="O76" s="71"/>
    </row>
    <row r="77" spans="1:15" ht="30.75" customHeight="1" x14ac:dyDescent="0.5">
      <c r="A77" s="897" t="s">
        <v>223</v>
      </c>
      <c r="B77" s="883"/>
      <c r="C77" s="884"/>
      <c r="D77" s="151" t="s">
        <v>139</v>
      </c>
      <c r="E77" s="95">
        <f>'10'!F77</f>
        <v>41773</v>
      </c>
      <c r="F77" s="123">
        <v>41826</v>
      </c>
      <c r="G77" s="112">
        <f t="shared" si="7"/>
        <v>53</v>
      </c>
      <c r="H77" s="99">
        <f>G77+'10'!H77</f>
        <v>523.80000000000291</v>
      </c>
      <c r="I77" s="154"/>
      <c r="J77" s="175">
        <f>H77/DAY(B2)</f>
        <v>47.61818181818208</v>
      </c>
      <c r="K77" s="69"/>
      <c r="L77" s="66"/>
      <c r="N77" s="87"/>
      <c r="O77" s="71"/>
    </row>
    <row r="78" spans="1:15" ht="30.75" customHeight="1" x14ac:dyDescent="0.5">
      <c r="A78" s="897" t="s">
        <v>224</v>
      </c>
      <c r="B78" s="883"/>
      <c r="C78" s="884"/>
      <c r="D78" s="151" t="s">
        <v>139</v>
      </c>
      <c r="E78" s="95">
        <f>'10'!F78</f>
        <v>9531</v>
      </c>
      <c r="F78" s="123">
        <v>9534</v>
      </c>
      <c r="G78" s="112">
        <f t="shared" si="7"/>
        <v>3</v>
      </c>
      <c r="H78" s="99">
        <f>G78+'10'!H78</f>
        <v>18</v>
      </c>
      <c r="I78" s="118"/>
      <c r="J78" s="175">
        <f>H78/DAY(B2)</f>
        <v>1.6363636363636365</v>
      </c>
      <c r="K78" s="69"/>
      <c r="L78" s="66"/>
      <c r="N78" s="87"/>
      <c r="O78" s="71"/>
    </row>
    <row r="79" spans="1:15" s="57" customFormat="1" ht="30.75" customHeight="1" x14ac:dyDescent="0.5">
      <c r="A79" s="897" t="s">
        <v>225</v>
      </c>
      <c r="B79" s="883"/>
      <c r="C79" s="884"/>
      <c r="D79" s="151"/>
      <c r="E79" s="95">
        <f>'10'!F79</f>
        <v>0</v>
      </c>
      <c r="F79" s="117"/>
      <c r="G79" s="112">
        <f>G15-SUM(G74:G78)</f>
        <v>622</v>
      </c>
      <c r="H79" s="99">
        <f>G79+'10'!H79</f>
        <v>6229.3819999999832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1118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2384</v>
      </c>
      <c r="F85" s="164">
        <v>2408</v>
      </c>
      <c r="G85" s="112">
        <f t="shared" si="8"/>
        <v>24</v>
      </c>
      <c r="H85" s="99">
        <f>G85+'10'!H85</f>
        <v>147.57999999999993</v>
      </c>
      <c r="I85" s="118">
        <f>G82+G83+G84+G85</f>
        <v>24</v>
      </c>
      <c r="J85" s="175">
        <f>H85/DAY(B2)</f>
        <v>13.416363636363629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43560</v>
      </c>
      <c r="F86" s="164">
        <v>43560</v>
      </c>
      <c r="G86" s="112">
        <f t="shared" si="8"/>
        <v>0</v>
      </c>
      <c r="H86" s="99">
        <f>G86+'10'!H86</f>
        <v>118</v>
      </c>
      <c r="I86" s="118"/>
      <c r="J86" s="175">
        <f>H86/DAY(B2)</f>
        <v>10.727272727272727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24063</v>
      </c>
      <c r="F88" s="164">
        <v>24063</v>
      </c>
      <c r="G88" s="112">
        <f t="shared" si="8"/>
        <v>0</v>
      </c>
      <c r="H88" s="99">
        <f>G88+'10'!H88</f>
        <v>-0.43000000000029104</v>
      </c>
      <c r="I88" s="118">
        <f>G86+G87+G88</f>
        <v>0</v>
      </c>
      <c r="J88" s="175">
        <f>H88/DAY(B2)</f>
        <v>-3.9090909090935551E-2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25993</v>
      </c>
      <c r="F89" s="164">
        <v>26004</v>
      </c>
      <c r="G89" s="112">
        <f t="shared" si="8"/>
        <v>11</v>
      </c>
      <c r="H89" s="99">
        <f>G89+'10'!H89</f>
        <v>112.88000000000102</v>
      </c>
      <c r="I89" s="118"/>
      <c r="J89" s="175">
        <f>H89/DAY(B2)</f>
        <v>10.261818181818274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71190</v>
      </c>
      <c r="F90" s="164">
        <v>71194</v>
      </c>
      <c r="G90" s="112">
        <f t="shared" si="8"/>
        <v>4</v>
      </c>
      <c r="H90" s="99">
        <f>G90+'10'!H90</f>
        <v>30.679999999993015</v>
      </c>
      <c r="I90" s="118">
        <f>G89+G90</f>
        <v>15</v>
      </c>
      <c r="J90" s="175">
        <f>H90/DAY(B2)</f>
        <v>2.789090909090274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3364</v>
      </c>
      <c r="F91" s="122">
        <v>3376</v>
      </c>
      <c r="G91" s="112">
        <f t="shared" si="8"/>
        <v>12</v>
      </c>
      <c r="H91" s="99">
        <f>G91+'10'!H91</f>
        <v>124.90999999999985</v>
      </c>
      <c r="I91" s="165"/>
      <c r="J91" s="175">
        <f>H91/DAY(B2)</f>
        <v>11.355454545454533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-6.9999999999708962E-2</v>
      </c>
      <c r="I92" s="165"/>
      <c r="J92" s="175">
        <f>H92/DAY(B2)</f>
        <v>-6.3636363636099058E-3</v>
      </c>
      <c r="O92" s="71"/>
    </row>
    <row r="93" spans="1:15" ht="30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4888</v>
      </c>
      <c r="H94" s="99">
        <f>G94+'10'!H94</f>
        <v>53892.229999999996</v>
      </c>
      <c r="I94" s="118"/>
      <c r="J94" s="175">
        <f>H94/DAY(B2)</f>
        <v>4899.2936363636363</v>
      </c>
      <c r="K94" s="69"/>
      <c r="L94" s="66"/>
      <c r="O94" s="71"/>
    </row>
    <row r="95" spans="1:15" ht="30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0.23367434745195526</v>
      </c>
      <c r="H95" s="99">
        <f>G95+'10'!H95</f>
        <v>2.7498991136514408</v>
      </c>
      <c r="I95" s="167"/>
      <c r="J95" s="175">
        <f>H95/DAY(B2)</f>
        <v>0.24999082851376733</v>
      </c>
      <c r="K95" s="69"/>
      <c r="L95" s="66"/>
      <c r="O95" s="71"/>
    </row>
    <row r="96" spans="1:15" ht="30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4736</v>
      </c>
      <c r="H96" s="99">
        <f>G96+'10'!H96</f>
        <v>42110.87999999999</v>
      </c>
      <c r="I96" s="118"/>
      <c r="J96" s="175">
        <f>H96/DAY(B2)</f>
        <v>3828.2618181818175</v>
      </c>
      <c r="K96" s="69"/>
      <c r="L96" s="66"/>
      <c r="O96" s="71"/>
    </row>
    <row r="97" spans="1:15" ht="30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0.22640787838225451</v>
      </c>
      <c r="H97" s="99">
        <f>G97+'10'!H97</f>
        <v>2.1479629569240064</v>
      </c>
      <c r="I97" s="167"/>
      <c r="J97" s="175">
        <f>H97/DAY(B2)</f>
        <v>0.19526935972036422</v>
      </c>
      <c r="K97" s="69"/>
      <c r="L97" s="66"/>
      <c r="O97" s="71"/>
    </row>
    <row r="98" spans="1:15" ht="30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3148</v>
      </c>
      <c r="H98" s="99">
        <f>G98+'10'!H98</f>
        <v>31254.71</v>
      </c>
      <c r="I98" s="168"/>
      <c r="J98" s="175">
        <f>H98/DAY(B2)</f>
        <v>2841.3372727272726</v>
      </c>
      <c r="K98" s="69"/>
      <c r="L98" s="66"/>
      <c r="O98" s="71"/>
    </row>
    <row r="99" spans="1:15" ht="30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0.15049239889090735</v>
      </c>
      <c r="H99" s="99">
        <f>G99+'10'!H99</f>
        <v>1.5954811219796143</v>
      </c>
      <c r="I99" s="168"/>
      <c r="J99" s="175">
        <f>H99/DAY(B2)</f>
        <v>0.14504373836178311</v>
      </c>
      <c r="O99" s="71"/>
    </row>
    <row r="100" spans="1:15" ht="30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2076</v>
      </c>
      <c r="H100" s="99">
        <f>G100+'10'!H100</f>
        <v>20646.57</v>
      </c>
      <c r="I100" s="118"/>
      <c r="J100" s="175">
        <f>H100/DAY(B2)</f>
        <v>1876.9609090909091</v>
      </c>
      <c r="K100" s="70"/>
      <c r="O100" s="71"/>
    </row>
    <row r="101" spans="1:15" ht="30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9.9244669662491639E-2</v>
      </c>
      <c r="H101" s="99">
        <f>G101+'10'!H101</f>
        <v>1.0531928493304732</v>
      </c>
      <c r="I101" s="168"/>
      <c r="J101" s="175">
        <f>H101/DAY(B2)</f>
        <v>9.5744804484588469E-2</v>
      </c>
      <c r="O101" s="71"/>
    </row>
    <row r="102" spans="1:15" ht="30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2359</v>
      </c>
      <c r="H102" s="99">
        <f>G102+'10'!H102</f>
        <v>23191.630000000005</v>
      </c>
      <c r="I102" s="168"/>
      <c r="J102" s="175">
        <f>H102/DAY(B2)</f>
        <v>2108.3300000000004</v>
      </c>
      <c r="O102" s="71"/>
    </row>
    <row r="103" spans="1:15" ht="30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0.11277368773305288</v>
      </c>
      <c r="H103" s="99">
        <f>G103+'10'!H103</f>
        <v>1.1790224146616084</v>
      </c>
      <c r="I103" s="118"/>
      <c r="J103" s="175">
        <f>H103/DAY(B2)</f>
        <v>0.10718385587832803</v>
      </c>
      <c r="O103" s="71"/>
    </row>
    <row r="104" spans="1:15" ht="30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1684</v>
      </c>
      <c r="H104" s="99">
        <f>G104+'10'!H104</f>
        <v>17833.910000000003</v>
      </c>
      <c r="I104" s="118"/>
      <c r="J104" s="175">
        <f>H104/DAY(B2)</f>
        <v>1621.2645454545457</v>
      </c>
      <c r="O104" s="71"/>
    </row>
    <row r="105" spans="1:15" ht="30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8.0504828377473941E-2</v>
      </c>
      <c r="H105" s="99">
        <f>G105+'10'!H105</f>
        <v>0.91188947817804888</v>
      </c>
      <c r="I105" s="187"/>
      <c r="J105" s="188">
        <f>H105/DAY(B2)</f>
        <v>8.2899043470731723E-2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30.75" customHeight="1" x14ac:dyDescent="0.5">
      <c r="A109" s="892"/>
      <c r="B109" s="892"/>
    </row>
    <row r="110" spans="1:15" ht="30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30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86" t="s">
        <v>252</v>
      </c>
      <c r="B112" s="887"/>
      <c r="C112" s="888"/>
      <c r="D112" s="146" t="s">
        <v>183</v>
      </c>
      <c r="E112" s="95">
        <f>'10'!F112</f>
        <v>58809</v>
      </c>
      <c r="F112" s="237">
        <v>58875</v>
      </c>
      <c r="G112" s="112">
        <f t="shared" ref="G112:G123" si="9">F112-E112</f>
        <v>66</v>
      </c>
      <c r="H112" s="99">
        <f>G112+'10'!H112</f>
        <v>821</v>
      </c>
      <c r="I112" s="165"/>
      <c r="J112" s="328">
        <f>H112/DAY(B2)</f>
        <v>74.63636363636364</v>
      </c>
    </row>
    <row r="113" spans="1:18" ht="30.75" customHeight="1" x14ac:dyDescent="0.5">
      <c r="A113" s="886" t="s">
        <v>253</v>
      </c>
      <c r="B113" s="887"/>
      <c r="C113" s="888"/>
      <c r="D113" s="146" t="s">
        <v>183</v>
      </c>
      <c r="E113" s="95">
        <f>'10'!F113</f>
        <v>51099</v>
      </c>
      <c r="F113" s="237">
        <v>51535</v>
      </c>
      <c r="G113" s="112">
        <f t="shared" si="9"/>
        <v>436</v>
      </c>
      <c r="H113" s="99">
        <f>G113+'10'!H113</f>
        <v>5134.1100000000006</v>
      </c>
      <c r="I113" s="165"/>
      <c r="J113" s="328">
        <f>H113/DAY(B2)</f>
        <v>466.7372727272728</v>
      </c>
    </row>
    <row r="114" spans="1:18" ht="30.75" customHeight="1" x14ac:dyDescent="0.5">
      <c r="A114" s="886" t="s">
        <v>254</v>
      </c>
      <c r="B114" s="887"/>
      <c r="C114" s="888"/>
      <c r="D114" s="146" t="s">
        <v>183</v>
      </c>
      <c r="E114" s="95">
        <f>'10'!F114</f>
        <v>36210</v>
      </c>
      <c r="F114" s="237">
        <v>36599</v>
      </c>
      <c r="G114" s="112">
        <f t="shared" si="9"/>
        <v>389</v>
      </c>
      <c r="H114" s="99">
        <f>G114+'10'!H114</f>
        <v>3439</v>
      </c>
      <c r="I114" s="165"/>
      <c r="J114" s="328">
        <f>H114/DAY(B2)</f>
        <v>312.63636363636363</v>
      </c>
    </row>
    <row r="115" spans="1:18" ht="30.75" customHeight="1" x14ac:dyDescent="0.5">
      <c r="A115" s="886" t="s">
        <v>255</v>
      </c>
      <c r="B115" s="887"/>
      <c r="C115" s="888"/>
      <c r="D115" s="146" t="s">
        <v>183</v>
      </c>
      <c r="E115" s="95">
        <f>'10'!F115</f>
        <v>9202</v>
      </c>
      <c r="F115" s="237">
        <v>9211</v>
      </c>
      <c r="G115" s="112">
        <f t="shared" si="9"/>
        <v>9</v>
      </c>
      <c r="H115" s="99">
        <f>G115+'10'!H115</f>
        <v>116.35000000000036</v>
      </c>
      <c r="I115" s="165"/>
      <c r="J115" s="328">
        <f>H115/DAY(B2)</f>
        <v>10.57727272727276</v>
      </c>
    </row>
    <row r="116" spans="1:18" ht="30.75" customHeight="1" x14ac:dyDescent="0.5">
      <c r="A116" s="904" t="s">
        <v>96</v>
      </c>
      <c r="B116" s="905"/>
      <c r="C116" s="906"/>
      <c r="D116" s="146" t="s">
        <v>183</v>
      </c>
      <c r="E116" s="95">
        <f>'10'!F116</f>
        <v>1551</v>
      </c>
      <c r="F116" s="237">
        <v>1921</v>
      </c>
      <c r="G116" s="112">
        <f t="shared" si="9"/>
        <v>370</v>
      </c>
      <c r="H116" s="99">
        <f>G116+'10'!H116</f>
        <v>1921</v>
      </c>
      <c r="I116" s="165"/>
      <c r="J116" s="328">
        <f>H116/DAY(B2)</f>
        <v>174.63636363636363</v>
      </c>
      <c r="Q116" s="886" t="s">
        <v>311</v>
      </c>
      <c r="R116" s="888"/>
    </row>
    <row r="117" spans="1:18" ht="30.75" customHeight="1" x14ac:dyDescent="0.5">
      <c r="A117" s="904" t="s">
        <v>184</v>
      </c>
      <c r="B117" s="905"/>
      <c r="C117" s="906"/>
      <c r="D117" s="146" t="s">
        <v>183</v>
      </c>
      <c r="E117" s="95">
        <f>'10'!F117</f>
        <v>4377</v>
      </c>
      <c r="F117" s="237">
        <v>4666</v>
      </c>
      <c r="G117" s="112">
        <f t="shared" si="9"/>
        <v>289</v>
      </c>
      <c r="H117" s="99">
        <f>G117+'10'!H117</f>
        <v>1328.0500000000002</v>
      </c>
      <c r="I117" s="165"/>
      <c r="J117" s="328">
        <f>H117/DAY(B2)</f>
        <v>120.7318181818182</v>
      </c>
      <c r="Q117" s="886" t="s">
        <v>312</v>
      </c>
      <c r="R117" s="888"/>
    </row>
    <row r="118" spans="1:18" ht="30.75" customHeight="1" x14ac:dyDescent="0.5">
      <c r="A118" s="881" t="s">
        <v>97</v>
      </c>
      <c r="B118" s="881"/>
      <c r="C118" s="881"/>
      <c r="D118" s="151" t="s">
        <v>183</v>
      </c>
      <c r="E118" s="95">
        <f>'10'!F118</f>
        <v>255945</v>
      </c>
      <c r="F118" s="237">
        <v>256349</v>
      </c>
      <c r="G118" s="112">
        <f t="shared" si="9"/>
        <v>404</v>
      </c>
      <c r="H118" s="99">
        <f>G118+'10'!H118</f>
        <v>3896.6900000000023</v>
      </c>
      <c r="I118" s="165"/>
      <c r="J118" s="328">
        <f>H118/DAY(B2)</f>
        <v>354.24454545454569</v>
      </c>
      <c r="Q118" s="886" t="s">
        <v>311</v>
      </c>
      <c r="R118" s="888"/>
    </row>
    <row r="119" spans="1:18" ht="30.75" customHeight="1" x14ac:dyDescent="0.5">
      <c r="A119" s="881" t="s">
        <v>98</v>
      </c>
      <c r="B119" s="881"/>
      <c r="C119" s="881"/>
      <c r="D119" s="151" t="s">
        <v>183</v>
      </c>
      <c r="E119" s="95">
        <f>'10'!F119</f>
        <v>262266</v>
      </c>
      <c r="F119" s="237">
        <v>262701</v>
      </c>
      <c r="G119" s="112">
        <f t="shared" si="9"/>
        <v>435</v>
      </c>
      <c r="H119" s="99">
        <f>G119+'10'!H119</f>
        <v>4552.4500000000116</v>
      </c>
      <c r="I119" s="165"/>
      <c r="J119" s="328">
        <f>H119/DAY(B2)</f>
        <v>413.85909090909195</v>
      </c>
    </row>
    <row r="120" spans="1:18" ht="30.75" customHeight="1" x14ac:dyDescent="0.5">
      <c r="A120" s="881" t="s">
        <v>99</v>
      </c>
      <c r="B120" s="881"/>
      <c r="C120" s="881"/>
      <c r="D120" s="151" t="s">
        <v>183</v>
      </c>
      <c r="E120" s="95">
        <f>'10'!F120</f>
        <v>47190</v>
      </c>
      <c r="F120" s="237">
        <v>47633</v>
      </c>
      <c r="G120" s="112">
        <f t="shared" si="9"/>
        <v>443</v>
      </c>
      <c r="H120" s="99">
        <f>G120+'10'!H120</f>
        <v>4673.3899999999994</v>
      </c>
      <c r="I120" s="165"/>
      <c r="J120" s="328">
        <f>H120/DAY(B2)</f>
        <v>424.85363636363633</v>
      </c>
    </row>
    <row r="121" spans="1:18" ht="30.75" customHeight="1" x14ac:dyDescent="0.5">
      <c r="A121" s="881" t="s">
        <v>100</v>
      </c>
      <c r="B121" s="881"/>
      <c r="C121" s="881"/>
      <c r="D121" s="151" t="s">
        <v>183</v>
      </c>
      <c r="E121" s="95">
        <f>'10'!F121</f>
        <v>405308</v>
      </c>
      <c r="F121" s="237">
        <v>406029</v>
      </c>
      <c r="G121" s="112">
        <f t="shared" si="9"/>
        <v>721</v>
      </c>
      <c r="H121" s="99">
        <f>G121+'10'!H121</f>
        <v>7994.570000000007</v>
      </c>
      <c r="I121" s="165"/>
      <c r="J121" s="328">
        <f>H121/DAY(B2)</f>
        <v>726.77909090909156</v>
      </c>
    </row>
    <row r="122" spans="1:18" ht="30.75" customHeight="1" x14ac:dyDescent="0.5">
      <c r="A122" s="881" t="s">
        <v>101</v>
      </c>
      <c r="B122" s="881"/>
      <c r="C122" s="881"/>
      <c r="D122" s="151" t="s">
        <v>183</v>
      </c>
      <c r="E122" s="95">
        <f>'10'!F122</f>
        <v>128409</v>
      </c>
      <c r="F122" s="237">
        <v>128621</v>
      </c>
      <c r="G122" s="112">
        <f t="shared" si="9"/>
        <v>212</v>
      </c>
      <c r="H122" s="99">
        <f>G122+'10'!H122</f>
        <v>2434.820000000007</v>
      </c>
      <c r="I122" s="165"/>
      <c r="J122" s="328">
        <f>H122/DAY(B2)</f>
        <v>221.34727272727335</v>
      </c>
    </row>
    <row r="123" spans="1:18" ht="30.75" customHeight="1" x14ac:dyDescent="0.5">
      <c r="A123" s="881" t="s">
        <v>102</v>
      </c>
      <c r="B123" s="881"/>
      <c r="C123" s="881"/>
      <c r="D123" s="151" t="s">
        <v>183</v>
      </c>
      <c r="E123" s="95">
        <f>'10'!F123</f>
        <v>156591</v>
      </c>
      <c r="F123" s="237">
        <v>156841</v>
      </c>
      <c r="G123" s="112">
        <f t="shared" si="9"/>
        <v>250</v>
      </c>
      <c r="H123" s="99">
        <f>G123+'10'!H123</f>
        <v>2794.0499999999884</v>
      </c>
      <c r="I123" s="165"/>
      <c r="J123" s="328">
        <f>H123/DAY(B2)</f>
        <v>254.0045454545444</v>
      </c>
    </row>
    <row r="124" spans="1:18" ht="30.7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4024</v>
      </c>
      <c r="H125" s="156"/>
      <c r="I125" s="327">
        <f>G125-(G39+G53)</f>
        <v>876</v>
      </c>
      <c r="J125" s="327"/>
    </row>
    <row r="126" spans="1:18" ht="30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30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86" t="s">
        <v>318</v>
      </c>
      <c r="B128" s="887"/>
      <c r="C128" s="888"/>
      <c r="D128" s="151" t="s">
        <v>183</v>
      </c>
      <c r="E128" s="95">
        <f>'10'!F128</f>
        <v>50880</v>
      </c>
      <c r="F128" s="155">
        <v>51208</v>
      </c>
      <c r="G128" s="112">
        <f t="shared" ref="G128:G134" si="10">F128-E128</f>
        <v>328</v>
      </c>
      <c r="H128" s="99">
        <f>G128+'10'!H128</f>
        <v>3462</v>
      </c>
      <c r="I128" s="165"/>
      <c r="J128" s="328">
        <f>H128/DAY(B2)</f>
        <v>314.72727272727275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28890</v>
      </c>
      <c r="F129" s="155">
        <v>29201</v>
      </c>
      <c r="G129" s="112">
        <f t="shared" si="10"/>
        <v>311</v>
      </c>
      <c r="H129" s="99">
        <f>G129+'10'!H129</f>
        <v>2290.130000000001</v>
      </c>
      <c r="I129" s="165"/>
      <c r="J129" s="328">
        <f>H129/DAY(B2)</f>
        <v>208.19363636363644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41497</v>
      </c>
      <c r="F130" s="155">
        <v>42044</v>
      </c>
      <c r="G130" s="112">
        <f t="shared" si="10"/>
        <v>547</v>
      </c>
      <c r="H130" s="99">
        <f>G130+'10'!H130</f>
        <v>6350</v>
      </c>
      <c r="I130" s="165"/>
      <c r="J130" s="328">
        <f>H130/DAY(B2)</f>
        <v>577.27272727272725</v>
      </c>
      <c r="N130" s="240"/>
      <c r="O130" s="241"/>
    </row>
    <row r="131" spans="1:15" ht="30.75" customHeight="1" x14ac:dyDescent="0.5">
      <c r="A131" s="886" t="s">
        <v>321</v>
      </c>
      <c r="B131" s="887"/>
      <c r="C131" s="888"/>
      <c r="D131" s="151" t="s">
        <v>183</v>
      </c>
      <c r="E131" s="95">
        <f>'10'!F131</f>
        <v>16210</v>
      </c>
      <c r="F131" s="155">
        <v>16348</v>
      </c>
      <c r="G131" s="112">
        <f t="shared" si="10"/>
        <v>138</v>
      </c>
      <c r="H131" s="99">
        <f>G131+'10'!H131</f>
        <v>1040.3199999999997</v>
      </c>
      <c r="I131" s="165"/>
      <c r="J131" s="328">
        <f>H131/DAY(B2)</f>
        <v>94.574545454545429</v>
      </c>
      <c r="N131" s="240"/>
      <c r="O131" s="241"/>
    </row>
    <row r="132" spans="1:15" ht="30.75" customHeight="1" x14ac:dyDescent="0.5">
      <c r="A132" s="886" t="s">
        <v>322</v>
      </c>
      <c r="B132" s="887"/>
      <c r="C132" s="888"/>
      <c r="D132" s="151" t="s">
        <v>183</v>
      </c>
      <c r="E132" s="95">
        <f>'10'!F132</f>
        <v>55427</v>
      </c>
      <c r="F132" s="155">
        <v>55864</v>
      </c>
      <c r="G132" s="112">
        <f t="shared" si="10"/>
        <v>437</v>
      </c>
      <c r="H132" s="99">
        <f>G132+'10'!H132</f>
        <v>4015.6999999999971</v>
      </c>
      <c r="I132" s="165"/>
      <c r="J132" s="328">
        <f>H132/DAY(B2)</f>
        <v>365.06363636363608</v>
      </c>
    </row>
    <row r="133" spans="1:15" ht="30.75" customHeight="1" x14ac:dyDescent="0.5">
      <c r="A133" s="886" t="s">
        <v>362</v>
      </c>
      <c r="B133" s="887"/>
      <c r="C133" s="888"/>
      <c r="D133" s="151" t="s">
        <v>183</v>
      </c>
      <c r="E133" s="95">
        <f>'10'!F133</f>
        <v>111480</v>
      </c>
      <c r="F133" s="155">
        <v>111974</v>
      </c>
      <c r="G133" s="112">
        <f t="shared" si="10"/>
        <v>494</v>
      </c>
      <c r="H133" s="99">
        <f>G133+'10'!H133</f>
        <v>6630.3000000000029</v>
      </c>
      <c r="I133" s="165"/>
      <c r="J133" s="328">
        <f>H133/DAY(B2)</f>
        <v>602.75454545454568</v>
      </c>
    </row>
    <row r="134" spans="1:15" ht="30.75" customHeight="1" x14ac:dyDescent="0.5">
      <c r="A134" s="886" t="s">
        <v>340</v>
      </c>
      <c r="B134" s="887"/>
      <c r="C134" s="888"/>
      <c r="D134" s="151" t="s">
        <v>183</v>
      </c>
      <c r="E134" s="95">
        <f>'10'!F134</f>
        <v>10524</v>
      </c>
      <c r="F134" s="551">
        <v>10682</v>
      </c>
      <c r="G134" s="112">
        <f t="shared" si="10"/>
        <v>158</v>
      </c>
      <c r="H134" s="99">
        <f>G134+'10'!H134</f>
        <v>2080.7700000000004</v>
      </c>
      <c r="I134" s="165"/>
      <c r="J134" s="328">
        <f>H134/DAY(B2)</f>
        <v>189.16090909090914</v>
      </c>
    </row>
    <row r="135" spans="1:15" ht="30.7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2413</v>
      </c>
      <c r="H135" s="99">
        <f>G135+'10'!H135</f>
        <v>25869.22</v>
      </c>
      <c r="I135" s="327">
        <f>G135-(G35+G49)</f>
        <v>-363</v>
      </c>
      <c r="J135" s="328">
        <f>H135/DAY(B2)</f>
        <v>2351.747272727273</v>
      </c>
    </row>
    <row r="136" spans="1:15" ht="30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81" t="s">
        <v>185</v>
      </c>
      <c r="B138" s="881"/>
      <c r="C138" s="881"/>
      <c r="D138" s="151" t="s">
        <v>183</v>
      </c>
      <c r="E138" s="95">
        <f>'10'!F138</f>
        <v>866962</v>
      </c>
      <c r="F138" s="147">
        <v>867078</v>
      </c>
      <c r="G138" s="112">
        <f t="shared" ref="G138:G152" si="11">F138-E138</f>
        <v>116</v>
      </c>
      <c r="H138" s="99">
        <f>G138+'10'!H138</f>
        <v>905</v>
      </c>
      <c r="I138" s="118"/>
      <c r="J138" s="328">
        <f>H138/DAY(B2)</f>
        <v>82.272727272727266</v>
      </c>
    </row>
    <row r="139" spans="1:15" ht="30.75" customHeight="1" x14ac:dyDescent="0.5">
      <c r="A139" s="881" t="s">
        <v>186</v>
      </c>
      <c r="B139" s="881"/>
      <c r="C139" s="881"/>
      <c r="D139" s="151" t="s">
        <v>183</v>
      </c>
      <c r="E139" s="95">
        <f>'10'!F139</f>
        <v>886634</v>
      </c>
      <c r="F139" s="148">
        <v>886647</v>
      </c>
      <c r="G139" s="112">
        <f t="shared" si="11"/>
        <v>13</v>
      </c>
      <c r="H139" s="99">
        <f>G139+'10'!H139</f>
        <v>74</v>
      </c>
      <c r="I139" s="118"/>
      <c r="J139" s="328">
        <f>H139/DAY(B2)</f>
        <v>6.7272727272727275</v>
      </c>
    </row>
    <row r="140" spans="1:15" ht="30.75" customHeight="1" x14ac:dyDescent="0.5">
      <c r="A140" s="881" t="s">
        <v>187</v>
      </c>
      <c r="B140" s="881"/>
      <c r="C140" s="881"/>
      <c r="D140" s="151" t="s">
        <v>183</v>
      </c>
      <c r="E140" s="95">
        <f>'10'!F140</f>
        <v>88942</v>
      </c>
      <c r="F140" s="149">
        <v>88948</v>
      </c>
      <c r="G140" s="112">
        <f t="shared" si="11"/>
        <v>6</v>
      </c>
      <c r="H140" s="99">
        <f>G140+'10'!H140</f>
        <v>26</v>
      </c>
      <c r="I140" s="118"/>
      <c r="J140" s="328">
        <f>H140/DAY(B2)</f>
        <v>2.3636363636363638</v>
      </c>
    </row>
    <row r="141" spans="1:15" ht="30.75" customHeight="1" x14ac:dyDescent="0.5">
      <c r="A141" s="885" t="s">
        <v>188</v>
      </c>
      <c r="B141" s="885"/>
      <c r="C141" s="885"/>
      <c r="D141" s="151" t="s">
        <v>183</v>
      </c>
      <c r="E141" s="95">
        <f>'10'!F141</f>
        <v>56433</v>
      </c>
      <c r="F141" s="149">
        <v>56623</v>
      </c>
      <c r="G141" s="112">
        <f t="shared" si="11"/>
        <v>190</v>
      </c>
      <c r="H141" s="99">
        <f>G141+'10'!H141</f>
        <v>1937.4199999999983</v>
      </c>
      <c r="I141" s="118"/>
      <c r="J141" s="328">
        <f>H141/DAY(B2)</f>
        <v>176.12909090909076</v>
      </c>
    </row>
    <row r="142" spans="1:15" ht="30.75" customHeight="1" x14ac:dyDescent="0.5">
      <c r="A142" s="885" t="s">
        <v>189</v>
      </c>
      <c r="B142" s="885"/>
      <c r="C142" s="885"/>
      <c r="D142" s="151" t="s">
        <v>183</v>
      </c>
      <c r="E142" s="95">
        <f>'10'!F142</f>
        <v>21974</v>
      </c>
      <c r="F142" s="148">
        <v>22044</v>
      </c>
      <c r="G142" s="112">
        <f t="shared" si="11"/>
        <v>70</v>
      </c>
      <c r="H142" s="99">
        <f>G142+'10'!H142</f>
        <v>759.90000000000146</v>
      </c>
      <c r="I142" s="140"/>
      <c r="J142" s="328">
        <f>H142/DAY(B2)</f>
        <v>69.081818181818321</v>
      </c>
    </row>
    <row r="143" spans="1:15" ht="30.75" customHeight="1" x14ac:dyDescent="0.5">
      <c r="A143" s="881" t="s">
        <v>91</v>
      </c>
      <c r="B143" s="881"/>
      <c r="C143" s="881"/>
      <c r="D143" s="151" t="s">
        <v>183</v>
      </c>
      <c r="E143" s="95">
        <f>'10'!F143</f>
        <v>4114</v>
      </c>
      <c r="F143" s="149">
        <v>4137</v>
      </c>
      <c r="G143" s="112">
        <f t="shared" si="11"/>
        <v>23</v>
      </c>
      <c r="H143" s="99">
        <f>G143+'10'!H143</f>
        <v>301.61000000000013</v>
      </c>
      <c r="I143" s="140"/>
      <c r="J143" s="328">
        <f>H143/DAY(B2)</f>
        <v>27.419090909090922</v>
      </c>
    </row>
    <row r="144" spans="1:15" ht="30.75" customHeight="1" x14ac:dyDescent="0.5">
      <c r="A144" s="885" t="s">
        <v>90</v>
      </c>
      <c r="B144" s="885"/>
      <c r="C144" s="885"/>
      <c r="D144" s="151" t="s">
        <v>183</v>
      </c>
      <c r="E144" s="95">
        <f>'10'!F144</f>
        <v>878602</v>
      </c>
      <c r="F144" s="149">
        <v>878805</v>
      </c>
      <c r="G144" s="112">
        <f t="shared" si="11"/>
        <v>203</v>
      </c>
      <c r="H144" s="99">
        <f>G144+'10'!H144</f>
        <v>2318</v>
      </c>
      <c r="I144" s="140"/>
      <c r="J144" s="328">
        <f>H144/DAY(B2)</f>
        <v>210.72727272727272</v>
      </c>
    </row>
    <row r="145" spans="1:10" ht="30.75" customHeight="1" x14ac:dyDescent="0.5">
      <c r="A145" s="881" t="s">
        <v>190</v>
      </c>
      <c r="B145" s="881"/>
      <c r="C145" s="881"/>
      <c r="D145" s="152" t="s">
        <v>183</v>
      </c>
      <c r="E145" s="95">
        <f>'10'!F145</f>
        <v>5087</v>
      </c>
      <c r="F145" s="149">
        <v>5101</v>
      </c>
      <c r="G145" s="112">
        <f t="shared" si="11"/>
        <v>14</v>
      </c>
      <c r="H145" s="99">
        <f>G145+'10'!H145</f>
        <v>142.15999999999985</v>
      </c>
      <c r="I145" s="140"/>
      <c r="J145" s="328">
        <f>H145/DAY(B2)</f>
        <v>12.92363636363635</v>
      </c>
    </row>
    <row r="146" spans="1:10" ht="30.75" customHeight="1" x14ac:dyDescent="0.5">
      <c r="A146" s="882" t="s">
        <v>191</v>
      </c>
      <c r="B146" s="883"/>
      <c r="C146" s="884"/>
      <c r="D146" s="152" t="s">
        <v>183</v>
      </c>
      <c r="E146" s="95">
        <f>'10'!F146</f>
        <v>741510</v>
      </c>
      <c r="F146" s="148">
        <v>741931</v>
      </c>
      <c r="G146" s="112">
        <f t="shared" si="11"/>
        <v>421</v>
      </c>
      <c r="H146" s="99">
        <f>G146+'10'!H146</f>
        <v>4598</v>
      </c>
      <c r="I146" s="140"/>
      <c r="J146" s="328">
        <f>H146/DAY(B2)</f>
        <v>418</v>
      </c>
    </row>
    <row r="147" spans="1:10" ht="30.75" customHeight="1" x14ac:dyDescent="0.5">
      <c r="A147" s="885" t="s">
        <v>192</v>
      </c>
      <c r="B147" s="885"/>
      <c r="C147" s="885"/>
      <c r="D147" s="152" t="s">
        <v>183</v>
      </c>
      <c r="E147" s="95">
        <f>'10'!F147</f>
        <v>630587</v>
      </c>
      <c r="F147" s="148">
        <v>630999</v>
      </c>
      <c r="G147" s="112">
        <f t="shared" si="11"/>
        <v>412</v>
      </c>
      <c r="H147" s="99">
        <f>G147+'10'!H147</f>
        <v>4386.4799999999814</v>
      </c>
      <c r="I147" s="140"/>
      <c r="J147" s="328">
        <f>H147/DAY(B2)</f>
        <v>398.77090909090742</v>
      </c>
    </row>
    <row r="148" spans="1:10" ht="30.75" customHeight="1" x14ac:dyDescent="0.5">
      <c r="A148" s="877" t="s">
        <v>193</v>
      </c>
      <c r="B148" s="878"/>
      <c r="C148" s="879"/>
      <c r="D148" s="123" t="s">
        <v>130</v>
      </c>
      <c r="E148" s="95">
        <f>'10'!F148</f>
        <v>692358</v>
      </c>
      <c r="F148" s="150">
        <v>692688</v>
      </c>
      <c r="G148" s="112">
        <f t="shared" si="11"/>
        <v>330</v>
      </c>
      <c r="H148" s="99">
        <f>G148+'10'!H148</f>
        <v>3245.0400000000373</v>
      </c>
      <c r="I148" s="124"/>
      <c r="J148" s="328">
        <f>H148/DAY(B2)</f>
        <v>295.00363636363977</v>
      </c>
    </row>
    <row r="149" spans="1:10" ht="30.75" customHeight="1" x14ac:dyDescent="0.5">
      <c r="A149" s="877" t="s">
        <v>336</v>
      </c>
      <c r="B149" s="878"/>
      <c r="C149" s="879"/>
      <c r="D149" s="227" t="s">
        <v>130</v>
      </c>
      <c r="E149" s="95">
        <f>'10'!F149</f>
        <v>30087</v>
      </c>
      <c r="F149" s="146">
        <v>30761</v>
      </c>
      <c r="G149" s="112">
        <f t="shared" si="11"/>
        <v>674</v>
      </c>
      <c r="H149" s="99">
        <f>G149+'10'!H149</f>
        <v>6082.7999999999993</v>
      </c>
      <c r="I149" s="119"/>
      <c r="J149" s="328">
        <f>H149/DAY(B2)</f>
        <v>552.98181818181808</v>
      </c>
    </row>
    <row r="150" spans="1:10" ht="30.75" customHeight="1" x14ac:dyDescent="0.5">
      <c r="A150" s="877" t="s">
        <v>337</v>
      </c>
      <c r="B150" s="878"/>
      <c r="C150" s="879"/>
      <c r="D150" s="117" t="s">
        <v>130</v>
      </c>
      <c r="E150" s="95">
        <f>'10'!F150</f>
        <v>13102</v>
      </c>
      <c r="F150" s="233">
        <v>13320</v>
      </c>
      <c r="G150" s="112">
        <f t="shared" si="11"/>
        <v>218</v>
      </c>
      <c r="H150" s="99">
        <f>G150+'10'!H150</f>
        <v>2469.17</v>
      </c>
      <c r="I150" s="119"/>
      <c r="J150" s="328">
        <f>H150/DAY(B2)</f>
        <v>224.47</v>
      </c>
    </row>
    <row r="151" spans="1:10" ht="30.75" customHeight="1" x14ac:dyDescent="0.5">
      <c r="A151" s="877" t="s">
        <v>338</v>
      </c>
      <c r="B151" s="878"/>
      <c r="C151" s="879"/>
      <c r="D151" s="117" t="s">
        <v>130</v>
      </c>
      <c r="E151" s="95">
        <f>'10'!F151</f>
        <v>87897</v>
      </c>
      <c r="F151" s="233">
        <v>88114</v>
      </c>
      <c r="G151" s="112">
        <f t="shared" si="11"/>
        <v>217</v>
      </c>
      <c r="H151" s="99">
        <f>G151+'10'!H151</f>
        <v>2634</v>
      </c>
      <c r="I151" s="119"/>
      <c r="J151" s="328">
        <f>H151/DAY(B2)</f>
        <v>239.45454545454547</v>
      </c>
    </row>
    <row r="152" spans="1:10" ht="30.75" customHeight="1" x14ac:dyDescent="0.5">
      <c r="A152" s="877" t="s">
        <v>339</v>
      </c>
      <c r="B152" s="878"/>
      <c r="C152" s="879"/>
      <c r="D152" s="117" t="s">
        <v>130</v>
      </c>
      <c r="E152" s="95">
        <f>'10'!F152</f>
        <v>2180</v>
      </c>
      <c r="F152" s="233">
        <v>2241</v>
      </c>
      <c r="G152" s="112">
        <f t="shared" si="11"/>
        <v>61</v>
      </c>
      <c r="H152" s="99">
        <f>G152+'10'!H152</f>
        <v>581</v>
      </c>
      <c r="I152" s="119"/>
      <c r="J152" s="328">
        <f>H152/DAY(B2)</f>
        <v>52.81818181818182</v>
      </c>
    </row>
    <row r="153" spans="1:10" ht="30.7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2968</v>
      </c>
      <c r="H153" s="363"/>
      <c r="I153" s="119">
        <f>G153-(G38+G52)</f>
        <v>892</v>
      </c>
      <c r="J153" s="366"/>
    </row>
    <row r="154" spans="1:10" ht="30.7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0.75" customHeight="1" x14ac:dyDescent="0.55000000000000004">
      <c r="A155" s="885" t="s">
        <v>345</v>
      </c>
      <c r="B155" s="885"/>
      <c r="C155" s="885"/>
      <c r="D155" s="117" t="s">
        <v>130</v>
      </c>
      <c r="E155" s="95">
        <f>'10'!F155</f>
        <v>39240</v>
      </c>
      <c r="F155" s="551">
        <v>39939</v>
      </c>
      <c r="G155" s="112">
        <f t="shared" ref="G155:G156" si="12">F155-E155</f>
        <v>699</v>
      </c>
      <c r="H155" s="99">
        <f>G155+'10'!H155</f>
        <v>6994</v>
      </c>
      <c r="I155" s="364"/>
      <c r="J155" s="328">
        <f>H155/DAY(B2)</f>
        <v>635.81818181818187</v>
      </c>
    </row>
    <row r="156" spans="1:10" ht="30.75" customHeight="1" x14ac:dyDescent="0.5">
      <c r="A156" s="885" t="s">
        <v>347</v>
      </c>
      <c r="B156" s="885"/>
      <c r="C156" s="885"/>
      <c r="D156" s="117" t="s">
        <v>130</v>
      </c>
      <c r="E156" s="95">
        <f>'10'!F156</f>
        <v>3245</v>
      </c>
      <c r="F156" s="155">
        <v>3296</v>
      </c>
      <c r="G156" s="112">
        <f t="shared" si="12"/>
        <v>51</v>
      </c>
      <c r="H156" s="99">
        <f>G156+'10'!H156</f>
        <v>508</v>
      </c>
      <c r="I156" s="165"/>
      <c r="J156" s="328">
        <f>H156/DAY(B2)</f>
        <v>46.18181818181818</v>
      </c>
    </row>
    <row r="157" spans="1:10" ht="30.75" customHeight="1" x14ac:dyDescent="0.5">
      <c r="A157" s="877" t="s">
        <v>363</v>
      </c>
      <c r="B157" s="878"/>
      <c r="C157" s="879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77" t="s">
        <v>364</v>
      </c>
      <c r="B158" s="878"/>
      <c r="C158" s="879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472470</v>
      </c>
      <c r="F161" s="235">
        <v>472490</v>
      </c>
      <c r="G161" s="238">
        <f t="shared" ref="G161:G165" si="13">F161-E161</f>
        <v>20</v>
      </c>
      <c r="H161" s="99">
        <f>G161+'10'!H161</f>
        <v>436.44000000000233</v>
      </c>
      <c r="I161" s="236"/>
      <c r="J161" s="239">
        <f>H161/DAY(B2)</f>
        <v>39.676363636363845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88884</v>
      </c>
      <c r="F162" s="235">
        <v>88920</v>
      </c>
      <c r="G162" s="238">
        <f t="shared" si="13"/>
        <v>36</v>
      </c>
      <c r="H162" s="99">
        <f>G162+'10'!H162</f>
        <v>403.60000000000582</v>
      </c>
      <c r="I162" s="236"/>
      <c r="J162" s="239">
        <f>H162/DAY(B2)</f>
        <v>36.690909090909621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79662</v>
      </c>
      <c r="F163" s="235">
        <v>79754</v>
      </c>
      <c r="G163" s="238">
        <f t="shared" si="13"/>
        <v>92</v>
      </c>
      <c r="H163" s="99">
        <f>G163+'10'!H163</f>
        <v>533.89999999999418</v>
      </c>
      <c r="I163" s="236"/>
      <c r="J163" s="239">
        <f>H163/DAY(B2)</f>
        <v>48.536363636363106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4330</v>
      </c>
      <c r="F164" s="235">
        <v>4330</v>
      </c>
      <c r="G164" s="238">
        <f t="shared" si="13"/>
        <v>0</v>
      </c>
      <c r="H164" s="99">
        <f>G164+'10'!H164</f>
        <v>10</v>
      </c>
      <c r="I164" s="236"/>
      <c r="J164" s="239">
        <f>H164/DAY(B2)</f>
        <v>0.90909090909090906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29949</v>
      </c>
      <c r="F165" s="235">
        <v>29958</v>
      </c>
      <c r="G165" s="238">
        <f t="shared" si="13"/>
        <v>9</v>
      </c>
      <c r="H165" s="99">
        <f>G165+'10'!H165</f>
        <v>100.75</v>
      </c>
      <c r="I165" s="236"/>
      <c r="J165" s="239">
        <f>H165/DAY(B2)</f>
        <v>9.1590909090909083</v>
      </c>
    </row>
    <row r="166" spans="1:10" ht="30.75" customHeight="1" x14ac:dyDescent="0.5">
      <c r="A166" s="917"/>
      <c r="B166" s="917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17"/>
      <c r="B167" s="917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17"/>
      <c r="B168" s="917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30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75" t="s">
        <v>209</v>
      </c>
      <c r="B173" s="876"/>
      <c r="C173" s="333"/>
      <c r="D173" s="228" t="s">
        <v>142</v>
      </c>
      <c r="E173" s="95">
        <f>'10'!F173</f>
        <v>8132</v>
      </c>
      <c r="F173" s="551">
        <v>8132</v>
      </c>
      <c r="G173" s="155">
        <f>F173-E173</f>
        <v>0</v>
      </c>
      <c r="H173" s="99">
        <f>G173+'10'!H173</f>
        <v>6</v>
      </c>
      <c r="I173" s="155"/>
      <c r="J173" s="178">
        <f>H173/DAY(B2)</f>
        <v>0.54545454545454541</v>
      </c>
    </row>
    <row r="174" spans="1:10" ht="30.75" customHeight="1" x14ac:dyDescent="0.5">
      <c r="A174" s="875" t="s">
        <v>75</v>
      </c>
      <c r="B174" s="876"/>
      <c r="C174" s="333"/>
      <c r="D174" s="228" t="s">
        <v>142</v>
      </c>
      <c r="E174" s="95">
        <f>'10'!F174</f>
        <v>38749</v>
      </c>
      <c r="F174" s="157">
        <v>38761</v>
      </c>
      <c r="G174" s="155">
        <f t="shared" ref="G174:G175" si="14">F174-E174</f>
        <v>12</v>
      </c>
      <c r="H174" s="99">
        <f>G174+'10'!H174</f>
        <v>146</v>
      </c>
      <c r="I174" s="155"/>
      <c r="J174" s="178">
        <f>H174/DAY(B2)</f>
        <v>13.272727272727273</v>
      </c>
    </row>
    <row r="175" spans="1:10" ht="30.75" customHeight="1" x14ac:dyDescent="0.5">
      <c r="A175" s="875" t="s">
        <v>76</v>
      </c>
      <c r="B175" s="880"/>
      <c r="C175" s="876"/>
      <c r="D175" s="228" t="s">
        <v>142</v>
      </c>
      <c r="E175" s="95">
        <f>'10'!F175</f>
        <v>21919</v>
      </c>
      <c r="F175" s="155">
        <v>21931</v>
      </c>
      <c r="G175" s="155">
        <f t="shared" si="14"/>
        <v>12</v>
      </c>
      <c r="H175" s="99">
        <f>G175+'10'!H175</f>
        <v>118</v>
      </c>
      <c r="I175" s="155"/>
      <c r="J175" s="178">
        <f>H175/DAY(B2)</f>
        <v>10.727272727272727</v>
      </c>
    </row>
    <row r="176" spans="1:10" ht="30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G176+'10'!H176</f>
        <v>270</v>
      </c>
      <c r="I176" s="155"/>
      <c r="J176" s="178">
        <f>H176/DAY(B2)</f>
        <v>24.545454545454547</v>
      </c>
    </row>
    <row r="177" spans="1:10" ht="30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75" t="s">
        <v>210</v>
      </c>
      <c r="B178" s="876"/>
      <c r="C178" s="333"/>
      <c r="D178" s="228" t="s">
        <v>142</v>
      </c>
      <c r="E178" s="95">
        <f>'10'!F178</f>
        <v>81848</v>
      </c>
      <c r="F178" s="155">
        <v>81878</v>
      </c>
      <c r="G178" s="155">
        <f>F178-E178</f>
        <v>30</v>
      </c>
      <c r="H178" s="99">
        <f>G178+'10'!H178</f>
        <v>563</v>
      </c>
      <c r="I178" s="155"/>
      <c r="J178" s="178">
        <f>H178/DAY(B2)</f>
        <v>51.18181818181818</v>
      </c>
    </row>
    <row r="179" spans="1:10" ht="30.75" customHeight="1" x14ac:dyDescent="0.5">
      <c r="A179" s="875" t="s">
        <v>211</v>
      </c>
      <c r="B179" s="876"/>
      <c r="C179" s="333"/>
      <c r="D179" s="228" t="s">
        <v>142</v>
      </c>
      <c r="E179" s="95">
        <f>'10'!F179</f>
        <v>35133</v>
      </c>
      <c r="F179" s="155">
        <v>35157</v>
      </c>
      <c r="G179" s="155">
        <f t="shared" ref="G179:G180" si="15">F179-E179</f>
        <v>24</v>
      </c>
      <c r="H179" s="99">
        <f>G179+'10'!H179</f>
        <v>354</v>
      </c>
      <c r="I179" s="155"/>
      <c r="J179" s="178">
        <f>H179/DAY(B2)</f>
        <v>32.18181818181818</v>
      </c>
    </row>
    <row r="180" spans="1:10" ht="30.75" customHeight="1" x14ac:dyDescent="0.5">
      <c r="A180" s="875" t="s">
        <v>212</v>
      </c>
      <c r="B180" s="876"/>
      <c r="C180" s="333"/>
      <c r="D180" s="228" t="s">
        <v>142</v>
      </c>
      <c r="E180" s="95">
        <f>'10'!F180</f>
        <v>5770</v>
      </c>
      <c r="F180" s="155">
        <v>5772</v>
      </c>
      <c r="G180" s="155">
        <f t="shared" si="15"/>
        <v>2</v>
      </c>
      <c r="H180" s="99">
        <f>G180+'10'!H180</f>
        <v>70</v>
      </c>
      <c r="I180" s="155"/>
      <c r="J180" s="178">
        <f>H180/DAY(B2)</f>
        <v>6.3636363636363633</v>
      </c>
    </row>
    <row r="181" spans="1:10" ht="30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56</v>
      </c>
      <c r="H181" s="99">
        <f>G181+'10'!H181</f>
        <v>987</v>
      </c>
      <c r="I181" s="155"/>
      <c r="J181" s="178">
        <f>H181/DAY(B2)</f>
        <v>89.727272727272734</v>
      </c>
    </row>
    <row r="182" spans="1:10" ht="30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75" t="s">
        <v>214</v>
      </c>
      <c r="B183" s="876"/>
      <c r="C183" s="334"/>
      <c r="D183" s="228" t="s">
        <v>142</v>
      </c>
      <c r="E183" s="95">
        <f>'10'!F183</f>
        <v>15484</v>
      </c>
      <c r="F183" s="157">
        <v>15521</v>
      </c>
      <c r="G183" s="157">
        <f>F183-E183</f>
        <v>37</v>
      </c>
      <c r="H183" s="99">
        <f>G183+'10'!H183</f>
        <v>176</v>
      </c>
      <c r="I183" s="155"/>
      <c r="J183" s="178">
        <f>H183/DAY(B2)</f>
        <v>16</v>
      </c>
    </row>
    <row r="184" spans="1:10" ht="30.75" customHeight="1" x14ac:dyDescent="0.5">
      <c r="A184" s="875" t="s">
        <v>215</v>
      </c>
      <c r="B184" s="876"/>
      <c r="C184" s="334"/>
      <c r="D184" s="228" t="s">
        <v>142</v>
      </c>
      <c r="E184" s="95">
        <f>'10'!F184</f>
        <v>10651</v>
      </c>
      <c r="F184" s="157">
        <v>10660</v>
      </c>
      <c r="G184" s="157">
        <f t="shared" ref="G184:G185" si="16">F184-E184</f>
        <v>9</v>
      </c>
      <c r="H184" s="99">
        <f>G184+'10'!H184</f>
        <v>142</v>
      </c>
      <c r="I184" s="155"/>
      <c r="J184" s="178">
        <f>H184/DAY(B2)</f>
        <v>12.909090909090908</v>
      </c>
    </row>
    <row r="185" spans="1:10" ht="30.75" customHeight="1" x14ac:dyDescent="0.5">
      <c r="A185" s="875" t="s">
        <v>216</v>
      </c>
      <c r="B185" s="876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46</v>
      </c>
      <c r="H186" s="99">
        <f>G186+'10'!H186</f>
        <v>318</v>
      </c>
      <c r="I186" s="157"/>
      <c r="J186" s="178">
        <f>H186/DAY(B2)</f>
        <v>28.90909090909091</v>
      </c>
    </row>
    <row r="187" spans="1:10" ht="30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237</v>
      </c>
      <c r="H187" s="99">
        <f>G187+'10'!H187</f>
        <v>1967</v>
      </c>
      <c r="I187" s="158"/>
      <c r="J187" s="179">
        <f>H187/DAY(B2)</f>
        <v>178.81818181818181</v>
      </c>
    </row>
    <row r="188" spans="1:10" ht="30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244</v>
      </c>
      <c r="H188" s="99">
        <f>G188+'10'!H188</f>
        <v>1979</v>
      </c>
      <c r="I188" s="158"/>
      <c r="J188" s="179">
        <f>H188/DAY(B2)</f>
        <v>179.90909090909091</v>
      </c>
    </row>
    <row r="189" spans="1:10" ht="30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56</v>
      </c>
      <c r="H189" s="99">
        <f>G189+'10'!H189</f>
        <v>987</v>
      </c>
      <c r="I189" s="158"/>
      <c r="J189" s="179">
        <f>H189/DAY(B2)</f>
        <v>89.727272727272734</v>
      </c>
    </row>
    <row r="190" spans="1:10" ht="30.75" customHeight="1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22" zoomScale="50" zoomScaleNormal="75" zoomScaleSheetLayoutView="50" workbookViewId="0">
      <selection activeCell="F27" sqref="F27:F31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32.25" customHeight="1" x14ac:dyDescent="0.5">
      <c r="A2" s="191" t="s">
        <v>303</v>
      </c>
      <c r="B2" s="262">
        <v>44604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866845</v>
      </c>
      <c r="F7" s="95">
        <v>889068</v>
      </c>
      <c r="G7" s="112">
        <f>F7-E7</f>
        <v>22223</v>
      </c>
      <c r="H7" s="99">
        <f>G7+'11'!H7</f>
        <v>237887.77000000002</v>
      </c>
      <c r="I7" s="113">
        <f>'1'!I7</f>
        <v>12000</v>
      </c>
      <c r="J7" s="175">
        <f>H7/DAY(B2)</f>
        <v>19823.980833333335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925914</v>
      </c>
      <c r="F8" s="95">
        <v>948253</v>
      </c>
      <c r="G8" s="115">
        <f>F8-E8</f>
        <v>22339</v>
      </c>
      <c r="H8" s="99">
        <f>G8+'11'!H8</f>
        <v>239704.84999999998</v>
      </c>
      <c r="I8" s="116"/>
      <c r="J8" s="175">
        <f>H8/DAY(B2)</f>
        <v>19975.404166666664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442898</v>
      </c>
      <c r="F9" s="598">
        <v>461289</v>
      </c>
      <c r="G9" s="112">
        <f>F9-E9</f>
        <v>18391</v>
      </c>
      <c r="H9" s="99">
        <f>G9+'11'!H9</f>
        <v>179035.15000000002</v>
      </c>
      <c r="I9" s="124">
        <f>I7-J7</f>
        <v>-7823.9808333333349</v>
      </c>
      <c r="J9" s="175">
        <f>H9/DAY(B2)</f>
        <v>14919.595833333335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154225</v>
      </c>
      <c r="F10" s="353">
        <v>157461</v>
      </c>
      <c r="G10" s="112">
        <f t="shared" ref="G10:G12" si="0">F10-E10</f>
        <v>3236</v>
      </c>
      <c r="H10" s="99">
        <f>G10+'11'!H10</f>
        <v>52202.03</v>
      </c>
      <c r="I10" s="282"/>
      <c r="J10" s="175">
        <f>H10/DAY(B2)</f>
        <v>4350.1691666666666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37170</v>
      </c>
      <c r="F11" s="95">
        <v>37170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21627</v>
      </c>
      <c r="H13" s="99">
        <f>G13+'11'!H13</f>
        <v>214482.75</v>
      </c>
      <c r="I13" s="120">
        <f>G7-G13</f>
        <v>596</v>
      </c>
      <c r="J13" s="175">
        <f>H13/DAY(B2)</f>
        <v>17873.5625</v>
      </c>
      <c r="K13" s="79"/>
      <c r="L13" s="66"/>
      <c r="N13" s="87"/>
      <c r="O13" s="71"/>
    </row>
    <row r="14" spans="1:15" ht="32.2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1918069</v>
      </c>
      <c r="F15" s="123">
        <v>1919362</v>
      </c>
      <c r="G15" s="112">
        <f>(F15-E15)</f>
        <v>1293</v>
      </c>
      <c r="H15" s="99">
        <f>G15+'11'!H15</f>
        <v>12725.233000000007</v>
      </c>
      <c r="I15" s="113">
        <f>'1'!I15</f>
        <v>800</v>
      </c>
      <c r="J15" s="175">
        <f>H15/DAY(B2)</f>
        <v>1060.436083333334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-260.43608333333395</v>
      </c>
      <c r="J16" s="176"/>
      <c r="K16" s="79"/>
      <c r="L16" s="66"/>
      <c r="N16" s="87"/>
      <c r="O16" s="71"/>
    </row>
    <row r="17" spans="1:15" ht="32.2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53" t="s">
        <v>141</v>
      </c>
      <c r="B18" s="854"/>
      <c r="C18" s="855"/>
      <c r="D18" s="151" t="s">
        <v>142</v>
      </c>
      <c r="E18" s="95">
        <f>'11'!F18</f>
        <v>26</v>
      </c>
      <c r="F18" s="122">
        <v>28</v>
      </c>
      <c r="G18" s="119">
        <f>F18*10</f>
        <v>280</v>
      </c>
      <c r="H18" s="99">
        <f>G18+'11'!H18</f>
        <v>2550</v>
      </c>
      <c r="I18" s="113">
        <f>'1'!I18</f>
        <v>65</v>
      </c>
      <c r="J18" s="175">
        <f>H18/DAY(B2)</f>
        <v>212.5</v>
      </c>
      <c r="K18" s="79"/>
      <c r="L18" s="66"/>
      <c r="N18" s="87"/>
      <c r="O18" s="71"/>
    </row>
    <row r="19" spans="1:15" ht="32.25" customHeight="1" x14ac:dyDescent="0.5">
      <c r="A19" s="853" t="s">
        <v>69</v>
      </c>
      <c r="B19" s="854"/>
      <c r="C19" s="855"/>
      <c r="D19" s="151" t="s">
        <v>142</v>
      </c>
      <c r="E19" s="95">
        <f>'11'!F19</f>
        <v>154465</v>
      </c>
      <c r="F19" s="122">
        <v>154524</v>
      </c>
      <c r="G19" s="112">
        <f t="shared" ref="G19" si="1">F19-E19</f>
        <v>59</v>
      </c>
      <c r="H19" s="99">
        <f>G19+'11'!H19</f>
        <v>633</v>
      </c>
      <c r="I19" s="335"/>
      <c r="J19" s="175">
        <f>H19/DAY(B2)</f>
        <v>52.75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339</v>
      </c>
      <c r="H20" s="99">
        <f>G20+'11'!H20</f>
        <v>3183</v>
      </c>
      <c r="I20" s="336">
        <f>I18-J20</f>
        <v>-200.25</v>
      </c>
      <c r="J20" s="175">
        <f>H20/DAY(B2)</f>
        <v>265.25</v>
      </c>
      <c r="K20" s="79"/>
      <c r="L20" s="66"/>
      <c r="N20" s="87"/>
      <c r="O20" s="71"/>
    </row>
    <row r="21" spans="1:15" ht="32.2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22339</v>
      </c>
      <c r="F27" s="136">
        <v>9</v>
      </c>
      <c r="G27" s="137">
        <f>E27*F27</f>
        <v>201051</v>
      </c>
      <c r="H27" s="99">
        <f>G27+'11'!H27</f>
        <v>2157343.65</v>
      </c>
      <c r="I27" s="138"/>
      <c r="J27" s="175">
        <f>H27/DAY(B2)</f>
        <v>179778.63749999998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1293</v>
      </c>
      <c r="F28" s="136">
        <v>70</v>
      </c>
      <c r="G28" s="137">
        <f>E28*F28</f>
        <v>90510</v>
      </c>
      <c r="H28" s="99">
        <f>G28+'11'!H28</f>
        <v>684986.11600000039</v>
      </c>
      <c r="I28" s="140"/>
      <c r="J28" s="175">
        <f>H28/DAY(B2)</f>
        <v>57082.176333333366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151</v>
      </c>
      <c r="G30" s="137">
        <f>E30*F30</f>
        <v>8909</v>
      </c>
      <c r="H30" s="99">
        <f>G30+'11'!H30</f>
        <v>92713</v>
      </c>
      <c r="I30" s="140"/>
      <c r="J30" s="175">
        <f>H30/DAY(B2)</f>
        <v>7726.083333333333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G31+'11'!H31</f>
        <v>204000</v>
      </c>
      <c r="I31" s="140"/>
      <c r="J31" s="175">
        <f>H31/DAY(B2)</f>
        <v>17000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322870</v>
      </c>
      <c r="H32" s="99">
        <f>G32+'11'!H32</f>
        <v>3139042.7660000003</v>
      </c>
      <c r="I32" s="144"/>
      <c r="J32" s="175">
        <f>H32/DAY(B2)</f>
        <v>261586.89716666669</v>
      </c>
      <c r="K32" s="63"/>
      <c r="L32" s="89"/>
      <c r="N32" s="87"/>
      <c r="O32" s="71"/>
    </row>
    <row r="33" spans="1:15" ht="32.2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48436</v>
      </c>
      <c r="F35" s="145">
        <v>50061</v>
      </c>
      <c r="G35" s="112">
        <f t="shared" ref="G35:G46" si="3">F35-E35</f>
        <v>1625</v>
      </c>
      <c r="H35" s="99">
        <f>G35+'11'!H35</f>
        <v>18056.02</v>
      </c>
      <c r="I35" s="95"/>
      <c r="J35" s="175">
        <f>H35/DAY(B2)</f>
        <v>1504.6683333333333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53614</v>
      </c>
      <c r="F36" s="145">
        <v>54808</v>
      </c>
      <c r="G36" s="112">
        <f t="shared" si="3"/>
        <v>1194</v>
      </c>
      <c r="H36" s="99">
        <f>G36+'11'!H36</f>
        <v>11349.260000000002</v>
      </c>
      <c r="I36" s="95"/>
      <c r="J36" s="175">
        <f>H36/DAY(B2)</f>
        <v>945.77166666666687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53259</v>
      </c>
      <c r="F37" s="376">
        <v>55042</v>
      </c>
      <c r="G37" s="112">
        <f t="shared" si="3"/>
        <v>1783</v>
      </c>
      <c r="H37" s="99">
        <f>G37+'11'!H37</f>
        <v>19616.910000000003</v>
      </c>
      <c r="I37" s="95"/>
      <c r="J37" s="175">
        <f>H37/DAY(B2)</f>
        <v>1634.7425000000003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59023</v>
      </c>
      <c r="F38" s="108">
        <v>61185</v>
      </c>
      <c r="G38" s="112">
        <f t="shared" si="3"/>
        <v>2162</v>
      </c>
      <c r="H38" s="99">
        <f>G38+'11'!H38</f>
        <v>22808.57</v>
      </c>
      <c r="I38" s="95"/>
      <c r="J38" s="175">
        <f>H38/DAY(B2)</f>
        <v>1900.7141666666666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90428</v>
      </c>
      <c r="F39" s="145">
        <v>93673</v>
      </c>
      <c r="G39" s="112">
        <f t="shared" si="3"/>
        <v>3245</v>
      </c>
      <c r="H39" s="99">
        <f>G39+'11'!H39</f>
        <v>34499.71</v>
      </c>
      <c r="I39" s="95"/>
      <c r="J39" s="175">
        <f>H39/DAY(B2)</f>
        <v>2874.9758333333334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25009</v>
      </c>
      <c r="F40" s="145">
        <v>25514</v>
      </c>
      <c r="G40" s="112">
        <f t="shared" si="3"/>
        <v>505</v>
      </c>
      <c r="H40" s="99">
        <f>G40+'11'!H40</f>
        <v>3397.0099999999975</v>
      </c>
      <c r="I40" s="95"/>
      <c r="J40" s="175">
        <f>H40/DAY(B2)</f>
        <v>283.08416666666648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0.27000000000000313</v>
      </c>
      <c r="I41" s="95"/>
      <c r="J41" s="175">
        <f>H41/DAY(B2)</f>
        <v>2.2500000000000259E-2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126339</v>
      </c>
      <c r="F42" s="145">
        <v>131048</v>
      </c>
      <c r="G42" s="112">
        <f t="shared" si="3"/>
        <v>4709</v>
      </c>
      <c r="H42" s="99">
        <f>G42+'11'!H42</f>
        <v>30918.259999999995</v>
      </c>
      <c r="I42" s="95"/>
      <c r="J42" s="175">
        <f>H42/DAY(B2)</f>
        <v>2576.5216666666661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138387</v>
      </c>
      <c r="F43" s="376">
        <v>140613</v>
      </c>
      <c r="G43" s="112">
        <f t="shared" si="3"/>
        <v>2226</v>
      </c>
      <c r="H43" s="99">
        <f>G43+'11'!H43</f>
        <v>25761.399999999994</v>
      </c>
      <c r="I43" s="95"/>
      <c r="J43" s="175">
        <f>H43/DAY(B2)</f>
        <v>2146.7833333333328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17449</v>
      </c>
      <c r="H47" s="99">
        <f>G47+'11'!H47</f>
        <v>166407.41</v>
      </c>
      <c r="I47" s="95"/>
      <c r="J47" s="175">
        <f>H47/DAY(B2)</f>
        <v>13867.284166666666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38922</v>
      </c>
      <c r="F49" s="145">
        <v>40496</v>
      </c>
      <c r="G49" s="112">
        <f t="shared" ref="G49:G58" si="4">F49-E49</f>
        <v>1574</v>
      </c>
      <c r="H49" s="99">
        <f>G49+'11'!H49</f>
        <v>15499.810000000001</v>
      </c>
      <c r="I49" s="95"/>
      <c r="J49" s="175">
        <f>H49/DAY(B2)</f>
        <v>1291.6508333333334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69423</v>
      </c>
      <c r="F50" s="145">
        <v>70733</v>
      </c>
      <c r="G50" s="112">
        <f t="shared" si="4"/>
        <v>1310</v>
      </c>
      <c r="H50" s="99">
        <f>G50+'11'!H50</f>
        <v>14346.370000000003</v>
      </c>
      <c r="I50" s="95"/>
      <c r="J50" s="175">
        <f>H50/DAY(B2)</f>
        <v>1195.5308333333335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10146</v>
      </c>
      <c r="F54" s="145">
        <v>10689</v>
      </c>
      <c r="G54" s="112">
        <f t="shared" si="4"/>
        <v>543</v>
      </c>
      <c r="H54" s="99">
        <f>G54+'11'!H54</f>
        <v>5541.58</v>
      </c>
      <c r="I54" s="95"/>
      <c r="J54" s="175">
        <f>H54/DAY(B2)</f>
        <v>461.79833333333335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90154</v>
      </c>
      <c r="F55" s="145">
        <v>90373</v>
      </c>
      <c r="G55" s="112">
        <f t="shared" si="4"/>
        <v>219</v>
      </c>
      <c r="H55" s="99">
        <f>G55+'11'!H55</f>
        <v>16006.89</v>
      </c>
      <c r="I55" s="95"/>
      <c r="J55" s="175">
        <f>H55/DAY(B2)</f>
        <v>1333.9075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8724</v>
      </c>
      <c r="F56" s="145">
        <v>8724</v>
      </c>
      <c r="G56" s="112">
        <f t="shared" si="4"/>
        <v>0</v>
      </c>
      <c r="H56" s="99">
        <f>G56+'11'!H56</f>
        <v>113.45999999999913</v>
      </c>
      <c r="I56" s="95"/>
      <c r="J56" s="175">
        <f>H56/DAY(B2)</f>
        <v>9.4549999999999272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7138</v>
      </c>
      <c r="F58" s="145">
        <v>7369</v>
      </c>
      <c r="G58" s="112">
        <f t="shared" si="4"/>
        <v>231</v>
      </c>
      <c r="H58" s="99">
        <f>G58+'11'!H58</f>
        <v>2572.79</v>
      </c>
      <c r="I58" s="95"/>
      <c r="J58" s="175">
        <f>H58/DAY(B2)</f>
        <v>214.39916666666667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3877</v>
      </c>
      <c r="H59" s="99">
        <f>G59+'11'!H59</f>
        <v>54080.9</v>
      </c>
      <c r="I59" s="95">
        <f>G7-G60</f>
        <v>897</v>
      </c>
      <c r="J59" s="175">
        <f>H59/DAY(B2)</f>
        <v>4506.7416666666668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21326</v>
      </c>
      <c r="H60" s="99">
        <f>G60+'11'!H60</f>
        <v>220488.31</v>
      </c>
      <c r="I60" s="95">
        <f>G13-G60</f>
        <v>301</v>
      </c>
      <c r="J60" s="175">
        <f>H60/DAY(B2)</f>
        <v>18374.025833333333</v>
      </c>
      <c r="K60" s="79"/>
      <c r="L60" s="66"/>
      <c r="N60" s="87"/>
      <c r="O60" s="71"/>
    </row>
    <row r="61" spans="1:15" s="68" customFormat="1" ht="32.2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53" t="s">
        <v>198</v>
      </c>
      <c r="B62" s="854"/>
      <c r="C62" s="855"/>
      <c r="D62" s="151" t="s">
        <v>142</v>
      </c>
      <c r="E62" s="95">
        <f>'11'!F62</f>
        <v>270909</v>
      </c>
      <c r="F62" s="122">
        <v>271086</v>
      </c>
      <c r="G62" s="112">
        <f t="shared" ref="G62:G63" si="5">F62-E62</f>
        <v>177</v>
      </c>
      <c r="H62" s="99">
        <f>G62+'11'!H62</f>
        <v>1570</v>
      </c>
      <c r="I62" s="118"/>
      <c r="J62" s="175">
        <f>H62/DAY(B2)</f>
        <v>130.83333333333334</v>
      </c>
      <c r="K62" s="80"/>
      <c r="L62" s="66"/>
      <c r="N62" s="87"/>
      <c r="O62" s="71"/>
    </row>
    <row r="63" spans="1:15" ht="32.25" customHeight="1" x14ac:dyDescent="0.5">
      <c r="A63" s="853" t="s">
        <v>199</v>
      </c>
      <c r="B63" s="854"/>
      <c r="C63" s="855"/>
      <c r="D63" s="151" t="s">
        <v>142</v>
      </c>
      <c r="E63" s="95">
        <f>'11'!F63</f>
        <v>217198</v>
      </c>
      <c r="F63" s="122">
        <v>217380</v>
      </c>
      <c r="G63" s="112">
        <f t="shared" si="5"/>
        <v>182</v>
      </c>
      <c r="H63" s="99">
        <f>G63+'11'!H63</f>
        <v>1583</v>
      </c>
      <c r="I63" s="118"/>
      <c r="J63" s="175">
        <f>H63/DAY(B2)</f>
        <v>131.91666666666666</v>
      </c>
      <c r="K63" s="69"/>
      <c r="L63" s="66"/>
      <c r="N63" s="87"/>
      <c r="O63" s="71"/>
    </row>
    <row r="64" spans="1:15" ht="32.25" customHeight="1" x14ac:dyDescent="0.5">
      <c r="A64" s="850" t="s">
        <v>200</v>
      </c>
      <c r="B64" s="851"/>
      <c r="C64" s="852"/>
      <c r="D64" s="151"/>
      <c r="E64" s="95">
        <f>'11'!F64</f>
        <v>0</v>
      </c>
      <c r="F64" s="122"/>
      <c r="G64" s="112">
        <f>G62+G63</f>
        <v>359</v>
      </c>
      <c r="H64" s="99">
        <f>G64+'11'!H64</f>
        <v>3153</v>
      </c>
      <c r="I64" s="118"/>
      <c r="J64" s="175">
        <f>H64/DAY(B2)</f>
        <v>262.75</v>
      </c>
      <c r="K64" s="69"/>
      <c r="L64" s="66"/>
      <c r="N64" s="87"/>
      <c r="O64" s="71"/>
    </row>
    <row r="65" spans="1:15" ht="32.25" customHeight="1" x14ac:dyDescent="0.5">
      <c r="A65" s="853" t="s">
        <v>201</v>
      </c>
      <c r="B65" s="854"/>
      <c r="C65" s="855"/>
      <c r="D65" s="151" t="s">
        <v>142</v>
      </c>
      <c r="E65" s="95">
        <f>'11'!F65</f>
        <v>435970</v>
      </c>
      <c r="F65" s="122">
        <v>436096</v>
      </c>
      <c r="G65" s="112">
        <f t="shared" ref="G65:G70" si="6">F65-E65</f>
        <v>126</v>
      </c>
      <c r="H65" s="99">
        <f>G65+'11'!H65</f>
        <v>1173</v>
      </c>
      <c r="I65" s="118"/>
      <c r="J65" s="175">
        <f>H65/DAY(B2)</f>
        <v>97.75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108017</v>
      </c>
      <c r="F66" s="122">
        <v>108045</v>
      </c>
      <c r="G66" s="112">
        <f t="shared" si="6"/>
        <v>28</v>
      </c>
      <c r="H66" s="99">
        <f>G66+'11'!H66</f>
        <v>302</v>
      </c>
      <c r="I66" s="118"/>
      <c r="J66" s="175">
        <f>H66/DAY(B2)</f>
        <v>25.166666666666668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105015</v>
      </c>
      <c r="F67" s="122">
        <v>105081</v>
      </c>
      <c r="G67" s="112">
        <f t="shared" si="6"/>
        <v>66</v>
      </c>
      <c r="H67" s="99">
        <f>G67+'11'!H67</f>
        <v>433</v>
      </c>
      <c r="I67" s="118"/>
      <c r="J67" s="175">
        <f>H67/DAY(B2)</f>
        <v>36.083333333333336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158114</v>
      </c>
      <c r="F68" s="122">
        <v>158166</v>
      </c>
      <c r="G68" s="112">
        <f t="shared" si="6"/>
        <v>52</v>
      </c>
      <c r="H68" s="99">
        <f>G68+'11'!H68</f>
        <v>469</v>
      </c>
      <c r="I68" s="118"/>
      <c r="J68" s="175">
        <f>H68/DAY(B2)</f>
        <v>39.083333333333336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10688</v>
      </c>
      <c r="F69" s="122">
        <v>10702</v>
      </c>
      <c r="G69" s="112">
        <f t="shared" si="6"/>
        <v>14</v>
      </c>
      <c r="H69" s="99">
        <f>G69+'11'!H69</f>
        <v>161</v>
      </c>
      <c r="I69" s="118"/>
      <c r="J69" s="175">
        <f>H69/DAY(B2)</f>
        <v>13.416666666666666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8264</v>
      </c>
      <c r="F70" s="122">
        <v>8269</v>
      </c>
      <c r="G70" s="112">
        <f t="shared" si="6"/>
        <v>5</v>
      </c>
      <c r="H70" s="99">
        <f>G70+'11'!H70</f>
        <v>149</v>
      </c>
      <c r="I70" s="118"/>
      <c r="J70" s="175">
        <f>H70/DAY(B2)</f>
        <v>12.416666666666666</v>
      </c>
      <c r="K70" s="69"/>
      <c r="L70" s="66"/>
      <c r="N70" s="87"/>
      <c r="O70" s="71"/>
    </row>
    <row r="71" spans="1:15" ht="32.2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291</v>
      </c>
      <c r="H71" s="99">
        <f>G71+'11'!H71</f>
        <v>2687</v>
      </c>
      <c r="I71" s="154"/>
      <c r="J71" s="175">
        <f>H71/DAY(B2)</f>
        <v>223.91666666666666</v>
      </c>
      <c r="K71" s="69"/>
      <c r="L71" s="66"/>
      <c r="N71" s="87"/>
      <c r="O71" s="71"/>
    </row>
    <row r="72" spans="1:15" s="88" customFormat="1" ht="32.2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53" t="s">
        <v>220</v>
      </c>
      <c r="B74" s="854"/>
      <c r="C74" s="855"/>
      <c r="D74" s="151" t="s">
        <v>139</v>
      </c>
      <c r="E74" s="95">
        <f>'11'!F74</f>
        <v>904690</v>
      </c>
      <c r="F74" s="117">
        <v>905014</v>
      </c>
      <c r="G74" s="112">
        <f t="shared" ref="G74:G78" si="7">F74-E74</f>
        <v>324</v>
      </c>
      <c r="H74" s="99">
        <f>G74+'11'!H74</f>
        <v>3707.8510000000242</v>
      </c>
      <c r="I74" s="154"/>
      <c r="J74" s="175">
        <f>H74/DAY(B2)</f>
        <v>308.98758333333535</v>
      </c>
      <c r="K74" s="69"/>
      <c r="L74" s="66"/>
      <c r="N74" s="87"/>
      <c r="O74" s="71"/>
    </row>
    <row r="75" spans="1:15" ht="32.25" customHeight="1" x14ac:dyDescent="0.5">
      <c r="A75" s="853" t="s">
        <v>221</v>
      </c>
      <c r="B75" s="854"/>
      <c r="C75" s="855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97" t="s">
        <v>222</v>
      </c>
      <c r="B76" s="883"/>
      <c r="C76" s="884"/>
      <c r="D76" s="151" t="s">
        <v>139</v>
      </c>
      <c r="E76" s="95">
        <f>'11'!F76</f>
        <v>171252</v>
      </c>
      <c r="F76" s="123">
        <v>171404</v>
      </c>
      <c r="G76" s="112">
        <f t="shared" si="7"/>
        <v>152</v>
      </c>
      <c r="H76" s="99">
        <f>G76+'11'!H76</f>
        <v>1429</v>
      </c>
      <c r="I76" s="154"/>
      <c r="J76" s="175">
        <f>H76/DAY(B2)</f>
        <v>119.08333333333333</v>
      </c>
      <c r="K76" s="69"/>
      <c r="L76" s="66"/>
      <c r="N76" s="87"/>
      <c r="O76" s="71"/>
    </row>
    <row r="77" spans="1:15" ht="32.25" customHeight="1" x14ac:dyDescent="0.5">
      <c r="A77" s="897" t="s">
        <v>223</v>
      </c>
      <c r="B77" s="883"/>
      <c r="C77" s="884"/>
      <c r="D77" s="151" t="s">
        <v>139</v>
      </c>
      <c r="E77" s="95">
        <f>'11'!F77</f>
        <v>41826</v>
      </c>
      <c r="F77" s="123">
        <v>41884</v>
      </c>
      <c r="G77" s="112">
        <f t="shared" si="7"/>
        <v>58</v>
      </c>
      <c r="H77" s="99">
        <f>G77+'11'!H77</f>
        <v>581.80000000000291</v>
      </c>
      <c r="I77" s="154"/>
      <c r="J77" s="175">
        <f>H77/DAY(B2)</f>
        <v>48.483333333333576</v>
      </c>
      <c r="K77" s="69"/>
      <c r="L77" s="66"/>
      <c r="N77" s="87"/>
      <c r="O77" s="71"/>
    </row>
    <row r="78" spans="1:15" ht="32.25" customHeight="1" x14ac:dyDescent="0.5">
      <c r="A78" s="897" t="s">
        <v>224</v>
      </c>
      <c r="B78" s="883"/>
      <c r="C78" s="884"/>
      <c r="D78" s="151" t="s">
        <v>139</v>
      </c>
      <c r="E78" s="95">
        <f>'11'!F78</f>
        <v>9534</v>
      </c>
      <c r="F78" s="123">
        <v>9538</v>
      </c>
      <c r="G78" s="112">
        <f t="shared" si="7"/>
        <v>4</v>
      </c>
      <c r="H78" s="99">
        <f>G78+'11'!H78</f>
        <v>22</v>
      </c>
      <c r="I78" s="118"/>
      <c r="J78" s="175">
        <f>H78/DAY(B2)</f>
        <v>1.8333333333333333</v>
      </c>
      <c r="K78" s="69"/>
      <c r="L78" s="66"/>
      <c r="N78" s="87"/>
      <c r="O78" s="71"/>
    </row>
    <row r="79" spans="1:15" s="57" customFormat="1" ht="32.25" customHeight="1" x14ac:dyDescent="0.5">
      <c r="A79" s="897" t="s">
        <v>225</v>
      </c>
      <c r="B79" s="883"/>
      <c r="C79" s="884"/>
      <c r="D79" s="151"/>
      <c r="E79" s="95">
        <f>'11'!F79</f>
        <v>0</v>
      </c>
      <c r="F79" s="117"/>
      <c r="G79" s="112">
        <f>G15-SUM(G74:G78)</f>
        <v>755</v>
      </c>
      <c r="H79" s="99">
        <f>G79+'11'!H79</f>
        <v>6984.3819999999832</v>
      </c>
      <c r="I79" s="118"/>
      <c r="J79" s="175">
        <f>H79/DAY(B2)</f>
        <v>582.03183333333197</v>
      </c>
      <c r="K79" s="59"/>
      <c r="L79" s="58"/>
      <c r="N79" s="87"/>
      <c r="O79" s="71"/>
    </row>
    <row r="80" spans="1:15" s="57" customFormat="1" ht="32.2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1293</v>
      </c>
      <c r="H80" s="99">
        <f>G80+'11'!H80</f>
        <v>1293</v>
      </c>
      <c r="I80" s="118"/>
      <c r="J80" s="175">
        <f>H80/DAY(B2)</f>
        <v>107.75</v>
      </c>
      <c r="K80" s="59"/>
      <c r="L80" s="58"/>
      <c r="N80" s="87"/>
      <c r="O80" s="71"/>
    </row>
    <row r="81" spans="1:15" ht="32.2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2408</v>
      </c>
      <c r="F85" s="164">
        <v>2432</v>
      </c>
      <c r="G85" s="112">
        <f t="shared" si="8"/>
        <v>24</v>
      </c>
      <c r="H85" s="99">
        <f>G85+'11'!H85</f>
        <v>171.57999999999993</v>
      </c>
      <c r="I85" s="118">
        <f>G82+G83+G84+G85</f>
        <v>24</v>
      </c>
      <c r="J85" s="175">
        <f>H85/DAY(B2)</f>
        <v>14.298333333333327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43560</v>
      </c>
      <c r="F86" s="164">
        <v>43562</v>
      </c>
      <c r="G86" s="112">
        <f t="shared" si="8"/>
        <v>2</v>
      </c>
      <c r="H86" s="99">
        <f>G86+'11'!H86</f>
        <v>120</v>
      </c>
      <c r="I86" s="118"/>
      <c r="J86" s="175">
        <f>H86/DAY(B2)</f>
        <v>10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24063</v>
      </c>
      <c r="F88" s="164">
        <v>24066.77</v>
      </c>
      <c r="G88" s="112">
        <f t="shared" si="8"/>
        <v>3.7700000000004366</v>
      </c>
      <c r="H88" s="99">
        <f>G88+'11'!H88</f>
        <v>3.3400000000001455</v>
      </c>
      <c r="I88" s="118">
        <f>G86+G87+G88</f>
        <v>5.7700000000004366</v>
      </c>
      <c r="J88" s="175">
        <f>H88/DAY(B2)</f>
        <v>0.27833333333334548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26004</v>
      </c>
      <c r="F89" s="164">
        <v>26012.63</v>
      </c>
      <c r="G89" s="112">
        <f t="shared" si="8"/>
        <v>8.6300000000010186</v>
      </c>
      <c r="H89" s="99">
        <f>G89+'11'!H89</f>
        <v>121.51000000000204</v>
      </c>
      <c r="I89" s="118"/>
      <c r="J89" s="175">
        <f>H89/DAY(B2)</f>
        <v>10.125833333333503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71194</v>
      </c>
      <c r="F90" s="164">
        <v>71201.23</v>
      </c>
      <c r="G90" s="112">
        <f t="shared" si="8"/>
        <v>7.2299999999959255</v>
      </c>
      <c r="H90" s="99">
        <f>G90+'11'!H90</f>
        <v>37.909999999988941</v>
      </c>
      <c r="I90" s="118">
        <f>G89+G90</f>
        <v>15.859999999996944</v>
      </c>
      <c r="J90" s="175">
        <f>H90/DAY(B2)</f>
        <v>3.1591666666657452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3376</v>
      </c>
      <c r="F91" s="122">
        <v>3387.86</v>
      </c>
      <c r="G91" s="112">
        <f t="shared" si="8"/>
        <v>11.860000000000127</v>
      </c>
      <c r="H91" s="99">
        <f>G91+'11'!H91</f>
        <v>136.76999999999998</v>
      </c>
      <c r="I91" s="165"/>
      <c r="J91" s="175">
        <f>H91/DAY(B2)</f>
        <v>11.397499999999999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-6.9999999999708962E-2</v>
      </c>
      <c r="I92" s="165"/>
      <c r="J92" s="175">
        <f>H92/DAY(B2)</f>
        <v>-5.8333333333090804E-3</v>
      </c>
      <c r="O92" s="71"/>
    </row>
    <row r="93" spans="1:15" ht="32.2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5425</v>
      </c>
      <c r="H94" s="99">
        <f>G94+'11'!H94</f>
        <v>59317.229999999996</v>
      </c>
      <c r="I94" s="118"/>
      <c r="J94" s="175">
        <f>H94/DAY(B2)</f>
        <v>4943.1025</v>
      </c>
      <c r="K94" s="69"/>
      <c r="L94" s="66"/>
      <c r="O94" s="71"/>
    </row>
    <row r="95" spans="1:15" ht="32.2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0.24411645592404266</v>
      </c>
      <c r="H95" s="99">
        <f>G95+'11'!H95</f>
        <v>2.9940155695754833</v>
      </c>
      <c r="I95" s="167"/>
      <c r="J95" s="175">
        <f>H95/DAY(B2)</f>
        <v>0.2495012974646236</v>
      </c>
      <c r="K95" s="69"/>
      <c r="L95" s="66"/>
      <c r="O95" s="71"/>
    </row>
    <row r="96" spans="1:15" ht="32.2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4928</v>
      </c>
      <c r="H96" s="99">
        <f>G96+'11'!H96</f>
        <v>47038.87999999999</v>
      </c>
      <c r="I96" s="118"/>
      <c r="J96" s="175">
        <f>H96/DAY(B2)</f>
        <v>3919.9066666666658</v>
      </c>
      <c r="K96" s="69"/>
      <c r="L96" s="66"/>
      <c r="O96" s="71"/>
    </row>
    <row r="97" spans="1:15" ht="32.2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0.22175223867164648</v>
      </c>
      <c r="H97" s="99">
        <f>G97+'11'!H97</f>
        <v>2.3697151955956528</v>
      </c>
      <c r="I97" s="167"/>
      <c r="J97" s="175">
        <f>H97/DAY(B2)</f>
        <v>0.19747626629963774</v>
      </c>
      <c r="K97" s="69"/>
      <c r="L97" s="66"/>
      <c r="O97" s="71"/>
    </row>
    <row r="98" spans="1:15" ht="32.2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3245</v>
      </c>
      <c r="H98" s="99">
        <f>G98+'11'!H98</f>
        <v>34499.71</v>
      </c>
      <c r="I98" s="168"/>
      <c r="J98" s="175">
        <f>H98/DAY(B2)</f>
        <v>2874.9758333333334</v>
      </c>
      <c r="K98" s="69"/>
      <c r="L98" s="66"/>
      <c r="O98" s="71"/>
    </row>
    <row r="99" spans="1:15" ht="32.2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0.14601988930387436</v>
      </c>
      <c r="H99" s="99">
        <f>G99+'11'!H99</f>
        <v>1.7415010112834888</v>
      </c>
      <c r="I99" s="168"/>
      <c r="J99" s="175">
        <f>H99/DAY(B2)</f>
        <v>0.14512508427362406</v>
      </c>
      <c r="O99" s="71"/>
    </row>
    <row r="100" spans="1:15" ht="32.2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2162</v>
      </c>
      <c r="H100" s="99">
        <f>G100+'11'!H100</f>
        <v>22808.57</v>
      </c>
      <c r="I100" s="118"/>
      <c r="J100" s="175">
        <f>H100/DAY(B2)</f>
        <v>1900.7141666666666</v>
      </c>
      <c r="K100" s="70"/>
      <c r="O100" s="71"/>
    </row>
    <row r="101" spans="1:15" ht="32.2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9.7286594969176077E-2</v>
      </c>
      <c r="H101" s="99">
        <f>G101+'11'!H101</f>
        <v>1.1504794442996493</v>
      </c>
      <c r="I101" s="168"/>
      <c r="J101" s="175">
        <f>H101/DAY(B2)</f>
        <v>9.5873287024970777E-2</v>
      </c>
      <c r="O101" s="71"/>
    </row>
    <row r="102" spans="1:15" ht="32.2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2504</v>
      </c>
      <c r="H102" s="99">
        <f>G102+'11'!H102</f>
        <v>25695.630000000005</v>
      </c>
      <c r="I102" s="168"/>
      <c r="J102" s="175">
        <f>H102/DAY(B2)</f>
        <v>2141.3025000000002</v>
      </c>
      <c r="O102" s="71"/>
    </row>
    <row r="103" spans="1:15" ht="32.2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0.11267605633802817</v>
      </c>
      <c r="H103" s="99">
        <f>G103+'11'!H103</f>
        <v>1.2916984709996366</v>
      </c>
      <c r="I103" s="118"/>
      <c r="J103" s="175">
        <f>H103/DAY(B2)</f>
        <v>0.10764153924996972</v>
      </c>
      <c r="O103" s="71"/>
    </row>
    <row r="104" spans="1:15" ht="32.2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1783</v>
      </c>
      <c r="H104" s="99">
        <f>G104+'11'!H104</f>
        <v>19616.910000000003</v>
      </c>
      <c r="I104" s="118"/>
      <c r="J104" s="175">
        <f>H104/DAY(B2)</f>
        <v>1634.7425000000003</v>
      </c>
      <c r="O104" s="71"/>
    </row>
    <row r="105" spans="1:15" ht="32.2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8.0232191873284439E-2</v>
      </c>
      <c r="H105" s="99">
        <f>G105+'11'!H105</f>
        <v>0.99212167005133334</v>
      </c>
      <c r="I105" s="187"/>
      <c r="J105" s="188">
        <f>H105/DAY(B2)</f>
        <v>8.2676805837611111E-2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32.25" customHeight="1" x14ac:dyDescent="0.5">
      <c r="A109" s="892"/>
      <c r="B109" s="892"/>
    </row>
    <row r="110" spans="1:15" ht="32.2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32.2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86" t="s">
        <v>252</v>
      </c>
      <c r="B112" s="887"/>
      <c r="C112" s="888"/>
      <c r="D112" s="146" t="s">
        <v>183</v>
      </c>
      <c r="E112" s="95">
        <f>'11'!F112</f>
        <v>58875</v>
      </c>
      <c r="F112" s="237">
        <v>58939</v>
      </c>
      <c r="G112" s="112">
        <f t="shared" ref="G112:G123" si="9">F112-E112</f>
        <v>64</v>
      </c>
      <c r="H112" s="99">
        <f>G112+'11'!H112</f>
        <v>885</v>
      </c>
      <c r="I112" s="165"/>
      <c r="J112" s="328">
        <f>H112/DAY(B2)</f>
        <v>73.75</v>
      </c>
    </row>
    <row r="113" spans="1:18" ht="32.25" customHeight="1" x14ac:dyDescent="0.5">
      <c r="A113" s="886" t="s">
        <v>253</v>
      </c>
      <c r="B113" s="887"/>
      <c r="C113" s="888"/>
      <c r="D113" s="146" t="s">
        <v>183</v>
      </c>
      <c r="E113" s="95">
        <f>'11'!F113</f>
        <v>51535</v>
      </c>
      <c r="F113" s="237">
        <v>52030</v>
      </c>
      <c r="G113" s="112">
        <f t="shared" si="9"/>
        <v>495</v>
      </c>
      <c r="H113" s="99">
        <f>G113+'11'!H113</f>
        <v>5629.1100000000006</v>
      </c>
      <c r="I113" s="165"/>
      <c r="J113" s="328">
        <f>H113/DAY(B2)</f>
        <v>469.09250000000003</v>
      </c>
    </row>
    <row r="114" spans="1:18" ht="32.25" customHeight="1" x14ac:dyDescent="0.5">
      <c r="A114" s="886" t="s">
        <v>254</v>
      </c>
      <c r="B114" s="887"/>
      <c r="C114" s="888"/>
      <c r="D114" s="146" t="s">
        <v>183</v>
      </c>
      <c r="E114" s="95">
        <f>'11'!F114</f>
        <v>36599</v>
      </c>
      <c r="F114" s="237">
        <v>37020</v>
      </c>
      <c r="G114" s="112">
        <f t="shared" si="9"/>
        <v>421</v>
      </c>
      <c r="H114" s="99">
        <f>G114+'11'!H114</f>
        <v>3860</v>
      </c>
      <c r="I114" s="165"/>
      <c r="J114" s="328">
        <f>H114/DAY(B2)</f>
        <v>321.66666666666669</v>
      </c>
    </row>
    <row r="115" spans="1:18" ht="32.25" customHeight="1" x14ac:dyDescent="0.5">
      <c r="A115" s="886" t="s">
        <v>255</v>
      </c>
      <c r="B115" s="887"/>
      <c r="C115" s="888"/>
      <c r="D115" s="146" t="s">
        <v>183</v>
      </c>
      <c r="E115" s="95">
        <f>'11'!F115</f>
        <v>9211</v>
      </c>
      <c r="F115" s="237">
        <v>9221</v>
      </c>
      <c r="G115" s="112">
        <f t="shared" si="9"/>
        <v>10</v>
      </c>
      <c r="H115" s="99">
        <f>G115+'11'!H115</f>
        <v>126.35000000000036</v>
      </c>
      <c r="I115" s="165"/>
      <c r="J115" s="328">
        <f>H115/DAY(B2)</f>
        <v>10.529166666666697</v>
      </c>
    </row>
    <row r="116" spans="1:18" ht="32.25" customHeight="1" x14ac:dyDescent="0.5">
      <c r="A116" s="904" t="s">
        <v>96</v>
      </c>
      <c r="B116" s="905"/>
      <c r="C116" s="906"/>
      <c r="D116" s="146" t="s">
        <v>183</v>
      </c>
      <c r="E116" s="95">
        <f>'11'!F116</f>
        <v>1921</v>
      </c>
      <c r="F116" s="237">
        <v>2405</v>
      </c>
      <c r="G116" s="112">
        <f t="shared" si="9"/>
        <v>484</v>
      </c>
      <c r="H116" s="99">
        <f>G116+'11'!H116</f>
        <v>2405</v>
      </c>
      <c r="I116" s="165"/>
      <c r="J116" s="328">
        <f>H116/DAY(B2)</f>
        <v>200.41666666666666</v>
      </c>
      <c r="Q116" s="886" t="s">
        <v>311</v>
      </c>
      <c r="R116" s="888"/>
    </row>
    <row r="117" spans="1:18" ht="32.25" customHeight="1" x14ac:dyDescent="0.5">
      <c r="A117" s="904" t="s">
        <v>184</v>
      </c>
      <c r="B117" s="905"/>
      <c r="C117" s="906"/>
      <c r="D117" s="146" t="s">
        <v>183</v>
      </c>
      <c r="E117" s="95">
        <f>'11'!F117</f>
        <v>4666</v>
      </c>
      <c r="F117" s="237">
        <v>4862</v>
      </c>
      <c r="G117" s="112">
        <f t="shared" si="9"/>
        <v>196</v>
      </c>
      <c r="H117" s="99">
        <f>G117+'11'!H117</f>
        <v>1524.0500000000002</v>
      </c>
      <c r="I117" s="165"/>
      <c r="J117" s="328">
        <f>H117/DAY(B2)</f>
        <v>127.00416666666668</v>
      </c>
      <c r="Q117" s="886" t="s">
        <v>312</v>
      </c>
      <c r="R117" s="888"/>
    </row>
    <row r="118" spans="1:18" ht="32.25" customHeight="1" x14ac:dyDescent="0.5">
      <c r="A118" s="881" t="s">
        <v>97</v>
      </c>
      <c r="B118" s="881"/>
      <c r="C118" s="881"/>
      <c r="D118" s="151" t="s">
        <v>183</v>
      </c>
      <c r="E118" s="95">
        <f>'11'!F118</f>
        <v>256349</v>
      </c>
      <c r="F118" s="237">
        <v>256755</v>
      </c>
      <c r="G118" s="112">
        <f t="shared" si="9"/>
        <v>406</v>
      </c>
      <c r="H118" s="99">
        <f>G118+'11'!H118</f>
        <v>4302.6900000000023</v>
      </c>
      <c r="I118" s="165"/>
      <c r="J118" s="328">
        <f>H118/DAY(B2)</f>
        <v>358.55750000000018</v>
      </c>
      <c r="Q118" s="886" t="s">
        <v>311</v>
      </c>
      <c r="R118" s="888"/>
    </row>
    <row r="119" spans="1:18" ht="32.25" customHeight="1" x14ac:dyDescent="0.5">
      <c r="A119" s="881" t="s">
        <v>98</v>
      </c>
      <c r="B119" s="881"/>
      <c r="C119" s="881"/>
      <c r="D119" s="151" t="s">
        <v>183</v>
      </c>
      <c r="E119" s="95">
        <f>'11'!F119</f>
        <v>262701</v>
      </c>
      <c r="F119" s="237">
        <v>263141</v>
      </c>
      <c r="G119" s="112">
        <f t="shared" si="9"/>
        <v>440</v>
      </c>
      <c r="H119" s="99">
        <f>G119+'11'!H119</f>
        <v>4992.4500000000116</v>
      </c>
      <c r="I119" s="165"/>
      <c r="J119" s="328">
        <f>H119/DAY(B2)</f>
        <v>416.03750000000099</v>
      </c>
    </row>
    <row r="120" spans="1:18" ht="32.25" customHeight="1" x14ac:dyDescent="0.5">
      <c r="A120" s="881" t="s">
        <v>99</v>
      </c>
      <c r="B120" s="881"/>
      <c r="C120" s="881"/>
      <c r="D120" s="151" t="s">
        <v>183</v>
      </c>
      <c r="E120" s="95">
        <f>'11'!F120</f>
        <v>47633</v>
      </c>
      <c r="F120" s="237">
        <v>48046</v>
      </c>
      <c r="G120" s="112">
        <f t="shared" si="9"/>
        <v>413</v>
      </c>
      <c r="H120" s="99">
        <f>G120+'11'!H120</f>
        <v>5086.3899999999994</v>
      </c>
      <c r="I120" s="165"/>
      <c r="J120" s="328">
        <f>H120/DAY(B2)</f>
        <v>423.86583333333328</v>
      </c>
    </row>
    <row r="121" spans="1:18" ht="32.25" customHeight="1" x14ac:dyDescent="0.5">
      <c r="A121" s="881" t="s">
        <v>100</v>
      </c>
      <c r="B121" s="881"/>
      <c r="C121" s="881"/>
      <c r="D121" s="151" t="s">
        <v>183</v>
      </c>
      <c r="E121" s="95">
        <f>'11'!F121</f>
        <v>406029</v>
      </c>
      <c r="F121" s="237">
        <v>406805</v>
      </c>
      <c r="G121" s="112">
        <f t="shared" si="9"/>
        <v>776</v>
      </c>
      <c r="H121" s="99">
        <f>G121+'11'!H121</f>
        <v>8770.570000000007</v>
      </c>
      <c r="I121" s="165"/>
      <c r="J121" s="328">
        <f>H121/DAY(B2)</f>
        <v>730.88083333333395</v>
      </c>
    </row>
    <row r="122" spans="1:18" ht="32.25" customHeight="1" x14ac:dyDescent="0.5">
      <c r="A122" s="881" t="s">
        <v>101</v>
      </c>
      <c r="B122" s="881"/>
      <c r="C122" s="881"/>
      <c r="D122" s="151" t="s">
        <v>183</v>
      </c>
      <c r="E122" s="95">
        <f>'11'!F122</f>
        <v>128621</v>
      </c>
      <c r="F122" s="237">
        <v>128805</v>
      </c>
      <c r="G122" s="112">
        <f t="shared" si="9"/>
        <v>184</v>
      </c>
      <c r="H122" s="99">
        <f>G122+'11'!H122</f>
        <v>2618.820000000007</v>
      </c>
      <c r="I122" s="165"/>
      <c r="J122" s="328">
        <f>H122/DAY(B2)</f>
        <v>218.23500000000058</v>
      </c>
    </row>
    <row r="123" spans="1:18" ht="32.25" customHeight="1" x14ac:dyDescent="0.5">
      <c r="A123" s="881" t="s">
        <v>102</v>
      </c>
      <c r="B123" s="881"/>
      <c r="C123" s="881"/>
      <c r="D123" s="151" t="s">
        <v>183</v>
      </c>
      <c r="E123" s="95">
        <f>'11'!F123</f>
        <v>156841</v>
      </c>
      <c r="F123" s="237">
        <v>157104</v>
      </c>
      <c r="G123" s="112">
        <f t="shared" si="9"/>
        <v>263</v>
      </c>
      <c r="H123" s="99">
        <f>G123+'11'!H123</f>
        <v>3057.0499999999884</v>
      </c>
      <c r="I123" s="165"/>
      <c r="J123" s="328">
        <f>H123/DAY(B2)</f>
        <v>254.7541666666657</v>
      </c>
    </row>
    <row r="124" spans="1:18" ht="32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4152</v>
      </c>
      <c r="H125" s="156"/>
      <c r="I125" s="327" t="s">
        <v>368</v>
      </c>
      <c r="J125" s="327"/>
    </row>
    <row r="126" spans="1:18" ht="32.2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32.2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86" t="s">
        <v>318</v>
      </c>
      <c r="B128" s="887"/>
      <c r="C128" s="888"/>
      <c r="D128" s="151" t="s">
        <v>183</v>
      </c>
      <c r="E128" s="95">
        <f>'11'!F128</f>
        <v>51208</v>
      </c>
      <c r="F128" s="165">
        <v>51543</v>
      </c>
      <c r="G128" s="112">
        <f t="shared" ref="G128:G134" si="10">F128-E128</f>
        <v>335</v>
      </c>
      <c r="H128" s="99">
        <f>G128+'11'!H128</f>
        <v>3797</v>
      </c>
      <c r="I128" s="165"/>
      <c r="J128" s="328">
        <f>H128/DAY(B2)</f>
        <v>316.41666666666669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29201</v>
      </c>
      <c r="F129" s="165">
        <v>29490</v>
      </c>
      <c r="G129" s="112">
        <f t="shared" si="10"/>
        <v>289</v>
      </c>
      <c r="H129" s="99">
        <f>G129+'11'!H129</f>
        <v>2579.130000000001</v>
      </c>
      <c r="I129" s="165"/>
      <c r="J129" s="328">
        <f>H129/DAY(B2)</f>
        <v>214.92750000000009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42044</v>
      </c>
      <c r="F130" s="165">
        <v>42771</v>
      </c>
      <c r="G130" s="112">
        <f t="shared" si="10"/>
        <v>727</v>
      </c>
      <c r="H130" s="99">
        <f>G130+'11'!H130</f>
        <v>7077</v>
      </c>
      <c r="I130" s="165"/>
      <c r="J130" s="328">
        <f>H130/DAY(B2)</f>
        <v>589.75</v>
      </c>
      <c r="N130" s="240"/>
      <c r="O130" s="241"/>
    </row>
    <row r="131" spans="1:15" ht="32.25" customHeight="1" x14ac:dyDescent="0.5">
      <c r="A131" s="886" t="s">
        <v>321</v>
      </c>
      <c r="B131" s="887"/>
      <c r="C131" s="888"/>
      <c r="D131" s="151" t="s">
        <v>183</v>
      </c>
      <c r="E131" s="95">
        <f>'11'!F131</f>
        <v>16348</v>
      </c>
      <c r="F131" s="165">
        <v>16488</v>
      </c>
      <c r="G131" s="112">
        <f t="shared" si="10"/>
        <v>140</v>
      </c>
      <c r="H131" s="99">
        <f>G131+'11'!H131</f>
        <v>1180.3199999999997</v>
      </c>
      <c r="I131" s="165"/>
      <c r="J131" s="328">
        <f>H131/DAY(B2)</f>
        <v>98.359999999999971</v>
      </c>
      <c r="N131" s="240"/>
      <c r="O131" s="241"/>
    </row>
    <row r="132" spans="1:15" ht="32.25" customHeight="1" x14ac:dyDescent="0.5">
      <c r="A132" s="886" t="s">
        <v>322</v>
      </c>
      <c r="B132" s="887"/>
      <c r="C132" s="888"/>
      <c r="D132" s="151" t="s">
        <v>183</v>
      </c>
      <c r="E132" s="95">
        <f>'11'!F132</f>
        <v>55864</v>
      </c>
      <c r="F132" s="165">
        <v>56306</v>
      </c>
      <c r="G132" s="112">
        <f t="shared" si="10"/>
        <v>442</v>
      </c>
      <c r="H132" s="99">
        <f>G132+'11'!H132</f>
        <v>4457.6999999999971</v>
      </c>
      <c r="I132" s="165"/>
      <c r="J132" s="328">
        <f>H132/DAY(B2)</f>
        <v>371.47499999999974</v>
      </c>
    </row>
    <row r="133" spans="1:15" ht="32.25" customHeight="1" x14ac:dyDescent="0.5">
      <c r="A133" s="886" t="s">
        <v>362</v>
      </c>
      <c r="B133" s="887"/>
      <c r="C133" s="888"/>
      <c r="D133" s="151" t="s">
        <v>183</v>
      </c>
      <c r="E133" s="95">
        <f>'11'!F133</f>
        <v>111974</v>
      </c>
      <c r="F133" s="165">
        <v>112672</v>
      </c>
      <c r="G133" s="112">
        <f t="shared" si="10"/>
        <v>698</v>
      </c>
      <c r="H133" s="99">
        <f>G133+'11'!H133</f>
        <v>7328.3000000000029</v>
      </c>
      <c r="I133" s="165"/>
      <c r="J133" s="328">
        <f>H133/DAY(B2)</f>
        <v>610.69166666666695</v>
      </c>
    </row>
    <row r="134" spans="1:15" ht="32.25" customHeight="1" x14ac:dyDescent="0.5">
      <c r="A134" s="886" t="s">
        <v>340</v>
      </c>
      <c r="B134" s="887"/>
      <c r="C134" s="888"/>
      <c r="D134" s="151" t="s">
        <v>183</v>
      </c>
      <c r="E134" s="551">
        <v>10682</v>
      </c>
      <c r="F134" s="165">
        <v>10844</v>
      </c>
      <c r="G134" s="112">
        <f t="shared" si="10"/>
        <v>162</v>
      </c>
      <c r="H134" s="99">
        <f>G134+'11'!H134</f>
        <v>2242.7700000000004</v>
      </c>
      <c r="I134" s="165"/>
      <c r="J134" s="328">
        <f>H134/DAY(B2)</f>
        <v>186.89750000000004</v>
      </c>
    </row>
    <row r="135" spans="1:15" ht="32.2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2793</v>
      </c>
      <c r="H135" s="99">
        <f>G135+'10'!H135</f>
        <v>26249.22</v>
      </c>
      <c r="I135" s="327">
        <f>G135-(G35+G49)</f>
        <v>-406</v>
      </c>
      <c r="J135" s="328"/>
    </row>
    <row r="136" spans="1:15" ht="32.2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81" t="s">
        <v>185</v>
      </c>
      <c r="B138" s="881"/>
      <c r="C138" s="881"/>
      <c r="D138" s="151" t="s">
        <v>183</v>
      </c>
      <c r="E138" s="95">
        <f>'11'!F138</f>
        <v>867078</v>
      </c>
      <c r="F138" s="147">
        <v>867174</v>
      </c>
      <c r="G138" s="112">
        <f t="shared" ref="G138:G152" si="11">F138-E138</f>
        <v>96</v>
      </c>
      <c r="H138" s="99">
        <f>G138+'11'!H138</f>
        <v>1001</v>
      </c>
      <c r="I138" s="118"/>
      <c r="J138" s="328">
        <f>H138/DAY(B2)</f>
        <v>83.416666666666671</v>
      </c>
    </row>
    <row r="139" spans="1:15" ht="32.25" customHeight="1" x14ac:dyDescent="0.5">
      <c r="A139" s="881" t="s">
        <v>186</v>
      </c>
      <c r="B139" s="881"/>
      <c r="C139" s="881"/>
      <c r="D139" s="151" t="s">
        <v>183</v>
      </c>
      <c r="E139" s="95">
        <f>'11'!F139</f>
        <v>886647</v>
      </c>
      <c r="F139" s="148">
        <v>886654</v>
      </c>
      <c r="G139" s="112">
        <f t="shared" si="11"/>
        <v>7</v>
      </c>
      <c r="H139" s="99">
        <f>G139+'11'!H139</f>
        <v>81</v>
      </c>
      <c r="I139" s="118"/>
      <c r="J139" s="328">
        <f>H139/DAY(B2)</f>
        <v>6.75</v>
      </c>
    </row>
    <row r="140" spans="1:15" ht="32.25" customHeight="1" x14ac:dyDescent="0.5">
      <c r="A140" s="881" t="s">
        <v>187</v>
      </c>
      <c r="B140" s="881"/>
      <c r="C140" s="881"/>
      <c r="D140" s="151" t="s">
        <v>183</v>
      </c>
      <c r="E140" s="95">
        <f>'11'!F140</f>
        <v>88948</v>
      </c>
      <c r="F140" s="149">
        <v>88948</v>
      </c>
      <c r="G140" s="112">
        <f t="shared" si="11"/>
        <v>0</v>
      </c>
      <c r="H140" s="99">
        <f>G140+'11'!H140</f>
        <v>26</v>
      </c>
      <c r="I140" s="118"/>
      <c r="J140" s="328">
        <f>H140/DAY(B2)</f>
        <v>2.1666666666666665</v>
      </c>
    </row>
    <row r="141" spans="1:15" ht="32.25" customHeight="1" x14ac:dyDescent="0.5">
      <c r="A141" s="885" t="s">
        <v>188</v>
      </c>
      <c r="B141" s="885"/>
      <c r="C141" s="885"/>
      <c r="D141" s="151" t="s">
        <v>183</v>
      </c>
      <c r="E141" s="95">
        <f>'11'!F141</f>
        <v>56623</v>
      </c>
      <c r="F141" s="149">
        <v>56810</v>
      </c>
      <c r="G141" s="112">
        <f t="shared" si="11"/>
        <v>187</v>
      </c>
      <c r="H141" s="99">
        <f>G141+'11'!H141</f>
        <v>2124.4199999999983</v>
      </c>
      <c r="I141" s="118"/>
      <c r="J141" s="328">
        <f>H141/DAY(B2)</f>
        <v>177.03499999999985</v>
      </c>
    </row>
    <row r="142" spans="1:15" ht="32.25" customHeight="1" x14ac:dyDescent="0.5">
      <c r="A142" s="885" t="s">
        <v>189</v>
      </c>
      <c r="B142" s="885"/>
      <c r="C142" s="885"/>
      <c r="D142" s="151" t="s">
        <v>183</v>
      </c>
      <c r="E142" s="95">
        <f>'11'!F142</f>
        <v>22044</v>
      </c>
      <c r="F142" s="148">
        <v>22114</v>
      </c>
      <c r="G142" s="112">
        <f t="shared" si="11"/>
        <v>70</v>
      </c>
      <c r="H142" s="99">
        <f>G142+'11'!H142</f>
        <v>829.90000000000146</v>
      </c>
      <c r="I142" s="140"/>
      <c r="J142" s="328">
        <f>H142/DAY(B2)</f>
        <v>69.158333333333459</v>
      </c>
    </row>
    <row r="143" spans="1:15" ht="32.25" customHeight="1" x14ac:dyDescent="0.5">
      <c r="A143" s="881" t="s">
        <v>91</v>
      </c>
      <c r="B143" s="881"/>
      <c r="C143" s="881"/>
      <c r="D143" s="151" t="s">
        <v>183</v>
      </c>
      <c r="E143" s="95">
        <f>'11'!F143</f>
        <v>4137</v>
      </c>
      <c r="F143" s="149">
        <v>4168</v>
      </c>
      <c r="G143" s="112">
        <f t="shared" si="11"/>
        <v>31</v>
      </c>
      <c r="H143" s="99">
        <f>G143+'11'!H143</f>
        <v>332.61000000000013</v>
      </c>
      <c r="I143" s="140"/>
      <c r="J143" s="328">
        <f>H143/DAY(B2)</f>
        <v>27.717500000000012</v>
      </c>
    </row>
    <row r="144" spans="1:15" ht="32.25" customHeight="1" x14ac:dyDescent="0.5">
      <c r="A144" s="885" t="s">
        <v>90</v>
      </c>
      <c r="B144" s="885"/>
      <c r="C144" s="885"/>
      <c r="D144" s="151" t="s">
        <v>183</v>
      </c>
      <c r="E144" s="95">
        <f>'11'!F144</f>
        <v>878805</v>
      </c>
      <c r="F144" s="149">
        <v>879025</v>
      </c>
      <c r="G144" s="112">
        <f t="shared" si="11"/>
        <v>220</v>
      </c>
      <c r="H144" s="99">
        <f>G144+'11'!H144</f>
        <v>2538</v>
      </c>
      <c r="I144" s="140"/>
      <c r="J144" s="328">
        <f>H144/DAY(B2)</f>
        <v>211.5</v>
      </c>
    </row>
    <row r="145" spans="1:10" ht="32.25" customHeight="1" x14ac:dyDescent="0.5">
      <c r="A145" s="881" t="s">
        <v>190</v>
      </c>
      <c r="B145" s="881"/>
      <c r="C145" s="881"/>
      <c r="D145" s="152" t="s">
        <v>183</v>
      </c>
      <c r="E145" s="95">
        <f>'11'!F145</f>
        <v>5101</v>
      </c>
      <c r="F145" s="149">
        <v>5110</v>
      </c>
      <c r="G145" s="112">
        <f t="shared" si="11"/>
        <v>9</v>
      </c>
      <c r="H145" s="99">
        <f>G145+'11'!H145</f>
        <v>151.15999999999985</v>
      </c>
      <c r="I145" s="140"/>
      <c r="J145" s="328">
        <f>H145/DAY(B2)</f>
        <v>12.596666666666655</v>
      </c>
    </row>
    <row r="146" spans="1:10" ht="32.25" customHeight="1" x14ac:dyDescent="0.5">
      <c r="A146" s="882" t="s">
        <v>191</v>
      </c>
      <c r="B146" s="883"/>
      <c r="C146" s="884"/>
      <c r="D146" s="152" t="s">
        <v>183</v>
      </c>
      <c r="E146" s="95">
        <f>'11'!F146</f>
        <v>741931</v>
      </c>
      <c r="F146" s="148">
        <v>742402</v>
      </c>
      <c r="G146" s="112">
        <f t="shared" si="11"/>
        <v>471</v>
      </c>
      <c r="H146" s="99">
        <f>G146+'11'!H146</f>
        <v>5069</v>
      </c>
      <c r="I146" s="140"/>
      <c r="J146" s="328">
        <f>H146/DAY(B2)</f>
        <v>422.41666666666669</v>
      </c>
    </row>
    <row r="147" spans="1:10" ht="32.25" customHeight="1" x14ac:dyDescent="0.5">
      <c r="A147" s="885" t="s">
        <v>192</v>
      </c>
      <c r="B147" s="885"/>
      <c r="C147" s="885"/>
      <c r="D147" s="152" t="s">
        <v>183</v>
      </c>
      <c r="E147" s="95">
        <f>'11'!F147</f>
        <v>630999</v>
      </c>
      <c r="F147" s="148">
        <v>631441</v>
      </c>
      <c r="G147" s="112">
        <f t="shared" si="11"/>
        <v>442</v>
      </c>
      <c r="H147" s="99">
        <f>G147+'11'!H147</f>
        <v>4828.4799999999814</v>
      </c>
      <c r="I147" s="140"/>
      <c r="J147" s="328">
        <f>H147/DAY(B2)</f>
        <v>402.3733333333318</v>
      </c>
    </row>
    <row r="148" spans="1:10" ht="32.25" customHeight="1" x14ac:dyDescent="0.5">
      <c r="A148" s="877" t="s">
        <v>193</v>
      </c>
      <c r="B148" s="878"/>
      <c r="C148" s="879"/>
      <c r="D148" s="123" t="s">
        <v>130</v>
      </c>
      <c r="E148" s="95">
        <f>'11'!F148</f>
        <v>692688</v>
      </c>
      <c r="F148" s="150">
        <v>693071</v>
      </c>
      <c r="G148" s="112">
        <f t="shared" si="11"/>
        <v>383</v>
      </c>
      <c r="H148" s="99">
        <f>G148+'11'!H148</f>
        <v>3628.0400000000373</v>
      </c>
      <c r="I148" s="124"/>
      <c r="J148" s="328">
        <f>H148/DAY(B2)</f>
        <v>302.33666666666977</v>
      </c>
    </row>
    <row r="149" spans="1:10" ht="32.25" customHeight="1" x14ac:dyDescent="0.5">
      <c r="A149" s="877" t="s">
        <v>336</v>
      </c>
      <c r="B149" s="878"/>
      <c r="C149" s="879"/>
      <c r="D149" s="227" t="s">
        <v>130</v>
      </c>
      <c r="E149" s="95">
        <f>'11'!F149</f>
        <v>30761</v>
      </c>
      <c r="F149" s="146">
        <v>31427</v>
      </c>
      <c r="G149" s="112">
        <f t="shared" si="11"/>
        <v>666</v>
      </c>
      <c r="H149" s="99">
        <f>G149+'11'!H149</f>
        <v>6748.7999999999993</v>
      </c>
      <c r="I149" s="119"/>
      <c r="J149" s="328">
        <f>H149/DAY(B2)</f>
        <v>562.4</v>
      </c>
    </row>
    <row r="150" spans="1:10" ht="32.25" customHeight="1" x14ac:dyDescent="0.5">
      <c r="A150" s="877" t="s">
        <v>337</v>
      </c>
      <c r="B150" s="878"/>
      <c r="C150" s="879"/>
      <c r="D150" s="117" t="s">
        <v>130</v>
      </c>
      <c r="E150" s="95">
        <f>'11'!F150</f>
        <v>13320</v>
      </c>
      <c r="F150" s="233">
        <v>13549</v>
      </c>
      <c r="G150" s="112">
        <f t="shared" si="11"/>
        <v>229</v>
      </c>
      <c r="H150" s="99">
        <f>G150+'11'!H150</f>
        <v>2698.17</v>
      </c>
      <c r="I150" s="119"/>
      <c r="J150" s="328">
        <f>H150/DAY(B2)</f>
        <v>224.8475</v>
      </c>
    </row>
    <row r="151" spans="1:10" ht="32.25" customHeight="1" x14ac:dyDescent="0.5">
      <c r="A151" s="877" t="s">
        <v>338</v>
      </c>
      <c r="B151" s="878"/>
      <c r="C151" s="879"/>
      <c r="D151" s="117" t="s">
        <v>130</v>
      </c>
      <c r="E151" s="95">
        <f>'11'!F151</f>
        <v>88114</v>
      </c>
      <c r="F151" s="233">
        <v>88393</v>
      </c>
      <c r="G151" s="112">
        <f t="shared" si="11"/>
        <v>279</v>
      </c>
      <c r="H151" s="99">
        <f>G151+'11'!H151</f>
        <v>2913</v>
      </c>
      <c r="I151" s="119"/>
      <c r="J151" s="328">
        <f>H151/DAY(B2)</f>
        <v>242.75</v>
      </c>
    </row>
    <row r="152" spans="1:10" ht="32.25" customHeight="1" x14ac:dyDescent="0.5">
      <c r="A152" s="877" t="s">
        <v>339</v>
      </c>
      <c r="B152" s="878"/>
      <c r="C152" s="879"/>
      <c r="D152" s="117" t="s">
        <v>130</v>
      </c>
      <c r="E152" s="95">
        <f>'11'!F152</f>
        <v>2241</v>
      </c>
      <c r="F152" s="233">
        <v>2303</v>
      </c>
      <c r="G152" s="112">
        <f t="shared" si="11"/>
        <v>62</v>
      </c>
      <c r="H152" s="99">
        <f>G152+'11'!H152</f>
        <v>643</v>
      </c>
      <c r="I152" s="119"/>
      <c r="J152" s="328">
        <f>H152/DAY(B2)</f>
        <v>53.583333333333336</v>
      </c>
    </row>
    <row r="153" spans="1:10" ht="32.2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3152</v>
      </c>
      <c r="H153" s="363"/>
      <c r="I153" s="119">
        <f>G153-(G38+G52)</f>
        <v>990</v>
      </c>
      <c r="J153" s="366"/>
    </row>
    <row r="154" spans="1:10" ht="32.2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2.25" customHeight="1" x14ac:dyDescent="0.55000000000000004">
      <c r="A155" s="885" t="s">
        <v>345</v>
      </c>
      <c r="B155" s="885"/>
      <c r="C155" s="885"/>
      <c r="D155" s="117" t="s">
        <v>130</v>
      </c>
      <c r="E155" s="95">
        <f>'11'!F155</f>
        <v>39939</v>
      </c>
      <c r="F155" s="374">
        <v>40653</v>
      </c>
      <c r="G155" s="112">
        <f t="shared" ref="G155:G158" si="12">F155-E155</f>
        <v>714</v>
      </c>
      <c r="H155" s="99">
        <f>G155+'11'!H155</f>
        <v>7708</v>
      </c>
      <c r="I155" s="364"/>
      <c r="J155" s="328">
        <f>H155/DAY(B2)</f>
        <v>642.33333333333337</v>
      </c>
    </row>
    <row r="156" spans="1:10" ht="32.25" customHeight="1" x14ac:dyDescent="0.5">
      <c r="A156" s="885" t="s">
        <v>347</v>
      </c>
      <c r="B156" s="885"/>
      <c r="C156" s="885"/>
      <c r="D156" s="117" t="s">
        <v>130</v>
      </c>
      <c r="E156" s="95">
        <f>'11'!F156</f>
        <v>3296</v>
      </c>
      <c r="F156" s="155">
        <v>3353</v>
      </c>
      <c r="G156" s="112">
        <f t="shared" si="12"/>
        <v>57</v>
      </c>
      <c r="H156" s="99">
        <f>G156+'11'!H156</f>
        <v>565</v>
      </c>
      <c r="I156" s="165"/>
      <c r="J156" s="328">
        <f>H156/DAY(B2)</f>
        <v>47.083333333333336</v>
      </c>
    </row>
    <row r="157" spans="1:10" ht="32.25" customHeight="1" x14ac:dyDescent="0.5">
      <c r="A157" s="877" t="s">
        <v>363</v>
      </c>
      <c r="B157" s="878"/>
      <c r="C157" s="879"/>
      <c r="D157" s="117" t="s">
        <v>130</v>
      </c>
      <c r="E157" s="95">
        <v>5280</v>
      </c>
      <c r="F157" s="155">
        <v>5301</v>
      </c>
      <c r="G157" s="112">
        <f t="shared" si="12"/>
        <v>21</v>
      </c>
      <c r="H157" s="99">
        <f>G157+'11'!H157</f>
        <v>21</v>
      </c>
      <c r="I157" s="165"/>
      <c r="J157" s="328">
        <f>H157/DAY(B2)</f>
        <v>1.75</v>
      </c>
    </row>
    <row r="158" spans="1:10" ht="32.25" customHeight="1" x14ac:dyDescent="0.5">
      <c r="A158" s="877" t="s">
        <v>364</v>
      </c>
      <c r="B158" s="878"/>
      <c r="C158" s="879"/>
      <c r="D158" s="117" t="s">
        <v>130</v>
      </c>
      <c r="E158" s="95">
        <v>69</v>
      </c>
      <c r="F158" s="155">
        <v>70</v>
      </c>
      <c r="G158" s="112">
        <f t="shared" si="12"/>
        <v>1</v>
      </c>
      <c r="H158" s="99">
        <f>G158+'11'!H158</f>
        <v>1</v>
      </c>
      <c r="I158" s="165"/>
      <c r="J158" s="328">
        <f>H158/DAY(B2)</f>
        <v>8.3333333333333329E-2</v>
      </c>
    </row>
    <row r="159" spans="1:10" ht="32.25" customHeight="1" x14ac:dyDescent="0.5">
      <c r="A159" s="934"/>
      <c r="B159" s="935"/>
      <c r="C159" s="936"/>
      <c r="D159" s="117"/>
      <c r="E159" s="95"/>
      <c r="F159" s="165"/>
      <c r="G159" s="362">
        <f>SUM(G155:G158)</f>
        <v>793</v>
      </c>
      <c r="H159" s="99"/>
      <c r="I159" s="165"/>
      <c r="J159" s="328"/>
    </row>
    <row r="160" spans="1:10" ht="32.2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472490</v>
      </c>
      <c r="F161" s="235">
        <v>472508</v>
      </c>
      <c r="G161" s="238">
        <f t="shared" ref="G161:G165" si="13">F161-E161</f>
        <v>18</v>
      </c>
      <c r="H161" s="99">
        <f>G161+'11'!H161</f>
        <v>454.44000000000233</v>
      </c>
      <c r="I161" s="236"/>
      <c r="J161" s="239">
        <f>H161/DAY(B2)</f>
        <v>37.870000000000196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88920</v>
      </c>
      <c r="F162" s="235">
        <v>88941</v>
      </c>
      <c r="G162" s="238">
        <f t="shared" si="13"/>
        <v>21</v>
      </c>
      <c r="H162" s="99">
        <f>G162+'11'!H162</f>
        <v>424.60000000000582</v>
      </c>
      <c r="I162" s="236"/>
      <c r="J162" s="239">
        <f>H162/DAY(B2)</f>
        <v>35.383333333333816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79754</v>
      </c>
      <c r="F163" s="235">
        <v>79835</v>
      </c>
      <c r="G163" s="238">
        <f t="shared" si="13"/>
        <v>81</v>
      </c>
      <c r="H163" s="99">
        <f>G163+'11'!H163</f>
        <v>614.89999999999418</v>
      </c>
      <c r="I163" s="236"/>
      <c r="J163" s="239">
        <f>H163/DAY(B2)</f>
        <v>51.241666666666184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4330</v>
      </c>
      <c r="F164" s="235">
        <v>4330</v>
      </c>
      <c r="G164" s="238">
        <f t="shared" si="13"/>
        <v>0</v>
      </c>
      <c r="H164" s="99">
        <f>G164+'11'!H164</f>
        <v>10</v>
      </c>
      <c r="I164" s="236"/>
      <c r="J164" s="239">
        <f>H164/DAY(B2)</f>
        <v>0.83333333333333337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29958</v>
      </c>
      <c r="F165" s="235">
        <v>29962</v>
      </c>
      <c r="G165" s="238">
        <f t="shared" si="13"/>
        <v>4</v>
      </c>
      <c r="H165" s="99">
        <f>G165+'11'!H165</f>
        <v>104.75</v>
      </c>
      <c r="I165" s="236"/>
      <c r="J165" s="239">
        <f>H165/DAY(B2)</f>
        <v>8.7291666666666661</v>
      </c>
    </row>
    <row r="166" spans="1:10" ht="32.25" customHeight="1" x14ac:dyDescent="0.5">
      <c r="A166" s="917"/>
      <c r="B166" s="917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17"/>
      <c r="B167" s="917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17"/>
      <c r="B168" s="917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32.2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75" t="s">
        <v>209</v>
      </c>
      <c r="B173" s="876"/>
      <c r="C173" s="333"/>
      <c r="D173" s="228" t="s">
        <v>142</v>
      </c>
      <c r="E173" s="95">
        <f>'11'!F173</f>
        <v>8132</v>
      </c>
      <c r="F173" s="155">
        <v>8132</v>
      </c>
      <c r="G173" s="155">
        <f>F173-E173</f>
        <v>0</v>
      </c>
      <c r="H173" s="99">
        <f>G173+'11'!H173</f>
        <v>6</v>
      </c>
      <c r="I173" s="155"/>
      <c r="J173" s="178">
        <f>H173/DAY(B2)</f>
        <v>0.5</v>
      </c>
    </row>
    <row r="174" spans="1:10" ht="32.25" customHeight="1" x14ac:dyDescent="0.5">
      <c r="A174" s="875" t="s">
        <v>75</v>
      </c>
      <c r="B174" s="876"/>
      <c r="C174" s="333"/>
      <c r="D174" s="228" t="s">
        <v>142</v>
      </c>
      <c r="E174" s="157">
        <v>38761</v>
      </c>
      <c r="F174" s="157">
        <v>38778</v>
      </c>
      <c r="G174" s="155">
        <f t="shared" ref="G174:G175" si="14">F174-E174</f>
        <v>17</v>
      </c>
      <c r="H174" s="99">
        <f>G174+'11'!H174</f>
        <v>163</v>
      </c>
      <c r="I174" s="155"/>
      <c r="J174" s="178">
        <f>H174/DAY(B2)</f>
        <v>13.583333333333334</v>
      </c>
    </row>
    <row r="175" spans="1:10" ht="32.25" customHeight="1" x14ac:dyDescent="0.5">
      <c r="A175" s="875" t="s">
        <v>76</v>
      </c>
      <c r="B175" s="880"/>
      <c r="C175" s="876"/>
      <c r="D175" s="228" t="s">
        <v>142</v>
      </c>
      <c r="E175" s="95">
        <f>'11'!F175</f>
        <v>21931</v>
      </c>
      <c r="F175" s="155">
        <v>21945</v>
      </c>
      <c r="G175" s="155">
        <f t="shared" si="14"/>
        <v>14</v>
      </c>
      <c r="H175" s="99">
        <f>G175+'11'!H175</f>
        <v>132</v>
      </c>
      <c r="I175" s="155"/>
      <c r="J175" s="178">
        <f>H175/DAY(B2)</f>
        <v>11</v>
      </c>
    </row>
    <row r="176" spans="1:10" ht="32.25" customHeight="1" x14ac:dyDescent="0.5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31</v>
      </c>
      <c r="H176" s="99">
        <f>G176+'11'!H176</f>
        <v>301</v>
      </c>
      <c r="I176" s="155"/>
      <c r="J176" s="178">
        <f>H176/DAY(B2)</f>
        <v>25.083333333333332</v>
      </c>
    </row>
    <row r="177" spans="1:10" ht="32.2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75" t="s">
        <v>210</v>
      </c>
      <c r="B178" s="876"/>
      <c r="C178" s="333"/>
      <c r="D178" s="228" t="s">
        <v>142</v>
      </c>
      <c r="E178" s="95">
        <f>'11'!F178</f>
        <v>81878</v>
      </c>
      <c r="F178" s="155">
        <v>81973</v>
      </c>
      <c r="G178" s="155">
        <f>F178-E178</f>
        <v>95</v>
      </c>
      <c r="H178" s="99">
        <f>G178+'11'!H178</f>
        <v>658</v>
      </c>
      <c r="I178" s="155"/>
      <c r="J178" s="178">
        <f>H178/DAY(B2)</f>
        <v>54.833333333333336</v>
      </c>
    </row>
    <row r="179" spans="1:10" ht="32.25" customHeight="1" x14ac:dyDescent="0.5">
      <c r="A179" s="875" t="s">
        <v>211</v>
      </c>
      <c r="B179" s="876"/>
      <c r="C179" s="333"/>
      <c r="D179" s="228" t="s">
        <v>142</v>
      </c>
      <c r="E179" s="95">
        <f>'11'!F179</f>
        <v>35157</v>
      </c>
      <c r="F179" s="155">
        <v>35177</v>
      </c>
      <c r="G179" s="155">
        <f t="shared" ref="G179:G180" si="15">F179-E179</f>
        <v>20</v>
      </c>
      <c r="H179" s="99">
        <f>G179+'11'!H179</f>
        <v>374</v>
      </c>
      <c r="I179" s="155"/>
      <c r="J179" s="178">
        <f>H179/DAY(B2)</f>
        <v>31.166666666666668</v>
      </c>
    </row>
    <row r="180" spans="1:10" ht="32.25" customHeight="1" x14ac:dyDescent="0.5">
      <c r="A180" s="875" t="s">
        <v>212</v>
      </c>
      <c r="B180" s="876"/>
      <c r="C180" s="333"/>
      <c r="D180" s="228" t="s">
        <v>142</v>
      </c>
      <c r="E180" s="95">
        <f>'11'!F180</f>
        <v>5772</v>
      </c>
      <c r="F180" s="155">
        <v>5782</v>
      </c>
      <c r="G180" s="155">
        <f t="shared" si="15"/>
        <v>10</v>
      </c>
      <c r="H180" s="99">
        <f>G180+'11'!H180</f>
        <v>80</v>
      </c>
      <c r="I180" s="155"/>
      <c r="J180" s="178">
        <f>H180/DAY(B2)</f>
        <v>6.666666666666667</v>
      </c>
    </row>
    <row r="181" spans="1:10" ht="32.2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125</v>
      </c>
      <c r="H181" s="99">
        <f>G181+'11'!H181</f>
        <v>1112</v>
      </c>
      <c r="I181" s="155"/>
      <c r="J181" s="178">
        <f>H181/DAY(B2)</f>
        <v>92.666666666666671</v>
      </c>
    </row>
    <row r="182" spans="1:10" ht="32.2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75" t="s">
        <v>214</v>
      </c>
      <c r="B183" s="876"/>
      <c r="C183" s="334"/>
      <c r="D183" s="228" t="s">
        <v>142</v>
      </c>
      <c r="E183" s="95">
        <f>'11'!F183</f>
        <v>15521</v>
      </c>
      <c r="F183" s="157">
        <v>15537</v>
      </c>
      <c r="G183" s="157">
        <f>F183-E183</f>
        <v>16</v>
      </c>
      <c r="H183" s="99">
        <f>G183+'11'!H183</f>
        <v>192</v>
      </c>
      <c r="I183" s="155"/>
      <c r="J183" s="178">
        <f>H183/DAY(B2)</f>
        <v>16</v>
      </c>
    </row>
    <row r="184" spans="1:10" ht="32.25" customHeight="1" x14ac:dyDescent="0.5">
      <c r="A184" s="875" t="s">
        <v>215</v>
      </c>
      <c r="B184" s="876"/>
      <c r="C184" s="334"/>
      <c r="D184" s="228" t="s">
        <v>142</v>
      </c>
      <c r="E184" s="95">
        <f>'11'!F184</f>
        <v>10660</v>
      </c>
      <c r="F184" s="157">
        <v>10665</v>
      </c>
      <c r="G184" s="157">
        <f t="shared" ref="G184:G185" si="16">F184-E184</f>
        <v>5</v>
      </c>
      <c r="H184" s="99">
        <f>G184+'11'!H184</f>
        <v>147</v>
      </c>
      <c r="I184" s="155"/>
      <c r="J184" s="178">
        <f>H184/DAY(B2)</f>
        <v>12.25</v>
      </c>
    </row>
    <row r="185" spans="1:10" ht="32.25" customHeight="1" x14ac:dyDescent="0.5">
      <c r="A185" s="875" t="s">
        <v>216</v>
      </c>
      <c r="B185" s="876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21</v>
      </c>
      <c r="H186" s="99">
        <f>G186+'11'!H186</f>
        <v>339</v>
      </c>
      <c r="I186" s="157"/>
      <c r="J186" s="178">
        <f>H186/DAY(B2)</f>
        <v>28.25</v>
      </c>
    </row>
    <row r="187" spans="1:10" ht="32.2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236</v>
      </c>
      <c r="H187" s="99">
        <f>G187+'11'!H187</f>
        <v>2203</v>
      </c>
      <c r="I187" s="158"/>
      <c r="J187" s="179">
        <f>H187/DAY(B2)</f>
        <v>183.58333333333334</v>
      </c>
    </row>
    <row r="188" spans="1:10" ht="32.2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239</v>
      </c>
      <c r="H188" s="99">
        <f>G188+'11'!H188</f>
        <v>2218</v>
      </c>
      <c r="I188" s="158"/>
      <c r="J188" s="179">
        <f>H188/DAY(B2)</f>
        <v>184.83333333333334</v>
      </c>
    </row>
    <row r="189" spans="1:10" ht="32.2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680">
        <f>G181</f>
        <v>125</v>
      </c>
      <c r="H189" s="99">
        <f>G189+'11'!H189</f>
        <v>1112</v>
      </c>
      <c r="I189" s="158"/>
      <c r="J189" s="179">
        <f>H189/DAY(B2)</f>
        <v>92.666666666666671</v>
      </c>
    </row>
    <row r="190" spans="1:10" ht="32.25" customHeight="1" x14ac:dyDescent="0.5">
      <c r="A190" s="846"/>
      <c r="B190" s="847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36" zoomScale="50" zoomScaleSheetLayoutView="50" workbookViewId="0">
      <selection activeCell="G151" sqref="G151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.75" customHeight="1" x14ac:dyDescent="0.5">
      <c r="A2" s="191" t="s">
        <v>303</v>
      </c>
      <c r="B2" s="262">
        <v>44605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889068</v>
      </c>
      <c r="F7" s="95">
        <v>911144</v>
      </c>
      <c r="G7" s="112">
        <f>F7-E7</f>
        <v>22076</v>
      </c>
      <c r="H7" s="99">
        <f>G7+'12'!H7</f>
        <v>259963.77000000002</v>
      </c>
      <c r="I7" s="113">
        <f>'1'!I7</f>
        <v>12000</v>
      </c>
      <c r="J7" s="175">
        <f>H7/DAY(B2)</f>
        <v>19997.213076923079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948253</v>
      </c>
      <c r="F8" s="95">
        <v>970453</v>
      </c>
      <c r="G8" s="115">
        <f>F8-E8</f>
        <v>22200</v>
      </c>
      <c r="H8" s="99">
        <f>G8+'12'!H8</f>
        <v>261904.84999999998</v>
      </c>
      <c r="I8" s="116"/>
      <c r="J8" s="175">
        <f>H8/DAY(B2)</f>
        <v>20146.526923076923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461289</v>
      </c>
      <c r="F9" s="598">
        <v>479386</v>
      </c>
      <c r="G9" s="112">
        <f>F9-E9</f>
        <v>18097</v>
      </c>
      <c r="H9" s="99">
        <f>G9+'12'!H9</f>
        <v>197132.15000000002</v>
      </c>
      <c r="I9" s="124">
        <f>I7-J7</f>
        <v>-7997.2130769230789</v>
      </c>
      <c r="J9" s="175">
        <f>H9/DAY(B2)</f>
        <v>15164.01153846154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157461</v>
      </c>
      <c r="F10" s="353">
        <v>160802</v>
      </c>
      <c r="G10" s="112">
        <f t="shared" ref="G10:G12" si="0">F10-E10</f>
        <v>3341</v>
      </c>
      <c r="H10" s="99">
        <f>G10+'12'!H10</f>
        <v>55543.03</v>
      </c>
      <c r="I10" s="282"/>
      <c r="J10" s="175">
        <f>H10/DAY(B2)</f>
        <v>4272.540769230769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37170</v>
      </c>
      <c r="F11" s="95">
        <v>37170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21438</v>
      </c>
      <c r="H13" s="99">
        <f>G13+'12'!H13</f>
        <v>235920.75</v>
      </c>
      <c r="I13" s="120">
        <f>G7-G13</f>
        <v>638</v>
      </c>
      <c r="J13" s="175">
        <f>H13/DAY(B2)</f>
        <v>18147.75</v>
      </c>
      <c r="K13" s="79"/>
      <c r="L13" s="66"/>
      <c r="N13" s="87"/>
      <c r="O13" s="71"/>
    </row>
    <row r="14" spans="1:15" ht="27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1919362</v>
      </c>
      <c r="F15" s="123">
        <v>1920470</v>
      </c>
      <c r="G15" s="112">
        <f>(F15-E15)</f>
        <v>1108</v>
      </c>
      <c r="H15" s="99">
        <f>G15+'12'!H15</f>
        <v>13833.233000000007</v>
      </c>
      <c r="I15" s="113">
        <f>'1'!I15</f>
        <v>800</v>
      </c>
      <c r="J15" s="175">
        <f>H15/DAY(B2)</f>
        <v>1064.0948461538467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-264.09484615384667</v>
      </c>
      <c r="J16" s="176"/>
      <c r="K16" s="79"/>
      <c r="L16" s="66"/>
      <c r="N16" s="87"/>
      <c r="O16" s="71"/>
    </row>
    <row r="17" spans="1:15" ht="27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3" t="s">
        <v>141</v>
      </c>
      <c r="B18" s="854"/>
      <c r="C18" s="855"/>
      <c r="D18" s="151" t="s">
        <v>142</v>
      </c>
      <c r="E18" s="95">
        <f>'12'!F18</f>
        <v>28</v>
      </c>
      <c r="F18" s="122">
        <v>24</v>
      </c>
      <c r="G18" s="119">
        <f>F18*10</f>
        <v>240</v>
      </c>
      <c r="H18" s="99">
        <f>G18+'12'!H18</f>
        <v>2790</v>
      </c>
      <c r="I18" s="113">
        <f>'1'!I18</f>
        <v>65</v>
      </c>
      <c r="J18" s="175">
        <f>H18/DAY(B2)</f>
        <v>214.61538461538461</v>
      </c>
      <c r="K18" s="79"/>
      <c r="L18" s="66"/>
      <c r="N18" s="87"/>
      <c r="O18" s="71"/>
    </row>
    <row r="19" spans="1:15" ht="27.75" customHeight="1" x14ac:dyDescent="0.5">
      <c r="A19" s="853" t="s">
        <v>69</v>
      </c>
      <c r="B19" s="854"/>
      <c r="C19" s="855"/>
      <c r="D19" s="151" t="s">
        <v>142</v>
      </c>
      <c r="E19" s="95">
        <f>'12'!F19</f>
        <v>154524</v>
      </c>
      <c r="F19" s="122">
        <v>154580</v>
      </c>
      <c r="G19" s="112">
        <f t="shared" ref="G19" si="1">F19-E19</f>
        <v>56</v>
      </c>
      <c r="H19" s="99">
        <f>G19+'12'!H19</f>
        <v>689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G20+'12'!H20</f>
        <v>3479</v>
      </c>
      <c r="I20" s="336">
        <f>I18-J20</f>
        <v>-202.61538461538464</v>
      </c>
      <c r="J20" s="175">
        <f>H20/DAY(B2)</f>
        <v>267.61538461538464</v>
      </c>
      <c r="K20" s="79"/>
      <c r="L20" s="66"/>
      <c r="N20" s="87"/>
      <c r="O20" s="71"/>
    </row>
    <row r="21" spans="1:15" ht="27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22200</v>
      </c>
      <c r="F27" s="136">
        <v>9</v>
      </c>
      <c r="G27" s="137">
        <f>E27*F27</f>
        <v>199800</v>
      </c>
      <c r="H27" s="99">
        <f>G27+'12'!H27</f>
        <v>2357143.65</v>
      </c>
      <c r="I27" s="138"/>
      <c r="J27" s="175">
        <f>H27/DAY(B2)</f>
        <v>181318.7423076923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1108</v>
      </c>
      <c r="F28" s="136">
        <v>70</v>
      </c>
      <c r="G28" s="137">
        <f>E28*F28</f>
        <v>77560</v>
      </c>
      <c r="H28" s="99">
        <f>G28+'12'!H28</f>
        <v>762546.11600000039</v>
      </c>
      <c r="I28" s="140"/>
      <c r="J28" s="175">
        <f>H28/DAY(B2)</f>
        <v>58657.393538461569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101169</v>
      </c>
      <c r="I30" s="140"/>
      <c r="J30" s="175">
        <f>H30/DAY(B2)</f>
        <v>7782.2307692307695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G31+'12'!H31</f>
        <v>223200</v>
      </c>
      <c r="I31" s="140"/>
      <c r="J31" s="175">
        <f>H31/DAY(B2)</f>
        <v>17169.23076923077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305016</v>
      </c>
      <c r="H32" s="99">
        <f>G32+'12'!H32</f>
        <v>3444058.7660000003</v>
      </c>
      <c r="I32" s="144"/>
      <c r="J32" s="175">
        <f>H32/DAY(B2)</f>
        <v>264927.59738461539</v>
      </c>
      <c r="K32" s="63"/>
      <c r="L32" s="89"/>
      <c r="N32" s="87"/>
      <c r="O32" s="71"/>
    </row>
    <row r="33" spans="1:15" ht="27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50061</v>
      </c>
      <c r="F35" s="145">
        <v>51594</v>
      </c>
      <c r="G35" s="112">
        <f t="shared" ref="G35:G46" si="3">F35-E35</f>
        <v>1533</v>
      </c>
      <c r="H35" s="99">
        <f>G35+'12'!H35</f>
        <v>19589.02</v>
      </c>
      <c r="I35" s="95"/>
      <c r="J35" s="175">
        <f>H35/DAY(B2)</f>
        <v>1506.8476923076923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54808</v>
      </c>
      <c r="F36" s="145">
        <v>55877</v>
      </c>
      <c r="G36" s="112">
        <f t="shared" si="3"/>
        <v>1069</v>
      </c>
      <c r="H36" s="99">
        <f>G36+'12'!H36</f>
        <v>12418.260000000002</v>
      </c>
      <c r="I36" s="95"/>
      <c r="J36" s="175">
        <f>H36/DAY(B2)</f>
        <v>955.25076923076938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55042</v>
      </c>
      <c r="F37" s="145">
        <v>56823</v>
      </c>
      <c r="G37" s="112">
        <f t="shared" si="3"/>
        <v>1781</v>
      </c>
      <c r="H37" s="99">
        <f>G37+'12'!H37</f>
        <v>21397.910000000003</v>
      </c>
      <c r="I37" s="95"/>
      <c r="J37" s="175">
        <f>H37/DAY(B2)</f>
        <v>1645.9930769230773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61185</v>
      </c>
      <c r="F38" s="108">
        <v>63214</v>
      </c>
      <c r="G38" s="112">
        <f t="shared" si="3"/>
        <v>2029</v>
      </c>
      <c r="H38" s="99">
        <f>G38+'12'!H38</f>
        <v>24837.57</v>
      </c>
      <c r="I38" s="95"/>
      <c r="J38" s="175">
        <f>H38/DAY(B2)</f>
        <v>1910.5823076923077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93673</v>
      </c>
      <c r="F39" s="145">
        <v>96952</v>
      </c>
      <c r="G39" s="112">
        <f t="shared" si="3"/>
        <v>3279</v>
      </c>
      <c r="H39" s="99">
        <f>G39+'12'!H39</f>
        <v>37778.71</v>
      </c>
      <c r="I39" s="95"/>
      <c r="J39" s="175">
        <f>H39/DAY(B2)</f>
        <v>2906.0546153846153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25514</v>
      </c>
      <c r="F40" s="145">
        <v>26453</v>
      </c>
      <c r="G40" s="112">
        <f t="shared" si="3"/>
        <v>939</v>
      </c>
      <c r="H40" s="99">
        <f>G40+'12'!H40</f>
        <v>4336.0099999999975</v>
      </c>
      <c r="I40" s="95"/>
      <c r="J40" s="175">
        <f>H40/DAY(B2)</f>
        <v>333.53923076923058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0.27000000000000313</v>
      </c>
      <c r="I41" s="95"/>
      <c r="J41" s="175">
        <f>H41/DAY(B2)</f>
        <v>2.0769230769231008E-2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131048</v>
      </c>
      <c r="F42" s="145">
        <v>135861</v>
      </c>
      <c r="G42" s="112">
        <f t="shared" si="3"/>
        <v>4813</v>
      </c>
      <c r="H42" s="99">
        <f>G42+'12'!H42</f>
        <v>35731.259999999995</v>
      </c>
      <c r="I42" s="95"/>
      <c r="J42" s="175">
        <f>H42/DAY(B2)</f>
        <v>2748.558461538461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140613</v>
      </c>
      <c r="F43" s="145">
        <v>142758</v>
      </c>
      <c r="G43" s="112">
        <f t="shared" si="3"/>
        <v>2145</v>
      </c>
      <c r="H43" s="99">
        <f>G43+'12'!H43</f>
        <v>27906.399999999994</v>
      </c>
      <c r="I43" s="95"/>
      <c r="J43" s="175">
        <f>H43/DAY(B2)</f>
        <v>2146.6461538461535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17588</v>
      </c>
      <c r="H47" s="99">
        <f>G47+'12'!H47</f>
        <v>183995.41</v>
      </c>
      <c r="I47" s="95"/>
      <c r="J47" s="175">
        <f>H47/DAY(B2)</f>
        <v>14153.493076923078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40496</v>
      </c>
      <c r="F49" s="145">
        <v>41944</v>
      </c>
      <c r="G49" s="112">
        <f t="shared" ref="G49:G58" si="4">F49-E49</f>
        <v>1448</v>
      </c>
      <c r="H49" s="99">
        <f>G49+'12'!H49</f>
        <v>16947.810000000001</v>
      </c>
      <c r="I49" s="95"/>
      <c r="J49" s="175">
        <f>H49/DAY(B2)</f>
        <v>1303.6776923076925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70733</v>
      </c>
      <c r="F50" s="145">
        <v>72291</v>
      </c>
      <c r="G50" s="112">
        <f t="shared" si="4"/>
        <v>1558</v>
      </c>
      <c r="H50" s="99">
        <f>G50+'12'!H50</f>
        <v>15904.370000000003</v>
      </c>
      <c r="I50" s="95"/>
      <c r="J50" s="175">
        <f>H50/DAY(B2)</f>
        <v>1223.4130769230771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10689</v>
      </c>
      <c r="F54" s="145">
        <v>11228</v>
      </c>
      <c r="G54" s="112">
        <f t="shared" si="4"/>
        <v>539</v>
      </c>
      <c r="H54" s="99">
        <f>G54+'12'!H54</f>
        <v>6080.58</v>
      </c>
      <c r="I54" s="95"/>
      <c r="J54" s="175">
        <f>H54/DAY(B2)</f>
        <v>467.73692307692306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90373</v>
      </c>
      <c r="F55" s="145">
        <v>90579</v>
      </c>
      <c r="G55" s="112">
        <f t="shared" si="4"/>
        <v>206</v>
      </c>
      <c r="H55" s="99">
        <f>G55+'12'!H55</f>
        <v>16212.89</v>
      </c>
      <c r="I55" s="95"/>
      <c r="J55" s="175">
        <f>H55/DAY(B2)</f>
        <v>1247.1453846153845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8724</v>
      </c>
      <c r="F56" s="145">
        <v>8724</v>
      </c>
      <c r="G56" s="112">
        <f t="shared" si="4"/>
        <v>0</v>
      </c>
      <c r="H56" s="99">
        <f>G56+'12'!H56</f>
        <v>113.45999999999913</v>
      </c>
      <c r="I56" s="95"/>
      <c r="J56" s="175">
        <f>H56/DAY(B2)</f>
        <v>8.7276923076922408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7369</v>
      </c>
      <c r="F58" s="145">
        <v>7565</v>
      </c>
      <c r="G58" s="112">
        <f t="shared" si="4"/>
        <v>196</v>
      </c>
      <c r="H58" s="99">
        <f>G58+'12'!H58</f>
        <v>2768.79</v>
      </c>
      <c r="I58" s="95"/>
      <c r="J58" s="175">
        <f>H58/DAY(B2)</f>
        <v>212.98384615384614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3947</v>
      </c>
      <c r="H59" s="99">
        <f>G59+'12'!H59</f>
        <v>58027.9</v>
      </c>
      <c r="I59" s="95">
        <f>G7-G60</f>
        <v>541</v>
      </c>
      <c r="J59" s="175">
        <f>H59/DAY(B2)</f>
        <v>4463.6846153846154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21535</v>
      </c>
      <c r="H60" s="99">
        <f>G60+'12'!H60</f>
        <v>242023.31</v>
      </c>
      <c r="I60" s="95">
        <f>G13-G60</f>
        <v>-97</v>
      </c>
      <c r="J60" s="175">
        <f>H60/DAY(B2)</f>
        <v>18617.17769230769</v>
      </c>
      <c r="K60" s="79"/>
      <c r="L60" s="66"/>
      <c r="N60" s="87"/>
      <c r="O60" s="71"/>
    </row>
    <row r="61" spans="1:15" s="68" customFormat="1" ht="27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3" t="s">
        <v>198</v>
      </c>
      <c r="B62" s="854"/>
      <c r="C62" s="855"/>
      <c r="D62" s="151" t="s">
        <v>142</v>
      </c>
      <c r="E62" s="95">
        <f>'12'!F62</f>
        <v>271086</v>
      </c>
      <c r="F62" s="122">
        <v>271263</v>
      </c>
      <c r="G62" s="112">
        <f t="shared" ref="G62:G63" si="5">F62-E62</f>
        <v>177</v>
      </c>
      <c r="H62" s="99">
        <f>G62+'12'!H62</f>
        <v>1747</v>
      </c>
      <c r="I62" s="118"/>
      <c r="J62" s="175">
        <f>H62/DAY(B2)</f>
        <v>134.38461538461539</v>
      </c>
      <c r="K62" s="80"/>
      <c r="L62" s="66"/>
      <c r="N62" s="87"/>
      <c r="O62" s="71"/>
    </row>
    <row r="63" spans="1:15" ht="27.75" customHeight="1" x14ac:dyDescent="0.5">
      <c r="A63" s="853" t="s">
        <v>199</v>
      </c>
      <c r="B63" s="854"/>
      <c r="C63" s="855"/>
      <c r="D63" s="151" t="s">
        <v>142</v>
      </c>
      <c r="E63" s="95">
        <f>'12'!F63</f>
        <v>217380</v>
      </c>
      <c r="F63" s="122">
        <v>217520</v>
      </c>
      <c r="G63" s="112">
        <f t="shared" si="5"/>
        <v>140</v>
      </c>
      <c r="H63" s="99">
        <f>G63+'12'!H63</f>
        <v>1723</v>
      </c>
      <c r="I63" s="118"/>
      <c r="J63" s="175">
        <f>H63/DAY(B2)</f>
        <v>132.53846153846155</v>
      </c>
      <c r="K63" s="69"/>
      <c r="L63" s="66"/>
      <c r="N63" s="87"/>
      <c r="O63" s="71"/>
    </row>
    <row r="64" spans="1:15" ht="27.75" customHeight="1" x14ac:dyDescent="0.5">
      <c r="A64" s="850" t="s">
        <v>200</v>
      </c>
      <c r="B64" s="851"/>
      <c r="C64" s="852"/>
      <c r="D64" s="151"/>
      <c r="E64" s="95">
        <f>'12'!F64</f>
        <v>0</v>
      </c>
      <c r="F64" s="122"/>
      <c r="G64" s="112">
        <f>G62+G63</f>
        <v>317</v>
      </c>
      <c r="H64" s="99">
        <f>G64+'12'!H64</f>
        <v>3470</v>
      </c>
      <c r="I64" s="118"/>
      <c r="J64" s="175">
        <f>H64/DAY(B2)</f>
        <v>266.92307692307691</v>
      </c>
      <c r="K64" s="69"/>
      <c r="L64" s="66"/>
      <c r="N64" s="87"/>
      <c r="O64" s="71"/>
    </row>
    <row r="65" spans="1:15" ht="27.75" customHeight="1" x14ac:dyDescent="0.5">
      <c r="A65" s="853" t="s">
        <v>201</v>
      </c>
      <c r="B65" s="854"/>
      <c r="C65" s="855"/>
      <c r="D65" s="151" t="s">
        <v>142</v>
      </c>
      <c r="E65" s="95">
        <f>'12'!F65</f>
        <v>436096</v>
      </c>
      <c r="F65" s="122">
        <v>436208</v>
      </c>
      <c r="G65" s="112">
        <f t="shared" ref="G65:G70" si="6">F65-E65</f>
        <v>112</v>
      </c>
      <c r="H65" s="99">
        <f>G65+'12'!H65</f>
        <v>1285</v>
      </c>
      <c r="I65" s="118"/>
      <c r="J65" s="175">
        <f>H65/DAY(B2)</f>
        <v>98.84615384615384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108045</v>
      </c>
      <c r="F66" s="122">
        <v>108072</v>
      </c>
      <c r="G66" s="112">
        <f t="shared" si="6"/>
        <v>27</v>
      </c>
      <c r="H66" s="99">
        <f>G66+'12'!H66</f>
        <v>329</v>
      </c>
      <c r="I66" s="118"/>
      <c r="J66" s="175">
        <f>H66/DAY(B2)</f>
        <v>25.307692307692307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105081</v>
      </c>
      <c r="F67" s="122">
        <v>105152</v>
      </c>
      <c r="G67" s="112">
        <f t="shared" si="6"/>
        <v>71</v>
      </c>
      <c r="H67" s="99">
        <f>G67+'12'!H67</f>
        <v>504</v>
      </c>
      <c r="I67" s="118"/>
      <c r="J67" s="175">
        <f>H67/DAY(B2)</f>
        <v>38.769230769230766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158166</v>
      </c>
      <c r="F68" s="122">
        <v>158198</v>
      </c>
      <c r="G68" s="112">
        <f t="shared" si="6"/>
        <v>32</v>
      </c>
      <c r="H68" s="99">
        <f>G68+'12'!H68</f>
        <v>501</v>
      </c>
      <c r="I68" s="118"/>
      <c r="J68" s="175">
        <f>H68/DAY(B2)</f>
        <v>38.53846153846154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10702</v>
      </c>
      <c r="F69" s="122">
        <v>10713</v>
      </c>
      <c r="G69" s="112">
        <f t="shared" si="6"/>
        <v>11</v>
      </c>
      <c r="H69" s="99">
        <f>G69+'12'!H69</f>
        <v>172</v>
      </c>
      <c r="I69" s="118"/>
      <c r="J69" s="175">
        <f>H69/DAY(B2)</f>
        <v>13.23076923076923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8269</v>
      </c>
      <c r="F70" s="122">
        <v>8277</v>
      </c>
      <c r="G70" s="112">
        <f t="shared" si="6"/>
        <v>8</v>
      </c>
      <c r="H70" s="99">
        <f>G70+'12'!H70</f>
        <v>157</v>
      </c>
      <c r="I70" s="118"/>
      <c r="J70" s="175">
        <f>H70/DAY(B2)</f>
        <v>12.076923076923077</v>
      </c>
      <c r="K70" s="69"/>
      <c r="L70" s="66"/>
      <c r="N70" s="87"/>
      <c r="O70" s="71"/>
    </row>
    <row r="71" spans="1:15" ht="27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261</v>
      </c>
      <c r="H71" s="99">
        <f>G71+'12'!H71</f>
        <v>2948</v>
      </c>
      <c r="I71" s="154"/>
      <c r="J71" s="175">
        <f>H71/DAY(B2)</f>
        <v>226.76923076923077</v>
      </c>
      <c r="K71" s="69"/>
      <c r="L71" s="66"/>
      <c r="N71" s="87"/>
      <c r="O71" s="71"/>
    </row>
    <row r="72" spans="1:15" s="88" customFormat="1" ht="27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3" t="s">
        <v>220</v>
      </c>
      <c r="B74" s="854"/>
      <c r="C74" s="855"/>
      <c r="D74" s="151" t="s">
        <v>139</v>
      </c>
      <c r="E74" s="95">
        <f>'12'!F74</f>
        <v>905014</v>
      </c>
      <c r="F74" s="117">
        <v>905301</v>
      </c>
      <c r="G74" s="112">
        <f t="shared" ref="G74:G78" si="7">F74-E74</f>
        <v>287</v>
      </c>
      <c r="H74" s="99">
        <f>G74+'12'!H74</f>
        <v>3994.8510000000242</v>
      </c>
      <c r="I74" s="154"/>
      <c r="J74" s="175">
        <f>H74/DAY(B2)</f>
        <v>307.29623076923264</v>
      </c>
      <c r="K74" s="69"/>
      <c r="L74" s="66"/>
      <c r="N74" s="87"/>
      <c r="O74" s="71"/>
    </row>
    <row r="75" spans="1:15" ht="27.75" customHeight="1" x14ac:dyDescent="0.5">
      <c r="A75" s="853" t="s">
        <v>221</v>
      </c>
      <c r="B75" s="854"/>
      <c r="C75" s="855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97" t="s">
        <v>222</v>
      </c>
      <c r="B76" s="883"/>
      <c r="C76" s="884"/>
      <c r="D76" s="151" t="s">
        <v>139</v>
      </c>
      <c r="E76" s="95">
        <f>'12'!F76</f>
        <v>171404</v>
      </c>
      <c r="F76" s="123">
        <v>171523</v>
      </c>
      <c r="G76" s="112">
        <f t="shared" si="7"/>
        <v>119</v>
      </c>
      <c r="H76" s="99">
        <f>G76+'12'!H76</f>
        <v>1548</v>
      </c>
      <c r="I76" s="154"/>
      <c r="J76" s="175">
        <f>H76/DAY(B2)</f>
        <v>119.07692307692308</v>
      </c>
      <c r="K76" s="69"/>
      <c r="L76" s="66"/>
      <c r="N76" s="87"/>
      <c r="O76" s="71"/>
    </row>
    <row r="77" spans="1:15" ht="27.75" customHeight="1" x14ac:dyDescent="0.5">
      <c r="A77" s="897" t="s">
        <v>223</v>
      </c>
      <c r="B77" s="883"/>
      <c r="C77" s="884"/>
      <c r="D77" s="151" t="s">
        <v>139</v>
      </c>
      <c r="E77" s="95">
        <f>'12'!F77</f>
        <v>41884</v>
      </c>
      <c r="F77" s="123">
        <v>41936</v>
      </c>
      <c r="G77" s="112">
        <f t="shared" si="7"/>
        <v>52</v>
      </c>
      <c r="H77" s="99">
        <f>G77+'12'!H77</f>
        <v>633.80000000000291</v>
      </c>
      <c r="I77" s="154"/>
      <c r="J77" s="175">
        <f>H77/DAY(B2)</f>
        <v>48.753846153846375</v>
      </c>
      <c r="K77" s="69"/>
      <c r="L77" s="66"/>
      <c r="N77" s="87"/>
      <c r="O77" s="71"/>
    </row>
    <row r="78" spans="1:15" ht="27.75" customHeight="1" x14ac:dyDescent="0.5">
      <c r="A78" s="897" t="s">
        <v>224</v>
      </c>
      <c r="B78" s="883"/>
      <c r="C78" s="884"/>
      <c r="D78" s="151" t="s">
        <v>139</v>
      </c>
      <c r="E78" s="95">
        <f>'12'!F78</f>
        <v>9538</v>
      </c>
      <c r="F78" s="123">
        <v>9541</v>
      </c>
      <c r="G78" s="112">
        <f t="shared" si="7"/>
        <v>3</v>
      </c>
      <c r="H78" s="99">
        <f>G78+'12'!H78</f>
        <v>25</v>
      </c>
      <c r="I78" s="118"/>
      <c r="J78" s="175">
        <f>H78/DAY(B2)</f>
        <v>1.9230769230769231</v>
      </c>
      <c r="K78" s="69"/>
      <c r="L78" s="66"/>
      <c r="N78" s="87"/>
      <c r="O78" s="71"/>
    </row>
    <row r="79" spans="1:15" s="57" customFormat="1" ht="27.75" customHeight="1" x14ac:dyDescent="0.5">
      <c r="A79" s="897" t="s">
        <v>225</v>
      </c>
      <c r="B79" s="883"/>
      <c r="C79" s="884"/>
      <c r="D79" s="151"/>
      <c r="E79" s="95">
        <f>'12'!F79</f>
        <v>0</v>
      </c>
      <c r="F79" s="117"/>
      <c r="G79" s="112">
        <f>G15-SUM(G74:G78)</f>
        <v>647</v>
      </c>
      <c r="H79" s="99">
        <f>G79+'12'!H79</f>
        <v>7631.3819999999832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1108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2432</v>
      </c>
      <c r="F85" s="164">
        <v>2456</v>
      </c>
      <c r="G85" s="112">
        <f t="shared" si="8"/>
        <v>24</v>
      </c>
      <c r="H85" s="99">
        <f>G85+'12'!H85</f>
        <v>195.57999999999993</v>
      </c>
      <c r="I85" s="118">
        <f>G82+G83+G84+G85</f>
        <v>24</v>
      </c>
      <c r="J85" s="175">
        <f>H85/DAY(B2)</f>
        <v>15.04461538461538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43562</v>
      </c>
      <c r="F86" s="164">
        <v>43564</v>
      </c>
      <c r="G86" s="112">
        <f t="shared" si="8"/>
        <v>2</v>
      </c>
      <c r="H86" s="99">
        <f>G86+'12'!H86</f>
        <v>122</v>
      </c>
      <c r="I86" s="118"/>
      <c r="J86" s="175">
        <f>H86/DAY(B2)</f>
        <v>9.384615384615385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24066.77</v>
      </c>
      <c r="F88" s="164">
        <v>24066.77</v>
      </c>
      <c r="G88" s="112">
        <f t="shared" si="8"/>
        <v>0</v>
      </c>
      <c r="H88" s="99">
        <f>G88+'12'!H88</f>
        <v>3.3400000000001455</v>
      </c>
      <c r="I88" s="118">
        <f>G86+G87+G88</f>
        <v>2</v>
      </c>
      <c r="J88" s="175">
        <f>H88/DAY(B2)</f>
        <v>0.25692307692308813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26012.63</v>
      </c>
      <c r="F89" s="164">
        <v>26022.66</v>
      </c>
      <c r="G89" s="112">
        <f t="shared" si="8"/>
        <v>10.029999999998836</v>
      </c>
      <c r="H89" s="99">
        <f>G89+'12'!H89</f>
        <v>131.54000000000087</v>
      </c>
      <c r="I89" s="118"/>
      <c r="J89" s="175">
        <f>H89/DAY(B2)</f>
        <v>10.118461538461606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71201.23</v>
      </c>
      <c r="F90" s="164">
        <v>71209.78</v>
      </c>
      <c r="G90" s="112">
        <f t="shared" si="8"/>
        <v>8.5500000000029104</v>
      </c>
      <c r="H90" s="99">
        <f>G90+'12'!H90</f>
        <v>46.459999999991851</v>
      </c>
      <c r="I90" s="118">
        <f>G89+G90</f>
        <v>18.580000000001746</v>
      </c>
      <c r="J90" s="175">
        <f>H90/DAY(B2)</f>
        <v>3.5738461538455271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3387.86</v>
      </c>
      <c r="F91" s="122">
        <v>3398.46</v>
      </c>
      <c r="G91" s="112">
        <f t="shared" si="8"/>
        <v>10.599999999999909</v>
      </c>
      <c r="H91" s="99">
        <f>G91+'12'!H91</f>
        <v>147.36999999999989</v>
      </c>
      <c r="I91" s="165"/>
      <c r="J91" s="175">
        <f>H91/DAY(B2)</f>
        <v>11.336153846153838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-6.9999999999708962E-2</v>
      </c>
      <c r="I92" s="165"/>
      <c r="J92" s="175">
        <f>H92/DAY(B2)</f>
        <v>-5.3846153845929969E-3</v>
      </c>
      <c r="O92" s="71"/>
    </row>
    <row r="93" spans="1:15" ht="27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5126</v>
      </c>
      <c r="H94" s="99">
        <f>G94+'12'!H94</f>
        <v>64443.229999999996</v>
      </c>
      <c r="I94" s="118"/>
      <c r="J94" s="175">
        <f>H94/DAY(B2)</f>
        <v>4957.1715384615381</v>
      </c>
      <c r="K94" s="69"/>
      <c r="L94" s="66"/>
      <c r="O94" s="71"/>
    </row>
    <row r="95" spans="1:15" ht="27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0.23219786193150932</v>
      </c>
      <c r="H95" s="99">
        <f>G95+'12'!H95</f>
        <v>3.2262134315069928</v>
      </c>
      <c r="I95" s="167"/>
      <c r="J95" s="175">
        <f>H95/DAY(B2)</f>
        <v>0.24817026396207637</v>
      </c>
      <c r="K95" s="69"/>
      <c r="L95" s="66"/>
      <c r="O95" s="71"/>
    </row>
    <row r="96" spans="1:15" ht="27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5019</v>
      </c>
      <c r="H96" s="99">
        <f>G96+'12'!H96</f>
        <v>52057.87999999999</v>
      </c>
      <c r="I96" s="118"/>
      <c r="J96" s="175">
        <f>H96/DAY(B2)</f>
        <v>4004.4523076923069</v>
      </c>
      <c r="K96" s="69"/>
      <c r="L96" s="66"/>
      <c r="O96" s="71"/>
    </row>
    <row r="97" spans="1:15" ht="27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0.2273509693785106</v>
      </c>
      <c r="H97" s="99">
        <f>G97+'12'!H97</f>
        <v>2.5970661649741635</v>
      </c>
      <c r="I97" s="167"/>
      <c r="J97" s="175">
        <f>H97/DAY(B2)</f>
        <v>0.19977432038262796</v>
      </c>
      <c r="K97" s="69"/>
      <c r="L97" s="66"/>
      <c r="O97" s="71"/>
    </row>
    <row r="98" spans="1:15" ht="27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3279</v>
      </c>
      <c r="H98" s="99">
        <f>G98+'12'!H98</f>
        <v>37778.71</v>
      </c>
      <c r="I98" s="168"/>
      <c r="J98" s="175">
        <f>H98/DAY(B2)</f>
        <v>2906.0546153846153</v>
      </c>
      <c r="K98" s="69"/>
      <c r="L98" s="66"/>
      <c r="O98" s="71"/>
    </row>
    <row r="99" spans="1:15" ht="27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0.1485323428157275</v>
      </c>
      <c r="H99" s="99">
        <f>G99+'12'!H99</f>
        <v>1.8900333540992162</v>
      </c>
      <c r="I99" s="168"/>
      <c r="J99" s="175">
        <f>H99/DAY(B2)</f>
        <v>0.14538718108455509</v>
      </c>
      <c r="O99" s="71"/>
    </row>
    <row r="100" spans="1:15" ht="27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2029</v>
      </c>
      <c r="H100" s="99">
        <f>G100+'12'!H100</f>
        <v>24837.57</v>
      </c>
      <c r="I100" s="118"/>
      <c r="J100" s="175">
        <f>H100/DAY(B2)</f>
        <v>1910.5823076923077</v>
      </c>
      <c r="K100" s="70"/>
      <c r="O100" s="71"/>
    </row>
    <row r="101" spans="1:15" ht="27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9.1909766262003992E-2</v>
      </c>
      <c r="H101" s="99">
        <f>G101+'12'!H101</f>
        <v>1.2423892105616534</v>
      </c>
      <c r="I101" s="168"/>
      <c r="J101" s="175">
        <f>H101/DAY(B2)</f>
        <v>9.5568400812434881E-2</v>
      </c>
      <c r="O101" s="71"/>
    </row>
    <row r="102" spans="1:15" ht="27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2627</v>
      </c>
      <c r="H102" s="99">
        <f>G102+'12'!H102</f>
        <v>28322.630000000005</v>
      </c>
      <c r="I102" s="168"/>
      <c r="J102" s="175">
        <f>H102/DAY(B2)</f>
        <v>2178.6638461538464</v>
      </c>
      <c r="O102" s="71"/>
    </row>
    <row r="103" spans="1:15" ht="27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0.1189980068853053</v>
      </c>
      <c r="H103" s="99">
        <f>G103+'12'!H103</f>
        <v>1.410696477884942</v>
      </c>
      <c r="I103" s="118"/>
      <c r="J103" s="175">
        <f>H103/DAY(B2)</f>
        <v>0.10851511368345708</v>
      </c>
      <c r="O103" s="71"/>
    </row>
    <row r="104" spans="1:15" ht="27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1781</v>
      </c>
      <c r="H104" s="99">
        <f>G104+'12'!H104</f>
        <v>21397.910000000003</v>
      </c>
      <c r="I104" s="118"/>
      <c r="J104" s="175">
        <f>H104/DAY(B2)</f>
        <v>1645.9930769230773</v>
      </c>
      <c r="O104" s="71"/>
    </row>
    <row r="105" spans="1:15" ht="27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8.0675847073745241E-2</v>
      </c>
      <c r="H105" s="99">
        <f>G105+'12'!H105</f>
        <v>1.0727975171250785</v>
      </c>
      <c r="I105" s="187"/>
      <c r="J105" s="188">
        <f>H105/DAY(B2)</f>
        <v>8.2522885932698353E-2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7.75" customHeight="1" x14ac:dyDescent="0.5">
      <c r="A109" s="892"/>
      <c r="B109" s="892"/>
    </row>
    <row r="110" spans="1:15" ht="27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86" t="s">
        <v>252</v>
      </c>
      <c r="B112" s="887"/>
      <c r="C112" s="888"/>
      <c r="D112" s="146" t="s">
        <v>183</v>
      </c>
      <c r="E112" s="95">
        <f>'12'!F112</f>
        <v>58939</v>
      </c>
      <c r="F112" s="237">
        <v>59004</v>
      </c>
      <c r="G112" s="112">
        <f t="shared" ref="G112:G123" si="9">F112-E112</f>
        <v>65</v>
      </c>
      <c r="H112" s="99">
        <f>G112+'12'!H112</f>
        <v>950</v>
      </c>
      <c r="I112" s="165"/>
      <c r="J112" s="328">
        <f>H112/DAY(B2)</f>
        <v>73.07692307692308</v>
      </c>
    </row>
    <row r="113" spans="1:18" ht="27.75" customHeight="1" x14ac:dyDescent="0.5">
      <c r="A113" s="886" t="s">
        <v>253</v>
      </c>
      <c r="B113" s="887"/>
      <c r="C113" s="888"/>
      <c r="D113" s="146" t="s">
        <v>183</v>
      </c>
      <c r="E113" s="95">
        <f>'12'!F113</f>
        <v>52030</v>
      </c>
      <c r="F113" s="237">
        <v>52520</v>
      </c>
      <c r="G113" s="112">
        <f t="shared" si="9"/>
        <v>490</v>
      </c>
      <c r="H113" s="99">
        <f>G113+'12'!H113</f>
        <v>6119.1100000000006</v>
      </c>
      <c r="I113" s="165"/>
      <c r="J113" s="328">
        <f>H113/DAY(B2)</f>
        <v>470.70076923076925</v>
      </c>
    </row>
    <row r="114" spans="1:18" ht="27.75" customHeight="1" x14ac:dyDescent="0.5">
      <c r="A114" s="886" t="s">
        <v>254</v>
      </c>
      <c r="B114" s="887"/>
      <c r="C114" s="888"/>
      <c r="D114" s="146" t="s">
        <v>183</v>
      </c>
      <c r="E114" s="95">
        <f>'12'!F114</f>
        <v>37020</v>
      </c>
      <c r="F114" s="237">
        <v>37526</v>
      </c>
      <c r="G114" s="112">
        <f t="shared" si="9"/>
        <v>506</v>
      </c>
      <c r="H114" s="99">
        <f>G114+'12'!H114</f>
        <v>4366</v>
      </c>
      <c r="I114" s="165"/>
      <c r="J114" s="328">
        <f>H114/DAY(B2)</f>
        <v>335.84615384615387</v>
      </c>
    </row>
    <row r="115" spans="1:18" ht="27.75" customHeight="1" x14ac:dyDescent="0.5">
      <c r="A115" s="886" t="s">
        <v>255</v>
      </c>
      <c r="B115" s="887"/>
      <c r="C115" s="888"/>
      <c r="D115" s="146" t="s">
        <v>183</v>
      </c>
      <c r="E115" s="95">
        <f>'12'!F115</f>
        <v>9221</v>
      </c>
      <c r="F115" s="237">
        <v>9229</v>
      </c>
      <c r="G115" s="112">
        <f t="shared" si="9"/>
        <v>8</v>
      </c>
      <c r="H115" s="99">
        <f>G115+'12'!H115</f>
        <v>134.35000000000036</v>
      </c>
      <c r="I115" s="165"/>
      <c r="J115" s="328">
        <f>H115/DAY(B2)</f>
        <v>10.334615384615413</v>
      </c>
    </row>
    <row r="116" spans="1:18" ht="27.75" customHeight="1" x14ac:dyDescent="0.5">
      <c r="A116" s="904" t="s">
        <v>96</v>
      </c>
      <c r="B116" s="905"/>
      <c r="C116" s="906"/>
      <c r="D116" s="146" t="s">
        <v>183</v>
      </c>
      <c r="E116" s="95">
        <f>'12'!F116</f>
        <v>2405</v>
      </c>
      <c r="F116" s="237">
        <v>2851</v>
      </c>
      <c r="G116" s="112">
        <f t="shared" si="9"/>
        <v>446</v>
      </c>
      <c r="H116" s="99">
        <f>G116+'12'!H116</f>
        <v>2851</v>
      </c>
      <c r="I116" s="165"/>
      <c r="J116" s="328">
        <f>H116/DAY(B2)</f>
        <v>219.30769230769232</v>
      </c>
      <c r="Q116" s="886"/>
      <c r="R116" s="888"/>
    </row>
    <row r="117" spans="1:18" ht="27.75" customHeight="1" x14ac:dyDescent="0.5">
      <c r="A117" s="904" t="s">
        <v>184</v>
      </c>
      <c r="B117" s="905"/>
      <c r="C117" s="906"/>
      <c r="D117" s="146" t="s">
        <v>183</v>
      </c>
      <c r="E117" s="95">
        <f>'12'!F117</f>
        <v>4862</v>
      </c>
      <c r="F117" s="237">
        <v>5081</v>
      </c>
      <c r="G117" s="112">
        <f t="shared" si="9"/>
        <v>219</v>
      </c>
      <c r="H117" s="99">
        <f>G117+'12'!H117</f>
        <v>1743.0500000000002</v>
      </c>
      <c r="I117" s="165"/>
      <c r="J117" s="328">
        <f>H117/DAY(B2)</f>
        <v>134.08076923076925</v>
      </c>
      <c r="Q117" s="886"/>
      <c r="R117" s="888"/>
    </row>
    <row r="118" spans="1:18" ht="27.75" customHeight="1" x14ac:dyDescent="0.5">
      <c r="A118" s="881" t="s">
        <v>97</v>
      </c>
      <c r="B118" s="881"/>
      <c r="C118" s="881"/>
      <c r="D118" s="151" t="s">
        <v>183</v>
      </c>
      <c r="E118" s="95">
        <f>'12'!F118</f>
        <v>256755</v>
      </c>
      <c r="F118" s="237">
        <v>257167</v>
      </c>
      <c r="G118" s="112">
        <f t="shared" si="9"/>
        <v>412</v>
      </c>
      <c r="H118" s="99">
        <f>G118+'12'!H118</f>
        <v>4714.6900000000023</v>
      </c>
      <c r="I118" s="165"/>
      <c r="J118" s="328">
        <f>H118/DAY(B2)</f>
        <v>362.66846153846171</v>
      </c>
      <c r="Q118" s="886"/>
      <c r="R118" s="888"/>
    </row>
    <row r="119" spans="1:18" ht="27.75" customHeight="1" x14ac:dyDescent="0.5">
      <c r="A119" s="881" t="s">
        <v>98</v>
      </c>
      <c r="B119" s="881"/>
      <c r="C119" s="881"/>
      <c r="D119" s="151" t="s">
        <v>183</v>
      </c>
      <c r="E119" s="95">
        <f>'12'!F119</f>
        <v>263141</v>
      </c>
      <c r="F119" s="237">
        <v>263567</v>
      </c>
      <c r="G119" s="112">
        <f t="shared" si="9"/>
        <v>426</v>
      </c>
      <c r="H119" s="99">
        <f>G119+'12'!H119</f>
        <v>5418.4500000000116</v>
      </c>
      <c r="I119" s="165"/>
      <c r="J119" s="328">
        <f>H119/DAY(B2)</f>
        <v>416.80384615384708</v>
      </c>
    </row>
    <row r="120" spans="1:18" ht="27.75" customHeight="1" x14ac:dyDescent="0.5">
      <c r="A120" s="881" t="s">
        <v>99</v>
      </c>
      <c r="B120" s="881"/>
      <c r="C120" s="881"/>
      <c r="D120" s="151" t="s">
        <v>183</v>
      </c>
      <c r="E120" s="95">
        <f>'12'!F120</f>
        <v>48046</v>
      </c>
      <c r="F120" s="237">
        <v>48455</v>
      </c>
      <c r="G120" s="112">
        <f t="shared" si="9"/>
        <v>409</v>
      </c>
      <c r="H120" s="99">
        <f>G120+'12'!H120</f>
        <v>5495.3899999999994</v>
      </c>
      <c r="I120" s="165"/>
      <c r="J120" s="328">
        <f>H120/DAY(B2)</f>
        <v>422.72230769230765</v>
      </c>
    </row>
    <row r="121" spans="1:18" ht="27.75" customHeight="1" x14ac:dyDescent="0.5">
      <c r="A121" s="881" t="s">
        <v>100</v>
      </c>
      <c r="B121" s="881"/>
      <c r="C121" s="881"/>
      <c r="D121" s="151" t="s">
        <v>183</v>
      </c>
      <c r="E121" s="95">
        <f>'12'!F121</f>
        <v>406805</v>
      </c>
      <c r="F121" s="237">
        <v>407562</v>
      </c>
      <c r="G121" s="112">
        <f t="shared" si="9"/>
        <v>757</v>
      </c>
      <c r="H121" s="99">
        <f>G121+'12'!H121</f>
        <v>9527.570000000007</v>
      </c>
      <c r="I121" s="165"/>
      <c r="J121" s="328">
        <f>H121/DAY(B2)</f>
        <v>732.89000000000055</v>
      </c>
    </row>
    <row r="122" spans="1:18" ht="27.75" customHeight="1" x14ac:dyDescent="0.5">
      <c r="A122" s="881" t="s">
        <v>101</v>
      </c>
      <c r="B122" s="881"/>
      <c r="C122" s="881"/>
      <c r="D122" s="151" t="s">
        <v>183</v>
      </c>
      <c r="E122" s="95">
        <f>'12'!F122</f>
        <v>128805</v>
      </c>
      <c r="F122" s="237">
        <v>129065</v>
      </c>
      <c r="G122" s="112">
        <f t="shared" si="9"/>
        <v>260</v>
      </c>
      <c r="H122" s="99">
        <f>G122+'12'!H122</f>
        <v>2878.820000000007</v>
      </c>
      <c r="I122" s="165"/>
      <c r="J122" s="328">
        <f>H122/DAY(B2)</f>
        <v>221.44769230769285</v>
      </c>
    </row>
    <row r="123" spans="1:18" ht="27.75" customHeight="1" x14ac:dyDescent="0.5">
      <c r="A123" s="881" t="s">
        <v>102</v>
      </c>
      <c r="B123" s="881"/>
      <c r="C123" s="881"/>
      <c r="D123" s="151" t="s">
        <v>183</v>
      </c>
      <c r="E123" s="95">
        <f>'12'!F123</f>
        <v>157104</v>
      </c>
      <c r="F123" s="237">
        <v>157363</v>
      </c>
      <c r="G123" s="112">
        <f t="shared" si="9"/>
        <v>259</v>
      </c>
      <c r="H123" s="99">
        <f>G123+'12'!H123</f>
        <v>3316.0499999999884</v>
      </c>
      <c r="I123" s="165"/>
      <c r="J123" s="328">
        <f>H123/DAY(B2)</f>
        <v>255.08076923076834</v>
      </c>
    </row>
    <row r="124" spans="1:18" ht="27.7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4257</v>
      </c>
      <c r="H125" s="156"/>
      <c r="I125" s="327">
        <f>G125-(G39+G53)</f>
        <v>978</v>
      </c>
      <c r="J125" s="327"/>
    </row>
    <row r="126" spans="1:18" ht="27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86" t="s">
        <v>318</v>
      </c>
      <c r="B128" s="887"/>
      <c r="C128" s="888"/>
      <c r="D128" s="151" t="s">
        <v>183</v>
      </c>
      <c r="E128" s="95">
        <f>'12'!F128</f>
        <v>51543</v>
      </c>
      <c r="F128" s="165">
        <v>51864</v>
      </c>
      <c r="G128" s="112">
        <f t="shared" ref="G128:G134" si="10">F128-E128</f>
        <v>321</v>
      </c>
      <c r="H128" s="99">
        <f>G128+'12'!H128</f>
        <v>4118</v>
      </c>
      <c r="I128" s="165"/>
      <c r="J128" s="328">
        <f>H128/DAY(B2)</f>
        <v>316.76923076923077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29490</v>
      </c>
      <c r="F129" s="165">
        <v>29691</v>
      </c>
      <c r="G129" s="112">
        <f t="shared" si="10"/>
        <v>201</v>
      </c>
      <c r="H129" s="99">
        <f>G129+'12'!H129</f>
        <v>2780.130000000001</v>
      </c>
      <c r="I129" s="165"/>
      <c r="J129" s="328">
        <f>H129/DAY(B2)</f>
        <v>213.85615384615392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42771</v>
      </c>
      <c r="F130" s="165">
        <v>43414</v>
      </c>
      <c r="G130" s="112">
        <f t="shared" si="10"/>
        <v>643</v>
      </c>
      <c r="H130" s="99">
        <f>G130+'12'!H130</f>
        <v>7720</v>
      </c>
      <c r="I130" s="165"/>
      <c r="J130" s="328">
        <f>H130/DAY(B2)</f>
        <v>593.84615384615381</v>
      </c>
      <c r="N130" s="240"/>
      <c r="O130" s="241"/>
    </row>
    <row r="131" spans="1:15" ht="27.75" customHeight="1" x14ac:dyDescent="0.5">
      <c r="A131" s="886" t="s">
        <v>321</v>
      </c>
      <c r="B131" s="887"/>
      <c r="C131" s="888"/>
      <c r="D131" s="151" t="s">
        <v>183</v>
      </c>
      <c r="E131" s="95">
        <f>'12'!F131</f>
        <v>16488</v>
      </c>
      <c r="F131" s="165">
        <v>16612</v>
      </c>
      <c r="G131" s="112">
        <f t="shared" si="10"/>
        <v>124</v>
      </c>
      <c r="H131" s="99">
        <f>G131+'12'!H131</f>
        <v>1304.3199999999997</v>
      </c>
      <c r="I131" s="165"/>
      <c r="J131" s="328">
        <f>H131/DAY(B2)</f>
        <v>100.33230769230767</v>
      </c>
      <c r="N131" s="240"/>
      <c r="O131" s="241"/>
    </row>
    <row r="132" spans="1:15" ht="27.75" customHeight="1" x14ac:dyDescent="0.5">
      <c r="A132" s="886" t="s">
        <v>322</v>
      </c>
      <c r="B132" s="887"/>
      <c r="C132" s="888"/>
      <c r="D132" s="151" t="s">
        <v>183</v>
      </c>
      <c r="E132" s="95">
        <f>'12'!F132</f>
        <v>56306</v>
      </c>
      <c r="F132" s="165">
        <v>56739</v>
      </c>
      <c r="G132" s="112">
        <f t="shared" si="10"/>
        <v>433</v>
      </c>
      <c r="H132" s="99">
        <f>G132+'12'!H132</f>
        <v>4890.6999999999971</v>
      </c>
      <c r="I132" s="165"/>
      <c r="J132" s="328">
        <f>H132/DAY(B2)</f>
        <v>376.20769230769207</v>
      </c>
    </row>
    <row r="133" spans="1:15" ht="27.75" customHeight="1" x14ac:dyDescent="0.5">
      <c r="A133" s="886" t="s">
        <v>362</v>
      </c>
      <c r="B133" s="887"/>
      <c r="C133" s="888"/>
      <c r="D133" s="151" t="s">
        <v>183</v>
      </c>
      <c r="E133" s="95">
        <f>'12'!F133</f>
        <v>112672</v>
      </c>
      <c r="F133" s="165">
        <v>113348</v>
      </c>
      <c r="G133" s="112">
        <f t="shared" si="10"/>
        <v>676</v>
      </c>
      <c r="H133" s="99">
        <f>G133+'12'!H133</f>
        <v>8004.3000000000029</v>
      </c>
      <c r="I133" s="165"/>
      <c r="J133" s="328">
        <f>H133/DAY(B2)</f>
        <v>615.71538461538489</v>
      </c>
    </row>
    <row r="134" spans="1:15" ht="27.75" customHeight="1" x14ac:dyDescent="0.5">
      <c r="A134" s="886" t="s">
        <v>340</v>
      </c>
      <c r="B134" s="887"/>
      <c r="C134" s="888"/>
      <c r="D134" s="151" t="s">
        <v>183</v>
      </c>
      <c r="E134" s="155">
        <v>10844</v>
      </c>
      <c r="F134" s="165">
        <v>11016</v>
      </c>
      <c r="G134" s="112">
        <f t="shared" si="10"/>
        <v>172</v>
      </c>
      <c r="H134" s="99">
        <f>G134+'12'!H134</f>
        <v>2414.7700000000004</v>
      </c>
      <c r="I134" s="165"/>
      <c r="J134" s="328">
        <f>H134/DAY(B2)</f>
        <v>185.7515384615385</v>
      </c>
    </row>
    <row r="135" spans="1:15" ht="27.7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2570</v>
      </c>
      <c r="H135" s="99">
        <f>G135+'12'!H135</f>
        <v>28819.22</v>
      </c>
      <c r="I135" s="327">
        <f>G135-(G35+G49)</f>
        <v>-411</v>
      </c>
      <c r="J135" s="328">
        <f>H135/DAY(B2)</f>
        <v>2216.8630769230772</v>
      </c>
    </row>
    <row r="136" spans="1:15" ht="27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81" t="s">
        <v>185</v>
      </c>
      <c r="B138" s="881"/>
      <c r="C138" s="881"/>
      <c r="D138" s="151" t="s">
        <v>183</v>
      </c>
      <c r="E138" s="95">
        <f>'12'!F138</f>
        <v>867174</v>
      </c>
      <c r="F138" s="147">
        <v>867322</v>
      </c>
      <c r="G138" s="112">
        <f t="shared" ref="G138:G152" si="11">F138-E138</f>
        <v>148</v>
      </c>
      <c r="H138" s="99">
        <f>G138+'12'!H138</f>
        <v>1149</v>
      </c>
      <c r="I138" s="118"/>
      <c r="J138" s="328">
        <f>H138/DAY(B2)</f>
        <v>88.384615384615387</v>
      </c>
    </row>
    <row r="139" spans="1:15" ht="27.75" customHeight="1" x14ac:dyDescent="0.5">
      <c r="A139" s="881" t="s">
        <v>186</v>
      </c>
      <c r="B139" s="881"/>
      <c r="C139" s="881"/>
      <c r="D139" s="151" t="s">
        <v>183</v>
      </c>
      <c r="E139" s="95">
        <f>'12'!F139</f>
        <v>886654</v>
      </c>
      <c r="F139" s="148">
        <v>886674</v>
      </c>
      <c r="G139" s="112">
        <f t="shared" si="11"/>
        <v>20</v>
      </c>
      <c r="H139" s="99">
        <f>G139+'12'!H139</f>
        <v>101</v>
      </c>
      <c r="I139" s="118"/>
      <c r="J139" s="328">
        <f>H139/DAY(B2)</f>
        <v>7.7692307692307692</v>
      </c>
    </row>
    <row r="140" spans="1:15" ht="27.75" customHeight="1" x14ac:dyDescent="0.5">
      <c r="A140" s="881" t="s">
        <v>187</v>
      </c>
      <c r="B140" s="881"/>
      <c r="C140" s="881"/>
      <c r="D140" s="151" t="s">
        <v>183</v>
      </c>
      <c r="E140" s="95">
        <f>'12'!F140</f>
        <v>88948</v>
      </c>
      <c r="F140" s="149">
        <v>88948</v>
      </c>
      <c r="G140" s="112">
        <f t="shared" si="11"/>
        <v>0</v>
      </c>
      <c r="H140" s="99">
        <f>G140+'12'!H140</f>
        <v>26</v>
      </c>
      <c r="I140" s="118"/>
      <c r="J140" s="328">
        <f>H140/DAY(B2)</f>
        <v>2</v>
      </c>
    </row>
    <row r="141" spans="1:15" ht="27.75" customHeight="1" x14ac:dyDescent="0.5">
      <c r="A141" s="885" t="s">
        <v>188</v>
      </c>
      <c r="B141" s="885"/>
      <c r="C141" s="885"/>
      <c r="D141" s="151" t="s">
        <v>183</v>
      </c>
      <c r="E141" s="95">
        <f>'12'!F141</f>
        <v>56810</v>
      </c>
      <c r="F141" s="149">
        <v>56989</v>
      </c>
      <c r="G141" s="112">
        <f t="shared" si="11"/>
        <v>179</v>
      </c>
      <c r="H141" s="99">
        <f>G141+'12'!H141</f>
        <v>2303.4199999999983</v>
      </c>
      <c r="I141" s="118"/>
      <c r="J141" s="328">
        <f>H141/DAY(B2)</f>
        <v>177.1861538461537</v>
      </c>
    </row>
    <row r="142" spans="1:15" ht="27.75" customHeight="1" x14ac:dyDescent="0.5">
      <c r="A142" s="885" t="s">
        <v>189</v>
      </c>
      <c r="B142" s="885"/>
      <c r="C142" s="885"/>
      <c r="D142" s="151" t="s">
        <v>183</v>
      </c>
      <c r="E142" s="95">
        <f>'12'!F142</f>
        <v>22114</v>
      </c>
      <c r="F142" s="148">
        <v>22184</v>
      </c>
      <c r="G142" s="112">
        <f t="shared" si="11"/>
        <v>70</v>
      </c>
      <c r="H142" s="99">
        <f>G142+'12'!H142</f>
        <v>899.90000000000146</v>
      </c>
      <c r="I142" s="140"/>
      <c r="J142" s="328">
        <f>H142/DAY(B2)</f>
        <v>69.223076923077031</v>
      </c>
    </row>
    <row r="143" spans="1:15" ht="27.75" customHeight="1" x14ac:dyDescent="0.5">
      <c r="A143" s="881" t="s">
        <v>91</v>
      </c>
      <c r="B143" s="881"/>
      <c r="C143" s="881"/>
      <c r="D143" s="151" t="s">
        <v>183</v>
      </c>
      <c r="E143" s="95">
        <f>'12'!F143</f>
        <v>4168</v>
      </c>
      <c r="F143" s="149">
        <v>4198</v>
      </c>
      <c r="G143" s="112">
        <f t="shared" si="11"/>
        <v>30</v>
      </c>
      <c r="H143" s="99">
        <f>G143+'12'!H143</f>
        <v>362.61000000000013</v>
      </c>
      <c r="I143" s="140"/>
      <c r="J143" s="328">
        <f>H143/DAY(B2)</f>
        <v>27.893076923076933</v>
      </c>
    </row>
    <row r="144" spans="1:15" ht="27.75" customHeight="1" x14ac:dyDescent="0.5">
      <c r="A144" s="885" t="s">
        <v>90</v>
      </c>
      <c r="B144" s="885"/>
      <c r="C144" s="885"/>
      <c r="D144" s="151" t="s">
        <v>183</v>
      </c>
      <c r="E144" s="95">
        <f>'12'!F144</f>
        <v>879025</v>
      </c>
      <c r="F144" s="149">
        <v>879233</v>
      </c>
      <c r="G144" s="112">
        <f t="shared" si="11"/>
        <v>208</v>
      </c>
      <c r="H144" s="99">
        <f>G144+'12'!H144</f>
        <v>2746</v>
      </c>
      <c r="I144" s="140"/>
      <c r="J144" s="328">
        <f>H144/DAY(B2)</f>
        <v>211.23076923076923</v>
      </c>
    </row>
    <row r="145" spans="1:10" ht="27.75" customHeight="1" x14ac:dyDescent="0.5">
      <c r="A145" s="881" t="s">
        <v>190</v>
      </c>
      <c r="B145" s="881"/>
      <c r="C145" s="881"/>
      <c r="D145" s="152" t="s">
        <v>183</v>
      </c>
      <c r="E145" s="95">
        <f>'12'!F145</f>
        <v>5110</v>
      </c>
      <c r="F145" s="149">
        <v>5120</v>
      </c>
      <c r="G145" s="112">
        <f t="shared" si="11"/>
        <v>10</v>
      </c>
      <c r="H145" s="99">
        <f>G145+'12'!H145</f>
        <v>161.15999999999985</v>
      </c>
      <c r="I145" s="140"/>
      <c r="J145" s="328">
        <f>H145/DAY(B2)</f>
        <v>12.396923076923066</v>
      </c>
    </row>
    <row r="146" spans="1:10" ht="27.75" customHeight="1" x14ac:dyDescent="0.5">
      <c r="A146" s="882" t="s">
        <v>191</v>
      </c>
      <c r="B146" s="883"/>
      <c r="C146" s="884"/>
      <c r="D146" s="152" t="s">
        <v>183</v>
      </c>
      <c r="E146" s="95">
        <f>'12'!F146</f>
        <v>742402</v>
      </c>
      <c r="F146" s="148">
        <v>742874</v>
      </c>
      <c r="G146" s="112">
        <f t="shared" si="11"/>
        <v>472</v>
      </c>
      <c r="H146" s="99">
        <f>G146+'12'!H146</f>
        <v>5541</v>
      </c>
      <c r="I146" s="140"/>
      <c r="J146" s="328">
        <f>H146/DAY(B2)</f>
        <v>426.23076923076923</v>
      </c>
    </row>
    <row r="147" spans="1:10" ht="27.75" customHeight="1" x14ac:dyDescent="0.5">
      <c r="A147" s="885" t="s">
        <v>192</v>
      </c>
      <c r="B147" s="885"/>
      <c r="C147" s="885"/>
      <c r="D147" s="152" t="s">
        <v>183</v>
      </c>
      <c r="E147" s="95">
        <f>'12'!F147</f>
        <v>631441</v>
      </c>
      <c r="F147" s="148">
        <v>631884</v>
      </c>
      <c r="G147" s="112">
        <f t="shared" si="11"/>
        <v>443</v>
      </c>
      <c r="H147" s="99">
        <f>G147+'12'!H147</f>
        <v>5271.4799999999814</v>
      </c>
      <c r="I147" s="140"/>
      <c r="J147" s="328">
        <f>H147/DAY(B2)</f>
        <v>405.49846153846011</v>
      </c>
    </row>
    <row r="148" spans="1:10" ht="27.75" customHeight="1" x14ac:dyDescent="0.5">
      <c r="A148" s="877" t="s">
        <v>193</v>
      </c>
      <c r="B148" s="878"/>
      <c r="C148" s="879"/>
      <c r="D148" s="123" t="s">
        <v>130</v>
      </c>
      <c r="E148" s="95">
        <f>'12'!F148</f>
        <v>693071</v>
      </c>
      <c r="F148" s="150">
        <v>693435</v>
      </c>
      <c r="G148" s="112">
        <f t="shared" si="11"/>
        <v>364</v>
      </c>
      <c r="H148" s="99">
        <f>G148+'12'!H148</f>
        <v>3992.0400000000373</v>
      </c>
      <c r="I148" s="124"/>
      <c r="J148" s="328">
        <f>H148/DAY(B2)</f>
        <v>307.08000000000288</v>
      </c>
    </row>
    <row r="149" spans="1:10" ht="27.75" customHeight="1" x14ac:dyDescent="0.5">
      <c r="A149" s="877" t="s">
        <v>336</v>
      </c>
      <c r="B149" s="878"/>
      <c r="C149" s="879"/>
      <c r="D149" s="227" t="s">
        <v>130</v>
      </c>
      <c r="E149" s="146">
        <v>31427</v>
      </c>
      <c r="F149" s="146">
        <v>32010</v>
      </c>
      <c r="G149" s="112">
        <f t="shared" si="11"/>
        <v>583</v>
      </c>
      <c r="H149" s="99">
        <f>G149+'12'!H149</f>
        <v>7331.7999999999993</v>
      </c>
      <c r="I149" s="119"/>
      <c r="J149" s="328">
        <f>H149/DAY(B2)</f>
        <v>563.98461538461538</v>
      </c>
    </row>
    <row r="150" spans="1:10" ht="27.75" customHeight="1" x14ac:dyDescent="0.5">
      <c r="A150" s="877" t="s">
        <v>337</v>
      </c>
      <c r="B150" s="878"/>
      <c r="C150" s="879"/>
      <c r="D150" s="117" t="s">
        <v>130</v>
      </c>
      <c r="E150" s="95">
        <f>'12'!F150</f>
        <v>13549</v>
      </c>
      <c r="F150" s="233">
        <v>13779</v>
      </c>
      <c r="G150" s="112">
        <f t="shared" si="11"/>
        <v>230</v>
      </c>
      <c r="H150" s="99">
        <f>G150+'12'!H150</f>
        <v>2928.17</v>
      </c>
      <c r="I150" s="119"/>
      <c r="J150" s="328">
        <f>H150/DAY(B2)</f>
        <v>225.24384615384616</v>
      </c>
    </row>
    <row r="151" spans="1:10" ht="27.75" customHeight="1" x14ac:dyDescent="0.5">
      <c r="A151" s="877" t="s">
        <v>338</v>
      </c>
      <c r="B151" s="878"/>
      <c r="C151" s="879"/>
      <c r="D151" s="117" t="s">
        <v>130</v>
      </c>
      <c r="E151" s="95">
        <f>'12'!F151</f>
        <v>88393</v>
      </c>
      <c r="F151" s="233">
        <v>88623</v>
      </c>
      <c r="G151" s="112">
        <f t="shared" si="11"/>
        <v>230</v>
      </c>
      <c r="H151" s="99">
        <f>G151+'12'!H151</f>
        <v>3143</v>
      </c>
      <c r="I151" s="119"/>
      <c r="J151" s="328">
        <f>H151/DAY(B2)</f>
        <v>241.76923076923077</v>
      </c>
    </row>
    <row r="152" spans="1:10" ht="27.75" customHeight="1" x14ac:dyDescent="0.5">
      <c r="A152" s="877" t="s">
        <v>339</v>
      </c>
      <c r="B152" s="878"/>
      <c r="C152" s="879"/>
      <c r="D152" s="117" t="s">
        <v>130</v>
      </c>
      <c r="E152" s="95">
        <f>'12'!F152</f>
        <v>2303</v>
      </c>
      <c r="F152" s="233">
        <v>2364</v>
      </c>
      <c r="G152" s="112">
        <f t="shared" si="11"/>
        <v>61</v>
      </c>
      <c r="H152" s="99">
        <f>G152+'12'!H152</f>
        <v>704</v>
      </c>
      <c r="I152" s="119"/>
      <c r="J152" s="328">
        <f>H152/DAY(B2)</f>
        <v>54.153846153846153</v>
      </c>
    </row>
    <row r="153" spans="1:10" ht="27.7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3048</v>
      </c>
      <c r="H153" s="363"/>
      <c r="I153" s="119">
        <f>G153-(G38+G52)</f>
        <v>1019</v>
      </c>
      <c r="J153" s="366"/>
    </row>
    <row r="154" spans="1:10" ht="27.7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27.75" customHeight="1" x14ac:dyDescent="0.55000000000000004">
      <c r="A155" s="885" t="s">
        <v>345</v>
      </c>
      <c r="B155" s="885"/>
      <c r="C155" s="885"/>
      <c r="D155" s="117" t="s">
        <v>130</v>
      </c>
      <c r="E155" s="374">
        <v>40653</v>
      </c>
      <c r="F155" s="374">
        <v>41381</v>
      </c>
      <c r="G155" s="112">
        <f t="shared" ref="G155:G158" si="12">F155-E155</f>
        <v>728</v>
      </c>
      <c r="H155" s="99">
        <f>G155+'12'!H155</f>
        <v>8436</v>
      </c>
      <c r="I155" s="364"/>
      <c r="J155" s="328">
        <f>H155/DAY(B2)</f>
        <v>648.92307692307691</v>
      </c>
    </row>
    <row r="156" spans="1:10" ht="27.75" customHeight="1" x14ac:dyDescent="0.5">
      <c r="A156" s="885" t="s">
        <v>347</v>
      </c>
      <c r="B156" s="885"/>
      <c r="C156" s="885"/>
      <c r="D156" s="117" t="s">
        <v>130</v>
      </c>
      <c r="E156" s="155">
        <v>3353</v>
      </c>
      <c r="F156" s="155">
        <v>3405</v>
      </c>
      <c r="G156" s="112">
        <f t="shared" si="12"/>
        <v>52</v>
      </c>
      <c r="H156" s="99">
        <f>G156+'12'!H156</f>
        <v>617</v>
      </c>
      <c r="I156" s="165"/>
      <c r="J156" s="328">
        <f>H156/DAY(B2)</f>
        <v>47.46153846153846</v>
      </c>
    </row>
    <row r="157" spans="1:10" ht="27.75" customHeight="1" x14ac:dyDescent="0.5">
      <c r="A157" s="877" t="s">
        <v>363</v>
      </c>
      <c r="B157" s="878"/>
      <c r="C157" s="879"/>
      <c r="D157" s="117" t="s">
        <v>130</v>
      </c>
      <c r="E157" s="155">
        <v>5301</v>
      </c>
      <c r="F157" s="155">
        <v>5421</v>
      </c>
      <c r="G157" s="112">
        <f t="shared" si="12"/>
        <v>120</v>
      </c>
      <c r="H157" s="99">
        <f>G157+'12'!H157</f>
        <v>141</v>
      </c>
      <c r="I157" s="165"/>
      <c r="J157" s="328">
        <f>H157/DAY(B2)</f>
        <v>10.846153846153847</v>
      </c>
    </row>
    <row r="158" spans="1:10" ht="27.75" customHeight="1" x14ac:dyDescent="0.5">
      <c r="A158" s="877" t="s">
        <v>364</v>
      </c>
      <c r="B158" s="878"/>
      <c r="C158" s="879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G158+'12'!H158</f>
        <v>1</v>
      </c>
      <c r="I158" s="165"/>
      <c r="J158" s="328">
        <f>H158/DAY(B2)</f>
        <v>7.6923076923076927E-2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362">
        <f>SUM(G155:G158)</f>
        <v>900</v>
      </c>
      <c r="H159" s="99"/>
      <c r="I159" s="165"/>
      <c r="J159" s="328"/>
    </row>
    <row r="160" spans="1:10" ht="27.7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472508</v>
      </c>
      <c r="F161" s="235">
        <v>472525</v>
      </c>
      <c r="G161" s="238">
        <f t="shared" ref="G161:G165" si="13">F161-E161</f>
        <v>17</v>
      </c>
      <c r="H161" s="99">
        <f>G161+'12'!H161</f>
        <v>471.44000000000233</v>
      </c>
      <c r="I161" s="236"/>
      <c r="J161" s="239">
        <f>H161/DAY(B2)</f>
        <v>36.264615384615567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88941</v>
      </c>
      <c r="F162" s="235">
        <v>88961</v>
      </c>
      <c r="G162" s="238">
        <f t="shared" si="13"/>
        <v>20</v>
      </c>
      <c r="H162" s="99">
        <f>G162+'12'!H162</f>
        <v>444.60000000000582</v>
      </c>
      <c r="I162" s="236"/>
      <c r="J162" s="239">
        <f>H162/DAY(B2)</f>
        <v>34.20000000000045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79835</v>
      </c>
      <c r="F163" s="235">
        <v>79918</v>
      </c>
      <c r="G163" s="238">
        <f t="shared" si="13"/>
        <v>83</v>
      </c>
      <c r="H163" s="99">
        <f>G163+'12'!H163</f>
        <v>697.89999999999418</v>
      </c>
      <c r="I163" s="236"/>
      <c r="J163" s="239">
        <f>H163/DAY(B2)</f>
        <v>53.684615384614936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4330</v>
      </c>
      <c r="F164" s="235">
        <v>4330</v>
      </c>
      <c r="G164" s="238">
        <f t="shared" si="13"/>
        <v>0</v>
      </c>
      <c r="H164" s="99">
        <f>G164+'12'!H164</f>
        <v>10</v>
      </c>
      <c r="I164" s="236"/>
      <c r="J164" s="239">
        <f>H164/DAY(B2)</f>
        <v>0.76923076923076927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29962</v>
      </c>
      <c r="F165" s="235">
        <v>29967</v>
      </c>
      <c r="G165" s="238">
        <f t="shared" si="13"/>
        <v>5</v>
      </c>
      <c r="H165" s="99">
        <f>G165+'12'!H165</f>
        <v>109.75</v>
      </c>
      <c r="I165" s="236"/>
      <c r="J165" s="239">
        <f>H165/DAY(B2)</f>
        <v>8.4423076923076916</v>
      </c>
    </row>
    <row r="166" spans="1:10" ht="27.75" customHeight="1" x14ac:dyDescent="0.5">
      <c r="A166" s="917"/>
      <c r="B166" s="917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17"/>
      <c r="B167" s="917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17"/>
      <c r="B168" s="917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75" t="s">
        <v>209</v>
      </c>
      <c r="B173" s="876"/>
      <c r="C173" s="333"/>
      <c r="D173" s="228" t="s">
        <v>142</v>
      </c>
      <c r="E173" s="95">
        <f>'12'!F173</f>
        <v>8132</v>
      </c>
      <c r="F173" s="155">
        <v>8132</v>
      </c>
      <c r="G173" s="155">
        <f>F173-E173</f>
        <v>0</v>
      </c>
      <c r="H173" s="99">
        <f>G173+'12'!H173</f>
        <v>6</v>
      </c>
      <c r="I173" s="155"/>
      <c r="J173" s="178">
        <f>H173/DAY(B2)</f>
        <v>0.46153846153846156</v>
      </c>
    </row>
    <row r="174" spans="1:10" ht="27.75" customHeight="1" x14ac:dyDescent="0.5">
      <c r="A174" s="875" t="s">
        <v>75</v>
      </c>
      <c r="B174" s="876"/>
      <c r="C174" s="333"/>
      <c r="D174" s="228" t="s">
        <v>142</v>
      </c>
      <c r="E174" s="95">
        <f>'12'!F174</f>
        <v>38778</v>
      </c>
      <c r="F174" s="157">
        <v>38790</v>
      </c>
      <c r="G174" s="155">
        <f t="shared" ref="G174:G175" si="14">F174-E174</f>
        <v>12</v>
      </c>
      <c r="H174" s="99">
        <f>G174+'12'!H174</f>
        <v>175</v>
      </c>
      <c r="I174" s="155"/>
      <c r="J174" s="178">
        <f>H174/DAY(B2)</f>
        <v>13.461538461538462</v>
      </c>
    </row>
    <row r="175" spans="1:10" ht="27.75" customHeight="1" x14ac:dyDescent="0.5">
      <c r="A175" s="875" t="s">
        <v>76</v>
      </c>
      <c r="B175" s="880"/>
      <c r="C175" s="876"/>
      <c r="D175" s="228" t="s">
        <v>142</v>
      </c>
      <c r="E175" s="95">
        <f>'12'!F175</f>
        <v>21945</v>
      </c>
      <c r="F175" s="155">
        <v>21958</v>
      </c>
      <c r="G175" s="155">
        <f t="shared" si="14"/>
        <v>13</v>
      </c>
      <c r="H175" s="99">
        <f>G175+'12'!H175</f>
        <v>145</v>
      </c>
      <c r="I175" s="155"/>
      <c r="J175" s="178">
        <f>H175/DAY(B2)</f>
        <v>11.153846153846153</v>
      </c>
    </row>
    <row r="176" spans="1:10" ht="27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G176+'12'!H176</f>
        <v>326</v>
      </c>
      <c r="I176" s="155"/>
      <c r="J176" s="178">
        <f>H176/DAY(B2)</f>
        <v>25.076923076923077</v>
      </c>
    </row>
    <row r="177" spans="1:15" ht="27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75" t="s">
        <v>210</v>
      </c>
      <c r="B178" s="876"/>
      <c r="C178" s="333"/>
      <c r="D178" s="228" t="s">
        <v>142</v>
      </c>
      <c r="E178" s="95">
        <f>'12'!F178</f>
        <v>81973</v>
      </c>
      <c r="F178" s="155">
        <v>82015</v>
      </c>
      <c r="G178" s="155">
        <f>F178-E178</f>
        <v>42</v>
      </c>
      <c r="H178" s="99">
        <f>G178+'12'!H178</f>
        <v>700</v>
      </c>
      <c r="I178" s="155"/>
      <c r="J178" s="178">
        <f>H178/DAY(B2)</f>
        <v>53.846153846153847</v>
      </c>
    </row>
    <row r="179" spans="1:15" ht="27.75" customHeight="1" x14ac:dyDescent="0.5">
      <c r="A179" s="875" t="s">
        <v>211</v>
      </c>
      <c r="B179" s="876"/>
      <c r="C179" s="333"/>
      <c r="D179" s="228" t="s">
        <v>142</v>
      </c>
      <c r="E179" s="95">
        <f>'12'!F179</f>
        <v>35177</v>
      </c>
      <c r="F179" s="155">
        <v>35208</v>
      </c>
      <c r="G179" s="155">
        <f t="shared" ref="G179:G180" si="15">F179-E179</f>
        <v>31</v>
      </c>
      <c r="H179" s="99">
        <f>G179+'12'!H179</f>
        <v>405</v>
      </c>
      <c r="I179" s="155"/>
      <c r="J179" s="178">
        <f>H179/DAY(B2)</f>
        <v>31.153846153846153</v>
      </c>
    </row>
    <row r="180" spans="1:15" ht="27.75" customHeight="1" x14ac:dyDescent="0.5">
      <c r="A180" s="875" t="s">
        <v>212</v>
      </c>
      <c r="B180" s="876"/>
      <c r="C180" s="333"/>
      <c r="D180" s="228" t="s">
        <v>142</v>
      </c>
      <c r="E180" s="95">
        <f>'12'!F180</f>
        <v>5782</v>
      </c>
      <c r="F180" s="155">
        <v>5782</v>
      </c>
      <c r="G180" s="155">
        <f t="shared" si="15"/>
        <v>0</v>
      </c>
      <c r="H180" s="99">
        <f>G180+'12'!H180</f>
        <v>80</v>
      </c>
      <c r="I180" s="155"/>
      <c r="J180" s="178">
        <f>H180/DAY(B2)</f>
        <v>6.1538461538461542</v>
      </c>
    </row>
    <row r="181" spans="1:15" ht="27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73</v>
      </c>
      <c r="H181" s="99">
        <f>G181+'12'!H181</f>
        <v>1185</v>
      </c>
      <c r="I181" s="155"/>
      <c r="J181" s="178">
        <f>H181/DAY(B2)</f>
        <v>91.15384615384616</v>
      </c>
    </row>
    <row r="182" spans="1:15" ht="27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75" t="s">
        <v>214</v>
      </c>
      <c r="B183" s="876"/>
      <c r="C183" s="334"/>
      <c r="D183" s="228" t="s">
        <v>142</v>
      </c>
      <c r="E183" s="95">
        <f>'12'!F183</f>
        <v>15537</v>
      </c>
      <c r="F183" s="157">
        <v>15549</v>
      </c>
      <c r="G183" s="157">
        <f>F183-E183</f>
        <v>12</v>
      </c>
      <c r="H183" s="99">
        <f>G183+'12'!H183</f>
        <v>204</v>
      </c>
      <c r="I183" s="155"/>
      <c r="J183" s="178">
        <f>H183/DAY(B2)</f>
        <v>15.692307692307692</v>
      </c>
    </row>
    <row r="184" spans="1:15" ht="27.75" customHeight="1" x14ac:dyDescent="0.5">
      <c r="A184" s="875" t="s">
        <v>215</v>
      </c>
      <c r="B184" s="876"/>
      <c r="C184" s="334"/>
      <c r="D184" s="228" t="s">
        <v>142</v>
      </c>
      <c r="E184" s="95">
        <f>'12'!F184</f>
        <v>10665</v>
      </c>
      <c r="F184" s="157">
        <v>10673</v>
      </c>
      <c r="G184" s="157">
        <f t="shared" ref="G184:G185" si="16">F184-E184</f>
        <v>8</v>
      </c>
      <c r="H184" s="99">
        <f>G184+'12'!H184</f>
        <v>155</v>
      </c>
      <c r="I184" s="155"/>
      <c r="J184" s="178">
        <f>H184/DAY(B2)</f>
        <v>11.923076923076923</v>
      </c>
      <c r="O184" s="65" t="s">
        <v>365</v>
      </c>
    </row>
    <row r="185" spans="1:15" ht="27.75" customHeight="1" x14ac:dyDescent="0.5">
      <c r="A185" s="875" t="s">
        <v>216</v>
      </c>
      <c r="B185" s="876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20</v>
      </c>
      <c r="H186" s="99">
        <f>G186+'12'!H186</f>
        <v>359</v>
      </c>
      <c r="I186" s="157"/>
      <c r="J186" s="178">
        <f>H186/DAY(B2)</f>
        <v>27.615384615384617</v>
      </c>
    </row>
    <row r="187" spans="1:15" ht="27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233</v>
      </c>
      <c r="H187" s="99">
        <f>G187+'12'!H187</f>
        <v>2436</v>
      </c>
      <c r="I187" s="158"/>
      <c r="J187" s="179">
        <f>H187/DAY(B2)</f>
        <v>187.38461538461539</v>
      </c>
    </row>
    <row r="188" spans="1:15" ht="27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229</v>
      </c>
      <c r="H188" s="99">
        <f>G188+'12'!H188</f>
        <v>2447</v>
      </c>
      <c r="I188" s="158"/>
      <c r="J188" s="179">
        <f>H188/DAY(B2)</f>
        <v>188.23076923076923</v>
      </c>
    </row>
    <row r="189" spans="1:15" ht="27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73</v>
      </c>
      <c r="H189" s="99">
        <f>G189+'12'!H189</f>
        <v>1185</v>
      </c>
      <c r="I189" s="158"/>
      <c r="J189" s="179">
        <f>H189/DAY(B2)</f>
        <v>91.15384615384616</v>
      </c>
    </row>
    <row r="190" spans="1:15" ht="27.75" customHeight="1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24" zoomScale="55" zoomScaleSheetLayoutView="55" workbookViewId="0">
      <selection activeCell="F152" sqref="F15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.75" customHeight="1" x14ac:dyDescent="0.5">
      <c r="A2" s="191" t="s">
        <v>303</v>
      </c>
      <c r="B2" s="262">
        <v>44606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911144</v>
      </c>
      <c r="F7" s="95">
        <v>932322</v>
      </c>
      <c r="G7" s="112">
        <f>F7-E7</f>
        <v>21178</v>
      </c>
      <c r="H7" s="99">
        <f>G7+'13'!H7</f>
        <v>281141.77</v>
      </c>
      <c r="I7" s="113">
        <f>'1'!I7</f>
        <v>12000</v>
      </c>
      <c r="J7" s="175">
        <f>H7/DAY(B2)</f>
        <v>20081.555</v>
      </c>
      <c r="K7" s="172">
        <v>1375467</v>
      </c>
      <c r="L7" s="66"/>
      <c r="N7" s="87">
        <f>G8-G7</f>
        <v>83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970453</v>
      </c>
      <c r="F8" s="95">
        <v>991714</v>
      </c>
      <c r="G8" s="115">
        <f>F8-E8</f>
        <v>21261</v>
      </c>
      <c r="H8" s="99">
        <f>G8+'13'!H8</f>
        <v>283165.84999999998</v>
      </c>
      <c r="I8" s="116"/>
      <c r="J8" s="175">
        <f>H8/DAY(B2)</f>
        <v>20226.132142857143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479386</v>
      </c>
      <c r="F9" s="598">
        <v>496744</v>
      </c>
      <c r="G9" s="112">
        <f>F9-E9</f>
        <v>17358</v>
      </c>
      <c r="H9" s="99">
        <f>G9+'13'!H9</f>
        <v>214490.15000000002</v>
      </c>
      <c r="I9" s="124">
        <f>I7-J7</f>
        <v>-8081.5550000000003</v>
      </c>
      <c r="J9" s="175">
        <f>H9/DAY(B2)</f>
        <v>15320.725000000002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160802</v>
      </c>
      <c r="F10" s="353">
        <v>164037</v>
      </c>
      <c r="G10" s="112">
        <f t="shared" ref="G10:G12" si="0">F10-E10</f>
        <v>3235</v>
      </c>
      <c r="H10" s="99">
        <f>G10+'13'!H10</f>
        <v>58778.03</v>
      </c>
      <c r="I10" s="282"/>
      <c r="J10" s="175">
        <f>H10/DAY(B2)</f>
        <v>4198.4307142857142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37170</v>
      </c>
      <c r="F11" s="95">
        <v>37170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20593</v>
      </c>
      <c r="H13" s="99">
        <f>G13+'13'!H13</f>
        <v>256513.75</v>
      </c>
      <c r="I13" s="120">
        <f>G7-G13</f>
        <v>585</v>
      </c>
      <c r="J13" s="175">
        <f>H13/DAY(B2)</f>
        <v>18322.410714285714</v>
      </c>
      <c r="K13" s="79"/>
      <c r="L13" s="66"/>
      <c r="N13" s="87"/>
      <c r="O13" s="71"/>
    </row>
    <row r="14" spans="1:15" ht="27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1920470</v>
      </c>
      <c r="F15" s="123">
        <v>1921565</v>
      </c>
      <c r="G15" s="112">
        <f>(F15-E15)</f>
        <v>1095</v>
      </c>
      <c r="H15" s="99">
        <f>G15+'13'!H15</f>
        <v>14928.233000000007</v>
      </c>
      <c r="I15" s="113">
        <f>'1'!I15</f>
        <v>800</v>
      </c>
      <c r="J15" s="175">
        <f>H15/DAY(B2)</f>
        <v>1066.3023571428578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-266.30235714285777</v>
      </c>
      <c r="J16" s="176"/>
      <c r="K16" s="79"/>
      <c r="L16" s="66"/>
      <c r="N16" s="87"/>
      <c r="O16" s="71"/>
    </row>
    <row r="17" spans="1:15" ht="27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3" t="s">
        <v>141</v>
      </c>
      <c r="B18" s="854"/>
      <c r="C18" s="855"/>
      <c r="D18" s="151" t="s">
        <v>142</v>
      </c>
      <c r="E18" s="95">
        <f>'13'!F18</f>
        <v>24</v>
      </c>
      <c r="F18" s="122">
        <v>24</v>
      </c>
      <c r="G18" s="119">
        <f>F18*10</f>
        <v>240</v>
      </c>
      <c r="H18" s="99">
        <f>G18+'13'!H18</f>
        <v>3030</v>
      </c>
      <c r="I18" s="113">
        <f>'1'!I18</f>
        <v>65</v>
      </c>
      <c r="J18" s="175">
        <f>H18/DAY(B2)</f>
        <v>216.42857142857142</v>
      </c>
      <c r="K18" s="79"/>
      <c r="L18" s="66"/>
      <c r="N18" s="87"/>
      <c r="O18" s="71"/>
    </row>
    <row r="19" spans="1:15" ht="27.75" customHeight="1" x14ac:dyDescent="0.5">
      <c r="A19" s="853" t="s">
        <v>69</v>
      </c>
      <c r="B19" s="854"/>
      <c r="C19" s="855"/>
      <c r="D19" s="151" t="s">
        <v>142</v>
      </c>
      <c r="E19" s="95">
        <f>'13'!F19</f>
        <v>154580</v>
      </c>
      <c r="F19" s="122">
        <v>154636</v>
      </c>
      <c r="G19" s="112">
        <f t="shared" ref="G19" si="1">F19-E19</f>
        <v>56</v>
      </c>
      <c r="H19" s="99">
        <f>G19+'13'!H19</f>
        <v>745</v>
      </c>
      <c r="I19" s="335"/>
      <c r="J19" s="175">
        <f>H19/DAY(B2)</f>
        <v>53.214285714285715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G20+'13'!H20</f>
        <v>3775</v>
      </c>
      <c r="I20" s="336">
        <f>I18-J20</f>
        <v>-204.64285714285717</v>
      </c>
      <c r="J20" s="175">
        <f>H20/DAY(B2)</f>
        <v>269.64285714285717</v>
      </c>
      <c r="K20" s="79"/>
      <c r="L20" s="66"/>
      <c r="N20" s="87"/>
      <c r="O20" s="71"/>
    </row>
    <row r="21" spans="1:15" ht="27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21261</v>
      </c>
      <c r="F27" s="136">
        <v>9</v>
      </c>
      <c r="G27" s="137">
        <f>E27*F27</f>
        <v>191349</v>
      </c>
      <c r="H27" s="99">
        <f>G27+'13'!H27</f>
        <v>2548492.65</v>
      </c>
      <c r="I27" s="138"/>
      <c r="J27" s="175">
        <f>H27/DAY(B2)</f>
        <v>182035.18928571427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1095</v>
      </c>
      <c r="F28" s="136">
        <v>70</v>
      </c>
      <c r="G28" s="137">
        <f>E28*F28</f>
        <v>76650</v>
      </c>
      <c r="H28" s="99">
        <f>G28+'13'!H28</f>
        <v>839196.11600000039</v>
      </c>
      <c r="I28" s="140"/>
      <c r="J28" s="175">
        <f>H28/DAY(B2)</f>
        <v>59942.579714285741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G30+'13'!H30</f>
        <v>109625</v>
      </c>
      <c r="I30" s="140"/>
      <c r="J30" s="175">
        <f>H30/DAY(B2)</f>
        <v>7830.3571428571431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242400</v>
      </c>
      <c r="I31" s="140"/>
      <c r="J31" s="175">
        <f>H31/DAY(B2)</f>
        <v>17314.285714285714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295655</v>
      </c>
      <c r="H32" s="99">
        <f>G32+'13'!H32</f>
        <v>3739713.7660000003</v>
      </c>
      <c r="I32" s="144"/>
      <c r="J32" s="175">
        <f>H32/DAY(B2)</f>
        <v>267122.41185714287</v>
      </c>
      <c r="K32" s="63"/>
      <c r="L32" s="89"/>
      <c r="N32" s="87"/>
      <c r="O32" s="71"/>
    </row>
    <row r="33" spans="1:15" ht="27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51594</v>
      </c>
      <c r="F35" s="145">
        <v>53020</v>
      </c>
      <c r="G35" s="112">
        <f t="shared" ref="G35:G46" si="3">F35-E35</f>
        <v>1426</v>
      </c>
      <c r="H35" s="99">
        <f>G35+'13'!H35</f>
        <v>21015.02</v>
      </c>
      <c r="I35" s="95"/>
      <c r="J35" s="175">
        <f>H35/DAY(B2)</f>
        <v>1501.0728571428572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55877</v>
      </c>
      <c r="F36" s="145">
        <v>56711</v>
      </c>
      <c r="G36" s="112">
        <f t="shared" si="3"/>
        <v>834</v>
      </c>
      <c r="H36" s="99">
        <f>G36+'13'!H36</f>
        <v>13252.260000000002</v>
      </c>
      <c r="I36" s="95"/>
      <c r="J36" s="175">
        <f>H36/DAY(B2)</f>
        <v>946.59000000000015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56823</v>
      </c>
      <c r="F37" s="145">
        <v>58569</v>
      </c>
      <c r="G37" s="112">
        <f t="shared" si="3"/>
        <v>1746</v>
      </c>
      <c r="H37" s="99">
        <f>G37+'13'!H37</f>
        <v>23143.910000000003</v>
      </c>
      <c r="I37" s="95"/>
      <c r="J37" s="175">
        <f>H37/DAY(B2)</f>
        <v>1653.1364285714287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63214</v>
      </c>
      <c r="F38" s="108">
        <v>65275</v>
      </c>
      <c r="G38" s="112">
        <f t="shared" si="3"/>
        <v>2061</v>
      </c>
      <c r="H38" s="99">
        <f>G38+'13'!H38</f>
        <v>26898.57</v>
      </c>
      <c r="I38" s="95"/>
      <c r="J38" s="175">
        <f>H38/DAY(B2)</f>
        <v>1921.3264285714286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96952</v>
      </c>
      <c r="F39" s="145">
        <v>100165</v>
      </c>
      <c r="G39" s="112">
        <f t="shared" si="3"/>
        <v>3213</v>
      </c>
      <c r="H39" s="99">
        <f>G39+'13'!H39</f>
        <v>40991.71</v>
      </c>
      <c r="I39" s="95"/>
      <c r="J39" s="175">
        <f>H39/DAY(B2)</f>
        <v>2927.9792857142857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26453</v>
      </c>
      <c r="F40" s="145">
        <v>27350</v>
      </c>
      <c r="G40" s="112">
        <f t="shared" si="3"/>
        <v>897</v>
      </c>
      <c r="H40" s="99">
        <f>G40+'13'!H40</f>
        <v>5233.0099999999975</v>
      </c>
      <c r="I40" s="95"/>
      <c r="J40" s="175">
        <f>H40/DAY(B2)</f>
        <v>373.78642857142842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0.27000000000000313</v>
      </c>
      <c r="I41" s="95"/>
      <c r="J41" s="175">
        <f>H41/DAY(B2)</f>
        <v>1.928571428571451E-2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135861</v>
      </c>
      <c r="F42" s="145">
        <v>140485</v>
      </c>
      <c r="G42" s="112">
        <f t="shared" si="3"/>
        <v>4624</v>
      </c>
      <c r="H42" s="99">
        <f>G42+'13'!H42</f>
        <v>40355.259999999995</v>
      </c>
      <c r="I42" s="95"/>
      <c r="J42" s="175">
        <f>H42/DAY(B2)</f>
        <v>2882.5185714285712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142758</v>
      </c>
      <c r="F43" s="145">
        <v>144860</v>
      </c>
      <c r="G43" s="112">
        <f t="shared" si="3"/>
        <v>2102</v>
      </c>
      <c r="H43" s="99">
        <f>G43+'13'!H43</f>
        <v>30008.399999999994</v>
      </c>
      <c r="I43" s="95"/>
      <c r="J43" s="175">
        <f>H43/DAY(B2)</f>
        <v>2143.4571428571426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16903</v>
      </c>
      <c r="H47" s="99">
        <f>G47+'13'!H47</f>
        <v>200898.41</v>
      </c>
      <c r="I47" s="95"/>
      <c r="J47" s="175">
        <f>H47/DAY(B2)</f>
        <v>14349.886428571428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41944</v>
      </c>
      <c r="F49" s="145">
        <v>43521</v>
      </c>
      <c r="G49" s="112">
        <f t="shared" ref="G49:G58" si="4">F49-E49</f>
        <v>1577</v>
      </c>
      <c r="H49" s="99">
        <f>G49+'13'!H49</f>
        <v>18524.810000000001</v>
      </c>
      <c r="I49" s="95"/>
      <c r="J49" s="175">
        <f>H49/DAY(B2)</f>
        <v>1323.2007142857144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72291</v>
      </c>
      <c r="F50" s="145">
        <v>73897</v>
      </c>
      <c r="G50" s="112">
        <f t="shared" si="4"/>
        <v>1606</v>
      </c>
      <c r="H50" s="99">
        <f>G50+'13'!H50</f>
        <v>17510.370000000003</v>
      </c>
      <c r="I50" s="95"/>
      <c r="J50" s="175">
        <f>H50/DAY(B2)</f>
        <v>1250.7407142857144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11228</v>
      </c>
      <c r="F54" s="145">
        <v>11769</v>
      </c>
      <c r="G54" s="112">
        <f t="shared" si="4"/>
        <v>541</v>
      </c>
      <c r="H54" s="99">
        <f>G54+'13'!H54</f>
        <v>6621.58</v>
      </c>
      <c r="I54" s="95"/>
      <c r="J54" s="175">
        <f>H54/DAY(B2)</f>
        <v>472.96999999999997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90579</v>
      </c>
      <c r="F55" s="145">
        <v>90579</v>
      </c>
      <c r="G55" s="112">
        <f t="shared" si="4"/>
        <v>0</v>
      </c>
      <c r="H55" s="99">
        <f>G55+'13'!H55</f>
        <v>16212.89</v>
      </c>
      <c r="I55" s="95"/>
      <c r="J55" s="175">
        <f>H55/DAY(B2)</f>
        <v>1158.0635714285713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8724</v>
      </c>
      <c r="F56" s="145">
        <v>8724</v>
      </c>
      <c r="G56" s="112">
        <f t="shared" si="4"/>
        <v>0</v>
      </c>
      <c r="H56" s="99">
        <f>G56+'13'!H56</f>
        <v>113.45999999999913</v>
      </c>
      <c r="I56" s="95"/>
      <c r="J56" s="175">
        <f>H56/DAY(B2)</f>
        <v>8.1042857142856519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7565</v>
      </c>
      <c r="F58" s="145">
        <v>7782</v>
      </c>
      <c r="G58" s="112">
        <f t="shared" si="4"/>
        <v>217</v>
      </c>
      <c r="H58" s="99">
        <f>G58+'13'!H58</f>
        <v>2985.79</v>
      </c>
      <c r="I58" s="95"/>
      <c r="J58" s="175">
        <f>H58/DAY(B2)</f>
        <v>213.27071428571429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3941</v>
      </c>
      <c r="H59" s="99">
        <f>G59+'13'!H59</f>
        <v>61968.9</v>
      </c>
      <c r="I59" s="95">
        <f>G7-G60</f>
        <v>334</v>
      </c>
      <c r="J59" s="175">
        <f>H59/DAY(B2)</f>
        <v>4426.3500000000004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20844</v>
      </c>
      <c r="H60" s="99">
        <f>G60+'13'!H60</f>
        <v>262867.31</v>
      </c>
      <c r="I60" s="95">
        <f>G13-G60</f>
        <v>-251</v>
      </c>
      <c r="J60" s="175">
        <f>H60/DAY(B2)</f>
        <v>18776.236428571428</v>
      </c>
      <c r="K60" s="79"/>
      <c r="L60" s="66"/>
      <c r="N60" s="87"/>
      <c r="O60" s="71"/>
    </row>
    <row r="61" spans="1:15" s="68" customFormat="1" ht="27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3" t="s">
        <v>198</v>
      </c>
      <c r="B62" s="854"/>
      <c r="C62" s="855"/>
      <c r="D62" s="151" t="s">
        <v>142</v>
      </c>
      <c r="E62" s="95">
        <f>'13'!F62</f>
        <v>271263</v>
      </c>
      <c r="F62" s="122">
        <v>271433</v>
      </c>
      <c r="G62" s="112">
        <f t="shared" ref="G62:G63" si="5">F62-E62</f>
        <v>170</v>
      </c>
      <c r="H62" s="99">
        <f>G62+'13'!H62</f>
        <v>1917</v>
      </c>
      <c r="I62" s="118"/>
      <c r="J62" s="175">
        <f>H62/DAY(B2)</f>
        <v>136.92857142857142</v>
      </c>
      <c r="K62" s="80"/>
      <c r="L62" s="66"/>
      <c r="N62" s="87"/>
      <c r="O62" s="71"/>
    </row>
    <row r="63" spans="1:15" ht="27.75" customHeight="1" x14ac:dyDescent="0.5">
      <c r="A63" s="853" t="s">
        <v>199</v>
      </c>
      <c r="B63" s="854"/>
      <c r="C63" s="855"/>
      <c r="D63" s="151" t="s">
        <v>142</v>
      </c>
      <c r="E63" s="122">
        <v>217520</v>
      </c>
      <c r="F63" s="122">
        <v>217644</v>
      </c>
      <c r="G63" s="112">
        <f t="shared" si="5"/>
        <v>124</v>
      </c>
      <c r="H63" s="99">
        <f>G63+'13'!H63</f>
        <v>1847</v>
      </c>
      <c r="I63" s="118"/>
      <c r="J63" s="175">
        <f>H63/DAY(B2)</f>
        <v>131.92857142857142</v>
      </c>
      <c r="K63" s="69"/>
      <c r="L63" s="66"/>
      <c r="N63" s="87"/>
      <c r="O63" s="71"/>
    </row>
    <row r="64" spans="1:15" ht="27.75" customHeight="1" x14ac:dyDescent="0.5">
      <c r="A64" s="850" t="s">
        <v>200</v>
      </c>
      <c r="B64" s="851"/>
      <c r="C64" s="852"/>
      <c r="D64" s="151"/>
      <c r="E64" s="95">
        <f>'13'!F64</f>
        <v>0</v>
      </c>
      <c r="F64" s="122"/>
      <c r="G64" s="112">
        <f>G62+G63</f>
        <v>294</v>
      </c>
      <c r="H64" s="99">
        <f>G64+'13'!H64</f>
        <v>3764</v>
      </c>
      <c r="I64" s="118"/>
      <c r="J64" s="175">
        <f>H64/DAY(B2)</f>
        <v>268.85714285714283</v>
      </c>
      <c r="K64" s="69"/>
      <c r="L64" s="66"/>
      <c r="N64" s="87"/>
      <c r="O64" s="71"/>
    </row>
    <row r="65" spans="1:15" ht="27.75" customHeight="1" x14ac:dyDescent="0.5">
      <c r="A65" s="853" t="s">
        <v>201</v>
      </c>
      <c r="B65" s="854"/>
      <c r="C65" s="855"/>
      <c r="D65" s="151" t="s">
        <v>142</v>
      </c>
      <c r="E65" s="95">
        <f>'13'!F65</f>
        <v>436208</v>
      </c>
      <c r="F65" s="122">
        <v>436343</v>
      </c>
      <c r="G65" s="112">
        <f t="shared" ref="G65:G70" si="6">F65-E65</f>
        <v>135</v>
      </c>
      <c r="H65" s="99">
        <f>G65+'13'!H65</f>
        <v>1420</v>
      </c>
      <c r="I65" s="118"/>
      <c r="J65" s="175">
        <f>H65/DAY(B2)</f>
        <v>101.42857142857143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108072</v>
      </c>
      <c r="F66" s="122">
        <v>108099</v>
      </c>
      <c r="G66" s="112">
        <f t="shared" si="6"/>
        <v>27</v>
      </c>
      <c r="H66" s="99">
        <f>G66+'13'!H66</f>
        <v>356</v>
      </c>
      <c r="I66" s="118"/>
      <c r="J66" s="175">
        <f>H66/DAY(B2)</f>
        <v>25.428571428571427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105152</v>
      </c>
      <c r="F67" s="122">
        <v>105221</v>
      </c>
      <c r="G67" s="112">
        <f t="shared" si="6"/>
        <v>69</v>
      </c>
      <c r="H67" s="99">
        <f>G67+'13'!H67</f>
        <v>573</v>
      </c>
      <c r="I67" s="118"/>
      <c r="J67" s="175">
        <f>H67/DAY(B2)</f>
        <v>40.928571428571431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158198</v>
      </c>
      <c r="F68" s="122">
        <v>158232</v>
      </c>
      <c r="G68" s="112">
        <f t="shared" si="6"/>
        <v>34</v>
      </c>
      <c r="H68" s="99">
        <f>G68+'13'!H68</f>
        <v>535</v>
      </c>
      <c r="I68" s="118"/>
      <c r="J68" s="175">
        <f>H68/DAY(B2)</f>
        <v>38.214285714285715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10713</v>
      </c>
      <c r="F69" s="122">
        <v>10724</v>
      </c>
      <c r="G69" s="112">
        <f t="shared" si="6"/>
        <v>11</v>
      </c>
      <c r="H69" s="99">
        <f>G69+'13'!H69</f>
        <v>183</v>
      </c>
      <c r="I69" s="118"/>
      <c r="J69" s="175">
        <f>H69/DAY(B2)</f>
        <v>13.071428571428571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8277</v>
      </c>
      <c r="F70" s="122">
        <v>8288</v>
      </c>
      <c r="G70" s="112">
        <f t="shared" si="6"/>
        <v>11</v>
      </c>
      <c r="H70" s="99">
        <f>G70+'13'!H70</f>
        <v>168</v>
      </c>
      <c r="I70" s="118"/>
      <c r="J70" s="175">
        <f>H70/DAY(B2)</f>
        <v>12</v>
      </c>
      <c r="K70" s="69"/>
      <c r="L70" s="66"/>
      <c r="N70" s="87"/>
      <c r="O70" s="71"/>
    </row>
    <row r="71" spans="1:15" ht="27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287</v>
      </c>
      <c r="H71" s="99">
        <f>G71+'13'!H71</f>
        <v>3235</v>
      </c>
      <c r="I71" s="154"/>
      <c r="J71" s="175">
        <f>H71/DAY(B2)</f>
        <v>231.07142857142858</v>
      </c>
      <c r="K71" s="69"/>
      <c r="L71" s="66"/>
      <c r="N71" s="87"/>
      <c r="O71" s="71"/>
    </row>
    <row r="72" spans="1:15" s="88" customFormat="1" ht="27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3" t="s">
        <v>220</v>
      </c>
      <c r="B74" s="854"/>
      <c r="C74" s="855"/>
      <c r="D74" s="151" t="s">
        <v>139</v>
      </c>
      <c r="E74" s="95">
        <f>'13'!F74</f>
        <v>905301</v>
      </c>
      <c r="F74" s="117">
        <v>905595</v>
      </c>
      <c r="G74" s="112">
        <f t="shared" ref="G74:G78" si="7">F74-E74</f>
        <v>294</v>
      </c>
      <c r="H74" s="99">
        <f>G74+'13'!H74</f>
        <v>4288.8510000000242</v>
      </c>
      <c r="I74" s="154"/>
      <c r="J74" s="175">
        <f>H74/DAY(B2)</f>
        <v>306.34650000000175</v>
      </c>
      <c r="K74" s="69"/>
      <c r="L74" s="66"/>
      <c r="N74" s="87"/>
      <c r="O74" s="71"/>
    </row>
    <row r="75" spans="1:15" ht="27.75" customHeight="1" x14ac:dyDescent="0.5">
      <c r="A75" s="853" t="s">
        <v>221</v>
      </c>
      <c r="B75" s="854"/>
      <c r="C75" s="855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97" t="s">
        <v>222</v>
      </c>
      <c r="B76" s="883"/>
      <c r="C76" s="884"/>
      <c r="D76" s="151" t="s">
        <v>139</v>
      </c>
      <c r="E76" s="95">
        <f>'13'!F76</f>
        <v>171523</v>
      </c>
      <c r="F76" s="123">
        <v>171616</v>
      </c>
      <c r="G76" s="112">
        <f t="shared" si="7"/>
        <v>93</v>
      </c>
      <c r="H76" s="99">
        <f>G76+'13'!H76</f>
        <v>1641</v>
      </c>
      <c r="I76" s="154"/>
      <c r="J76" s="175">
        <f>H76/DAY(B2)</f>
        <v>117.21428571428571</v>
      </c>
      <c r="K76" s="69"/>
      <c r="L76" s="66"/>
      <c r="N76" s="87"/>
      <c r="O76" s="71"/>
    </row>
    <row r="77" spans="1:15" ht="27.75" customHeight="1" x14ac:dyDescent="0.5">
      <c r="A77" s="897" t="s">
        <v>223</v>
      </c>
      <c r="B77" s="883"/>
      <c r="C77" s="884"/>
      <c r="D77" s="151" t="s">
        <v>139</v>
      </c>
      <c r="E77" s="95">
        <f>'13'!F77</f>
        <v>41936</v>
      </c>
      <c r="F77" s="123">
        <v>41975</v>
      </c>
      <c r="G77" s="112">
        <f t="shared" si="7"/>
        <v>39</v>
      </c>
      <c r="H77" s="99">
        <f>G77+'13'!H77</f>
        <v>672.80000000000291</v>
      </c>
      <c r="I77" s="154"/>
      <c r="J77" s="175">
        <f>H77/DAY(B2)</f>
        <v>48.057142857143063</v>
      </c>
      <c r="K77" s="69"/>
      <c r="L77" s="66"/>
      <c r="N77" s="87"/>
      <c r="O77" s="71"/>
    </row>
    <row r="78" spans="1:15" ht="27.75" customHeight="1" x14ac:dyDescent="0.5">
      <c r="A78" s="897" t="s">
        <v>224</v>
      </c>
      <c r="B78" s="883"/>
      <c r="C78" s="884"/>
      <c r="D78" s="151" t="s">
        <v>139</v>
      </c>
      <c r="E78" s="95">
        <v>9538</v>
      </c>
      <c r="F78" s="123">
        <v>9538</v>
      </c>
      <c r="G78" s="112">
        <f t="shared" si="7"/>
        <v>0</v>
      </c>
      <c r="H78" s="99">
        <f>G78+'13'!H78</f>
        <v>25</v>
      </c>
      <c r="I78" s="118"/>
      <c r="J78" s="175">
        <f>H78/DAY(B2)</f>
        <v>1.7857142857142858</v>
      </c>
      <c r="K78" s="69"/>
      <c r="L78" s="66"/>
      <c r="N78" s="87"/>
      <c r="O78" s="71"/>
    </row>
    <row r="79" spans="1:15" s="57" customFormat="1" ht="27.75" customHeight="1" x14ac:dyDescent="0.5">
      <c r="A79" s="897" t="s">
        <v>225</v>
      </c>
      <c r="B79" s="883"/>
      <c r="C79" s="884"/>
      <c r="D79" s="151"/>
      <c r="E79" s="95">
        <f>'13'!F79</f>
        <v>0</v>
      </c>
      <c r="F79" s="117"/>
      <c r="G79" s="112">
        <f>G15-SUM(G74:G78)</f>
        <v>669</v>
      </c>
      <c r="H79" s="99">
        <f>G79+'13'!H79</f>
        <v>8300.3819999999832</v>
      </c>
      <c r="I79" s="118"/>
      <c r="J79" s="175">
        <f>H79/DAY(B2)</f>
        <v>592.88442857142741</v>
      </c>
      <c r="K79" s="59"/>
      <c r="L79" s="58"/>
      <c r="N79" s="87"/>
      <c r="O79" s="71"/>
    </row>
    <row r="80" spans="1:15" s="57" customFormat="1" ht="27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1095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2456</v>
      </c>
      <c r="F85" s="164">
        <v>2480</v>
      </c>
      <c r="G85" s="112">
        <f t="shared" si="8"/>
        <v>24</v>
      </c>
      <c r="H85" s="99">
        <f>G85+'13'!H85</f>
        <v>219.57999999999993</v>
      </c>
      <c r="I85" s="118">
        <f>G82+G83+G84+G85</f>
        <v>24</v>
      </c>
      <c r="J85" s="175">
        <f>H85/DAY(B2)</f>
        <v>15.684285714285709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43564</v>
      </c>
      <c r="F86" s="164">
        <v>43564</v>
      </c>
      <c r="G86" s="112">
        <f t="shared" si="8"/>
        <v>0</v>
      </c>
      <c r="H86" s="99">
        <f>G86+'13'!H86</f>
        <v>122</v>
      </c>
      <c r="I86" s="118"/>
      <c r="J86" s="175">
        <f>H86/DAY(B2)</f>
        <v>8.7142857142857135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24066.77</v>
      </c>
      <c r="F88" s="164">
        <v>24067.759999999998</v>
      </c>
      <c r="G88" s="112">
        <f t="shared" si="8"/>
        <v>0.98999999999796273</v>
      </c>
      <c r="H88" s="99">
        <f>G88+'13'!H88</f>
        <v>4.3299999999981083</v>
      </c>
      <c r="I88" s="118">
        <f>G86+G87+G88</f>
        <v>0.98999999999796273</v>
      </c>
      <c r="J88" s="175">
        <f>H88/DAY(B2)</f>
        <v>0.30928571428557916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26022.66</v>
      </c>
      <c r="F89" s="164">
        <v>26033.439999999999</v>
      </c>
      <c r="G89" s="112">
        <f t="shared" si="8"/>
        <v>10.779999999998836</v>
      </c>
      <c r="H89" s="99">
        <f>G89+'13'!H89</f>
        <v>142.31999999999971</v>
      </c>
      <c r="I89" s="118"/>
      <c r="J89" s="175">
        <f>H89/DAY(B2)</f>
        <v>10.165714285714264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71209.78</v>
      </c>
      <c r="F90" s="164">
        <v>71215.97</v>
      </c>
      <c r="G90" s="112">
        <f t="shared" si="8"/>
        <v>6.1900000000023283</v>
      </c>
      <c r="H90" s="99">
        <f>G90+'13'!H90</f>
        <v>52.649999999994179</v>
      </c>
      <c r="I90" s="118">
        <f>G89+G90</f>
        <v>16.970000000001164</v>
      </c>
      <c r="J90" s="175">
        <f>H90/DAY(B2)</f>
        <v>3.76071428571387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3398.46</v>
      </c>
      <c r="F91" s="122">
        <v>3409.63</v>
      </c>
      <c r="G91" s="112">
        <f t="shared" si="8"/>
        <v>11.170000000000073</v>
      </c>
      <c r="H91" s="99">
        <f>G91+'13'!H91</f>
        <v>158.53999999999996</v>
      </c>
      <c r="I91" s="165"/>
      <c r="J91" s="175">
        <f>H91/DAY(B2)</f>
        <v>11.324285714285711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-6.9999999999708962E-2</v>
      </c>
      <c r="I92" s="165"/>
      <c r="J92" s="175">
        <f>H92/DAY(B2)</f>
        <v>-4.9999999999792112E-3</v>
      </c>
      <c r="O92" s="71"/>
    </row>
    <row r="93" spans="1:15" ht="27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5105</v>
      </c>
      <c r="H94" s="99">
        <f>G94+'13'!H94</f>
        <v>69548.23</v>
      </c>
      <c r="I94" s="118"/>
      <c r="J94" s="175">
        <f>H94/DAY(B2)</f>
        <v>4967.7307142857144</v>
      </c>
      <c r="K94" s="69"/>
      <c r="L94" s="66"/>
      <c r="O94" s="71"/>
    </row>
    <row r="95" spans="1:15" ht="27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0.24105203513079612</v>
      </c>
      <c r="H95" s="99">
        <f>G95+'13'!H95</f>
        <v>3.4672654666377891</v>
      </c>
      <c r="I95" s="167"/>
      <c r="J95" s="175">
        <f>H95/DAY(B2)</f>
        <v>0.24766181904555637</v>
      </c>
      <c r="K95" s="69"/>
      <c r="L95" s="66"/>
      <c r="O95" s="71"/>
    </row>
    <row r="96" spans="1:15" ht="27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4624</v>
      </c>
      <c r="H96" s="99">
        <f>G96+'13'!H96</f>
        <v>56681.87999999999</v>
      </c>
      <c r="I96" s="118"/>
      <c r="J96" s="175">
        <f>H96/DAY(B2)</f>
        <v>4048.7057142857134</v>
      </c>
      <c r="K96" s="69"/>
      <c r="L96" s="66"/>
      <c r="O96" s="71"/>
    </row>
    <row r="97" spans="1:15" ht="27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0.21833978657096986</v>
      </c>
      <c r="H97" s="99">
        <f>G97+'13'!H97</f>
        <v>2.8154059515451335</v>
      </c>
      <c r="I97" s="167"/>
      <c r="J97" s="175">
        <f>H97/DAY(B2)</f>
        <v>0.20110042511036669</v>
      </c>
      <c r="K97" s="69"/>
      <c r="L97" s="66"/>
      <c r="O97" s="71"/>
    </row>
    <row r="98" spans="1:15" ht="27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3213</v>
      </c>
      <c r="H98" s="99">
        <f>G98+'13'!H98</f>
        <v>40991.71</v>
      </c>
      <c r="I98" s="168"/>
      <c r="J98" s="175">
        <f>H98/DAY(B2)</f>
        <v>2927.9792857142857</v>
      </c>
      <c r="K98" s="69"/>
      <c r="L98" s="66"/>
      <c r="O98" s="71"/>
    </row>
    <row r="99" spans="1:15" ht="27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0.15171404287468127</v>
      </c>
      <c r="H99" s="99">
        <f>G99+'13'!H99</f>
        <v>2.0417473969738973</v>
      </c>
      <c r="I99" s="168"/>
      <c r="J99" s="175">
        <f>H99/DAY(B2)</f>
        <v>0.14583909978384982</v>
      </c>
      <c r="O99" s="71"/>
    </row>
    <row r="100" spans="1:15" ht="27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2061</v>
      </c>
      <c r="H100" s="99">
        <f>G100+'13'!H100</f>
        <v>26898.57</v>
      </c>
      <c r="I100" s="118"/>
      <c r="J100" s="175">
        <f>H100/DAY(B2)</f>
        <v>1921.3264285714286</v>
      </c>
      <c r="K100" s="70"/>
      <c r="O100" s="71"/>
    </row>
    <row r="101" spans="1:15" ht="27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9.7317971479837562E-2</v>
      </c>
      <c r="H101" s="99">
        <f>G101+'13'!H101</f>
        <v>1.339707182041491</v>
      </c>
      <c r="I101" s="168"/>
      <c r="J101" s="175">
        <f>H101/DAY(B2)</f>
        <v>9.5693370145820786E-2</v>
      </c>
      <c r="O101" s="71"/>
    </row>
    <row r="102" spans="1:15" ht="27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2440</v>
      </c>
      <c r="H102" s="99">
        <f>G102+'13'!H102</f>
        <v>30762.630000000005</v>
      </c>
      <c r="I102" s="168"/>
      <c r="J102" s="175">
        <f>H102/DAY(B2)</f>
        <v>2197.3307142857147</v>
      </c>
      <c r="O102" s="71"/>
    </row>
    <row r="103" spans="1:15" ht="27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0.11521390121824535</v>
      </c>
      <c r="H103" s="99">
        <f>G103+'13'!H103</f>
        <v>1.5259103791031874</v>
      </c>
      <c r="I103" s="118"/>
      <c r="J103" s="175">
        <f>H103/DAY(B2)</f>
        <v>0.10899359850737053</v>
      </c>
      <c r="O103" s="71"/>
    </row>
    <row r="104" spans="1:15" ht="27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1746</v>
      </c>
      <c r="H104" s="99">
        <f>G104+'13'!H104</f>
        <v>23143.910000000003</v>
      </c>
      <c r="I104" s="118"/>
      <c r="J104" s="175">
        <f>H104/DAY(B2)</f>
        <v>1653.1364285714287</v>
      </c>
      <c r="O104" s="71"/>
    </row>
    <row r="105" spans="1:15" ht="27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8.2444045707809985E-2</v>
      </c>
      <c r="H105" s="99">
        <f>G105+'13'!H105</f>
        <v>1.1552415628328885</v>
      </c>
      <c r="I105" s="187"/>
      <c r="J105" s="188">
        <f>H105/DAY(B2)</f>
        <v>8.2517254488063463E-2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7.75" customHeight="1" x14ac:dyDescent="0.5">
      <c r="A109" s="892"/>
      <c r="B109" s="892"/>
    </row>
    <row r="110" spans="1:15" ht="27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86" t="s">
        <v>252</v>
      </c>
      <c r="B112" s="887"/>
      <c r="C112" s="888"/>
      <c r="D112" s="146" t="s">
        <v>183</v>
      </c>
      <c r="E112" s="95">
        <f>'13'!F112</f>
        <v>59004</v>
      </c>
      <c r="F112" s="237">
        <v>59070</v>
      </c>
      <c r="G112" s="112">
        <f t="shared" ref="G112:G123" si="9">F112-E112</f>
        <v>66</v>
      </c>
      <c r="H112" s="99">
        <f>G112+'13'!H112</f>
        <v>1016</v>
      </c>
      <c r="I112" s="165"/>
      <c r="J112" s="328">
        <f>H112/DAY(B2)</f>
        <v>72.571428571428569</v>
      </c>
    </row>
    <row r="113" spans="1:18" ht="27.75" customHeight="1" x14ac:dyDescent="0.5">
      <c r="A113" s="886" t="s">
        <v>253</v>
      </c>
      <c r="B113" s="887"/>
      <c r="C113" s="888"/>
      <c r="D113" s="146" t="s">
        <v>183</v>
      </c>
      <c r="E113" s="95">
        <f>'13'!F113</f>
        <v>52520</v>
      </c>
      <c r="F113" s="237">
        <v>52993</v>
      </c>
      <c r="G113" s="112">
        <f t="shared" si="9"/>
        <v>473</v>
      </c>
      <c r="H113" s="99">
        <f>G113+'13'!H113</f>
        <v>6592.1100000000006</v>
      </c>
      <c r="I113" s="165"/>
      <c r="J113" s="328">
        <f>H113/DAY(B2)</f>
        <v>470.86500000000007</v>
      </c>
    </row>
    <row r="114" spans="1:18" ht="27.75" customHeight="1" x14ac:dyDescent="0.5">
      <c r="A114" s="886" t="s">
        <v>254</v>
      </c>
      <c r="B114" s="887"/>
      <c r="C114" s="888"/>
      <c r="D114" s="146" t="s">
        <v>183</v>
      </c>
      <c r="E114" s="95">
        <f>'13'!F114</f>
        <v>37526</v>
      </c>
      <c r="F114" s="237">
        <v>37793</v>
      </c>
      <c r="G114" s="112">
        <f t="shared" si="9"/>
        <v>267</v>
      </c>
      <c r="H114" s="99">
        <f>G114+'13'!H114</f>
        <v>4633</v>
      </c>
      <c r="I114" s="165"/>
      <c r="J114" s="328">
        <f>H114/DAY(B2)</f>
        <v>330.92857142857144</v>
      </c>
    </row>
    <row r="115" spans="1:18" ht="27.75" customHeight="1" x14ac:dyDescent="0.5">
      <c r="A115" s="886" t="s">
        <v>255</v>
      </c>
      <c r="B115" s="887"/>
      <c r="C115" s="888"/>
      <c r="D115" s="146" t="s">
        <v>183</v>
      </c>
      <c r="E115" s="95">
        <f>'13'!F115</f>
        <v>9229</v>
      </c>
      <c r="F115" s="237">
        <v>9245</v>
      </c>
      <c r="G115" s="112">
        <f t="shared" si="9"/>
        <v>16</v>
      </c>
      <c r="H115" s="99">
        <f>G115+'13'!H115</f>
        <v>150.35000000000036</v>
      </c>
      <c r="I115" s="165"/>
      <c r="J115" s="328">
        <f>H115/DAY(B2)</f>
        <v>10.739285714285741</v>
      </c>
    </row>
    <row r="116" spans="1:18" ht="27.75" customHeight="1" x14ac:dyDescent="0.5">
      <c r="A116" s="904" t="s">
        <v>96</v>
      </c>
      <c r="B116" s="905"/>
      <c r="C116" s="906"/>
      <c r="D116" s="146" t="s">
        <v>183</v>
      </c>
      <c r="E116" s="95">
        <f>'13'!F116</f>
        <v>2851</v>
      </c>
      <c r="F116" s="237">
        <v>3286</v>
      </c>
      <c r="G116" s="112">
        <f t="shared" si="9"/>
        <v>435</v>
      </c>
      <c r="H116" s="99">
        <f>G116+'13'!H116</f>
        <v>3286</v>
      </c>
      <c r="I116" s="165"/>
      <c r="J116" s="328">
        <f>H116/DAY(B2)</f>
        <v>234.71428571428572</v>
      </c>
      <c r="Q116" s="886"/>
      <c r="R116" s="888"/>
    </row>
    <row r="117" spans="1:18" ht="27.75" customHeight="1" x14ac:dyDescent="0.5">
      <c r="A117" s="904" t="s">
        <v>184</v>
      </c>
      <c r="B117" s="905"/>
      <c r="C117" s="906"/>
      <c r="D117" s="146" t="s">
        <v>183</v>
      </c>
      <c r="E117" s="95">
        <f>'13'!F117</f>
        <v>5081</v>
      </c>
      <c r="F117" s="237">
        <v>5335</v>
      </c>
      <c r="G117" s="112">
        <f t="shared" si="9"/>
        <v>254</v>
      </c>
      <c r="H117" s="99">
        <f>G117+'13'!H117</f>
        <v>1997.0500000000002</v>
      </c>
      <c r="I117" s="165"/>
      <c r="J117" s="328">
        <f>H117/DAY(B2)</f>
        <v>142.64642857142857</v>
      </c>
      <c r="Q117" s="886"/>
      <c r="R117" s="888"/>
    </row>
    <row r="118" spans="1:18" ht="27.75" customHeight="1" x14ac:dyDescent="0.5">
      <c r="A118" s="881" t="s">
        <v>97</v>
      </c>
      <c r="B118" s="881"/>
      <c r="C118" s="881"/>
      <c r="D118" s="151" t="s">
        <v>183</v>
      </c>
      <c r="E118" s="95">
        <f>'13'!F118</f>
        <v>257167</v>
      </c>
      <c r="F118" s="237">
        <v>257628</v>
      </c>
      <c r="G118" s="112">
        <f t="shared" si="9"/>
        <v>461</v>
      </c>
      <c r="H118" s="99">
        <f>G118+'13'!H118</f>
        <v>5175.6900000000023</v>
      </c>
      <c r="I118" s="165"/>
      <c r="J118" s="328">
        <f>H118/DAY(B2)</f>
        <v>369.69214285714304</v>
      </c>
      <c r="Q118" s="886"/>
      <c r="R118" s="888"/>
    </row>
    <row r="119" spans="1:18" ht="27.75" customHeight="1" x14ac:dyDescent="0.5">
      <c r="A119" s="881" t="s">
        <v>98</v>
      </c>
      <c r="B119" s="881"/>
      <c r="C119" s="881"/>
      <c r="D119" s="151" t="s">
        <v>183</v>
      </c>
      <c r="E119" s="95">
        <f>'13'!F119</f>
        <v>263567</v>
      </c>
      <c r="F119" s="237">
        <v>264012</v>
      </c>
      <c r="G119" s="112">
        <f t="shared" si="9"/>
        <v>445</v>
      </c>
      <c r="H119" s="99">
        <f>G119+'13'!H119</f>
        <v>5863.4500000000116</v>
      </c>
      <c r="I119" s="165"/>
      <c r="J119" s="328">
        <f>H119/DAY(B2)</f>
        <v>418.81785714285797</v>
      </c>
    </row>
    <row r="120" spans="1:18" ht="27.75" customHeight="1" x14ac:dyDescent="0.5">
      <c r="A120" s="881" t="s">
        <v>99</v>
      </c>
      <c r="B120" s="881"/>
      <c r="C120" s="881"/>
      <c r="D120" s="151" t="s">
        <v>183</v>
      </c>
      <c r="E120" s="95">
        <f>'13'!F120</f>
        <v>48455</v>
      </c>
      <c r="F120" s="237">
        <v>48872</v>
      </c>
      <c r="G120" s="112">
        <f t="shared" si="9"/>
        <v>417</v>
      </c>
      <c r="H120" s="99">
        <f>G120+'13'!H120</f>
        <v>5912.3899999999994</v>
      </c>
      <c r="I120" s="165"/>
      <c r="J120" s="328">
        <f>H120/DAY(B2)</f>
        <v>422.31357142857138</v>
      </c>
    </row>
    <row r="121" spans="1:18" ht="27.75" customHeight="1" x14ac:dyDescent="0.5">
      <c r="A121" s="881" t="s">
        <v>100</v>
      </c>
      <c r="B121" s="881"/>
      <c r="C121" s="881"/>
      <c r="D121" s="151" t="s">
        <v>183</v>
      </c>
      <c r="E121" s="95">
        <f>'13'!F121</f>
        <v>407562</v>
      </c>
      <c r="F121" s="237">
        <v>408322</v>
      </c>
      <c r="G121" s="112">
        <f t="shared" si="9"/>
        <v>760</v>
      </c>
      <c r="H121" s="99">
        <f>G121+'13'!H121</f>
        <v>10287.570000000007</v>
      </c>
      <c r="I121" s="165"/>
      <c r="J121" s="328">
        <f>H121/DAY(B2)</f>
        <v>734.82642857142912</v>
      </c>
    </row>
    <row r="122" spans="1:18" ht="27.75" customHeight="1" x14ac:dyDescent="0.5">
      <c r="A122" s="881" t="s">
        <v>101</v>
      </c>
      <c r="B122" s="881"/>
      <c r="C122" s="881"/>
      <c r="D122" s="151" t="s">
        <v>183</v>
      </c>
      <c r="E122" s="95">
        <f>'13'!F122</f>
        <v>129065</v>
      </c>
      <c r="F122" s="237">
        <v>129274</v>
      </c>
      <c r="G122" s="112">
        <f t="shared" si="9"/>
        <v>209</v>
      </c>
      <c r="H122" s="99">
        <f>G122+'13'!H122</f>
        <v>3087.820000000007</v>
      </c>
      <c r="I122" s="165"/>
      <c r="J122" s="328">
        <f>H122/DAY(B2)</f>
        <v>220.55857142857192</v>
      </c>
    </row>
    <row r="123" spans="1:18" ht="27.75" customHeight="1" x14ac:dyDescent="0.5">
      <c r="A123" s="881" t="s">
        <v>102</v>
      </c>
      <c r="B123" s="881"/>
      <c r="C123" s="881"/>
      <c r="D123" s="151" t="s">
        <v>183</v>
      </c>
      <c r="E123" s="95">
        <f>'13'!F123</f>
        <v>157363</v>
      </c>
      <c r="F123" s="237">
        <v>157624</v>
      </c>
      <c r="G123" s="112">
        <f t="shared" si="9"/>
        <v>261</v>
      </c>
      <c r="H123" s="99">
        <f>G123+'13'!H123</f>
        <v>3577.0499999999884</v>
      </c>
      <c r="I123" s="165"/>
      <c r="J123" s="328">
        <f>H123/DAY(B2)</f>
        <v>255.50357142857061</v>
      </c>
    </row>
    <row r="124" spans="1:18" ht="27.7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4064</v>
      </c>
      <c r="H125" s="156"/>
      <c r="I125" s="327">
        <f>G125-(G39+G53)</f>
        <v>851</v>
      </c>
      <c r="J125" s="327"/>
    </row>
    <row r="126" spans="1:18" ht="27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86" t="s">
        <v>318</v>
      </c>
      <c r="B128" s="887"/>
      <c r="C128" s="888"/>
      <c r="D128" s="151" t="s">
        <v>183</v>
      </c>
      <c r="E128" s="95">
        <f>'13'!F128</f>
        <v>51864</v>
      </c>
      <c r="F128" s="165">
        <v>52201</v>
      </c>
      <c r="G128" s="112">
        <f t="shared" ref="G128:G134" si="10">F128-E128</f>
        <v>337</v>
      </c>
      <c r="H128" s="99">
        <f>G128+'13'!H128</f>
        <v>4455</v>
      </c>
      <c r="I128" s="165"/>
      <c r="J128" s="328">
        <f>H128/DAY(B2)</f>
        <v>318.21428571428572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29691</v>
      </c>
      <c r="F129" s="165">
        <v>30000</v>
      </c>
      <c r="G129" s="112">
        <f t="shared" si="10"/>
        <v>309</v>
      </c>
      <c r="H129" s="99">
        <f>G129+'13'!H129</f>
        <v>3089.130000000001</v>
      </c>
      <c r="I129" s="165"/>
      <c r="J129" s="328">
        <f>H129/DAY(B2)</f>
        <v>220.65214285714293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43414</v>
      </c>
      <c r="F130" s="165">
        <v>43971</v>
      </c>
      <c r="G130" s="112">
        <f t="shared" si="10"/>
        <v>557</v>
      </c>
      <c r="H130" s="99">
        <f>G130+'13'!H130</f>
        <v>8277</v>
      </c>
      <c r="I130" s="165"/>
      <c r="J130" s="328">
        <f>H130/DAY(B2)</f>
        <v>591.21428571428567</v>
      </c>
      <c r="N130" s="240"/>
      <c r="O130" s="241"/>
    </row>
    <row r="131" spans="1:15" ht="27.75" customHeight="1" x14ac:dyDescent="0.5">
      <c r="A131" s="886" t="s">
        <v>321</v>
      </c>
      <c r="B131" s="887"/>
      <c r="C131" s="888"/>
      <c r="D131" s="151" t="s">
        <v>183</v>
      </c>
      <c r="E131" s="95">
        <f>'13'!F131</f>
        <v>16612</v>
      </c>
      <c r="F131" s="165">
        <v>16745</v>
      </c>
      <c r="G131" s="112">
        <f t="shared" si="10"/>
        <v>133</v>
      </c>
      <c r="H131" s="99">
        <f>G131+'13'!H131</f>
        <v>1437.3199999999997</v>
      </c>
      <c r="I131" s="165"/>
      <c r="J131" s="328">
        <f>H131/DAY(B2)</f>
        <v>102.66571428571426</v>
      </c>
      <c r="N131" s="240"/>
      <c r="O131" s="241"/>
    </row>
    <row r="132" spans="1:15" ht="27.75" customHeight="1" x14ac:dyDescent="0.5">
      <c r="A132" s="886" t="s">
        <v>322</v>
      </c>
      <c r="B132" s="887"/>
      <c r="C132" s="888"/>
      <c r="D132" s="151" t="s">
        <v>183</v>
      </c>
      <c r="E132" s="95">
        <f>'13'!F132</f>
        <v>56739</v>
      </c>
      <c r="F132" s="165">
        <v>57174</v>
      </c>
      <c r="G132" s="112">
        <f t="shared" si="10"/>
        <v>435</v>
      </c>
      <c r="H132" s="99">
        <f>G132+'13'!H132</f>
        <v>5325.6999999999971</v>
      </c>
      <c r="I132" s="165"/>
      <c r="J132" s="328">
        <f>H132/DAY(B2)</f>
        <v>380.40714285714267</v>
      </c>
    </row>
    <row r="133" spans="1:15" ht="27.75" customHeight="1" x14ac:dyDescent="0.5">
      <c r="A133" s="886" t="s">
        <v>341</v>
      </c>
      <c r="B133" s="887"/>
      <c r="C133" s="888"/>
      <c r="D133" s="151" t="s">
        <v>183</v>
      </c>
      <c r="E133" s="95">
        <f>'13'!F133</f>
        <v>113348</v>
      </c>
      <c r="F133" s="165">
        <v>114027</v>
      </c>
      <c r="G133" s="112">
        <f t="shared" si="10"/>
        <v>679</v>
      </c>
      <c r="H133" s="99">
        <f>G133+'13'!H133</f>
        <v>8683.3000000000029</v>
      </c>
      <c r="I133" s="165"/>
      <c r="J133" s="328">
        <f>H133/DAY(B2)</f>
        <v>620.23571428571449</v>
      </c>
    </row>
    <row r="134" spans="1:15" ht="27.75" customHeight="1" x14ac:dyDescent="0.5">
      <c r="A134" s="886" t="s">
        <v>340</v>
      </c>
      <c r="B134" s="887"/>
      <c r="C134" s="888"/>
      <c r="D134" s="151" t="s">
        <v>183</v>
      </c>
      <c r="E134" s="95">
        <f>'13'!F134</f>
        <v>11016</v>
      </c>
      <c r="F134" s="165">
        <v>11173</v>
      </c>
      <c r="G134" s="112">
        <f t="shared" si="10"/>
        <v>157</v>
      </c>
      <c r="H134" s="99">
        <f>G134+'13'!H134</f>
        <v>2571.7700000000004</v>
      </c>
      <c r="I134" s="165"/>
      <c r="J134" s="328">
        <f>H134/DAY(B2)</f>
        <v>183.69785714285717</v>
      </c>
    </row>
    <row r="135" spans="1:15" ht="27.7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2607</v>
      </c>
      <c r="H135" s="119">
        <f>H128+H134</f>
        <v>7026.77</v>
      </c>
      <c r="I135" s="327">
        <f>G135-(G35+G49)</f>
        <v>-396</v>
      </c>
      <c r="J135" s="328">
        <f>H135/DAY(B2)</f>
        <v>501.9121428571429</v>
      </c>
    </row>
    <row r="136" spans="1:15" ht="27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81" t="s">
        <v>185</v>
      </c>
      <c r="B138" s="881"/>
      <c r="C138" s="881"/>
      <c r="D138" s="151" t="s">
        <v>183</v>
      </c>
      <c r="E138" s="95">
        <f>'13'!F138</f>
        <v>867322</v>
      </c>
      <c r="F138" s="147">
        <v>867420</v>
      </c>
      <c r="G138" s="112">
        <f t="shared" ref="G138:G152" si="11">F138-E138</f>
        <v>98</v>
      </c>
      <c r="H138" s="99">
        <f>G138+'13'!H138</f>
        <v>1247</v>
      </c>
      <c r="I138" s="118"/>
      <c r="J138" s="328">
        <f>H138/DAY(B2)</f>
        <v>89.071428571428569</v>
      </c>
    </row>
    <row r="139" spans="1:15" ht="27.75" customHeight="1" x14ac:dyDescent="0.5">
      <c r="A139" s="881" t="s">
        <v>186</v>
      </c>
      <c r="B139" s="881"/>
      <c r="C139" s="881"/>
      <c r="D139" s="151" t="s">
        <v>183</v>
      </c>
      <c r="E139" s="95">
        <f>'13'!F139</f>
        <v>886674</v>
      </c>
      <c r="F139" s="148">
        <v>886675</v>
      </c>
      <c r="G139" s="112">
        <f t="shared" si="11"/>
        <v>1</v>
      </c>
      <c r="H139" s="99">
        <f>G139+'13'!H139</f>
        <v>102</v>
      </c>
      <c r="I139" s="118"/>
      <c r="J139" s="328">
        <f>H139/DAY(B2)</f>
        <v>7.2857142857142856</v>
      </c>
    </row>
    <row r="140" spans="1:15" ht="27.75" customHeight="1" x14ac:dyDescent="0.5">
      <c r="A140" s="881" t="s">
        <v>187</v>
      </c>
      <c r="B140" s="881"/>
      <c r="C140" s="881"/>
      <c r="D140" s="151" t="s">
        <v>183</v>
      </c>
      <c r="E140" s="95">
        <f>'13'!F140</f>
        <v>88948</v>
      </c>
      <c r="F140" s="149">
        <v>88948</v>
      </c>
      <c r="G140" s="112">
        <f t="shared" si="11"/>
        <v>0</v>
      </c>
      <c r="H140" s="99">
        <f>G140+'13'!H140</f>
        <v>26</v>
      </c>
      <c r="I140" s="118"/>
      <c r="J140" s="328">
        <f>H140/DAY(B2)</f>
        <v>1.8571428571428572</v>
      </c>
    </row>
    <row r="141" spans="1:15" ht="27.75" customHeight="1" x14ac:dyDescent="0.5">
      <c r="A141" s="885" t="s">
        <v>188</v>
      </c>
      <c r="B141" s="885"/>
      <c r="C141" s="885"/>
      <c r="D141" s="151" t="s">
        <v>183</v>
      </c>
      <c r="E141" s="95">
        <f>'13'!F141</f>
        <v>56989</v>
      </c>
      <c r="F141" s="149">
        <v>57165</v>
      </c>
      <c r="G141" s="112">
        <f t="shared" si="11"/>
        <v>176</v>
      </c>
      <c r="H141" s="99">
        <f>G141+'13'!H141</f>
        <v>2479.4199999999983</v>
      </c>
      <c r="I141" s="118"/>
      <c r="J141" s="328">
        <f>H141/DAY(B2)</f>
        <v>177.10142857142844</v>
      </c>
    </row>
    <row r="142" spans="1:15" ht="27.75" customHeight="1" x14ac:dyDescent="0.5">
      <c r="A142" s="885" t="s">
        <v>189</v>
      </c>
      <c r="B142" s="885"/>
      <c r="C142" s="885"/>
      <c r="D142" s="151" t="s">
        <v>183</v>
      </c>
      <c r="E142" s="95">
        <f>'13'!F142</f>
        <v>22184</v>
      </c>
      <c r="F142" s="148">
        <v>22253</v>
      </c>
      <c r="G142" s="112">
        <f t="shared" si="11"/>
        <v>69</v>
      </c>
      <c r="H142" s="99">
        <f>G142+'13'!H142</f>
        <v>968.90000000000146</v>
      </c>
      <c r="I142" s="140"/>
      <c r="J142" s="328">
        <f>H142/DAY(B2)</f>
        <v>69.207142857142955</v>
      </c>
    </row>
    <row r="143" spans="1:15" ht="27.75" customHeight="1" x14ac:dyDescent="0.5">
      <c r="A143" s="881" t="s">
        <v>91</v>
      </c>
      <c r="B143" s="881"/>
      <c r="C143" s="881"/>
      <c r="D143" s="151" t="s">
        <v>183</v>
      </c>
      <c r="E143" s="95">
        <f>'13'!F143</f>
        <v>4198</v>
      </c>
      <c r="F143" s="149">
        <v>4226</v>
      </c>
      <c r="G143" s="112">
        <f t="shared" si="11"/>
        <v>28</v>
      </c>
      <c r="H143" s="99">
        <f>G143+'13'!H143</f>
        <v>390.61000000000013</v>
      </c>
      <c r="I143" s="140"/>
      <c r="J143" s="328">
        <f>H143/DAY(B2)</f>
        <v>27.900714285714294</v>
      </c>
    </row>
    <row r="144" spans="1:15" ht="27.75" customHeight="1" x14ac:dyDescent="0.5">
      <c r="A144" s="885" t="s">
        <v>90</v>
      </c>
      <c r="B144" s="885"/>
      <c r="C144" s="885"/>
      <c r="D144" s="151" t="s">
        <v>183</v>
      </c>
      <c r="E144" s="95">
        <f>'13'!F144</f>
        <v>879233</v>
      </c>
      <c r="F144" s="149">
        <v>879432</v>
      </c>
      <c r="G144" s="112">
        <f t="shared" si="11"/>
        <v>199</v>
      </c>
      <c r="H144" s="99">
        <f>G144+'13'!H144</f>
        <v>2945</v>
      </c>
      <c r="I144" s="140"/>
      <c r="J144" s="328">
        <f>H144/DAY(B2)</f>
        <v>210.35714285714286</v>
      </c>
    </row>
    <row r="145" spans="1:10" ht="27.75" customHeight="1" x14ac:dyDescent="0.5">
      <c r="A145" s="881" t="s">
        <v>190</v>
      </c>
      <c r="B145" s="881"/>
      <c r="C145" s="881"/>
      <c r="D145" s="152" t="s">
        <v>183</v>
      </c>
      <c r="E145" s="95">
        <f>'13'!F145</f>
        <v>5120</v>
      </c>
      <c r="F145" s="149">
        <v>5135</v>
      </c>
      <c r="G145" s="112">
        <f t="shared" si="11"/>
        <v>15</v>
      </c>
      <c r="H145" s="99">
        <f>G145+'13'!H145</f>
        <v>176.15999999999985</v>
      </c>
      <c r="I145" s="140"/>
      <c r="J145" s="328">
        <f>H145/DAY(B2)</f>
        <v>12.582857142857133</v>
      </c>
    </row>
    <row r="146" spans="1:10" ht="27.75" customHeight="1" x14ac:dyDescent="0.5">
      <c r="A146" s="882" t="s">
        <v>191</v>
      </c>
      <c r="B146" s="883"/>
      <c r="C146" s="884"/>
      <c r="D146" s="152" t="s">
        <v>183</v>
      </c>
      <c r="E146" s="95">
        <f>'13'!F146</f>
        <v>742874</v>
      </c>
      <c r="F146" s="148">
        <v>743367</v>
      </c>
      <c r="G146" s="112">
        <f t="shared" si="11"/>
        <v>493</v>
      </c>
      <c r="H146" s="99">
        <f>G146+'13'!H146</f>
        <v>6034</v>
      </c>
      <c r="I146" s="140"/>
      <c r="J146" s="328">
        <f>H146/DAY(B2)</f>
        <v>431</v>
      </c>
    </row>
    <row r="147" spans="1:10" ht="27.75" customHeight="1" x14ac:dyDescent="0.5">
      <c r="A147" s="885" t="s">
        <v>192</v>
      </c>
      <c r="B147" s="885"/>
      <c r="C147" s="885"/>
      <c r="D147" s="152" t="s">
        <v>183</v>
      </c>
      <c r="E147" s="95">
        <f>'13'!F147</f>
        <v>631884</v>
      </c>
      <c r="F147" s="148">
        <v>632333</v>
      </c>
      <c r="G147" s="112">
        <f t="shared" si="11"/>
        <v>449</v>
      </c>
      <c r="H147" s="99">
        <f>G147+'13'!H147</f>
        <v>5720.4799999999814</v>
      </c>
      <c r="I147" s="140"/>
      <c r="J147" s="328">
        <f>H147/DAY(B2)</f>
        <v>408.60571428571296</v>
      </c>
    </row>
    <row r="148" spans="1:10" ht="27.75" customHeight="1" x14ac:dyDescent="0.5">
      <c r="A148" s="877" t="s">
        <v>193</v>
      </c>
      <c r="B148" s="878"/>
      <c r="C148" s="879"/>
      <c r="D148" s="123" t="s">
        <v>130</v>
      </c>
      <c r="E148" s="95">
        <f>'13'!F148</f>
        <v>693435</v>
      </c>
      <c r="F148" s="150">
        <v>693745</v>
      </c>
      <c r="G148" s="112">
        <f t="shared" si="11"/>
        <v>310</v>
      </c>
      <c r="H148" s="99">
        <f>G148+'13'!H148</f>
        <v>4302.0400000000373</v>
      </c>
      <c r="I148" s="124"/>
      <c r="J148" s="328">
        <f>H148/DAY(B2)</f>
        <v>307.28857142857407</v>
      </c>
    </row>
    <row r="149" spans="1:10" ht="27.75" customHeight="1" x14ac:dyDescent="0.5">
      <c r="A149" s="877" t="s">
        <v>336</v>
      </c>
      <c r="B149" s="878"/>
      <c r="C149" s="879"/>
      <c r="D149" s="227" t="s">
        <v>130</v>
      </c>
      <c r="E149" s="95">
        <f>'13'!F149</f>
        <v>32010</v>
      </c>
      <c r="F149" s="146">
        <v>32728</v>
      </c>
      <c r="G149" s="112">
        <f t="shared" si="11"/>
        <v>718</v>
      </c>
      <c r="H149" s="99">
        <f>G149+'13'!H149</f>
        <v>8049.7999999999993</v>
      </c>
      <c r="I149" s="119"/>
      <c r="J149" s="328">
        <f>H149/DAY(B2)</f>
        <v>574.98571428571427</v>
      </c>
    </row>
    <row r="150" spans="1:10" ht="27.75" customHeight="1" x14ac:dyDescent="0.5">
      <c r="A150" s="877" t="s">
        <v>337</v>
      </c>
      <c r="B150" s="878"/>
      <c r="C150" s="879"/>
      <c r="D150" s="117" t="s">
        <v>130</v>
      </c>
      <c r="E150" s="95">
        <f>'13'!F150</f>
        <v>13779</v>
      </c>
      <c r="F150" s="233">
        <v>14007</v>
      </c>
      <c r="G150" s="112">
        <f t="shared" si="11"/>
        <v>228</v>
      </c>
      <c r="H150" s="99">
        <f>G150+'13'!H150</f>
        <v>3156.17</v>
      </c>
      <c r="I150" s="119"/>
      <c r="J150" s="328">
        <f>H150/DAY(B2)</f>
        <v>225.44071428571428</v>
      </c>
    </row>
    <row r="151" spans="1:10" ht="27.75" customHeight="1" x14ac:dyDescent="0.5">
      <c r="A151" s="877" t="s">
        <v>338</v>
      </c>
      <c r="B151" s="878"/>
      <c r="C151" s="879"/>
      <c r="D151" s="117" t="s">
        <v>130</v>
      </c>
      <c r="E151" s="95">
        <f>'13'!F151</f>
        <v>88623</v>
      </c>
      <c r="F151" s="233">
        <v>88885</v>
      </c>
      <c r="G151" s="112">
        <f t="shared" si="11"/>
        <v>262</v>
      </c>
      <c r="H151" s="99">
        <f>G151+'13'!H151</f>
        <v>3405</v>
      </c>
      <c r="I151" s="119"/>
      <c r="J151" s="328">
        <f>H151/DAY(B2)</f>
        <v>243.21428571428572</v>
      </c>
    </row>
    <row r="152" spans="1:10" ht="27.75" customHeight="1" x14ac:dyDescent="0.5">
      <c r="A152" s="877" t="s">
        <v>339</v>
      </c>
      <c r="B152" s="878"/>
      <c r="C152" s="879"/>
      <c r="D152" s="117" t="s">
        <v>130</v>
      </c>
      <c r="E152" s="95">
        <f>'13'!F152</f>
        <v>2364</v>
      </c>
      <c r="F152" s="233">
        <v>2459</v>
      </c>
      <c r="G152" s="112">
        <f t="shared" si="11"/>
        <v>95</v>
      </c>
      <c r="H152" s="99">
        <f>G152+'13'!H152</f>
        <v>799</v>
      </c>
      <c r="I152" s="119"/>
      <c r="J152" s="328">
        <f>H152/DAY(B2)</f>
        <v>57.071428571428569</v>
      </c>
    </row>
    <row r="153" spans="1:10" ht="27.7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3141</v>
      </c>
      <c r="H153" s="363"/>
      <c r="I153" s="119">
        <f>G153-(G38+G52)</f>
        <v>1080</v>
      </c>
      <c r="J153" s="366"/>
    </row>
    <row r="154" spans="1:10" ht="27.75" customHeight="1" x14ac:dyDescent="0.55000000000000004">
      <c r="A154" s="918"/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27.75" customHeight="1" x14ac:dyDescent="0.55000000000000004">
      <c r="A155" s="885" t="s">
        <v>345</v>
      </c>
      <c r="B155" s="885"/>
      <c r="C155" s="885"/>
      <c r="D155" s="117" t="s">
        <v>130</v>
      </c>
      <c r="E155" s="95">
        <f>'13'!F155</f>
        <v>41381</v>
      </c>
      <c r="F155" s="374">
        <v>42101</v>
      </c>
      <c r="G155" s="112">
        <f t="shared" ref="G155:G158" si="12">F155-E155</f>
        <v>720</v>
      </c>
      <c r="H155" s="99">
        <f>G155+'13'!H155</f>
        <v>9156</v>
      </c>
      <c r="I155" s="364"/>
      <c r="J155" s="328">
        <f>H155/DAY(B2)</f>
        <v>654</v>
      </c>
    </row>
    <row r="156" spans="1:10" ht="27.75" customHeight="1" x14ac:dyDescent="0.5">
      <c r="A156" s="885" t="s">
        <v>347</v>
      </c>
      <c r="B156" s="885"/>
      <c r="C156" s="885"/>
      <c r="D156" s="117" t="s">
        <v>130</v>
      </c>
      <c r="E156" s="155">
        <v>3405</v>
      </c>
      <c r="F156" s="155">
        <v>3465</v>
      </c>
      <c r="G156" s="112">
        <f t="shared" si="12"/>
        <v>60</v>
      </c>
      <c r="H156" s="99">
        <f>G156+'13'!H156</f>
        <v>677</v>
      </c>
      <c r="I156" s="165"/>
      <c r="J156" s="328">
        <f>H156/DAY(B2)</f>
        <v>48.357142857142854</v>
      </c>
    </row>
    <row r="157" spans="1:10" ht="27.75" customHeight="1" x14ac:dyDescent="0.5">
      <c r="A157" s="877" t="s">
        <v>363</v>
      </c>
      <c r="B157" s="878"/>
      <c r="C157" s="879"/>
      <c r="D157" s="117" t="s">
        <v>130</v>
      </c>
      <c r="E157" s="155">
        <v>5421</v>
      </c>
      <c r="F157" s="155">
        <v>5498</v>
      </c>
      <c r="G157" s="112">
        <f t="shared" si="12"/>
        <v>77</v>
      </c>
      <c r="H157" s="99">
        <f>G157+'13'!H157</f>
        <v>218</v>
      </c>
      <c r="I157" s="165"/>
      <c r="J157" s="328">
        <f>H157/DAY(B2)</f>
        <v>15.571428571428571</v>
      </c>
    </row>
    <row r="158" spans="1:10" ht="27.75" customHeight="1" x14ac:dyDescent="0.5">
      <c r="A158" s="877" t="s">
        <v>364</v>
      </c>
      <c r="B158" s="878"/>
      <c r="C158" s="879"/>
      <c r="D158" s="117" t="s">
        <v>130</v>
      </c>
      <c r="E158" s="155">
        <v>70</v>
      </c>
      <c r="F158" s="155">
        <v>70</v>
      </c>
      <c r="G158" s="112">
        <f t="shared" si="12"/>
        <v>0</v>
      </c>
      <c r="H158" s="99">
        <f>G158+'13'!H158</f>
        <v>1</v>
      </c>
      <c r="I158" s="165"/>
      <c r="J158" s="328">
        <f>H158/DAY(B2)</f>
        <v>7.1428571428571425E-2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472525</v>
      </c>
      <c r="F161" s="235">
        <v>472543</v>
      </c>
      <c r="G161" s="238">
        <f t="shared" ref="G161:G165" si="13">F161-E161</f>
        <v>18</v>
      </c>
      <c r="H161" s="99">
        <f>G161+'13'!H161</f>
        <v>489.44000000000233</v>
      </c>
      <c r="I161" s="236"/>
      <c r="J161" s="239">
        <f>H161/DAY(B2)</f>
        <v>34.960000000000164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88961</v>
      </c>
      <c r="F162" s="235">
        <v>89001</v>
      </c>
      <c r="G162" s="238">
        <f t="shared" si="13"/>
        <v>40</v>
      </c>
      <c r="H162" s="99">
        <f>G162+'13'!H162</f>
        <v>484.60000000000582</v>
      </c>
      <c r="I162" s="236"/>
      <c r="J162" s="239">
        <f>H162/DAY(B2)</f>
        <v>34.614285714286133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79918</v>
      </c>
      <c r="F163" s="235">
        <v>80037</v>
      </c>
      <c r="G163" s="238">
        <f t="shared" si="13"/>
        <v>119</v>
      </c>
      <c r="H163" s="99">
        <f>G163+'13'!H163</f>
        <v>816.89999999999418</v>
      </c>
      <c r="I163" s="236"/>
      <c r="J163" s="239">
        <f>H163/DAY(B2)</f>
        <v>58.349999999999582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4330</v>
      </c>
      <c r="F164" s="235">
        <v>4336</v>
      </c>
      <c r="G164" s="238">
        <f t="shared" si="13"/>
        <v>6</v>
      </c>
      <c r="H164" s="99">
        <f>G164+'13'!H164</f>
        <v>16</v>
      </c>
      <c r="I164" s="236"/>
      <c r="J164" s="239">
        <f>H164/DAY(B2)</f>
        <v>1.1428571428571428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29967</v>
      </c>
      <c r="F165" s="235">
        <v>29976</v>
      </c>
      <c r="G165" s="238">
        <f t="shared" si="13"/>
        <v>9</v>
      </c>
      <c r="H165" s="99">
        <f>G165+'13'!H165</f>
        <v>118.75</v>
      </c>
      <c r="I165" s="236"/>
      <c r="J165" s="239">
        <f>H165/DAY(B2)</f>
        <v>8.4821428571428577</v>
      </c>
    </row>
    <row r="166" spans="1:10" ht="27.75" customHeight="1" x14ac:dyDescent="0.5">
      <c r="A166" s="917"/>
      <c r="B166" s="917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17"/>
      <c r="B167" s="917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17"/>
      <c r="B168" s="917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75" t="s">
        <v>209</v>
      </c>
      <c r="B173" s="876"/>
      <c r="C173" s="333"/>
      <c r="D173" s="228" t="s">
        <v>142</v>
      </c>
      <c r="E173" s="95">
        <f>'13'!F173</f>
        <v>8132</v>
      </c>
      <c r="F173" s="155">
        <v>8132</v>
      </c>
      <c r="G173" s="155">
        <f>F173-E173</f>
        <v>0</v>
      </c>
      <c r="H173" s="99">
        <f>G173+'13'!H173</f>
        <v>6</v>
      </c>
      <c r="I173" s="155"/>
      <c r="J173" s="178">
        <f>H173/DAY(B2)</f>
        <v>0.42857142857142855</v>
      </c>
    </row>
    <row r="174" spans="1:10" ht="27.75" customHeight="1" x14ac:dyDescent="0.5">
      <c r="A174" s="875" t="s">
        <v>75</v>
      </c>
      <c r="B174" s="876"/>
      <c r="C174" s="333"/>
      <c r="D174" s="228" t="s">
        <v>142</v>
      </c>
      <c r="E174" s="157">
        <v>38790</v>
      </c>
      <c r="F174" s="157">
        <v>38806</v>
      </c>
      <c r="G174" s="155">
        <f t="shared" ref="G174:G175" si="14">F174-E174</f>
        <v>16</v>
      </c>
      <c r="H174" s="99">
        <f>G174+'13'!H174</f>
        <v>191</v>
      </c>
      <c r="I174" s="155"/>
      <c r="J174" s="178">
        <f>H174/DAY(B2)</f>
        <v>13.642857142857142</v>
      </c>
    </row>
    <row r="175" spans="1:10" ht="27.75" customHeight="1" x14ac:dyDescent="0.5">
      <c r="A175" s="875" t="s">
        <v>76</v>
      </c>
      <c r="B175" s="880"/>
      <c r="C175" s="876"/>
      <c r="D175" s="228" t="s">
        <v>142</v>
      </c>
      <c r="E175" s="95">
        <f>'13'!F175</f>
        <v>21958</v>
      </c>
      <c r="F175" s="155">
        <v>21972</v>
      </c>
      <c r="G175" s="155">
        <f t="shared" si="14"/>
        <v>14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30</v>
      </c>
      <c r="H176" s="99">
        <f>G176+'13'!H176</f>
        <v>356</v>
      </c>
      <c r="I176" s="155"/>
      <c r="J176" s="178">
        <f>H176/DAY(B2)</f>
        <v>25.428571428571427</v>
      </c>
    </row>
    <row r="177" spans="1:10" ht="27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75" t="s">
        <v>210</v>
      </c>
      <c r="B178" s="876"/>
      <c r="C178" s="333"/>
      <c r="D178" s="228" t="s">
        <v>142</v>
      </c>
      <c r="E178" s="95">
        <f>'13'!F178</f>
        <v>82015</v>
      </c>
      <c r="F178" s="155">
        <v>82079</v>
      </c>
      <c r="G178" s="155">
        <f>F178-E178</f>
        <v>64</v>
      </c>
      <c r="H178" s="99">
        <f>G178+'13'!H178</f>
        <v>764</v>
      </c>
      <c r="I178" s="155"/>
      <c r="J178" s="178">
        <f>H178/DAY(B2)</f>
        <v>54.571428571428569</v>
      </c>
    </row>
    <row r="179" spans="1:10" ht="27.75" customHeight="1" x14ac:dyDescent="0.5">
      <c r="A179" s="875" t="s">
        <v>211</v>
      </c>
      <c r="B179" s="876"/>
      <c r="C179" s="333"/>
      <c r="D179" s="228" t="s">
        <v>142</v>
      </c>
      <c r="E179" s="95">
        <f>'13'!F179</f>
        <v>35208</v>
      </c>
      <c r="F179" s="155">
        <v>35211</v>
      </c>
      <c r="G179" s="155">
        <f t="shared" ref="G179:G180" si="15">F179-E179</f>
        <v>3</v>
      </c>
      <c r="H179" s="99">
        <f>G179+'13'!H179</f>
        <v>408</v>
      </c>
      <c r="I179" s="155"/>
      <c r="J179" s="178">
        <f>H179/DAY(B2)</f>
        <v>29.142857142857142</v>
      </c>
    </row>
    <row r="180" spans="1:10" ht="27.75" customHeight="1" x14ac:dyDescent="0.5">
      <c r="A180" s="875" t="s">
        <v>212</v>
      </c>
      <c r="B180" s="876"/>
      <c r="C180" s="333"/>
      <c r="D180" s="228" t="s">
        <v>142</v>
      </c>
      <c r="E180" s="95">
        <f>'13'!F180</f>
        <v>5782</v>
      </c>
      <c r="F180" s="155">
        <v>5794</v>
      </c>
      <c r="G180" s="155">
        <f t="shared" si="15"/>
        <v>12</v>
      </c>
      <c r="H180" s="99">
        <f>G180+'13'!H180</f>
        <v>92</v>
      </c>
      <c r="I180" s="155"/>
      <c r="J180" s="178">
        <f>H180/DAY(B2)</f>
        <v>6.5714285714285712</v>
      </c>
    </row>
    <row r="181" spans="1:10" ht="27.75" customHeight="1" x14ac:dyDescent="0.5">
      <c r="A181" s="919" t="s">
        <v>108</v>
      </c>
      <c r="B181" s="920"/>
      <c r="C181" s="483"/>
      <c r="D181" s="228" t="s">
        <v>142</v>
      </c>
      <c r="E181" s="95"/>
      <c r="F181" s="155" t="s">
        <v>207</v>
      </c>
      <c r="G181" s="155">
        <f>SUM(G178:G180)</f>
        <v>79</v>
      </c>
      <c r="H181" s="99">
        <f>G181+'13'!H181</f>
        <v>1264</v>
      </c>
      <c r="I181" s="155"/>
      <c r="J181" s="178">
        <f>H181/DAY(B2)</f>
        <v>90.285714285714292</v>
      </c>
    </row>
    <row r="182" spans="1:10" ht="27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75" t="s">
        <v>214</v>
      </c>
      <c r="B183" s="876"/>
      <c r="C183" s="334"/>
      <c r="D183" s="228" t="s">
        <v>142</v>
      </c>
      <c r="E183" s="95">
        <f>'13'!F183</f>
        <v>15549</v>
      </c>
      <c r="F183" s="157">
        <v>15563</v>
      </c>
      <c r="G183" s="157">
        <f>F183-E183</f>
        <v>14</v>
      </c>
      <c r="H183" s="99">
        <f>G183+'13'!H183</f>
        <v>218</v>
      </c>
      <c r="I183" s="155"/>
      <c r="J183" s="178">
        <f>H183/DAY(B2)</f>
        <v>15.571428571428571</v>
      </c>
    </row>
    <row r="184" spans="1:10" ht="27.75" customHeight="1" x14ac:dyDescent="0.5">
      <c r="A184" s="875" t="s">
        <v>215</v>
      </c>
      <c r="B184" s="876"/>
      <c r="C184" s="334"/>
      <c r="D184" s="228" t="s">
        <v>142</v>
      </c>
      <c r="E184" s="95">
        <f>'13'!F184</f>
        <v>10673</v>
      </c>
      <c r="F184" s="157">
        <v>10682</v>
      </c>
      <c r="G184" s="157">
        <f t="shared" ref="G184:G185" si="16">F184-E184</f>
        <v>9</v>
      </c>
      <c r="H184" s="99">
        <f>G184+'13'!H184</f>
        <v>164</v>
      </c>
      <c r="I184" s="155"/>
      <c r="J184" s="178">
        <f>H184/DAY(B2)</f>
        <v>11.714285714285714</v>
      </c>
    </row>
    <row r="185" spans="1:10" ht="27.75" customHeight="1" x14ac:dyDescent="0.5">
      <c r="A185" s="875" t="s">
        <v>216</v>
      </c>
      <c r="B185" s="876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23</v>
      </c>
      <c r="H186" s="99">
        <f>G186+'13'!H186</f>
        <v>382</v>
      </c>
      <c r="I186" s="157"/>
      <c r="J186" s="178">
        <f>H186/DAY(B2)</f>
        <v>27.285714285714285</v>
      </c>
    </row>
    <row r="187" spans="1:10" ht="27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159">
        <f>G62+G19</f>
        <v>226</v>
      </c>
      <c r="H187" s="99">
        <f>G187+'13'!H187</f>
        <v>2662</v>
      </c>
      <c r="I187" s="158"/>
      <c r="J187" s="179">
        <f>H187/DAY(B2)</f>
        <v>190.14285714285714</v>
      </c>
    </row>
    <row r="188" spans="1:10" ht="27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159">
        <f>G65+G66+G67+G69+G70</f>
        <v>253</v>
      </c>
      <c r="H188" s="99"/>
      <c r="I188" s="158"/>
      <c r="J188" s="487">
        <f>H188/DAY(B2)</f>
        <v>0</v>
      </c>
    </row>
    <row r="189" spans="1:10" ht="27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157">
        <f>G181</f>
        <v>79</v>
      </c>
      <c r="H189" s="99">
        <f>G189+'13'!H189</f>
        <v>1264</v>
      </c>
      <c r="I189" s="158"/>
      <c r="J189" s="179">
        <f>H189/DAY(B2)</f>
        <v>90.285714285714292</v>
      </c>
    </row>
    <row r="190" spans="1:10" ht="27.75" customHeight="1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42" zoomScale="55" zoomScaleNormal="80" zoomScaleSheetLayoutView="55" workbookViewId="0">
      <selection activeCell="F180" sqref="F18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350</v>
      </c>
      <c r="B2" s="262">
        <v>44607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932322</v>
      </c>
      <c r="F7" s="95">
        <v>953321.6</v>
      </c>
      <c r="G7" s="236">
        <f>F7-E7</f>
        <v>20999.599999999977</v>
      </c>
      <c r="H7" s="99">
        <f>G7+'14'!H7</f>
        <v>302141.37</v>
      </c>
      <c r="I7" s="113">
        <f>'1'!I7</f>
        <v>12000</v>
      </c>
      <c r="J7" s="175">
        <f>H7/DAY(B2)</f>
        <v>20142.757999999998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991714</v>
      </c>
      <c r="F8" s="488">
        <v>1012814</v>
      </c>
      <c r="G8" s="681">
        <f>F8-E8</f>
        <v>21100</v>
      </c>
      <c r="H8" s="99">
        <f>G8+'14'!H8</f>
        <v>304265.84999999998</v>
      </c>
      <c r="I8" s="116"/>
      <c r="J8" s="175">
        <f>H8/DAY(B2)</f>
        <v>20284.39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496744</v>
      </c>
      <c r="F9" s="598">
        <v>514004.63</v>
      </c>
      <c r="G9" s="112">
        <f>F9-E9</f>
        <v>17260.630000000005</v>
      </c>
      <c r="H9" s="99">
        <f>G9+'14'!H9</f>
        <v>231750.78000000003</v>
      </c>
      <c r="I9" s="124">
        <f>I7-J7</f>
        <v>-8142.757999999998</v>
      </c>
      <c r="J9" s="175">
        <f>H9/DAY(B2)</f>
        <v>15450.052000000001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164037</v>
      </c>
      <c r="F10" s="353">
        <v>167159.24</v>
      </c>
      <c r="G10" s="112">
        <f>F10-E10</f>
        <v>3122.2399999999907</v>
      </c>
      <c r="H10" s="99">
        <f>G10+'14'!H10</f>
        <v>61900.26999999999</v>
      </c>
      <c r="I10" s="282"/>
      <c r="J10" s="175">
        <f>H10/DAY(B2)</f>
        <v>4126.6846666666661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37170</v>
      </c>
      <c r="F11" s="95">
        <v>37170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20382.869999999995</v>
      </c>
      <c r="H13" s="99">
        <f>G13+'14'!H13</f>
        <v>276896.62</v>
      </c>
      <c r="I13" s="120">
        <f>G7-G13</f>
        <v>616.72999999998137</v>
      </c>
      <c r="J13" s="175">
        <f>H13/DAY(B2)</f>
        <v>18459.774666666668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1921565</v>
      </c>
      <c r="F15" s="123">
        <v>1922700.28</v>
      </c>
      <c r="G15" s="112">
        <f>(F15-E15)</f>
        <v>1135.2800000000279</v>
      </c>
      <c r="H15" s="99">
        <f>G15+'14'!H15</f>
        <v>16063.513000000035</v>
      </c>
      <c r="I15" s="113">
        <f>'1'!I15</f>
        <v>800</v>
      </c>
      <c r="J15" s="175">
        <f>H15/DAY(B2)</f>
        <v>1070.9008666666691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-270.90086666666912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'14'!F18</f>
        <v>24</v>
      </c>
      <c r="F18" s="122">
        <v>26</v>
      </c>
      <c r="G18" s="119">
        <f>F18*10</f>
        <v>260</v>
      </c>
      <c r="H18" s="99">
        <f>G18+'14'!H18</f>
        <v>3290</v>
      </c>
      <c r="I18" s="113">
        <f>'1'!I18</f>
        <v>65</v>
      </c>
      <c r="J18" s="175">
        <f>H18/DAY(B2)</f>
        <v>219.33333333333334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'14'!F19</f>
        <v>154636</v>
      </c>
      <c r="F19" s="122">
        <v>154692</v>
      </c>
      <c r="G19" s="112">
        <f t="shared" ref="G19" si="1">F19-E19</f>
        <v>56</v>
      </c>
      <c r="H19" s="99">
        <f>G19+'14'!H19</f>
        <v>801</v>
      </c>
      <c r="I19" s="335"/>
      <c r="J19" s="175">
        <f>H19/DAY(B2)</f>
        <v>53.4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316</v>
      </c>
      <c r="H20" s="99">
        <f>G20+'14'!H20</f>
        <v>4091</v>
      </c>
      <c r="I20" s="336">
        <f>I18-J20</f>
        <v>-207.73333333333335</v>
      </c>
      <c r="J20" s="175">
        <f>H20/DAY(B2)</f>
        <v>272.73333333333335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21100</v>
      </c>
      <c r="F27" s="136">
        <v>9</v>
      </c>
      <c r="G27" s="137">
        <f>E27*F27</f>
        <v>189900</v>
      </c>
      <c r="H27" s="99">
        <f>G27+'14'!H27</f>
        <v>2738392.65</v>
      </c>
      <c r="I27" s="138"/>
      <c r="J27" s="175">
        <f>H27/DAY(B2)</f>
        <v>182559.50999999998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G28+'14'!H28</f>
        <v>898230.67600000184</v>
      </c>
      <c r="I28" s="140"/>
      <c r="J28" s="175">
        <f>H28/DAY(B2)</f>
        <v>59882.045066666789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117801</v>
      </c>
      <c r="I30" s="140"/>
      <c r="J30" s="175">
        <f>H30/DAY(B2)</f>
        <v>7853.4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G31+'14'!H31</f>
        <v>263200</v>
      </c>
      <c r="I31" s="140"/>
      <c r="J31" s="175">
        <f>H31/DAY(B2)</f>
        <v>17546.666666666668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277910.56000000145</v>
      </c>
      <c r="H32" s="99">
        <f>G32+'14'!H32</f>
        <v>4017624.3260000017</v>
      </c>
      <c r="I32" s="144"/>
      <c r="J32" s="175">
        <f>H32/DAY(B2)</f>
        <v>267841.62173333345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53020</v>
      </c>
      <c r="F35" s="145">
        <v>54476.13</v>
      </c>
      <c r="G35" s="112">
        <f t="shared" ref="G35:G46" si="3">F35-E35</f>
        <v>1456.1299999999974</v>
      </c>
      <c r="H35" s="99">
        <f>G35+'14'!H35</f>
        <v>22471.149999999998</v>
      </c>
      <c r="I35" s="95"/>
      <c r="J35" s="175">
        <f>H35/DAY(B2)</f>
        <v>1498.0766666666666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56711</v>
      </c>
      <c r="F36" s="145">
        <v>57461.85</v>
      </c>
      <c r="G36" s="112">
        <f t="shared" si="3"/>
        <v>750.84999999999854</v>
      </c>
      <c r="H36" s="99">
        <f>G36+'14'!H36</f>
        <v>14003.11</v>
      </c>
      <c r="I36" s="95"/>
      <c r="J36" s="175">
        <f>H36/DAY(B2)</f>
        <v>933.54066666666665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58569</v>
      </c>
      <c r="F37" s="145">
        <v>60349.7</v>
      </c>
      <c r="G37" s="112">
        <f t="shared" si="3"/>
        <v>1780.6999999999971</v>
      </c>
      <c r="H37" s="99">
        <f>G37+'14'!H37</f>
        <v>24924.61</v>
      </c>
      <c r="I37" s="95"/>
      <c r="J37" s="175">
        <f>H37/DAY(B2)</f>
        <v>1661.6406666666667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65275</v>
      </c>
      <c r="F38" s="108">
        <v>67267.600000000006</v>
      </c>
      <c r="G38" s="112">
        <f t="shared" si="3"/>
        <v>1992.6000000000058</v>
      </c>
      <c r="H38" s="99">
        <f>G38+'14'!H38</f>
        <v>28891.170000000006</v>
      </c>
      <c r="I38" s="95"/>
      <c r="J38" s="175">
        <f>H38/DAY(B2)</f>
        <v>1926.0780000000004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100165</v>
      </c>
      <c r="F39" s="145">
        <v>103354.2</v>
      </c>
      <c r="G39" s="112">
        <f t="shared" si="3"/>
        <v>3189.1999999999971</v>
      </c>
      <c r="H39" s="99">
        <f>G39+'14'!H39</f>
        <v>44180.909999999996</v>
      </c>
      <c r="I39" s="95"/>
      <c r="J39" s="175">
        <f>H39/DAY(B2)</f>
        <v>2945.3939999999998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27350</v>
      </c>
      <c r="F40" s="145">
        <v>27691.200000000001</v>
      </c>
      <c r="G40" s="112">
        <f t="shared" si="3"/>
        <v>341.20000000000073</v>
      </c>
      <c r="H40" s="99">
        <f>G40+'14'!H40</f>
        <v>5574.2099999999982</v>
      </c>
      <c r="I40" s="95"/>
      <c r="J40" s="175">
        <f>H40/DAY(B2)</f>
        <v>371.61399999999986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63</v>
      </c>
      <c r="G41" s="112">
        <f t="shared" si="3"/>
        <v>0</v>
      </c>
      <c r="H41" s="99">
        <f>G41+'14'!H41</f>
        <v>0.27000000000000313</v>
      </c>
      <c r="I41" s="95"/>
      <c r="J41" s="175">
        <f>H41/DAY(B2)</f>
        <v>1.8000000000000207E-2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140485</v>
      </c>
      <c r="F42" s="145">
        <v>145072.01999999999</v>
      </c>
      <c r="G42" s="112">
        <f t="shared" si="3"/>
        <v>4587.0199999999895</v>
      </c>
      <c r="H42" s="99">
        <f>G42+'14'!H42</f>
        <v>44942.279999999984</v>
      </c>
      <c r="I42" s="95"/>
      <c r="J42" s="175">
        <f>H42/DAY(B2)</f>
        <v>2996.1519999999991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144860</v>
      </c>
      <c r="F43" s="145">
        <v>146955.57999999999</v>
      </c>
      <c r="G43" s="112">
        <f t="shared" si="3"/>
        <v>2095.5799999999872</v>
      </c>
      <c r="H43" s="99">
        <f>G43+'14'!H43</f>
        <v>32103.979999999981</v>
      </c>
      <c r="I43" s="95"/>
      <c r="J43" s="175">
        <f>H43/DAY(B2)</f>
        <v>2140.2653333333319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16193.279999999973</v>
      </c>
      <c r="H47" s="99">
        <f>G47+'14'!H47</f>
        <v>217091.68999999997</v>
      </c>
      <c r="I47" s="95"/>
      <c r="J47" s="175">
        <f>H47/DAY(B2)</f>
        <v>14472.779333333332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43521</v>
      </c>
      <c r="F49" s="145">
        <v>45091.9</v>
      </c>
      <c r="G49" s="112">
        <f t="shared" ref="G49:G58" si="4">F49-E49</f>
        <v>1570.9000000000015</v>
      </c>
      <c r="H49" s="99">
        <f>G49+'14'!H49</f>
        <v>20095.710000000003</v>
      </c>
      <c r="I49" s="95"/>
      <c r="J49" s="175">
        <f>H49/DAY(B2)</f>
        <v>1339.7140000000002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73897</v>
      </c>
      <c r="F50" s="145">
        <v>75388.95</v>
      </c>
      <c r="G50" s="112">
        <f t="shared" si="4"/>
        <v>1491.9499999999971</v>
      </c>
      <c r="H50" s="99">
        <f>G50+'14'!H50</f>
        <v>19002.32</v>
      </c>
      <c r="I50" s="95"/>
      <c r="J50" s="175">
        <f>H50/DAY(B2)</f>
        <v>1266.8213333333333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11769</v>
      </c>
      <c r="F54" s="145">
        <v>12308.29</v>
      </c>
      <c r="G54" s="112">
        <f t="shared" si="4"/>
        <v>539.29000000000087</v>
      </c>
      <c r="H54" s="99">
        <f>G54+'14'!H54</f>
        <v>7160.8700000000008</v>
      </c>
      <c r="I54" s="95"/>
      <c r="J54" s="175">
        <f>H54/DAY(B2)</f>
        <v>477.39133333333336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90579</v>
      </c>
      <c r="F55" s="145">
        <v>90578.89</v>
      </c>
      <c r="G55" s="112">
        <f t="shared" si="4"/>
        <v>-0.11000000000058208</v>
      </c>
      <c r="H55" s="99">
        <f>G55+'14'!H55</f>
        <v>16212.779999999999</v>
      </c>
      <c r="I55" s="95"/>
      <c r="J55" s="175">
        <f>H55/DAY(B2)</f>
        <v>1080.8519999999999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8724</v>
      </c>
      <c r="F56" s="145">
        <v>8723.6299999999992</v>
      </c>
      <c r="G56" s="112">
        <f t="shared" si="4"/>
        <v>-0.37000000000080036</v>
      </c>
      <c r="H56" s="99">
        <f>G56+'14'!H56</f>
        <v>113.08999999999833</v>
      </c>
      <c r="I56" s="95"/>
      <c r="J56" s="175">
        <f>H56/DAY(B2)</f>
        <v>7.5393333333332215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7782</v>
      </c>
      <c r="F58" s="145">
        <v>7997.48</v>
      </c>
      <c r="G58" s="112">
        <f t="shared" si="4"/>
        <v>215.47999999999956</v>
      </c>
      <c r="H58" s="99">
        <f>G58+'14'!H58</f>
        <v>3201.2699999999995</v>
      </c>
      <c r="I58" s="95"/>
      <c r="J58" s="175">
        <f>H58/DAY(B2)</f>
        <v>213.41799999999998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3817.1399999999976</v>
      </c>
      <c r="H59" s="99">
        <f>G59+'14'!H59</f>
        <v>65786.039999999994</v>
      </c>
      <c r="I59" s="95">
        <f>G7-G60</f>
        <v>989.18000000000757</v>
      </c>
      <c r="J59" s="175">
        <f>H59/DAY(B2)</f>
        <v>4385.7359999999999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20010.419999999969</v>
      </c>
      <c r="H60" s="99">
        <f>G60+'14'!H60</f>
        <v>282877.73</v>
      </c>
      <c r="I60" s="95">
        <f>G13-G60</f>
        <v>372.45000000002619</v>
      </c>
      <c r="J60" s="175">
        <f>H60/DAY(B2)</f>
        <v>18858.515333333333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'14'!F62</f>
        <v>271433</v>
      </c>
      <c r="F62" s="122">
        <v>271530</v>
      </c>
      <c r="G62" s="112">
        <f t="shared" ref="G62:G63" si="5">F62-E62</f>
        <v>97</v>
      </c>
      <c r="H62" s="99">
        <f>G62+'14'!H62</f>
        <v>2014</v>
      </c>
      <c r="I62" s="118"/>
      <c r="J62" s="175">
        <f>H62/DAY(B2)</f>
        <v>134.26666666666668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'14'!F63</f>
        <v>217644</v>
      </c>
      <c r="F63" s="122">
        <v>217731</v>
      </c>
      <c r="G63" s="112">
        <f t="shared" si="5"/>
        <v>87</v>
      </c>
      <c r="H63" s="99">
        <f>G63+'14'!H63</f>
        <v>1934</v>
      </c>
      <c r="I63" s="118"/>
      <c r="J63" s="175">
        <f>H63/DAY(B2)</f>
        <v>128.93333333333334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'14'!F64</f>
        <v>0</v>
      </c>
      <c r="F64" s="122"/>
      <c r="G64" s="112">
        <f>G62+G63</f>
        <v>184</v>
      </c>
      <c r="H64" s="99">
        <f>G64+'14'!H64</f>
        <v>3948</v>
      </c>
      <c r="I64" s="118"/>
      <c r="J64" s="175">
        <f>H64/DAY(B2)</f>
        <v>263.2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'14'!F65</f>
        <v>436343</v>
      </c>
      <c r="F65" s="122">
        <v>436462</v>
      </c>
      <c r="G65" s="112">
        <f t="shared" ref="G65:G70" si="6">F65-E65</f>
        <v>119</v>
      </c>
      <c r="H65" s="99">
        <f>G65+'14'!H65</f>
        <v>1539</v>
      </c>
      <c r="I65" s="118"/>
      <c r="J65" s="175">
        <f>H65/DAY(B2)</f>
        <v>102.6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108099</v>
      </c>
      <c r="F66" s="122">
        <v>108130</v>
      </c>
      <c r="G66" s="112">
        <f t="shared" si="6"/>
        <v>31</v>
      </c>
      <c r="H66" s="99">
        <f>G66+'14'!H66</f>
        <v>387</v>
      </c>
      <c r="I66" s="118"/>
      <c r="J66" s="175">
        <f>H66/DAY(B2)</f>
        <v>25.8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105221</v>
      </c>
      <c r="F67" s="122">
        <v>105292</v>
      </c>
      <c r="G67" s="112">
        <f t="shared" si="6"/>
        <v>71</v>
      </c>
      <c r="H67" s="99">
        <f>G67+'14'!H67</f>
        <v>644</v>
      </c>
      <c r="I67" s="118"/>
      <c r="J67" s="175">
        <f>H67/DAY(B2)</f>
        <v>42.93333333333333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158232</v>
      </c>
      <c r="F68" s="122">
        <v>158276</v>
      </c>
      <c r="G68" s="112">
        <f t="shared" si="6"/>
        <v>44</v>
      </c>
      <c r="H68" s="99">
        <f>G68+'14'!H68</f>
        <v>579</v>
      </c>
      <c r="I68" s="118"/>
      <c r="J68" s="175">
        <f>H68/DAY(B2)</f>
        <v>38.6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10724</v>
      </c>
      <c r="F69" s="122">
        <v>10750</v>
      </c>
      <c r="G69" s="112">
        <f t="shared" si="6"/>
        <v>26</v>
      </c>
      <c r="H69" s="99">
        <f>G69+'14'!H69</f>
        <v>209</v>
      </c>
      <c r="I69" s="118"/>
      <c r="J69" s="175">
        <f>H69/DAY(B2)</f>
        <v>13.933333333333334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8288</v>
      </c>
      <c r="F70" s="122">
        <v>8303</v>
      </c>
      <c r="G70" s="112">
        <f t="shared" si="6"/>
        <v>15</v>
      </c>
      <c r="H70" s="99">
        <f>G70+'14'!H70</f>
        <v>183</v>
      </c>
      <c r="I70" s="118"/>
      <c r="J70" s="175">
        <f>H70/DAY(B2)</f>
        <v>12.2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306</v>
      </c>
      <c r="H71" s="99">
        <f>G71+'14'!H71</f>
        <v>3541</v>
      </c>
      <c r="I71" s="154"/>
      <c r="J71" s="175">
        <f>H71/DAY(B2)</f>
        <v>236.06666666666666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'14'!F74</f>
        <v>905595</v>
      </c>
      <c r="F74" s="123">
        <v>905875.39099999995</v>
      </c>
      <c r="G74" s="112">
        <f t="shared" ref="G74:G78" si="7">F74-E74</f>
        <v>280.39099999994505</v>
      </c>
      <c r="H74" s="99">
        <f>G74+'14'!H74</f>
        <v>4569.2419999999693</v>
      </c>
      <c r="I74" s="154"/>
      <c r="J74" s="175">
        <f>H74/DAY(B2)</f>
        <v>304.61613333333128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'14'!F76</f>
        <v>171616</v>
      </c>
      <c r="F76" s="123">
        <v>171704.66</v>
      </c>
      <c r="G76" s="112">
        <f t="shared" si="7"/>
        <v>88.660000000003492</v>
      </c>
      <c r="H76" s="99">
        <f>G76+'14'!H76</f>
        <v>1729.6600000000035</v>
      </c>
      <c r="I76" s="154"/>
      <c r="J76" s="175">
        <f>H76/DAY(B2)</f>
        <v>115.3106666666669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'14'!F77</f>
        <v>41975</v>
      </c>
      <c r="F77" s="123">
        <v>42026.2</v>
      </c>
      <c r="G77" s="112">
        <f t="shared" si="7"/>
        <v>51.19999999999709</v>
      </c>
      <c r="H77" s="99">
        <f>G77+'14'!H77</f>
        <v>724</v>
      </c>
      <c r="I77" s="154"/>
      <c r="J77" s="175">
        <f>H77/DAY(B2)</f>
        <v>48.266666666666666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'14'!F78</f>
        <v>9538</v>
      </c>
      <c r="F78" s="492">
        <v>9538</v>
      </c>
      <c r="G78" s="112">
        <f t="shared" si="7"/>
        <v>0</v>
      </c>
      <c r="H78" s="99">
        <f>G78+'14'!H78</f>
        <v>25</v>
      </c>
      <c r="I78" s="118"/>
      <c r="J78" s="175">
        <f>H78/DAY(B2)</f>
        <v>1.6666666666666667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'14'!F79</f>
        <v>0</v>
      </c>
      <c r="F79" s="123"/>
      <c r="G79" s="112">
        <f>G15-SUM(G74:G78)</f>
        <v>715.02900000008231</v>
      </c>
      <c r="H79" s="99">
        <f>G79+'14'!H79</f>
        <v>9015.4110000000655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2480</v>
      </c>
      <c r="F85" s="164">
        <v>2504</v>
      </c>
      <c r="G85" s="112">
        <f t="shared" si="8"/>
        <v>24</v>
      </c>
      <c r="H85" s="99">
        <f>G85+'14'!H85</f>
        <v>243.57999999999993</v>
      </c>
      <c r="I85" s="118">
        <f>G82+G83+G84+G85</f>
        <v>24</v>
      </c>
      <c r="J85" s="175">
        <f>H85/DAY(B2)</f>
        <v>16.238666666666663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43564</v>
      </c>
      <c r="F86" s="164">
        <v>43564</v>
      </c>
      <c r="G86" s="112">
        <f t="shared" si="8"/>
        <v>0</v>
      </c>
      <c r="H86" s="99">
        <f>G86+'14'!H86</f>
        <v>122</v>
      </c>
      <c r="I86" s="118"/>
      <c r="J86" s="175">
        <f>H86/DAY(B2)</f>
        <v>8.1333333333333329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24067.759999999998</v>
      </c>
      <c r="F88" s="164">
        <v>24067.759999999998</v>
      </c>
      <c r="G88" s="112">
        <f t="shared" si="8"/>
        <v>0</v>
      </c>
      <c r="H88" s="99">
        <f>G88+'14'!H88</f>
        <v>4.3299999999981083</v>
      </c>
      <c r="I88" s="118">
        <f>G86+G87+G88</f>
        <v>0</v>
      </c>
      <c r="J88" s="175">
        <f>H88/DAY(B2)</f>
        <v>0.28866666666654056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26033.439999999999</v>
      </c>
      <c r="F89" s="164">
        <v>26045.57</v>
      </c>
      <c r="G89" s="112">
        <f t="shared" si="8"/>
        <v>12.130000000001019</v>
      </c>
      <c r="H89" s="99">
        <f>G89+'14'!H89</f>
        <v>154.45000000000073</v>
      </c>
      <c r="I89" s="118"/>
      <c r="J89" s="175">
        <f>H89/DAY(B2)</f>
        <v>10.296666666666715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71215.97</v>
      </c>
      <c r="F90" s="164">
        <v>71223.94</v>
      </c>
      <c r="G90" s="112">
        <f t="shared" si="8"/>
        <v>7.9700000000011642</v>
      </c>
      <c r="H90" s="99">
        <f>G90+'14'!H90</f>
        <v>60.619999999995343</v>
      </c>
      <c r="I90" s="118">
        <f>G89+G90</f>
        <v>20.100000000002183</v>
      </c>
      <c r="J90" s="175">
        <f>H90/DAY(B2)</f>
        <v>4.0413333333330232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3409.63</v>
      </c>
      <c r="F91" s="122">
        <v>3420.22</v>
      </c>
      <c r="G91" s="112">
        <f t="shared" si="8"/>
        <v>10.589999999999691</v>
      </c>
      <c r="H91" s="99">
        <f>G91+'14'!H91</f>
        <v>169.12999999999965</v>
      </c>
      <c r="I91" s="165"/>
      <c r="J91" s="175">
        <f>H91/DAY(B2)</f>
        <v>11.275333333333311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-6.9999999999708962E-2</v>
      </c>
      <c r="I92" s="165"/>
      <c r="J92" s="175">
        <f>H92/DAY(B2)</f>
        <v>-4.6666666666472642E-3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5122.609999999986</v>
      </c>
      <c r="H94" s="99">
        <f>G94+'14'!H94</f>
        <v>74670.839999999982</v>
      </c>
      <c r="I94" s="118"/>
      <c r="J94" s="175">
        <f>H94/DAY(B2)</f>
        <v>4978.0559999999987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0.24393845597058952</v>
      </c>
      <c r="H95" s="99">
        <f>G95+'14'!H95</f>
        <v>3.7112039226083788</v>
      </c>
      <c r="I95" s="167"/>
      <c r="J95" s="175">
        <f>H95/DAY(B2)</f>
        <v>0.24741359484055858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4586.5399999999881</v>
      </c>
      <c r="H96" s="99">
        <f>G96+'14'!H96</f>
        <v>61268.419999999976</v>
      </c>
      <c r="I96" s="118"/>
      <c r="J96" s="175">
        <f>H96/DAY(B2)</f>
        <v>4084.5613333333317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0.21841082687289248</v>
      </c>
      <c r="H97" s="99">
        <f>G97+'14'!H97</f>
        <v>3.0338167784180259</v>
      </c>
      <c r="I97" s="167"/>
      <c r="J97" s="175">
        <f>H97/DAY(B2)</f>
        <v>0.20225445189453506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3189.1999999999971</v>
      </c>
      <c r="H98" s="99">
        <f>G98+'14'!H98</f>
        <v>44180.909999999996</v>
      </c>
      <c r="I98" s="168"/>
      <c r="J98" s="175">
        <f>H98/DAY(B2)</f>
        <v>2945.3939999999998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0.15186955942017946</v>
      </c>
      <c r="H99" s="99">
        <f>G99+'14'!H99</f>
        <v>2.1936169563940768</v>
      </c>
      <c r="I99" s="168"/>
      <c r="J99" s="175">
        <f>H99/DAY(B2)</f>
        <v>0.14624113042627179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1992.6000000000058</v>
      </c>
      <c r="H100" s="99">
        <f>G100+'14'!H100</f>
        <v>28891.170000000006</v>
      </c>
      <c r="I100" s="118"/>
      <c r="J100" s="175">
        <f>H100/DAY(B2)</f>
        <v>1926.0780000000004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9.4887521667079755E-2</v>
      </c>
      <c r="H101" s="99">
        <f>G101+'14'!H101</f>
        <v>1.4345947037085707</v>
      </c>
      <c r="I101" s="168"/>
      <c r="J101" s="175">
        <f>H101/DAY(B2)</f>
        <v>9.5639646913904711E-2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2242.7999999999956</v>
      </c>
      <c r="H102" s="99">
        <f>G102+'14'!H102</f>
        <v>33005.43</v>
      </c>
      <c r="I102" s="168"/>
      <c r="J102" s="175">
        <f>H102/DAY(B2)</f>
        <v>2200.3620000000001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0.10680203432446324</v>
      </c>
      <c r="H103" s="99">
        <f>G103+'14'!H103</f>
        <v>1.6327124134276507</v>
      </c>
      <c r="I103" s="118"/>
      <c r="J103" s="175">
        <f>H103/DAY(B2)</f>
        <v>0.10884749422851005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1780.6999999999971</v>
      </c>
      <c r="H104" s="99">
        <f>G104+'14'!H104</f>
        <v>24924.61</v>
      </c>
      <c r="I104" s="118"/>
      <c r="J104" s="175">
        <f>H104/DAY(B2)</f>
        <v>1661.6406666666667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8.4796853273395645E-2</v>
      </c>
      <c r="H105" s="99">
        <f>G105+'14'!H105</f>
        <v>1.2400384161062841</v>
      </c>
      <c r="I105" s="187"/>
      <c r="J105" s="188">
        <f>H105/DAY(B2)</f>
        <v>8.2669227740418932E-2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'14'!F112</f>
        <v>59070</v>
      </c>
      <c r="F112" s="237">
        <v>59134.17</v>
      </c>
      <c r="G112" s="112">
        <f t="shared" ref="G112:G123" si="9">F112-E112</f>
        <v>64.169999999998254</v>
      </c>
      <c r="H112" s="99">
        <f>G112+'14'!H112</f>
        <v>1080.1699999999983</v>
      </c>
      <c r="I112" s="165"/>
      <c r="J112" s="328">
        <f>H112/DAY(B2)</f>
        <v>72.011333333333212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'14'!F113</f>
        <v>52993</v>
      </c>
      <c r="F113" s="237">
        <v>53456.1</v>
      </c>
      <c r="G113" s="112">
        <f t="shared" si="9"/>
        <v>463.09999999999854</v>
      </c>
      <c r="H113" s="99">
        <f>G113+'14'!H113</f>
        <v>7055.2099999999991</v>
      </c>
      <c r="I113" s="165"/>
      <c r="J113" s="328">
        <f>H113/DAY(B2)</f>
        <v>470.34733333333327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'14'!F114</f>
        <v>37793</v>
      </c>
      <c r="F114" s="237">
        <v>38054.699999999997</v>
      </c>
      <c r="G114" s="112">
        <f t="shared" si="9"/>
        <v>261.69999999999709</v>
      </c>
      <c r="H114" s="99">
        <f>G114+'14'!H114</f>
        <v>4894.6999999999971</v>
      </c>
      <c r="I114" s="165"/>
      <c r="J114" s="328">
        <f>H114/DAY(B2)</f>
        <v>326.31333333333316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'14'!F115</f>
        <v>9245</v>
      </c>
      <c r="F115" s="237">
        <v>9254.9</v>
      </c>
      <c r="G115" s="112">
        <f t="shared" si="9"/>
        <v>9.8999999999996362</v>
      </c>
      <c r="H115" s="99">
        <f>G115+'14'!H115</f>
        <v>160.25</v>
      </c>
      <c r="I115" s="165"/>
      <c r="J115" s="328">
        <f>H115/DAY(B2)</f>
        <v>10.683333333333334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'14'!F116</f>
        <v>3286</v>
      </c>
      <c r="F116" s="237">
        <v>3286</v>
      </c>
      <c r="G116" s="112">
        <f t="shared" si="9"/>
        <v>0</v>
      </c>
      <c r="H116" s="99">
        <f>G116+'14'!H116</f>
        <v>3286</v>
      </c>
      <c r="I116" s="165"/>
      <c r="J116" s="328">
        <f>H116/DAY(B2)</f>
        <v>219.06666666666666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'14'!F117</f>
        <v>5335</v>
      </c>
      <c r="F117" s="237">
        <v>5554.2</v>
      </c>
      <c r="G117" s="112">
        <f t="shared" si="9"/>
        <v>219.19999999999982</v>
      </c>
      <c r="H117" s="99">
        <f>G117+'14'!H117</f>
        <v>2216.25</v>
      </c>
      <c r="I117" s="165"/>
      <c r="J117" s="328">
        <f>H117/DAY(B2)</f>
        <v>147.75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'14'!F118</f>
        <v>257628</v>
      </c>
      <c r="F118" s="237">
        <v>258080.43</v>
      </c>
      <c r="G118" s="112">
        <f t="shared" si="9"/>
        <v>452.42999999999302</v>
      </c>
      <c r="H118" s="99">
        <f>G118+'14'!H118</f>
        <v>5628.1199999999953</v>
      </c>
      <c r="I118" s="165"/>
      <c r="J118" s="328">
        <f>H118/DAY(B2)</f>
        <v>375.20799999999969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'14'!F119</f>
        <v>264012</v>
      </c>
      <c r="F119" s="237">
        <v>264445.81</v>
      </c>
      <c r="G119" s="112">
        <f t="shared" si="9"/>
        <v>433.80999999999767</v>
      </c>
      <c r="H119" s="99">
        <f>G119+'14'!H119</f>
        <v>6297.2600000000093</v>
      </c>
      <c r="I119" s="165"/>
      <c r="J119" s="328">
        <f>H119/DAY(B2)</f>
        <v>419.81733333333398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'14'!F120</f>
        <v>48872</v>
      </c>
      <c r="F120" s="237">
        <v>49314.85</v>
      </c>
      <c r="G120" s="112">
        <f t="shared" si="9"/>
        <v>442.84999999999854</v>
      </c>
      <c r="H120" s="99">
        <f>G120+'14'!H120</f>
        <v>6355.239999999998</v>
      </c>
      <c r="I120" s="165"/>
      <c r="J120" s="328">
        <f>H120/DAY(B2)</f>
        <v>423.68266666666653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'14'!F121</f>
        <v>408322</v>
      </c>
      <c r="F121" s="237">
        <v>409114.47</v>
      </c>
      <c r="G121" s="112">
        <f t="shared" si="9"/>
        <v>792.46999999997206</v>
      </c>
      <c r="H121" s="99">
        <f>G121+'14'!H121</f>
        <v>11080.039999999979</v>
      </c>
      <c r="I121" s="165"/>
      <c r="J121" s="328">
        <f>H121/DAY(B2)</f>
        <v>738.66933333333191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'14'!F122</f>
        <v>129274</v>
      </c>
      <c r="F122" s="237">
        <v>129495.8</v>
      </c>
      <c r="G122" s="112">
        <f t="shared" si="9"/>
        <v>221.80000000000291</v>
      </c>
      <c r="H122" s="99">
        <f>G122+'14'!H122</f>
        <v>3309.6200000000099</v>
      </c>
      <c r="I122" s="165"/>
      <c r="J122" s="328">
        <f>H122/DAY(B2)</f>
        <v>220.64133333333399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'14'!F123</f>
        <v>157624</v>
      </c>
      <c r="F123" s="237">
        <v>157881.95000000001</v>
      </c>
      <c r="G123" s="112">
        <f t="shared" si="9"/>
        <v>257.95000000001164</v>
      </c>
      <c r="H123" s="99">
        <f>G123+'14'!H123</f>
        <v>3835</v>
      </c>
      <c r="I123" s="165"/>
      <c r="J123" s="328">
        <f>H123/DAY(B2)</f>
        <v>255.66666666666666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3619.3799999999692</v>
      </c>
      <c r="H125" s="156"/>
      <c r="I125" s="327">
        <f>G125-(G39+G53)</f>
        <v>430.1799999999721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'14'!F128</f>
        <v>52201</v>
      </c>
      <c r="F128" s="165">
        <v>52512.85</v>
      </c>
      <c r="G128" s="112">
        <f t="shared" ref="G128:G134" si="10">F128-E128</f>
        <v>311.84999999999854</v>
      </c>
      <c r="H128" s="99">
        <f>G128+'14'!H128</f>
        <v>4766.8499999999985</v>
      </c>
      <c r="I128" s="165"/>
      <c r="J128" s="328">
        <f>H128/DAY(B2)</f>
        <v>317.78999999999991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30000</v>
      </c>
      <c r="F129" s="165">
        <v>30308.83</v>
      </c>
      <c r="G129" s="112">
        <f t="shared" si="10"/>
        <v>308.83000000000175</v>
      </c>
      <c r="H129" s="99">
        <f>G129+'14'!H129</f>
        <v>3397.9600000000028</v>
      </c>
      <c r="I129" s="165"/>
      <c r="J129" s="328">
        <f>H129/DAY(B2)</f>
        <v>226.53066666666686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43971</v>
      </c>
      <c r="F130" s="165">
        <v>44492.2</v>
      </c>
      <c r="G130" s="112">
        <f t="shared" si="10"/>
        <v>521.19999999999709</v>
      </c>
      <c r="H130" s="99">
        <f>G130+'14'!H130</f>
        <v>8798.1999999999971</v>
      </c>
      <c r="I130" s="165"/>
      <c r="J130" s="328">
        <f>H130/DAY(B2)</f>
        <v>586.54666666666651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'14'!F131</f>
        <v>16745</v>
      </c>
      <c r="F131" s="165">
        <v>16879.32</v>
      </c>
      <c r="G131" s="112">
        <f t="shared" si="10"/>
        <v>134.31999999999971</v>
      </c>
      <c r="H131" s="99">
        <f>G131+'14'!H131</f>
        <v>1571.6399999999994</v>
      </c>
      <c r="I131" s="165"/>
      <c r="J131" s="328">
        <f>H131/DAY(B2)</f>
        <v>104.77599999999997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'14'!F132</f>
        <v>57174</v>
      </c>
      <c r="F132" s="165">
        <v>57605.11</v>
      </c>
      <c r="G132" s="112">
        <f t="shared" si="10"/>
        <v>431.11000000000058</v>
      </c>
      <c r="H132" s="99">
        <f>G132+'14'!H132</f>
        <v>5756.8099999999977</v>
      </c>
      <c r="I132" s="165"/>
      <c r="J132" s="328">
        <f>H132/DAY(B2)</f>
        <v>383.78733333333315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'14'!F133</f>
        <v>114027</v>
      </c>
      <c r="F133" s="165">
        <v>114697.32</v>
      </c>
      <c r="G133" s="112">
        <f t="shared" si="10"/>
        <v>670.32000000000698</v>
      </c>
      <c r="H133" s="99">
        <f>G133+'14'!H133</f>
        <v>9353.6200000000099</v>
      </c>
      <c r="I133" s="165"/>
      <c r="J133" s="328">
        <f>H133/DAY(B2)</f>
        <v>623.57466666666733</v>
      </c>
    </row>
    <row r="134" spans="1:15" s="491" customFormat="1" ht="27.75" x14ac:dyDescent="0.5">
      <c r="A134" s="944" t="s">
        <v>340</v>
      </c>
      <c r="B134" s="945"/>
      <c r="C134" s="946"/>
      <c r="D134" s="233" t="s">
        <v>183</v>
      </c>
      <c r="E134" s="488">
        <f>'14'!F134</f>
        <v>11173</v>
      </c>
      <c r="F134" s="158">
        <v>11357.6</v>
      </c>
      <c r="G134" s="236">
        <f t="shared" si="10"/>
        <v>184.60000000000036</v>
      </c>
      <c r="H134" s="238">
        <f>G134+'14'!H134</f>
        <v>2756.3700000000008</v>
      </c>
      <c r="I134" s="158"/>
      <c r="J134" s="490">
        <f>H134/DAY(B2)</f>
        <v>183.75800000000007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2562.230000000005</v>
      </c>
      <c r="H135" s="99">
        <f>G135+'10'!H135</f>
        <v>26018.450000000004</v>
      </c>
      <c r="I135" s="327">
        <f>G135-(G35+G49)</f>
        <v>-464.79999999999382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'14'!F138</f>
        <v>867420</v>
      </c>
      <c r="F138" s="147">
        <v>867508</v>
      </c>
      <c r="G138" s="112">
        <f t="shared" ref="G138:G152" si="11">F138-E138</f>
        <v>88</v>
      </c>
      <c r="H138" s="99">
        <f>G138+'14'!H138</f>
        <v>1335</v>
      </c>
      <c r="I138" s="118"/>
      <c r="J138" s="328">
        <f>H138/DAY(B2)</f>
        <v>89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'14'!F139</f>
        <v>886675</v>
      </c>
      <c r="F139" s="148">
        <v>886675</v>
      </c>
      <c r="G139" s="112">
        <f t="shared" si="11"/>
        <v>0</v>
      </c>
      <c r="H139" s="99">
        <f>G139+'14'!H139</f>
        <v>102</v>
      </c>
      <c r="I139" s="118"/>
      <c r="J139" s="328">
        <f>H139/DAY(B2)</f>
        <v>6.8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'14'!F140</f>
        <v>88948</v>
      </c>
      <c r="F140" s="149">
        <v>88948</v>
      </c>
      <c r="G140" s="112">
        <f t="shared" si="11"/>
        <v>0</v>
      </c>
      <c r="H140" s="99">
        <f>G140+'14'!H140</f>
        <v>26</v>
      </c>
      <c r="I140" s="118"/>
      <c r="J140" s="328">
        <f>H140/DAY(B2)</f>
        <v>1.7333333333333334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'14'!F141</f>
        <v>57165</v>
      </c>
      <c r="F141" s="149">
        <v>57341.279999999999</v>
      </c>
      <c r="G141" s="112">
        <f t="shared" si="11"/>
        <v>176.27999999999884</v>
      </c>
      <c r="H141" s="99">
        <f>G141+'14'!H141</f>
        <v>2655.6999999999971</v>
      </c>
      <c r="I141" s="118"/>
      <c r="J141" s="328">
        <f>H141/DAY(B2)</f>
        <v>177.04666666666648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'14'!F142</f>
        <v>22253</v>
      </c>
      <c r="F142" s="148">
        <v>22312</v>
      </c>
      <c r="G142" s="112">
        <f t="shared" si="11"/>
        <v>59</v>
      </c>
      <c r="H142" s="99">
        <f>G142+'14'!H142</f>
        <v>1027.9000000000015</v>
      </c>
      <c r="I142" s="140"/>
      <c r="J142" s="328">
        <f>H142/DAY(B2)</f>
        <v>68.52666666666677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'14'!F143</f>
        <v>4226</v>
      </c>
      <c r="F143" s="149">
        <v>4257.01</v>
      </c>
      <c r="G143" s="112">
        <f t="shared" si="11"/>
        <v>31.010000000000218</v>
      </c>
      <c r="H143" s="99">
        <f>G143+'14'!H143</f>
        <v>421.62000000000035</v>
      </c>
      <c r="I143" s="140"/>
      <c r="J143" s="328">
        <f>H143/DAY(B2)</f>
        <v>28.108000000000022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'14'!F144</f>
        <v>879432</v>
      </c>
      <c r="F144" s="149">
        <v>879645</v>
      </c>
      <c r="G144" s="112">
        <f t="shared" si="11"/>
        <v>213</v>
      </c>
      <c r="H144" s="99">
        <f>G144+'14'!H144</f>
        <v>3158</v>
      </c>
      <c r="I144" s="140"/>
      <c r="J144" s="328">
        <f>H144/DAY(B2)</f>
        <v>210.53333333333333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'14'!F145</f>
        <v>5135</v>
      </c>
      <c r="F145" s="149">
        <v>5148.25</v>
      </c>
      <c r="G145" s="112">
        <f t="shared" si="11"/>
        <v>13.25</v>
      </c>
      <c r="H145" s="99">
        <f>G145+'14'!H145</f>
        <v>189.40999999999985</v>
      </c>
      <c r="I145" s="140"/>
      <c r="J145" s="328">
        <f>H145/DAY(B2)</f>
        <v>12.627333333333324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'14'!F146</f>
        <v>743367</v>
      </c>
      <c r="F146" s="148">
        <v>743877</v>
      </c>
      <c r="G146" s="112">
        <f t="shared" si="11"/>
        <v>510</v>
      </c>
      <c r="H146" s="99">
        <f>G146+'14'!H146</f>
        <v>6544</v>
      </c>
      <c r="I146" s="140"/>
      <c r="J146" s="328">
        <f>H146/DAY(B2)</f>
        <v>436.26666666666665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'14'!F147</f>
        <v>632333</v>
      </c>
      <c r="F147" s="148">
        <v>632738.64</v>
      </c>
      <c r="G147" s="112">
        <f t="shared" si="11"/>
        <v>405.64000000001397</v>
      </c>
      <c r="H147" s="99">
        <f>G147+'14'!H147</f>
        <v>6126.1199999999953</v>
      </c>
      <c r="I147" s="140"/>
      <c r="J147" s="328">
        <f>H147/DAY(B2)</f>
        <v>408.40799999999967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'14'!F148</f>
        <v>693745</v>
      </c>
      <c r="F148" s="150">
        <v>693990.64</v>
      </c>
      <c r="G148" s="112">
        <f t="shared" si="11"/>
        <v>245.64000000001397</v>
      </c>
      <c r="H148" s="99">
        <f>G148+'14'!H148</f>
        <v>4547.6800000000512</v>
      </c>
      <c r="I148" s="124"/>
      <c r="J148" s="328">
        <f>H148/DAY(B2)</f>
        <v>303.1786666666701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'14'!F149</f>
        <v>32728</v>
      </c>
      <c r="F149" s="146">
        <v>33298.400000000001</v>
      </c>
      <c r="G149" s="112">
        <f t="shared" si="11"/>
        <v>570.40000000000146</v>
      </c>
      <c r="H149" s="99">
        <f>G149+'14'!H149</f>
        <v>8620.2000000000007</v>
      </c>
      <c r="I149" s="119"/>
      <c r="J149" s="328">
        <f>H149/DAY(B2)</f>
        <v>574.68000000000006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'14'!F150</f>
        <v>14007</v>
      </c>
      <c r="F150" s="233">
        <v>14241</v>
      </c>
      <c r="G150" s="112">
        <f t="shared" si="11"/>
        <v>234</v>
      </c>
      <c r="H150" s="99">
        <f>G150+'14'!H150</f>
        <v>3390.17</v>
      </c>
      <c r="I150" s="119"/>
      <c r="J150" s="328">
        <f>H150/DAY(B2)</f>
        <v>226.01133333333334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'14'!F151</f>
        <v>88885</v>
      </c>
      <c r="F151" s="233">
        <v>89115</v>
      </c>
      <c r="G151" s="112">
        <f t="shared" si="11"/>
        <v>230</v>
      </c>
      <c r="H151" s="99">
        <f>G151+'14'!H151</f>
        <v>3635</v>
      </c>
      <c r="I151" s="119"/>
      <c r="J151" s="328">
        <f>H151/DAY(B2)</f>
        <v>242.33333333333334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'14'!F152</f>
        <v>2459</v>
      </c>
      <c r="F152" s="233">
        <v>2562.8000000000002</v>
      </c>
      <c r="G152" s="112">
        <f t="shared" si="11"/>
        <v>103.80000000000018</v>
      </c>
      <c r="H152" s="99">
        <f>G152+'14'!H152</f>
        <v>902.80000000000018</v>
      </c>
      <c r="I152" s="119"/>
      <c r="J152" s="328">
        <f>H152/DAY(B2)</f>
        <v>60.186666666666682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2880.0200000000286</v>
      </c>
      <c r="H153" s="363"/>
      <c r="I153" s="119">
        <f>G153-(G38+G52)</f>
        <v>887.42000000002281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'14'!F155</f>
        <v>42101</v>
      </c>
      <c r="F155" s="374">
        <v>42811</v>
      </c>
      <c r="G155" s="112">
        <f t="shared" ref="G155:G158" si="12">F155-E155</f>
        <v>710</v>
      </c>
      <c r="H155" s="99">
        <f>G155+'14'!H155</f>
        <v>9866</v>
      </c>
      <c r="I155" s="364"/>
      <c r="J155" s="328">
        <f>H155/DAY(B2)</f>
        <v>657.73333333333335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'14'!F156</f>
        <v>3465</v>
      </c>
      <c r="F156" s="155">
        <v>3525</v>
      </c>
      <c r="G156" s="112">
        <f t="shared" si="12"/>
        <v>60</v>
      </c>
      <c r="H156" s="99">
        <f>G156+'14'!H156</f>
        <v>737</v>
      </c>
      <c r="I156" s="165"/>
      <c r="J156" s="328">
        <f>H156/DAY(B2)</f>
        <v>49.133333333333333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'14'!F157</f>
        <v>5498</v>
      </c>
      <c r="F157" s="155">
        <v>5604.4</v>
      </c>
      <c r="G157" s="112">
        <f t="shared" si="12"/>
        <v>106.39999999999964</v>
      </c>
      <c r="H157" s="99">
        <f>G157+'14'!H157</f>
        <v>324.39999999999964</v>
      </c>
      <c r="I157" s="165"/>
      <c r="J157" s="328">
        <f>H157/DAY(B2)</f>
        <v>21.626666666666644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'14'!F158</f>
        <v>70</v>
      </c>
      <c r="F158" s="155">
        <v>70.599999999999994</v>
      </c>
      <c r="G158" s="112">
        <f t="shared" si="12"/>
        <v>0.59999999999999432</v>
      </c>
      <c r="H158" s="99">
        <f>G158+'14'!H158</f>
        <v>1.5999999999999943</v>
      </c>
      <c r="I158" s="165"/>
      <c r="J158" s="328">
        <f>H158/DAY(B2)</f>
        <v>0.10666666666666628</v>
      </c>
    </row>
    <row r="159" spans="1:10" ht="27.75" x14ac:dyDescent="0.5">
      <c r="A159" s="934"/>
      <c r="B159" s="935"/>
      <c r="C159" s="936"/>
      <c r="D159" s="117"/>
      <c r="E159" s="95"/>
      <c r="F159" s="165"/>
      <c r="G159" s="362">
        <f>SUM(G155:G158)</f>
        <v>876.99999999999966</v>
      </c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472543</v>
      </c>
      <c r="F161" s="235">
        <v>472575</v>
      </c>
      <c r="G161" s="238">
        <f t="shared" ref="G161:G165" si="13">F161-E161</f>
        <v>32</v>
      </c>
      <c r="H161" s="99">
        <f>G161+'14'!H161</f>
        <v>521.44000000000233</v>
      </c>
      <c r="I161" s="236"/>
      <c r="J161" s="239">
        <f>H161/DAY(B2)</f>
        <v>34.762666666666824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89001</v>
      </c>
      <c r="F162" s="235">
        <v>89045.8</v>
      </c>
      <c r="G162" s="238">
        <f t="shared" si="13"/>
        <v>44.80000000000291</v>
      </c>
      <c r="H162" s="99">
        <f>G162+'14'!H162</f>
        <v>529.40000000000873</v>
      </c>
      <c r="I162" s="236"/>
      <c r="J162" s="239">
        <f>H162/DAY(B2)</f>
        <v>35.293333333333912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80037</v>
      </c>
      <c r="F163" s="235">
        <v>80178.5</v>
      </c>
      <c r="G163" s="238">
        <f t="shared" si="13"/>
        <v>141.5</v>
      </c>
      <c r="H163" s="99">
        <f>G163+'14'!H163</f>
        <v>958.39999999999418</v>
      </c>
      <c r="I163" s="236"/>
      <c r="J163" s="239">
        <f>H163/DAY(B2)</f>
        <v>63.893333333332947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4336</v>
      </c>
      <c r="F164" s="235">
        <v>4340.8999999999996</v>
      </c>
      <c r="G164" s="238">
        <f t="shared" si="13"/>
        <v>4.8999999999996362</v>
      </c>
      <c r="H164" s="99">
        <f>G164+'14'!H164</f>
        <v>20.899999999999636</v>
      </c>
      <c r="I164" s="236"/>
      <c r="J164" s="239">
        <f>H164/DAY(B2)</f>
        <v>1.3933333333333091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29976</v>
      </c>
      <c r="F165" s="235">
        <v>29986.01</v>
      </c>
      <c r="G165" s="238">
        <f t="shared" si="13"/>
        <v>10.009999999998399</v>
      </c>
      <c r="H165" s="99">
        <f>G165+'14'!H165</f>
        <v>128.7599999999984</v>
      </c>
      <c r="I165" s="236"/>
      <c r="J165" s="239">
        <f>H165/DAY(B2)</f>
        <v>8.583999999999893</v>
      </c>
    </row>
    <row r="166" spans="1:10" ht="29.25" x14ac:dyDescent="0.5">
      <c r="A166" s="917"/>
      <c r="B166" s="917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1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75" t="s">
        <v>209</v>
      </c>
      <c r="B173" s="876"/>
      <c r="C173" s="333"/>
      <c r="D173" s="228" t="s">
        <v>142</v>
      </c>
      <c r="E173" s="95">
        <f>'14'!F173</f>
        <v>8132</v>
      </c>
      <c r="F173" s="155">
        <v>8165</v>
      </c>
      <c r="G173" s="155">
        <f>F173-E173</f>
        <v>33</v>
      </c>
      <c r="H173" s="99">
        <f>G173+'14'!H173</f>
        <v>39</v>
      </c>
      <c r="I173" s="155"/>
      <c r="J173" s="178">
        <f>H173/DAY(B2)</f>
        <v>2.6</v>
      </c>
    </row>
    <row r="174" spans="1:10" ht="21.75" customHeight="1" x14ac:dyDescent="0.5">
      <c r="A174" s="875" t="s">
        <v>75</v>
      </c>
      <c r="B174" s="876"/>
      <c r="C174" s="333"/>
      <c r="D174" s="228" t="s">
        <v>142</v>
      </c>
      <c r="E174" s="95">
        <f>'14'!F174</f>
        <v>38806</v>
      </c>
      <c r="F174" s="157">
        <v>38822</v>
      </c>
      <c r="G174" s="155">
        <f t="shared" ref="G174:G175" si="14">F174-E174</f>
        <v>16</v>
      </c>
      <c r="H174" s="99">
        <f>G174+'14'!H174</f>
        <v>207</v>
      </c>
      <c r="I174" s="155"/>
      <c r="J174" s="178">
        <f>H174/DAY(B2)</f>
        <v>13.8</v>
      </c>
    </row>
    <row r="175" spans="1:10" ht="21.75" customHeight="1" x14ac:dyDescent="0.5">
      <c r="A175" s="875" t="s">
        <v>76</v>
      </c>
      <c r="B175" s="880"/>
      <c r="C175" s="876"/>
      <c r="D175" s="228" t="s">
        <v>142</v>
      </c>
      <c r="E175" s="95">
        <f>'14'!F175</f>
        <v>21972</v>
      </c>
      <c r="F175" s="155">
        <v>21985</v>
      </c>
      <c r="G175" s="155">
        <f t="shared" si="14"/>
        <v>13</v>
      </c>
      <c r="H175" s="99">
        <f>G175+'14'!H175</f>
        <v>172</v>
      </c>
      <c r="I175" s="155"/>
      <c r="J175" s="178">
        <f>H175/DAY(B2)</f>
        <v>11.466666666666667</v>
      </c>
    </row>
    <row r="176" spans="1:10" ht="21.75" customHeight="1" x14ac:dyDescent="0.5">
      <c r="A176" s="914" t="s">
        <v>196</v>
      </c>
      <c r="B176" s="915"/>
      <c r="C176" s="333"/>
      <c r="D176" s="228" t="s">
        <v>142</v>
      </c>
      <c r="E176" s="95"/>
      <c r="F176" s="155"/>
      <c r="G176" s="155">
        <f>SUM(G173:G175)</f>
        <v>62</v>
      </c>
      <c r="H176" s="99">
        <f>G176+'14'!H176</f>
        <v>418</v>
      </c>
      <c r="I176" s="155"/>
      <c r="J176" s="178">
        <f>H176/DAY(B2)</f>
        <v>27.866666666666667</v>
      </c>
    </row>
    <row r="177" spans="1:10" ht="21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75" t="s">
        <v>210</v>
      </c>
      <c r="B178" s="876"/>
      <c r="C178" s="333"/>
      <c r="D178" s="228" t="s">
        <v>142</v>
      </c>
      <c r="E178" s="95">
        <f>'14'!F178</f>
        <v>82079</v>
      </c>
      <c r="F178" s="155">
        <v>82143</v>
      </c>
      <c r="G178" s="155">
        <f>F178-E178</f>
        <v>64</v>
      </c>
      <c r="H178" s="99">
        <f>G178+'14'!H178</f>
        <v>828</v>
      </c>
      <c r="I178" s="155"/>
      <c r="J178" s="178">
        <f>H178/DAY(B2)</f>
        <v>55.2</v>
      </c>
    </row>
    <row r="179" spans="1:10" ht="24" customHeight="1" x14ac:dyDescent="0.5">
      <c r="A179" s="875" t="s">
        <v>211</v>
      </c>
      <c r="B179" s="876"/>
      <c r="C179" s="333"/>
      <c r="D179" s="228" t="s">
        <v>142</v>
      </c>
      <c r="E179" s="95">
        <f>'14'!F179</f>
        <v>35211</v>
      </c>
      <c r="F179" s="155">
        <v>35243</v>
      </c>
      <c r="G179" s="155">
        <f t="shared" ref="G179:G180" si="15">F179-E179</f>
        <v>32</v>
      </c>
      <c r="H179" s="99">
        <f>G179+'14'!H179</f>
        <v>440</v>
      </c>
      <c r="I179" s="155"/>
      <c r="J179" s="178">
        <f>H179/DAY(B2)</f>
        <v>29.333333333333332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'14'!F180</f>
        <v>5794</v>
      </c>
      <c r="F180" s="155">
        <v>5800</v>
      </c>
      <c r="G180" s="155">
        <f t="shared" si="15"/>
        <v>6</v>
      </c>
      <c r="H180" s="99">
        <f>G180+'14'!H180</f>
        <v>98</v>
      </c>
      <c r="I180" s="155"/>
      <c r="J180" s="178">
        <f>H180/DAY(B2)</f>
        <v>6.5333333333333332</v>
      </c>
    </row>
    <row r="181" spans="1:10" ht="27.75" x14ac:dyDescent="0.5">
      <c r="A181" s="919" t="s">
        <v>108</v>
      </c>
      <c r="B181" s="920"/>
      <c r="C181" s="333"/>
      <c r="D181" s="228" t="s">
        <v>142</v>
      </c>
      <c r="E181" s="95"/>
      <c r="F181" s="155"/>
      <c r="G181" s="155">
        <f>SUM(G178:G180)</f>
        <v>102</v>
      </c>
      <c r="H181" s="99">
        <f>G181+'14'!H181</f>
        <v>1366</v>
      </c>
      <c r="I181" s="155"/>
      <c r="J181" s="178">
        <f>H181/DAY(B2)</f>
        <v>91.066666666666663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'14'!F183</f>
        <v>15563</v>
      </c>
      <c r="F183" s="157">
        <v>15594</v>
      </c>
      <c r="G183" s="157">
        <f>F183-E183</f>
        <v>31</v>
      </c>
      <c r="H183" s="99">
        <f>G183+'14'!H183</f>
        <v>249</v>
      </c>
      <c r="I183" s="155"/>
      <c r="J183" s="178">
        <f>H183/DAY(B2)</f>
        <v>16.600000000000001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'14'!F184</f>
        <v>10682</v>
      </c>
      <c r="F184" s="157">
        <v>10696</v>
      </c>
      <c r="G184" s="157">
        <f t="shared" ref="G184:G185" si="16">F184-E184</f>
        <v>14</v>
      </c>
      <c r="H184" s="99">
        <f>G184+'14'!H184</f>
        <v>178</v>
      </c>
      <c r="I184" s="155"/>
      <c r="J184" s="178">
        <f>H184/DAY(B2)</f>
        <v>11.866666666666667</v>
      </c>
    </row>
    <row r="185" spans="1:10" ht="32.25" customHeight="1" x14ac:dyDescent="0.5">
      <c r="A185" s="875" t="s">
        <v>216</v>
      </c>
      <c r="B185" s="876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334"/>
      <c r="D186" s="228" t="s">
        <v>142</v>
      </c>
      <c r="E186" s="95"/>
      <c r="F186" s="157"/>
      <c r="G186" s="157">
        <f>SUM(G183:G185)</f>
        <v>45</v>
      </c>
      <c r="H186" s="99">
        <f>G186+'14'!H186</f>
        <v>427</v>
      </c>
      <c r="I186" s="157"/>
      <c r="J186" s="178">
        <f>H186/DAY(B2)</f>
        <v>28.466666666666665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153</v>
      </c>
      <c r="H187" s="99">
        <f>G187+'14'!H187</f>
        <v>2815</v>
      </c>
      <c r="I187" s="158"/>
      <c r="J187" s="179">
        <f>H187/DAY(B2)</f>
        <v>187.66666666666666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262</v>
      </c>
      <c r="H188" s="99">
        <f>G188+'14'!H188</f>
        <v>262</v>
      </c>
      <c r="I188" s="158"/>
      <c r="J188" s="179">
        <f>H188/DAY(B2)</f>
        <v>17.466666666666665</v>
      </c>
    </row>
    <row r="189" spans="1:10" ht="27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102</v>
      </c>
      <c r="H189" s="99">
        <f>G189+'14'!H189</f>
        <v>1366</v>
      </c>
      <c r="I189" s="158"/>
      <c r="J189" s="179">
        <f>H189/DAY(B2)</f>
        <v>91.066666666666663</v>
      </c>
    </row>
    <row r="190" spans="1:10" ht="27" customHeight="1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40" zoomScale="55" zoomScaleNormal="90" zoomScaleSheetLayoutView="55" workbookViewId="0">
      <selection activeCell="G144" sqref="G14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6" s="57" customFormat="1" ht="27" x14ac:dyDescent="0.5">
      <c r="A2" s="191" t="s">
        <v>350</v>
      </c>
      <c r="B2" s="262">
        <v>44608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59" t="s">
        <v>128</v>
      </c>
      <c r="B6" s="860"/>
      <c r="C6" s="861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953321.6</v>
      </c>
      <c r="F7" s="95">
        <v>973868.58</v>
      </c>
      <c r="G7" s="112">
        <f>F7-E7</f>
        <v>20546.979999999981</v>
      </c>
      <c r="H7" s="99">
        <f>G7+'15'!H7</f>
        <v>322688.34999999998</v>
      </c>
      <c r="I7" s="113">
        <f>'1'!I7</f>
        <v>12000</v>
      </c>
      <c r="J7" s="175">
        <f>H7/DAY(B2)</f>
        <v>20168.021874999999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12787.4</v>
      </c>
      <c r="F8" s="95">
        <v>33412.5</v>
      </c>
      <c r="G8" s="115">
        <f>F8-E8</f>
        <v>20625.099999999999</v>
      </c>
      <c r="H8" s="99">
        <f>G8+'15'!H8</f>
        <v>324890.94999999995</v>
      </c>
      <c r="I8" s="116"/>
      <c r="J8" s="175">
        <f>H8/DAY(B2)</f>
        <v>20305.684374999997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514004.63</v>
      </c>
      <c r="F9" s="598">
        <v>531216.71</v>
      </c>
      <c r="G9" s="112">
        <f>F9-E9</f>
        <v>17212.079999999958</v>
      </c>
      <c r="H9" s="99">
        <f>G9+'15'!H9</f>
        <v>248962.86</v>
      </c>
      <c r="I9" s="124">
        <f>I7-J7</f>
        <v>-8168.0218749999985</v>
      </c>
      <c r="J9" s="175">
        <f>H9/DAY(B2)</f>
        <v>15560.178749999999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167159.24</v>
      </c>
      <c r="F10" s="353">
        <v>169919.93</v>
      </c>
      <c r="G10" s="112">
        <f t="shared" ref="G10:G12" si="0">F10-E10</f>
        <v>2760.6900000000023</v>
      </c>
      <c r="H10" s="99">
        <f>G10+'15'!H10</f>
        <v>64660.959999999992</v>
      </c>
      <c r="I10" s="282"/>
      <c r="J10" s="175">
        <f>H10/DAY(B2)</f>
        <v>4041.3099999999995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37170</v>
      </c>
      <c r="F11" s="95">
        <v>37170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19972.76999999996</v>
      </c>
      <c r="H13" s="99">
        <f>G13+'15'!H13</f>
        <v>296869.38999999996</v>
      </c>
      <c r="I13" s="120">
        <f>G7-G13</f>
        <v>574.21000000002095</v>
      </c>
      <c r="J13" s="175">
        <f>H13/DAY(B2)</f>
        <v>18554.336874999997</v>
      </c>
      <c r="K13" s="79"/>
      <c r="L13" s="66"/>
      <c r="N13" s="87"/>
      <c r="O13" s="71"/>
    </row>
    <row r="14" spans="1:16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1922700.28</v>
      </c>
      <c r="F15" s="123">
        <v>1923793.1950000001</v>
      </c>
      <c r="G15" s="112">
        <f>(F15-E15)</f>
        <v>1092.9150000000373</v>
      </c>
      <c r="H15" s="99">
        <f>G15+'15'!H15</f>
        <v>17156.428000000073</v>
      </c>
      <c r="I15" s="113">
        <f>'1'!I15</f>
        <v>800</v>
      </c>
      <c r="J15" s="175">
        <f>H15/DAY(B2)</f>
        <v>1072.2767500000045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-272.27675000000454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'15'!F18</f>
        <v>26</v>
      </c>
      <c r="F18" s="122">
        <v>24</v>
      </c>
      <c r="G18" s="119">
        <f>F18*10</f>
        <v>240</v>
      </c>
      <c r="H18" s="99">
        <f>G18+'15'!H18</f>
        <v>3530</v>
      </c>
      <c r="I18" s="113">
        <f>'1'!I18</f>
        <v>65</v>
      </c>
      <c r="J18" s="175">
        <f>H18/DAY(B2)</f>
        <v>220.625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'15'!F19</f>
        <v>154692</v>
      </c>
      <c r="F19" s="122">
        <v>154750</v>
      </c>
      <c r="G19" s="112">
        <f t="shared" ref="G19" si="1">F19-E19</f>
        <v>58</v>
      </c>
      <c r="H19" s="99">
        <f>G19+'15'!H19</f>
        <v>859</v>
      </c>
      <c r="I19" s="335"/>
      <c r="J19" s="175">
        <f>H19/DAY(B2)</f>
        <v>53.6875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298</v>
      </c>
      <c r="H20" s="99">
        <f>G20+'15'!H20</f>
        <v>4389</v>
      </c>
      <c r="I20" s="336">
        <f>I18-J20</f>
        <v>-209.3125</v>
      </c>
      <c r="J20" s="175">
        <f>H20/DAY(B2)</f>
        <v>274.3125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67" t="s">
        <v>149</v>
      </c>
      <c r="B25" s="868"/>
      <c r="C25" s="869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20625.099999999999</v>
      </c>
      <c r="F27" s="136">
        <v>9</v>
      </c>
      <c r="G27" s="137">
        <f>E27*F27</f>
        <v>185625.9</v>
      </c>
      <c r="H27" s="99">
        <f>G27+'15'!H27</f>
        <v>2924018.55</v>
      </c>
      <c r="I27" s="138"/>
      <c r="J27" s="175">
        <f>H27/DAY(B2)</f>
        <v>182751.15937499999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1092.9150000000373</v>
      </c>
      <c r="F28" s="136">
        <v>52</v>
      </c>
      <c r="G28" s="137">
        <f>E28*F28</f>
        <v>56831.580000001937</v>
      </c>
      <c r="H28" s="99">
        <f>G28+'15'!H28</f>
        <v>955062.25600000378</v>
      </c>
      <c r="I28" s="140"/>
      <c r="J28" s="175">
        <f>H28/DAY(B2)</f>
        <v>59691.391000000236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G30+'15'!H30</f>
        <v>126269</v>
      </c>
      <c r="I30" s="140"/>
      <c r="J30" s="175">
        <f>H30/DAY(B2)</f>
        <v>7891.8125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282400</v>
      </c>
      <c r="I31" s="140"/>
      <c r="J31" s="175">
        <f>H31/DAY(B2)</f>
        <v>17650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270125.48000000196</v>
      </c>
      <c r="H32" s="99">
        <f>G32+'15'!H32</f>
        <v>4287749.8060000036</v>
      </c>
      <c r="I32" s="144"/>
      <c r="J32" s="175">
        <f>H32/DAY(B2)</f>
        <v>267984.36287500022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54476.13</v>
      </c>
      <c r="F35" s="117">
        <v>56048.7</v>
      </c>
      <c r="G35" s="112">
        <f t="shared" ref="G35:G46" si="3">F35-E35</f>
        <v>1572.5699999999997</v>
      </c>
      <c r="H35" s="99">
        <f>G35+'15'!H35</f>
        <v>24043.719999999998</v>
      </c>
      <c r="I35" s="95"/>
      <c r="J35" s="175">
        <f>H35/DAY(B2)</f>
        <v>1502.7324999999998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57461.85</v>
      </c>
      <c r="F36" s="117">
        <v>58343.39</v>
      </c>
      <c r="G36" s="112">
        <f t="shared" si="3"/>
        <v>881.54000000000087</v>
      </c>
      <c r="H36" s="99">
        <f>G36+'15'!H36</f>
        <v>14884.650000000001</v>
      </c>
      <c r="I36" s="95"/>
      <c r="J36" s="175">
        <f>H36/DAY(B2)</f>
        <v>930.29062500000009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60349.7</v>
      </c>
      <c r="F37" s="117">
        <v>62124.480000000003</v>
      </c>
      <c r="G37" s="112">
        <f t="shared" si="3"/>
        <v>1774.7800000000061</v>
      </c>
      <c r="H37" s="99">
        <f>G37+'15'!H37</f>
        <v>26699.390000000007</v>
      </c>
      <c r="I37" s="95"/>
      <c r="J37" s="175">
        <f>H37/DAY(B2)</f>
        <v>1668.7118750000004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67267.600000000006</v>
      </c>
      <c r="F38" s="95">
        <v>69302.740000000005</v>
      </c>
      <c r="G38" s="112">
        <f t="shared" si="3"/>
        <v>2035.1399999999994</v>
      </c>
      <c r="H38" s="99">
        <f>G38+'15'!H38</f>
        <v>30926.310000000005</v>
      </c>
      <c r="I38" s="95"/>
      <c r="J38" s="175">
        <f>H38/DAY(B2)</f>
        <v>1932.8943750000003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103354.2</v>
      </c>
      <c r="F39" s="117">
        <v>106480.88</v>
      </c>
      <c r="G39" s="112">
        <f t="shared" si="3"/>
        <v>3126.6800000000076</v>
      </c>
      <c r="H39" s="99">
        <f>G39+'15'!H39</f>
        <v>47307.590000000004</v>
      </c>
      <c r="I39" s="95"/>
      <c r="J39" s="175">
        <f>H39/DAY(B2)</f>
        <v>2956.7243750000002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27691.200000000001</v>
      </c>
      <c r="F40" s="117">
        <v>27923.39</v>
      </c>
      <c r="G40" s="112">
        <f t="shared" si="3"/>
        <v>232.18999999999869</v>
      </c>
      <c r="H40" s="99">
        <f>G40+'15'!H40</f>
        <v>5806.3999999999969</v>
      </c>
      <c r="I40" s="95"/>
      <c r="J40" s="175">
        <f>H40/DAY(B2)</f>
        <v>362.89999999999981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63</v>
      </c>
      <c r="F41" s="117">
        <v>63</v>
      </c>
      <c r="G41" s="112">
        <f t="shared" si="3"/>
        <v>0</v>
      </c>
      <c r="H41" s="99">
        <f>G41+'15'!H41</f>
        <v>0.27000000000000313</v>
      </c>
      <c r="I41" s="95"/>
      <c r="J41" s="175">
        <f>H41/DAY(B2)</f>
        <v>1.6875000000000195E-2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145072.01999999999</v>
      </c>
      <c r="F42" s="117">
        <v>149398</v>
      </c>
      <c r="G42" s="112">
        <f t="shared" si="3"/>
        <v>4325.9800000000105</v>
      </c>
      <c r="H42" s="99">
        <f>G42+'15'!H42</f>
        <v>49268.259999999995</v>
      </c>
      <c r="I42" s="95"/>
      <c r="J42" s="175">
        <f>H42/DAY(B2)</f>
        <v>3079.2662499999997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146955.57999999999</v>
      </c>
      <c r="F43" s="117">
        <v>149061.35</v>
      </c>
      <c r="G43" s="112">
        <f t="shared" si="3"/>
        <v>2105.7700000000186</v>
      </c>
      <c r="H43" s="99">
        <f>G43+'15'!H43</f>
        <v>34209.75</v>
      </c>
      <c r="I43" s="95"/>
      <c r="J43" s="175">
        <f>H43/DAY(B2)</f>
        <v>2138.109375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16054.650000000041</v>
      </c>
      <c r="H47" s="99">
        <f>G47+'15'!H47</f>
        <v>233146.34000000003</v>
      </c>
      <c r="I47" s="95"/>
      <c r="J47" s="175">
        <f>H47/DAY(B2)</f>
        <v>14571.646250000002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45091.9</v>
      </c>
      <c r="F49" s="117">
        <v>46591.43</v>
      </c>
      <c r="G49" s="112">
        <f t="shared" ref="G49:G58" si="4">F49-E49</f>
        <v>1499.5299999999988</v>
      </c>
      <c r="H49" s="99">
        <f>G49+'15'!H49</f>
        <v>21595.24</v>
      </c>
      <c r="I49" s="95"/>
      <c r="J49" s="175">
        <f>H49/DAY(B2)</f>
        <v>1349.7025000000001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75388.95</v>
      </c>
      <c r="F50" s="117">
        <v>76606.929999999993</v>
      </c>
      <c r="G50" s="112">
        <f t="shared" si="4"/>
        <v>1217.9799999999959</v>
      </c>
      <c r="H50" s="99">
        <f>G50+'15'!H50</f>
        <v>20220.299999999996</v>
      </c>
      <c r="I50" s="95"/>
      <c r="J50" s="175">
        <f>H50/DAY(B2)</f>
        <v>1263.7687499999997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88">
        <f>'15'!F54</f>
        <v>12308.29</v>
      </c>
      <c r="F54" s="492">
        <v>12850.75</v>
      </c>
      <c r="G54" s="236">
        <f t="shared" si="4"/>
        <v>542.45999999999913</v>
      </c>
      <c r="H54" s="99">
        <f>G54+'15'!H54</f>
        <v>7703.33</v>
      </c>
      <c r="I54" s="95"/>
      <c r="J54" s="175">
        <f>H54/DAY(B2)</f>
        <v>481.458125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88">
        <f>'15'!F55</f>
        <v>90578.89</v>
      </c>
      <c r="F55" s="492">
        <v>90578.89</v>
      </c>
      <c r="G55" s="236">
        <f t="shared" si="4"/>
        <v>0</v>
      </c>
      <c r="H55" s="99">
        <f>G55+'15'!H55</f>
        <v>16212.779999999999</v>
      </c>
      <c r="I55" s="95"/>
      <c r="J55" s="175">
        <f>H55/DAY(B2)</f>
        <v>1013.2987499999999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8723.6299999999992</v>
      </c>
      <c r="F56" s="117">
        <v>8723.6299999999992</v>
      </c>
      <c r="G56" s="112">
        <f t="shared" si="4"/>
        <v>0</v>
      </c>
      <c r="H56" s="99">
        <f>G56+'15'!H56</f>
        <v>113.08999999999833</v>
      </c>
      <c r="I56" s="95"/>
      <c r="J56" s="175">
        <f>H56/DAY(B2)</f>
        <v>7.0681249999998954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7997.48</v>
      </c>
      <c r="F58" s="117">
        <v>8204.93</v>
      </c>
      <c r="G58" s="112">
        <f t="shared" si="4"/>
        <v>207.45000000000073</v>
      </c>
      <c r="H58" s="99">
        <f>G58+'15'!H58</f>
        <v>3408.7200000000003</v>
      </c>
      <c r="I58" s="95"/>
      <c r="J58" s="175">
        <f>H58/DAY(B2)</f>
        <v>213.04500000000002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3467.4199999999946</v>
      </c>
      <c r="H59" s="99">
        <f>G59+'15'!H59</f>
        <v>69253.459999999992</v>
      </c>
      <c r="I59" s="95">
        <f>G7-G60</f>
        <v>1024.9099999999453</v>
      </c>
      <c r="J59" s="175">
        <f>H59/DAY(B2)</f>
        <v>4328.3412499999995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19522.070000000036</v>
      </c>
      <c r="H60" s="99">
        <f>G60+'15'!H60</f>
        <v>302399.80000000005</v>
      </c>
      <c r="I60" s="95">
        <f>G13-G60</f>
        <v>450.69999999992433</v>
      </c>
      <c r="J60" s="175">
        <f>H60/DAY(B2)</f>
        <v>18899.987500000003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'15'!F62</f>
        <v>271530</v>
      </c>
      <c r="F62" s="122">
        <v>271676</v>
      </c>
      <c r="G62" s="112">
        <f t="shared" ref="G62:G63" si="5">F62-E62</f>
        <v>146</v>
      </c>
      <c r="H62" s="99">
        <f>G62+'15'!H62</f>
        <v>2160</v>
      </c>
      <c r="I62" s="118"/>
      <c r="J62" s="175">
        <f>H62/DAY(B2)</f>
        <v>135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'15'!F63</f>
        <v>217731</v>
      </c>
      <c r="F63" s="122">
        <v>217846</v>
      </c>
      <c r="G63" s="112">
        <f t="shared" si="5"/>
        <v>115</v>
      </c>
      <c r="H63" s="99">
        <f>G63+'15'!H63</f>
        <v>2049</v>
      </c>
      <c r="I63" s="118"/>
      <c r="J63" s="175">
        <f>H63/DAY(B2)</f>
        <v>128.0625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v>0</v>
      </c>
      <c r="F64" s="122"/>
      <c r="G64" s="112">
        <f>G62+G63</f>
        <v>261</v>
      </c>
      <c r="H64" s="99">
        <f>G64+'15'!H64</f>
        <v>4209</v>
      </c>
      <c r="I64" s="118"/>
      <c r="J64" s="175">
        <f>H64/DAY(B2)</f>
        <v>263.0625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'15'!F65</f>
        <v>436462</v>
      </c>
      <c r="F65" s="122">
        <v>436551</v>
      </c>
      <c r="G65" s="112">
        <f t="shared" ref="G65:G70" si="6">F65-E65</f>
        <v>89</v>
      </c>
      <c r="H65" s="99">
        <f>G65+'15'!H65</f>
        <v>1628</v>
      </c>
      <c r="I65" s="118"/>
      <c r="J65" s="175">
        <f>H65/DAY(B2)</f>
        <v>101.75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108130</v>
      </c>
      <c r="F66" s="122">
        <v>108149</v>
      </c>
      <c r="G66" s="112">
        <f t="shared" si="6"/>
        <v>19</v>
      </c>
      <c r="H66" s="99">
        <f>G66+'15'!H66</f>
        <v>406</v>
      </c>
      <c r="I66" s="118"/>
      <c r="J66" s="175">
        <f>H66/DAY(B2)</f>
        <v>25.375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105292</v>
      </c>
      <c r="F67" s="122">
        <v>105364</v>
      </c>
      <c r="G67" s="112">
        <f t="shared" si="6"/>
        <v>72</v>
      </c>
      <c r="H67" s="99">
        <f>G67+'15'!H67</f>
        <v>716</v>
      </c>
      <c r="I67" s="118"/>
      <c r="J67" s="175">
        <f>H67/DAY(B2)</f>
        <v>44.75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158276</v>
      </c>
      <c r="F68" s="122">
        <v>158319</v>
      </c>
      <c r="G68" s="112">
        <f t="shared" si="6"/>
        <v>43</v>
      </c>
      <c r="H68" s="99">
        <f>G68+'15'!H68</f>
        <v>622</v>
      </c>
      <c r="I68" s="118"/>
      <c r="J68" s="175">
        <f>H68/DAY(B2)</f>
        <v>38.875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10750</v>
      </c>
      <c r="F69" s="122">
        <v>10759</v>
      </c>
      <c r="G69" s="112">
        <f t="shared" si="6"/>
        <v>9</v>
      </c>
      <c r="H69" s="99">
        <f>G69+'15'!H69</f>
        <v>218</v>
      </c>
      <c r="I69" s="118"/>
      <c r="J69" s="175">
        <f>H69/DAY(B2)</f>
        <v>13.625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8303</v>
      </c>
      <c r="F70" s="122">
        <v>8312</v>
      </c>
      <c r="G70" s="112">
        <f t="shared" si="6"/>
        <v>9</v>
      </c>
      <c r="H70" s="99">
        <f>G70+'15'!H70</f>
        <v>192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241</v>
      </c>
      <c r="H71" s="99">
        <f>G71+'15'!H71</f>
        <v>3782</v>
      </c>
      <c r="I71" s="154"/>
      <c r="J71" s="175">
        <f>H71/DAY(B2)</f>
        <v>236.375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'15'!F74</f>
        <v>905875.39099999995</v>
      </c>
      <c r="F74" s="117">
        <v>906171.17</v>
      </c>
      <c r="G74" s="112">
        <f t="shared" ref="G74:G78" si="7">F74-E74</f>
        <v>295.77900000009686</v>
      </c>
      <c r="H74" s="99">
        <f>G74+'15'!H74</f>
        <v>4865.0210000000661</v>
      </c>
      <c r="I74" s="154"/>
      <c r="J74" s="175">
        <f>H74/DAY(B2)</f>
        <v>304.06381250000413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'15'!F75</f>
        <v>73587</v>
      </c>
      <c r="F75" s="123">
        <v>73586.8</v>
      </c>
      <c r="G75" s="112">
        <f t="shared" si="7"/>
        <v>-0.19999999999708962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'15'!F76</f>
        <v>171704.66</v>
      </c>
      <c r="F76" s="123">
        <v>171798.83</v>
      </c>
      <c r="G76" s="112">
        <f t="shared" si="7"/>
        <v>94.169999999983702</v>
      </c>
      <c r="H76" s="99">
        <f>G76+'15'!H76</f>
        <v>1823.8299999999872</v>
      </c>
      <c r="I76" s="154"/>
      <c r="J76" s="175">
        <f>H76/DAY(B2)</f>
        <v>113.9893749999992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'15'!F77</f>
        <v>42026.2</v>
      </c>
      <c r="F77" s="123">
        <v>42069.599999999999</v>
      </c>
      <c r="G77" s="112">
        <f t="shared" si="7"/>
        <v>43.400000000001455</v>
      </c>
      <c r="H77" s="99">
        <f>G77+'15'!H77</f>
        <v>767.40000000000146</v>
      </c>
      <c r="I77" s="154"/>
      <c r="J77" s="175">
        <f>H77/DAY(B2)</f>
        <v>47.962500000000091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'15'!F78</f>
        <v>9538</v>
      </c>
      <c r="F78" s="123">
        <v>9538</v>
      </c>
      <c r="G78" s="112">
        <f t="shared" si="7"/>
        <v>0</v>
      </c>
      <c r="H78" s="99">
        <f>G78+'15'!H78</f>
        <v>25</v>
      </c>
      <c r="I78" s="118"/>
      <c r="J78" s="175">
        <f>H78/DAY(B2)</f>
        <v>1.5625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'15'!F79</f>
        <v>0</v>
      </c>
      <c r="F79" s="123"/>
      <c r="G79" s="112">
        <f>G15-SUM(G74:G78)</f>
        <v>659.76599999995233</v>
      </c>
      <c r="H79" s="99">
        <f>G79+'15'!H79</f>
        <v>9675.1770000000179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1092.9150000000373</v>
      </c>
      <c r="H80" s="99">
        <f>G80+'15'!H80</f>
        <v>1092.9150000000373</v>
      </c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2504</v>
      </c>
      <c r="F85" s="164">
        <v>2527.54</v>
      </c>
      <c r="G85" s="112">
        <f t="shared" si="8"/>
        <v>23.539999999999964</v>
      </c>
      <c r="H85" s="99">
        <f>G85+'15'!H85</f>
        <v>267.11999999999989</v>
      </c>
      <c r="I85" s="118">
        <f>G82+G83+G84+G85</f>
        <v>23.539999999999964</v>
      </c>
      <c r="J85" s="175">
        <f>H85/DAY(B2)</f>
        <v>16.694999999999993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43564</v>
      </c>
      <c r="F86" s="164">
        <v>43564</v>
      </c>
      <c r="G86" s="112">
        <f t="shared" si="8"/>
        <v>0</v>
      </c>
      <c r="H86" s="99">
        <f>G86+'15'!H86</f>
        <v>122</v>
      </c>
      <c r="I86" s="118"/>
      <c r="J86" s="175">
        <f>H86/DAY(B2)</f>
        <v>7.625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24067.759999999998</v>
      </c>
      <c r="F88" s="164">
        <v>24067.759999999998</v>
      </c>
      <c r="G88" s="112">
        <f t="shared" si="8"/>
        <v>0</v>
      </c>
      <c r="H88" s="99">
        <f>G88+'15'!H88</f>
        <v>4.3299999999981083</v>
      </c>
      <c r="I88" s="118">
        <f>G86+G87+G88</f>
        <v>0</v>
      </c>
      <c r="J88" s="175">
        <f>H88/DAY(B2)</f>
        <v>0.27062499999988177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26045.57</v>
      </c>
      <c r="F89" s="164">
        <v>26056.47</v>
      </c>
      <c r="G89" s="112">
        <f t="shared" si="8"/>
        <v>10.900000000001455</v>
      </c>
      <c r="H89" s="99">
        <f>G89+'15'!H89</f>
        <v>165.35000000000218</v>
      </c>
      <c r="I89" s="118"/>
      <c r="J89" s="175">
        <f>H89/DAY(B2)</f>
        <v>10.334375000000136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71223.94</v>
      </c>
      <c r="F90" s="164">
        <v>71232.87</v>
      </c>
      <c r="G90" s="112">
        <f t="shared" si="8"/>
        <v>8.9299999999930151</v>
      </c>
      <c r="H90" s="99">
        <f>G90+'15'!H90</f>
        <v>69.549999999988358</v>
      </c>
      <c r="I90" s="118">
        <f>G89+G90</f>
        <v>19.82999999999447</v>
      </c>
      <c r="J90" s="175">
        <f>H90/DAY(B2)</f>
        <v>4.3468749999992724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3420.22</v>
      </c>
      <c r="F91" s="122">
        <v>3431.42</v>
      </c>
      <c r="G91" s="112">
        <f t="shared" si="8"/>
        <v>11.200000000000273</v>
      </c>
      <c r="H91" s="99">
        <f>G91+'15'!H91</f>
        <v>180.32999999999993</v>
      </c>
      <c r="I91" s="165"/>
      <c r="J91" s="175">
        <f>H91/DAY(B2)</f>
        <v>11.270624999999995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-6.9999999999708962E-2</v>
      </c>
      <c r="I92" s="165"/>
      <c r="J92" s="175">
        <f>H92/DAY(B2)</f>
        <v>-4.3749999999818101E-3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5177.8700000000172</v>
      </c>
      <c r="H94" s="99">
        <f>G94+'15'!H94</f>
        <v>79848.709999999992</v>
      </c>
      <c r="I94" s="118"/>
      <c r="J94" s="175">
        <f>H94/DAY(B2)</f>
        <v>4990.5443749999995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51"/>
      <c r="G95" s="166">
        <f>G94/G7</f>
        <v>0.25200151068429627</v>
      </c>
      <c r="H95" s="99">
        <f>G95+'15'!H95</f>
        <v>3.9632054332926749</v>
      </c>
      <c r="I95" s="167"/>
      <c r="J95" s="175">
        <f>H95/DAY(B2)</f>
        <v>0.24770033958079218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4325.9800000000105</v>
      </c>
      <c r="H96" s="99">
        <f>G96+'15'!H96</f>
        <v>65594.399999999994</v>
      </c>
      <c r="I96" s="118"/>
      <c r="J96" s="175">
        <f>H96/DAY(B2)</f>
        <v>4099.6499999999996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0.21054091647531728</v>
      </c>
      <c r="H97" s="99">
        <f>G97+'15'!H97</f>
        <v>3.2443576948933432</v>
      </c>
      <c r="I97" s="167"/>
      <c r="J97" s="175">
        <f>H97/DAY(B2)</f>
        <v>0.20277235593083395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3126.6800000000076</v>
      </c>
      <c r="H98" s="99">
        <f>G98+'15'!H98</f>
        <v>47307.590000000004</v>
      </c>
      <c r="I98" s="168"/>
      <c r="J98" s="175">
        <f>H98/DAY(B2)</f>
        <v>2956.7243750000002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0.15217224137075183</v>
      </c>
      <c r="H99" s="99">
        <f>G99+'15'!H99</f>
        <v>2.3457891977648289</v>
      </c>
      <c r="I99" s="168"/>
      <c r="J99" s="175">
        <f>H99/DAY(B2)</f>
        <v>0.1466118248603018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2035.1399999999994</v>
      </c>
      <c r="H100" s="99">
        <f>G100+'15'!H100</f>
        <v>30926.310000000005</v>
      </c>
      <c r="I100" s="118"/>
      <c r="J100" s="175">
        <f>H100/DAY(B2)</f>
        <v>1932.8943750000003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9.9048132620949705E-2</v>
      </c>
      <c r="H101" s="99">
        <f>G101+'15'!H101</f>
        <v>1.5336428363295205</v>
      </c>
      <c r="I101" s="168"/>
      <c r="J101" s="175">
        <f>H101/DAY(B2)</f>
        <v>9.585267727059503E-2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2099.5199999999968</v>
      </c>
      <c r="H102" s="99">
        <f>G102+'15'!H102</f>
        <v>35104.949999999997</v>
      </c>
      <c r="I102" s="168"/>
      <c r="J102" s="175">
        <f>H102/DAY(B2)</f>
        <v>2194.0593749999998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0.10218143980283227</v>
      </c>
      <c r="H103" s="99">
        <f>G103+'15'!H103</f>
        <v>1.734893853230483</v>
      </c>
      <c r="I103" s="118"/>
      <c r="J103" s="175">
        <f>H103/DAY(B2)</f>
        <v>0.10843086582690518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1774.7800000000061</v>
      </c>
      <c r="H104" s="99">
        <f>G104+'15'!H104</f>
        <v>26699.390000000007</v>
      </c>
      <c r="I104" s="118"/>
      <c r="J104" s="175">
        <f>H104/DAY(B2)</f>
        <v>1668.7118750000004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8.6376684067439966E-2</v>
      </c>
      <c r="H105" s="99">
        <f>G105+'15'!H105</f>
        <v>1.3264151001737241</v>
      </c>
      <c r="I105" s="187"/>
      <c r="J105" s="188">
        <f>H105/DAY(B2)</f>
        <v>8.2900943760857757E-2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'15'!F112</f>
        <v>59134.17</v>
      </c>
      <c r="F112" s="237">
        <v>59199.09</v>
      </c>
      <c r="G112" s="112">
        <f t="shared" ref="G112:G123" si="9">F112-E112</f>
        <v>64.919999999998254</v>
      </c>
      <c r="H112" s="99">
        <f>G112+'15'!H112</f>
        <v>1145.0899999999965</v>
      </c>
      <c r="I112" s="165"/>
      <c r="J112" s="328">
        <f>H112/DAY(B2)</f>
        <v>71.568124999999782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'15'!F113</f>
        <v>53456.1</v>
      </c>
      <c r="F113" s="237">
        <v>53919.91</v>
      </c>
      <c r="G113" s="112">
        <f t="shared" si="9"/>
        <v>463.81000000000495</v>
      </c>
      <c r="H113" s="99">
        <f>G113+'15'!H113</f>
        <v>7519.0200000000041</v>
      </c>
      <c r="I113" s="165"/>
      <c r="J113" s="328">
        <f>H113/DAY(B2)</f>
        <v>469.93875000000025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488">
        <f>'15'!F114</f>
        <v>38054.699999999997</v>
      </c>
      <c r="F114" s="499">
        <v>38315.300000000003</v>
      </c>
      <c r="G114" s="112">
        <f t="shared" si="9"/>
        <v>260.60000000000582</v>
      </c>
      <c r="H114" s="99">
        <f>G114+'15'!H114</f>
        <v>5155.3000000000029</v>
      </c>
      <c r="I114" s="165"/>
      <c r="J114" s="328">
        <f>H114/DAY(B2)</f>
        <v>322.20625000000018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488">
        <f>'15'!F115</f>
        <v>9254.9</v>
      </c>
      <c r="F115" s="499">
        <v>9277.64</v>
      </c>
      <c r="G115" s="236">
        <f t="shared" si="9"/>
        <v>22.739999999999782</v>
      </c>
      <c r="H115" s="99">
        <f>G115+'15'!H115</f>
        <v>182.98999999999978</v>
      </c>
      <c r="I115" s="165"/>
      <c r="J115" s="328">
        <f>H115/DAY(B2)</f>
        <v>11.436874999999986</v>
      </c>
      <c r="N115" s="599" t="s">
        <v>366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'15'!F116</f>
        <v>3286</v>
      </c>
      <c r="F116" s="237">
        <v>4151.45</v>
      </c>
      <c r="G116" s="112">
        <f t="shared" si="9"/>
        <v>865.44999999999982</v>
      </c>
      <c r="H116" s="99">
        <f>G116+'15'!H116</f>
        <v>4151.45</v>
      </c>
      <c r="I116" s="165"/>
      <c r="J116" s="328">
        <f>H116/DAY(B2)</f>
        <v>259.46562499999999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'15'!F117</f>
        <v>5554.2</v>
      </c>
      <c r="F117" s="237">
        <v>5728.08</v>
      </c>
      <c r="G117" s="112">
        <f t="shared" si="9"/>
        <v>173.88000000000011</v>
      </c>
      <c r="H117" s="99">
        <f>G117+'15'!H117</f>
        <v>2390.13</v>
      </c>
      <c r="I117" s="165"/>
      <c r="J117" s="328">
        <f>H117/DAY(B2)</f>
        <v>149.38312500000001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'15'!F118</f>
        <v>258080.43</v>
      </c>
      <c r="F118" s="237">
        <v>258465.09</v>
      </c>
      <c r="G118" s="112">
        <f t="shared" si="9"/>
        <v>384.66000000000349</v>
      </c>
      <c r="H118" s="99">
        <f>G118+'15'!H118</f>
        <v>6012.7799999999988</v>
      </c>
      <c r="I118" s="165"/>
      <c r="J118" s="328">
        <f>H118/DAY(B2)</f>
        <v>375.79874999999993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488">
        <f>'15'!F119</f>
        <v>264445.81</v>
      </c>
      <c r="F119" s="499">
        <v>264901.93</v>
      </c>
      <c r="G119" s="112">
        <f t="shared" si="9"/>
        <v>456.11999999999534</v>
      </c>
      <c r="H119" s="99">
        <f>G119+'15'!H119</f>
        <v>6753.3800000000047</v>
      </c>
      <c r="I119" s="165"/>
      <c r="J119" s="328">
        <f>H119/DAY(B2)</f>
        <v>422.08625000000029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'15'!F120</f>
        <v>49314.85</v>
      </c>
      <c r="F120" s="237">
        <v>49754.879999999997</v>
      </c>
      <c r="G120" s="112">
        <f t="shared" si="9"/>
        <v>440.02999999999884</v>
      </c>
      <c r="H120" s="99">
        <f>G120+'15'!H120</f>
        <v>6795.2699999999968</v>
      </c>
      <c r="I120" s="165"/>
      <c r="J120" s="328">
        <f>H120/DAY(B2)</f>
        <v>424.7043749999998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'15'!F121</f>
        <v>409114.47</v>
      </c>
      <c r="F121" s="237">
        <v>409891.23</v>
      </c>
      <c r="G121" s="112">
        <f t="shared" si="9"/>
        <v>776.76000000000931</v>
      </c>
      <c r="H121" s="99">
        <f>G121+'15'!H121</f>
        <v>11856.799999999988</v>
      </c>
      <c r="I121" s="165"/>
      <c r="J121" s="328">
        <f>H121/DAY(B2)</f>
        <v>741.04999999999927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'15'!F122</f>
        <v>129495.8</v>
      </c>
      <c r="F122" s="237">
        <v>129741.69</v>
      </c>
      <c r="G122" s="112">
        <f t="shared" si="9"/>
        <v>245.88999999999942</v>
      </c>
      <c r="H122" s="99">
        <f>G122+'15'!H122</f>
        <v>3555.5100000000093</v>
      </c>
      <c r="I122" s="165"/>
      <c r="J122" s="328">
        <f>H122/DAY(B2)</f>
        <v>222.21937500000058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'15'!F123</f>
        <v>157881.95000000001</v>
      </c>
      <c r="F123" s="237">
        <v>158145.37</v>
      </c>
      <c r="G123" s="112">
        <f t="shared" si="9"/>
        <v>263.4199999999837</v>
      </c>
      <c r="H123" s="99">
        <f>G123+'15'!H123</f>
        <v>4098.4199999999837</v>
      </c>
      <c r="I123" s="165"/>
      <c r="J123" s="328">
        <f>H123/DAY(B2)</f>
        <v>256.15124999999898</v>
      </c>
    </row>
    <row r="124" spans="1:18" ht="29.25" customHeight="1" x14ac:dyDescent="0.5">
      <c r="A124" s="911"/>
      <c r="B124" s="912"/>
      <c r="C124" s="913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4418.2799999999988</v>
      </c>
      <c r="H125" s="156"/>
      <c r="I125" s="327">
        <f>G125-(G39+G53)</f>
        <v>1291.5999999999913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'15'!F128</f>
        <v>52512.85</v>
      </c>
      <c r="F128" s="155">
        <v>52814.63</v>
      </c>
      <c r="G128" s="112">
        <f t="shared" ref="G128:G134" si="10">F128-E128</f>
        <v>301.77999999999884</v>
      </c>
      <c r="H128" s="99">
        <f>G128+'15'!H128</f>
        <v>5068.6299999999974</v>
      </c>
      <c r="I128" s="165"/>
      <c r="J128" s="328">
        <f>H128/DAY(B2)</f>
        <v>316.78937499999984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30308.83</v>
      </c>
      <c r="F129" s="155">
        <v>30545.66</v>
      </c>
      <c r="G129" s="112">
        <f t="shared" si="10"/>
        <v>236.82999999999811</v>
      </c>
      <c r="H129" s="99">
        <f>G129+'15'!H129</f>
        <v>3634.7900000000009</v>
      </c>
      <c r="I129" s="165"/>
      <c r="J129" s="328">
        <f>H129/DAY(B2)</f>
        <v>227.17437500000005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44492.2</v>
      </c>
      <c r="F130" s="155">
        <v>45188.36</v>
      </c>
      <c r="G130" s="112">
        <f t="shared" si="10"/>
        <v>696.16000000000349</v>
      </c>
      <c r="H130" s="99">
        <f>G130+'15'!H130</f>
        <v>9494.36</v>
      </c>
      <c r="I130" s="165"/>
      <c r="J130" s="328">
        <f>H130/DAY(B2)</f>
        <v>593.39750000000004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'15'!F131</f>
        <v>16879.32</v>
      </c>
      <c r="F131" s="155">
        <v>17009.689999999999</v>
      </c>
      <c r="G131" s="112">
        <f t="shared" si="10"/>
        <v>130.36999999999898</v>
      </c>
      <c r="H131" s="99">
        <f>G131+'15'!H131</f>
        <v>1702.0099999999984</v>
      </c>
      <c r="I131" s="165"/>
      <c r="J131" s="328">
        <f>H131/DAY(B2)</f>
        <v>106.3756249999999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'15'!F132</f>
        <v>57605.11</v>
      </c>
      <c r="F132" s="155">
        <v>58038.400000000001</v>
      </c>
      <c r="G132" s="112">
        <f t="shared" si="10"/>
        <v>433.29000000000087</v>
      </c>
      <c r="H132" s="99">
        <f>G132+'15'!H132</f>
        <v>6190.0999999999985</v>
      </c>
      <c r="I132" s="165"/>
      <c r="J132" s="328">
        <f>H132/DAY(B2)</f>
        <v>386.88124999999991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'15'!F133</f>
        <v>114697.32</v>
      </c>
      <c r="F133" s="155">
        <v>115370.56</v>
      </c>
      <c r="G133" s="112">
        <f t="shared" si="10"/>
        <v>673.23999999999069</v>
      </c>
      <c r="H133" s="99">
        <f>G133+'15'!H133</f>
        <v>10026.86</v>
      </c>
      <c r="I133" s="165"/>
      <c r="J133" s="328">
        <f>H133/DAY(B2)</f>
        <v>626.67875000000004</v>
      </c>
    </row>
    <row r="134" spans="1:15" s="491" customFormat="1" ht="27.75" x14ac:dyDescent="0.5">
      <c r="A134" s="944" t="s">
        <v>340</v>
      </c>
      <c r="B134" s="945"/>
      <c r="C134" s="946"/>
      <c r="D134" s="233" t="s">
        <v>183</v>
      </c>
      <c r="E134" s="488">
        <f>'15'!F134</f>
        <v>11357.6</v>
      </c>
      <c r="F134" s="157">
        <v>11529.74</v>
      </c>
      <c r="G134" s="236">
        <f t="shared" si="10"/>
        <v>172.13999999999942</v>
      </c>
      <c r="H134" s="238">
        <f>G134+'15'!H134</f>
        <v>2928.51</v>
      </c>
      <c r="I134" s="158"/>
      <c r="J134" s="490">
        <f>H134/DAY(B2)</f>
        <v>183.03187500000001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55"/>
      <c r="G135" s="112">
        <f>SUM(G128:G134)</f>
        <v>2643.8099999999904</v>
      </c>
      <c r="H135" s="99">
        <f>G135+'10'!H135</f>
        <v>26100.029999999992</v>
      </c>
      <c r="I135" s="327">
        <f>G135-(G35+G49)</f>
        <v>-428.29000000000815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 x14ac:dyDescent="0.5">
      <c r="A138" s="947" t="s">
        <v>185</v>
      </c>
      <c r="B138" s="947"/>
      <c r="C138" s="947"/>
      <c r="D138" s="233" t="s">
        <v>183</v>
      </c>
      <c r="E138" s="488">
        <f>'15'!F138</f>
        <v>867508</v>
      </c>
      <c r="F138" s="148">
        <v>867595</v>
      </c>
      <c r="G138" s="236">
        <f t="shared" ref="G138:G152" si="11">F138-E138</f>
        <v>87</v>
      </c>
      <c r="H138" s="238">
        <f>G138+'15'!H138</f>
        <v>1422</v>
      </c>
      <c r="I138" s="489"/>
      <c r="J138" s="490">
        <f>H138/DAY(B2)</f>
        <v>88.875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'15'!F139</f>
        <v>886675</v>
      </c>
      <c r="F139" s="148">
        <v>886676</v>
      </c>
      <c r="G139" s="112">
        <f t="shared" si="11"/>
        <v>1</v>
      </c>
      <c r="H139" s="99">
        <f>G139+'15'!H139</f>
        <v>103</v>
      </c>
      <c r="I139" s="118"/>
      <c r="J139" s="328">
        <f>H139/DAY(B2)</f>
        <v>6.4375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'15'!F140</f>
        <v>88948</v>
      </c>
      <c r="F140" s="149">
        <v>88948</v>
      </c>
      <c r="G140" s="112">
        <f t="shared" si="11"/>
        <v>0</v>
      </c>
      <c r="H140" s="99">
        <f>G140+'15'!H140</f>
        <v>26</v>
      </c>
      <c r="I140" s="118"/>
      <c r="J140" s="328">
        <f>H140/DAY(B2)</f>
        <v>1.625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'15'!F141</f>
        <v>57341.279999999999</v>
      </c>
      <c r="F141" s="149">
        <v>57513.79</v>
      </c>
      <c r="G141" s="112">
        <f t="shared" si="11"/>
        <v>172.51000000000204</v>
      </c>
      <c r="H141" s="99">
        <f>G141+'15'!H141</f>
        <v>2828.2099999999991</v>
      </c>
      <c r="I141" s="118"/>
      <c r="J141" s="328">
        <f>H141/DAY(B2)</f>
        <v>176.76312499999995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'15'!F142</f>
        <v>22312</v>
      </c>
      <c r="F142" s="148">
        <v>22391.64</v>
      </c>
      <c r="G142" s="112">
        <f t="shared" si="11"/>
        <v>79.639999999999418</v>
      </c>
      <c r="H142" s="99">
        <f>G142+'15'!H142</f>
        <v>1107.5400000000009</v>
      </c>
      <c r="I142" s="140"/>
      <c r="J142" s="328">
        <f>H142/DAY(B2)</f>
        <v>69.221250000000055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'15'!F143</f>
        <v>4257.01</v>
      </c>
      <c r="F143" s="149">
        <v>4287.7700000000004</v>
      </c>
      <c r="G143" s="112">
        <f t="shared" si="11"/>
        <v>30.760000000000218</v>
      </c>
      <c r="H143" s="99">
        <f>G143+'15'!H143</f>
        <v>452.38000000000056</v>
      </c>
      <c r="I143" s="140"/>
      <c r="J143" s="328">
        <f>H143/DAY(B2)</f>
        <v>28.273750000000035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'15'!F144</f>
        <v>879645</v>
      </c>
      <c r="F144" s="149">
        <v>879855</v>
      </c>
      <c r="G144" s="112">
        <f t="shared" si="11"/>
        <v>210</v>
      </c>
      <c r="H144" s="99">
        <f>G144+'15'!H144</f>
        <v>3368</v>
      </c>
      <c r="I144" s="140"/>
      <c r="J144" s="328">
        <f>H144/DAY(B2)</f>
        <v>210.5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'15'!F145</f>
        <v>5148.25</v>
      </c>
      <c r="F145" s="148">
        <v>5163</v>
      </c>
      <c r="G145" s="112">
        <f t="shared" si="11"/>
        <v>14.75</v>
      </c>
      <c r="H145" s="99">
        <f>G145+'15'!H145</f>
        <v>204.15999999999985</v>
      </c>
      <c r="I145" s="140"/>
      <c r="J145" s="328">
        <f>H145/DAY(B2)</f>
        <v>12.759999999999991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'15'!F146</f>
        <v>743877</v>
      </c>
      <c r="F146" s="148">
        <v>744360</v>
      </c>
      <c r="G146" s="112">
        <f t="shared" si="11"/>
        <v>483</v>
      </c>
      <c r="H146" s="99">
        <f>G146+'15'!H146</f>
        <v>7027</v>
      </c>
      <c r="I146" s="140"/>
      <c r="J146" s="328">
        <f>H146/DAY(B2)</f>
        <v>439.1875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'15'!F147</f>
        <v>632738.64</v>
      </c>
      <c r="F147" s="148">
        <v>633143</v>
      </c>
      <c r="G147" s="112">
        <f t="shared" si="11"/>
        <v>404.35999999998603</v>
      </c>
      <c r="H147" s="99">
        <f>G147+'15'!H147</f>
        <v>6530.4799999999814</v>
      </c>
      <c r="I147" s="140"/>
      <c r="J147" s="328">
        <f>H147/DAY(B2)</f>
        <v>408.15499999999884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'15'!F148</f>
        <v>693990.64</v>
      </c>
      <c r="F148" s="164">
        <v>694283.52</v>
      </c>
      <c r="G148" s="112">
        <f t="shared" si="11"/>
        <v>292.88000000000466</v>
      </c>
      <c r="H148" s="99">
        <f>G148+'15'!H148</f>
        <v>4840.5600000000559</v>
      </c>
      <c r="I148" s="124"/>
      <c r="J148" s="328">
        <f>H148/DAY(B2)</f>
        <v>302.53500000000349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'15'!F149</f>
        <v>33298.400000000001</v>
      </c>
      <c r="F149" s="233">
        <v>33882</v>
      </c>
      <c r="G149" s="112">
        <f t="shared" si="11"/>
        <v>583.59999999999854</v>
      </c>
      <c r="H149" s="99">
        <f>G149+'15'!H149</f>
        <v>9203.7999999999993</v>
      </c>
      <c r="I149" s="119"/>
      <c r="J149" s="328">
        <f>H149/DAY(B2)</f>
        <v>575.23749999999995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'15'!F150</f>
        <v>14241</v>
      </c>
      <c r="F150" s="233">
        <v>14476.39</v>
      </c>
      <c r="G150" s="112">
        <f t="shared" si="11"/>
        <v>235.38999999999942</v>
      </c>
      <c r="H150" s="99">
        <f>G150+'15'!H150</f>
        <v>3625.5599999999995</v>
      </c>
      <c r="I150" s="119"/>
      <c r="J150" s="328">
        <f>H150/DAY(B2)</f>
        <v>226.59749999999997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'15'!F151</f>
        <v>89115</v>
      </c>
      <c r="F151" s="233">
        <v>89389</v>
      </c>
      <c r="G151" s="112">
        <f t="shared" si="11"/>
        <v>274</v>
      </c>
      <c r="H151" s="99">
        <f>G151+'15'!H151</f>
        <v>3909</v>
      </c>
      <c r="I151" s="119"/>
      <c r="J151" s="328">
        <f>H151/DAY(B2)</f>
        <v>244.3125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'15'!F152</f>
        <v>2562.8000000000002</v>
      </c>
      <c r="F152" s="233">
        <v>2665.67</v>
      </c>
      <c r="G152" s="112">
        <f t="shared" si="11"/>
        <v>102.86999999999989</v>
      </c>
      <c r="H152" s="99">
        <f>G152+'15'!H152</f>
        <v>1005.6700000000001</v>
      </c>
      <c r="I152" s="119"/>
      <c r="J152" s="328">
        <f>H152/DAY(B2)</f>
        <v>62.854375000000005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2971.7599999999902</v>
      </c>
      <c r="H153" s="363"/>
      <c r="I153" s="119">
        <f>G153-(G38+G52)</f>
        <v>936.6199999999908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488">
        <f>'15'!F155</f>
        <v>42811</v>
      </c>
      <c r="F155" s="530">
        <v>43520</v>
      </c>
      <c r="G155" s="236">
        <f>F155-E155</f>
        <v>709</v>
      </c>
      <c r="H155" s="99">
        <f>G155+'15'!H155</f>
        <v>10575</v>
      </c>
      <c r="I155" s="364"/>
      <c r="J155" s="328">
        <f>H155/DAY(B2)</f>
        <v>660.9375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488">
        <f>'15'!F156</f>
        <v>3525</v>
      </c>
      <c r="F156" s="157">
        <v>3584</v>
      </c>
      <c r="G156" s="236">
        <f t="shared" ref="G156:G158" si="12">F156-E156</f>
        <v>59</v>
      </c>
      <c r="H156" s="99">
        <f>G156+'15'!H156</f>
        <v>796</v>
      </c>
      <c r="I156" s="165"/>
      <c r="J156" s="328">
        <f>H156/DAY(B2)</f>
        <v>49.75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488">
        <f>'15'!F157</f>
        <v>5604.4</v>
      </c>
      <c r="F157" s="157">
        <v>5721.33</v>
      </c>
      <c r="G157" s="236">
        <f t="shared" si="12"/>
        <v>116.93000000000029</v>
      </c>
      <c r="H157" s="99">
        <f>G157+'15'!H157</f>
        <v>441.32999999999993</v>
      </c>
      <c r="I157" s="165"/>
      <c r="J157" s="328">
        <f>H157/DAY(B2)</f>
        <v>27.583124999999995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488">
        <f>'15'!F158</f>
        <v>70.599999999999994</v>
      </c>
      <c r="F158" s="157">
        <v>71.599999999999994</v>
      </c>
      <c r="G158" s="236">
        <f t="shared" si="12"/>
        <v>1</v>
      </c>
      <c r="H158" s="99">
        <f>G158+'15'!H158</f>
        <v>2.5999999999999943</v>
      </c>
      <c r="I158" s="165"/>
      <c r="J158" s="328">
        <f>H158/DAY(B2)</f>
        <v>0.16249999999999964</v>
      </c>
    </row>
    <row r="159" spans="1:10" ht="27.75" x14ac:dyDescent="0.5">
      <c r="A159" s="934"/>
      <c r="B159" s="935"/>
      <c r="C159" s="936"/>
      <c r="D159" s="117"/>
      <c r="E159" s="95"/>
      <c r="F159" s="155"/>
      <c r="G159" s="362">
        <f>SUM(G155:G158)</f>
        <v>885.93000000000029</v>
      </c>
      <c r="H159" s="99">
        <f>G159+'15'!H159</f>
        <v>885.93000000000029</v>
      </c>
      <c r="I159" s="165"/>
      <c r="J159" s="328">
        <f>H159/DAY(B2)</f>
        <v>55.370625000000018</v>
      </c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472575</v>
      </c>
      <c r="F161" s="235">
        <v>472592</v>
      </c>
      <c r="G161" s="238">
        <f t="shared" ref="G161:G165" si="13">F161-E161</f>
        <v>17</v>
      </c>
      <c r="H161" s="99">
        <f>G161+'15'!H161</f>
        <v>538.44000000000233</v>
      </c>
      <c r="I161" s="236"/>
      <c r="J161" s="239">
        <f>H161/DAY(B2)</f>
        <v>33.652500000000146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89045.8</v>
      </c>
      <c r="F162" s="235">
        <v>89092.4</v>
      </c>
      <c r="G162" s="238">
        <f t="shared" si="13"/>
        <v>46.599999999991269</v>
      </c>
      <c r="H162" s="99">
        <f>G162+'15'!H162</f>
        <v>576</v>
      </c>
      <c r="I162" s="236"/>
      <c r="J162" s="239">
        <f>H162/DAY(B2)</f>
        <v>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80178.5</v>
      </c>
      <c r="F163" s="235">
        <v>80267.899999999994</v>
      </c>
      <c r="G163" s="238">
        <f t="shared" si="13"/>
        <v>89.399999999994179</v>
      </c>
      <c r="H163" s="99">
        <f>G163+'15'!H163</f>
        <v>1047.7999999999884</v>
      </c>
      <c r="I163" s="236"/>
      <c r="J163" s="239">
        <f>H163/DAY(B2)</f>
        <v>65.487499999999272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4340.8999999999996</v>
      </c>
      <c r="F164" s="235">
        <v>4340.8999999999996</v>
      </c>
      <c r="G164" s="238">
        <f t="shared" si="13"/>
        <v>0</v>
      </c>
      <c r="H164" s="99">
        <f>G164+'15'!H164</f>
        <v>20.899999999999636</v>
      </c>
      <c r="I164" s="236"/>
      <c r="J164" s="239">
        <f>H164/DAY(B2)</f>
        <v>1.3062499999999773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29986.01</v>
      </c>
      <c r="F165" s="235">
        <v>29994.94</v>
      </c>
      <c r="G165" s="238">
        <f t="shared" si="13"/>
        <v>8.930000000000291</v>
      </c>
      <c r="H165" s="99">
        <f>G165+'15'!H165</f>
        <v>137.68999999999869</v>
      </c>
      <c r="I165" s="236"/>
      <c r="J165" s="239">
        <f>H165/DAY(B2)</f>
        <v>8.6056249999999181</v>
      </c>
    </row>
    <row r="166" spans="1:10" ht="29.25" x14ac:dyDescent="0.5">
      <c r="A166" s="917"/>
      <c r="B166" s="917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'15'!F173</f>
        <v>8165</v>
      </c>
      <c r="F173" s="155">
        <v>8165</v>
      </c>
      <c r="G173" s="155">
        <f>F173-E173</f>
        <v>0</v>
      </c>
      <c r="H173" s="99">
        <f>G173+'15'!H173</f>
        <v>39</v>
      </c>
      <c r="I173" s="155"/>
      <c r="J173" s="178">
        <f>H173/DAY(B2)</f>
        <v>2.4375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'15'!F174</f>
        <v>38822</v>
      </c>
      <c r="F174" s="157">
        <v>38836</v>
      </c>
      <c r="G174" s="155">
        <f t="shared" ref="G174:G175" si="14">F174-E174</f>
        <v>14</v>
      </c>
      <c r="H174" s="99">
        <f>G174+'15'!H174</f>
        <v>221</v>
      </c>
      <c r="I174" s="155"/>
      <c r="J174" s="178">
        <f>H174/DAY(B2)</f>
        <v>13.8125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'15'!F175</f>
        <v>21985</v>
      </c>
      <c r="F175" s="155">
        <v>21999</v>
      </c>
      <c r="G175" s="155">
        <f t="shared" si="14"/>
        <v>14</v>
      </c>
      <c r="H175" s="99">
        <f>G175+'15'!H175</f>
        <v>186</v>
      </c>
      <c r="I175" s="155"/>
      <c r="J175" s="178">
        <f>H175/DAY(B2)</f>
        <v>11.625</v>
      </c>
    </row>
    <row r="176" spans="1:10" ht="27.75" x14ac:dyDescent="0.5">
      <c r="A176" s="914" t="s">
        <v>196</v>
      </c>
      <c r="B176" s="915"/>
      <c r="C176" s="333"/>
      <c r="D176" s="228" t="s">
        <v>142</v>
      </c>
      <c r="E176" s="95">
        <f>'15'!F176</f>
        <v>0</v>
      </c>
      <c r="F176" s="155"/>
      <c r="G176" s="155">
        <f>SUM(G173:G175)</f>
        <v>28</v>
      </c>
      <c r="H176" s="99">
        <f>G176+'15'!H176</f>
        <v>446</v>
      </c>
      <c r="I176" s="155"/>
      <c r="J176" s="178">
        <f>H176/DAY(B2)</f>
        <v>27.875</v>
      </c>
    </row>
    <row r="177" spans="1:11" ht="27.75" x14ac:dyDescent="0.5">
      <c r="A177" s="875" t="s">
        <v>77</v>
      </c>
      <c r="B177" s="876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75" t="s">
        <v>210</v>
      </c>
      <c r="B178" s="876"/>
      <c r="C178" s="333"/>
      <c r="D178" s="228" t="s">
        <v>142</v>
      </c>
      <c r="E178" s="95">
        <f>'15'!F178</f>
        <v>82143</v>
      </c>
      <c r="F178" s="155">
        <v>82201</v>
      </c>
      <c r="G178" s="155">
        <f>F178-E178</f>
        <v>58</v>
      </c>
      <c r="H178" s="99">
        <f>G178+'15'!H178</f>
        <v>886</v>
      </c>
      <c r="I178" s="155"/>
      <c r="J178" s="178">
        <f>H178/DAY(B2)</f>
        <v>55.375</v>
      </c>
    </row>
    <row r="179" spans="1:11" ht="27.75" x14ac:dyDescent="0.5">
      <c r="A179" s="875" t="s">
        <v>211</v>
      </c>
      <c r="B179" s="876"/>
      <c r="C179" s="333"/>
      <c r="D179" s="228" t="s">
        <v>142</v>
      </c>
      <c r="E179" s="95">
        <f>'15'!F179</f>
        <v>35243</v>
      </c>
      <c r="F179" s="155">
        <v>35276</v>
      </c>
      <c r="G179" s="155">
        <f t="shared" ref="G179:G180" si="15">F179-E179</f>
        <v>33</v>
      </c>
      <c r="H179" s="99">
        <f>G179+'15'!H179</f>
        <v>473</v>
      </c>
      <c r="I179" s="155"/>
      <c r="J179" s="178">
        <f>H179/DAY(B2)</f>
        <v>29.5625</v>
      </c>
    </row>
    <row r="180" spans="1:11" ht="27.75" x14ac:dyDescent="0.5">
      <c r="A180" s="875" t="s">
        <v>212</v>
      </c>
      <c r="B180" s="876"/>
      <c r="C180" s="333"/>
      <c r="D180" s="228" t="s">
        <v>142</v>
      </c>
      <c r="E180" s="95">
        <f>'15'!F180</f>
        <v>5800</v>
      </c>
      <c r="F180" s="155">
        <v>5801</v>
      </c>
      <c r="G180" s="155">
        <f t="shared" si="15"/>
        <v>1</v>
      </c>
      <c r="H180" s="99">
        <f>G180+'15'!H180</f>
        <v>99</v>
      </c>
      <c r="I180" s="155"/>
      <c r="J180" s="178">
        <f>H180/DAY(B2)</f>
        <v>6.1875</v>
      </c>
    </row>
    <row r="181" spans="1:11" ht="27.75" x14ac:dyDescent="0.5">
      <c r="A181" s="919" t="s">
        <v>108</v>
      </c>
      <c r="B181" s="920"/>
      <c r="C181" s="333"/>
      <c r="D181" s="228" t="s">
        <v>142</v>
      </c>
      <c r="E181" s="95">
        <f>'15'!F181</f>
        <v>0</v>
      </c>
      <c r="F181" s="155"/>
      <c r="G181" s="155">
        <f>SUM(G178:G180)</f>
        <v>92</v>
      </c>
      <c r="H181" s="99">
        <f>G181+'15'!H181</f>
        <v>1458</v>
      </c>
      <c r="I181" s="155"/>
      <c r="J181" s="178">
        <f>H181/DAY(B2)</f>
        <v>91.125</v>
      </c>
    </row>
    <row r="182" spans="1:11" ht="27.75" x14ac:dyDescent="0.5">
      <c r="A182" s="875" t="s">
        <v>213</v>
      </c>
      <c r="B182" s="876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75" t="s">
        <v>214</v>
      </c>
      <c r="B183" s="876"/>
      <c r="C183" s="334"/>
      <c r="D183" s="228" t="s">
        <v>142</v>
      </c>
      <c r="E183" s="95">
        <f>'15'!F183</f>
        <v>15594</v>
      </c>
      <c r="F183" s="157">
        <v>15605</v>
      </c>
      <c r="G183" s="157">
        <f>F183-E183</f>
        <v>11</v>
      </c>
      <c r="H183" s="99">
        <f>G183+'15'!H183</f>
        <v>260</v>
      </c>
      <c r="I183" s="155"/>
      <c r="J183" s="178">
        <f>H183/DAY(B2)</f>
        <v>16.25</v>
      </c>
    </row>
    <row r="184" spans="1:11" ht="27.75" x14ac:dyDescent="0.5">
      <c r="A184" s="875" t="s">
        <v>215</v>
      </c>
      <c r="B184" s="876"/>
      <c r="C184" s="334"/>
      <c r="D184" s="228" t="s">
        <v>142</v>
      </c>
      <c r="E184" s="95">
        <f>'15'!F184</f>
        <v>10696</v>
      </c>
      <c r="F184" s="157">
        <v>10703</v>
      </c>
      <c r="G184" s="157">
        <f t="shared" ref="G184:G185" si="16">F184-E184</f>
        <v>7</v>
      </c>
      <c r="H184" s="99">
        <f>G184+'15'!H184</f>
        <v>185</v>
      </c>
      <c r="I184" s="155"/>
      <c r="J184" s="178">
        <f>H184/DAY(B2)</f>
        <v>11.5625</v>
      </c>
    </row>
    <row r="185" spans="1:11" ht="32.25" customHeight="1" x14ac:dyDescent="0.5">
      <c r="A185" s="875" t="s">
        <v>216</v>
      </c>
      <c r="B185" s="876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14" t="s">
        <v>196</v>
      </c>
      <c r="B186" s="915"/>
      <c r="C186" s="334"/>
      <c r="D186" s="228" t="s">
        <v>142</v>
      </c>
      <c r="E186" s="95">
        <f>'15'!F186</f>
        <v>0</v>
      </c>
      <c r="F186" s="157"/>
      <c r="G186" s="157">
        <f>SUM(G183:G185)</f>
        <v>18</v>
      </c>
      <c r="H186" s="99">
        <f>G186+'15'!H186</f>
        <v>445</v>
      </c>
      <c r="I186" s="157"/>
      <c r="J186" s="178">
        <f>H186/DAY(B2)</f>
        <v>27.8125</v>
      </c>
    </row>
    <row r="187" spans="1:11" ht="27.75" x14ac:dyDescent="0.5">
      <c r="A187" s="923" t="s">
        <v>217</v>
      </c>
      <c r="B187" s="924"/>
      <c r="C187" s="333"/>
      <c r="D187" s="230" t="s">
        <v>142</v>
      </c>
      <c r="E187" s="95">
        <f>'15'!F187</f>
        <v>0</v>
      </c>
      <c r="F187" s="159"/>
      <c r="G187" s="460">
        <f>G62+G19</f>
        <v>204</v>
      </c>
      <c r="H187" s="99">
        <f>G187+'15'!H187</f>
        <v>3019</v>
      </c>
      <c r="I187" s="158"/>
      <c r="J187" s="179">
        <f>H187/DAY(B2)</f>
        <v>188.6875</v>
      </c>
    </row>
    <row r="188" spans="1:11" ht="27.75" x14ac:dyDescent="0.5">
      <c r="A188" s="923" t="s">
        <v>218</v>
      </c>
      <c r="B188" s="924"/>
      <c r="C188" s="333"/>
      <c r="D188" s="230" t="s">
        <v>142</v>
      </c>
      <c r="E188" s="95">
        <f>'15'!F188</f>
        <v>0</v>
      </c>
      <c r="F188" s="159"/>
      <c r="G188" s="460">
        <f>G65+G66+G67+G69+G70</f>
        <v>198</v>
      </c>
      <c r="H188" s="99">
        <f>G188+'15'!H188</f>
        <v>460</v>
      </c>
      <c r="I188" s="158"/>
      <c r="J188" s="179">
        <f>H188/DAY(B2)</f>
        <v>28.75</v>
      </c>
    </row>
    <row r="189" spans="1:11" ht="23.25" customHeight="1" x14ac:dyDescent="0.5">
      <c r="A189" s="923" t="s">
        <v>219</v>
      </c>
      <c r="B189" s="924"/>
      <c r="C189" s="333"/>
      <c r="D189" s="230" t="s">
        <v>142</v>
      </c>
      <c r="E189" s="95">
        <f>'15'!F189</f>
        <v>0</v>
      </c>
      <c r="F189" s="157"/>
      <c r="G189" s="457">
        <f>G181</f>
        <v>92</v>
      </c>
      <c r="H189" s="99">
        <f>G189+'15'!H189</f>
        <v>1458</v>
      </c>
      <c r="I189" s="158"/>
      <c r="J189" s="179">
        <f>H189/DAY(B2)</f>
        <v>91.125</v>
      </c>
    </row>
    <row r="190" spans="1:11" ht="23.25" customHeight="1" x14ac:dyDescent="0.5">
      <c r="A190" s="948"/>
      <c r="B190" s="949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6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34" zoomScale="55" zoomScaleSheetLayoutView="55" zoomScalePageLayoutView="60" workbookViewId="0">
      <selection activeCell="A58" sqref="A58:XFD5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.75" customHeight="1" x14ac:dyDescent="0.5">
      <c r="A2" s="191" t="s">
        <v>350</v>
      </c>
      <c r="B2" s="262">
        <v>44609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973868.58</v>
      </c>
      <c r="F7" s="95">
        <v>993845</v>
      </c>
      <c r="G7" s="112">
        <f>F7-E7</f>
        <v>19976.420000000042</v>
      </c>
      <c r="H7" s="99">
        <f>G7+'16'!H7</f>
        <v>342664.77</v>
      </c>
      <c r="I7" s="113">
        <f>'1'!I7</f>
        <v>12000</v>
      </c>
      <c r="J7" s="175">
        <f>H7/DAY(B2)</f>
        <v>20156.751176470589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33412.5</v>
      </c>
      <c r="F8" s="95">
        <v>53452.37</v>
      </c>
      <c r="G8" s="115">
        <f>F8-E8</f>
        <v>20039.870000000003</v>
      </c>
      <c r="H8" s="99">
        <f>G8+'16'!H8</f>
        <v>344930.81999999995</v>
      </c>
      <c r="I8" s="116"/>
      <c r="J8" s="175">
        <f>H8/DAY(B2)</f>
        <v>20290.048235294114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-63.44999999996071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531216.71</v>
      </c>
      <c r="F9" s="598">
        <v>547983.79</v>
      </c>
      <c r="G9" s="112">
        <f>F9-E9</f>
        <v>16767.080000000075</v>
      </c>
      <c r="H9" s="99">
        <f>G9+'16'!H9</f>
        <v>265729.94000000006</v>
      </c>
      <c r="I9" s="124">
        <f>I7-J7</f>
        <v>-8156.7511764705887</v>
      </c>
      <c r="J9" s="175">
        <f>H9/DAY(B2)</f>
        <v>15631.172941176474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169919.93</v>
      </c>
      <c r="F10" s="353">
        <v>172539.43</v>
      </c>
      <c r="G10" s="112">
        <f t="shared" ref="G10:G12" si="0">F10-E10</f>
        <v>2619.5</v>
      </c>
      <c r="H10" s="99">
        <f>G10+'16'!H10</f>
        <v>67280.459999999992</v>
      </c>
      <c r="I10" s="282"/>
      <c r="J10" s="175">
        <f>H10/DAY(B2)</f>
        <v>3957.6741176470582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37170</v>
      </c>
      <c r="F11" s="95">
        <v>37170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19386.580000000075</v>
      </c>
      <c r="H13" s="99">
        <f>G13+'16'!H13</f>
        <v>316255.97000000003</v>
      </c>
      <c r="I13" s="120">
        <f>G7-G13</f>
        <v>589.8399999999674</v>
      </c>
      <c r="J13" s="175">
        <f>H13/DAY(B2)</f>
        <v>18603.292352941178</v>
      </c>
      <c r="K13" s="79"/>
      <c r="L13" s="66"/>
      <c r="N13" s="87"/>
      <c r="O13" s="71"/>
    </row>
    <row r="14" spans="1:15" ht="27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1923793.1950000001</v>
      </c>
      <c r="F15" s="123">
        <v>1924816.575</v>
      </c>
      <c r="G15" s="112">
        <f>(F15-E15)</f>
        <v>1023.3799999998882</v>
      </c>
      <c r="H15" s="99">
        <f>G15+'16'!H15</f>
        <v>18179.807999999961</v>
      </c>
      <c r="I15" s="113">
        <f>'1'!I15</f>
        <v>800</v>
      </c>
      <c r="J15" s="175">
        <f>H15/DAY(B2)</f>
        <v>1069.400470588233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-269.40047058823302</v>
      </c>
      <c r="J16" s="176"/>
      <c r="K16" s="79"/>
      <c r="L16" s="66"/>
      <c r="N16" s="87"/>
      <c r="O16" s="71"/>
    </row>
    <row r="17" spans="1:15" ht="27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3" t="s">
        <v>141</v>
      </c>
      <c r="B18" s="854"/>
      <c r="C18" s="855"/>
      <c r="D18" s="151" t="s">
        <v>142</v>
      </c>
      <c r="E18" s="95">
        <f>'16'!F18</f>
        <v>24</v>
      </c>
      <c r="F18" s="122">
        <v>25</v>
      </c>
      <c r="G18" s="119">
        <f>F18*10</f>
        <v>250</v>
      </c>
      <c r="H18" s="99">
        <f>G18+'16'!H18</f>
        <v>3780</v>
      </c>
      <c r="I18" s="113">
        <f>'1'!I18</f>
        <v>65</v>
      </c>
      <c r="J18" s="175">
        <f>H18/DAY(B2)</f>
        <v>222.35294117647058</v>
      </c>
      <c r="K18" s="79"/>
      <c r="L18" s="66"/>
      <c r="N18" s="87"/>
      <c r="O18" s="71"/>
    </row>
    <row r="19" spans="1:15" ht="27.75" customHeight="1" x14ac:dyDescent="0.5">
      <c r="A19" s="853" t="s">
        <v>69</v>
      </c>
      <c r="B19" s="854"/>
      <c r="C19" s="855"/>
      <c r="D19" s="151" t="s">
        <v>142</v>
      </c>
      <c r="E19" s="95">
        <f>'16'!F19</f>
        <v>154750</v>
      </c>
      <c r="F19" s="122">
        <v>154806</v>
      </c>
      <c r="G19" s="112">
        <f t="shared" ref="G19" si="1">F19-E19</f>
        <v>56</v>
      </c>
      <c r="H19" s="99">
        <f>G19+'16'!H19</f>
        <v>915</v>
      </c>
      <c r="I19" s="335"/>
      <c r="J19" s="175">
        <f>H19/DAY(B2)</f>
        <v>53.823529411764703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G20+'16'!H20</f>
        <v>4695</v>
      </c>
      <c r="I20" s="336">
        <f>I18-J20</f>
        <v>-211.1764705882353</v>
      </c>
      <c r="J20" s="175">
        <f>H20/DAY(B2)</f>
        <v>276.1764705882353</v>
      </c>
      <c r="K20" s="79"/>
      <c r="L20" s="66"/>
      <c r="N20" s="87"/>
      <c r="O20" s="71"/>
    </row>
    <row r="21" spans="1:15" ht="27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20039.870000000003</v>
      </c>
      <c r="F27" s="136">
        <v>9</v>
      </c>
      <c r="G27" s="137">
        <f>E27*F27</f>
        <v>180358.83000000002</v>
      </c>
      <c r="H27" s="99">
        <f>G27+'16'!H27</f>
        <v>3104377.38</v>
      </c>
      <c r="I27" s="138"/>
      <c r="J27" s="175">
        <f>H27/DAY(B2)</f>
        <v>182610.43411764706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1023.3799999998882</v>
      </c>
      <c r="F28" s="136">
        <v>52</v>
      </c>
      <c r="G28" s="137">
        <f>E28*F28</f>
        <v>53215.759999994189</v>
      </c>
      <c r="H28" s="99">
        <f>G28+'16'!H28</f>
        <v>1008278.015999998</v>
      </c>
      <c r="I28" s="140"/>
      <c r="J28" s="175">
        <f>H28/DAY(B2)</f>
        <v>59310.471529411647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G30+'16'!H30</f>
        <v>134445</v>
      </c>
      <c r="I30" s="140"/>
      <c r="J30" s="175">
        <f>H30/DAY(B2)</f>
        <v>7908.5294117647063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G31+'16'!H31</f>
        <v>302400</v>
      </c>
      <c r="I31" s="140"/>
      <c r="J31" s="175">
        <f>H31/DAY(B2)</f>
        <v>17788.235294117647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261750.5899999942</v>
      </c>
      <c r="H32" s="99">
        <f>G32+'16'!H32</f>
        <v>4549500.3959999979</v>
      </c>
      <c r="I32" s="144"/>
      <c r="J32" s="175">
        <f>H32/DAY(B2)</f>
        <v>267617.67035294103</v>
      </c>
      <c r="K32" s="63"/>
      <c r="L32" s="89"/>
      <c r="N32" s="87"/>
      <c r="O32" s="71"/>
    </row>
    <row r="33" spans="1:15" ht="27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56048.7</v>
      </c>
      <c r="F35" s="145">
        <v>57519.68</v>
      </c>
      <c r="G35" s="112">
        <f t="shared" ref="G35:G46" si="3">F35-E35</f>
        <v>1470.9800000000032</v>
      </c>
      <c r="H35" s="99">
        <f>G35+'16'!H35</f>
        <v>25514.7</v>
      </c>
      <c r="I35" s="95"/>
      <c r="J35" s="175">
        <f>H35/DAY(B2)</f>
        <v>1500.8647058823531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58343.39</v>
      </c>
      <c r="F36" s="145">
        <v>59248.61</v>
      </c>
      <c r="G36" s="112">
        <f t="shared" si="3"/>
        <v>905.22000000000116</v>
      </c>
      <c r="H36" s="99">
        <f>G36+'16'!H36</f>
        <v>15789.870000000003</v>
      </c>
      <c r="I36" s="95"/>
      <c r="J36" s="175">
        <f>H36/DAY(B2)</f>
        <v>928.81588235294134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62124.480000000003</v>
      </c>
      <c r="F37" s="145">
        <v>63882.18</v>
      </c>
      <c r="G37" s="112">
        <f t="shared" si="3"/>
        <v>1757.6999999999971</v>
      </c>
      <c r="H37" s="99">
        <f>G37+'16'!H37</f>
        <v>28457.090000000004</v>
      </c>
      <c r="I37" s="95"/>
      <c r="J37" s="175">
        <f>H37/DAY(B2)</f>
        <v>1673.9464705882356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69302.740000000005</v>
      </c>
      <c r="F38" s="108">
        <v>71344</v>
      </c>
      <c r="G38" s="112">
        <f t="shared" si="3"/>
        <v>2041.2599999999948</v>
      </c>
      <c r="H38" s="99">
        <f>G38+'16'!H38</f>
        <v>32967.57</v>
      </c>
      <c r="I38" s="95"/>
      <c r="J38" s="175">
        <f>H38/DAY(B2)</f>
        <v>1939.2688235294117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106480.88</v>
      </c>
      <c r="F39" s="145">
        <v>109495.02</v>
      </c>
      <c r="G39" s="112">
        <f t="shared" si="3"/>
        <v>3014.1399999999994</v>
      </c>
      <c r="H39" s="99">
        <f>G39+'16'!H39</f>
        <v>50321.73</v>
      </c>
      <c r="I39" s="95"/>
      <c r="J39" s="175">
        <f>H39/DAY(B2)</f>
        <v>2960.1017647058825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27923.39</v>
      </c>
      <c r="F40" s="549">
        <v>28147.47</v>
      </c>
      <c r="G40" s="112">
        <f t="shared" si="3"/>
        <v>224.08000000000175</v>
      </c>
      <c r="H40" s="99">
        <f>G40+'16'!H40</f>
        <v>6030.4799999999987</v>
      </c>
      <c r="I40" s="95"/>
      <c r="J40" s="175">
        <f>H40/DAY(B2)</f>
        <v>354.73411764705872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112">
        <f t="shared" si="3"/>
        <v>0</v>
      </c>
      <c r="H41" s="99">
        <f>G41+'16'!H41</f>
        <v>0.27000000000000313</v>
      </c>
      <c r="I41" s="95"/>
      <c r="J41" s="175">
        <f>H41/DAY(B2)</f>
        <v>1.5882352941176653E-2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149398</v>
      </c>
      <c r="F42" s="145">
        <v>153553.38</v>
      </c>
      <c r="G42" s="112">
        <f t="shared" si="3"/>
        <v>4155.3800000000047</v>
      </c>
      <c r="H42" s="99">
        <f>G42+'16'!H42</f>
        <v>53423.64</v>
      </c>
      <c r="I42" s="95"/>
      <c r="J42" s="175">
        <f>H42/DAY(B2)</f>
        <v>3142.5670588235294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149061.35</v>
      </c>
      <c r="F43" s="145">
        <v>151114.07999999999</v>
      </c>
      <c r="G43" s="112">
        <f t="shared" si="3"/>
        <v>2052.7299999999814</v>
      </c>
      <c r="H43" s="99">
        <f>G43+'16'!H43</f>
        <v>36262.479999999981</v>
      </c>
      <c r="I43" s="95"/>
      <c r="J43" s="175">
        <f>H43/DAY(B2)</f>
        <v>2133.0870588235284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15621.489999999983</v>
      </c>
      <c r="H47" s="99">
        <f>G47+'16'!H47</f>
        <v>248767.83000000002</v>
      </c>
      <c r="I47" s="95"/>
      <c r="J47" s="175">
        <f>H47/DAY(B2)</f>
        <v>14633.401764705883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46591.43</v>
      </c>
      <c r="F49" s="145">
        <v>48028</v>
      </c>
      <c r="G49" s="112">
        <f t="shared" ref="G49:G58" si="4">F49-E49</f>
        <v>1436.5699999999997</v>
      </c>
      <c r="H49" s="99">
        <f>G49+'16'!H49</f>
        <v>23031.81</v>
      </c>
      <c r="I49" s="95"/>
      <c r="J49" s="175">
        <f>H49/DAY(B2)</f>
        <v>1354.8123529411766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76606.929999999993</v>
      </c>
      <c r="F50" s="145">
        <v>77706.53</v>
      </c>
      <c r="G50" s="112">
        <f t="shared" si="4"/>
        <v>1099.6000000000058</v>
      </c>
      <c r="H50" s="99">
        <f>G50+'16'!H50</f>
        <v>21319.9</v>
      </c>
      <c r="I50" s="95"/>
      <c r="J50" s="175">
        <f>H50/DAY(B2)</f>
        <v>1254.1117647058825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12850.75</v>
      </c>
      <c r="F54" s="145">
        <v>13381.39</v>
      </c>
      <c r="G54" s="112">
        <f t="shared" si="4"/>
        <v>530.63999999999942</v>
      </c>
      <c r="H54" s="99">
        <f>G54+'16'!H54</f>
        <v>8233.9699999999993</v>
      </c>
      <c r="I54" s="95"/>
      <c r="J54" s="175">
        <f>H54/DAY(B2)</f>
        <v>484.3511764705882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90578.89</v>
      </c>
      <c r="F55" s="145">
        <v>90578.89</v>
      </c>
      <c r="G55" s="112">
        <f t="shared" si="4"/>
        <v>0</v>
      </c>
      <c r="H55" s="99">
        <f>G55+'16'!H55</f>
        <v>16212.779999999999</v>
      </c>
      <c r="I55" s="95"/>
      <c r="J55" s="175">
        <f>H55/DAY(B2)</f>
        <v>953.69294117647053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8723.6299999999992</v>
      </c>
      <c r="F56" s="145">
        <v>8723.6299999999992</v>
      </c>
      <c r="G56" s="112">
        <f t="shared" si="4"/>
        <v>0</v>
      </c>
      <c r="H56" s="99">
        <f>G56+'16'!H56</f>
        <v>113.08999999999833</v>
      </c>
      <c r="I56" s="95"/>
      <c r="J56" s="175">
        <f>H56/DAY(B2)</f>
        <v>6.652352941176372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8204.93</v>
      </c>
      <c r="F58" s="549">
        <v>8428</v>
      </c>
      <c r="G58" s="112">
        <f t="shared" si="4"/>
        <v>223.06999999999971</v>
      </c>
      <c r="H58" s="99">
        <f>G58+'16'!H58</f>
        <v>3631.79</v>
      </c>
      <c r="I58" s="95"/>
      <c r="J58" s="175">
        <f>H58/DAY(B2)</f>
        <v>213.63470588235293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3289.8800000000047</v>
      </c>
      <c r="H59" s="99">
        <f>G59+'16'!H59</f>
        <v>72543.34</v>
      </c>
      <c r="I59" s="95">
        <f>G7-G60</f>
        <v>1065.0500000000538</v>
      </c>
      <c r="J59" s="175">
        <f>H59/DAY(B2)</f>
        <v>4267.2552941176473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18911.369999999988</v>
      </c>
      <c r="H60" s="99">
        <f>G60+'16'!H60</f>
        <v>321311.17000000004</v>
      </c>
      <c r="I60" s="95">
        <f>G13-G60</f>
        <v>475.21000000008644</v>
      </c>
      <c r="J60" s="175">
        <f>H60/DAY(B2)</f>
        <v>18900.657058823534</v>
      </c>
      <c r="K60" s="79"/>
      <c r="L60" s="66"/>
      <c r="N60" s="87"/>
      <c r="O60" s="71"/>
    </row>
    <row r="61" spans="1:15" s="68" customFormat="1" ht="27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3" t="s">
        <v>198</v>
      </c>
      <c r="B62" s="854"/>
      <c r="C62" s="855"/>
      <c r="D62" s="151" t="s">
        <v>142</v>
      </c>
      <c r="E62" s="95">
        <f>'16'!F62</f>
        <v>271676</v>
      </c>
      <c r="F62" s="122">
        <v>271865</v>
      </c>
      <c r="G62" s="112">
        <f t="shared" ref="G62:G63" si="5">F62-E62</f>
        <v>189</v>
      </c>
      <c r="H62" s="99">
        <f>G62+'16'!H62</f>
        <v>2349</v>
      </c>
      <c r="I62" s="118"/>
      <c r="J62" s="175">
        <f>H62/DAY(B2)</f>
        <v>138.1764705882353</v>
      </c>
      <c r="K62" s="80"/>
      <c r="L62" s="66"/>
      <c r="N62" s="87"/>
      <c r="O62" s="71"/>
    </row>
    <row r="63" spans="1:15" ht="27.75" customHeight="1" x14ac:dyDescent="0.5">
      <c r="A63" s="853" t="s">
        <v>199</v>
      </c>
      <c r="B63" s="854"/>
      <c r="C63" s="855"/>
      <c r="D63" s="151" t="s">
        <v>142</v>
      </c>
      <c r="E63" s="95">
        <f>'16'!F63</f>
        <v>217846</v>
      </c>
      <c r="F63" s="122">
        <v>217964</v>
      </c>
      <c r="G63" s="112">
        <f t="shared" si="5"/>
        <v>118</v>
      </c>
      <c r="H63" s="99">
        <f>G63+'16'!H63</f>
        <v>2167</v>
      </c>
      <c r="I63" s="118"/>
      <c r="J63" s="175">
        <f>H63/DAY(B2)</f>
        <v>127.47058823529412</v>
      </c>
      <c r="K63" s="69"/>
      <c r="L63" s="66"/>
      <c r="N63" s="87"/>
      <c r="O63" s="71"/>
    </row>
    <row r="64" spans="1:15" ht="27.75" customHeight="1" x14ac:dyDescent="0.5">
      <c r="A64" s="850" t="s">
        <v>200</v>
      </c>
      <c r="B64" s="851"/>
      <c r="C64" s="852"/>
      <c r="D64" s="151"/>
      <c r="E64" s="95">
        <f>'16'!F64</f>
        <v>0</v>
      </c>
      <c r="F64" s="122"/>
      <c r="G64" s="112">
        <f>G62+G63</f>
        <v>307</v>
      </c>
      <c r="H64" s="99">
        <f>G64+'16'!H64</f>
        <v>4516</v>
      </c>
      <c r="I64" s="118"/>
      <c r="J64" s="175">
        <f>H64/DAY(B2)</f>
        <v>265.64705882352939</v>
      </c>
      <c r="K64" s="69"/>
      <c r="L64" s="66"/>
      <c r="N64" s="87"/>
      <c r="O64" s="71"/>
    </row>
    <row r="65" spans="1:15" ht="27.75" customHeight="1" x14ac:dyDescent="0.5">
      <c r="A65" s="853" t="s">
        <v>201</v>
      </c>
      <c r="B65" s="854"/>
      <c r="C65" s="855"/>
      <c r="D65" s="151" t="s">
        <v>142</v>
      </c>
      <c r="E65" s="95">
        <f>'16'!F65</f>
        <v>436551</v>
      </c>
      <c r="F65" s="122">
        <v>436667</v>
      </c>
      <c r="G65" s="112">
        <f t="shared" ref="G65:G70" si="6">F65-E65</f>
        <v>116</v>
      </c>
      <c r="H65" s="99">
        <f>G65+'16'!H65</f>
        <v>1744</v>
      </c>
      <c r="I65" s="118"/>
      <c r="J65" s="175">
        <f>H65/DAY(B2)</f>
        <v>102.58823529411765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108149</v>
      </c>
      <c r="F66" s="122">
        <v>108168</v>
      </c>
      <c r="G66" s="112">
        <f t="shared" si="6"/>
        <v>19</v>
      </c>
      <c r="H66" s="99">
        <f>G66+'16'!H66</f>
        <v>425</v>
      </c>
      <c r="I66" s="118"/>
      <c r="J66" s="175">
        <f>H66/DAY(B2)</f>
        <v>25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105364</v>
      </c>
      <c r="F67" s="122">
        <v>105450</v>
      </c>
      <c r="G67" s="112">
        <f t="shared" si="6"/>
        <v>86</v>
      </c>
      <c r="H67" s="99">
        <f>G67+'16'!H67</f>
        <v>802</v>
      </c>
      <c r="I67" s="118"/>
      <c r="J67" s="175">
        <f>H67/DAY(B2)</f>
        <v>47.176470588235297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158319</v>
      </c>
      <c r="F68" s="122">
        <v>158374</v>
      </c>
      <c r="G68" s="112">
        <f t="shared" si="6"/>
        <v>55</v>
      </c>
      <c r="H68" s="99">
        <f>G68+'16'!H68</f>
        <v>677</v>
      </c>
      <c r="I68" s="118"/>
      <c r="J68" s="175">
        <f>H68/DAY(B2)</f>
        <v>39.823529411764703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10759</v>
      </c>
      <c r="F69" s="122">
        <v>10772</v>
      </c>
      <c r="G69" s="112">
        <f t="shared" si="6"/>
        <v>13</v>
      </c>
      <c r="H69" s="99">
        <f>G69+'16'!H69</f>
        <v>231</v>
      </c>
      <c r="I69" s="118"/>
      <c r="J69" s="175">
        <f>H69/DAY(B2)</f>
        <v>13.588235294117647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8312</v>
      </c>
      <c r="F70" s="122">
        <v>8326</v>
      </c>
      <c r="G70" s="112">
        <f t="shared" si="6"/>
        <v>14</v>
      </c>
      <c r="H70" s="99">
        <f>G70+'16'!H70</f>
        <v>206</v>
      </c>
      <c r="I70" s="118"/>
      <c r="J70" s="175">
        <f>H70/DAY(B2)</f>
        <v>12.117647058823529</v>
      </c>
      <c r="K70" s="69"/>
      <c r="L70" s="66"/>
      <c r="N70" s="87"/>
      <c r="O70" s="71"/>
    </row>
    <row r="71" spans="1:15" ht="27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303</v>
      </c>
      <c r="H71" s="99">
        <f>G71+'16'!H71</f>
        <v>4085</v>
      </c>
      <c r="I71" s="154"/>
      <c r="J71" s="175">
        <f>H71/DAY(B2)</f>
        <v>240.29411764705881</v>
      </c>
      <c r="K71" s="69"/>
      <c r="L71" s="66"/>
      <c r="N71" s="87"/>
      <c r="O71" s="71"/>
    </row>
    <row r="72" spans="1:15" s="88" customFormat="1" ht="27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3" t="s">
        <v>220</v>
      </c>
      <c r="B74" s="854"/>
      <c r="C74" s="855"/>
      <c r="D74" s="151" t="s">
        <v>139</v>
      </c>
      <c r="E74" s="95">
        <f>'16'!F74</f>
        <v>906171.17</v>
      </c>
      <c r="F74" s="117">
        <v>906469.79</v>
      </c>
      <c r="G74" s="112">
        <f t="shared" ref="G74:G78" si="7">F74-E74</f>
        <v>298.61999999999534</v>
      </c>
      <c r="H74" s="99">
        <f>G74+'16'!H74</f>
        <v>5163.6410000000615</v>
      </c>
      <c r="I74" s="154"/>
      <c r="J74" s="175">
        <f>H74/DAY(B2)</f>
        <v>303.74358823529775</v>
      </c>
      <c r="K74" s="69"/>
      <c r="L74" s="66"/>
      <c r="N74" s="87"/>
      <c r="O74" s="71"/>
    </row>
    <row r="75" spans="1:15" ht="27.75" customHeight="1" x14ac:dyDescent="0.5">
      <c r="A75" s="853" t="s">
        <v>221</v>
      </c>
      <c r="B75" s="854"/>
      <c r="C75" s="855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97" t="s">
        <v>222</v>
      </c>
      <c r="B76" s="883"/>
      <c r="C76" s="884"/>
      <c r="D76" s="151" t="s">
        <v>139</v>
      </c>
      <c r="E76" s="95">
        <f>'16'!F76</f>
        <v>171798.83</v>
      </c>
      <c r="F76" s="123">
        <v>171894.23</v>
      </c>
      <c r="G76" s="112">
        <f t="shared" si="7"/>
        <v>95.400000000023283</v>
      </c>
      <c r="H76" s="99">
        <f>G76+'16'!H76</f>
        <v>1919.2300000000105</v>
      </c>
      <c r="I76" s="154"/>
      <c r="J76" s="175">
        <f>H76/DAY(B2)</f>
        <v>112.8958823529418</v>
      </c>
      <c r="K76" s="69"/>
      <c r="L76" s="66"/>
      <c r="N76" s="87"/>
      <c r="O76" s="71"/>
    </row>
    <row r="77" spans="1:15" ht="27.75" customHeight="1" x14ac:dyDescent="0.5">
      <c r="A77" s="897" t="s">
        <v>223</v>
      </c>
      <c r="B77" s="883"/>
      <c r="C77" s="884"/>
      <c r="D77" s="151" t="s">
        <v>139</v>
      </c>
      <c r="E77" s="95">
        <f>'16'!F77</f>
        <v>42069.599999999999</v>
      </c>
      <c r="F77" s="123">
        <v>42106.400000000001</v>
      </c>
      <c r="G77" s="112">
        <f t="shared" si="7"/>
        <v>36.80000000000291</v>
      </c>
      <c r="H77" s="99">
        <f>G77+'16'!H77</f>
        <v>804.20000000000437</v>
      </c>
      <c r="I77" s="154"/>
      <c r="J77" s="175">
        <f>H77/DAY(B2)</f>
        <v>47.305882352941431</v>
      </c>
      <c r="K77" s="69"/>
      <c r="L77" s="66"/>
      <c r="N77" s="87"/>
      <c r="O77" s="71"/>
    </row>
    <row r="78" spans="1:15" ht="27.75" customHeight="1" x14ac:dyDescent="0.5">
      <c r="A78" s="897" t="s">
        <v>224</v>
      </c>
      <c r="B78" s="883"/>
      <c r="C78" s="884"/>
      <c r="D78" s="151" t="s">
        <v>139</v>
      </c>
      <c r="E78" s="95">
        <f>'16'!F78</f>
        <v>9538</v>
      </c>
      <c r="F78" s="123">
        <v>9539.9</v>
      </c>
      <c r="G78" s="112">
        <f t="shared" si="7"/>
        <v>1.8999999999996362</v>
      </c>
      <c r="H78" s="99">
        <f>G78+'16'!H78</f>
        <v>26.899999999999636</v>
      </c>
      <c r="I78" s="118"/>
      <c r="J78" s="175">
        <f>H78/DAY(B2)</f>
        <v>1.5823529411764492</v>
      </c>
      <c r="K78" s="69"/>
      <c r="L78" s="66"/>
      <c r="N78" s="87"/>
      <c r="O78" s="71"/>
    </row>
    <row r="79" spans="1:15" s="57" customFormat="1" ht="27.75" customHeight="1" x14ac:dyDescent="0.5">
      <c r="A79" s="897" t="s">
        <v>225</v>
      </c>
      <c r="B79" s="883"/>
      <c r="C79" s="884"/>
      <c r="D79" s="151"/>
      <c r="E79" s="95">
        <f>'16'!F79</f>
        <v>0</v>
      </c>
      <c r="F79" s="123"/>
      <c r="G79" s="112">
        <f>G15-SUM(G74:G78)</f>
        <v>590.65999999986707</v>
      </c>
      <c r="H79" s="99">
        <f>G79+'16'!H79</f>
        <v>10265.836999999885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1023.3799999998882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112">
        <f t="shared" si="8"/>
        <v>0</v>
      </c>
      <c r="H84" s="99">
        <f>G84+'16'!H84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2527.54</v>
      </c>
      <c r="F85" s="164">
        <v>2551.4</v>
      </c>
      <c r="G85" s="112">
        <f t="shared" si="8"/>
        <v>23.860000000000127</v>
      </c>
      <c r="H85" s="99">
        <f>G85+'16'!H85</f>
        <v>290.98</v>
      </c>
      <c r="I85" s="118">
        <f>G82+G83+G84+G85</f>
        <v>23.860000000000127</v>
      </c>
      <c r="J85" s="175">
        <f>H85/DAY(B2)</f>
        <v>17.116470588235295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43564</v>
      </c>
      <c r="F86" s="164">
        <v>43564</v>
      </c>
      <c r="G86" s="112">
        <f t="shared" si="8"/>
        <v>0</v>
      </c>
      <c r="H86" s="99">
        <f>G86+'16'!H86</f>
        <v>122</v>
      </c>
      <c r="I86" s="118"/>
      <c r="J86" s="175">
        <f>H86/DAY(B2)</f>
        <v>7.1764705882352944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24067.759999999998</v>
      </c>
      <c r="F88" s="164">
        <v>24067.78</v>
      </c>
      <c r="G88" s="112">
        <f t="shared" si="8"/>
        <v>2.0000000000436557E-2</v>
      </c>
      <c r="H88" s="99">
        <f>G88+'16'!H88</f>
        <v>4.3499999999985448</v>
      </c>
      <c r="I88" s="118">
        <f>G86+G87+G88</f>
        <v>2.0000000000436557E-2</v>
      </c>
      <c r="J88" s="175">
        <f>H88/DAY(B2)</f>
        <v>0.25588235294109085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26056.47</v>
      </c>
      <c r="F89" s="164">
        <v>26068.16</v>
      </c>
      <c r="G89" s="112">
        <f t="shared" si="8"/>
        <v>11.68999999999869</v>
      </c>
      <c r="H89" s="99">
        <f>G89+'16'!H89</f>
        <v>177.04000000000087</v>
      </c>
      <c r="I89" s="118"/>
      <c r="J89" s="175">
        <f>H89/DAY(B2)</f>
        <v>10.414117647058875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71232.87</v>
      </c>
      <c r="F90" s="164">
        <v>71236.649999999994</v>
      </c>
      <c r="G90" s="112">
        <f t="shared" si="8"/>
        <v>3.7799999999988358</v>
      </c>
      <c r="H90" s="99">
        <f>G90+'16'!H90</f>
        <v>73.329999999987194</v>
      </c>
      <c r="I90" s="118">
        <f>G89+G90</f>
        <v>15.469999999997526</v>
      </c>
      <c r="J90" s="175">
        <f>H90/DAY(B2)</f>
        <v>4.3135294117639527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3431.42</v>
      </c>
      <c r="F91" s="122">
        <v>3442.75</v>
      </c>
      <c r="G91" s="112">
        <f t="shared" si="8"/>
        <v>11.329999999999927</v>
      </c>
      <c r="H91" s="99">
        <f>G91+'16'!H91</f>
        <v>191.65999999999985</v>
      </c>
      <c r="I91" s="165"/>
      <c r="J91" s="175">
        <f>H91/DAY(B2)</f>
        <v>11.274117647058816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112">
        <f t="shared" si="8"/>
        <v>0</v>
      </c>
      <c r="H92" s="99">
        <f>G92+'16'!H92</f>
        <v>-6.9999999999708962E-2</v>
      </c>
      <c r="I92" s="165"/>
      <c r="J92" s="175">
        <f>H92/DAY(B2)</f>
        <v>-4.1176470588064097E-3</v>
      </c>
      <c r="O92" s="71"/>
    </row>
    <row r="93" spans="1:15" ht="27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4960.2799999999843</v>
      </c>
      <c r="H94" s="99">
        <f>G94+'16'!H94</f>
        <v>84808.989999999976</v>
      </c>
      <c r="I94" s="118"/>
      <c r="J94" s="175">
        <f>H94/DAY(B2)</f>
        <v>4988.764117647057</v>
      </c>
      <c r="K94" s="69"/>
      <c r="L94" s="66"/>
      <c r="O94" s="71"/>
    </row>
    <row r="95" spans="1:15" ht="27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0.24830675366256685</v>
      </c>
      <c r="H95" s="99">
        <f>G95+'16'!H95</f>
        <v>4.2115121869552414</v>
      </c>
      <c r="I95" s="167"/>
      <c r="J95" s="175">
        <f>H95/DAY(B2)</f>
        <v>0.24773601099736714</v>
      </c>
      <c r="K95" s="69"/>
      <c r="L95" s="66"/>
      <c r="O95" s="71"/>
    </row>
    <row r="96" spans="1:15" ht="27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4155.3800000000047</v>
      </c>
      <c r="H96" s="99">
        <f>G96+'16'!H96</f>
        <v>69749.78</v>
      </c>
      <c r="I96" s="118"/>
      <c r="J96" s="175">
        <f>H96/DAY(B2)</f>
        <v>4102.9282352941173</v>
      </c>
      <c r="K96" s="69"/>
      <c r="L96" s="66"/>
      <c r="O96" s="71"/>
    </row>
    <row r="97" spans="1:15" ht="27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0.20801424879933422</v>
      </c>
      <c r="H97" s="99">
        <f>G97+'16'!H97</f>
        <v>3.4523719436926776</v>
      </c>
      <c r="I97" s="167"/>
      <c r="J97" s="175">
        <f>H97/DAY(B2)</f>
        <v>0.20308070257015751</v>
      </c>
      <c r="K97" s="69"/>
      <c r="L97" s="66"/>
      <c r="O97" s="71"/>
    </row>
    <row r="98" spans="1:15" ht="27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3014.1399999999994</v>
      </c>
      <c r="H98" s="99">
        <f>G98+'16'!H98</f>
        <v>50321.73</v>
      </c>
      <c r="I98" s="168"/>
      <c r="J98" s="175">
        <f>H98/DAY(B2)</f>
        <v>2960.1017647058825</v>
      </c>
      <c r="K98" s="69"/>
      <c r="L98" s="66"/>
      <c r="O98" s="71"/>
    </row>
    <row r="99" spans="1:15" ht="27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0.15088489328918761</v>
      </c>
      <c r="H99" s="99">
        <f>G99+'16'!H99</f>
        <v>2.4966740910540164</v>
      </c>
      <c r="I99" s="168"/>
      <c r="J99" s="175">
        <f>H99/DAY(B2)</f>
        <v>0.14686318182670685</v>
      </c>
      <c r="O99" s="71"/>
    </row>
    <row r="100" spans="1:15" ht="27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2041.2599999999948</v>
      </c>
      <c r="H100" s="99">
        <f>G100+'16'!H100</f>
        <v>32967.57</v>
      </c>
      <c r="I100" s="118"/>
      <c r="J100" s="175">
        <f>H100/DAY(B2)</f>
        <v>1939.2688235294117</v>
      </c>
      <c r="K100" s="70"/>
      <c r="O100" s="71"/>
    </row>
    <row r="101" spans="1:15" ht="27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0.10218347431621834</v>
      </c>
      <c r="H101" s="99">
        <f>G101+'16'!H101</f>
        <v>1.6358263106457389</v>
      </c>
      <c r="I101" s="168"/>
      <c r="J101" s="175">
        <f>H101/DAY(B2)</f>
        <v>9.6225077096808165E-2</v>
      </c>
      <c r="O101" s="71"/>
    </row>
    <row r="102" spans="1:15" ht="27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2004.820000000007</v>
      </c>
      <c r="H102" s="99">
        <f>G102+'16'!H102</f>
        <v>37109.770000000004</v>
      </c>
      <c r="I102" s="168"/>
      <c r="J102" s="175">
        <f>H102/DAY(B2)</f>
        <v>2182.9276470588238</v>
      </c>
      <c r="O102" s="71"/>
    </row>
    <row r="103" spans="1:15" ht="27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0.10035932364257473</v>
      </c>
      <c r="H103" s="99">
        <f>G103+'16'!H103</f>
        <v>1.8352531768730578</v>
      </c>
      <c r="I103" s="118"/>
      <c r="J103" s="175">
        <f>H103/DAY(B2)</f>
        <v>0.10795606922782693</v>
      </c>
      <c r="O103" s="71"/>
    </row>
    <row r="104" spans="1:15" ht="27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1757.6999999999971</v>
      </c>
      <c r="H104" s="99">
        <f>G104+'16'!H104</f>
        <v>28457.090000000004</v>
      </c>
      <c r="I104" s="118"/>
      <c r="J104" s="175">
        <f>H104/DAY(B2)</f>
        <v>1673.9464705882356</v>
      </c>
      <c r="O104" s="71"/>
    </row>
    <row r="105" spans="1:15" ht="27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8.7988738722954027E-2</v>
      </c>
      <c r="H105" s="99">
        <f>G105+'16'!H105</f>
        <v>1.4144038388966782</v>
      </c>
      <c r="I105" s="187"/>
      <c r="J105" s="188">
        <f>H105/DAY(B2)</f>
        <v>8.3200225817451665E-2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7.75" customHeight="1" x14ac:dyDescent="0.5">
      <c r="A109" s="892"/>
      <c r="B109" s="892"/>
    </row>
    <row r="110" spans="1:15" ht="27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86" t="s">
        <v>252</v>
      </c>
      <c r="B112" s="887"/>
      <c r="C112" s="888"/>
      <c r="D112" s="146" t="s">
        <v>183</v>
      </c>
      <c r="E112" s="95">
        <f>'16'!F112</f>
        <v>59199.09</v>
      </c>
      <c r="F112" s="237">
        <v>59263.51</v>
      </c>
      <c r="G112" s="112">
        <f t="shared" ref="G112:G123" si="9">F112-E112</f>
        <v>64.42000000000553</v>
      </c>
      <c r="H112" s="99">
        <f>G112+'16'!H112</f>
        <v>1209.510000000002</v>
      </c>
      <c r="I112" s="165"/>
      <c r="J112" s="328">
        <f>H112/DAY(B2)</f>
        <v>71.147647058823651</v>
      </c>
    </row>
    <row r="113" spans="1:18" ht="27.75" customHeight="1" x14ac:dyDescent="0.5">
      <c r="A113" s="886" t="s">
        <v>253</v>
      </c>
      <c r="B113" s="887"/>
      <c r="C113" s="888"/>
      <c r="D113" s="146" t="s">
        <v>183</v>
      </c>
      <c r="E113" s="95">
        <f>'16'!F113</f>
        <v>53919.91</v>
      </c>
      <c r="F113" s="237">
        <v>54370.49</v>
      </c>
      <c r="G113" s="112">
        <f t="shared" si="9"/>
        <v>450.57999999999447</v>
      </c>
      <c r="H113" s="99">
        <f>G113+'16'!H113</f>
        <v>7969.5999999999985</v>
      </c>
      <c r="I113" s="165"/>
      <c r="J113" s="328">
        <f>H113/DAY(B2)</f>
        <v>468.7999999999999</v>
      </c>
    </row>
    <row r="114" spans="1:18" ht="27.75" customHeight="1" x14ac:dyDescent="0.5">
      <c r="A114" s="886" t="s">
        <v>254</v>
      </c>
      <c r="B114" s="887"/>
      <c r="C114" s="888"/>
      <c r="D114" s="146" t="s">
        <v>183</v>
      </c>
      <c r="E114" s="95">
        <f>'16'!F114</f>
        <v>38315.300000000003</v>
      </c>
      <c r="F114" s="499">
        <v>38573.800000000003</v>
      </c>
      <c r="G114" s="112">
        <f t="shared" si="9"/>
        <v>258.5</v>
      </c>
      <c r="H114" s="99">
        <f>G114+'16'!H114</f>
        <v>5413.8000000000029</v>
      </c>
      <c r="I114" s="165"/>
      <c r="J114" s="328">
        <f>H114/DAY(B2)</f>
        <v>318.45882352941192</v>
      </c>
    </row>
    <row r="115" spans="1:18" ht="27.75" customHeight="1" x14ac:dyDescent="0.5">
      <c r="A115" s="886" t="s">
        <v>255</v>
      </c>
      <c r="B115" s="887"/>
      <c r="C115" s="888"/>
      <c r="D115" s="146" t="s">
        <v>183</v>
      </c>
      <c r="E115" s="95">
        <f>'16'!F115</f>
        <v>9277.64</v>
      </c>
      <c r="F115" s="237">
        <v>9292.64</v>
      </c>
      <c r="G115" s="112">
        <f t="shared" si="9"/>
        <v>15</v>
      </c>
      <c r="H115" s="99">
        <f>G115+'16'!H115</f>
        <v>197.98999999999978</v>
      </c>
      <c r="I115" s="165"/>
      <c r="J115" s="328">
        <f>H115/DAY(B2)</f>
        <v>11.646470588235282</v>
      </c>
    </row>
    <row r="116" spans="1:18" ht="27.75" customHeight="1" x14ac:dyDescent="0.5">
      <c r="A116" s="904" t="s">
        <v>96</v>
      </c>
      <c r="B116" s="905"/>
      <c r="C116" s="906"/>
      <c r="D116" s="146" t="s">
        <v>183</v>
      </c>
      <c r="E116" s="95">
        <f>'16'!F116</f>
        <v>4151.45</v>
      </c>
      <c r="F116" s="237">
        <v>4594.79</v>
      </c>
      <c r="G116" s="112">
        <f t="shared" si="9"/>
        <v>443.34000000000015</v>
      </c>
      <c r="H116" s="99">
        <f>G116+'16'!H116</f>
        <v>4594.79</v>
      </c>
      <c r="I116" s="165"/>
      <c r="J116" s="328">
        <f>H116/DAY(B2)</f>
        <v>270.28176470588232</v>
      </c>
      <c r="Q116" s="886"/>
      <c r="R116" s="888"/>
    </row>
    <row r="117" spans="1:18" ht="27.75" customHeight="1" x14ac:dyDescent="0.5">
      <c r="A117" s="904" t="s">
        <v>184</v>
      </c>
      <c r="B117" s="905"/>
      <c r="C117" s="906"/>
      <c r="D117" s="146" t="s">
        <v>183</v>
      </c>
      <c r="E117" s="95">
        <f>'16'!F117</f>
        <v>5728.08</v>
      </c>
      <c r="F117" s="237">
        <v>5894.71</v>
      </c>
      <c r="G117" s="112">
        <f t="shared" si="9"/>
        <v>166.63000000000011</v>
      </c>
      <c r="H117" s="99">
        <f>G117+'16'!H117</f>
        <v>2556.7600000000002</v>
      </c>
      <c r="I117" s="165"/>
      <c r="J117" s="328">
        <f>H117/DAY(B2)</f>
        <v>150.39764705882354</v>
      </c>
      <c r="Q117" s="886"/>
      <c r="R117" s="888"/>
    </row>
    <row r="118" spans="1:18" ht="27.75" customHeight="1" x14ac:dyDescent="0.5">
      <c r="A118" s="881" t="s">
        <v>97</v>
      </c>
      <c r="B118" s="881"/>
      <c r="C118" s="881"/>
      <c r="D118" s="151" t="s">
        <v>183</v>
      </c>
      <c r="E118" s="95">
        <f>'16'!F118</f>
        <v>258465.09</v>
      </c>
      <c r="F118" s="237">
        <v>258853.88</v>
      </c>
      <c r="G118" s="112">
        <f t="shared" si="9"/>
        <v>388.79000000000815</v>
      </c>
      <c r="H118" s="99">
        <f>G118+'16'!H118</f>
        <v>6401.570000000007</v>
      </c>
      <c r="I118" s="165"/>
      <c r="J118" s="328">
        <f>H118/DAY(B2)</f>
        <v>376.56294117647099</v>
      </c>
      <c r="Q118" s="886"/>
      <c r="R118" s="888"/>
    </row>
    <row r="119" spans="1:18" ht="27.75" customHeight="1" x14ac:dyDescent="0.5">
      <c r="A119" s="881" t="s">
        <v>98</v>
      </c>
      <c r="B119" s="881"/>
      <c r="C119" s="881"/>
      <c r="D119" s="151" t="s">
        <v>183</v>
      </c>
      <c r="E119" s="95">
        <f>'16'!F119</f>
        <v>264901.93</v>
      </c>
      <c r="F119" s="237">
        <v>265321.09000000003</v>
      </c>
      <c r="G119" s="112">
        <f t="shared" si="9"/>
        <v>419.1600000000326</v>
      </c>
      <c r="H119" s="99">
        <f>G119+'16'!H119</f>
        <v>7172.5400000000373</v>
      </c>
      <c r="I119" s="165"/>
      <c r="J119" s="328">
        <f>H119/DAY(B2)</f>
        <v>421.914117647061</v>
      </c>
    </row>
    <row r="120" spans="1:18" ht="27.75" customHeight="1" x14ac:dyDescent="0.5">
      <c r="A120" s="881" t="s">
        <v>99</v>
      </c>
      <c r="B120" s="881"/>
      <c r="C120" s="881"/>
      <c r="D120" s="151" t="s">
        <v>183</v>
      </c>
      <c r="E120" s="95">
        <f>'16'!F120</f>
        <v>49754.879999999997</v>
      </c>
      <c r="F120" s="237">
        <v>50176.47</v>
      </c>
      <c r="G120" s="112">
        <f t="shared" si="9"/>
        <v>421.59000000000378</v>
      </c>
      <c r="H120" s="99">
        <f>G120+'16'!H120</f>
        <v>7216.8600000000006</v>
      </c>
      <c r="I120" s="165"/>
      <c r="J120" s="328">
        <f>H120/DAY(B2)</f>
        <v>424.52117647058827</v>
      </c>
    </row>
    <row r="121" spans="1:18" ht="27.75" customHeight="1" x14ac:dyDescent="0.5">
      <c r="A121" s="881" t="s">
        <v>100</v>
      </c>
      <c r="B121" s="881"/>
      <c r="C121" s="881"/>
      <c r="D121" s="151" t="s">
        <v>183</v>
      </c>
      <c r="E121" s="95">
        <f>'16'!F121</f>
        <v>409891.23</v>
      </c>
      <c r="F121" s="237">
        <v>410599.75</v>
      </c>
      <c r="G121" s="112">
        <f t="shared" si="9"/>
        <v>708.52000000001863</v>
      </c>
      <c r="H121" s="99">
        <f>G121+'16'!H121</f>
        <v>12565.320000000007</v>
      </c>
      <c r="I121" s="165"/>
      <c r="J121" s="328">
        <f>H121/DAY(B2)</f>
        <v>739.13647058823574</v>
      </c>
    </row>
    <row r="122" spans="1:18" ht="27.75" customHeight="1" x14ac:dyDescent="0.5">
      <c r="A122" s="881" t="s">
        <v>101</v>
      </c>
      <c r="B122" s="881"/>
      <c r="C122" s="881"/>
      <c r="D122" s="151" t="s">
        <v>183</v>
      </c>
      <c r="E122" s="95">
        <f>'16'!F122</f>
        <v>129741.69</v>
      </c>
      <c r="F122" s="237">
        <v>129958.97</v>
      </c>
      <c r="G122" s="112">
        <f t="shared" si="9"/>
        <v>217.27999999999884</v>
      </c>
      <c r="H122" s="99">
        <f>G122+'16'!H122</f>
        <v>3772.7900000000081</v>
      </c>
      <c r="I122" s="165"/>
      <c r="J122" s="328">
        <f>H122/DAY(B2)</f>
        <v>221.92882352941226</v>
      </c>
    </row>
    <row r="123" spans="1:18" ht="27.75" customHeight="1" x14ac:dyDescent="0.5">
      <c r="A123" s="881" t="s">
        <v>102</v>
      </c>
      <c r="B123" s="881"/>
      <c r="C123" s="881"/>
      <c r="D123" s="151" t="s">
        <v>183</v>
      </c>
      <c r="E123" s="95">
        <f>'16'!F123</f>
        <v>158145.37</v>
      </c>
      <c r="F123" s="237">
        <v>158400.78</v>
      </c>
      <c r="G123" s="112">
        <f t="shared" si="9"/>
        <v>255.41000000000349</v>
      </c>
      <c r="H123" s="99">
        <f>G123+'16'!H123</f>
        <v>4353.8299999999872</v>
      </c>
      <c r="I123" s="165"/>
      <c r="J123" s="328">
        <f>H123/DAY(B2)</f>
        <v>256.10764705882275</v>
      </c>
    </row>
    <row r="124" spans="1:18" ht="27.75" customHeight="1" x14ac:dyDescent="0.5">
      <c r="A124" s="911"/>
      <c r="B124" s="912"/>
      <c r="C124" s="913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3809.2200000000657</v>
      </c>
      <c r="H125" s="156"/>
      <c r="I125" s="327">
        <f>G125-(G39+G53)</f>
        <v>795.08000000006632</v>
      </c>
      <c r="J125" s="327"/>
    </row>
    <row r="126" spans="1:18" ht="27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86" t="s">
        <v>318</v>
      </c>
      <c r="B128" s="887"/>
      <c r="C128" s="888"/>
      <c r="D128" s="151" t="s">
        <v>183</v>
      </c>
      <c r="E128" s="95">
        <f>'16'!F128</f>
        <v>52814.63</v>
      </c>
      <c r="F128" s="165">
        <v>53102.75</v>
      </c>
      <c r="G128" s="112">
        <f t="shared" ref="G128:G133" si="10">F128-E128</f>
        <v>288.12000000000262</v>
      </c>
      <c r="H128" s="99">
        <f>G128+'16'!H128</f>
        <v>5356.75</v>
      </c>
      <c r="I128" s="165"/>
      <c r="J128" s="328">
        <f>H128/DAY(B2)</f>
        <v>315.10294117647061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30545.66</v>
      </c>
      <c r="F129" s="165">
        <v>30772.79</v>
      </c>
      <c r="G129" s="112">
        <f t="shared" si="10"/>
        <v>227.13000000000102</v>
      </c>
      <c r="H129" s="99">
        <f>G129+'16'!H129</f>
        <v>3861.9200000000019</v>
      </c>
      <c r="I129" s="165"/>
      <c r="J129" s="328">
        <f>H129/DAY(B2)</f>
        <v>227.17176470588245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45188.36</v>
      </c>
      <c r="F130" s="165">
        <v>45852.29</v>
      </c>
      <c r="G130" s="112">
        <f t="shared" si="10"/>
        <v>663.93000000000029</v>
      </c>
      <c r="H130" s="99">
        <f>G130+'16'!H130</f>
        <v>10158.290000000001</v>
      </c>
      <c r="I130" s="165"/>
      <c r="J130" s="328">
        <f>H130/DAY(B2)</f>
        <v>597.54647058823537</v>
      </c>
      <c r="N130" s="240"/>
      <c r="O130" s="241"/>
    </row>
    <row r="131" spans="1:15" ht="27.75" customHeight="1" x14ac:dyDescent="0.5">
      <c r="A131" s="886" t="s">
        <v>321</v>
      </c>
      <c r="B131" s="887"/>
      <c r="C131" s="888"/>
      <c r="D131" s="151" t="s">
        <v>183</v>
      </c>
      <c r="E131" s="95">
        <f>'16'!F131</f>
        <v>17009.689999999999</v>
      </c>
      <c r="F131" s="165">
        <v>17139.900000000001</v>
      </c>
      <c r="G131" s="112">
        <f t="shared" si="10"/>
        <v>130.21000000000276</v>
      </c>
      <c r="H131" s="99">
        <f>G131+'16'!H131</f>
        <v>1832.2200000000012</v>
      </c>
      <c r="I131" s="165"/>
      <c r="J131" s="328">
        <f>H131/DAY(B2)</f>
        <v>107.7776470588236</v>
      </c>
      <c r="N131" s="240"/>
      <c r="O131" s="241"/>
    </row>
    <row r="132" spans="1:15" ht="27.75" customHeight="1" x14ac:dyDescent="0.5">
      <c r="A132" s="886" t="s">
        <v>322</v>
      </c>
      <c r="B132" s="887"/>
      <c r="C132" s="888"/>
      <c r="D132" s="151" t="s">
        <v>183</v>
      </c>
      <c r="E132" s="95">
        <f>'16'!F132</f>
        <v>58038.400000000001</v>
      </c>
      <c r="F132" s="165">
        <v>58456.7</v>
      </c>
      <c r="G132" s="112">
        <f t="shared" si="10"/>
        <v>418.29999999999563</v>
      </c>
      <c r="H132" s="99">
        <f>G132+'16'!H132</f>
        <v>6608.3999999999942</v>
      </c>
      <c r="I132" s="165"/>
      <c r="J132" s="328">
        <f>H132/DAY(B2)</f>
        <v>388.72941176470556</v>
      </c>
    </row>
    <row r="133" spans="1:15" ht="27.75" customHeight="1" x14ac:dyDescent="0.5">
      <c r="A133" s="886" t="s">
        <v>362</v>
      </c>
      <c r="B133" s="887"/>
      <c r="C133" s="888"/>
      <c r="D133" s="151" t="s">
        <v>183</v>
      </c>
      <c r="E133" s="95">
        <f>'16'!F133</f>
        <v>115370.56</v>
      </c>
      <c r="F133" s="165">
        <v>116028.12</v>
      </c>
      <c r="G133" s="112">
        <f t="shared" si="10"/>
        <v>657.55999999999767</v>
      </c>
      <c r="H133" s="99">
        <f>G133+'16'!H133</f>
        <v>10684.419999999998</v>
      </c>
      <c r="I133" s="165"/>
      <c r="J133" s="328">
        <f>H133/DAY(B2)</f>
        <v>628.49529411764695</v>
      </c>
    </row>
    <row r="134" spans="1:15" ht="27.75" customHeight="1" x14ac:dyDescent="0.5">
      <c r="A134" s="886" t="s">
        <v>340</v>
      </c>
      <c r="B134" s="887"/>
      <c r="C134" s="888"/>
      <c r="D134" s="151" t="s">
        <v>183</v>
      </c>
      <c r="E134" s="95">
        <f>'16'!F134</f>
        <v>11529.74</v>
      </c>
      <c r="F134" s="165">
        <v>11601.75</v>
      </c>
      <c r="G134" s="112">
        <f>F134-E134</f>
        <v>72.010000000000218</v>
      </c>
      <c r="H134" s="99">
        <f>G134+'16'!H134</f>
        <v>3000.5200000000004</v>
      </c>
      <c r="I134" s="165"/>
      <c r="J134" s="328">
        <f>H134/DAY(B2)</f>
        <v>176.50117647058826</v>
      </c>
    </row>
    <row r="135" spans="1:15" ht="27.7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2457.2600000000002</v>
      </c>
      <c r="H135" s="99">
        <f>G135+'10'!H135</f>
        <v>25913.480000000003</v>
      </c>
      <c r="I135" s="327">
        <f>G135-(G35+G49)</f>
        <v>-450.29000000000269</v>
      </c>
      <c r="J135" s="328"/>
    </row>
    <row r="136" spans="1:15" ht="27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47" t="s">
        <v>185</v>
      </c>
      <c r="B138" s="947"/>
      <c r="C138" s="947"/>
      <c r="D138" s="233" t="s">
        <v>183</v>
      </c>
      <c r="E138" s="488">
        <f>'16'!F138</f>
        <v>867595</v>
      </c>
      <c r="F138" s="148">
        <v>867711</v>
      </c>
      <c r="G138" s="236">
        <f t="shared" ref="G138:G152" si="11">F138-E138</f>
        <v>116</v>
      </c>
      <c r="H138" s="238">
        <f>G138+'16'!H138</f>
        <v>1538</v>
      </c>
      <c r="I138" s="489"/>
      <c r="J138" s="490">
        <f>H138/DAY(B2)</f>
        <v>90.470588235294116</v>
      </c>
    </row>
    <row r="139" spans="1:15" ht="27.75" customHeight="1" x14ac:dyDescent="0.5">
      <c r="A139" s="947" t="s">
        <v>186</v>
      </c>
      <c r="B139" s="947"/>
      <c r="C139" s="947"/>
      <c r="D139" s="233" t="s">
        <v>183</v>
      </c>
      <c r="E139" s="488">
        <f>'16'!F139</f>
        <v>886676</v>
      </c>
      <c r="F139" s="148">
        <v>886678</v>
      </c>
      <c r="G139" s="236">
        <f t="shared" si="11"/>
        <v>2</v>
      </c>
      <c r="H139" s="238">
        <f>G139+'16'!H139</f>
        <v>105</v>
      </c>
      <c r="I139" s="489"/>
      <c r="J139" s="490">
        <f>H139/DAY(B2)</f>
        <v>6.1764705882352944</v>
      </c>
    </row>
    <row r="140" spans="1:15" ht="27.75" customHeight="1" x14ac:dyDescent="0.5">
      <c r="A140" s="947" t="s">
        <v>187</v>
      </c>
      <c r="B140" s="947"/>
      <c r="C140" s="947"/>
      <c r="D140" s="233" t="s">
        <v>183</v>
      </c>
      <c r="E140" s="488">
        <f>'16'!F140</f>
        <v>88948</v>
      </c>
      <c r="F140" s="148">
        <v>88948</v>
      </c>
      <c r="G140" s="236">
        <f t="shared" si="11"/>
        <v>0</v>
      </c>
      <c r="H140" s="238">
        <f>G140+'16'!H140</f>
        <v>26</v>
      </c>
      <c r="I140" s="489"/>
      <c r="J140" s="490">
        <f>H140/DAY(B2)</f>
        <v>1.5294117647058822</v>
      </c>
    </row>
    <row r="141" spans="1:15" ht="27.75" customHeight="1" x14ac:dyDescent="0.5">
      <c r="A141" s="954" t="s">
        <v>188</v>
      </c>
      <c r="B141" s="954"/>
      <c r="C141" s="954"/>
      <c r="D141" s="233" t="s">
        <v>183</v>
      </c>
      <c r="E141" s="488">
        <f>'16'!F141</f>
        <v>57513.79</v>
      </c>
      <c r="F141" s="148">
        <v>57697.48</v>
      </c>
      <c r="G141" s="236">
        <f t="shared" si="11"/>
        <v>183.69000000000233</v>
      </c>
      <c r="H141" s="238">
        <f>G141+'16'!H141</f>
        <v>3011.9000000000015</v>
      </c>
      <c r="I141" s="489"/>
      <c r="J141" s="490">
        <f>H141/DAY(B2)</f>
        <v>177.17058823529419</v>
      </c>
    </row>
    <row r="142" spans="1:15" ht="27.75" customHeight="1" x14ac:dyDescent="0.5">
      <c r="A142" s="954" t="s">
        <v>189</v>
      </c>
      <c r="B142" s="954"/>
      <c r="C142" s="954"/>
      <c r="D142" s="233" t="s">
        <v>183</v>
      </c>
      <c r="E142" s="488">
        <f>'16'!F142</f>
        <v>22391.64</v>
      </c>
      <c r="F142" s="148">
        <v>22455.97</v>
      </c>
      <c r="G142" s="236">
        <f t="shared" si="11"/>
        <v>64.330000000001746</v>
      </c>
      <c r="H142" s="238">
        <f>G142+'16'!H142</f>
        <v>1171.8700000000026</v>
      </c>
      <c r="I142" s="738"/>
      <c r="J142" s="490">
        <f>H142/DAY(B2)</f>
        <v>68.933529411764866</v>
      </c>
    </row>
    <row r="143" spans="1:15" ht="27.75" customHeight="1" x14ac:dyDescent="0.5">
      <c r="A143" s="947" t="s">
        <v>91</v>
      </c>
      <c r="B143" s="947"/>
      <c r="C143" s="947"/>
      <c r="D143" s="233" t="s">
        <v>183</v>
      </c>
      <c r="E143" s="488">
        <f>'16'!F143</f>
        <v>4287.7700000000004</v>
      </c>
      <c r="F143" s="148">
        <v>4313.3500000000004</v>
      </c>
      <c r="G143" s="236">
        <f t="shared" si="11"/>
        <v>25.579999999999927</v>
      </c>
      <c r="H143" s="238">
        <f>G143+'16'!H143</f>
        <v>477.96000000000049</v>
      </c>
      <c r="I143" s="738"/>
      <c r="J143" s="490">
        <f>H143/DAY(B2)</f>
        <v>28.115294117647089</v>
      </c>
    </row>
    <row r="144" spans="1:15" ht="27.75" customHeight="1" x14ac:dyDescent="0.5">
      <c r="A144" s="954" t="s">
        <v>90</v>
      </c>
      <c r="B144" s="954"/>
      <c r="C144" s="954"/>
      <c r="D144" s="233" t="s">
        <v>183</v>
      </c>
      <c r="E144" s="488">
        <f>'16'!F144</f>
        <v>879855</v>
      </c>
      <c r="F144" s="148">
        <v>880067</v>
      </c>
      <c r="G144" s="236">
        <f t="shared" si="11"/>
        <v>212</v>
      </c>
      <c r="H144" s="238">
        <f>G144+'16'!H144</f>
        <v>3580</v>
      </c>
      <c r="I144" s="738"/>
      <c r="J144" s="490">
        <f>H144/DAY(B2)</f>
        <v>210.58823529411765</v>
      </c>
    </row>
    <row r="145" spans="1:10" ht="27.75" customHeight="1" x14ac:dyDescent="0.5">
      <c r="A145" s="947" t="s">
        <v>190</v>
      </c>
      <c r="B145" s="947"/>
      <c r="C145" s="947"/>
      <c r="D145" s="233" t="s">
        <v>183</v>
      </c>
      <c r="E145" s="488">
        <f>'16'!F145</f>
        <v>5163</v>
      </c>
      <c r="F145" s="148">
        <v>5177.7299999999996</v>
      </c>
      <c r="G145" s="236">
        <f t="shared" si="11"/>
        <v>14.729999999999563</v>
      </c>
      <c r="H145" s="238">
        <f>G145+'16'!H145</f>
        <v>218.88999999999942</v>
      </c>
      <c r="I145" s="738"/>
      <c r="J145" s="490">
        <f>H145/DAY(B2)</f>
        <v>12.875882352941142</v>
      </c>
    </row>
    <row r="146" spans="1:10" ht="27.75" customHeight="1" x14ac:dyDescent="0.5">
      <c r="A146" s="960" t="s">
        <v>191</v>
      </c>
      <c r="B146" s="961"/>
      <c r="C146" s="962"/>
      <c r="D146" s="233" t="s">
        <v>183</v>
      </c>
      <c r="E146" s="488">
        <f>'16'!F146</f>
        <v>744360</v>
      </c>
      <c r="F146" s="148">
        <v>744789</v>
      </c>
      <c r="G146" s="236">
        <f t="shared" si="11"/>
        <v>429</v>
      </c>
      <c r="H146" s="238">
        <f>G146+'16'!H146</f>
        <v>7456</v>
      </c>
      <c r="I146" s="738"/>
      <c r="J146" s="490">
        <f>H146/DAY(B2)</f>
        <v>438.58823529411762</v>
      </c>
    </row>
    <row r="147" spans="1:10" ht="27.75" customHeight="1" x14ac:dyDescent="0.5">
      <c r="A147" s="954" t="s">
        <v>192</v>
      </c>
      <c r="B147" s="954"/>
      <c r="C147" s="954"/>
      <c r="D147" s="233" t="s">
        <v>183</v>
      </c>
      <c r="E147" s="488">
        <f>'16'!F147</f>
        <v>633143</v>
      </c>
      <c r="F147" s="148">
        <v>633517.04</v>
      </c>
      <c r="G147" s="236">
        <f t="shared" si="11"/>
        <v>374.04000000003725</v>
      </c>
      <c r="H147" s="238">
        <f>G147+'16'!H147</f>
        <v>6904.5200000000186</v>
      </c>
      <c r="I147" s="738"/>
      <c r="J147" s="490">
        <f>H147/DAY(B2)</f>
        <v>406.14823529411876</v>
      </c>
    </row>
    <row r="148" spans="1:10" ht="27.75" customHeight="1" x14ac:dyDescent="0.5">
      <c r="A148" s="951" t="s">
        <v>193</v>
      </c>
      <c r="B148" s="952"/>
      <c r="C148" s="953"/>
      <c r="D148" s="492" t="s">
        <v>130</v>
      </c>
      <c r="E148" s="488">
        <f>'16'!F148</f>
        <v>694283.52</v>
      </c>
      <c r="F148" s="164">
        <v>694582.48</v>
      </c>
      <c r="G148" s="236">
        <f t="shared" si="11"/>
        <v>298.95999999996275</v>
      </c>
      <c r="H148" s="238">
        <f>G148+'16'!H148</f>
        <v>5139.5200000000186</v>
      </c>
      <c r="I148" s="238"/>
      <c r="J148" s="490">
        <f>H148/DAY(B2)</f>
        <v>302.32470588235401</v>
      </c>
    </row>
    <row r="149" spans="1:10" ht="27.75" customHeight="1" x14ac:dyDescent="0.5">
      <c r="A149" s="951" t="s">
        <v>336</v>
      </c>
      <c r="B149" s="952"/>
      <c r="C149" s="953"/>
      <c r="D149" s="498" t="s">
        <v>130</v>
      </c>
      <c r="E149" s="488">
        <f>'16'!F149</f>
        <v>33882</v>
      </c>
      <c r="F149" s="498">
        <v>34562.660000000003</v>
      </c>
      <c r="G149" s="236">
        <f t="shared" si="11"/>
        <v>680.66000000000349</v>
      </c>
      <c r="H149" s="238">
        <f>G149+'16'!H149</f>
        <v>9884.4600000000028</v>
      </c>
      <c r="I149" s="236"/>
      <c r="J149" s="490">
        <f>H149/DAY(B2)</f>
        <v>581.43882352941193</v>
      </c>
    </row>
    <row r="150" spans="1:10" ht="27.75" customHeight="1" x14ac:dyDescent="0.5">
      <c r="A150" s="951" t="s">
        <v>337</v>
      </c>
      <c r="B150" s="952"/>
      <c r="C150" s="953"/>
      <c r="D150" s="492" t="s">
        <v>130</v>
      </c>
      <c r="E150" s="488">
        <f>'16'!F150</f>
        <v>14476.39</v>
      </c>
      <c r="F150" s="233">
        <v>14707.88</v>
      </c>
      <c r="G150" s="236">
        <f t="shared" si="11"/>
        <v>231.48999999999978</v>
      </c>
      <c r="H150" s="238">
        <f>G150+'16'!H150</f>
        <v>3857.0499999999993</v>
      </c>
      <c r="I150" s="236"/>
      <c r="J150" s="490">
        <f>H150/DAY(B2)</f>
        <v>226.88529411764702</v>
      </c>
    </row>
    <row r="151" spans="1:10" ht="27.75" customHeight="1" x14ac:dyDescent="0.5">
      <c r="A151" s="951" t="s">
        <v>338</v>
      </c>
      <c r="B151" s="952"/>
      <c r="C151" s="953"/>
      <c r="D151" s="492" t="s">
        <v>130</v>
      </c>
      <c r="E151" s="488">
        <f>'16'!F151</f>
        <v>89389</v>
      </c>
      <c r="F151" s="233">
        <v>89609</v>
      </c>
      <c r="G151" s="236">
        <f t="shared" si="11"/>
        <v>220</v>
      </c>
      <c r="H151" s="238">
        <f>G151+'16'!H151</f>
        <v>4129</v>
      </c>
      <c r="I151" s="236"/>
      <c r="J151" s="490">
        <f>H151/DAY(B2)</f>
        <v>242.88235294117646</v>
      </c>
    </row>
    <row r="152" spans="1:10" ht="27.75" customHeight="1" x14ac:dyDescent="0.5">
      <c r="A152" s="951" t="s">
        <v>339</v>
      </c>
      <c r="B152" s="952"/>
      <c r="C152" s="953"/>
      <c r="D152" s="492" t="s">
        <v>130</v>
      </c>
      <c r="E152" s="488">
        <f>'16'!F152</f>
        <v>2665.67</v>
      </c>
      <c r="F152" s="233">
        <v>2762.3</v>
      </c>
      <c r="G152" s="236">
        <f t="shared" si="11"/>
        <v>96.630000000000109</v>
      </c>
      <c r="H152" s="238">
        <f>G152+'16'!H152</f>
        <v>1102.3000000000002</v>
      </c>
      <c r="I152" s="236"/>
      <c r="J152" s="490">
        <f>H152/DAY(B2)</f>
        <v>64.841176470588252</v>
      </c>
    </row>
    <row r="153" spans="1:10" ht="27.75" customHeight="1" x14ac:dyDescent="0.5">
      <c r="A153" s="955" t="s">
        <v>196</v>
      </c>
      <c r="B153" s="956"/>
      <c r="C153" s="739"/>
      <c r="D153" s="740"/>
      <c r="E153" s="741"/>
      <c r="F153" s="361"/>
      <c r="G153" s="742">
        <f>SUM(G138:G152)</f>
        <v>2949.1100000000069</v>
      </c>
      <c r="H153" s="743"/>
      <c r="I153" s="236">
        <f>G153-(G38+G52)</f>
        <v>907.85000000001219</v>
      </c>
      <c r="J153" s="744"/>
    </row>
    <row r="154" spans="1:10" ht="27.75" customHeight="1" x14ac:dyDescent="0.55000000000000004">
      <c r="A154" s="950" t="s">
        <v>344</v>
      </c>
      <c r="B154" s="950"/>
      <c r="C154" s="950"/>
      <c r="D154" s="950"/>
      <c r="E154" s="950"/>
      <c r="F154" s="950"/>
      <c r="G154" s="950"/>
      <c r="H154" s="950"/>
      <c r="I154" s="950"/>
      <c r="J154" s="950"/>
    </row>
    <row r="155" spans="1:10" ht="27.75" customHeight="1" x14ac:dyDescent="0.55000000000000004">
      <c r="A155" s="954" t="s">
        <v>345</v>
      </c>
      <c r="B155" s="954"/>
      <c r="C155" s="954"/>
      <c r="D155" s="492" t="s">
        <v>130</v>
      </c>
      <c r="E155" s="488">
        <f>'16'!F155</f>
        <v>43520</v>
      </c>
      <c r="F155" s="503">
        <v>44199.87</v>
      </c>
      <c r="G155" s="236">
        <f t="shared" ref="G155:G156" si="12">F155-E155</f>
        <v>679.87000000000262</v>
      </c>
      <c r="H155" s="238">
        <f>G155+'16'!H155</f>
        <v>11254.870000000003</v>
      </c>
      <c r="I155" s="745"/>
      <c r="J155" s="490">
        <f>H155/DAY(B2)</f>
        <v>662.05117647058842</v>
      </c>
    </row>
    <row r="156" spans="1:10" ht="27.75" customHeight="1" x14ac:dyDescent="0.5">
      <c r="A156" s="954" t="s">
        <v>347</v>
      </c>
      <c r="B156" s="954"/>
      <c r="C156" s="954"/>
      <c r="D156" s="492" t="s">
        <v>130</v>
      </c>
      <c r="E156" s="488">
        <f>'16'!F156</f>
        <v>3584</v>
      </c>
      <c r="F156" s="157">
        <v>3634.4</v>
      </c>
      <c r="G156" s="236">
        <f t="shared" si="12"/>
        <v>50.400000000000091</v>
      </c>
      <c r="H156" s="238">
        <f>G156+'16'!H156</f>
        <v>846.40000000000009</v>
      </c>
      <c r="I156" s="158"/>
      <c r="J156" s="490">
        <f>H156/DAY(B2)</f>
        <v>49.788235294117655</v>
      </c>
    </row>
    <row r="157" spans="1:10" ht="27.75" customHeight="1" x14ac:dyDescent="0.5">
      <c r="A157" s="951" t="s">
        <v>363</v>
      </c>
      <c r="B157" s="952"/>
      <c r="C157" s="953"/>
      <c r="D157" s="492" t="s">
        <v>130</v>
      </c>
      <c r="E157" s="488">
        <f>'16'!F157</f>
        <v>5721.33</v>
      </c>
      <c r="F157" s="157">
        <v>5861</v>
      </c>
      <c r="G157" s="236">
        <f>F157-E157</f>
        <v>139.67000000000007</v>
      </c>
      <c r="H157" s="238">
        <f>G157+'16'!H157</f>
        <v>581</v>
      </c>
      <c r="I157" s="158"/>
      <c r="J157" s="490">
        <f>H157/DAY(B2)</f>
        <v>34.176470588235297</v>
      </c>
    </row>
    <row r="158" spans="1:10" ht="27.75" customHeight="1" x14ac:dyDescent="0.5">
      <c r="A158" s="951" t="s">
        <v>364</v>
      </c>
      <c r="B158" s="952"/>
      <c r="C158" s="953"/>
      <c r="D158" s="492" t="s">
        <v>130</v>
      </c>
      <c r="E158" s="488">
        <f>'16'!F158</f>
        <v>71.599999999999994</v>
      </c>
      <c r="F158" s="158">
        <v>71.7</v>
      </c>
      <c r="G158" s="236">
        <f>F158-E158</f>
        <v>0.10000000000000853</v>
      </c>
      <c r="H158" s="238">
        <f>G158+'16'!H158</f>
        <v>2.7000000000000028</v>
      </c>
      <c r="I158" s="158"/>
      <c r="J158" s="490">
        <f>H158/DAY(B2)</f>
        <v>0.15882352941176486</v>
      </c>
    </row>
    <row r="159" spans="1:10" ht="27.75" customHeight="1" x14ac:dyDescent="0.5">
      <c r="A159" s="957"/>
      <c r="B159" s="958"/>
      <c r="C159" s="959"/>
      <c r="D159" s="492"/>
      <c r="E159" s="488"/>
      <c r="F159" s="158"/>
      <c r="G159" s="236"/>
      <c r="H159" s="238"/>
      <c r="I159" s="158"/>
      <c r="J159" s="490"/>
    </row>
    <row r="160" spans="1:10" ht="27.75" customHeight="1" x14ac:dyDescent="0.55000000000000004">
      <c r="A160" s="950" t="s">
        <v>326</v>
      </c>
      <c r="B160" s="950"/>
      <c r="C160" s="950"/>
      <c r="D160" s="950"/>
      <c r="E160" s="950"/>
      <c r="F160" s="950"/>
      <c r="G160" s="950"/>
      <c r="H160" s="950"/>
      <c r="I160" s="950"/>
      <c r="J160" s="950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88">
        <f>'16'!F161</f>
        <v>472592</v>
      </c>
      <c r="F161" s="235">
        <v>472608.92</v>
      </c>
      <c r="G161" s="238">
        <f t="shared" ref="G161:G165" si="13">F161-E161</f>
        <v>16.919999999983702</v>
      </c>
      <c r="H161" s="238">
        <f>G161+'16'!H161</f>
        <v>555.35999999998603</v>
      </c>
      <c r="I161" s="236"/>
      <c r="J161" s="239">
        <f>H161/DAY(B2)</f>
        <v>32.668235294116826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89092.4</v>
      </c>
      <c r="F162" s="235">
        <v>89135.6</v>
      </c>
      <c r="G162" s="238">
        <f t="shared" si="13"/>
        <v>43.200000000011642</v>
      </c>
      <c r="H162" s="99">
        <f>G162+'16'!H162</f>
        <v>619.20000000001164</v>
      </c>
      <c r="I162" s="236"/>
      <c r="J162" s="239">
        <f>H162/DAY(B2)</f>
        <v>36.423529411765394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80267.899999999994</v>
      </c>
      <c r="F163" s="235">
        <v>80353</v>
      </c>
      <c r="G163" s="238">
        <f t="shared" si="13"/>
        <v>85.100000000005821</v>
      </c>
      <c r="H163" s="99">
        <f>G163+'16'!H163</f>
        <v>1132.8999999999942</v>
      </c>
      <c r="I163" s="236"/>
      <c r="J163" s="239">
        <f>H163/DAY(B2)</f>
        <v>66.641176470587894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4340.8999999999996</v>
      </c>
      <c r="F164" s="235">
        <v>4342</v>
      </c>
      <c r="G164" s="238">
        <f t="shared" si="13"/>
        <v>1.1000000000003638</v>
      </c>
      <c r="H164" s="99">
        <f>G164+'16'!H164</f>
        <v>22</v>
      </c>
      <c r="I164" s="236"/>
      <c r="J164" s="239">
        <f>H164/DAY(B2)</f>
        <v>1.2941176470588236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29994.94</v>
      </c>
      <c r="F165" s="235">
        <v>30003.71</v>
      </c>
      <c r="G165" s="238">
        <f t="shared" si="13"/>
        <v>8.7700000000004366</v>
      </c>
      <c r="H165" s="99">
        <f>G165+'16'!H165</f>
        <v>146.45999999999913</v>
      </c>
      <c r="I165" s="236"/>
      <c r="J165" s="239">
        <f>H165/DAY(B2)</f>
        <v>8.6152941176470073</v>
      </c>
    </row>
    <row r="166" spans="1:10" ht="27.75" customHeight="1" x14ac:dyDescent="0.5">
      <c r="A166" s="917"/>
      <c r="B166" s="917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917"/>
      <c r="B167" s="917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917"/>
      <c r="B168" s="917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75" t="s">
        <v>209</v>
      </c>
      <c r="B173" s="876"/>
      <c r="C173" s="333"/>
      <c r="D173" s="228" t="s">
        <v>142</v>
      </c>
      <c r="E173" s="95">
        <f>'16'!F173</f>
        <v>8165</v>
      </c>
      <c r="F173" s="157">
        <v>8183</v>
      </c>
      <c r="G173" s="155">
        <f>F173-E173</f>
        <v>18</v>
      </c>
      <c r="H173" s="99">
        <f>G173+'16'!H173</f>
        <v>57</v>
      </c>
      <c r="I173" s="155"/>
      <c r="J173" s="178">
        <f>H173/DAY(B2)</f>
        <v>3.3529411764705883</v>
      </c>
    </row>
    <row r="174" spans="1:10" ht="27.75" customHeight="1" x14ac:dyDescent="0.5">
      <c r="A174" s="875" t="s">
        <v>75</v>
      </c>
      <c r="B174" s="876"/>
      <c r="C174" s="333"/>
      <c r="D174" s="228" t="s">
        <v>142</v>
      </c>
      <c r="E174" s="95">
        <f>'16'!F174</f>
        <v>38836</v>
      </c>
      <c r="F174" s="157">
        <v>38848</v>
      </c>
      <c r="G174" s="155">
        <f t="shared" ref="G174:G175" si="14">F174-E174</f>
        <v>12</v>
      </c>
      <c r="H174" s="99">
        <f>G174+'16'!H174</f>
        <v>233</v>
      </c>
      <c r="I174" s="155"/>
      <c r="J174" s="178">
        <f>H174/DAY(B2)</f>
        <v>13.705882352941176</v>
      </c>
    </row>
    <row r="175" spans="1:10" ht="27.75" customHeight="1" x14ac:dyDescent="0.5">
      <c r="A175" s="875" t="s">
        <v>76</v>
      </c>
      <c r="B175" s="880"/>
      <c r="C175" s="876"/>
      <c r="D175" s="228" t="s">
        <v>142</v>
      </c>
      <c r="E175" s="95">
        <f>'16'!F175</f>
        <v>21999</v>
      </c>
      <c r="F175" s="155">
        <v>22010</v>
      </c>
      <c r="G175" s="155">
        <f t="shared" si="14"/>
        <v>11</v>
      </c>
      <c r="H175" s="99">
        <f>G175+'16'!H175</f>
        <v>197</v>
      </c>
      <c r="I175" s="155"/>
      <c r="J175" s="178">
        <f>H175/DAY(B2)</f>
        <v>11.588235294117647</v>
      </c>
    </row>
    <row r="176" spans="1:10" ht="27.75" customHeight="1" x14ac:dyDescent="0.5">
      <c r="A176" s="914" t="s">
        <v>196</v>
      </c>
      <c r="B176" s="915"/>
      <c r="C176" s="333"/>
      <c r="D176" s="228" t="s">
        <v>142</v>
      </c>
      <c r="E176" s="95"/>
      <c r="F176" s="155"/>
      <c r="G176" s="155">
        <f>SUM(G173:G175)</f>
        <v>41</v>
      </c>
      <c r="H176" s="99">
        <f>G176+'16'!H176</f>
        <v>487</v>
      </c>
      <c r="I176" s="155"/>
      <c r="J176" s="178">
        <f>H176/DAY(B2)</f>
        <v>28.647058823529413</v>
      </c>
    </row>
    <row r="177" spans="1:11" ht="27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75" t="s">
        <v>210</v>
      </c>
      <c r="B178" s="876"/>
      <c r="C178" s="333"/>
      <c r="D178" s="228" t="s">
        <v>142</v>
      </c>
      <c r="E178" s="95">
        <f>'16'!F178</f>
        <v>82201</v>
      </c>
      <c r="F178" s="155">
        <v>82268</v>
      </c>
      <c r="G178" s="155">
        <f>F178-E178</f>
        <v>67</v>
      </c>
      <c r="H178" s="99">
        <f>G178+'16'!H178</f>
        <v>953</v>
      </c>
      <c r="I178" s="155"/>
      <c r="J178" s="178">
        <f>H178/DAY(B2)</f>
        <v>56.058823529411768</v>
      </c>
    </row>
    <row r="179" spans="1:11" ht="27.75" customHeight="1" x14ac:dyDescent="0.5">
      <c r="A179" s="875" t="s">
        <v>211</v>
      </c>
      <c r="B179" s="876"/>
      <c r="C179" s="333"/>
      <c r="D179" s="228" t="s">
        <v>142</v>
      </c>
      <c r="E179" s="95">
        <f>'16'!F179</f>
        <v>35276</v>
      </c>
      <c r="F179" s="155">
        <v>35276</v>
      </c>
      <c r="G179" s="155">
        <f t="shared" ref="G179:G180" si="15">F179-E179</f>
        <v>0</v>
      </c>
      <c r="H179" s="99">
        <f>G179+'16'!H179</f>
        <v>473</v>
      </c>
      <c r="I179" s="155"/>
      <c r="J179" s="178">
        <f>H179/DAY(B2)</f>
        <v>27.823529411764707</v>
      </c>
    </row>
    <row r="180" spans="1:11" ht="27.75" customHeight="1" x14ac:dyDescent="0.5">
      <c r="A180" s="875" t="s">
        <v>212</v>
      </c>
      <c r="B180" s="876"/>
      <c r="C180" s="333"/>
      <c r="D180" s="228" t="s">
        <v>142</v>
      </c>
      <c r="E180" s="95">
        <f>'16'!F180</f>
        <v>5801</v>
      </c>
      <c r="F180" s="155">
        <v>5801</v>
      </c>
      <c r="G180" s="155">
        <f t="shared" si="15"/>
        <v>0</v>
      </c>
      <c r="H180" s="99">
        <f>G180+'16'!H180</f>
        <v>99</v>
      </c>
      <c r="I180" s="155"/>
      <c r="J180" s="178">
        <f>H180/DAY(B2)</f>
        <v>5.8235294117647056</v>
      </c>
    </row>
    <row r="181" spans="1:11" ht="27.75" customHeight="1" x14ac:dyDescent="0.5">
      <c r="A181" s="919" t="s">
        <v>108</v>
      </c>
      <c r="B181" s="920"/>
      <c r="C181" s="333"/>
      <c r="D181" s="228" t="s">
        <v>142</v>
      </c>
      <c r="E181" s="95"/>
      <c r="F181" s="155"/>
      <c r="G181" s="155">
        <f>SUM(G178:G180)</f>
        <v>67</v>
      </c>
      <c r="H181" s="99">
        <f>G181+'16'!H181</f>
        <v>1525</v>
      </c>
      <c r="I181" s="155"/>
      <c r="J181" s="178">
        <f>H181/DAY(B2)</f>
        <v>89.705882352941174</v>
      </c>
    </row>
    <row r="182" spans="1:11" ht="27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75" t="s">
        <v>214</v>
      </c>
      <c r="B183" s="876"/>
      <c r="C183" s="334"/>
      <c r="D183" s="228" t="s">
        <v>142</v>
      </c>
      <c r="E183" s="95">
        <f>'16'!F183</f>
        <v>15605</v>
      </c>
      <c r="F183" s="157">
        <v>15621</v>
      </c>
      <c r="G183" s="157">
        <f>F183-E183</f>
        <v>16</v>
      </c>
      <c r="H183" s="99">
        <f>G183+'16'!H183</f>
        <v>276</v>
      </c>
      <c r="I183" s="155"/>
      <c r="J183" s="178">
        <f>H183/DAY(B2)</f>
        <v>16.235294117647058</v>
      </c>
    </row>
    <row r="184" spans="1:11" ht="27.75" customHeight="1" x14ac:dyDescent="0.5">
      <c r="A184" s="875" t="s">
        <v>215</v>
      </c>
      <c r="B184" s="876"/>
      <c r="C184" s="334"/>
      <c r="D184" s="228" t="s">
        <v>142</v>
      </c>
      <c r="E184" s="95">
        <f>'16'!F184</f>
        <v>10703</v>
      </c>
      <c r="F184" s="157">
        <v>10711</v>
      </c>
      <c r="G184" s="157">
        <f t="shared" ref="G184:G185" si="16">F184-E184</f>
        <v>8</v>
      </c>
      <c r="H184" s="99">
        <f>G184+'16'!H184</f>
        <v>193</v>
      </c>
      <c r="I184" s="155"/>
      <c r="J184" s="178">
        <f>H184/DAY(B2)</f>
        <v>11.352941176470589</v>
      </c>
    </row>
    <row r="185" spans="1:11" ht="27.75" customHeight="1" x14ac:dyDescent="0.5">
      <c r="A185" s="875" t="s">
        <v>216</v>
      </c>
      <c r="B185" s="876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14" t="s">
        <v>196</v>
      </c>
      <c r="B186" s="915"/>
      <c r="C186" s="334"/>
      <c r="D186" s="228" t="s">
        <v>142</v>
      </c>
      <c r="E186" s="95"/>
      <c r="F186" s="157"/>
      <c r="G186" s="157">
        <f>SUM(G183:G185)</f>
        <v>24</v>
      </c>
      <c r="H186" s="99">
        <f>G186+'16'!H186</f>
        <v>469</v>
      </c>
      <c r="I186" s="157"/>
      <c r="J186" s="178">
        <f>H186/DAY(B2)</f>
        <v>27.588235294117649</v>
      </c>
    </row>
    <row r="187" spans="1:11" ht="27.75" customHeight="1" x14ac:dyDescent="0.5">
      <c r="A187" s="923" t="s">
        <v>217</v>
      </c>
      <c r="B187" s="924"/>
      <c r="C187" s="333"/>
      <c r="D187" s="228" t="s">
        <v>142</v>
      </c>
      <c r="E187" s="95"/>
      <c r="F187" s="159"/>
      <c r="G187" s="460">
        <f>G62+G19</f>
        <v>245</v>
      </c>
      <c r="H187" s="99">
        <f>G187+'16'!H187</f>
        <v>3264</v>
      </c>
      <c r="I187" s="158"/>
      <c r="J187" s="179">
        <f>H187/DAY(B2)</f>
        <v>192</v>
      </c>
    </row>
    <row r="188" spans="1:11" ht="27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248</v>
      </c>
      <c r="H188" s="99">
        <f>G188+'16'!H188</f>
        <v>708</v>
      </c>
      <c r="I188" s="158"/>
      <c r="J188" s="179">
        <f>H188/DAY(B2)</f>
        <v>41.647058823529413</v>
      </c>
    </row>
    <row r="189" spans="1:11" ht="27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67</v>
      </c>
      <c r="H189" s="99">
        <f>G189+'16'!H189</f>
        <v>1525</v>
      </c>
      <c r="I189" s="158"/>
      <c r="J189" s="179">
        <f>H189/DAY(B2)</f>
        <v>89.705882352941174</v>
      </c>
    </row>
    <row r="190" spans="1:11" ht="27.75" customHeight="1" x14ac:dyDescent="0.5">
      <c r="A190" s="846"/>
      <c r="B190" s="847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A18" sqref="A18:C18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.75" customHeight="1" x14ac:dyDescent="0.5">
      <c r="A2" s="191" t="s">
        <v>350</v>
      </c>
      <c r="B2" s="262">
        <v>44610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55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59" t="s">
        <v>128</v>
      </c>
      <c r="B6" s="860"/>
      <c r="C6" s="861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993845</v>
      </c>
      <c r="F7" s="95">
        <v>1014407</v>
      </c>
      <c r="G7" s="558">
        <f>F7-E7</f>
        <v>20562</v>
      </c>
      <c r="H7" s="99">
        <f>G7+'17'!H7</f>
        <v>363226.77</v>
      </c>
      <c r="I7" s="113">
        <f>'1'!I7</f>
        <v>12000</v>
      </c>
      <c r="J7" s="175">
        <f>H7/DAY(B2)</f>
        <v>20179.264999999999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53452.37</v>
      </c>
      <c r="F8" s="95">
        <v>74078.8</v>
      </c>
      <c r="G8" s="559">
        <f>F8-E8</f>
        <v>20626.43</v>
      </c>
      <c r="H8" s="99">
        <f>G8+'17'!H8</f>
        <v>365557.24999999994</v>
      </c>
      <c r="I8" s="116"/>
      <c r="J8" s="175">
        <f>H8/DAY(B2)</f>
        <v>20308.736111111109</v>
      </c>
      <c r="K8" s="172">
        <v>1715917</v>
      </c>
      <c r="L8" s="76">
        <v>1728480</v>
      </c>
      <c r="M8" s="87">
        <f>L8-K8</f>
        <v>12563</v>
      </c>
      <c r="N8" s="87">
        <f>G8-64</f>
        <v>20562.43</v>
      </c>
      <c r="O8" s="71">
        <f>G7-N8</f>
        <v>-0.43000000000029104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547983.79</v>
      </c>
      <c r="F9" s="598">
        <v>565303.59</v>
      </c>
      <c r="G9" s="558">
        <f>F9-E9</f>
        <v>17319.79999999993</v>
      </c>
      <c r="H9" s="99">
        <f>G9+'17'!H9</f>
        <v>283049.74</v>
      </c>
      <c r="I9" s="124">
        <f>I7-J7</f>
        <v>-8179.2649999999994</v>
      </c>
      <c r="J9" s="175">
        <f>H9/DAY(B2)</f>
        <v>15724.985555555555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172539.43</v>
      </c>
      <c r="F10" s="353">
        <v>175134.59</v>
      </c>
      <c r="G10" s="558">
        <f>F10-E10</f>
        <v>2595.1600000000035</v>
      </c>
      <c r="H10" s="99">
        <f>G10+'17'!H10</f>
        <v>69875.62</v>
      </c>
      <c r="I10" s="282"/>
      <c r="J10" s="175">
        <f>H10/DAY(B2)</f>
        <v>3881.9788888888888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37170</v>
      </c>
      <c r="F11" s="95">
        <v>37170</v>
      </c>
      <c r="G11" s="558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0">
        <f>G9+G10+G11+G12</f>
        <v>19914.959999999934</v>
      </c>
      <c r="H13" s="99">
        <f>G13+'17'!H13</f>
        <v>336170.92999999993</v>
      </c>
      <c r="I13" s="120">
        <f>G7-G13</f>
        <v>647.04000000006636</v>
      </c>
      <c r="J13" s="175">
        <f>H13/DAY(B2)</f>
        <v>18676.162777777776</v>
      </c>
      <c r="K13" s="79"/>
      <c r="L13" s="66"/>
      <c r="N13" s="87"/>
      <c r="O13" s="71"/>
    </row>
    <row r="14" spans="1:15" ht="27.75" customHeight="1" x14ac:dyDescent="0.5">
      <c r="A14" s="862" t="s">
        <v>137</v>
      </c>
      <c r="B14" s="863"/>
      <c r="C14" s="864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1924816.575</v>
      </c>
      <c r="F15" s="123">
        <v>1925873.38</v>
      </c>
      <c r="G15" s="558">
        <f>(F15-E15)</f>
        <v>1056.8049999999348</v>
      </c>
      <c r="H15" s="99">
        <f>G15+'17'!H15</f>
        <v>19236.612999999896</v>
      </c>
      <c r="I15" s="113">
        <f>'1'!I15</f>
        <v>800</v>
      </c>
      <c r="J15" s="175">
        <f>H15/DAY(B2)</f>
        <v>1068.7007222222164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58"/>
      <c r="H16" s="124"/>
      <c r="I16" s="120">
        <f>I15-J15</f>
        <v>-268.70072222221643</v>
      </c>
      <c r="J16" s="176"/>
      <c r="K16" s="79"/>
      <c r="L16" s="66"/>
      <c r="N16" s="87"/>
      <c r="O16" s="71"/>
    </row>
    <row r="17" spans="1:15" ht="27.75" customHeight="1" x14ac:dyDescent="0.5">
      <c r="A17" s="862" t="s">
        <v>140</v>
      </c>
      <c r="B17" s="863"/>
      <c r="C17" s="864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3" t="s">
        <v>141</v>
      </c>
      <c r="B18" s="854"/>
      <c r="C18" s="855"/>
      <c r="D18" s="151" t="s">
        <v>142</v>
      </c>
      <c r="E18" s="95">
        <f>'17'!F18</f>
        <v>25</v>
      </c>
      <c r="F18" s="122">
        <v>25</v>
      </c>
      <c r="G18" s="560">
        <f>F18*10</f>
        <v>250</v>
      </c>
      <c r="H18" s="99">
        <f>G18+'17'!H18</f>
        <v>4030</v>
      </c>
      <c r="I18" s="113">
        <f>'1'!I18</f>
        <v>65</v>
      </c>
      <c r="J18" s="175">
        <f>H18/DAY(B2)</f>
        <v>223.88888888888889</v>
      </c>
      <c r="K18" s="79"/>
      <c r="L18" s="66"/>
      <c r="N18" s="87"/>
      <c r="O18" s="71"/>
    </row>
    <row r="19" spans="1:15" ht="27.75" customHeight="1" x14ac:dyDescent="0.5">
      <c r="A19" s="853" t="s">
        <v>69</v>
      </c>
      <c r="B19" s="854"/>
      <c r="C19" s="855"/>
      <c r="D19" s="151" t="s">
        <v>142</v>
      </c>
      <c r="E19" s="95">
        <f>'17'!F19</f>
        <v>154806</v>
      </c>
      <c r="F19" s="122">
        <v>154854</v>
      </c>
      <c r="G19" s="558">
        <f t="shared" ref="G19" si="1">F19-E19</f>
        <v>48</v>
      </c>
      <c r="H19" s="99">
        <f>G19+'17'!H19</f>
        <v>963</v>
      </c>
      <c r="I19" s="335"/>
      <c r="J19" s="175">
        <f>H19/DAY(B2)</f>
        <v>53.5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2">
        <f>G18+G19</f>
        <v>298</v>
      </c>
      <c r="H20" s="99">
        <f>G20+'17'!H20</f>
        <v>4993</v>
      </c>
      <c r="I20" s="336">
        <f>I18-J20</f>
        <v>-212.38888888888891</v>
      </c>
      <c r="J20" s="175">
        <f>H20/DAY(B2)</f>
        <v>277.38888888888891</v>
      </c>
      <c r="K20" s="79"/>
      <c r="L20" s="66"/>
      <c r="N20" s="87"/>
      <c r="O20" s="71"/>
    </row>
    <row r="21" spans="1:15" ht="27.75" customHeight="1" x14ac:dyDescent="0.5">
      <c r="A21" s="862" t="s">
        <v>144</v>
      </c>
      <c r="B21" s="863"/>
      <c r="C21" s="864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88">
        <f>'17'!F23</f>
        <v>1500</v>
      </c>
      <c r="F23" s="164">
        <v>1500</v>
      </c>
      <c r="G23" s="68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683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67" t="s">
        <v>149</v>
      </c>
      <c r="B25" s="868"/>
      <c r="C25" s="869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20626.43</v>
      </c>
      <c r="F27" s="136">
        <v>9</v>
      </c>
      <c r="G27" s="565">
        <f>E27*F27</f>
        <v>185637.87</v>
      </c>
      <c r="H27" s="99">
        <f>G27+'17'!H27</f>
        <v>3290015.25</v>
      </c>
      <c r="I27" s="138"/>
      <c r="J27" s="175">
        <f>H27/DAY(B2)</f>
        <v>182778.625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1056.8049999999348</v>
      </c>
      <c r="F28" s="136">
        <v>52</v>
      </c>
      <c r="G28" s="565">
        <f>E28*F28</f>
        <v>54953.85999999661</v>
      </c>
      <c r="H28" s="99">
        <f>G28+'17'!H28</f>
        <v>1063231.8759999946</v>
      </c>
      <c r="I28" s="140"/>
      <c r="J28" s="175">
        <f>H28/DAY(B2)</f>
        <v>59068.437555555254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56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565">
        <f>E30*F30</f>
        <v>7008</v>
      </c>
      <c r="H30" s="99">
        <f>G30+'17'!H30</f>
        <v>141453</v>
      </c>
      <c r="I30" s="140"/>
      <c r="J30" s="175">
        <f>H30/DAY(B2)</f>
        <v>7858.5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565">
        <f>E31*F31</f>
        <v>20000</v>
      </c>
      <c r="H31" s="99">
        <f>G31+'17'!H31</f>
        <v>322400</v>
      </c>
      <c r="I31" s="140"/>
      <c r="J31" s="175">
        <f>H31/DAY(B2)</f>
        <v>17911.111111111109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6">
        <f>G27+G28+G29+G30+G31</f>
        <v>267599.72999999661</v>
      </c>
      <c r="H32" s="99">
        <f>G32+'17'!H32</f>
        <v>4817100.1259999946</v>
      </c>
      <c r="I32" s="144"/>
      <c r="J32" s="175">
        <f>H32/DAY(B2)</f>
        <v>267616.67366666638</v>
      </c>
      <c r="K32" s="63"/>
      <c r="L32" s="89"/>
      <c r="N32" s="87"/>
      <c r="O32" s="71"/>
    </row>
    <row r="33" spans="1:15" ht="27.75" customHeight="1" x14ac:dyDescent="0.35">
      <c r="A33" s="870" t="s">
        <v>331</v>
      </c>
      <c r="B33" s="871"/>
      <c r="C33" s="871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57519.68</v>
      </c>
      <c r="F35" s="145">
        <v>59147.9</v>
      </c>
      <c r="G35" s="558">
        <f t="shared" ref="G35:G46" si="2">F35-E35</f>
        <v>1628.2200000000012</v>
      </c>
      <c r="H35" s="99">
        <f>G35+'17'!H35</f>
        <v>27142.920000000002</v>
      </c>
      <c r="I35" s="95"/>
      <c r="J35" s="175">
        <f>H35/DAY(B2)</f>
        <v>1507.94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59248.61</v>
      </c>
      <c r="F36" s="145">
        <v>60231.6</v>
      </c>
      <c r="G36" s="558">
        <f t="shared" si="2"/>
        <v>982.98999999999796</v>
      </c>
      <c r="H36" s="99">
        <f>G36+'17'!H36</f>
        <v>16772.86</v>
      </c>
      <c r="I36" s="95"/>
      <c r="J36" s="175">
        <f>H36/DAY(B2)</f>
        <v>931.82555555555564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63882.18</v>
      </c>
      <c r="F37" s="145">
        <v>65615.02</v>
      </c>
      <c r="G37" s="558">
        <f t="shared" si="2"/>
        <v>1732.8400000000038</v>
      </c>
      <c r="H37" s="99">
        <f>G37+'17'!H37</f>
        <v>30189.930000000008</v>
      </c>
      <c r="I37" s="95"/>
      <c r="J37" s="175">
        <f>H37/DAY(B2)</f>
        <v>1677.2183333333337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71344</v>
      </c>
      <c r="F38" s="108">
        <v>73446.5</v>
      </c>
      <c r="G38" s="558">
        <f t="shared" si="2"/>
        <v>2102.5</v>
      </c>
      <c r="H38" s="99">
        <f>G38+'17'!H38</f>
        <v>35070.07</v>
      </c>
      <c r="I38" s="95"/>
      <c r="J38" s="175">
        <f>H38/DAY(B2)</f>
        <v>1948.3372222222222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109495.02</v>
      </c>
      <c r="F39" s="145">
        <v>112584.7</v>
      </c>
      <c r="G39" s="558">
        <f t="shared" si="2"/>
        <v>3089.679999999993</v>
      </c>
      <c r="H39" s="99">
        <f>G39+'17'!H39</f>
        <v>53411.409999999996</v>
      </c>
      <c r="I39" s="95"/>
      <c r="J39" s="175">
        <f>H39/DAY(B2)</f>
        <v>2967.3005555555555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88">
        <f>'17'!F40</f>
        <v>28147.47</v>
      </c>
      <c r="F40" s="549">
        <v>28995.39</v>
      </c>
      <c r="G40" s="682">
        <f t="shared" si="2"/>
        <v>847.91999999999825</v>
      </c>
      <c r="H40" s="99">
        <f>G40+'17'!H40</f>
        <v>6878.3999999999969</v>
      </c>
      <c r="I40" s="95"/>
      <c r="J40" s="175">
        <f>H40/DAY(B2)</f>
        <v>382.13333333333316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558">
        <f t="shared" si="2"/>
        <v>0</v>
      </c>
      <c r="H41" s="99">
        <f>G41+'17'!H41</f>
        <v>0.27000000000000313</v>
      </c>
      <c r="I41" s="95"/>
      <c r="J41" s="175">
        <f>H41/DAY(B2)</f>
        <v>1.5000000000000173E-2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153553.38</v>
      </c>
      <c r="F42" s="145">
        <v>157907.43</v>
      </c>
      <c r="G42" s="558">
        <f t="shared" si="2"/>
        <v>4354.0499999999884</v>
      </c>
      <c r="H42" s="99">
        <f>G42+'17'!H42</f>
        <v>57777.689999999988</v>
      </c>
      <c r="I42" s="95"/>
      <c r="J42" s="175">
        <f>H42/DAY(B2)</f>
        <v>3209.871666666666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151114.07999999999</v>
      </c>
      <c r="F43" s="145">
        <v>153193.76</v>
      </c>
      <c r="G43" s="558">
        <f t="shared" si="2"/>
        <v>2079.6800000000221</v>
      </c>
      <c r="H43" s="99">
        <f>G43+'17'!H43</f>
        <v>38342.160000000003</v>
      </c>
      <c r="I43" s="95"/>
      <c r="J43" s="175">
        <f>H43/DAY(B2)</f>
        <v>2130.1200000000003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16817.880000000005</v>
      </c>
      <c r="H47" s="99">
        <f>G47+'17'!H47</f>
        <v>265585.71000000002</v>
      </c>
      <c r="I47" s="95"/>
      <c r="J47" s="175">
        <f>H47/DAY(B2)</f>
        <v>14754.761666666667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48028</v>
      </c>
      <c r="F49" s="145">
        <v>49514.54</v>
      </c>
      <c r="G49" s="558">
        <f t="shared" ref="G49:G58" si="3">F49-E49</f>
        <v>1486.5400000000009</v>
      </c>
      <c r="H49" s="99">
        <f>G49+'17'!H49</f>
        <v>24518.350000000002</v>
      </c>
      <c r="I49" s="95"/>
      <c r="J49" s="175">
        <f>H49/DAY(B2)</f>
        <v>1362.1305555555557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77706.53</v>
      </c>
      <c r="F50" s="145">
        <v>78778.45</v>
      </c>
      <c r="G50" s="558">
        <f t="shared" si="3"/>
        <v>1071.9199999999983</v>
      </c>
      <c r="H50" s="99">
        <f>G50+'17'!H50</f>
        <v>22391.82</v>
      </c>
      <c r="I50" s="95"/>
      <c r="J50" s="175">
        <f>H50/DAY(B2)</f>
        <v>1243.99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13381.39</v>
      </c>
      <c r="F54" s="145">
        <v>13916.45</v>
      </c>
      <c r="G54" s="558">
        <f t="shared" si="3"/>
        <v>535.06000000000131</v>
      </c>
      <c r="H54" s="99">
        <f>G54+'17'!H54</f>
        <v>8769.0300000000007</v>
      </c>
      <c r="I54" s="95"/>
      <c r="J54" s="175">
        <f>H54/DAY(B2)</f>
        <v>487.16833333333335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90578.89</v>
      </c>
      <c r="F55" s="145">
        <v>90578.89</v>
      </c>
      <c r="G55" s="558">
        <f t="shared" si="3"/>
        <v>0</v>
      </c>
      <c r="H55" s="99">
        <f>G55+'17'!H55</f>
        <v>16212.779999999999</v>
      </c>
      <c r="I55" s="95"/>
      <c r="J55" s="175">
        <f>H55/DAY(B2)</f>
        <v>900.70999999999992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8723.6299999999992</v>
      </c>
      <c r="F56" s="145">
        <v>8723.6299999999992</v>
      </c>
      <c r="G56" s="558">
        <f t="shared" si="3"/>
        <v>0</v>
      </c>
      <c r="H56" s="99">
        <f>G56+'17'!H56</f>
        <v>113.08999999999833</v>
      </c>
      <c r="I56" s="95"/>
      <c r="J56" s="175">
        <f>H56/DAY(B2)</f>
        <v>6.2827777777776852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8428</v>
      </c>
      <c r="F58" s="549">
        <v>8647</v>
      </c>
      <c r="G58" s="558">
        <f t="shared" si="3"/>
        <v>219</v>
      </c>
      <c r="H58" s="99">
        <f>G58+'17'!H58</f>
        <v>3850.79</v>
      </c>
      <c r="I58" s="95"/>
      <c r="J58" s="175">
        <f>H58/DAY(B2)</f>
        <v>213.93277777777777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3312.5200000000004</v>
      </c>
      <c r="H59" s="99">
        <f>G59+'17'!H59</f>
        <v>75855.86</v>
      </c>
      <c r="I59" s="95">
        <f>G7-G60</f>
        <v>431.59999999999491</v>
      </c>
      <c r="J59" s="175">
        <f>H59/DAY(B2)</f>
        <v>4214.2144444444448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0">
        <f>G47+G59</f>
        <v>20130.400000000005</v>
      </c>
      <c r="H60" s="99">
        <f>G60+'17'!H60</f>
        <v>341441.57000000007</v>
      </c>
      <c r="I60" s="95">
        <f>G13-G60</f>
        <v>-215.44000000007145</v>
      </c>
      <c r="J60" s="175">
        <f>H60/DAY(B2)</f>
        <v>18968.976111111115</v>
      </c>
      <c r="K60" s="79"/>
      <c r="L60" s="66"/>
      <c r="N60" s="87"/>
      <c r="O60" s="71"/>
    </row>
    <row r="61" spans="1:15" s="68" customFormat="1" ht="27.75" customHeight="1" x14ac:dyDescent="0.5">
      <c r="A61" s="872" t="s">
        <v>332</v>
      </c>
      <c r="B61" s="873"/>
      <c r="C61" s="874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53" t="s">
        <v>198</v>
      </c>
      <c r="B62" s="854"/>
      <c r="C62" s="855"/>
      <c r="D62" s="151" t="s">
        <v>142</v>
      </c>
      <c r="E62" s="95">
        <f>'17'!F62</f>
        <v>271865</v>
      </c>
      <c r="F62" s="122">
        <v>272020</v>
      </c>
      <c r="G62" s="558">
        <f t="shared" ref="G62:G63" si="4">F62-E62</f>
        <v>155</v>
      </c>
      <c r="H62" s="99">
        <f>G62+'17'!H62</f>
        <v>2504</v>
      </c>
      <c r="I62" s="118"/>
      <c r="J62" s="175">
        <f>H62/DAY(B2)</f>
        <v>139.11111111111111</v>
      </c>
      <c r="K62" s="80"/>
      <c r="L62" s="66"/>
      <c r="N62" s="87"/>
      <c r="O62" s="71"/>
    </row>
    <row r="63" spans="1:15" ht="27.75" customHeight="1" x14ac:dyDescent="0.5">
      <c r="A63" s="853" t="s">
        <v>199</v>
      </c>
      <c r="B63" s="854"/>
      <c r="C63" s="855"/>
      <c r="D63" s="151" t="s">
        <v>142</v>
      </c>
      <c r="E63" s="95">
        <f>'17'!F63</f>
        <v>217964</v>
      </c>
      <c r="F63" s="122">
        <v>218097</v>
      </c>
      <c r="G63" s="558">
        <f t="shared" si="4"/>
        <v>133</v>
      </c>
      <c r="H63" s="99">
        <f>G63+'17'!H63</f>
        <v>2300</v>
      </c>
      <c r="I63" s="118"/>
      <c r="J63" s="175">
        <f>H63/DAY(B2)</f>
        <v>127.77777777777777</v>
      </c>
      <c r="K63" s="69"/>
      <c r="L63" s="66"/>
      <c r="N63" s="87"/>
      <c r="O63" s="71"/>
    </row>
    <row r="64" spans="1:15" ht="27.75" customHeight="1" x14ac:dyDescent="0.5">
      <c r="A64" s="850" t="s">
        <v>200</v>
      </c>
      <c r="B64" s="851"/>
      <c r="C64" s="852"/>
      <c r="D64" s="151"/>
      <c r="E64" s="95">
        <f>'17'!F64</f>
        <v>0</v>
      </c>
      <c r="F64" s="122"/>
      <c r="G64" s="558">
        <f>G62+G63</f>
        <v>288</v>
      </c>
      <c r="H64" s="99">
        <f>G64+'17'!H64</f>
        <v>4804</v>
      </c>
      <c r="I64" s="118"/>
      <c r="J64" s="175">
        <f>H64/DAY(B2)</f>
        <v>266.88888888888891</v>
      </c>
      <c r="K64" s="69"/>
      <c r="L64" s="66"/>
      <c r="N64" s="87"/>
      <c r="O64" s="71"/>
    </row>
    <row r="65" spans="1:15" ht="27.75" customHeight="1" x14ac:dyDescent="0.5">
      <c r="A65" s="853" t="s">
        <v>201</v>
      </c>
      <c r="B65" s="854"/>
      <c r="C65" s="855"/>
      <c r="D65" s="151" t="s">
        <v>142</v>
      </c>
      <c r="E65" s="95">
        <f>'17'!F65</f>
        <v>436667</v>
      </c>
      <c r="F65" s="122">
        <v>436751</v>
      </c>
      <c r="G65" s="558">
        <f t="shared" ref="G65:G70" si="5">F65-E65</f>
        <v>84</v>
      </c>
      <c r="H65" s="99">
        <f>G65+'17'!H65</f>
        <v>1828</v>
      </c>
      <c r="I65" s="118"/>
      <c r="J65" s="175">
        <f>H65/DAY(B2)</f>
        <v>101.55555555555556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108168</v>
      </c>
      <c r="F66" s="122">
        <v>108187</v>
      </c>
      <c r="G66" s="558">
        <f t="shared" si="5"/>
        <v>19</v>
      </c>
      <c r="H66" s="99">
        <f>G66+'17'!H66</f>
        <v>444</v>
      </c>
      <c r="I66" s="118"/>
      <c r="J66" s="175">
        <f>H66/DAY(B2)</f>
        <v>24.666666666666668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105450</v>
      </c>
      <c r="F67" s="122">
        <v>105525</v>
      </c>
      <c r="G67" s="558">
        <f t="shared" si="5"/>
        <v>75</v>
      </c>
      <c r="H67" s="99">
        <f>G67+'17'!H67</f>
        <v>877</v>
      </c>
      <c r="I67" s="118"/>
      <c r="J67" s="175">
        <f>H67/DAY(B2)</f>
        <v>48.722222222222221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158374</v>
      </c>
      <c r="F68" s="122">
        <v>158437</v>
      </c>
      <c r="G68" s="558">
        <f t="shared" si="5"/>
        <v>63</v>
      </c>
      <c r="H68" s="99">
        <f>G68+'17'!H68</f>
        <v>740</v>
      </c>
      <c r="I68" s="118"/>
      <c r="J68" s="175">
        <f>H68/DAY(B2)</f>
        <v>41.111111111111114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10772</v>
      </c>
      <c r="F69" s="122">
        <v>10778</v>
      </c>
      <c r="G69" s="558">
        <f t="shared" si="5"/>
        <v>6</v>
      </c>
      <c r="H69" s="99">
        <f>G69+'17'!H69</f>
        <v>237</v>
      </c>
      <c r="I69" s="118"/>
      <c r="J69" s="175">
        <f>H69/DAY(B2)</f>
        <v>13.166666666666666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8326</v>
      </c>
      <c r="F70" s="122">
        <v>8338</v>
      </c>
      <c r="G70" s="558">
        <f t="shared" si="5"/>
        <v>12</v>
      </c>
      <c r="H70" s="99">
        <f>G70+'17'!H70</f>
        <v>218</v>
      </c>
      <c r="I70" s="118"/>
      <c r="J70" s="175">
        <f>H70/DAY(B2)</f>
        <v>12.111111111111111</v>
      </c>
      <c r="K70" s="69"/>
      <c r="L70" s="66"/>
      <c r="N70" s="87"/>
      <c r="O70" s="71"/>
    </row>
    <row r="71" spans="1:15" ht="27.75" customHeight="1" x14ac:dyDescent="0.5">
      <c r="A71" s="850" t="s">
        <v>208</v>
      </c>
      <c r="B71" s="851"/>
      <c r="C71" s="852"/>
      <c r="D71" s="152"/>
      <c r="E71" s="152"/>
      <c r="F71" s="152"/>
      <c r="G71" s="570">
        <f>SUM(G65:G70)</f>
        <v>259</v>
      </c>
      <c r="H71" s="99">
        <f>G71+'17'!H71</f>
        <v>4344</v>
      </c>
      <c r="I71" s="154"/>
      <c r="J71" s="175">
        <f>H71/DAY(B2)</f>
        <v>241.33333333333334</v>
      </c>
      <c r="K71" s="69"/>
      <c r="L71" s="66"/>
      <c r="N71" s="87"/>
      <c r="O71" s="71"/>
    </row>
    <row r="72" spans="1:15" s="88" customFormat="1" ht="27.75" customHeight="1" x14ac:dyDescent="0.5">
      <c r="A72" s="896"/>
      <c r="B72" s="888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 x14ac:dyDescent="0.5">
      <c r="A73" s="901" t="s">
        <v>333</v>
      </c>
      <c r="B73" s="902"/>
      <c r="C73" s="903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53" t="s">
        <v>220</v>
      </c>
      <c r="B74" s="854"/>
      <c r="C74" s="855"/>
      <c r="D74" s="151" t="s">
        <v>139</v>
      </c>
      <c r="E74" s="95">
        <f>'17'!F74</f>
        <v>906469.79</v>
      </c>
      <c r="F74" s="123">
        <v>906768.18</v>
      </c>
      <c r="G74" s="558">
        <f>F74-E74</f>
        <v>298.39000000001397</v>
      </c>
      <c r="H74" s="99">
        <f>G74+'17'!H74</f>
        <v>5462.0310000000754</v>
      </c>
      <c r="I74" s="154"/>
      <c r="J74" s="175">
        <f>H74/DAY(B2)</f>
        <v>303.44616666667088</v>
      </c>
      <c r="K74" s="69"/>
      <c r="L74" s="66"/>
      <c r="N74" s="87"/>
      <c r="O74" s="71"/>
    </row>
    <row r="75" spans="1:15" ht="27.75" customHeight="1" x14ac:dyDescent="0.5">
      <c r="A75" s="853" t="s">
        <v>221</v>
      </c>
      <c r="B75" s="854"/>
      <c r="C75" s="855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97" t="s">
        <v>222</v>
      </c>
      <c r="B76" s="883"/>
      <c r="C76" s="884"/>
      <c r="D76" s="151" t="s">
        <v>139</v>
      </c>
      <c r="E76" s="95">
        <f>'17'!F76</f>
        <v>171894.23</v>
      </c>
      <c r="F76" s="123">
        <v>172006.88</v>
      </c>
      <c r="G76" s="558">
        <f>F76-E76</f>
        <v>112.64999999999418</v>
      </c>
      <c r="H76" s="99">
        <f>G76+'17'!H76</f>
        <v>2031.8800000000047</v>
      </c>
      <c r="I76" s="154"/>
      <c r="J76" s="175">
        <f>H76/DAY(B2)</f>
        <v>112.88222222222248</v>
      </c>
      <c r="K76" s="69"/>
      <c r="L76" s="66"/>
      <c r="N76" s="87"/>
      <c r="O76" s="71"/>
    </row>
    <row r="77" spans="1:15" ht="27.75" customHeight="1" x14ac:dyDescent="0.5">
      <c r="A77" s="897" t="s">
        <v>223</v>
      </c>
      <c r="B77" s="883"/>
      <c r="C77" s="884"/>
      <c r="D77" s="151" t="s">
        <v>139</v>
      </c>
      <c r="E77" s="95">
        <f>'17'!F77</f>
        <v>42106.400000000001</v>
      </c>
      <c r="F77" s="123">
        <v>42157</v>
      </c>
      <c r="G77" s="558">
        <f t="shared" si="6"/>
        <v>50.599999999998545</v>
      </c>
      <c r="H77" s="99">
        <f>G77+'17'!H77</f>
        <v>854.80000000000291</v>
      </c>
      <c r="I77" s="154"/>
      <c r="J77" s="175">
        <f>H77/DAY(B2)</f>
        <v>47.488888888889051</v>
      </c>
      <c r="K77" s="69"/>
      <c r="L77" s="66"/>
      <c r="N77" s="87"/>
      <c r="O77" s="71"/>
    </row>
    <row r="78" spans="1:15" ht="27.75" customHeight="1" x14ac:dyDescent="0.5">
      <c r="A78" s="897" t="s">
        <v>224</v>
      </c>
      <c r="B78" s="883"/>
      <c r="C78" s="884"/>
      <c r="D78" s="151" t="s">
        <v>139</v>
      </c>
      <c r="E78" s="95">
        <f>'17'!F78</f>
        <v>9539.9</v>
      </c>
      <c r="F78" s="123">
        <v>9541.1</v>
      </c>
      <c r="G78" s="558">
        <f t="shared" si="6"/>
        <v>1.2000000000007276</v>
      </c>
      <c r="H78" s="99">
        <f>G78+'17'!H78</f>
        <v>28.100000000000364</v>
      </c>
      <c r="I78" s="118"/>
      <c r="J78" s="175">
        <f>H78/DAY(B2)</f>
        <v>1.5611111111111313</v>
      </c>
      <c r="K78" s="69"/>
      <c r="L78" s="66"/>
      <c r="N78" s="87"/>
      <c r="O78" s="71"/>
    </row>
    <row r="79" spans="1:15" s="57" customFormat="1" ht="27.75" customHeight="1" x14ac:dyDescent="0.5">
      <c r="A79" s="897" t="s">
        <v>225</v>
      </c>
      <c r="B79" s="883"/>
      <c r="C79" s="884"/>
      <c r="D79" s="151"/>
      <c r="E79" s="95">
        <f>'17'!F79</f>
        <v>0</v>
      </c>
      <c r="F79" s="123">
        <v>0</v>
      </c>
      <c r="G79" s="558">
        <f>G15-SUM(G74:G78)</f>
        <v>593.96499999992739</v>
      </c>
      <c r="H79" s="99">
        <f>G79+'17'!H79</f>
        <v>10859.801999999812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50" t="s">
        <v>329</v>
      </c>
      <c r="B80" s="851"/>
      <c r="C80" s="852"/>
      <c r="D80" s="151"/>
      <c r="E80" s="117"/>
      <c r="F80" s="117"/>
      <c r="G80" s="558">
        <f>SUM(G74:G79)</f>
        <v>1056.8049999999348</v>
      </c>
      <c r="H80" s="99">
        <f>G80+'17'!H80</f>
        <v>1056.8049999999348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89" t="s">
        <v>226</v>
      </c>
      <c r="B81" s="890"/>
      <c r="C81" s="891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558">
        <f>F84-E84</f>
        <v>0.26000000000203727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2551.4</v>
      </c>
      <c r="F85" s="164">
        <v>2575.29</v>
      </c>
      <c r="G85" s="558">
        <f t="shared" si="7"/>
        <v>23.889999999999873</v>
      </c>
      <c r="H85" s="99">
        <f>G85+'17'!H85</f>
        <v>314.86999999999989</v>
      </c>
      <c r="I85" s="118">
        <f>G82+G83+G84+G85</f>
        <v>24.15000000000191</v>
      </c>
      <c r="J85" s="175">
        <f>H85/DAY(B2)</f>
        <v>17.492777777777771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43564</v>
      </c>
      <c r="F86" s="164">
        <v>43564</v>
      </c>
      <c r="G86" s="558">
        <f t="shared" si="7"/>
        <v>0</v>
      </c>
      <c r="H86" s="99">
        <f>G86+'17'!H86</f>
        <v>122</v>
      </c>
      <c r="I86" s="118"/>
      <c r="J86" s="175">
        <f>H86/DAY(B2)</f>
        <v>6.7777777777777777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24067.78</v>
      </c>
      <c r="F88" s="164">
        <v>24067.78</v>
      </c>
      <c r="G88" s="558">
        <f t="shared" si="7"/>
        <v>0</v>
      </c>
      <c r="H88" s="99">
        <f>G88+'17'!H88</f>
        <v>4.3499999999985448</v>
      </c>
      <c r="I88" s="118">
        <f>G86+G87+G88</f>
        <v>0</v>
      </c>
      <c r="J88" s="175">
        <f>H88/DAY(B2)</f>
        <v>0.24166666666658582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26068.16</v>
      </c>
      <c r="F89" s="164">
        <v>26079.119999999999</v>
      </c>
      <c r="G89" s="558">
        <f t="shared" si="7"/>
        <v>10.959999999999127</v>
      </c>
      <c r="H89" s="99">
        <f>G89+'17'!H89</f>
        <v>188</v>
      </c>
      <c r="I89" s="118"/>
      <c r="J89" s="175">
        <f>H89/DAY(B2)</f>
        <v>10.444444444444445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71236.649999999994</v>
      </c>
      <c r="F90" s="164">
        <v>71240.67</v>
      </c>
      <c r="G90" s="558">
        <f t="shared" si="7"/>
        <v>4.0200000000040745</v>
      </c>
      <c r="H90" s="99">
        <f>G90+'17'!H90</f>
        <v>77.349999999991269</v>
      </c>
      <c r="I90" s="118">
        <f>G89+G90</f>
        <v>14.980000000003201</v>
      </c>
      <c r="J90" s="175">
        <f>H90/DAY(B2)</f>
        <v>4.2972222222217376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3442.75</v>
      </c>
      <c r="F91" s="122">
        <v>3454.07</v>
      </c>
      <c r="G91" s="558">
        <f t="shared" si="7"/>
        <v>11.320000000000164</v>
      </c>
      <c r="H91" s="99">
        <f>G91+'17'!H91</f>
        <v>202.98000000000002</v>
      </c>
      <c r="I91" s="165"/>
      <c r="J91" s="175">
        <f>H91/DAY(B2)</f>
        <v>11.276666666666667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558">
        <f t="shared" si="7"/>
        <v>0</v>
      </c>
      <c r="H92" s="99">
        <f>G92+'17'!H92</f>
        <v>-6.9999999999708962E-2</v>
      </c>
      <c r="I92" s="165"/>
      <c r="J92" s="175">
        <f>H92/DAY(B2)</f>
        <v>-3.8888888888727203E-3</v>
      </c>
      <c r="O92" s="71"/>
    </row>
    <row r="93" spans="1:15" ht="27.75" customHeight="1" x14ac:dyDescent="0.5">
      <c r="A93" s="898" t="s">
        <v>239</v>
      </c>
      <c r="B93" s="899"/>
      <c r="C93" s="900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573">
        <f>G35+G43+G49+G57</f>
        <v>5194.4400000000242</v>
      </c>
      <c r="H94" s="99">
        <f>G94+'17'!H94</f>
        <v>90003.43</v>
      </c>
      <c r="I94" s="118"/>
      <c r="J94" s="175">
        <f>H94/DAY(B2)</f>
        <v>5000.190555555555</v>
      </c>
      <c r="K94" s="69"/>
      <c r="L94" s="66"/>
      <c r="O94" s="71"/>
    </row>
    <row r="95" spans="1:15" ht="27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574">
        <f>G94/G7</f>
        <v>0.25262328567260112</v>
      </c>
      <c r="H95" s="99">
        <f>G95+'17'!H95</f>
        <v>4.4641354726278424</v>
      </c>
      <c r="I95" s="167"/>
      <c r="J95" s="175">
        <f>H95/DAY(B2)</f>
        <v>0.24800752625710235</v>
      </c>
      <c r="K95" s="69"/>
      <c r="L95" s="66"/>
      <c r="O95" s="71"/>
    </row>
    <row r="96" spans="1:15" ht="27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573">
        <f>G41+G42+G55+G56</f>
        <v>4354.0499999999884</v>
      </c>
      <c r="H96" s="99">
        <f>G96+'17'!H96</f>
        <v>74103.829999999987</v>
      </c>
      <c r="I96" s="118"/>
      <c r="J96" s="175">
        <f>H96/DAY(B2)</f>
        <v>4116.8794444444438</v>
      </c>
      <c r="K96" s="69"/>
      <c r="L96" s="66"/>
      <c r="O96" s="71"/>
    </row>
    <row r="97" spans="1:15" ht="27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574">
        <f>G96/G7</f>
        <v>0.21175226145316547</v>
      </c>
      <c r="H97" s="99">
        <f>G97+'17'!H97</f>
        <v>3.6641242051458431</v>
      </c>
      <c r="I97" s="167"/>
      <c r="J97" s="175">
        <f>H97/DAY(B2)</f>
        <v>0.20356245584143573</v>
      </c>
      <c r="K97" s="69"/>
      <c r="L97" s="66"/>
      <c r="O97" s="71"/>
    </row>
    <row r="98" spans="1:15" ht="27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573">
        <f>G39+G53</f>
        <v>3089.679999999993</v>
      </c>
      <c r="H98" s="99">
        <f>G98+'17'!H98</f>
        <v>53411.409999999996</v>
      </c>
      <c r="I98" s="168"/>
      <c r="J98" s="175">
        <f>H98/DAY(B2)</f>
        <v>2967.3005555555555</v>
      </c>
      <c r="K98" s="69"/>
      <c r="L98" s="66"/>
      <c r="O98" s="71"/>
    </row>
    <row r="99" spans="1:15" ht="27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574">
        <f>G98/G7</f>
        <v>0.15026164769963976</v>
      </c>
      <c r="H99" s="99">
        <f>G99+'17'!H99</f>
        <v>2.6469357387536561</v>
      </c>
      <c r="I99" s="168"/>
      <c r="J99" s="175">
        <f>H99/DAY(B2)</f>
        <v>0.14705198548631424</v>
      </c>
      <c r="O99" s="71"/>
    </row>
    <row r="100" spans="1:15" ht="27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573">
        <f>G38+G52</f>
        <v>2102.5</v>
      </c>
      <c r="H100" s="99">
        <f>G100+'17'!H100</f>
        <v>35070.07</v>
      </c>
      <c r="I100" s="118"/>
      <c r="J100" s="175">
        <f>H100/DAY(B2)</f>
        <v>1948.3372222222222</v>
      </c>
      <c r="K100" s="70"/>
      <c r="O100" s="71"/>
    </row>
    <row r="101" spans="1:15" ht="27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574">
        <f>G100/G7</f>
        <v>0.10225172648575041</v>
      </c>
      <c r="H101" s="99">
        <f>G101+'17'!H101</f>
        <v>1.7380780371314892</v>
      </c>
      <c r="I101" s="168"/>
      <c r="J101" s="175">
        <f>H101/DAY(B2)</f>
        <v>9.6559890951749397E-2</v>
      </c>
      <c r="O101" s="71"/>
    </row>
    <row r="102" spans="1:15" ht="27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573">
        <f>G36+G50</f>
        <v>2054.9099999999962</v>
      </c>
      <c r="H102" s="99">
        <f>G102+'17'!H102</f>
        <v>39164.68</v>
      </c>
      <c r="I102" s="168"/>
      <c r="J102" s="175">
        <f>H102/DAY(B2)</f>
        <v>2175.8155555555554</v>
      </c>
      <c r="O102" s="71"/>
    </row>
    <row r="103" spans="1:15" ht="27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574">
        <f>G102/G7</f>
        <v>9.9937262912167896E-2</v>
      </c>
      <c r="H103" s="99">
        <f>G103+'17'!H103</f>
        <v>1.9351904397852258</v>
      </c>
      <c r="I103" s="118"/>
      <c r="J103" s="175">
        <f>H103/DAY(B2)</f>
        <v>0.10751057998806809</v>
      </c>
      <c r="O103" s="71"/>
    </row>
    <row r="104" spans="1:15" ht="27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573">
        <f>G37+G51</f>
        <v>1732.8400000000038</v>
      </c>
      <c r="H104" s="99">
        <f>G104+'17'!H104</f>
        <v>30189.930000000008</v>
      </c>
      <c r="I104" s="118"/>
      <c r="J104" s="175">
        <f>H104/DAY(B2)</f>
        <v>1677.2183333333337</v>
      </c>
      <c r="O104" s="71"/>
    </row>
    <row r="105" spans="1:15" ht="27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575">
        <f>G104/G7</f>
        <v>8.4273903316798154E-2</v>
      </c>
      <c r="H105" s="99">
        <f>G105+'17'!H105</f>
        <v>1.4986777422134763</v>
      </c>
      <c r="I105" s="187"/>
      <c r="J105" s="188">
        <f>H105/DAY(B2)</f>
        <v>8.3259874567415348E-2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7.75" customHeight="1" x14ac:dyDescent="0.5">
      <c r="A109" s="892"/>
      <c r="B109" s="892"/>
    </row>
    <row r="110" spans="1:15" ht="27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customHeight="1" x14ac:dyDescent="0.5">
      <c r="A111" s="911"/>
      <c r="B111" s="912"/>
      <c r="C111" s="913"/>
      <c r="D111" s="165"/>
      <c r="E111" s="165"/>
      <c r="F111" s="165"/>
      <c r="G111" s="578"/>
      <c r="H111" s="156"/>
      <c r="I111" s="165"/>
      <c r="J111" s="327"/>
    </row>
    <row r="112" spans="1:15" ht="27.75" customHeight="1" x14ac:dyDescent="0.5">
      <c r="A112" s="886" t="s">
        <v>252</v>
      </c>
      <c r="B112" s="887"/>
      <c r="C112" s="888"/>
      <c r="D112" s="146" t="s">
        <v>183</v>
      </c>
      <c r="E112" s="95">
        <f>'17'!F112</f>
        <v>59263.51</v>
      </c>
      <c r="F112" s="237">
        <v>59328.77</v>
      </c>
      <c r="G112" s="558">
        <f t="shared" ref="G112:G123" si="8">F112-E112</f>
        <v>65.259999999994761</v>
      </c>
      <c r="H112" s="99">
        <f>G112+'17'!H112</f>
        <v>1274.7699999999968</v>
      </c>
      <c r="I112" s="165"/>
      <c r="J112" s="328">
        <f>H112/DAY(B2)</f>
        <v>70.820555555555373</v>
      </c>
    </row>
    <row r="113" spans="1:18" ht="27.75" customHeight="1" x14ac:dyDescent="0.5">
      <c r="A113" s="886" t="s">
        <v>253</v>
      </c>
      <c r="B113" s="887"/>
      <c r="C113" s="888"/>
      <c r="D113" s="146" t="s">
        <v>183</v>
      </c>
      <c r="E113" s="95">
        <f>'17'!F113</f>
        <v>54370.49</v>
      </c>
      <c r="F113" s="237">
        <v>54851.91</v>
      </c>
      <c r="G113" s="558">
        <f t="shared" si="8"/>
        <v>481.42000000000553</v>
      </c>
      <c r="H113" s="99">
        <f>G113+'17'!H113</f>
        <v>8451.0200000000041</v>
      </c>
      <c r="I113" s="165"/>
      <c r="J113" s="328">
        <f>H113/DAY(B2)</f>
        <v>469.50111111111136</v>
      </c>
    </row>
    <row r="114" spans="1:18" ht="27.75" customHeight="1" x14ac:dyDescent="0.5">
      <c r="A114" s="886" t="s">
        <v>254</v>
      </c>
      <c r="B114" s="887"/>
      <c r="C114" s="888"/>
      <c r="D114" s="146" t="s">
        <v>183</v>
      </c>
      <c r="E114" s="95">
        <f>'17'!F114</f>
        <v>38573.800000000003</v>
      </c>
      <c r="F114" s="237">
        <v>38835.699999999997</v>
      </c>
      <c r="G114" s="558">
        <f t="shared" si="8"/>
        <v>261.89999999999418</v>
      </c>
      <c r="H114" s="99">
        <f>G114+'17'!H114</f>
        <v>5675.6999999999971</v>
      </c>
      <c r="I114" s="165"/>
      <c r="J114" s="328">
        <f>H114/DAY(B2)</f>
        <v>315.31666666666649</v>
      </c>
    </row>
    <row r="115" spans="1:18" ht="27.75" customHeight="1" x14ac:dyDescent="0.5">
      <c r="A115" s="886" t="s">
        <v>255</v>
      </c>
      <c r="B115" s="887"/>
      <c r="C115" s="888"/>
      <c r="D115" s="146" t="s">
        <v>183</v>
      </c>
      <c r="E115" s="95">
        <f>'17'!F115</f>
        <v>9292.64</v>
      </c>
      <c r="F115" s="237">
        <v>9305.8700000000008</v>
      </c>
      <c r="G115" s="558">
        <f t="shared" si="8"/>
        <v>13.230000000001382</v>
      </c>
      <c r="H115" s="99">
        <f>G115+'17'!H115</f>
        <v>211.22000000000116</v>
      </c>
      <c r="I115" s="165"/>
      <c r="J115" s="328">
        <f>H115/DAY(B2)</f>
        <v>11.73444444444451</v>
      </c>
    </row>
    <row r="116" spans="1:18" ht="27.75" customHeight="1" x14ac:dyDescent="0.5">
      <c r="A116" s="904" t="s">
        <v>96</v>
      </c>
      <c r="B116" s="905"/>
      <c r="C116" s="906"/>
      <c r="D116" s="146" t="s">
        <v>183</v>
      </c>
      <c r="E116" s="95">
        <f>'17'!F116</f>
        <v>4594.79</v>
      </c>
      <c r="F116" s="237">
        <v>4994.12</v>
      </c>
      <c r="G116" s="558">
        <f t="shared" si="8"/>
        <v>399.32999999999993</v>
      </c>
      <c r="H116" s="99">
        <f>G116+'17'!H116</f>
        <v>4994.12</v>
      </c>
      <c r="I116" s="165"/>
      <c r="J116" s="328">
        <f>H116/DAY(B2)</f>
        <v>277.45111111111112</v>
      </c>
      <c r="Q116" s="886" t="s">
        <v>311</v>
      </c>
      <c r="R116" s="888"/>
    </row>
    <row r="117" spans="1:18" ht="27.75" customHeight="1" x14ac:dyDescent="0.5">
      <c r="A117" s="904" t="s">
        <v>184</v>
      </c>
      <c r="B117" s="905"/>
      <c r="C117" s="906"/>
      <c r="D117" s="146" t="s">
        <v>183</v>
      </c>
      <c r="E117" s="95">
        <f>'17'!F117</f>
        <v>5894.71</v>
      </c>
      <c r="F117" s="237">
        <v>6071.16</v>
      </c>
      <c r="G117" s="558">
        <f t="shared" si="8"/>
        <v>176.44999999999982</v>
      </c>
      <c r="H117" s="99">
        <f>G117+'17'!H117</f>
        <v>2733.21</v>
      </c>
      <c r="I117" s="165"/>
      <c r="J117" s="328">
        <f>H117/DAY(B2)</f>
        <v>151.845</v>
      </c>
      <c r="Q117" s="886" t="s">
        <v>312</v>
      </c>
      <c r="R117" s="888"/>
    </row>
    <row r="118" spans="1:18" ht="27.75" customHeight="1" x14ac:dyDescent="0.5">
      <c r="A118" s="881" t="s">
        <v>97</v>
      </c>
      <c r="B118" s="881"/>
      <c r="C118" s="881"/>
      <c r="D118" s="151" t="s">
        <v>183</v>
      </c>
      <c r="E118" s="95">
        <f>'17'!F118</f>
        <v>258853.88</v>
      </c>
      <c r="F118" s="237">
        <v>259259.27</v>
      </c>
      <c r="G118" s="558">
        <f t="shared" si="8"/>
        <v>405.38999999998487</v>
      </c>
      <c r="H118" s="99">
        <f>G118+'17'!H118</f>
        <v>6806.9599999999919</v>
      </c>
      <c r="I118" s="165"/>
      <c r="J118" s="328">
        <f>H118/DAY(B2)</f>
        <v>378.16444444444397</v>
      </c>
      <c r="Q118" s="886" t="s">
        <v>311</v>
      </c>
      <c r="R118" s="888"/>
    </row>
    <row r="119" spans="1:18" ht="27.75" customHeight="1" x14ac:dyDescent="0.5">
      <c r="A119" s="881" t="s">
        <v>98</v>
      </c>
      <c r="B119" s="881"/>
      <c r="C119" s="881"/>
      <c r="D119" s="151" t="s">
        <v>183</v>
      </c>
      <c r="E119" s="95">
        <f>'17'!F119</f>
        <v>265321.09000000003</v>
      </c>
      <c r="F119" s="237">
        <v>265753.33</v>
      </c>
      <c r="G119" s="558">
        <f t="shared" si="8"/>
        <v>432.23999999999069</v>
      </c>
      <c r="H119" s="99">
        <f>G119+'17'!H119</f>
        <v>7604.7800000000279</v>
      </c>
      <c r="I119" s="165"/>
      <c r="J119" s="328">
        <f>H119/DAY(B2)</f>
        <v>422.48777777777934</v>
      </c>
    </row>
    <row r="120" spans="1:18" ht="27.75" customHeight="1" x14ac:dyDescent="0.5">
      <c r="A120" s="881" t="s">
        <v>99</v>
      </c>
      <c r="B120" s="881"/>
      <c r="C120" s="881"/>
      <c r="D120" s="151" t="s">
        <v>183</v>
      </c>
      <c r="E120" s="95">
        <f>'17'!F120</f>
        <v>50176.47</v>
      </c>
      <c r="F120" s="237">
        <v>50618.01</v>
      </c>
      <c r="G120" s="558">
        <f t="shared" si="8"/>
        <v>441.54000000000087</v>
      </c>
      <c r="H120" s="99">
        <f>G120+'17'!H120</f>
        <v>7658.4000000000015</v>
      </c>
      <c r="I120" s="165"/>
      <c r="J120" s="328">
        <f>H120/DAY(B2)</f>
        <v>425.46666666666675</v>
      </c>
    </row>
    <row r="121" spans="1:18" ht="27.75" customHeight="1" x14ac:dyDescent="0.5">
      <c r="A121" s="881" t="s">
        <v>100</v>
      </c>
      <c r="B121" s="881"/>
      <c r="C121" s="881"/>
      <c r="D121" s="151" t="s">
        <v>183</v>
      </c>
      <c r="E121" s="95">
        <f>'17'!F121</f>
        <v>410599.75</v>
      </c>
      <c r="F121" s="237">
        <v>411343.51</v>
      </c>
      <c r="G121" s="558">
        <f t="shared" si="8"/>
        <v>743.76000000000931</v>
      </c>
      <c r="H121" s="99">
        <f>G121+'17'!H121</f>
        <v>13309.080000000016</v>
      </c>
      <c r="I121" s="165"/>
      <c r="J121" s="328">
        <f>H121/DAY(B2)</f>
        <v>739.39333333333423</v>
      </c>
    </row>
    <row r="122" spans="1:18" ht="27.75" customHeight="1" x14ac:dyDescent="0.5">
      <c r="A122" s="881" t="s">
        <v>101</v>
      </c>
      <c r="B122" s="881"/>
      <c r="C122" s="881"/>
      <c r="D122" s="151" t="s">
        <v>183</v>
      </c>
      <c r="E122" s="95">
        <f>'17'!F122</f>
        <v>129958.97</v>
      </c>
      <c r="F122" s="237">
        <v>130173.65</v>
      </c>
      <c r="G122" s="558">
        <f t="shared" si="8"/>
        <v>214.67999999999302</v>
      </c>
      <c r="H122" s="99">
        <f>G122+'17'!H122</f>
        <v>3987.4700000000012</v>
      </c>
      <c r="I122" s="165"/>
      <c r="J122" s="328">
        <f>H122/DAY(B2)</f>
        <v>221.52611111111116</v>
      </c>
    </row>
    <row r="123" spans="1:18" ht="27.75" customHeight="1" x14ac:dyDescent="0.5">
      <c r="A123" s="881" t="s">
        <v>102</v>
      </c>
      <c r="B123" s="881"/>
      <c r="C123" s="881"/>
      <c r="D123" s="151" t="s">
        <v>183</v>
      </c>
      <c r="E123" s="95">
        <f>'17'!F123</f>
        <v>158400.78</v>
      </c>
      <c r="F123" s="237">
        <v>158658.81</v>
      </c>
      <c r="G123" s="558">
        <f t="shared" si="8"/>
        <v>258.02999999999884</v>
      </c>
      <c r="H123" s="99">
        <f>G123+'17'!H123</f>
        <v>4611.859999999986</v>
      </c>
      <c r="I123" s="165"/>
      <c r="J123" s="328">
        <f>H123/DAY(B2)</f>
        <v>256.21444444444364</v>
      </c>
    </row>
    <row r="124" spans="1:18" ht="27.75" customHeight="1" x14ac:dyDescent="0.5">
      <c r="A124" s="911"/>
      <c r="B124" s="912"/>
      <c r="C124" s="913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 x14ac:dyDescent="0.5">
      <c r="A125" s="914" t="s">
        <v>196</v>
      </c>
      <c r="B125" s="915"/>
      <c r="C125" s="245"/>
      <c r="D125" s="307"/>
      <c r="E125" s="308"/>
      <c r="F125" s="308"/>
      <c r="G125" s="579">
        <f>SUM(G112:G124)</f>
        <v>3893.2299999999732</v>
      </c>
      <c r="H125" s="156"/>
      <c r="I125" s="327">
        <f>G125-(G39+G53)</f>
        <v>803.54999999998017</v>
      </c>
      <c r="J125" s="327"/>
    </row>
    <row r="126" spans="1:18" ht="27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customHeight="1" x14ac:dyDescent="0.5">
      <c r="A127" s="917"/>
      <c r="B127" s="917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86" t="s">
        <v>318</v>
      </c>
      <c r="B128" s="887"/>
      <c r="C128" s="888"/>
      <c r="D128" s="151" t="s">
        <v>183</v>
      </c>
      <c r="E128" s="95">
        <f>'17'!F128</f>
        <v>53102.75</v>
      </c>
      <c r="F128" s="165">
        <v>53396.87</v>
      </c>
      <c r="G128" s="558">
        <f t="shared" ref="G128:G134" si="9">F128-E128</f>
        <v>294.12000000000262</v>
      </c>
      <c r="H128" s="99">
        <f>G128+'17'!H128</f>
        <v>5650.8700000000026</v>
      </c>
      <c r="I128" s="165"/>
      <c r="J128" s="328">
        <f>H128/DAY(B2)</f>
        <v>313.93722222222237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30772.79</v>
      </c>
      <c r="F129" s="165">
        <v>30997.7</v>
      </c>
      <c r="G129" s="558">
        <f t="shared" si="9"/>
        <v>224.90999999999985</v>
      </c>
      <c r="H129" s="99">
        <f>G129+'17'!H129</f>
        <v>4086.8300000000017</v>
      </c>
      <c r="I129" s="165"/>
      <c r="J129" s="328">
        <f>H129/DAY(B2)</f>
        <v>227.0461111111112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45852.29</v>
      </c>
      <c r="F130" s="165">
        <v>46618.43</v>
      </c>
      <c r="G130" s="558">
        <f t="shared" si="9"/>
        <v>766.13999999999942</v>
      </c>
      <c r="H130" s="99">
        <f>G130+'17'!H130</f>
        <v>10924.43</v>
      </c>
      <c r="I130" s="165"/>
      <c r="J130" s="328">
        <f>H130/DAY(B2)</f>
        <v>606.91277777777782</v>
      </c>
      <c r="N130" s="240"/>
      <c r="O130" s="241"/>
    </row>
    <row r="131" spans="1:15" ht="27.75" customHeight="1" x14ac:dyDescent="0.5">
      <c r="A131" s="886" t="s">
        <v>321</v>
      </c>
      <c r="B131" s="887"/>
      <c r="C131" s="888"/>
      <c r="D131" s="151" t="s">
        <v>183</v>
      </c>
      <c r="E131" s="95">
        <f>'17'!F131</f>
        <v>17139.900000000001</v>
      </c>
      <c r="F131" s="158">
        <v>17305</v>
      </c>
      <c r="G131" s="558">
        <f t="shared" si="9"/>
        <v>165.09999999999854</v>
      </c>
      <c r="H131" s="99">
        <f>G131+'17'!H131</f>
        <v>1997.3199999999997</v>
      </c>
      <c r="I131" s="165"/>
      <c r="J131" s="328">
        <f>H131/DAY(B2)</f>
        <v>110.96222222222221</v>
      </c>
      <c r="N131" s="240"/>
      <c r="O131" s="241"/>
    </row>
    <row r="132" spans="1:15" ht="27.75" customHeight="1" x14ac:dyDescent="0.5">
      <c r="A132" s="886" t="s">
        <v>322</v>
      </c>
      <c r="B132" s="887"/>
      <c r="C132" s="888"/>
      <c r="D132" s="151" t="s">
        <v>183</v>
      </c>
      <c r="E132" s="95">
        <f>'17'!F132</f>
        <v>58456.7</v>
      </c>
      <c r="F132" s="158">
        <v>58879.7</v>
      </c>
      <c r="G132" s="558">
        <f t="shared" si="9"/>
        <v>423</v>
      </c>
      <c r="H132" s="99">
        <f>G132+'17'!H132</f>
        <v>7031.3999999999942</v>
      </c>
      <c r="I132" s="165"/>
      <c r="J132" s="328">
        <f>H132/DAY(B2)</f>
        <v>390.63333333333298</v>
      </c>
    </row>
    <row r="133" spans="1:15" ht="27.75" customHeight="1" x14ac:dyDescent="0.5">
      <c r="A133" s="886" t="s">
        <v>362</v>
      </c>
      <c r="B133" s="887"/>
      <c r="C133" s="888"/>
      <c r="D133" s="151" t="s">
        <v>183</v>
      </c>
      <c r="E133" s="95">
        <f>'17'!F133</f>
        <v>116028.12</v>
      </c>
      <c r="F133" s="165">
        <v>116693.31</v>
      </c>
      <c r="G133" s="558">
        <f t="shared" si="9"/>
        <v>665.19000000000233</v>
      </c>
      <c r="H133" s="99">
        <f>G133+'17'!H133</f>
        <v>11349.61</v>
      </c>
      <c r="I133" s="165"/>
      <c r="J133" s="328">
        <f>H133/DAY(B2)</f>
        <v>630.5338888888889</v>
      </c>
    </row>
    <row r="134" spans="1:15" ht="27.75" customHeight="1" x14ac:dyDescent="0.5">
      <c r="A134" s="886" t="s">
        <v>340</v>
      </c>
      <c r="B134" s="887"/>
      <c r="C134" s="888"/>
      <c r="D134" s="151" t="s">
        <v>183</v>
      </c>
      <c r="E134" s="95">
        <f>'17'!F134</f>
        <v>11601.75</v>
      </c>
      <c r="F134" s="158">
        <v>11834.8</v>
      </c>
      <c r="G134" s="558">
        <f t="shared" si="9"/>
        <v>233.04999999999927</v>
      </c>
      <c r="H134" s="99">
        <f>G134+'17'!H134</f>
        <v>3233.5699999999997</v>
      </c>
      <c r="I134" s="165"/>
      <c r="J134" s="328">
        <f>H134/DAY(B2)</f>
        <v>179.64277777777775</v>
      </c>
    </row>
    <row r="135" spans="1:15" ht="27.75" customHeight="1" x14ac:dyDescent="0.5">
      <c r="A135" s="914" t="s">
        <v>196</v>
      </c>
      <c r="B135" s="915"/>
      <c r="C135" s="331"/>
      <c r="D135" s="151"/>
      <c r="E135" s="95"/>
      <c r="F135" s="165"/>
      <c r="G135" s="558">
        <f>SUM(G128:G134)</f>
        <v>2771.510000000002</v>
      </c>
      <c r="H135" s="99">
        <f>G135+'10'!H135</f>
        <v>26227.730000000003</v>
      </c>
      <c r="I135" s="327">
        <f>G135-(G35+G49)</f>
        <v>-343.25</v>
      </c>
      <c r="J135" s="328"/>
    </row>
    <row r="136" spans="1:15" ht="27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 x14ac:dyDescent="0.5">
      <c r="A138" s="881" t="s">
        <v>185</v>
      </c>
      <c r="B138" s="881"/>
      <c r="C138" s="881"/>
      <c r="D138" s="151" t="s">
        <v>183</v>
      </c>
      <c r="E138" s="95">
        <f>'17'!F138</f>
        <v>867711</v>
      </c>
      <c r="F138" s="147">
        <v>867792</v>
      </c>
      <c r="G138" s="558">
        <f t="shared" ref="G138:G152" si="10">F138-E138</f>
        <v>81</v>
      </c>
      <c r="H138" s="99">
        <f>G138+'17'!H138</f>
        <v>1619</v>
      </c>
      <c r="I138" s="118"/>
      <c r="J138" s="328">
        <f>H138/DAY(B2)</f>
        <v>89.944444444444443</v>
      </c>
    </row>
    <row r="139" spans="1:15" ht="27.75" customHeight="1" x14ac:dyDescent="0.5">
      <c r="A139" s="881" t="s">
        <v>186</v>
      </c>
      <c r="B139" s="881"/>
      <c r="C139" s="881"/>
      <c r="D139" s="151" t="s">
        <v>183</v>
      </c>
      <c r="E139" s="95">
        <f>'17'!F139</f>
        <v>886678</v>
      </c>
      <c r="F139" s="148">
        <v>886679</v>
      </c>
      <c r="G139" s="558">
        <f t="shared" si="10"/>
        <v>1</v>
      </c>
      <c r="H139" s="99">
        <f>G139+'17'!H139</f>
        <v>106</v>
      </c>
      <c r="I139" s="118"/>
      <c r="J139" s="328">
        <f>H139/DAY(B2)</f>
        <v>5.8888888888888893</v>
      </c>
    </row>
    <row r="140" spans="1:15" ht="27.75" customHeight="1" x14ac:dyDescent="0.5">
      <c r="A140" s="881" t="s">
        <v>187</v>
      </c>
      <c r="B140" s="881"/>
      <c r="C140" s="881"/>
      <c r="D140" s="151" t="s">
        <v>183</v>
      </c>
      <c r="E140" s="95">
        <f>'17'!F140</f>
        <v>88948</v>
      </c>
      <c r="F140" s="149">
        <v>88948.4</v>
      </c>
      <c r="G140" s="558">
        <f t="shared" si="10"/>
        <v>0.39999999999417923</v>
      </c>
      <c r="H140" s="99">
        <f>G140+'17'!H140</f>
        <v>26.399999999994179</v>
      </c>
      <c r="I140" s="118"/>
      <c r="J140" s="328">
        <f>H140/DAY(B2)</f>
        <v>1.4666666666663433</v>
      </c>
    </row>
    <row r="141" spans="1:15" ht="27.75" customHeight="1" x14ac:dyDescent="0.5">
      <c r="A141" s="885" t="s">
        <v>188</v>
      </c>
      <c r="B141" s="885"/>
      <c r="C141" s="885"/>
      <c r="D141" s="151" t="s">
        <v>183</v>
      </c>
      <c r="E141" s="95">
        <f>'17'!F141</f>
        <v>57697.48</v>
      </c>
      <c r="F141" s="149">
        <v>57886.32</v>
      </c>
      <c r="G141" s="558">
        <f t="shared" si="10"/>
        <v>188.83999999999651</v>
      </c>
      <c r="H141" s="99">
        <f>G141+'17'!H141</f>
        <v>3200.739999999998</v>
      </c>
      <c r="I141" s="118"/>
      <c r="J141" s="328">
        <f>H141/DAY(B2)</f>
        <v>177.81888888888878</v>
      </c>
    </row>
    <row r="142" spans="1:15" ht="27.75" customHeight="1" x14ac:dyDescent="0.5">
      <c r="A142" s="885" t="s">
        <v>189</v>
      </c>
      <c r="B142" s="885"/>
      <c r="C142" s="885"/>
      <c r="D142" s="151" t="s">
        <v>183</v>
      </c>
      <c r="E142" s="95">
        <f>'17'!F142</f>
        <v>22455.97</v>
      </c>
      <c r="F142" s="148">
        <v>22520.2</v>
      </c>
      <c r="G142" s="558">
        <f t="shared" si="10"/>
        <v>64.229999999999563</v>
      </c>
      <c r="H142" s="99">
        <f>G142+'17'!H142</f>
        <v>1236.1000000000022</v>
      </c>
      <c r="I142" s="140"/>
      <c r="J142" s="328">
        <f>H142/DAY(B2)</f>
        <v>68.672222222222345</v>
      </c>
    </row>
    <row r="143" spans="1:15" ht="27.75" customHeight="1" x14ac:dyDescent="0.5">
      <c r="A143" s="881" t="s">
        <v>91</v>
      </c>
      <c r="B143" s="881"/>
      <c r="C143" s="881"/>
      <c r="D143" s="151" t="s">
        <v>183</v>
      </c>
      <c r="E143" s="95">
        <f>'17'!F143</f>
        <v>4313.3500000000004</v>
      </c>
      <c r="F143" s="149">
        <v>4338.46</v>
      </c>
      <c r="G143" s="558">
        <f t="shared" si="10"/>
        <v>25.109999999999673</v>
      </c>
      <c r="H143" s="99">
        <f>G143+'17'!H143</f>
        <v>503.07000000000016</v>
      </c>
      <c r="I143" s="140"/>
      <c r="J143" s="328">
        <f>H143/DAY(B2)</f>
        <v>27.948333333333341</v>
      </c>
    </row>
    <row r="144" spans="1:15" ht="27.75" customHeight="1" x14ac:dyDescent="0.5">
      <c r="A144" s="885" t="s">
        <v>90</v>
      </c>
      <c r="B144" s="885"/>
      <c r="C144" s="885"/>
      <c r="D144" s="151" t="s">
        <v>183</v>
      </c>
      <c r="E144" s="95">
        <f>'17'!F144</f>
        <v>880067</v>
      </c>
      <c r="F144" s="148">
        <v>880277</v>
      </c>
      <c r="G144" s="558">
        <f t="shared" si="10"/>
        <v>210</v>
      </c>
      <c r="H144" s="99">
        <f>G144+'17'!H144</f>
        <v>3790</v>
      </c>
      <c r="I144" s="140"/>
      <c r="J144" s="328">
        <f>H144/DAY(B2)</f>
        <v>210.55555555555554</v>
      </c>
    </row>
    <row r="145" spans="1:10" ht="27.75" customHeight="1" x14ac:dyDescent="0.5">
      <c r="A145" s="881" t="s">
        <v>190</v>
      </c>
      <c r="B145" s="881"/>
      <c r="C145" s="881"/>
      <c r="D145" s="152" t="s">
        <v>183</v>
      </c>
      <c r="E145" s="95">
        <f>'17'!F145</f>
        <v>5177.7299999999996</v>
      </c>
      <c r="F145" s="149">
        <v>5192.3</v>
      </c>
      <c r="G145" s="558">
        <f t="shared" si="10"/>
        <v>14.570000000000618</v>
      </c>
      <c r="H145" s="99">
        <f>G145+'17'!H145</f>
        <v>233.46000000000004</v>
      </c>
      <c r="I145" s="140"/>
      <c r="J145" s="328">
        <f>H145/DAY(B2)</f>
        <v>12.970000000000002</v>
      </c>
    </row>
    <row r="146" spans="1:10" ht="27.75" customHeight="1" x14ac:dyDescent="0.5">
      <c r="A146" s="882" t="s">
        <v>191</v>
      </c>
      <c r="B146" s="883"/>
      <c r="C146" s="884"/>
      <c r="D146" s="152" t="s">
        <v>183</v>
      </c>
      <c r="E146" s="95">
        <f>'17'!F146</f>
        <v>744789</v>
      </c>
      <c r="F146" s="148">
        <v>745187</v>
      </c>
      <c r="G146" s="558">
        <f t="shared" si="10"/>
        <v>398</v>
      </c>
      <c r="H146" s="99">
        <f>G146+'17'!H146</f>
        <v>7854</v>
      </c>
      <c r="I146" s="140"/>
      <c r="J146" s="328">
        <f>H146/DAY(B2)</f>
        <v>436.33333333333331</v>
      </c>
    </row>
    <row r="147" spans="1:10" ht="27.75" customHeight="1" x14ac:dyDescent="0.5">
      <c r="A147" s="885" t="s">
        <v>192</v>
      </c>
      <c r="B147" s="885"/>
      <c r="C147" s="885"/>
      <c r="D147" s="152" t="s">
        <v>183</v>
      </c>
      <c r="E147" s="95">
        <f>'17'!F147</f>
        <v>633517.04</v>
      </c>
      <c r="F147" s="148">
        <v>633840</v>
      </c>
      <c r="G147" s="558">
        <f t="shared" si="10"/>
        <v>322.95999999996275</v>
      </c>
      <c r="H147" s="99">
        <f>G147+'17'!H147</f>
        <v>7227.4799999999814</v>
      </c>
      <c r="I147" s="140"/>
      <c r="J147" s="328">
        <f>H147/DAY(B2)</f>
        <v>401.52666666666562</v>
      </c>
    </row>
    <row r="148" spans="1:10" ht="27.75" customHeight="1" x14ac:dyDescent="0.5">
      <c r="A148" s="877" t="s">
        <v>193</v>
      </c>
      <c r="B148" s="878"/>
      <c r="C148" s="879"/>
      <c r="D148" s="123" t="s">
        <v>130</v>
      </c>
      <c r="E148" s="95">
        <f>'17'!F148</f>
        <v>694582.48</v>
      </c>
      <c r="F148" s="150">
        <v>694826.8</v>
      </c>
      <c r="G148" s="558">
        <f t="shared" si="10"/>
        <v>244.32000000006519</v>
      </c>
      <c r="H148" s="99">
        <f>G148+'17'!H148</f>
        <v>5383.8400000000838</v>
      </c>
      <c r="I148" s="124"/>
      <c r="J148" s="328">
        <f>H148/DAY(B2)</f>
        <v>299.10222222222689</v>
      </c>
    </row>
    <row r="149" spans="1:10" ht="27.75" customHeight="1" x14ac:dyDescent="0.5">
      <c r="A149" s="877" t="s">
        <v>336</v>
      </c>
      <c r="B149" s="878"/>
      <c r="C149" s="879"/>
      <c r="D149" s="227" t="s">
        <v>130</v>
      </c>
      <c r="E149" s="95">
        <f>'17'!F149</f>
        <v>34562.660000000003</v>
      </c>
      <c r="F149" s="498">
        <v>35220.400000000001</v>
      </c>
      <c r="G149" s="558">
        <f t="shared" si="10"/>
        <v>657.73999999999796</v>
      </c>
      <c r="H149" s="99">
        <f>G149+'17'!H149</f>
        <v>10542.2</v>
      </c>
      <c r="I149" s="119"/>
      <c r="J149" s="328">
        <f>H149/DAY(B2)</f>
        <v>585.67777777777781</v>
      </c>
    </row>
    <row r="150" spans="1:10" ht="27.75" customHeight="1" x14ac:dyDescent="0.5">
      <c r="A150" s="877" t="s">
        <v>337</v>
      </c>
      <c r="B150" s="878"/>
      <c r="C150" s="879"/>
      <c r="D150" s="117" t="s">
        <v>130</v>
      </c>
      <c r="E150" s="95">
        <f>'17'!F150</f>
        <v>14707.88</v>
      </c>
      <c r="F150" s="233">
        <v>14914.52</v>
      </c>
      <c r="G150" s="558">
        <f t="shared" si="10"/>
        <v>206.64000000000124</v>
      </c>
      <c r="H150" s="99">
        <f>G150+'17'!H150</f>
        <v>4063.6900000000005</v>
      </c>
      <c r="I150" s="119"/>
      <c r="J150" s="328">
        <f>H150/DAY(B2)</f>
        <v>225.76055555555558</v>
      </c>
    </row>
    <row r="151" spans="1:10" ht="27.75" customHeight="1" x14ac:dyDescent="0.5">
      <c r="A151" s="877" t="s">
        <v>338</v>
      </c>
      <c r="B151" s="878"/>
      <c r="C151" s="879"/>
      <c r="D151" s="117" t="s">
        <v>130</v>
      </c>
      <c r="E151" s="95">
        <f>'17'!F151</f>
        <v>89609</v>
      </c>
      <c r="F151" s="233">
        <v>89887</v>
      </c>
      <c r="G151" s="558">
        <f t="shared" si="10"/>
        <v>278</v>
      </c>
      <c r="H151" s="99">
        <f>G151+'17'!H151</f>
        <v>4407</v>
      </c>
      <c r="I151" s="119"/>
      <c r="J151" s="328">
        <f>H151/DAY(B2)</f>
        <v>244.83333333333334</v>
      </c>
    </row>
    <row r="152" spans="1:10" ht="27.75" customHeight="1" x14ac:dyDescent="0.5">
      <c r="A152" s="877" t="s">
        <v>339</v>
      </c>
      <c r="B152" s="878"/>
      <c r="C152" s="879"/>
      <c r="D152" s="117" t="s">
        <v>130</v>
      </c>
      <c r="E152" s="95">
        <f>'17'!F152</f>
        <v>2762.3</v>
      </c>
      <c r="F152" s="233">
        <v>2874.33</v>
      </c>
      <c r="G152" s="558">
        <f t="shared" si="10"/>
        <v>112.02999999999975</v>
      </c>
      <c r="H152" s="99">
        <f>G152+'17'!H152</f>
        <v>1214.33</v>
      </c>
      <c r="I152" s="119"/>
      <c r="J152" s="328">
        <f>H152/DAY(B2)</f>
        <v>67.462777777777774</v>
      </c>
    </row>
    <row r="153" spans="1:10" ht="27.75" customHeight="1" x14ac:dyDescent="0.5">
      <c r="A153" s="914" t="s">
        <v>196</v>
      </c>
      <c r="B153" s="915"/>
      <c r="C153" s="365"/>
      <c r="D153" s="358"/>
      <c r="E153" s="360"/>
      <c r="F153" s="361"/>
      <c r="G153" s="580">
        <f>SUM(G138:G152)</f>
        <v>2804.8400000000174</v>
      </c>
      <c r="H153" s="363"/>
      <c r="I153" s="119">
        <f>G153-(G38+G52)</f>
        <v>702.34000000001743</v>
      </c>
      <c r="J153" s="366"/>
    </row>
    <row r="154" spans="1:10" ht="27.7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27.75" customHeight="1" x14ac:dyDescent="0.55000000000000004">
      <c r="A155" s="885" t="s">
        <v>345</v>
      </c>
      <c r="B155" s="885"/>
      <c r="C155" s="885"/>
      <c r="D155" s="117" t="s">
        <v>130</v>
      </c>
      <c r="E155" s="95">
        <f>'17'!F155</f>
        <v>44199.87</v>
      </c>
      <c r="F155" s="471">
        <v>44914.618999999999</v>
      </c>
      <c r="G155" s="558">
        <f t="shared" ref="G155:G157" si="11">F155-E155</f>
        <v>714.74899999999616</v>
      </c>
      <c r="H155" s="99">
        <f>G155+'17'!H155</f>
        <v>11969.618999999999</v>
      </c>
      <c r="I155" s="364"/>
      <c r="J155" s="328">
        <f>H155/DAY(B2)</f>
        <v>664.97883333333323</v>
      </c>
    </row>
    <row r="156" spans="1:10" ht="27.75" customHeight="1" x14ac:dyDescent="0.5">
      <c r="A156" s="885" t="s">
        <v>347</v>
      </c>
      <c r="B156" s="885"/>
      <c r="C156" s="885"/>
      <c r="D156" s="117" t="s">
        <v>130</v>
      </c>
      <c r="E156" s="95">
        <f>'17'!F156</f>
        <v>3634.4</v>
      </c>
      <c r="F156" s="165">
        <v>3693</v>
      </c>
      <c r="G156" s="558">
        <f t="shared" si="11"/>
        <v>58.599999999999909</v>
      </c>
      <c r="H156" s="99">
        <f>G156+'17'!H156</f>
        <v>905</v>
      </c>
      <c r="I156" s="165"/>
      <c r="J156" s="328">
        <f>H156/DAY(B2)</f>
        <v>50.277777777777779</v>
      </c>
    </row>
    <row r="157" spans="1:10" ht="27.75" customHeight="1" x14ac:dyDescent="0.5">
      <c r="A157" s="877" t="s">
        <v>363</v>
      </c>
      <c r="B157" s="878"/>
      <c r="C157" s="879"/>
      <c r="D157" s="117" t="s">
        <v>130</v>
      </c>
      <c r="E157" s="95">
        <f>'17'!F157</f>
        <v>5861</v>
      </c>
      <c r="F157" s="165">
        <v>6015.67</v>
      </c>
      <c r="G157" s="558">
        <f t="shared" si="11"/>
        <v>154.67000000000007</v>
      </c>
      <c r="H157" s="99">
        <f>G157+'17'!H157</f>
        <v>735.67000000000007</v>
      </c>
      <c r="I157" s="165"/>
      <c r="J157" s="328">
        <f>H157/DAY(B2)</f>
        <v>40.870555555555562</v>
      </c>
    </row>
    <row r="158" spans="1:10" ht="27.75" customHeight="1" x14ac:dyDescent="0.5">
      <c r="A158" s="877" t="s">
        <v>364</v>
      </c>
      <c r="B158" s="878"/>
      <c r="C158" s="879"/>
      <c r="D158" s="117" t="s">
        <v>130</v>
      </c>
      <c r="E158" s="95">
        <f>'17'!F158</f>
        <v>71.7</v>
      </c>
      <c r="F158" s="165">
        <v>73.599999999999994</v>
      </c>
      <c r="G158" s="558">
        <f t="shared" ref="G158" si="12">F158-E158</f>
        <v>1.8999999999999915</v>
      </c>
      <c r="H158" s="99">
        <f>G158+'17'!H158</f>
        <v>4.5999999999999943</v>
      </c>
      <c r="I158" s="165"/>
      <c r="J158" s="328">
        <f>H158/DAY(B2)</f>
        <v>0.25555555555555526</v>
      </c>
    </row>
    <row r="159" spans="1:10" ht="27.75" customHeight="1" x14ac:dyDescent="0.5">
      <c r="A159" s="934"/>
      <c r="B159" s="935"/>
      <c r="C159" s="936"/>
      <c r="D159" s="117"/>
      <c r="E159" s="95"/>
      <c r="F159" s="165"/>
      <c r="G159" s="558"/>
      <c r="H159" s="99"/>
      <c r="I159" s="165"/>
      <c r="J159" s="328"/>
    </row>
    <row r="160" spans="1:10" ht="27.7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472608.92</v>
      </c>
      <c r="F161" s="235">
        <v>472622.2</v>
      </c>
      <c r="G161" s="581">
        <f t="shared" ref="G161:G165" si="13">F161-E161</f>
        <v>13.28000000002794</v>
      </c>
      <c r="H161" s="99">
        <f>G161+'17'!H161</f>
        <v>568.64000000001397</v>
      </c>
      <c r="I161" s="236"/>
      <c r="J161" s="239">
        <f>H161/DAY(B2)</f>
        <v>31.591111111111886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89135.6</v>
      </c>
      <c r="F162" s="235">
        <v>89186.4</v>
      </c>
      <c r="G162" s="581">
        <f t="shared" si="13"/>
        <v>50.799999999988358</v>
      </c>
      <c r="H162" s="99">
        <f>G162+'17'!H162</f>
        <v>670</v>
      </c>
      <c r="I162" s="236"/>
      <c r="J162" s="239">
        <f>H162/DAY(B2)</f>
        <v>37.222222222222221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80353</v>
      </c>
      <c r="F163" s="235">
        <v>80461.2</v>
      </c>
      <c r="G163" s="581">
        <f t="shared" si="13"/>
        <v>108.19999999999709</v>
      </c>
      <c r="H163" s="99">
        <f>G163+'17'!H163</f>
        <v>1241.0999999999913</v>
      </c>
      <c r="I163" s="236"/>
      <c r="J163" s="239">
        <f>H163/DAY(B2)</f>
        <v>68.94999999999952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4342</v>
      </c>
      <c r="F164" s="235">
        <v>4350.2</v>
      </c>
      <c r="G164" s="581">
        <f t="shared" si="13"/>
        <v>8.1999999999998181</v>
      </c>
      <c r="H164" s="99">
        <f>G164+'17'!H164</f>
        <v>30.199999999999818</v>
      </c>
      <c r="I164" s="236"/>
      <c r="J164" s="239">
        <f>H164/DAY(B2)</f>
        <v>1.6777777777777676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30003.71</v>
      </c>
      <c r="F165" s="235">
        <v>30013.360000000001</v>
      </c>
      <c r="G165" s="581">
        <f t="shared" si="13"/>
        <v>9.6500000000014552</v>
      </c>
      <c r="H165" s="99">
        <f>G165+'17'!H165</f>
        <v>156.11000000000058</v>
      </c>
      <c r="I165" s="236"/>
      <c r="J165" s="239">
        <f>H165/DAY(B2)</f>
        <v>8.6727777777778101</v>
      </c>
    </row>
    <row r="166" spans="1:10" ht="27.75" customHeight="1" x14ac:dyDescent="0.5">
      <c r="A166" s="917"/>
      <c r="B166" s="917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17"/>
      <c r="B167" s="917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17"/>
      <c r="B168" s="917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customHeight="1" x14ac:dyDescent="0.5">
      <c r="A172" s="921"/>
      <c r="B172" s="922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 x14ac:dyDescent="0.5">
      <c r="A173" s="875" t="s">
        <v>209</v>
      </c>
      <c r="B173" s="876"/>
      <c r="C173" s="333"/>
      <c r="D173" s="228" t="s">
        <v>142</v>
      </c>
      <c r="E173" s="95">
        <f>'17'!F173</f>
        <v>8183</v>
      </c>
      <c r="F173" s="155">
        <v>8183</v>
      </c>
      <c r="G173" s="582">
        <f>F173-E173</f>
        <v>0</v>
      </c>
      <c r="H173" s="99">
        <f>G173+'17'!H173</f>
        <v>57</v>
      </c>
      <c r="I173" s="155"/>
      <c r="J173" s="178">
        <f>H173/DAY(B2)</f>
        <v>3.1666666666666665</v>
      </c>
    </row>
    <row r="174" spans="1:10" ht="27.75" customHeight="1" x14ac:dyDescent="0.5">
      <c r="A174" s="875" t="s">
        <v>75</v>
      </c>
      <c r="B174" s="876"/>
      <c r="C174" s="333"/>
      <c r="D174" s="228" t="s">
        <v>142</v>
      </c>
      <c r="E174" s="95">
        <f>'17'!F174</f>
        <v>38848</v>
      </c>
      <c r="F174" s="157">
        <v>38864</v>
      </c>
      <c r="G174" s="582">
        <f t="shared" ref="G174:G175" si="14">F174-E174</f>
        <v>16</v>
      </c>
      <c r="H174" s="99">
        <f>G174+'17'!H174</f>
        <v>249</v>
      </c>
      <c r="I174" s="155"/>
      <c r="J174" s="178">
        <f>H174/DAY(B2)</f>
        <v>13.833333333333334</v>
      </c>
    </row>
    <row r="175" spans="1:10" ht="27.75" customHeight="1" x14ac:dyDescent="0.5">
      <c r="A175" s="875" t="s">
        <v>76</v>
      </c>
      <c r="B175" s="880"/>
      <c r="C175" s="876"/>
      <c r="D175" s="228" t="s">
        <v>142</v>
      </c>
      <c r="E175" s="95">
        <f>'17'!F175</f>
        <v>22010</v>
      </c>
      <c r="F175" s="155">
        <v>22023</v>
      </c>
      <c r="G175" s="582">
        <f t="shared" si="14"/>
        <v>13</v>
      </c>
      <c r="H175" s="99">
        <f>G175+'17'!H175</f>
        <v>210</v>
      </c>
      <c r="I175" s="155"/>
      <c r="J175" s="178">
        <f>H175/DAY(B2)</f>
        <v>11.666666666666666</v>
      </c>
    </row>
    <row r="176" spans="1:10" ht="27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582">
        <f>SUM(G173:G175)</f>
        <v>29</v>
      </c>
      <c r="H176" s="99">
        <f>G176+'17'!H176</f>
        <v>516</v>
      </c>
      <c r="I176" s="155"/>
      <c r="J176" s="178">
        <f>H176/DAY(B2)</f>
        <v>28.666666666666668</v>
      </c>
    </row>
    <row r="177" spans="1:11" ht="27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75" t="s">
        <v>210</v>
      </c>
      <c r="B178" s="876"/>
      <c r="C178" s="333"/>
      <c r="D178" s="228" t="s">
        <v>142</v>
      </c>
      <c r="E178" s="95">
        <f>'17'!F178</f>
        <v>82268</v>
      </c>
      <c r="F178" s="155">
        <v>82334</v>
      </c>
      <c r="G178" s="582">
        <f>F178-E178</f>
        <v>66</v>
      </c>
      <c r="H178" s="99">
        <f>G178+'17'!H178</f>
        <v>1019</v>
      </c>
      <c r="I178" s="155"/>
      <c r="J178" s="178">
        <f>H178/DAY(B2)</f>
        <v>56.611111111111114</v>
      </c>
    </row>
    <row r="179" spans="1:11" ht="27.75" customHeight="1" x14ac:dyDescent="0.5">
      <c r="A179" s="875" t="s">
        <v>211</v>
      </c>
      <c r="B179" s="876"/>
      <c r="C179" s="333"/>
      <c r="D179" s="228" t="s">
        <v>142</v>
      </c>
      <c r="E179" s="95">
        <f>'17'!F179</f>
        <v>35276</v>
      </c>
      <c r="F179" s="155">
        <v>35289</v>
      </c>
      <c r="G179" s="582">
        <f t="shared" ref="G179:G180" si="15">F179-E179</f>
        <v>13</v>
      </c>
      <c r="H179" s="99">
        <f>G179+'17'!H179</f>
        <v>486</v>
      </c>
      <c r="I179" s="155"/>
      <c r="J179" s="178">
        <f>H179/DAY(B2)</f>
        <v>27</v>
      </c>
    </row>
    <row r="180" spans="1:11" ht="27.75" customHeight="1" x14ac:dyDescent="0.5">
      <c r="A180" s="875" t="s">
        <v>212</v>
      </c>
      <c r="B180" s="876"/>
      <c r="C180" s="333"/>
      <c r="D180" s="228" t="s">
        <v>142</v>
      </c>
      <c r="E180" s="95">
        <f>'17'!F180</f>
        <v>5801</v>
      </c>
      <c r="F180" s="155">
        <v>5806</v>
      </c>
      <c r="G180" s="582">
        <f t="shared" si="15"/>
        <v>5</v>
      </c>
      <c r="H180" s="99">
        <f>G180+'17'!H180</f>
        <v>104</v>
      </c>
      <c r="I180" s="155"/>
      <c r="J180" s="178">
        <f>H180/DAY(B2)</f>
        <v>5.7777777777777777</v>
      </c>
    </row>
    <row r="181" spans="1:11" ht="27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582">
        <f>SUM(G178:G180)</f>
        <v>84</v>
      </c>
      <c r="H181" s="99">
        <f>G181+'17'!H181</f>
        <v>1609</v>
      </c>
      <c r="I181" s="155"/>
      <c r="J181" s="178">
        <f>H181/DAY(B2)</f>
        <v>89.388888888888886</v>
      </c>
    </row>
    <row r="182" spans="1:11" ht="27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75" t="s">
        <v>214</v>
      </c>
      <c r="B183" s="876"/>
      <c r="C183" s="334"/>
      <c r="D183" s="228" t="s">
        <v>142</v>
      </c>
      <c r="E183" s="95">
        <f>'17'!F183</f>
        <v>15621</v>
      </c>
      <c r="F183" s="157">
        <v>15628</v>
      </c>
      <c r="G183" s="583">
        <f>F183-E183</f>
        <v>7</v>
      </c>
      <c r="H183" s="99">
        <f>G183+'17'!H183</f>
        <v>283</v>
      </c>
      <c r="I183" s="155"/>
      <c r="J183" s="178">
        <f>H183/DAY(B2)</f>
        <v>15.722222222222221</v>
      </c>
    </row>
    <row r="184" spans="1:11" ht="27.75" customHeight="1" x14ac:dyDescent="0.5">
      <c r="A184" s="875" t="s">
        <v>215</v>
      </c>
      <c r="B184" s="876"/>
      <c r="C184" s="334"/>
      <c r="D184" s="228" t="s">
        <v>142</v>
      </c>
      <c r="E184" s="95">
        <f>'17'!F184</f>
        <v>10711</v>
      </c>
      <c r="F184" s="157">
        <v>10721</v>
      </c>
      <c r="G184" s="583">
        <f t="shared" ref="G184:G185" si="16">F184-E184</f>
        <v>10</v>
      </c>
      <c r="H184" s="99">
        <f>G184+'17'!H184</f>
        <v>203</v>
      </c>
      <c r="I184" s="155"/>
      <c r="J184" s="178">
        <f>H184/DAY(B2)</f>
        <v>11.277777777777779</v>
      </c>
    </row>
    <row r="185" spans="1:11" ht="27.75" customHeight="1" x14ac:dyDescent="0.5">
      <c r="A185" s="875" t="s">
        <v>216</v>
      </c>
      <c r="B185" s="876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583">
        <f>SUM(G183:G185)</f>
        <v>17</v>
      </c>
      <c r="H186" s="99">
        <f>G186+'17'!H186</f>
        <v>486</v>
      </c>
      <c r="I186" s="157"/>
      <c r="J186" s="178">
        <f>H186/DAY(B2)</f>
        <v>27</v>
      </c>
    </row>
    <row r="187" spans="1:11" ht="27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584">
        <f>G62+G19</f>
        <v>203</v>
      </c>
      <c r="H187" s="99">
        <f>G187+'17'!H187</f>
        <v>3467</v>
      </c>
      <c r="I187" s="158"/>
      <c r="J187" s="179">
        <f>H187/DAY(B2)</f>
        <v>192.61111111111111</v>
      </c>
    </row>
    <row r="188" spans="1:11" ht="27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584">
        <f>G65+G66+G67+G69+G70</f>
        <v>196</v>
      </c>
      <c r="H188" s="99">
        <f>G188+'17'!H188</f>
        <v>904</v>
      </c>
      <c r="I188" s="158"/>
      <c r="J188" s="179">
        <f>H188/DAY(B2)</f>
        <v>50.222222222222221</v>
      </c>
    </row>
    <row r="189" spans="1:11" ht="27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584">
        <f>G181</f>
        <v>84</v>
      </c>
      <c r="H189" s="99">
        <f>G189+'17'!H189</f>
        <v>1609</v>
      </c>
      <c r="I189" s="158"/>
      <c r="J189" s="179">
        <f>H189/DAY(B2)</f>
        <v>89.388888888888886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602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2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604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1014407</v>
      </c>
      <c r="F7" s="95">
        <v>442206</v>
      </c>
      <c r="G7" s="605">
        <f>F7-E7</f>
        <v>-572201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74078.8</v>
      </c>
      <c r="F8" s="95">
        <v>494519</v>
      </c>
      <c r="G8" s="606">
        <f>F8-E8</f>
        <v>420440.2</v>
      </c>
      <c r="H8" s="99">
        <f>G8+'18 '!H8</f>
        <v>785997.45</v>
      </c>
      <c r="I8" s="116"/>
      <c r="J8" s="175">
        <f>H8/DAY(B2)</f>
        <v>41368.286842105263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565303.59</v>
      </c>
      <c r="F9" s="598">
        <v>121587.8</v>
      </c>
      <c r="G9" s="605">
        <f>F9-E9</f>
        <v>-443715.79</v>
      </c>
      <c r="H9" s="99">
        <f>G9+'18 '!H9</f>
        <v>-160666.04999999999</v>
      </c>
      <c r="I9" s="124">
        <f>I7-J7</f>
        <v>22998.643684210525</v>
      </c>
      <c r="J9" s="175">
        <f>H9/DAY(B2)</f>
        <v>-8456.1078947368424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175134.59</v>
      </c>
      <c r="F10" s="353">
        <v>62985.4</v>
      </c>
      <c r="G10" s="605">
        <f t="shared" ref="G10:G12" si="0">F10-E10</f>
        <v>-112149.19</v>
      </c>
      <c r="H10" s="99">
        <f>G10+'18 '!H10</f>
        <v>-42273.570000000007</v>
      </c>
      <c r="I10" s="282"/>
      <c r="J10" s="175">
        <f>H10/DAY(B2)</f>
        <v>-2224.9247368421056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5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5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07">
        <f>G9+G10+G11+G12</f>
        <v>-555864.98</v>
      </c>
      <c r="H13" s="99">
        <f>G13+'18 '!H13</f>
        <v>-219694.05000000005</v>
      </c>
      <c r="I13" s="120">
        <f>G7-G13</f>
        <v>-16336.020000000019</v>
      </c>
      <c r="J13" s="175">
        <f>H13/DAY(B2)</f>
        <v>-11562.844736842108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608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1925873.38</v>
      </c>
      <c r="F15" s="598">
        <v>1895056.3</v>
      </c>
      <c r="G15" s="605">
        <f>(F15-E15)</f>
        <v>-30817.079999999842</v>
      </c>
      <c r="H15" s="99">
        <f>G15+'18 '!H15</f>
        <v>-11580.466999999946</v>
      </c>
      <c r="I15" s="113">
        <f>'1'!I15</f>
        <v>800</v>
      </c>
      <c r="J15" s="175">
        <f>H15/DAY(B2)</f>
        <v>-609.49826315789187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5"/>
      <c r="H16" s="124"/>
      <c r="I16" s="120">
        <f>I15-J15</f>
        <v>1409.4982631578919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608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'18 '!F18</f>
        <v>25</v>
      </c>
      <c r="F18" s="122">
        <v>10</v>
      </c>
      <c r="G18" s="607">
        <f>F18*10</f>
        <v>100</v>
      </c>
      <c r="H18" s="99">
        <f>G18+'18 '!H18</f>
        <v>4130</v>
      </c>
      <c r="I18" s="113">
        <f>'1'!I18</f>
        <v>65</v>
      </c>
      <c r="J18" s="175">
        <f>H18/DAY(B2)</f>
        <v>217.36842105263159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'18 '!F19</f>
        <v>154854</v>
      </c>
      <c r="F19" s="122">
        <v>153236</v>
      </c>
      <c r="G19" s="605">
        <f t="shared" ref="G19" si="1">F19-E19</f>
        <v>-1618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09">
        <f>G18+G19</f>
        <v>-1518</v>
      </c>
      <c r="H20" s="99">
        <f>G20+'18 '!H20</f>
        <v>3475</v>
      </c>
      <c r="I20" s="336">
        <f>I18-J20</f>
        <v>-117.89473684210526</v>
      </c>
      <c r="J20" s="175">
        <f>H20/DAY(B2)</f>
        <v>182.89473684210526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608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7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1390</v>
      </c>
      <c r="G23" s="607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7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610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1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420440.2</v>
      </c>
      <c r="F27" s="136">
        <v>9</v>
      </c>
      <c r="G27" s="612">
        <f>E27*F27</f>
        <v>3783961.8000000003</v>
      </c>
      <c r="H27" s="99">
        <f>G27+'18 '!H27</f>
        <v>7073977.0500000007</v>
      </c>
      <c r="I27" s="138"/>
      <c r="J27" s="175">
        <f>H27/DAY(B2)</f>
        <v>372314.58157894743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-30817.079999999842</v>
      </c>
      <c r="F28" s="136">
        <v>52</v>
      </c>
      <c r="G28" s="612">
        <f>E28*F28</f>
        <v>-1602488.1599999918</v>
      </c>
      <c r="H28" s="99">
        <f>G28+'18 '!H28</f>
        <v>-539256.28399999719</v>
      </c>
      <c r="I28" s="140"/>
      <c r="J28" s="175">
        <f>H28/DAY(B2)</f>
        <v>-28381.909684210379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2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-1618</v>
      </c>
      <c r="F30" s="136">
        <v>146</v>
      </c>
      <c r="G30" s="612">
        <f>E30*F30</f>
        <v>-236228</v>
      </c>
      <c r="H30" s="99">
        <f>G30+'18 '!H30</f>
        <v>-94775</v>
      </c>
      <c r="I30" s="140"/>
      <c r="J30" s="175">
        <f>H30/DAY(B2)</f>
        <v>-4988.1578947368425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2">
        <f>E31*F31</f>
        <v>8000</v>
      </c>
      <c r="H31" s="99">
        <f>G31+'18 '!H31</f>
        <v>330400</v>
      </c>
      <c r="I31" s="140"/>
      <c r="J31" s="175">
        <f>H31/DAY(B2)</f>
        <v>17389.473684210527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3">
        <f>G27+G28+G29+G30+G31</f>
        <v>1953245.6400000085</v>
      </c>
      <c r="H32" s="99">
        <f>G32+'18 '!H32</f>
        <v>6770345.7660000026</v>
      </c>
      <c r="I32" s="144"/>
      <c r="J32" s="175">
        <f>H32/DAY(B2)</f>
        <v>356333.98768421065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614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5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59147.9</v>
      </c>
      <c r="F35" s="145">
        <v>16302.52</v>
      </c>
      <c r="G35" s="605">
        <f t="shared" ref="G35:G46" si="3">F35-E35</f>
        <v>-42845.380000000005</v>
      </c>
      <c r="H35" s="99">
        <f>G35+'18 '!H35</f>
        <v>-15702.460000000003</v>
      </c>
      <c r="I35" s="95"/>
      <c r="J35" s="175">
        <f>H35/DAY(B2)</f>
        <v>-826.44526315789483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60231.6</v>
      </c>
      <c r="F36" s="145">
        <v>34736.959999999999</v>
      </c>
      <c r="G36" s="605">
        <f t="shared" si="3"/>
        <v>-25494.639999999999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65615.02</v>
      </c>
      <c r="F37" s="145">
        <v>16480.14</v>
      </c>
      <c r="G37" s="605">
        <f t="shared" si="3"/>
        <v>-49134.880000000005</v>
      </c>
      <c r="H37" s="99">
        <f>G37+'18 '!H37</f>
        <v>-18944.949999999997</v>
      </c>
      <c r="I37" s="95"/>
      <c r="J37" s="175">
        <f>H37/DAY(B2)</f>
        <v>-997.10263157894724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73446.5</v>
      </c>
      <c r="F38" s="108">
        <v>17488</v>
      </c>
      <c r="G38" s="605">
        <f t="shared" si="3"/>
        <v>-55958.5</v>
      </c>
      <c r="H38" s="99">
        <f>G38+'18 '!H38</f>
        <v>-20888.43</v>
      </c>
      <c r="I38" s="95"/>
      <c r="J38" s="175">
        <f>H38/DAY(B2)</f>
        <v>-1099.391052631579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112584.7</v>
      </c>
      <c r="F39" s="145">
        <v>28000.560000000001</v>
      </c>
      <c r="G39" s="605">
        <f t="shared" si="3"/>
        <v>-84584.14</v>
      </c>
      <c r="H39" s="99">
        <f>G39+'18 '!H39</f>
        <v>-31172.730000000003</v>
      </c>
      <c r="I39" s="95"/>
      <c r="J39" s="175">
        <f>H39/DAY(B2)</f>
        <v>-1640.67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0">
        <f>'18 '!F40</f>
        <v>28995.39</v>
      </c>
      <c r="F40" s="376">
        <v>14058.37</v>
      </c>
      <c r="G40" s="616">
        <f t="shared" si="3"/>
        <v>-14937.019999999999</v>
      </c>
      <c r="H40" s="99">
        <f>G40+'18 '!H40</f>
        <v>-8058.6200000000017</v>
      </c>
      <c r="I40" s="95"/>
      <c r="J40" s="175">
        <f>H40/DAY(B2)</f>
        <v>-424.13789473684221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0</v>
      </c>
      <c r="G41" s="605">
        <f t="shared" si="3"/>
        <v>-63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157907.43</v>
      </c>
      <c r="F42" s="145">
        <v>73808.600000000006</v>
      </c>
      <c r="G42" s="605">
        <f t="shared" si="3"/>
        <v>-84098.829999999987</v>
      </c>
      <c r="H42" s="99">
        <f>G42+'18 '!H42</f>
        <v>-26321.14</v>
      </c>
      <c r="I42" s="95"/>
      <c r="J42" s="175">
        <f>H42/DAY(B2)</f>
        <v>-1385.3231578947368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153193.76</v>
      </c>
      <c r="F43" s="145">
        <v>89753.52</v>
      </c>
      <c r="G43" s="605">
        <f t="shared" si="3"/>
        <v>-63440.240000000005</v>
      </c>
      <c r="H43" s="99">
        <f>G43+'18 '!H43</f>
        <v>-25098.080000000002</v>
      </c>
      <c r="I43" s="95"/>
      <c r="J43" s="175">
        <f>H43/DAY(B2)</f>
        <v>-1320.9515789473685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5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5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5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07">
        <f>G35+G36+G37+G38+G39+G40+G41+G42+G43+G44+G45+G46</f>
        <v>-420556.63</v>
      </c>
      <c r="H47" s="99">
        <f>G47+'18 '!H47</f>
        <v>-154970.91999999998</v>
      </c>
      <c r="I47" s="95"/>
      <c r="J47" s="175">
        <f>H47/DAY(B2)</f>
        <v>-8156.3642105263152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5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49514.54</v>
      </c>
      <c r="F49" s="145">
        <v>13711.82</v>
      </c>
      <c r="G49" s="605">
        <f t="shared" ref="G49:G58" si="4">F49-E49</f>
        <v>-35802.720000000001</v>
      </c>
      <c r="H49" s="99">
        <f>G49+'18 '!H49</f>
        <v>-11284.369999999999</v>
      </c>
      <c r="I49" s="95"/>
      <c r="J49" s="175">
        <f>H49/DAY(B2)</f>
        <v>-593.91421052631574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78778.45</v>
      </c>
      <c r="F50" s="145">
        <v>43021.69</v>
      </c>
      <c r="G50" s="605">
        <f t="shared" si="4"/>
        <v>-35756.759999999995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5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5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5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13916.45</v>
      </c>
      <c r="F54" s="145">
        <v>5147.42</v>
      </c>
      <c r="G54" s="605">
        <f t="shared" si="4"/>
        <v>-8769.0300000000007</v>
      </c>
      <c r="H54" s="99">
        <f>G54+'18 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90578.89</v>
      </c>
      <c r="F55" s="145">
        <v>60685.83</v>
      </c>
      <c r="G55" s="605">
        <f t="shared" si="4"/>
        <v>-29893.059999999998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8723.6299999999992</v>
      </c>
      <c r="F56" s="145">
        <v>8610.5400000000009</v>
      </c>
      <c r="G56" s="605">
        <f t="shared" si="4"/>
        <v>-113.08999999999833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5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8647</v>
      </c>
      <c r="F58" s="145">
        <v>2310.27</v>
      </c>
      <c r="G58" s="605">
        <f t="shared" si="4"/>
        <v>-6336.73</v>
      </c>
      <c r="H58" s="99">
        <f>G58+'18 '!H58</f>
        <v>-2485.9399999999996</v>
      </c>
      <c r="I58" s="95"/>
      <c r="J58" s="175">
        <f>H58/DAY(B2)</f>
        <v>-130.83894736842103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07">
        <f>G49+G50+G51+G52+G53+G54+G55+G56+G57+G58</f>
        <v>-116671.38999999998</v>
      </c>
      <c r="H59" s="99">
        <f>G59+'18 '!H59</f>
        <v>-40815.529999999984</v>
      </c>
      <c r="I59" s="95">
        <f>G7-G60</f>
        <v>-34972.979999999981</v>
      </c>
      <c r="J59" s="175">
        <f>H59/DAY(B2)</f>
        <v>-2148.1857894736836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07">
        <f>G47+G59</f>
        <v>-537228.02</v>
      </c>
      <c r="H60" s="99">
        <f>G60+'18 '!H60</f>
        <v>-195786.44999999995</v>
      </c>
      <c r="I60" s="95">
        <f>G13-G60</f>
        <v>-18636.959999999963</v>
      </c>
      <c r="J60" s="175">
        <f>H60/DAY(B2)</f>
        <v>-10304.549999999997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617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'18 '!F62</f>
        <v>272020</v>
      </c>
      <c r="F62" s="122">
        <v>268368</v>
      </c>
      <c r="G62" s="605">
        <f t="shared" ref="G62:G63" si="5">F62-E62</f>
        <v>-3652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'18 '!F63</f>
        <v>218097</v>
      </c>
      <c r="F63" s="122">
        <v>214335</v>
      </c>
      <c r="G63" s="605">
        <f t="shared" si="5"/>
        <v>-3762</v>
      </c>
      <c r="H63" s="99">
        <f>G63+'18 '!H63</f>
        <v>-1462</v>
      </c>
      <c r="I63" s="118"/>
      <c r="J63" s="175">
        <f>H63/DAY(B2)</f>
        <v>-76.94736842105263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'18 '!F64</f>
        <v>0</v>
      </c>
      <c r="F64" s="122"/>
      <c r="G64" s="605">
        <f>G62+G63</f>
        <v>-7414</v>
      </c>
      <c r="H64" s="99">
        <f>G64+'18 '!H64</f>
        <v>-2610</v>
      </c>
      <c r="I64" s="118"/>
      <c r="J64" s="175">
        <f>H64/DAY(B2)</f>
        <v>-137.36842105263159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'18 '!F65</f>
        <v>436751</v>
      </c>
      <c r="F65" s="122">
        <v>433919</v>
      </c>
      <c r="G65" s="605">
        <f t="shared" ref="G65:G70" si="6">F65-E65</f>
        <v>-2832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108187</v>
      </c>
      <c r="F66" s="122">
        <v>107534</v>
      </c>
      <c r="G66" s="605">
        <f t="shared" si="6"/>
        <v>-653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105525</v>
      </c>
      <c r="F67" s="122">
        <v>104367</v>
      </c>
      <c r="G67" s="605">
        <f t="shared" si="6"/>
        <v>-1158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158437</v>
      </c>
      <c r="F68" s="122">
        <v>157143</v>
      </c>
      <c r="G68" s="605">
        <f t="shared" si="6"/>
        <v>-1294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10778</v>
      </c>
      <c r="F69" s="122">
        <v>10397</v>
      </c>
      <c r="G69" s="605">
        <f t="shared" si="6"/>
        <v>-381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8338</v>
      </c>
      <c r="F70" s="122">
        <v>8001.1</v>
      </c>
      <c r="G70" s="605">
        <f t="shared" si="6"/>
        <v>-336.89999999999964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95">
        <f>'18 '!F71</f>
        <v>0</v>
      </c>
      <c r="F71" s="152"/>
      <c r="G71" s="618">
        <f>SUM(G65:G70)</f>
        <v>-6654.9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619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617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'18 '!F74</f>
        <v>906768.18</v>
      </c>
      <c r="F74" s="117">
        <v>897672.5</v>
      </c>
      <c r="G74" s="605">
        <f t="shared" ref="G74:G78" si="7">F74-E74</f>
        <v>-9095.6800000000512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'18 '!F75</f>
        <v>73586.8</v>
      </c>
      <c r="F75" s="123">
        <v>73586.8</v>
      </c>
      <c r="G75" s="605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'18 '!F76</f>
        <v>172006.88</v>
      </c>
      <c r="F76" s="123">
        <v>168794.9</v>
      </c>
      <c r="G76" s="605">
        <f t="shared" si="7"/>
        <v>-3211.9800000000105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'18 '!F77</f>
        <v>42157</v>
      </c>
      <c r="F77" s="123">
        <v>40871.1</v>
      </c>
      <c r="G77" s="605">
        <f t="shared" si="7"/>
        <v>-1285.9000000000015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'18 '!F78</f>
        <v>9541.1</v>
      </c>
      <c r="F78" s="123">
        <v>9501.2999999999993</v>
      </c>
      <c r="G78" s="605">
        <f t="shared" si="7"/>
        <v>-39.800000000001091</v>
      </c>
      <c r="H78" s="99">
        <f>G78+'18 '!H78</f>
        <v>-11.700000000000728</v>
      </c>
      <c r="I78" s="118"/>
      <c r="J78" s="175">
        <f>H78/DAY(B2)</f>
        <v>-0.61578947368424886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'18 '!F79</f>
        <v>0</v>
      </c>
      <c r="F79" s="123"/>
      <c r="G79" s="605">
        <f>G15-SUM(G74:G78)</f>
        <v>-17183.719999999776</v>
      </c>
      <c r="H79" s="99">
        <f>G79+'18 '!H79</f>
        <v>-6323.9179999999633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605">
        <f>SUM(G74:G79)</f>
        <v>-30817.079999999842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620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5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5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5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2575.29</v>
      </c>
      <c r="F85" s="164">
        <v>2096.5500000000002</v>
      </c>
      <c r="G85" s="605">
        <f t="shared" si="8"/>
        <v>-478.73999999999978</v>
      </c>
      <c r="H85" s="99">
        <f>G85+'18 '!H85</f>
        <v>-163.86999999999989</v>
      </c>
      <c r="I85" s="118">
        <f>G82+G83+G84+G85</f>
        <v>-478.60000000000036</v>
      </c>
      <c r="J85" s="175">
        <f>H85/DAY(B2)</f>
        <v>-8.624736842105257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43564</v>
      </c>
      <c r="F86" s="164">
        <v>43321</v>
      </c>
      <c r="G86" s="605">
        <f t="shared" si="8"/>
        <v>-243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5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24067.78</v>
      </c>
      <c r="F88" s="164">
        <v>24061.37</v>
      </c>
      <c r="G88" s="605">
        <f t="shared" si="8"/>
        <v>-6.4099999999998545</v>
      </c>
      <c r="H88" s="99">
        <f>G88+'18 '!H88</f>
        <v>-2.0600000000013097</v>
      </c>
      <c r="I88" s="118">
        <f>G86+G87+G88</f>
        <v>-249.40999999999985</v>
      </c>
      <c r="J88" s="175">
        <f>H88/DAY(B2)</f>
        <v>-0.10842105263164788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26079.119999999999</v>
      </c>
      <c r="F89" s="164">
        <v>25779.07</v>
      </c>
      <c r="G89" s="605">
        <f t="shared" si="8"/>
        <v>-300.04999999999927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71240.67</v>
      </c>
      <c r="F90" s="164">
        <v>71133.570000000007</v>
      </c>
      <c r="G90" s="605">
        <f t="shared" si="8"/>
        <v>-107.09999999999127</v>
      </c>
      <c r="H90" s="99">
        <f>G90+'18 '!H90</f>
        <v>-29.75</v>
      </c>
      <c r="I90" s="118">
        <f>G89+G90</f>
        <v>-407.14999999999054</v>
      </c>
      <c r="J90" s="175">
        <f>H90/DAY(B2)</f>
        <v>-1.5657894736842106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3454.07</v>
      </c>
      <c r="F91" s="122">
        <v>3226.32</v>
      </c>
      <c r="G91" s="605">
        <f t="shared" si="8"/>
        <v>-227.75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5636.06</v>
      </c>
      <c r="G92" s="605">
        <f t="shared" si="8"/>
        <v>-104.9399999999996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608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621">
        <f>G35+G43+G49+G57</f>
        <v>-142088.34000000003</v>
      </c>
      <c r="H94" s="99">
        <f>G94+'18 '!H94</f>
        <v>-52084.910000000033</v>
      </c>
      <c r="I94" s="118"/>
      <c r="J94" s="175">
        <f>H94/DAY(B2)</f>
        <v>-2741.3110526315809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622">
        <f>G94/G7</f>
        <v>0.24831892988652593</v>
      </c>
      <c r="H95" s="99">
        <f>G95+'18 '!H95</f>
        <v>4.7124544025143686</v>
      </c>
      <c r="I95" s="167"/>
      <c r="J95" s="175">
        <f>H95/DAY(B2)</f>
        <v>0.24802391592180886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621">
        <f>G41+G42+G55+G56</f>
        <v>-114167.97999999998</v>
      </c>
      <c r="H96" s="99">
        <f>G96+'18 '!H96</f>
        <v>-40064.149999999994</v>
      </c>
      <c r="I96" s="118"/>
      <c r="J96" s="175">
        <f>H96/DAY(B2)</f>
        <v>-2108.6394736842103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622">
        <f>G96/G7</f>
        <v>0.19952425808413474</v>
      </c>
      <c r="H97" s="99">
        <f>G97+'18 '!H97</f>
        <v>3.8636484632299779</v>
      </c>
      <c r="I97" s="167"/>
      <c r="J97" s="175">
        <f>H97/DAY(B2)</f>
        <v>0.20334991911736724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621">
        <f>G39+G53</f>
        <v>-84584.14</v>
      </c>
      <c r="H98" s="99">
        <f>G98+'18 '!H98</f>
        <v>-31172.730000000003</v>
      </c>
      <c r="I98" s="168"/>
      <c r="J98" s="175">
        <f>H98/DAY(B2)</f>
        <v>-1640.67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622">
        <f>G98/G7</f>
        <v>0.14782242603560636</v>
      </c>
      <c r="H99" s="99">
        <f>G99+'18 '!H99</f>
        <v>2.7947581647892625</v>
      </c>
      <c r="I99" s="168"/>
      <c r="J99" s="175">
        <f>H99/DAY(B2)</f>
        <v>0.14709253498890856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621">
        <f>G38+G52</f>
        <v>-55958.5</v>
      </c>
      <c r="H100" s="99">
        <f>G100+'18 '!H100</f>
        <v>-20888.43</v>
      </c>
      <c r="I100" s="118"/>
      <c r="J100" s="175">
        <f>H100/DAY(B2)</f>
        <v>-1099.391052631579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622">
        <f>G100/G7</f>
        <v>9.7795180364941683E-2</v>
      </c>
      <c r="H101" s="99">
        <f>G101+'18 '!H101</f>
        <v>1.835873217496431</v>
      </c>
      <c r="I101" s="168"/>
      <c r="J101" s="175">
        <f>H101/DAY(B2)</f>
        <v>9.6624906184022682E-2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621">
        <f>G36+G50</f>
        <v>-61251.399999999994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622">
        <f>G102/G7</f>
        <v>0.10704525158117513</v>
      </c>
      <c r="H103" s="99">
        <f>G103+'18 '!H103</f>
        <v>2.0422356913664008</v>
      </c>
      <c r="I103" s="118"/>
      <c r="J103" s="175">
        <f>H103/DAY(B2)</f>
        <v>0.10748608901928425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621">
        <f>G37+G51</f>
        <v>-49134.880000000005</v>
      </c>
      <c r="H104" s="99">
        <f>G104+'18 '!H104</f>
        <v>-18944.949999999997</v>
      </c>
      <c r="I104" s="118"/>
      <c r="J104" s="175">
        <f>H104/DAY(B2)</f>
        <v>-997.10263157894724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623">
        <f>G104/G7</f>
        <v>8.5869965274440282E-2</v>
      </c>
      <c r="H105" s="99">
        <f>G105+'18 '!H105</f>
        <v>1.5845477074879166</v>
      </c>
      <c r="I105" s="187"/>
      <c r="J105" s="188">
        <f>H105/DAY(B2)</f>
        <v>8.3397247762521928E-2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4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626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'18 '!F112</f>
        <v>59328.77</v>
      </c>
      <c r="F112" s="237">
        <v>57125.98</v>
      </c>
      <c r="G112" s="605">
        <f t="shared" ref="G112:G123" si="9">F112-E112</f>
        <v>-2202.7899999999936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'18 '!F113</f>
        <v>54851.91</v>
      </c>
      <c r="F113" s="237">
        <v>40787.379999999997</v>
      </c>
      <c r="G113" s="605">
        <f t="shared" si="9"/>
        <v>-14064.530000000006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'18 '!F114</f>
        <v>38835.699999999997</v>
      </c>
      <c r="F114" s="237">
        <v>29901.7</v>
      </c>
      <c r="G114" s="605">
        <f t="shared" si="9"/>
        <v>-8933.9999999999964</v>
      </c>
      <c r="H114" s="99">
        <f>G114+'18 '!H114</f>
        <v>-3258.2999999999993</v>
      </c>
      <c r="I114" s="165"/>
      <c r="J114" s="328">
        <f>H114/DAY(B2)</f>
        <v>-171.48947368421048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'18 '!F115</f>
        <v>9305.8700000000008</v>
      </c>
      <c r="F115" s="237">
        <v>8979.4500000000007</v>
      </c>
      <c r="G115" s="605">
        <f t="shared" si="9"/>
        <v>-326.42000000000007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'18 '!F116</f>
        <v>4994.12</v>
      </c>
      <c r="F116" s="237">
        <v>0</v>
      </c>
      <c r="G116" s="605">
        <f t="shared" si="9"/>
        <v>-4994.12</v>
      </c>
      <c r="H116" s="99">
        <f>G116+'18 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'18 '!F117</f>
        <v>6071.16</v>
      </c>
      <c r="F117" s="237">
        <v>3046.45</v>
      </c>
      <c r="G117" s="605">
        <f t="shared" si="9"/>
        <v>-3024.71</v>
      </c>
      <c r="H117" s="99">
        <f>G117+'18 '!H117</f>
        <v>-291.5</v>
      </c>
      <c r="I117" s="165"/>
      <c r="J117" s="328">
        <f>H117/DAY(B2)</f>
        <v>-15.342105263157896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'18 '!F118</f>
        <v>259259.27</v>
      </c>
      <c r="F118" s="237">
        <v>248401.09</v>
      </c>
      <c r="G118" s="605">
        <f t="shared" si="9"/>
        <v>-10858.179999999993</v>
      </c>
      <c r="H118" s="99">
        <f>G118+'18 '!H118</f>
        <v>-4051.2200000000012</v>
      </c>
      <c r="I118" s="165"/>
      <c r="J118" s="328">
        <f>H118/DAY(B2)</f>
        <v>-213.22210526315794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'18 '!F119</f>
        <v>265753.33</v>
      </c>
      <c r="F119" s="237">
        <v>253125.45</v>
      </c>
      <c r="G119" s="605">
        <f t="shared" si="9"/>
        <v>-12627.880000000005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'18 '!F120</f>
        <v>50618.01</v>
      </c>
      <c r="F120" s="237">
        <v>37987.129999999997</v>
      </c>
      <c r="G120" s="605">
        <f t="shared" si="9"/>
        <v>-12630.880000000005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'18 '!F121</f>
        <v>411343.51</v>
      </c>
      <c r="F121" s="237">
        <v>389744.43</v>
      </c>
      <c r="G121" s="605">
        <f t="shared" si="9"/>
        <v>-21599.080000000016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'18 '!F122</f>
        <v>130173.65</v>
      </c>
      <c r="F122" s="237">
        <v>123875.49</v>
      </c>
      <c r="G122" s="605">
        <f t="shared" si="9"/>
        <v>-6298.1599999999889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'18 '!F123</f>
        <v>158658.81</v>
      </c>
      <c r="F123" s="237">
        <v>150781.35</v>
      </c>
      <c r="G123" s="605">
        <f t="shared" si="9"/>
        <v>-7877.4599999999919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 x14ac:dyDescent="0.5">
      <c r="A124" s="911"/>
      <c r="B124" s="912"/>
      <c r="C124" s="913"/>
      <c r="D124" s="165"/>
      <c r="E124" s="95">
        <f>'18 '!F124</f>
        <v>0</v>
      </c>
      <c r="F124" s="165"/>
      <c r="G124" s="626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627">
        <f>SUM(G112:G124)</f>
        <v>-105438.21</v>
      </c>
      <c r="H125" s="156"/>
      <c r="I125" s="327">
        <f>G125-(G39+G53)</f>
        <v>-20854.070000000007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627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'18 '!F128</f>
        <v>53396.87</v>
      </c>
      <c r="F128" s="165">
        <v>44007</v>
      </c>
      <c r="G128" s="605">
        <f t="shared" ref="G128:G134" si="10">F128-E128</f>
        <v>-9389.8700000000026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30997.7</v>
      </c>
      <c r="F129" s="165">
        <v>24539.05</v>
      </c>
      <c r="G129" s="605">
        <f t="shared" si="10"/>
        <v>-6458.6500000000015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46618.43</v>
      </c>
      <c r="F130" s="158">
        <v>29719.24</v>
      </c>
      <c r="G130" s="605">
        <f t="shared" si="10"/>
        <v>-16899.189999999999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'18 '!F131</f>
        <v>17305</v>
      </c>
      <c r="F131" s="165">
        <v>14534.22</v>
      </c>
      <c r="G131" s="605">
        <f t="shared" si="10"/>
        <v>-2770.7800000000007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'18 '!F132</f>
        <v>58879.7</v>
      </c>
      <c r="F132" s="165">
        <v>49852.15</v>
      </c>
      <c r="G132" s="605">
        <f t="shared" si="10"/>
        <v>-9027.5499999999956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'18 '!F133</f>
        <v>116693.31</v>
      </c>
      <c r="F133" s="165">
        <v>99251.43</v>
      </c>
      <c r="G133" s="605">
        <f t="shared" si="10"/>
        <v>-17441.880000000005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'18 '!F134</f>
        <v>11834.8</v>
      </c>
      <c r="F134" s="165">
        <v>6620</v>
      </c>
      <c r="G134" s="605">
        <f t="shared" si="10"/>
        <v>-5214.7999999999993</v>
      </c>
      <c r="H134" s="99">
        <f>G134+'18 '!H134</f>
        <v>-1981.2299999999996</v>
      </c>
      <c r="I134" s="165"/>
      <c r="J134" s="328">
        <f>H134/DAY(B2)</f>
        <v>-104.27526315789471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605">
        <f>SUM(G128:G134)</f>
        <v>-67202.720000000001</v>
      </c>
      <c r="H135" s="99">
        <f>G135+'10'!H135</f>
        <v>-43746.5</v>
      </c>
      <c r="I135" s="327">
        <f>G135-(G35+G49)</f>
        <v>11445.380000000005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626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'18 '!F138</f>
        <v>867792</v>
      </c>
      <c r="F138" s="147">
        <v>865348</v>
      </c>
      <c r="G138" s="605">
        <f t="shared" ref="G138:G152" si="11">F138-E138</f>
        <v>-2444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'18 '!F139</f>
        <v>886679</v>
      </c>
      <c r="F139" s="148">
        <v>886551</v>
      </c>
      <c r="G139" s="605">
        <f t="shared" si="11"/>
        <v>-128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'18 '!F140</f>
        <v>88948.4</v>
      </c>
      <c r="F140" s="149">
        <v>88898</v>
      </c>
      <c r="G140" s="605">
        <f t="shared" si="11"/>
        <v>-50.399999999994179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'18 '!F141</f>
        <v>57886.32</v>
      </c>
      <c r="F141" s="149">
        <v>52577.7</v>
      </c>
      <c r="G141" s="605">
        <f t="shared" si="11"/>
        <v>-5308.6200000000026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'18 '!F142</f>
        <v>22520.2</v>
      </c>
      <c r="F142" s="148">
        <v>20344.240000000002</v>
      </c>
      <c r="G142" s="605">
        <f t="shared" si="11"/>
        <v>-2175.9599999999991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'18 '!F143</f>
        <v>4338.46</v>
      </c>
      <c r="F143" s="149">
        <v>3515.52</v>
      </c>
      <c r="G143" s="605">
        <f t="shared" si="11"/>
        <v>-822.94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'18 '!F144</f>
        <v>880277</v>
      </c>
      <c r="F144" s="149">
        <v>873963</v>
      </c>
      <c r="G144" s="605">
        <f t="shared" si="11"/>
        <v>-6314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 x14ac:dyDescent="0.5">
      <c r="A145" s="881" t="s">
        <v>190</v>
      </c>
      <c r="B145" s="881"/>
      <c r="C145" s="881"/>
      <c r="D145" s="152" t="s">
        <v>183</v>
      </c>
      <c r="E145" s="95">
        <f>'18 '!F145</f>
        <v>5192.3</v>
      </c>
      <c r="F145" s="149">
        <v>4843.3999999999996</v>
      </c>
      <c r="G145" s="605">
        <f t="shared" si="11"/>
        <v>-348.90000000000055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 x14ac:dyDescent="0.5">
      <c r="A146" s="882" t="s">
        <v>191</v>
      </c>
      <c r="B146" s="883"/>
      <c r="C146" s="884"/>
      <c r="D146" s="152" t="s">
        <v>183</v>
      </c>
      <c r="E146" s="95">
        <f>'18 '!F146</f>
        <v>745187</v>
      </c>
      <c r="F146" s="148">
        <v>732529</v>
      </c>
      <c r="G146" s="605">
        <f t="shared" si="11"/>
        <v>-12658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 x14ac:dyDescent="0.5">
      <c r="A147" s="885" t="s">
        <v>192</v>
      </c>
      <c r="B147" s="885"/>
      <c r="C147" s="885"/>
      <c r="D147" s="152" t="s">
        <v>183</v>
      </c>
      <c r="E147" s="95">
        <f>'18 '!F147</f>
        <v>633840</v>
      </c>
      <c r="F147" s="148">
        <v>622164.64</v>
      </c>
      <c r="G147" s="605">
        <f t="shared" si="11"/>
        <v>-11675.359999999986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 x14ac:dyDescent="0.5">
      <c r="A148" s="877" t="s">
        <v>193</v>
      </c>
      <c r="B148" s="878"/>
      <c r="C148" s="879"/>
      <c r="D148" s="123" t="s">
        <v>130</v>
      </c>
      <c r="E148" s="95">
        <f>'18 '!F148</f>
        <v>694826.8</v>
      </c>
      <c r="F148" s="150">
        <v>687181.52</v>
      </c>
      <c r="G148" s="605">
        <f t="shared" si="11"/>
        <v>-7645.2800000000279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 x14ac:dyDescent="0.5">
      <c r="A149" s="877" t="s">
        <v>336</v>
      </c>
      <c r="B149" s="878"/>
      <c r="C149" s="879"/>
      <c r="D149" s="227" t="s">
        <v>130</v>
      </c>
      <c r="E149" s="95">
        <f>'18 '!F149</f>
        <v>35220.400000000001</v>
      </c>
      <c r="F149" s="498">
        <v>18705.96</v>
      </c>
      <c r="G149" s="605">
        <f t="shared" si="11"/>
        <v>-16514.440000000002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 x14ac:dyDescent="0.5">
      <c r="A150" s="877" t="s">
        <v>337</v>
      </c>
      <c r="B150" s="878"/>
      <c r="C150" s="879"/>
      <c r="D150" s="117" t="s">
        <v>130</v>
      </c>
      <c r="E150" s="95">
        <f>'18 '!F150</f>
        <v>14914.52</v>
      </c>
      <c r="F150" s="233">
        <v>8195.51</v>
      </c>
      <c r="G150" s="605">
        <f t="shared" si="11"/>
        <v>-6719.01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 x14ac:dyDescent="0.5">
      <c r="A151" s="877" t="s">
        <v>338</v>
      </c>
      <c r="B151" s="878"/>
      <c r="C151" s="879"/>
      <c r="D151" s="117" t="s">
        <v>130</v>
      </c>
      <c r="E151" s="95">
        <f>'18 '!F151</f>
        <v>89887</v>
      </c>
      <c r="F151" s="233">
        <v>82600</v>
      </c>
      <c r="G151" s="605">
        <f t="shared" si="11"/>
        <v>-7287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 x14ac:dyDescent="0.5">
      <c r="A152" s="877" t="s">
        <v>339</v>
      </c>
      <c r="B152" s="878"/>
      <c r="C152" s="879"/>
      <c r="D152" s="117" t="s">
        <v>130</v>
      </c>
      <c r="E152" s="95">
        <f>'18 '!F152</f>
        <v>2874.33</v>
      </c>
      <c r="F152" s="233">
        <v>1452.1</v>
      </c>
      <c r="G152" s="605">
        <f t="shared" si="11"/>
        <v>-1422.23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 x14ac:dyDescent="0.5">
      <c r="A153" s="914" t="s">
        <v>196</v>
      </c>
      <c r="B153" s="915"/>
      <c r="C153" s="365"/>
      <c r="D153" s="358"/>
      <c r="E153" s="360"/>
      <c r="F153" s="361"/>
      <c r="G153" s="628">
        <f>SUM(G138:G152)</f>
        <v>-81514.140000000014</v>
      </c>
      <c r="H153" s="363"/>
      <c r="I153" s="119">
        <f>G153-(G38+G52)</f>
        <v>-25555.640000000014</v>
      </c>
      <c r="J153" s="366"/>
    </row>
    <row r="154" spans="1:17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7" ht="31.5" x14ac:dyDescent="0.55000000000000004">
      <c r="A155" s="885" t="s">
        <v>345</v>
      </c>
      <c r="B155" s="885"/>
      <c r="C155" s="885"/>
      <c r="D155" s="117" t="s">
        <v>130</v>
      </c>
      <c r="E155" s="95">
        <f>'18 '!F155</f>
        <v>44914.618999999999</v>
      </c>
      <c r="F155" s="157">
        <v>24510</v>
      </c>
      <c r="G155" s="605">
        <f t="shared" ref="G155:G158" si="12">F155-E155</f>
        <v>-20404.618999999999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 x14ac:dyDescent="0.5">
      <c r="A156" s="885" t="s">
        <v>347</v>
      </c>
      <c r="B156" s="885"/>
      <c r="C156" s="885"/>
      <c r="D156" s="117" t="s">
        <v>130</v>
      </c>
      <c r="E156" s="95">
        <f>'18 '!F156</f>
        <v>3693</v>
      </c>
      <c r="F156" s="157">
        <v>2070</v>
      </c>
      <c r="G156" s="605">
        <f t="shared" si="12"/>
        <v>-1623</v>
      </c>
      <c r="H156" s="99">
        <f>G156+'18 '!H156</f>
        <v>-718</v>
      </c>
      <c r="I156" s="165"/>
      <c r="J156" s="328">
        <f>H156/DAY(B2)</f>
        <v>-37.789473684210527</v>
      </c>
      <c r="P156" s="65">
        <v>164.5</v>
      </c>
      <c r="Q156" s="65" t="s">
        <v>370</v>
      </c>
    </row>
    <row r="157" spans="1:17" ht="27.75" x14ac:dyDescent="0.5">
      <c r="A157" s="877" t="s">
        <v>363</v>
      </c>
      <c r="B157" s="878"/>
      <c r="C157" s="879"/>
      <c r="D157" s="117" t="s">
        <v>130</v>
      </c>
      <c r="E157" s="95">
        <f>'18 '!F157</f>
        <v>6015.67</v>
      </c>
      <c r="F157" s="374">
        <v>2720.16</v>
      </c>
      <c r="G157" s="605">
        <f t="shared" si="12"/>
        <v>-3295.51</v>
      </c>
      <c r="H157" s="99"/>
      <c r="I157" s="165"/>
      <c r="J157" s="328"/>
    </row>
    <row r="158" spans="1:17" ht="27.75" x14ac:dyDescent="0.5">
      <c r="A158" s="877" t="s">
        <v>364</v>
      </c>
      <c r="B158" s="878"/>
      <c r="C158" s="879"/>
      <c r="D158" s="117" t="s">
        <v>130</v>
      </c>
      <c r="E158" s="95">
        <f>'18 '!F158</f>
        <v>73.599999999999994</v>
      </c>
      <c r="F158" s="374">
        <v>24.34</v>
      </c>
      <c r="G158" s="605">
        <f t="shared" si="12"/>
        <v>-49.259999999999991</v>
      </c>
      <c r="H158" s="99"/>
      <c r="I158" s="165"/>
      <c r="J158" s="328"/>
    </row>
    <row r="159" spans="1:17" ht="27.75" x14ac:dyDescent="0.5">
      <c r="A159" s="934"/>
      <c r="B159" s="935"/>
      <c r="C159" s="936"/>
      <c r="D159" s="117"/>
      <c r="E159" s="95"/>
      <c r="F159" s="165"/>
      <c r="G159" s="605"/>
      <c r="H159" s="99"/>
      <c r="I159" s="165"/>
      <c r="J159" s="328"/>
    </row>
    <row r="160" spans="1:17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472622.2</v>
      </c>
      <c r="F161" s="235">
        <v>471460.76</v>
      </c>
      <c r="G161" s="629">
        <f t="shared" ref="G161:G165" si="13">F161-E161</f>
        <v>-1161.4400000000023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89186.4</v>
      </c>
      <c r="F162" s="235">
        <v>88135.4</v>
      </c>
      <c r="G162" s="629">
        <f t="shared" si="13"/>
        <v>-1051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80461.2</v>
      </c>
      <c r="F163" s="235">
        <v>78699.8</v>
      </c>
      <c r="G163" s="629">
        <f t="shared" si="13"/>
        <v>-1761.3999999999942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4350.2</v>
      </c>
      <c r="F164" s="235">
        <v>4284.5</v>
      </c>
      <c r="G164" s="629">
        <f t="shared" si="13"/>
        <v>-65.699999999999818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30013.360000000001</v>
      </c>
      <c r="F165" s="235">
        <v>29771.72</v>
      </c>
      <c r="G165" s="629">
        <f t="shared" si="13"/>
        <v>-241.63999999999942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917"/>
      <c r="B166" s="917"/>
      <c r="C166" s="246"/>
      <c r="D166" s="244"/>
      <c r="E166" s="95"/>
      <c r="F166" s="165"/>
      <c r="G166" s="626"/>
      <c r="H166" s="99"/>
      <c r="I166" s="165"/>
      <c r="J166" s="239"/>
    </row>
    <row r="167" spans="1:10" ht="29.25" x14ac:dyDescent="0.5">
      <c r="A167" s="917"/>
      <c r="B167" s="917"/>
      <c r="C167" s="246"/>
      <c r="D167" s="244"/>
      <c r="E167" s="95"/>
      <c r="F167" s="165"/>
      <c r="G167" s="626"/>
      <c r="H167" s="99"/>
      <c r="I167" s="165"/>
      <c r="J167" s="239"/>
    </row>
    <row r="168" spans="1:10" ht="29.25" x14ac:dyDescent="0.5">
      <c r="A168" s="917"/>
      <c r="B168" s="917"/>
      <c r="C168" s="246"/>
      <c r="D168" s="244"/>
      <c r="E168" s="95"/>
      <c r="F168" s="165"/>
      <c r="G168" s="626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630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'18 '!F173</f>
        <v>8183</v>
      </c>
      <c r="F173" s="157">
        <v>8126</v>
      </c>
      <c r="G173" s="630">
        <f>F173-E173</f>
        <v>-57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'18 '!F174</f>
        <v>38864</v>
      </c>
      <c r="F174" s="157">
        <v>38466</v>
      </c>
      <c r="G174" s="630">
        <f t="shared" ref="G174:G175" si="14">F174-E174</f>
        <v>-398</v>
      </c>
      <c r="H174" s="99">
        <f>G174+'18 '!H174</f>
        <v>-149</v>
      </c>
      <c r="I174" s="155"/>
      <c r="J174" s="178">
        <f>H174/DAY(B2)</f>
        <v>-7.8421052631578947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'18 '!F175</f>
        <v>22023</v>
      </c>
      <c r="F175" s="155">
        <v>21692</v>
      </c>
      <c r="G175" s="630">
        <f t="shared" si="14"/>
        <v>-331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630">
        <f>SUM(G173:G175)</f>
        <v>-786</v>
      </c>
      <c r="H176" s="99">
        <f>G176+'18 '!H176</f>
        <v>-270</v>
      </c>
      <c r="I176" s="155"/>
      <c r="J176" s="178">
        <f>H176/DAY(B2)</f>
        <v>-14.210526315789474</v>
      </c>
    </row>
    <row r="177" spans="1:11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630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75" t="s">
        <v>210</v>
      </c>
      <c r="B178" s="876"/>
      <c r="C178" s="333"/>
      <c r="D178" s="228" t="s">
        <v>142</v>
      </c>
      <c r="E178" s="95">
        <f>'18 '!F178</f>
        <v>82334</v>
      </c>
      <c r="F178" s="155">
        <v>80688</v>
      </c>
      <c r="G178" s="630">
        <f>F178-E178</f>
        <v>-1646</v>
      </c>
      <c r="H178" s="99">
        <f>G178+'18 '!H178</f>
        <v>-627</v>
      </c>
      <c r="I178" s="155"/>
      <c r="J178" s="178">
        <f>H178/DAY(B2)</f>
        <v>-33</v>
      </c>
    </row>
    <row r="179" spans="1:11" ht="27.75" x14ac:dyDescent="0.5">
      <c r="A179" s="875" t="s">
        <v>211</v>
      </c>
      <c r="B179" s="876"/>
      <c r="C179" s="333"/>
      <c r="D179" s="228" t="s">
        <v>142</v>
      </c>
      <c r="E179" s="95">
        <f>'18 '!F179</f>
        <v>35289</v>
      </c>
      <c r="F179" s="155">
        <v>34336</v>
      </c>
      <c r="G179" s="630">
        <f t="shared" ref="G179:G180" si="15">F179-E179</f>
        <v>-953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 x14ac:dyDescent="0.5">
      <c r="A180" s="875" t="s">
        <v>212</v>
      </c>
      <c r="B180" s="876"/>
      <c r="C180" s="333"/>
      <c r="D180" s="228" t="s">
        <v>142</v>
      </c>
      <c r="E180" s="95">
        <f>'18 '!F180</f>
        <v>5806</v>
      </c>
      <c r="F180" s="155">
        <v>5611</v>
      </c>
      <c r="G180" s="630">
        <f t="shared" si="15"/>
        <v>-195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630">
        <f>SUM(G178:G180)</f>
        <v>-2794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630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75" t="s">
        <v>214</v>
      </c>
      <c r="B183" s="876"/>
      <c r="C183" s="334"/>
      <c r="D183" s="228" t="s">
        <v>142</v>
      </c>
      <c r="E183" s="95">
        <f>'18 '!F183</f>
        <v>15628</v>
      </c>
      <c r="F183" s="157">
        <v>15172</v>
      </c>
      <c r="G183" s="631">
        <f>F183-E183</f>
        <v>-456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 x14ac:dyDescent="0.5">
      <c r="A184" s="875" t="s">
        <v>215</v>
      </c>
      <c r="B184" s="876"/>
      <c r="C184" s="334"/>
      <c r="D184" s="228" t="s">
        <v>142</v>
      </c>
      <c r="E184" s="95">
        <f>'18 '!F184</f>
        <v>10721</v>
      </c>
      <c r="F184" s="157">
        <v>10420</v>
      </c>
      <c r="G184" s="631">
        <f t="shared" ref="G184:G185" si="16">F184-E184</f>
        <v>-301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 x14ac:dyDescent="0.5">
      <c r="A185" s="875" t="s">
        <v>216</v>
      </c>
      <c r="B185" s="876"/>
      <c r="C185" s="334"/>
      <c r="D185" s="228" t="s">
        <v>142</v>
      </c>
      <c r="E185" s="95">
        <f>'18 '!F185</f>
        <v>0</v>
      </c>
      <c r="F185" s="157"/>
      <c r="G185" s="63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631">
        <f>SUM(G183:G185)</f>
        <v>-757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632">
        <f>G62+G19</f>
        <v>-5270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632">
        <f>G65+G66+G67+G69+G70</f>
        <v>-5360.9</v>
      </c>
      <c r="H188" s="99">
        <f>G188+'18 '!H188</f>
        <v>-4456.8999999999996</v>
      </c>
      <c r="I188" s="158"/>
      <c r="J188" s="179">
        <f>H188/DAY(B2)</f>
        <v>-234.5736842105263</v>
      </c>
    </row>
    <row r="189" spans="1:11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632">
        <f>G181</f>
        <v>-2794</v>
      </c>
      <c r="H189" s="99">
        <f>G189+'30'!H238</f>
        <v>-2794</v>
      </c>
      <c r="I189" s="158"/>
      <c r="J189" s="179">
        <f>H189/DAY(B2)</f>
        <v>-147.05263157894737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6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803334.15999999992</v>
      </c>
      <c r="I8" s="116"/>
      <c r="J8" s="175">
        <f>H8/DAY(B2)</f>
        <v>40166.707999999999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-149474.32</v>
      </c>
      <c r="I9" s="124">
        <f>I7-J7</f>
        <v>33612.553999999996</v>
      </c>
      <c r="J9" s="175">
        <f>H9/DAY(B2)</f>
        <v>-7473.7160000000003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-37202.9</v>
      </c>
      <c r="I10" s="282"/>
      <c r="J10" s="175">
        <f>H10/DAY(B2)</f>
        <v>-1860.145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-203431.65000000005</v>
      </c>
      <c r="I13" s="120">
        <f>G7-G13</f>
        <v>460.75000000002183</v>
      </c>
      <c r="J13" s="175">
        <f>H13/DAY(B2)</f>
        <v>-10171.582500000002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-10593.516999999993</v>
      </c>
      <c r="I15" s="113">
        <f>'1'!I15</f>
        <v>800</v>
      </c>
      <c r="J15" s="175">
        <f>H15/DAY(B2)</f>
        <v>-529.67584999999963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1329.6758499999996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4290</v>
      </c>
      <c r="I18" s="113">
        <f>'1'!I18</f>
        <v>65</v>
      </c>
      <c r="J18" s="175">
        <f>H18/DAY(B2)</f>
        <v>214.5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3691</v>
      </c>
      <c r="I20" s="336">
        <f>I18-J20</f>
        <v>-119.55000000000001</v>
      </c>
      <c r="J20" s="175">
        <f>H20/DAY(B2)</f>
        <v>184.55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7230007.4400000013</v>
      </c>
      <c r="I27" s="138"/>
      <c r="J27" s="175">
        <f>H27/DAY(B2)</f>
        <v>361500.37200000009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-487934.88399999961</v>
      </c>
      <c r="I28" s="140"/>
      <c r="J28" s="175">
        <f>H28/DAY(B2)</f>
        <v>-24396.744199999979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-86599</v>
      </c>
      <c r="I30" s="140"/>
      <c r="J30" s="175">
        <f>H30/DAY(B2)</f>
        <v>-4329.95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343200</v>
      </c>
      <c r="I31" s="140"/>
      <c r="J31" s="175">
        <f>H31/DAY(B2)</f>
        <v>17160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6998673.5560000008</v>
      </c>
      <c r="I32" s="144"/>
      <c r="J32" s="175">
        <f>H32/DAY(B2)</f>
        <v>349933.67780000006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-14211.170000000002</v>
      </c>
      <c r="I35" s="95"/>
      <c r="J35" s="175">
        <f>H35/DAY(B2)</f>
        <v>-710.55850000000009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-17407.169999999998</v>
      </c>
      <c r="I37" s="95"/>
      <c r="J37" s="175">
        <f>H37/DAY(B2)</f>
        <v>-870.35849999999994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-19275.580000000002</v>
      </c>
      <c r="I38" s="95"/>
      <c r="J38" s="175">
        <f>H38/DAY(B2)</f>
        <v>-963.77900000000011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-28665.680000000004</v>
      </c>
      <c r="I39" s="95"/>
      <c r="J39" s="175">
        <f>H39/DAY(B2)</f>
        <v>-1433.2840000000001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-7615.9400000000032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-26321.14</v>
      </c>
      <c r="I42" s="95"/>
      <c r="J42" s="175">
        <f>H42/DAY(B2)</f>
        <v>-1316.057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-22784.61</v>
      </c>
      <c r="I43" s="95"/>
      <c r="J43" s="175">
        <f>H43/DAY(B2)</f>
        <v>-1139.2305000000001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-144470.93999999997</v>
      </c>
      <c r="I47" s="95"/>
      <c r="J47" s="175">
        <f>H47/DAY(B2)</f>
        <v>-7223.5469999999987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-10205.089999999998</v>
      </c>
      <c r="I49" s="95"/>
      <c r="J49" s="175">
        <f>H49/DAY(B2)</f>
        <v>-510.25449999999989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-2229.2199999999998</v>
      </c>
      <c r="I58" s="95"/>
      <c r="J58" s="175">
        <f>H58/DAY(B2)</f>
        <v>-111.46099999999998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-35976.229999999989</v>
      </c>
      <c r="I59" s="95">
        <f>G7-G60</f>
        <v>1383.8700000000299</v>
      </c>
      <c r="J59" s="175">
        <f>H59/DAY(B2)</f>
        <v>-1798.8114999999993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-180447.16999999995</v>
      </c>
      <c r="I60" s="95">
        <f>G13-G60</f>
        <v>923.12000000000808</v>
      </c>
      <c r="J60" s="175">
        <f>H60/DAY(B2)</f>
        <v>-9022.3584999999985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-1357</v>
      </c>
      <c r="I63" s="118"/>
      <c r="J63" s="175">
        <f>H63/DAY(B2)</f>
        <v>-67.849999999999994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'19'!F64</f>
        <v>0</v>
      </c>
      <c r="F64" s="122"/>
      <c r="G64" s="112">
        <f>G62+G63</f>
        <v>174</v>
      </c>
      <c r="H64" s="99">
        <f>G64+'19'!H64</f>
        <v>-2436</v>
      </c>
      <c r="I64" s="118"/>
      <c r="J64" s="175">
        <f>H64/DAY(B2)</f>
        <v>-121.8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-11.100000000000364</v>
      </c>
      <c r="I78" s="118"/>
      <c r="J78" s="175">
        <f>H78/DAY(B2)</f>
        <v>-0.55500000000001815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-5741.958000000046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63" t="s">
        <v>329</v>
      </c>
      <c r="B80" s="964"/>
      <c r="C80" s="965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-47200.870000000032</v>
      </c>
      <c r="I94" s="118"/>
      <c r="J94" s="175">
        <f>H94/DAY(B2)</f>
        <v>-2360.0435000000016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0.29205263362464584</v>
      </c>
      <c r="H95" s="99">
        <f>G95+'19'!H95</f>
        <v>5.0045070361390147</v>
      </c>
      <c r="I95" s="167"/>
      <c r="J95" s="175">
        <f>H95/DAY(B2)</f>
        <v>0.25022535180695071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-37475.509999999995</v>
      </c>
      <c r="I96" s="118"/>
      <c r="J96" s="175">
        <f>H96/DAY(B2)</f>
        <v>-1873.7754999999997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0.15479380379892518</v>
      </c>
      <c r="H97" s="99">
        <f>G97+'19'!H97</f>
        <v>4.0184422670289033</v>
      </c>
      <c r="I97" s="167"/>
      <c r="J97" s="175">
        <f>H97/DAY(B2)</f>
        <v>0.20092211335144516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2507.0499999999993</v>
      </c>
      <c r="H98" s="99">
        <f>G98+'19'!H98</f>
        <v>-28665.680000000004</v>
      </c>
      <c r="I98" s="168"/>
      <c r="J98" s="175">
        <f>H98/DAY(B2)</f>
        <v>-1433.2840000000001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0.14991493827418853</v>
      </c>
      <c r="H99" s="99">
        <f>G99+'19'!H99</f>
        <v>2.944673103063451</v>
      </c>
      <c r="I99" s="168"/>
      <c r="J99" s="175">
        <f>H99/DAY(B2)</f>
        <v>0.14723365515317255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-19275.580000000002</v>
      </c>
      <c r="I100" s="118"/>
      <c r="J100" s="175">
        <f>H100/DAY(B2)</f>
        <v>-963.77900000000011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1.932317368269461</v>
      </c>
      <c r="I101" s="168"/>
      <c r="J101" s="175">
        <f>H101/DAY(B2)</f>
        <v>9.6615868413473055E-2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2.1325009822954422</v>
      </c>
      <c r="I103" s="118"/>
      <c r="J103" s="175">
        <f>H103/DAY(B2)</f>
        <v>0.10662504911477211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-17407.169999999998</v>
      </c>
      <c r="I104" s="118"/>
      <c r="J104" s="175">
        <f>H104/DAY(B2)</f>
        <v>-870.35849999999994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1.676502871437292</v>
      </c>
      <c r="I105" s="187"/>
      <c r="J105" s="188">
        <f>H105/DAY(B2)</f>
        <v>8.3825143571864602E-2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-2998.3499999999985</v>
      </c>
      <c r="I114" s="165"/>
      <c r="J114" s="328">
        <f>H114/DAY(B2)</f>
        <v>-149.91749999999993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 x14ac:dyDescent="0.5">
      <c r="A124" s="911"/>
      <c r="B124" s="912"/>
      <c r="C124" s="913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42" t="s">
        <v>108</v>
      </c>
      <c r="B125" s="942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-1735.0199999999995</v>
      </c>
      <c r="I134" s="165"/>
      <c r="J134" s="328">
        <f>H134/DAY(B2)</f>
        <v>-86.750999999999976</v>
      </c>
    </row>
    <row r="135" spans="1:15" ht="27.75" x14ac:dyDescent="0.5">
      <c r="A135" s="966" t="s">
        <v>108</v>
      </c>
      <c r="B135" s="967"/>
      <c r="C135" s="920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 x14ac:dyDescent="0.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-669.75</v>
      </c>
      <c r="I156" s="165"/>
      <c r="J156" s="328">
        <f>H156/DAY(B2)</f>
        <v>-33.487499999999997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 x14ac:dyDescent="0.5">
      <c r="A166" s="917"/>
      <c r="B166" s="917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-137</v>
      </c>
      <c r="I174" s="155"/>
      <c r="J174" s="178">
        <f>H174/DAY(B2)</f>
        <v>-6.85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-246</v>
      </c>
      <c r="I176" s="155"/>
      <c r="J176" s="178">
        <f>H176/DAY(B2)</f>
        <v>-12.3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75" t="s">
        <v>214</v>
      </c>
      <c r="B183" s="876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 x14ac:dyDescent="0.5">
      <c r="A184" s="875" t="s">
        <v>215</v>
      </c>
      <c r="B184" s="876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 x14ac:dyDescent="0.5">
      <c r="A185" s="875" t="s">
        <v>216</v>
      </c>
      <c r="B185" s="876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-4333</v>
      </c>
      <c r="I188" s="158"/>
      <c r="J188" s="179">
        <f>H188/DAY(B2)</f>
        <v>-216.65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-2741</v>
      </c>
      <c r="I189" s="158"/>
      <c r="J189" s="179">
        <f>H189/DAY(B2)</f>
        <v>-137.05000000000001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821882.2</v>
      </c>
      <c r="I8" s="116"/>
      <c r="J8" s="175">
        <f>H8/DAY(B2)</f>
        <v>39137.247619047615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-137915.44</v>
      </c>
      <c r="I9" s="124">
        <f>I7-J7</f>
        <v>20303.929523809522</v>
      </c>
      <c r="J9" s="175">
        <f>H9/DAY(B2)</f>
        <v>-6567.4019047619049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-31413.170000000006</v>
      </c>
      <c r="I10" s="282"/>
      <c r="J10" s="175">
        <f>H10/DAY(B2)</f>
        <v>-1495.8652380952383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-186083.04000000004</v>
      </c>
      <c r="I13" s="120">
        <f>G7-G13</f>
        <v>519.94999999999709</v>
      </c>
      <c r="J13" s="175">
        <f>H13/DAY(B2)</f>
        <v>-8861.0971428571447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-9576.1769999999087</v>
      </c>
      <c r="I15" s="113">
        <f>'1'!I15</f>
        <v>800</v>
      </c>
      <c r="J15" s="175">
        <f>H15/DAY(B2)</f>
        <v>-456.00842857142425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1256.0084285714242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4400</v>
      </c>
      <c r="I18" s="113">
        <f>'1'!I18</f>
        <v>65</v>
      </c>
      <c r="J18" s="175">
        <f>H18/DAY(B2)</f>
        <v>209.52380952380952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3858</v>
      </c>
      <c r="I20" s="336">
        <f>I18-J20</f>
        <v>-118.71428571428572</v>
      </c>
      <c r="J20" s="175">
        <f>H20/DAY(B2)</f>
        <v>183.71428571428572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7396939.8000000007</v>
      </c>
      <c r="I27" s="138"/>
      <c r="J27" s="175">
        <f>H27/DAY(B2)</f>
        <v>352235.22857142863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-435033.20399999525</v>
      </c>
      <c r="I28" s="140"/>
      <c r="J28" s="175">
        <f>H28/DAY(B2)</f>
        <v>-20715.866857142631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-78277</v>
      </c>
      <c r="I30" s="140"/>
      <c r="J30" s="175">
        <f>H30/DAY(B2)</f>
        <v>-3727.4761904761904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352000</v>
      </c>
      <c r="I31" s="140"/>
      <c r="J31" s="175">
        <f>H31/DAY(B2)</f>
        <v>16761.904761904763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7235629.5960000046</v>
      </c>
      <c r="I32" s="144"/>
      <c r="J32" s="175">
        <f>H32/DAY(B2)</f>
        <v>344553.79028571449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-12757.200000000004</v>
      </c>
      <c r="I35" s="95"/>
      <c r="J35" s="175">
        <f>H35/DAY(B2)</f>
        <v>-607.48571428571449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-15841.669999999998</v>
      </c>
      <c r="I37" s="95"/>
      <c r="J37" s="175">
        <f>H37/DAY(B2)</f>
        <v>-754.36523809523806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-17604.13</v>
      </c>
      <c r="I38" s="95"/>
      <c r="J38" s="175">
        <f>H38/DAY(B2)</f>
        <v>-838.29190476190479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-26067.440000000006</v>
      </c>
      <c r="I39" s="95"/>
      <c r="J39" s="175">
        <f>H39/DAY(B2)</f>
        <v>-1241.3066666666668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-7260.6100000000033</v>
      </c>
      <c r="I40" s="95"/>
      <c r="J40" s="175">
        <f>H40/DAY(B2)</f>
        <v>-345.74333333333351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-26321.14</v>
      </c>
      <c r="I42" s="95"/>
      <c r="J42" s="175">
        <f>H42/DAY(B2)</f>
        <v>-1253.387619047619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-20444.670000000013</v>
      </c>
      <c r="I43" s="95"/>
      <c r="J43" s="175">
        <f>H43/DAY(B2)</f>
        <v>-973.55571428571488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-133824.59999999998</v>
      </c>
      <c r="I47" s="95"/>
      <c r="J47" s="175">
        <f>H47/DAY(B2)</f>
        <v>-6372.5999999999985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-9103.2899999999991</v>
      </c>
      <c r="I49" s="95"/>
      <c r="J49" s="175">
        <f>H49/DAY(B2)</f>
        <v>-433.48999999999995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-1995.0299999999997</v>
      </c>
      <c r="I58" s="95"/>
      <c r="J58" s="175">
        <f>H58/DAY(B2)</f>
        <v>-95.001428571428562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-30641.789999999994</v>
      </c>
      <c r="I59" s="95">
        <f>G7-G60</f>
        <v>1887.7800000000134</v>
      </c>
      <c r="J59" s="175">
        <f>H59/DAY(B2)</f>
        <v>-1459.1328571428569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-164466.38999999996</v>
      </c>
      <c r="I60" s="95">
        <f>G13-G60</f>
        <v>1367.8300000000163</v>
      </c>
      <c r="J60" s="175">
        <f>H60/DAY(B2)</f>
        <v>-7831.7328571428552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-1261</v>
      </c>
      <c r="I63" s="118"/>
      <c r="J63" s="175">
        <f>H63/DAY(B2)</f>
        <v>-60.047619047619051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'20'!F64</f>
        <v>0</v>
      </c>
      <c r="F64" s="122"/>
      <c r="G64" s="112">
        <f>G62+G63</f>
        <v>156</v>
      </c>
      <c r="H64" s="99">
        <f>G64+'20'!H64</f>
        <v>-2280</v>
      </c>
      <c r="I64" s="118"/>
      <c r="J64" s="175">
        <f>H64/DAY(B2)</f>
        <v>-108.57142857142857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-10</v>
      </c>
      <c r="I78" s="118"/>
      <c r="J78" s="175">
        <f>H78/DAY(B2)</f>
        <v>-0.47619047619047616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-5175.5579999999736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-42305.160000000047</v>
      </c>
      <c r="I94" s="118"/>
      <c r="J94" s="175">
        <f>H94/DAY(B2)</f>
        <v>-2014.5314285714308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0.27398458521559571</v>
      </c>
      <c r="H95" s="99">
        <f>G95+'20'!H95</f>
        <v>5.2784916213546103</v>
      </c>
      <c r="I95" s="167"/>
      <c r="J95" s="175">
        <f>H95/DAY(B2)</f>
        <v>0.25135674387402906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-34637.11</v>
      </c>
      <c r="I96" s="118"/>
      <c r="J96" s="175">
        <f>H96/DAY(B2)</f>
        <v>-1649.3861904761904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0.15884883840667599</v>
      </c>
      <c r="H97" s="99">
        <f>G97+'20'!H97</f>
        <v>4.1772911054355797</v>
      </c>
      <c r="I97" s="167"/>
      <c r="J97" s="175">
        <f>H97/DAY(B2)</f>
        <v>0.19891862406836094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2598.239999999998</v>
      </c>
      <c r="H98" s="99">
        <f>G98+'20'!H98</f>
        <v>-26067.440000000006</v>
      </c>
      <c r="I98" s="168"/>
      <c r="J98" s="175">
        <f>H98/DAY(B2)</f>
        <v>-1241.3066666666668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0.14540847163957243</v>
      </c>
      <c r="H99" s="99">
        <f>G99+'20'!H99</f>
        <v>3.0900815747030235</v>
      </c>
      <c r="I99" s="168"/>
      <c r="J99" s="175">
        <f>H99/DAY(B2)</f>
        <v>0.14714674165252492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-17604.13</v>
      </c>
      <c r="I100" s="118"/>
      <c r="J100" s="175">
        <f>H100/DAY(B2)</f>
        <v>-838.29190476190479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2.025858761644193</v>
      </c>
      <c r="I101" s="168"/>
      <c r="J101" s="175">
        <f>H101/DAY(B2)</f>
        <v>9.6469464840199665E-2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2.2344655502292885</v>
      </c>
      <c r="I103" s="118"/>
      <c r="J103" s="175">
        <f>H103/DAY(B2)</f>
        <v>0.10640312143948993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1565.5</v>
      </c>
      <c r="H104" s="99">
        <f>G104+'20'!H104</f>
        <v>-15841.669999999998</v>
      </c>
      <c r="I104" s="118"/>
      <c r="J104" s="175">
        <f>H104/DAY(B2)</f>
        <v>-754.36523809523806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1.764114855838945</v>
      </c>
      <c r="I105" s="187"/>
      <c r="J105" s="188">
        <f>H105/DAY(B2)</f>
        <v>8.4005469325664051E-2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-2699.3300000000017</v>
      </c>
      <c r="I114" s="165"/>
      <c r="J114" s="328">
        <f>H114/DAY(B2)</f>
        <v>-128.5395238095239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-1519.4299999999994</v>
      </c>
      <c r="I134" s="165"/>
      <c r="J134" s="328">
        <f>H134/DAY(B2)</f>
        <v>-72.353809523809488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25592.889999999996</v>
      </c>
      <c r="I135" s="327">
        <f>G135-(G35+G49)</f>
        <v>-419.10000000000218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-612.67999999999984</v>
      </c>
      <c r="I156" s="165"/>
      <c r="J156" s="328">
        <f>H156/DAY(B2)</f>
        <v>-29.175238095238086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3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3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 x14ac:dyDescent="0.5">
      <c r="A166" s="917"/>
      <c r="B166" s="917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-126</v>
      </c>
      <c r="I174" s="155"/>
      <c r="J174" s="178">
        <f>H174/DAY(B2)</f>
        <v>-6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-225</v>
      </c>
      <c r="I176" s="155"/>
      <c r="J176" s="178">
        <f>H176/DAY(B2)</f>
        <v>-10.714285714285714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 x14ac:dyDescent="0.5">
      <c r="A185" s="875" t="s">
        <v>216</v>
      </c>
      <c r="B185" s="876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-4217</v>
      </c>
      <c r="I188" s="158"/>
      <c r="J188" s="179">
        <f>H188/DAY(B2)</f>
        <v>-200.8095238095238</v>
      </c>
    </row>
    <row r="189" spans="1:10" ht="21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-2646</v>
      </c>
      <c r="I189" s="158"/>
      <c r="J189" s="179">
        <f>H189/DAY(B2)</f>
        <v>-126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841804.96</v>
      </c>
      <c r="I8" s="116"/>
      <c r="J8" s="175">
        <f>H8/DAY(B2)</f>
        <v>38263.861818181816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-125987.5</v>
      </c>
      <c r="I9" s="124">
        <f>I7-J7</f>
        <v>19053.025454545455</v>
      </c>
      <c r="J9" s="175">
        <f>H9/DAY(B2)</f>
        <v>-5726.704545454545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-24651.670000000006</v>
      </c>
      <c r="I10" s="282"/>
      <c r="J10" s="175">
        <f>H10/DAY(B2)</f>
        <v>-1120.5304545454549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-167393.60000000003</v>
      </c>
      <c r="I13" s="120">
        <f>G7-G13</f>
        <v>526.51999999996042</v>
      </c>
      <c r="J13" s="175">
        <f>H13/DAY(B2)</f>
        <v>-7608.800000000002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-8539.7669999999925</v>
      </c>
      <c r="I15" s="113">
        <f>'1'!I15</f>
        <v>800</v>
      </c>
      <c r="J15" s="175">
        <f>H15/DAY(B2)</f>
        <v>-388.17122727272692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1188.1712272727268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4520</v>
      </c>
      <c r="I18" s="113">
        <f>'1'!I18</f>
        <v>65</v>
      </c>
      <c r="J18" s="175">
        <f>H18/DAY(B2)</f>
        <v>205.45454545454547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4034</v>
      </c>
      <c r="I20" s="336">
        <f>I18-J20</f>
        <v>-118.36363636363637</v>
      </c>
      <c r="J20" s="175">
        <f>H20/DAY(B2)</f>
        <v>183.36363636363637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7576244.6400000006</v>
      </c>
      <c r="I27" s="138"/>
      <c r="J27" s="175">
        <f>H27/DAY(B2)</f>
        <v>344374.75636363641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-381139.88399999961</v>
      </c>
      <c r="I28" s="140"/>
      <c r="J28" s="175">
        <f>H28/DAY(B2)</f>
        <v>-17324.540181818164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-70101</v>
      </c>
      <c r="I30" s="140"/>
      <c r="J30" s="175">
        <f>H30/DAY(B2)</f>
        <v>-3186.409090909091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361600</v>
      </c>
      <c r="I31" s="140"/>
      <c r="J31" s="175">
        <f>H31/DAY(B2)</f>
        <v>16436.363636363636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7486603.7560000001</v>
      </c>
      <c r="I32" s="144"/>
      <c r="J32" s="175">
        <f>H32/DAY(B2)</f>
        <v>340300.17072727275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-11334.400000000001</v>
      </c>
      <c r="I35" s="95"/>
      <c r="J35" s="175">
        <f>H35/DAY(B2)</f>
        <v>-515.20000000000005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-14254.579999999998</v>
      </c>
      <c r="I37" s="95"/>
      <c r="J37" s="175">
        <f>H37/DAY(B2)</f>
        <v>-647.93545454545449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-15816.89</v>
      </c>
      <c r="I38" s="95"/>
      <c r="J38" s="175">
        <f>H38/DAY(B2)</f>
        <v>-718.94954545454539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-23418.74</v>
      </c>
      <c r="I39" s="95"/>
      <c r="J39" s="175">
        <f>H39/DAY(B2)</f>
        <v>-1064.4881818181818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-6967.1300000000019</v>
      </c>
      <c r="I40" s="95"/>
      <c r="J40" s="175">
        <f>H40/DAY(B2)</f>
        <v>-316.68772727272739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-26321.14</v>
      </c>
      <c r="I42" s="95"/>
      <c r="J42" s="175">
        <f>H42/DAY(B2)</f>
        <v>-1196.4154545454546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-18111.25</v>
      </c>
      <c r="I43" s="95"/>
      <c r="J43" s="175">
        <f>H43/DAY(B2)</f>
        <v>-823.23863636363637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-122917.57999999996</v>
      </c>
      <c r="I47" s="95"/>
      <c r="J47" s="175">
        <f>H47/DAY(B2)</f>
        <v>-5587.1627272727255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-7929.4599999999991</v>
      </c>
      <c r="I49" s="95"/>
      <c r="J49" s="175">
        <f>H49/DAY(B2)</f>
        <v>-360.42999999999995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-1751.5799999999995</v>
      </c>
      <c r="I58" s="95"/>
      <c r="J58" s="175">
        <f>H58/DAY(B2)</f>
        <v>-79.617272727272706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-24640.229999999996</v>
      </c>
      <c r="I59" s="95">
        <f>G7-G60</f>
        <v>2307.3799999999464</v>
      </c>
      <c r="J59" s="175">
        <f>H59/DAY(B2)</f>
        <v>-1120.0104545454544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-147557.80999999994</v>
      </c>
      <c r="I60" s="95">
        <f>G13-G60</f>
        <v>1780.859999999986</v>
      </c>
      <c r="J60" s="175">
        <f>H60/DAY(B2)</f>
        <v>-6707.1731818181788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-1153</v>
      </c>
      <c r="I63" s="118"/>
      <c r="J63" s="175">
        <f>H63/DAY(B2)</f>
        <v>-52.409090909090907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'21'!F64</f>
        <v>0</v>
      </c>
      <c r="F64" s="122"/>
      <c r="G64" s="112">
        <f>G62+G63</f>
        <v>180</v>
      </c>
      <c r="H64" s="99">
        <f>G64+'21'!H64</f>
        <v>-2100</v>
      </c>
      <c r="I64" s="118"/>
      <c r="J64" s="175">
        <f>H64/DAY(B2)</f>
        <v>-95.454545454545453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-7</v>
      </c>
      <c r="I78" s="118"/>
      <c r="J78" s="175">
        <f>H78/DAY(B2)</f>
        <v>-0.31818181818181818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-4609.208000000026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-37375.11000000003</v>
      </c>
      <c r="I94" s="118"/>
      <c r="J94" s="175">
        <f>H94/DAY(B2)</f>
        <v>-1698.8686363636377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0.25656017185714508</v>
      </c>
      <c r="H95" s="99">
        <f>G95+'21'!H95</f>
        <v>5.5350517932117551</v>
      </c>
      <c r="I95" s="167"/>
      <c r="J95" s="175">
        <f>H95/DAY(B2)</f>
        <v>0.25159326332780707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-31563.53</v>
      </c>
      <c r="I96" s="118"/>
      <c r="J96" s="175">
        <f>H96/DAY(B2)</f>
        <v>-1434.705909090909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0.15994933378295997</v>
      </c>
      <c r="H97" s="99">
        <f>G97+'21'!H97</f>
        <v>4.3372404392185393</v>
      </c>
      <c r="I97" s="167"/>
      <c r="J97" s="175">
        <f>H97/DAY(B2)</f>
        <v>0.1971472926917518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2648.7000000000044</v>
      </c>
      <c r="H98" s="99">
        <f>G98+'21'!H98</f>
        <v>-23418.74</v>
      </c>
      <c r="I98" s="168"/>
      <c r="J98" s="175">
        <f>H98/DAY(B2)</f>
        <v>-1064.4881818181818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0.13783854670804943</v>
      </c>
      <c r="H99" s="99">
        <f>G99+'21'!H99</f>
        <v>3.2279201214110729</v>
      </c>
      <c r="I99" s="168"/>
      <c r="J99" s="175">
        <f>H99/DAY(B2)</f>
        <v>0.14672364188232148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-15816.89</v>
      </c>
      <c r="I100" s="118"/>
      <c r="J100" s="175">
        <f>H100/DAY(B2)</f>
        <v>-718.94954545454539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2.1188668653246756</v>
      </c>
      <c r="I101" s="168"/>
      <c r="J101" s="175">
        <f>H101/DAY(B2)</f>
        <v>9.6312130242030711E-2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2.3564990057527178</v>
      </c>
      <c r="I103" s="118"/>
      <c r="J103" s="175">
        <f>H103/DAY(B2)</f>
        <v>0.10711359117057807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-14254.579999999998</v>
      </c>
      <c r="I104" s="118"/>
      <c r="J104" s="175">
        <f>H104/DAY(B2)</f>
        <v>-647.93545454545449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1.8467071385039799</v>
      </c>
      <c r="I105" s="187"/>
      <c r="J105" s="188">
        <f>H105/DAY(B2)</f>
        <v>8.3941233568362722E-2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-2339.3100000000013</v>
      </c>
      <c r="I114" s="165"/>
      <c r="J114" s="328">
        <f>H114/DAY(B2)</f>
        <v>-106.33227272727278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 x14ac:dyDescent="0.5">
      <c r="A124" s="911"/>
      <c r="B124" s="912"/>
      <c r="C124" s="913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-1364.4399999999996</v>
      </c>
      <c r="I134" s="165"/>
      <c r="J134" s="328">
        <f>H134/DAY(B2)</f>
        <v>-62.019999999999982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25717.42</v>
      </c>
      <c r="I135" s="327">
        <f>G135-(G35+G49)</f>
        <v>-335.43000000000393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-559.61000000000013</v>
      </c>
      <c r="I156" s="165"/>
      <c r="J156" s="328">
        <f>H156/DAY(B2)</f>
        <v>-25.436818181818186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 x14ac:dyDescent="0.5">
      <c r="A166" s="917"/>
      <c r="B166" s="917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17"/>
      <c r="B167" s="917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17"/>
      <c r="B168" s="917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-114</v>
      </c>
      <c r="I174" s="155"/>
      <c r="J174" s="178">
        <f>H174/DAY(B2)</f>
        <v>-5.1818181818181817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-203</v>
      </c>
      <c r="I176" s="155"/>
      <c r="J176" s="178">
        <f>H176/DAY(B2)</f>
        <v>-9.2272727272727266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-4094</v>
      </c>
      <c r="I188" s="158"/>
      <c r="J188" s="179">
        <f>H188/DAY(B2)</f>
        <v>-186.09090909090909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-2627</v>
      </c>
      <c r="I189" s="158"/>
      <c r="J189" s="179">
        <f>H189/DAY(B2)</f>
        <v>-119.40909090909091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861193.27999999991</v>
      </c>
      <c r="I8" s="116"/>
      <c r="J8" s="175">
        <f>H8/DAY(B2)</f>
        <v>37443.186086956521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-113735.45999999999</v>
      </c>
      <c r="I9" s="124">
        <f>I7-J7</f>
        <v>17933.191304347823</v>
      </c>
      <c r="J9" s="175">
        <f>H9/DAY(B2)</f>
        <v>-4945.0199999999995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-18719.290000000015</v>
      </c>
      <c r="I10" s="282"/>
      <c r="J10" s="175">
        <f>H10/DAY(B2)</f>
        <v>-813.8821739130442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-149209.18000000005</v>
      </c>
      <c r="I13" s="120">
        <f>G7-G13</f>
        <v>518.74000000003434</v>
      </c>
      <c r="J13" s="175">
        <f>H13/DAY(B2)</f>
        <v>-6487.3556521739156</v>
      </c>
      <c r="K13" s="79"/>
      <c r="L13" s="66"/>
      <c r="N13" s="87"/>
      <c r="O13" s="71"/>
    </row>
    <row r="14" spans="1:15" ht="30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-7559.8470000000671</v>
      </c>
      <c r="I15" s="113">
        <f>'1'!I15</f>
        <v>800</v>
      </c>
      <c r="J15" s="175">
        <f>H15/DAY(B2)</f>
        <v>-328.68900000000292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1128.689000000003</v>
      </c>
      <c r="J16" s="176"/>
      <c r="K16" s="79"/>
      <c r="L16" s="66"/>
      <c r="N16" s="87"/>
      <c r="O16" s="71"/>
    </row>
    <row r="17" spans="1:15" ht="30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3" t="s">
        <v>141</v>
      </c>
      <c r="B18" s="854"/>
      <c r="C18" s="855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4680</v>
      </c>
      <c r="I18" s="113">
        <f>'1'!I18</f>
        <v>65</v>
      </c>
      <c r="J18" s="175">
        <f>H18/DAY(B2)</f>
        <v>203.47826086956522</v>
      </c>
      <c r="K18" s="79"/>
      <c r="L18" s="66"/>
      <c r="N18" s="87"/>
      <c r="O18" s="71"/>
    </row>
    <row r="19" spans="1:15" ht="30.75" customHeight="1" x14ac:dyDescent="0.5">
      <c r="A19" s="853" t="s">
        <v>69</v>
      </c>
      <c r="B19" s="854"/>
      <c r="C19" s="855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4250</v>
      </c>
      <c r="I20" s="336">
        <f>I18-J20</f>
        <v>-119.78260869565219</v>
      </c>
      <c r="J20" s="175">
        <f>H20/DAY(B2)</f>
        <v>184.78260869565219</v>
      </c>
      <c r="K20" s="79"/>
      <c r="L20" s="66"/>
      <c r="N20" s="87"/>
      <c r="O20" s="71"/>
    </row>
    <row r="21" spans="1:15" ht="30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7750739.5200000005</v>
      </c>
      <c r="I27" s="138"/>
      <c r="J27" s="175">
        <f>H27/DAY(B2)</f>
        <v>336988.67478260869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-330184.04400000349</v>
      </c>
      <c r="I28" s="140"/>
      <c r="J28" s="175">
        <f>H28/DAY(B2)</f>
        <v>-14355.828000000152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-61925</v>
      </c>
      <c r="I30" s="140"/>
      <c r="J30" s="175">
        <f>H30/DAY(B2)</f>
        <v>-2692.391304347826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374400</v>
      </c>
      <c r="I31" s="140"/>
      <c r="J31" s="175">
        <f>H31/DAY(B2)</f>
        <v>16278.260869565218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7733030.4759999961</v>
      </c>
      <c r="I32" s="144"/>
      <c r="J32" s="175">
        <f>H32/DAY(B2)</f>
        <v>336218.71634782589</v>
      </c>
      <c r="K32" s="63"/>
      <c r="L32" s="89"/>
      <c r="N32" s="87"/>
      <c r="O32" s="71"/>
    </row>
    <row r="33" spans="1:15" ht="30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-9978.6900000000023</v>
      </c>
      <c r="I35" s="95"/>
      <c r="J35" s="175">
        <f>H35/DAY(B2)</f>
        <v>-433.85608695652184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-12682.599999999995</v>
      </c>
      <c r="I37" s="95"/>
      <c r="J37" s="175">
        <f>H37/DAY(B2)</f>
        <v>-551.41739130434757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-13884.82</v>
      </c>
      <c r="I38" s="95"/>
      <c r="J38" s="175">
        <f>H38/DAY(B2)</f>
        <v>-603.68782608695653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-20842.490000000002</v>
      </c>
      <c r="I39" s="95"/>
      <c r="J39" s="175">
        <f>H39/DAY(B2)</f>
        <v>-906.19521739130437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-6583.2300000000023</v>
      </c>
      <c r="I40" s="95"/>
      <c r="J40" s="175">
        <f>H40/DAY(B2)</f>
        <v>-286.22739130434792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-26321.14</v>
      </c>
      <c r="I42" s="95"/>
      <c r="J42" s="175">
        <f>H42/DAY(B2)</f>
        <v>-1144.3973913043478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-15772.010000000009</v>
      </c>
      <c r="I43" s="95"/>
      <c r="J43" s="175">
        <f>H43/DAY(B2)</f>
        <v>-685.73956521739171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-111603.14999999997</v>
      </c>
      <c r="I47" s="95"/>
      <c r="J47" s="175">
        <f>H47/DAY(B2)</f>
        <v>-4852.3108695652163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-6836.489999999998</v>
      </c>
      <c r="I49" s="95"/>
      <c r="J49" s="175">
        <f>H49/DAY(B2)</f>
        <v>-297.23869565217382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-1525.6199999999994</v>
      </c>
      <c r="I58" s="95"/>
      <c r="J58" s="175">
        <f>H58/DAY(B2)</f>
        <v>-66.331304347826062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-18998.819999999992</v>
      </c>
      <c r="I59" s="95">
        <f>G7-G60</f>
        <v>1747.3200000000288</v>
      </c>
      <c r="J59" s="175">
        <f>H59/DAY(B2)</f>
        <v>-826.03565217391269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-130601.96999999994</v>
      </c>
      <c r="I60" s="95">
        <f>G13-G60</f>
        <v>1228.5799999999945</v>
      </c>
      <c r="J60" s="175">
        <f>H60/DAY(B2)</f>
        <v>-5678.3465217391276</v>
      </c>
      <c r="K60" s="79"/>
      <c r="L60" s="66"/>
      <c r="N60" s="87"/>
      <c r="O60" s="71"/>
    </row>
    <row r="61" spans="1:15" s="68" customFormat="1" ht="30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3" t="s">
        <v>198</v>
      </c>
      <c r="B62" s="854"/>
      <c r="C62" s="855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 x14ac:dyDescent="0.5">
      <c r="A63" s="853" t="s">
        <v>199</v>
      </c>
      <c r="B63" s="854"/>
      <c r="C63" s="855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-1027</v>
      </c>
      <c r="I63" s="118"/>
      <c r="J63" s="175">
        <f>H63/DAY(B2)</f>
        <v>-44.652173913043477</v>
      </c>
      <c r="K63" s="69"/>
      <c r="L63" s="66"/>
      <c r="N63" s="87"/>
      <c r="O63" s="71"/>
    </row>
    <row r="64" spans="1:15" ht="30.75" customHeight="1" x14ac:dyDescent="0.5">
      <c r="A64" s="850" t="s">
        <v>200</v>
      </c>
      <c r="B64" s="851"/>
      <c r="C64" s="852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-1855</v>
      </c>
      <c r="I64" s="118"/>
      <c r="J64" s="175">
        <f>H64/DAY(B2)</f>
        <v>-80.652173913043484</v>
      </c>
      <c r="K64" s="69"/>
      <c r="L64" s="66"/>
      <c r="N64" s="87"/>
      <c r="O64" s="71"/>
    </row>
    <row r="65" spans="1:15" ht="30.75" customHeight="1" x14ac:dyDescent="0.5">
      <c r="A65" s="853" t="s">
        <v>201</v>
      </c>
      <c r="B65" s="854"/>
      <c r="C65" s="855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3" t="s">
        <v>220</v>
      </c>
      <c r="B74" s="854"/>
      <c r="C74" s="855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 x14ac:dyDescent="0.5">
      <c r="A75" s="853" t="s">
        <v>221</v>
      </c>
      <c r="B75" s="854"/>
      <c r="C75" s="855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97" t="s">
        <v>222</v>
      </c>
      <c r="B76" s="883"/>
      <c r="C76" s="884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 x14ac:dyDescent="0.5">
      <c r="A77" s="897" t="s">
        <v>223</v>
      </c>
      <c r="B77" s="883"/>
      <c r="C77" s="884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 x14ac:dyDescent="0.5">
      <c r="A78" s="897" t="s">
        <v>224</v>
      </c>
      <c r="B78" s="883"/>
      <c r="C78" s="884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-6</v>
      </c>
      <c r="I78" s="118"/>
      <c r="J78" s="175">
        <f>H78/DAY(B2)</f>
        <v>-0.2608695652173913</v>
      </c>
      <c r="K78" s="69"/>
      <c r="L78" s="66"/>
      <c r="N78" s="87"/>
      <c r="O78" s="71"/>
    </row>
    <row r="79" spans="1:15" s="57" customFormat="1" ht="30.75" customHeight="1" x14ac:dyDescent="0.5">
      <c r="A79" s="897" t="s">
        <v>225</v>
      </c>
      <c r="B79" s="883"/>
      <c r="C79" s="884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-4060.3080000001482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-32587.190000000039</v>
      </c>
      <c r="I94" s="118"/>
      <c r="J94" s="175">
        <f>H94/DAY(B2)</f>
        <v>-1416.8343478260886</v>
      </c>
      <c r="K94" s="69"/>
      <c r="L94" s="66"/>
      <c r="O94" s="71"/>
    </row>
    <row r="95" spans="1:15" ht="30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0.25599524358450565</v>
      </c>
      <c r="H95" s="99">
        <f>G95+'22'!H95</f>
        <v>5.791047036796261</v>
      </c>
      <c r="I95" s="167"/>
      <c r="J95" s="175">
        <f>H95/DAY(B2)</f>
        <v>0.25178465377375048</v>
      </c>
      <c r="K95" s="69"/>
      <c r="L95" s="66"/>
      <c r="O95" s="71"/>
    </row>
    <row r="96" spans="1:15" ht="30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-28868.309999999998</v>
      </c>
      <c r="I96" s="118"/>
      <c r="J96" s="175">
        <f>H96/DAY(B2)</f>
        <v>-1255.1439130434781</v>
      </c>
      <c r="K96" s="69"/>
      <c r="L96" s="66"/>
      <c r="O96" s="71"/>
    </row>
    <row r="97" spans="1:15" ht="30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0.14410506032135728</v>
      </c>
      <c r="H97" s="99">
        <f>G97+'22'!H97</f>
        <v>4.4813454995398967</v>
      </c>
      <c r="I97" s="167"/>
      <c r="J97" s="175">
        <f>H97/DAY(B2)</f>
        <v>0.19484110867564769</v>
      </c>
      <c r="K97" s="69"/>
      <c r="L97" s="66"/>
      <c r="O97" s="71"/>
    </row>
    <row r="98" spans="1:15" ht="30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2576.25</v>
      </c>
      <c r="H98" s="99">
        <f>G98+'22'!H98</f>
        <v>-20842.490000000002</v>
      </c>
      <c r="I98" s="168"/>
      <c r="J98" s="175">
        <f>H98/DAY(B2)</f>
        <v>-906.19521739130437</v>
      </c>
      <c r="K98" s="69"/>
      <c r="L98" s="66"/>
      <c r="O98" s="71"/>
    </row>
    <row r="99" spans="1:15" ht="30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0.13774410313551269</v>
      </c>
      <c r="H99" s="99">
        <f>G99+'22'!H99</f>
        <v>3.3656642245465855</v>
      </c>
      <c r="I99" s="168"/>
      <c r="J99" s="175">
        <f>H99/DAY(B2)</f>
        <v>0.14633322715419936</v>
      </c>
      <c r="O99" s="71"/>
    </row>
    <row r="100" spans="1:15" ht="30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-13884.82</v>
      </c>
      <c r="I100" s="118"/>
      <c r="J100" s="175">
        <f>H100/DAY(B2)</f>
        <v>-603.68782608695653</v>
      </c>
      <c r="K100" s="70"/>
      <c r="O100" s="71"/>
    </row>
    <row r="101" spans="1:15" ht="30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2.2221686603154684</v>
      </c>
      <c r="I101" s="168"/>
      <c r="J101" s="175">
        <f>H101/DAY(B2)</f>
        <v>9.6616028709368196E-2</v>
      </c>
      <c r="O101" s="71"/>
    </row>
    <row r="102" spans="1:15" ht="30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2.5052727958502201</v>
      </c>
      <c r="I103" s="118"/>
      <c r="J103" s="175">
        <f>H103/DAY(B2)</f>
        <v>0.10892490416740087</v>
      </c>
      <c r="O103" s="71"/>
    </row>
    <row r="104" spans="1:15" ht="30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-12682.599999999995</v>
      </c>
      <c r="I104" s="118"/>
      <c r="J104" s="175">
        <f>H104/DAY(B2)</f>
        <v>-551.41739130434757</v>
      </c>
      <c r="O104" s="71"/>
    </row>
    <row r="105" spans="1:15" ht="30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1.9307560371927577</v>
      </c>
      <c r="I105" s="187"/>
      <c r="J105" s="188">
        <f>H105/DAY(B2)</f>
        <v>8.3945914660554677E-2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30.75" customHeight="1" x14ac:dyDescent="0.5">
      <c r="A109" s="892"/>
      <c r="B109" s="892"/>
    </row>
    <row r="110" spans="1:15" ht="30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30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86" t="s">
        <v>252</v>
      </c>
      <c r="B112" s="887"/>
      <c r="C112" s="888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 x14ac:dyDescent="0.5">
      <c r="A113" s="886" t="s">
        <v>253</v>
      </c>
      <c r="B113" s="887"/>
      <c r="C113" s="888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 x14ac:dyDescent="0.5">
      <c r="A114" s="886" t="s">
        <v>254</v>
      </c>
      <c r="B114" s="887"/>
      <c r="C114" s="888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-2075.6500000000015</v>
      </c>
      <c r="I114" s="165"/>
      <c r="J114" s="328">
        <f>H114/DAY(B2)</f>
        <v>-90.245652173913101</v>
      </c>
    </row>
    <row r="115" spans="1:18" ht="30.75" customHeight="1" x14ac:dyDescent="0.5">
      <c r="A115" s="886" t="s">
        <v>255</v>
      </c>
      <c r="B115" s="887"/>
      <c r="C115" s="888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 x14ac:dyDescent="0.5">
      <c r="A116" s="904" t="s">
        <v>96</v>
      </c>
      <c r="B116" s="905"/>
      <c r="C116" s="906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30.75" customHeight="1" x14ac:dyDescent="0.5">
      <c r="A117" s="904" t="s">
        <v>184</v>
      </c>
      <c r="B117" s="905"/>
      <c r="C117" s="906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86" t="s">
        <v>312</v>
      </c>
      <c r="R117" s="888"/>
    </row>
    <row r="118" spans="1:18" ht="30.75" customHeight="1" x14ac:dyDescent="0.5">
      <c r="A118" s="881" t="s">
        <v>97</v>
      </c>
      <c r="B118" s="881"/>
      <c r="C118" s="881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86" t="s">
        <v>311</v>
      </c>
      <c r="R118" s="888"/>
    </row>
    <row r="119" spans="1:18" ht="30.75" customHeight="1" x14ac:dyDescent="0.5">
      <c r="A119" s="881" t="s">
        <v>98</v>
      </c>
      <c r="B119" s="881"/>
      <c r="C119" s="881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 x14ac:dyDescent="0.5">
      <c r="A120" s="881" t="s">
        <v>99</v>
      </c>
      <c r="B120" s="881"/>
      <c r="C120" s="881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 x14ac:dyDescent="0.5">
      <c r="A121" s="881" t="s">
        <v>100</v>
      </c>
      <c r="B121" s="881"/>
      <c r="C121" s="881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 x14ac:dyDescent="0.5">
      <c r="A122" s="881" t="s">
        <v>101</v>
      </c>
      <c r="B122" s="881"/>
      <c r="C122" s="881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 x14ac:dyDescent="0.5">
      <c r="A123" s="881" t="s">
        <v>102</v>
      </c>
      <c r="B123" s="881"/>
      <c r="C123" s="881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 x14ac:dyDescent="0.5">
      <c r="A124" s="911"/>
      <c r="B124" s="912"/>
      <c r="C124" s="913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30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86" t="s">
        <v>318</v>
      </c>
      <c r="B128" s="887"/>
      <c r="C128" s="888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 x14ac:dyDescent="0.5">
      <c r="A131" s="886" t="s">
        <v>321</v>
      </c>
      <c r="B131" s="887"/>
      <c r="C131" s="888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 x14ac:dyDescent="0.5">
      <c r="A132" s="886" t="s">
        <v>322</v>
      </c>
      <c r="B132" s="887"/>
      <c r="C132" s="888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 x14ac:dyDescent="0.5">
      <c r="A133" s="886" t="s">
        <v>362</v>
      </c>
      <c r="B133" s="887"/>
      <c r="C133" s="888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 x14ac:dyDescent="0.5">
      <c r="A134" s="886" t="s">
        <v>340</v>
      </c>
      <c r="B134" s="887"/>
      <c r="C134" s="888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-1206.3799999999992</v>
      </c>
      <c r="I134" s="165"/>
      <c r="J134" s="328">
        <f>H134/DAY(B2)</f>
        <v>-52.451304347826053</v>
      </c>
    </row>
    <row r="135" spans="1:15" ht="30.75" customHeight="1" x14ac:dyDescent="0.5">
      <c r="A135" s="914" t="s">
        <v>196</v>
      </c>
      <c r="B135" s="915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25592.389999999985</v>
      </c>
      <c r="I135" s="327">
        <f>G135-(G35+G49)</f>
        <v>-312.51000000001568</v>
      </c>
      <c r="J135" s="328"/>
    </row>
    <row r="136" spans="1:15" ht="30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81" t="s">
        <v>185</v>
      </c>
      <c r="B138" s="881"/>
      <c r="C138" s="881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 x14ac:dyDescent="0.5">
      <c r="A139" s="881" t="s">
        <v>186</v>
      </c>
      <c r="B139" s="881"/>
      <c r="C139" s="881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 x14ac:dyDescent="0.5">
      <c r="A140" s="881" t="s">
        <v>187</v>
      </c>
      <c r="B140" s="881"/>
      <c r="C140" s="881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 x14ac:dyDescent="0.5">
      <c r="A141" s="885" t="s">
        <v>188</v>
      </c>
      <c r="B141" s="885"/>
      <c r="C141" s="885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 x14ac:dyDescent="0.5">
      <c r="A142" s="885" t="s">
        <v>189</v>
      </c>
      <c r="B142" s="885"/>
      <c r="C142" s="885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 x14ac:dyDescent="0.5">
      <c r="A143" s="881" t="s">
        <v>91</v>
      </c>
      <c r="B143" s="881"/>
      <c r="C143" s="881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 x14ac:dyDescent="0.5">
      <c r="A144" s="885" t="s">
        <v>90</v>
      </c>
      <c r="B144" s="885"/>
      <c r="C144" s="885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 x14ac:dyDescent="0.5">
      <c r="A145" s="881" t="s">
        <v>190</v>
      </c>
      <c r="B145" s="881"/>
      <c r="C145" s="881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 x14ac:dyDescent="0.5">
      <c r="A146" s="882" t="s">
        <v>191</v>
      </c>
      <c r="B146" s="883"/>
      <c r="C146" s="884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 x14ac:dyDescent="0.5">
      <c r="A147" s="885" t="s">
        <v>192</v>
      </c>
      <c r="B147" s="885"/>
      <c r="C147" s="885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 x14ac:dyDescent="0.5">
      <c r="A148" s="877" t="s">
        <v>193</v>
      </c>
      <c r="B148" s="878"/>
      <c r="C148" s="879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 x14ac:dyDescent="0.5">
      <c r="A149" s="877" t="s">
        <v>336</v>
      </c>
      <c r="B149" s="878"/>
      <c r="C149" s="879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 x14ac:dyDescent="0.5">
      <c r="A150" s="877" t="s">
        <v>337</v>
      </c>
      <c r="B150" s="878"/>
      <c r="C150" s="879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 x14ac:dyDescent="0.5">
      <c r="A151" s="877" t="s">
        <v>338</v>
      </c>
      <c r="B151" s="878"/>
      <c r="C151" s="879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 x14ac:dyDescent="0.5">
      <c r="A152" s="877" t="s">
        <v>339</v>
      </c>
      <c r="B152" s="878"/>
      <c r="C152" s="879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0.75" customHeight="1" x14ac:dyDescent="0.55000000000000004">
      <c r="A155" s="885" t="s">
        <v>345</v>
      </c>
      <c r="B155" s="885"/>
      <c r="C155" s="885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 x14ac:dyDescent="0.5">
      <c r="A156" s="885" t="s">
        <v>347</v>
      </c>
      <c r="B156" s="885"/>
      <c r="C156" s="885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-508.86999999999989</v>
      </c>
      <c r="I156" s="165"/>
      <c r="J156" s="328">
        <f>H156/DAY(B2)</f>
        <v>-22.124782608695647</v>
      </c>
    </row>
    <row r="157" spans="1:10" ht="30.75" customHeight="1" x14ac:dyDescent="0.5">
      <c r="A157" s="877" t="s">
        <v>363</v>
      </c>
      <c r="B157" s="878"/>
      <c r="C157" s="879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77" t="s">
        <v>364</v>
      </c>
      <c r="B158" s="878"/>
      <c r="C158" s="879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 x14ac:dyDescent="0.5">
      <c r="A166" s="917"/>
      <c r="B166" s="917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17"/>
      <c r="B167" s="917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17"/>
      <c r="B168" s="917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30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75" t="s">
        <v>209</v>
      </c>
      <c r="B173" s="876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75" t="s">
        <v>75</v>
      </c>
      <c r="B174" s="876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-101</v>
      </c>
      <c r="I174" s="155"/>
      <c r="J174" s="178">
        <f>H174/DAY(B2)</f>
        <v>-4.3913043478260869</v>
      </c>
    </row>
    <row r="175" spans="1:10" ht="30.75" customHeight="1" x14ac:dyDescent="0.5">
      <c r="A175" s="875" t="s">
        <v>76</v>
      </c>
      <c r="B175" s="880"/>
      <c r="C175" s="876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 x14ac:dyDescent="0.5">
      <c r="A176" s="914" t="s">
        <v>196</v>
      </c>
      <c r="B176" s="915"/>
      <c r="C176" s="483"/>
      <c r="D176" s="228"/>
      <c r="E176" s="95"/>
      <c r="F176" s="155"/>
      <c r="G176" s="155">
        <f>SUM(G173:G175)</f>
        <v>24</v>
      </c>
      <c r="H176" s="99">
        <f>G176+'22'!H176</f>
        <v>-179</v>
      </c>
      <c r="I176" s="155"/>
      <c r="J176" s="178">
        <f>H176/DAY(B2)</f>
        <v>-7.7826086956521738</v>
      </c>
    </row>
    <row r="177" spans="1:10" ht="30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75" t="s">
        <v>210</v>
      </c>
      <c r="B178" s="876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 x14ac:dyDescent="0.5">
      <c r="A179" s="875" t="s">
        <v>211</v>
      </c>
      <c r="B179" s="876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 x14ac:dyDescent="0.5">
      <c r="A180" s="875" t="s">
        <v>212</v>
      </c>
      <c r="B180" s="876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 x14ac:dyDescent="0.5">
      <c r="A181" s="919" t="s">
        <v>108</v>
      </c>
      <c r="B181" s="920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75" t="s">
        <v>214</v>
      </c>
      <c r="B183" s="876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 x14ac:dyDescent="0.5">
      <c r="A184" s="875" t="s">
        <v>215</v>
      </c>
      <c r="B184" s="876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 x14ac:dyDescent="0.5">
      <c r="A185" s="875" t="s">
        <v>216</v>
      </c>
      <c r="B185" s="876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14" t="s">
        <v>196</v>
      </c>
      <c r="B186" s="915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 x14ac:dyDescent="0.5">
      <c r="A187" s="923" t="s">
        <v>217</v>
      </c>
      <c r="B187" s="924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-3921</v>
      </c>
      <c r="I188" s="158"/>
      <c r="J188" s="179">
        <f>H188/DAY(B2)</f>
        <v>-170.47826086956522</v>
      </c>
    </row>
    <row r="189" spans="1:10" ht="30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-2469</v>
      </c>
      <c r="I189" s="158"/>
      <c r="J189" s="179">
        <f>H189/DAY(B2)</f>
        <v>-107.34782608695652</v>
      </c>
    </row>
    <row r="190" spans="1:10" ht="30.75" customHeight="1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878069.45</v>
      </c>
      <c r="I8" s="116"/>
      <c r="J8" s="175">
        <f>H8/DAY(B2)</f>
        <v>36586.227083333331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-102493.85</v>
      </c>
      <c r="I9" s="124">
        <f>I7-J7</f>
        <v>17004.17625</v>
      </c>
      <c r="J9" s="175">
        <f>H9/DAY(B2)</f>
        <v>-4270.5770833333336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-14076.970000000008</v>
      </c>
      <c r="I10" s="282"/>
      <c r="J10" s="175">
        <f>H10/DAY(B2)</f>
        <v>-586.54041666666706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-133325.25000000006</v>
      </c>
      <c r="I13" s="120">
        <f>G7-G13</f>
        <v>479.23999999999069</v>
      </c>
      <c r="J13" s="175">
        <f>H13/DAY(B2)</f>
        <v>-5555.2187500000027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-6522.7669999999925</v>
      </c>
      <c r="I15" s="113">
        <f>'1'!I15</f>
        <v>800</v>
      </c>
      <c r="J15" s="175">
        <f>H15/DAY(B2)</f>
        <v>-271.78195833333302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1071.781958333333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4840</v>
      </c>
      <c r="I18" s="113">
        <f>'1'!I18</f>
        <v>65</v>
      </c>
      <c r="J18" s="175">
        <f>H18/DAY(B2)</f>
        <v>201.66666666666666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4462</v>
      </c>
      <c r="I20" s="336">
        <f>I18-J20</f>
        <v>-120.91666666666666</v>
      </c>
      <c r="J20" s="175">
        <f>H20/DAY(B2)</f>
        <v>185.91666666666666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7902625.0500000007</v>
      </c>
      <c r="I27" s="138"/>
      <c r="J27" s="175">
        <f>H27/DAY(B2)</f>
        <v>329276.04375000001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-276255.88399999961</v>
      </c>
      <c r="I28" s="140"/>
      <c r="J28" s="175">
        <f>H28/DAY(B2)</f>
        <v>-11510.661833333317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-54333</v>
      </c>
      <c r="I30" s="140"/>
      <c r="J30" s="175">
        <f>H30/DAY(B2)</f>
        <v>-2263.875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387200</v>
      </c>
      <c r="I31" s="140"/>
      <c r="J31" s="175">
        <f>H31/DAY(B2)</f>
        <v>16133.333333333334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7959236.1660000002</v>
      </c>
      <c r="I32" s="144"/>
      <c r="J32" s="175">
        <f>H32/DAY(B2)</f>
        <v>331634.84025000001</v>
      </c>
      <c r="K32" s="63"/>
      <c r="L32" s="89"/>
      <c r="N32" s="87"/>
      <c r="O32" s="71"/>
    </row>
    <row r="33" spans="1:15" ht="25.5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-8796.9800000000032</v>
      </c>
      <c r="I35" s="95"/>
      <c r="J35" s="175">
        <f>H35/DAY(B2)</f>
        <v>-366.54083333333347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-11037.089999999997</v>
      </c>
      <c r="I37" s="95"/>
      <c r="J37" s="175">
        <f>H37/DAY(B2)</f>
        <v>-459.87874999999985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-12058.43</v>
      </c>
      <c r="I38" s="95"/>
      <c r="J38" s="175">
        <f>H38/DAY(B2)</f>
        <v>-502.43458333333336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-18235.290000000005</v>
      </c>
      <c r="I39" s="95"/>
      <c r="J39" s="175">
        <f>H39/DAY(B2)</f>
        <v>-759.80375000000015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-5932.9900000000025</v>
      </c>
      <c r="I40" s="95"/>
      <c r="J40" s="175">
        <f>H40/DAY(B2)</f>
        <v>-247.20791666666676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-26321.14</v>
      </c>
      <c r="I42" s="95"/>
      <c r="J42" s="175">
        <f>H42/DAY(B2)</f>
        <v>-1096.7141666666666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-13684.600000000006</v>
      </c>
      <c r="I43" s="95"/>
      <c r="J43" s="175">
        <f>H43/DAY(B2)</f>
        <v>-570.19166666666695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-100947.98999999998</v>
      </c>
      <c r="I47" s="95"/>
      <c r="J47" s="175">
        <f>H47/DAY(B2)</f>
        <v>-4206.1662499999993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-5981.1899999999987</v>
      </c>
      <c r="I49" s="95"/>
      <c r="J49" s="175">
        <f>H49/DAY(B2)</f>
        <v>-249.21624999999995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-0.42000000000007276</v>
      </c>
      <c r="I54" s="95"/>
      <c r="J54" s="175">
        <f>H54/DAY(B2)</f>
        <v>-1.750000000000303E-2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-1311.2099999999996</v>
      </c>
      <c r="I58" s="95"/>
      <c r="J58" s="175">
        <f>H58/DAY(B2)</f>
        <v>-54.633749999999985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-14430.559999999992</v>
      </c>
      <c r="I59" s="95">
        <f>G7-G60</f>
        <v>1139.7499999999891</v>
      </c>
      <c r="J59" s="175">
        <f>H59/DAY(B2)</f>
        <v>-601.27333333333297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-115378.54999999994</v>
      </c>
      <c r="I60" s="95">
        <f>G13-G60</f>
        <v>660.5099999999984</v>
      </c>
      <c r="J60" s="175">
        <f>H60/DAY(B2)</f>
        <v>-4807.439583333331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-959</v>
      </c>
      <c r="I63" s="118"/>
      <c r="J63" s="175">
        <f>H63/DAY(B2)</f>
        <v>-39.958333333333336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'23'!F64</f>
        <v>0</v>
      </c>
      <c r="F64" s="122"/>
      <c r="G64" s="112">
        <f>G62+G63</f>
        <v>192</v>
      </c>
      <c r="H64" s="99">
        <f>G64+'23'!H64</f>
        <v>-1663</v>
      </c>
      <c r="I64" s="118"/>
      <c r="J64" s="175">
        <f>H64/DAY(B2)</f>
        <v>-69.291666666666671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-5</v>
      </c>
      <c r="I78" s="118"/>
      <c r="J78" s="175">
        <f>H78/DAY(B2)</f>
        <v>-0.20833333333333334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-3483.4180000000179</v>
      </c>
      <c r="I79" s="118"/>
      <c r="J79" s="175">
        <f>H79/DAY(B2)</f>
        <v>-145.1424166666674</v>
      </c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-28462.770000000037</v>
      </c>
      <c r="I94" s="118"/>
      <c r="J94" s="175">
        <f>H94/DAY(B2)</f>
        <v>-1185.9487500000016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0.25205507245845432</v>
      </c>
      <c r="H95" s="99">
        <f>G95+'23'!H95</f>
        <v>6.0431021092547157</v>
      </c>
      <c r="I95" s="167"/>
      <c r="J95" s="175">
        <f>H95/DAY(B2)</f>
        <v>0.25179592121894651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-26383.979999999996</v>
      </c>
      <c r="I96" s="118"/>
      <c r="J96" s="175">
        <f>H96/DAY(B2)</f>
        <v>-1099.3324999999998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0.15182449366473638</v>
      </c>
      <c r="H97" s="99">
        <f>G97+'23'!H97</f>
        <v>4.6331699932046329</v>
      </c>
      <c r="I97" s="167"/>
      <c r="J97" s="175">
        <f>H97/DAY(B2)</f>
        <v>0.1930487497168597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2607.1999999999971</v>
      </c>
      <c r="H98" s="99">
        <f>G98+'23'!H98</f>
        <v>-18235.290000000005</v>
      </c>
      <c r="I98" s="168"/>
      <c r="J98" s="175">
        <f>H98/DAY(B2)</f>
        <v>-759.80375000000015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0.15933342989164079</v>
      </c>
      <c r="H99" s="99">
        <f>G99+'23'!H99</f>
        <v>3.5249976544382262</v>
      </c>
      <c r="I99" s="168"/>
      <c r="J99" s="175">
        <f>H99/DAY(B2)</f>
        <v>0.14687490226825942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-12058.43</v>
      </c>
      <c r="I100" s="118"/>
      <c r="J100" s="175">
        <f>H100/DAY(B2)</f>
        <v>-502.43458333333336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2.333784563590934</v>
      </c>
      <c r="I101" s="168"/>
      <c r="J101" s="175">
        <f>H101/DAY(B2)</f>
        <v>9.7241023482955588E-2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2.6074131512947947</v>
      </c>
      <c r="I103" s="118"/>
      <c r="J103" s="175">
        <f>H103/DAY(B2)</f>
        <v>0.10864221463728312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-11037.089999999997</v>
      </c>
      <c r="I104" s="118"/>
      <c r="J104" s="175">
        <f>H104/DAY(B2)</f>
        <v>-459.87874999999985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2.0313178476488001</v>
      </c>
      <c r="I105" s="187"/>
      <c r="J105" s="188">
        <f>H105/DAY(B2)</f>
        <v>8.4638243652033332E-2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-1814</v>
      </c>
      <c r="I114" s="165"/>
      <c r="J114" s="328">
        <f>H114/DAY(B2)</f>
        <v>-75.583333333333329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 x14ac:dyDescent="0.5">
      <c r="A124" s="911"/>
      <c r="B124" s="912"/>
      <c r="C124" s="913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-1051.2299999999996</v>
      </c>
      <c r="I134" s="165"/>
      <c r="J134" s="328">
        <f>H134/DAY(B2)</f>
        <v>-43.801249999999982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27324.089999999997</v>
      </c>
      <c r="I135" s="327">
        <f>G135-(G35+G49)</f>
        <v>-305.30999999998858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-455</v>
      </c>
      <c r="I156" s="165"/>
      <c r="J156" s="328">
        <f>H156/DAY(B2)</f>
        <v>-18.958333333333332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 x14ac:dyDescent="0.5">
      <c r="A166" s="917"/>
      <c r="B166" s="917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1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75" t="s">
        <v>209</v>
      </c>
      <c r="B173" s="876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75" t="s">
        <v>75</v>
      </c>
      <c r="B174" s="876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 x14ac:dyDescent="0.5">
      <c r="A175" s="875" t="s">
        <v>76</v>
      </c>
      <c r="B175" s="880"/>
      <c r="C175" s="876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-155</v>
      </c>
      <c r="I176" s="155"/>
      <c r="J176" s="178">
        <f>H176/DAY(B2)</f>
        <v>-6.458333333333333</v>
      </c>
    </row>
    <row r="177" spans="1:10" ht="21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 x14ac:dyDescent="0.5">
      <c r="A179" s="875" t="s">
        <v>211</v>
      </c>
      <c r="B179" s="876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 x14ac:dyDescent="0.5">
      <c r="A185" s="875" t="s">
        <v>216</v>
      </c>
      <c r="B185" s="876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-3740</v>
      </c>
      <c r="I188" s="158"/>
      <c r="J188" s="179">
        <f>H188/DAY(B2)</f>
        <v>-155.83333333333334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-2390</v>
      </c>
      <c r="I189" s="158"/>
      <c r="J189" s="179">
        <f>H189/DAY(B2)</f>
        <v>-99.583333333333329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0">
        <v>603218</v>
      </c>
      <c r="G8" s="115">
        <f>F8-E8</f>
        <v>16627</v>
      </c>
      <c r="H8" s="99">
        <f>G8+'24'!H8</f>
        <v>894696.45</v>
      </c>
      <c r="I8" s="116"/>
      <c r="J8" s="175">
        <f>H8/DAY(B2)</f>
        <v>35787.858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-88549.85</v>
      </c>
      <c r="I9" s="124">
        <f>I7-J7</f>
        <v>16150.849200000001</v>
      </c>
      <c r="J9" s="175">
        <f>H9/DAY(B2)</f>
        <v>-3541.9940000000001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-12175.970000000008</v>
      </c>
      <c r="I10" s="282"/>
      <c r="J10" s="175">
        <f>H10/DAY(B2)</f>
        <v>-487.03880000000032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-117480.25000000006</v>
      </c>
      <c r="I13" s="120">
        <f>G7-G13</f>
        <v>484</v>
      </c>
      <c r="J13" s="175">
        <f>H13/DAY(B2)</f>
        <v>-4699.2100000000028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-5707.7669999999925</v>
      </c>
      <c r="I15" s="113">
        <f>'1'!I15</f>
        <v>800</v>
      </c>
      <c r="J15" s="175">
        <f>H15/DAY(B2)</f>
        <v>-228.31067999999971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1028.3106799999996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4980</v>
      </c>
      <c r="I18" s="113">
        <f>'1'!I18</f>
        <v>65</v>
      </c>
      <c r="J18" s="175">
        <f>H18/DAY(B2)</f>
        <v>199.2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4652</v>
      </c>
      <c r="I20" s="336">
        <f>I18-J20</f>
        <v>-121.08000000000001</v>
      </c>
      <c r="J20" s="175">
        <f>H20/DAY(B2)</f>
        <v>186.08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8052268.0500000007</v>
      </c>
      <c r="I27" s="138"/>
      <c r="J27" s="175">
        <f>H27/DAY(B2)</f>
        <v>322090.72200000001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-233875.88399999961</v>
      </c>
      <c r="I28" s="140"/>
      <c r="J28" s="175">
        <f>H28/DAY(B2)</f>
        <v>-9355.0353599999853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-47033</v>
      </c>
      <c r="I30" s="140"/>
      <c r="J30" s="175">
        <f>H30/DAY(B2)</f>
        <v>-1881.32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398400</v>
      </c>
      <c r="I31" s="140"/>
      <c r="J31" s="175">
        <f>H31/DAY(B2)</f>
        <v>15936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8169759.1660000002</v>
      </c>
      <c r="I32" s="144"/>
      <c r="J32" s="175">
        <f>H32/DAY(B2)</f>
        <v>326790.36664000002</v>
      </c>
      <c r="K32" s="63"/>
      <c r="L32" s="89"/>
      <c r="N32" s="87"/>
      <c r="O32" s="71"/>
    </row>
    <row r="33" spans="1:15" ht="25.5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-7488.9800000000032</v>
      </c>
      <c r="I35" s="95"/>
      <c r="J35" s="175">
        <f>H35/DAY(B2)</f>
        <v>-299.55920000000015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-9429.0899999999965</v>
      </c>
      <c r="I37" s="95"/>
      <c r="J37" s="175">
        <f>H37/DAY(B2)</f>
        <v>-377.16359999999986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-10297.43</v>
      </c>
      <c r="I38" s="95"/>
      <c r="J38" s="175">
        <f>H38/DAY(B2)</f>
        <v>-411.8972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-15644.290000000005</v>
      </c>
      <c r="I39" s="95"/>
      <c r="J39" s="175">
        <f>H39/DAY(B2)</f>
        <v>-625.77160000000015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-5339.9900000000025</v>
      </c>
      <c r="I40" s="95"/>
      <c r="J40" s="175">
        <f>H40/DAY(B2)</f>
        <v>-213.59960000000009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-23292.740000000005</v>
      </c>
      <c r="I42" s="95"/>
      <c r="J42" s="175">
        <f>H42/DAY(B2)</f>
        <v>-931.70960000000025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-11726.600000000006</v>
      </c>
      <c r="I43" s="95"/>
      <c r="J43" s="175">
        <f>H43/DAY(B2)</f>
        <v>-469.06400000000025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-87500.589999999982</v>
      </c>
      <c r="I47" s="95"/>
      <c r="J47" s="175">
        <f>H47/DAY(B2)</f>
        <v>-3500.0235999999991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-5149.1899999999987</v>
      </c>
      <c r="I49" s="95"/>
      <c r="J49" s="175">
        <f>H49/DAY(B2)</f>
        <v>-205.96759999999995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-0.42000000000007276</v>
      </c>
      <c r="I54" s="95"/>
      <c r="J54" s="175">
        <f>H54/DAY(B2)</f>
        <v>-1.680000000000291E-2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-1201.2099999999996</v>
      </c>
      <c r="I58" s="95"/>
      <c r="J58" s="175">
        <f>H58/DAY(B2)</f>
        <v>-48.048399999999987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-12477.559999999992</v>
      </c>
      <c r="I59" s="95">
        <f>G7-G60</f>
        <v>928.60000000000582</v>
      </c>
      <c r="J59" s="175">
        <f>H59/DAY(B2)</f>
        <v>-499.1023999999997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-99978.149999999951</v>
      </c>
      <c r="I60" s="95">
        <f>G13-G60</f>
        <v>444.60000000000582</v>
      </c>
      <c r="J60" s="175">
        <f>H60/DAY(B2)</f>
        <v>-3999.1259999999979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-795</v>
      </c>
      <c r="I63" s="118"/>
      <c r="J63" s="175">
        <f>H63/DAY(B2)</f>
        <v>-31.8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'24'!F64</f>
        <v>0</v>
      </c>
      <c r="F64" s="122"/>
      <c r="G64" s="112">
        <f>G62+G63</f>
        <v>266</v>
      </c>
      <c r="H64" s="99">
        <f>G64+'24'!H64</f>
        <v>-1397</v>
      </c>
      <c r="I64" s="118"/>
      <c r="J64" s="175">
        <f>H64/DAY(B2)</f>
        <v>-55.88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-5</v>
      </c>
      <c r="I78" s="118"/>
      <c r="J78" s="175">
        <f>H78/DAY(B2)</f>
        <v>-0.2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-3094.4180000000179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4098</v>
      </c>
      <c r="H94" s="99">
        <f>G94+'24'!H94</f>
        <v>-24364.770000000037</v>
      </c>
      <c r="I94" s="118"/>
      <c r="J94" s="175">
        <f>H94/DAY(B2)</f>
        <v>-974.59080000000142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0.25096454161308102</v>
      </c>
      <c r="H95" s="99">
        <f>G95+'24'!H95</f>
        <v>6.2940666508677969</v>
      </c>
      <c r="I95" s="167"/>
      <c r="J95" s="175">
        <f>H95/DAY(B2)</f>
        <v>0.25176266603471187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-23355.58</v>
      </c>
      <c r="I96" s="118"/>
      <c r="J96" s="175">
        <f>H96/DAY(B2)</f>
        <v>-934.22320000000002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0.18546144895584507</v>
      </c>
      <c r="H97" s="99">
        <f>G97+'24'!H97</f>
        <v>4.8186314421604779</v>
      </c>
      <c r="I97" s="167"/>
      <c r="J97" s="175">
        <f>H97/DAY(B2)</f>
        <v>0.19274525768641912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2591</v>
      </c>
      <c r="H98" s="99">
        <f>G98+'24'!H98</f>
        <v>-15644.290000000005</v>
      </c>
      <c r="I98" s="168"/>
      <c r="J98" s="175">
        <f>H98/DAY(B2)</f>
        <v>-625.77160000000015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0.15867475044399534</v>
      </c>
      <c r="H99" s="99">
        <f>G99+'24'!H99</f>
        <v>3.6836724048822216</v>
      </c>
      <c r="I99" s="168"/>
      <c r="J99" s="175">
        <f>H99/DAY(B2)</f>
        <v>0.14734689619528887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1761</v>
      </c>
      <c r="H100" s="99">
        <f>G100+'24'!H100</f>
        <v>-10297.43</v>
      </c>
      <c r="I100" s="118"/>
      <c r="J100" s="175">
        <f>H100/DAY(B2)</f>
        <v>-411.8972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2.4416295020439929</v>
      </c>
      <c r="I101" s="168"/>
      <c r="J101" s="175">
        <f>H101/DAY(B2)</f>
        <v>9.7665180081759714E-2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2.7060719791470822</v>
      </c>
      <c r="I103" s="118"/>
      <c r="J103" s="175">
        <f>H103/DAY(B2)</f>
        <v>0.10824287916588329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1608</v>
      </c>
      <c r="H104" s="99">
        <f>G104+'24'!H104</f>
        <v>-9429.0899999999965</v>
      </c>
      <c r="I104" s="118"/>
      <c r="J104" s="175">
        <f>H104/DAY(B2)</f>
        <v>-377.16359999999986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2.1297929532890718</v>
      </c>
      <c r="I105" s="187"/>
      <c r="J105" s="188">
        <f>H105/DAY(B2)</f>
        <v>8.5191718131562871E-2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-1552</v>
      </c>
      <c r="I114" s="165"/>
      <c r="J114" s="328">
        <f>H114/DAY(B2)</f>
        <v>-62.08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 x14ac:dyDescent="0.5">
      <c r="A124" s="911"/>
      <c r="B124" s="912"/>
      <c r="C124" s="913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-901.22999999999956</v>
      </c>
      <c r="I134" s="165"/>
      <c r="J134" s="328">
        <f>H134/DAY(B2)</f>
        <v>-36.049199999999985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1826</v>
      </c>
      <c r="H135" s="99">
        <f>G135+'23'!H135</f>
        <v>27418.389999999985</v>
      </c>
      <c r="I135" s="327">
        <f>G135-(G35+G49)</f>
        <v>-314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-397</v>
      </c>
      <c r="I156" s="165"/>
      <c r="J156" s="328">
        <f>H156/DAY(B2)</f>
        <v>-15.88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 x14ac:dyDescent="0.5">
      <c r="A166" s="917"/>
      <c r="B166" s="917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1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75" t="s">
        <v>209</v>
      </c>
      <c r="B173" s="876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75" t="s">
        <v>75</v>
      </c>
      <c r="B174" s="876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-79</v>
      </c>
      <c r="I174" s="155"/>
      <c r="J174" s="178">
        <f>H174/DAY(B2)</f>
        <v>-3.16</v>
      </c>
    </row>
    <row r="175" spans="1:10" ht="21.75" customHeight="1" x14ac:dyDescent="0.5">
      <c r="A175" s="875" t="s">
        <v>76</v>
      </c>
      <c r="B175" s="880"/>
      <c r="C175" s="876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-139</v>
      </c>
      <c r="I176" s="155"/>
      <c r="J176" s="178">
        <f>H176/DAY(B2)</f>
        <v>-5.56</v>
      </c>
    </row>
    <row r="177" spans="1:10" ht="21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 x14ac:dyDescent="0.5">
      <c r="A179" s="875" t="s">
        <v>211</v>
      </c>
      <c r="B179" s="876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 x14ac:dyDescent="0.5">
      <c r="A184" s="875" t="s">
        <v>215</v>
      </c>
      <c r="B184" s="876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 x14ac:dyDescent="0.5">
      <c r="A185" s="875" t="s">
        <v>216</v>
      </c>
      <c r="B185" s="876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 x14ac:dyDescent="0.5">
      <c r="A187" s="923" t="s">
        <v>217</v>
      </c>
      <c r="B187" s="924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-3606</v>
      </c>
      <c r="I188" s="158"/>
      <c r="J188" s="179">
        <f>H188/DAY(B2)</f>
        <v>-144.24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-2282</v>
      </c>
      <c r="I189" s="158"/>
      <c r="J189" s="179">
        <f>H189/DAY(B2)</f>
        <v>-91.28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911588.45</v>
      </c>
      <c r="I8" s="116"/>
      <c r="J8" s="175">
        <f>H8/DAY(B2)</f>
        <v>35061.094230769231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-74401.850000000006</v>
      </c>
      <c r="I9" s="124">
        <f>I7-J7</f>
        <v>15358.355</v>
      </c>
      <c r="J9" s="175">
        <f>H9/DAY(B2)</f>
        <v>-2861.6096153846156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-10177.970000000008</v>
      </c>
      <c r="I10" s="282"/>
      <c r="J10" s="175">
        <f>H10/DAY(B2)</f>
        <v>-391.46038461538495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-101334.25000000006</v>
      </c>
      <c r="I13" s="120">
        <f>G7-G13</f>
        <v>308</v>
      </c>
      <c r="J13" s="175">
        <f>H13/DAY(B2)</f>
        <v>-3897.4711538461561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-4771.7669999999925</v>
      </c>
      <c r="I15" s="113">
        <f>'1'!I15</f>
        <v>800</v>
      </c>
      <c r="J15" s="175">
        <f>H15/DAY(B2)</f>
        <v>-183.5294999999997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983.52949999999964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5100</v>
      </c>
      <c r="I18" s="113">
        <f>'1'!I18</f>
        <v>65</v>
      </c>
      <c r="J18" s="175">
        <f>H18/DAY(B2)</f>
        <v>196.15384615384616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4827</v>
      </c>
      <c r="I20" s="336">
        <f>I18-J20</f>
        <v>-120.65384615384616</v>
      </c>
      <c r="J20" s="175">
        <f>H20/DAY(B2)</f>
        <v>185.65384615384616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8204296.0500000007</v>
      </c>
      <c r="I27" s="138"/>
      <c r="J27" s="175">
        <f>H27/DAY(B2)</f>
        <v>315549.84807692311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-185203.88399999961</v>
      </c>
      <c r="I28" s="140"/>
      <c r="J28" s="175">
        <f>H28/DAY(B2)</f>
        <v>-7123.2263076922927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-39003</v>
      </c>
      <c r="I30" s="140"/>
      <c r="J30" s="175">
        <f>H30/DAY(B2)</f>
        <v>-1500.1153846153845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408000</v>
      </c>
      <c r="I31" s="140"/>
      <c r="J31" s="175">
        <f>H31/DAY(B2)</f>
        <v>15692.307692307691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8388089.1660000002</v>
      </c>
      <c r="I32" s="144"/>
      <c r="J32" s="175">
        <f>H32/DAY(B2)</f>
        <v>322618.81407692307</v>
      </c>
      <c r="K32" s="63"/>
      <c r="L32" s="89"/>
      <c r="N32" s="87"/>
      <c r="O32" s="71"/>
    </row>
    <row r="33" spans="1:15" ht="25.5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-6240.9800000000032</v>
      </c>
      <c r="I35" s="95"/>
      <c r="J35" s="175">
        <f>H35/DAY(B2)</f>
        <v>-240.03769230769242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-7910.0899999999965</v>
      </c>
      <c r="I37" s="95"/>
      <c r="J37" s="175">
        <f>H37/DAY(B2)</f>
        <v>-304.23423076923063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-8551.43</v>
      </c>
      <c r="I38" s="95"/>
      <c r="J38" s="175">
        <f>H38/DAY(B2)</f>
        <v>-328.90115384615387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-13087.290000000005</v>
      </c>
      <c r="I39" s="95"/>
      <c r="J39" s="175">
        <f>H39/DAY(B2)</f>
        <v>-503.35730769230787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-4647.9900000000025</v>
      </c>
      <c r="I40" s="95"/>
      <c r="J40" s="175">
        <f>H40/DAY(B2)</f>
        <v>-178.76884615384625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-19844.740000000005</v>
      </c>
      <c r="I42" s="95"/>
      <c r="J42" s="175">
        <f>H42/DAY(B2)</f>
        <v>-763.25923076923095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-9778.6000000000058</v>
      </c>
      <c r="I43" s="95"/>
      <c r="J43" s="175">
        <f>H43/DAY(B2)</f>
        <v>-376.10000000000025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-73699.589999999982</v>
      </c>
      <c r="I47" s="95"/>
      <c r="J47" s="175">
        <f>H47/DAY(B2)</f>
        <v>-2834.5996153846145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-4318.1899999999987</v>
      </c>
      <c r="I49" s="95"/>
      <c r="J49" s="175">
        <f>H49/DAY(B2)</f>
        <v>-166.08423076923071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-0.42000000000007276</v>
      </c>
      <c r="I54" s="95"/>
      <c r="J54" s="175">
        <f>H54/DAY(B2)</f>
        <v>-1.6153846153848954E-2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-999.20999999999958</v>
      </c>
      <c r="I58" s="95"/>
      <c r="J58" s="175">
        <f>H58/DAY(B2)</f>
        <v>-38.431153846153833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-10435.559999999992</v>
      </c>
      <c r="I59" s="95">
        <f>G7-G60</f>
        <v>611</v>
      </c>
      <c r="J59" s="175">
        <f>H59/DAY(B2)</f>
        <v>-401.36769230769198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-84135.149999999951</v>
      </c>
      <c r="I60" s="95">
        <f>G13-G60</f>
        <v>303</v>
      </c>
      <c r="J60" s="175">
        <f>H60/DAY(B2)</f>
        <v>-3235.9673076923059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-668</v>
      </c>
      <c r="I63" s="118"/>
      <c r="J63" s="175">
        <f>H63/DAY(B2)</f>
        <v>-25.692307692307693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'25'!F64</f>
        <v>0</v>
      </c>
      <c r="F64" s="122"/>
      <c r="G64" s="112">
        <f>G62+G63</f>
        <v>220</v>
      </c>
      <c r="H64" s="99">
        <f>G64+'25'!H64</f>
        <v>-1177</v>
      </c>
      <c r="I64" s="118"/>
      <c r="J64" s="175">
        <f>H64/DAY(B2)</f>
        <v>-45.269230769230766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-4</v>
      </c>
      <c r="I78" s="118"/>
      <c r="J78" s="175">
        <f>H78/DAY(B2)</f>
        <v>-0.15384615384615385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-2581.4180000000179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4027</v>
      </c>
      <c r="H94" s="99">
        <f>G94+'25'!H94</f>
        <v>-20337.770000000037</v>
      </c>
      <c r="I94" s="118"/>
      <c r="J94" s="175">
        <f>H94/DAY(B2)</f>
        <v>-782.22192307692444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0.24474291965479519</v>
      </c>
      <c r="H95" s="99">
        <f>G95+'25'!H95</f>
        <v>6.5388095705225924</v>
      </c>
      <c r="I95" s="167"/>
      <c r="J95" s="175">
        <f>H95/DAY(B2)</f>
        <v>0.25149267578933049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3448</v>
      </c>
      <c r="H96" s="99">
        <f>G96+'25'!H96</f>
        <v>-19907.580000000002</v>
      </c>
      <c r="I96" s="118"/>
      <c r="J96" s="175">
        <f>H96/DAY(B2)</f>
        <v>-765.67615384615397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0.2095539078643491</v>
      </c>
      <c r="H97" s="99">
        <f>G97+'25'!H97</f>
        <v>5.0281853500248266</v>
      </c>
      <c r="I97" s="167"/>
      <c r="J97" s="175">
        <f>H97/DAY(B2)</f>
        <v>0.19339174423172409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2557</v>
      </c>
      <c r="H98" s="99">
        <f>G98+'25'!H98</f>
        <v>-13087.290000000005</v>
      </c>
      <c r="I98" s="168"/>
      <c r="J98" s="175">
        <f>H98/DAY(B2)</f>
        <v>-503.35730769230787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0.15540294153397349</v>
      </c>
      <c r="H99" s="99">
        <f>G99+'25'!H99</f>
        <v>3.8390753464161951</v>
      </c>
      <c r="I99" s="168"/>
      <c r="J99" s="175">
        <f>H99/DAY(B2)</f>
        <v>0.14765674409293059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1746</v>
      </c>
      <c r="H100" s="99">
        <f>G100+'25'!H100</f>
        <v>-8551.43</v>
      </c>
      <c r="I100" s="118"/>
      <c r="J100" s="175">
        <f>H100/DAY(B2)</f>
        <v>-328.90115384615387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2.5477435168732137</v>
      </c>
      <c r="I101" s="168"/>
      <c r="J101" s="175">
        <f>H101/DAY(B2)</f>
        <v>9.7990135264354378E-2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2.806473097416196</v>
      </c>
      <c r="I103" s="118"/>
      <c r="J103" s="175">
        <f>H103/DAY(B2)</f>
        <v>0.10794127297754599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1519</v>
      </c>
      <c r="H104" s="99">
        <f>G104+'25'!H104</f>
        <v>-7910.0899999999965</v>
      </c>
      <c r="I104" s="118"/>
      <c r="J104" s="175">
        <f>H104/DAY(B2)</f>
        <v>-304.23423076923063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2.2221109306805875</v>
      </c>
      <c r="I105" s="187"/>
      <c r="J105" s="188">
        <f>H105/DAY(B2)</f>
        <v>8.5465805026176442E-2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 x14ac:dyDescent="0.5">
      <c r="A113" s="886" t="s">
        <v>253</v>
      </c>
      <c r="B113" s="887"/>
      <c r="C113" s="888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 x14ac:dyDescent="0.5">
      <c r="A114" s="886" t="s">
        <v>254</v>
      </c>
      <c r="B114" s="887"/>
      <c r="C114" s="888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-1287</v>
      </c>
      <c r="I114" s="165"/>
      <c r="J114" s="328">
        <f>H114/DAY(B2)</f>
        <v>-49.5</v>
      </c>
    </row>
    <row r="115" spans="1:18" ht="27.75" x14ac:dyDescent="0.5">
      <c r="A115" s="886" t="s">
        <v>255</v>
      </c>
      <c r="B115" s="887"/>
      <c r="C115" s="888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 x14ac:dyDescent="0.5">
      <c r="A116" s="904" t="s">
        <v>96</v>
      </c>
      <c r="B116" s="905"/>
      <c r="C116" s="906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27.75" x14ac:dyDescent="0.5">
      <c r="A117" s="904" t="s">
        <v>184</v>
      </c>
      <c r="B117" s="905"/>
      <c r="C117" s="906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 x14ac:dyDescent="0.5">
      <c r="A124" s="911"/>
      <c r="B124" s="912"/>
      <c r="C124" s="913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86" t="s">
        <v>318</v>
      </c>
      <c r="B128" s="887"/>
      <c r="C128" s="888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-729.22999999999956</v>
      </c>
      <c r="I134" s="165"/>
      <c r="J134" s="328">
        <f>H134/DAY(B2)</f>
        <v>-28.047307692307676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1909</v>
      </c>
      <c r="H135" s="99">
        <f>G135+'23'!H135</f>
        <v>27501.389999999985</v>
      </c>
      <c r="I135" s="327">
        <f>G135-(G35+G49)</f>
        <v>-170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-328</v>
      </c>
      <c r="I156" s="165"/>
      <c r="J156" s="328">
        <f>H156/DAY(B2)</f>
        <v>-12.615384615384615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 x14ac:dyDescent="0.5">
      <c r="A166" s="917"/>
      <c r="B166" s="917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-67</v>
      </c>
      <c r="I174" s="155"/>
      <c r="J174" s="178">
        <f>H174/DAY(B2)</f>
        <v>-2.5769230769230771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-117</v>
      </c>
      <c r="I176" s="155"/>
      <c r="J176" s="178">
        <f>H176/DAY(B2)</f>
        <v>-4.5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 x14ac:dyDescent="0.5">
      <c r="A187" s="923" t="s">
        <v>217</v>
      </c>
      <c r="B187" s="924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 x14ac:dyDescent="0.5">
      <c r="A188" s="923" t="s">
        <v>218</v>
      </c>
      <c r="B188" s="924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-3456</v>
      </c>
      <c r="I188" s="158"/>
      <c r="J188" s="179">
        <f>H188/DAY(B2)</f>
        <v>-132.92307692307693</v>
      </c>
    </row>
    <row r="189" spans="1:10" ht="27.75" x14ac:dyDescent="0.5">
      <c r="A189" s="923" t="s">
        <v>219</v>
      </c>
      <c r="B189" s="924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-2179</v>
      </c>
      <c r="I189" s="158"/>
      <c r="J189" s="179">
        <f>H189/DAY(B2)</f>
        <v>-83.807692307692307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929289.45</v>
      </c>
      <c r="I8" s="116"/>
      <c r="J8" s="175">
        <f>H8/DAY(B2)</f>
        <v>34418.12777777778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-59452.850000000006</v>
      </c>
      <c r="I9" s="124">
        <f>I7-J7</f>
        <v>14581.823333333334</v>
      </c>
      <c r="J9" s="175">
        <f>H9/DAY(B2)</f>
        <v>-2201.9574074074076</v>
      </c>
      <c r="K9" s="79">
        <f>K8-100</f>
        <v>1715817</v>
      </c>
      <c r="L9" s="66"/>
      <c r="N9" s="87"/>
      <c r="O9" s="71">
        <f>G8-G7</f>
        <v>93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-8221.9700000000084</v>
      </c>
      <c r="I10" s="282"/>
      <c r="J10" s="175">
        <f>H10/DAY(B2)</f>
        <v>-304.51740740740775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-84429.250000000058</v>
      </c>
      <c r="I13" s="120">
        <f>G7-G13</f>
        <v>703</v>
      </c>
      <c r="J13" s="175">
        <f>H13/DAY(B2)</f>
        <v>-3127.0092592592614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-3817.7669999999925</v>
      </c>
      <c r="I15" s="113">
        <f>'1'!I15</f>
        <v>800</v>
      </c>
      <c r="J15" s="175">
        <f>H15/DAY(B2)</f>
        <v>-141.3987777777775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941.39877777777747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5220</v>
      </c>
      <c r="I18" s="113">
        <f>'1'!I18</f>
        <v>65</v>
      </c>
      <c r="J18" s="175">
        <f>H18/DAY(B2)</f>
        <v>193.33333333333334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5004</v>
      </c>
      <c r="I20" s="336">
        <f>I18-J20</f>
        <v>-120.33333333333334</v>
      </c>
      <c r="J20" s="175">
        <f>H20/DAY(B2)</f>
        <v>185.33333333333334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8363605.0500000007</v>
      </c>
      <c r="I27" s="138"/>
      <c r="J27" s="175">
        <f>H27/DAY(B2)</f>
        <v>309763.15000000002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-135595.88399999961</v>
      </c>
      <c r="I28" s="140"/>
      <c r="J28" s="175">
        <f>H28/DAY(B2)</f>
        <v>-5022.0697777777632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-30681</v>
      </c>
      <c r="I30" s="140"/>
      <c r="J30" s="175">
        <f>H30/DAY(B2)</f>
        <v>-1136.3333333333333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417600</v>
      </c>
      <c r="I31" s="140"/>
      <c r="J31" s="175">
        <f>H31/DAY(B2)</f>
        <v>15466.666666666666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8614928.1660000011</v>
      </c>
      <c r="I32" s="144"/>
      <c r="J32" s="175">
        <f>H32/DAY(B2)</f>
        <v>319071.41355555557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-4966.9800000000032</v>
      </c>
      <c r="I35" s="95"/>
      <c r="J35" s="175">
        <f>H35/DAY(B2)</f>
        <v>-183.96222222222235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-6328.0899999999965</v>
      </c>
      <c r="I37" s="95"/>
      <c r="J37" s="175">
        <f>H37/DAY(B2)</f>
        <v>-234.37370370370357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-6759.43</v>
      </c>
      <c r="I38" s="95"/>
      <c r="J38" s="175">
        <f>H38/DAY(B2)</f>
        <v>-250.34925925925927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-10475.290000000005</v>
      </c>
      <c r="I39" s="95"/>
      <c r="J39" s="175">
        <f>H39/DAY(B2)</f>
        <v>-387.97370370370385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-3833.9900000000025</v>
      </c>
      <c r="I40" s="95"/>
      <c r="J40" s="175">
        <f>H40/DAY(B2)</f>
        <v>-141.99962962962971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-15910.740000000005</v>
      </c>
      <c r="I42" s="95"/>
      <c r="J42" s="175">
        <f>H42/DAY(B2)</f>
        <v>-589.28666666666686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-7809.6000000000058</v>
      </c>
      <c r="I43" s="95"/>
      <c r="J43" s="175">
        <f>H43/DAY(B2)</f>
        <v>-289.24444444444464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-59015.589999999982</v>
      </c>
      <c r="I47" s="95"/>
      <c r="J47" s="175">
        <f>H47/DAY(B2)</f>
        <v>-2185.7625925925918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-3481.1899999999987</v>
      </c>
      <c r="I49" s="95"/>
      <c r="J49" s="175">
        <f>H49/DAY(B2)</f>
        <v>-128.9329629629629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-0.42000000000007276</v>
      </c>
      <c r="I54" s="95"/>
      <c r="J54" s="175">
        <f>H54/DAY(B2)</f>
        <v>-1.5555555555558251E-2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-801.20999999999958</v>
      </c>
      <c r="I58" s="95"/>
      <c r="J58" s="175">
        <f>H58/DAY(B2)</f>
        <v>-29.674444444444429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-8423.5599999999922</v>
      </c>
      <c r="I59" s="95">
        <f>G7-G60</f>
        <v>912</v>
      </c>
      <c r="J59" s="175">
        <f>H59/DAY(B2)</f>
        <v>-311.98370370370344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-67439.149999999951</v>
      </c>
      <c r="I60" s="95">
        <f>G13-G60</f>
        <v>209</v>
      </c>
      <c r="J60" s="175">
        <f>H60/DAY(B2)</f>
        <v>-2497.7462962962945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-518</v>
      </c>
      <c r="I63" s="118"/>
      <c r="J63" s="175">
        <f>H63/DAY(B2)</f>
        <v>-19.185185185185187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'26'!F64</f>
        <v>0</v>
      </c>
      <c r="F64" s="122"/>
      <c r="G64" s="112">
        <f>G62+G63</f>
        <v>270</v>
      </c>
      <c r="H64" s="99">
        <f>G64+'26'!H64</f>
        <v>-907</v>
      </c>
      <c r="I64" s="118"/>
      <c r="J64" s="175">
        <f>H64/DAY(B2)</f>
        <v>-33.592592592592595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-3</v>
      </c>
      <c r="I78" s="118"/>
      <c r="J78" s="175">
        <f>H78/DAY(B2)</f>
        <v>-0.1111111111111111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-2047.4180000000179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4080</v>
      </c>
      <c r="H94" s="99">
        <f>G94+'26'!H94</f>
        <v>-16257.770000000037</v>
      </c>
      <c r="I94" s="118"/>
      <c r="J94" s="175">
        <f>H94/DAY(B2)</f>
        <v>-602.13962962963103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0.23171285779191278</v>
      </c>
      <c r="H95" s="99">
        <f>G95+'26'!H95</f>
        <v>6.7705224283145053</v>
      </c>
      <c r="I95" s="167"/>
      <c r="J95" s="175">
        <f>H95/DAY(B2)</f>
        <v>0.25076008993757426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3934</v>
      </c>
      <c r="H96" s="99">
        <f>G96+'26'!H96</f>
        <v>-15973.580000000002</v>
      </c>
      <c r="I96" s="118"/>
      <c r="J96" s="175">
        <f>H96/DAY(B2)</f>
        <v>-591.6140740740741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0.22342117219445706</v>
      </c>
      <c r="H97" s="99">
        <f>G97+'26'!H97</f>
        <v>5.2516065222192836</v>
      </c>
      <c r="I97" s="167"/>
      <c r="J97" s="175">
        <f>H97/DAY(B2)</f>
        <v>0.19450394526738088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2612</v>
      </c>
      <c r="H98" s="99">
        <f>G98+'26'!H98</f>
        <v>-10475.290000000005</v>
      </c>
      <c r="I98" s="168"/>
      <c r="J98" s="175">
        <f>H98/DAY(B2)</f>
        <v>-387.97370370370385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0.14834166288050887</v>
      </c>
      <c r="H99" s="99">
        <f>G99+'26'!H99</f>
        <v>3.9874170092967041</v>
      </c>
      <c r="I99" s="168"/>
      <c r="J99" s="175">
        <f>H99/DAY(B2)</f>
        <v>0.14768211145543347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1792</v>
      </c>
      <c r="H100" s="99">
        <f>G100+'26'!H100</f>
        <v>-6759.43</v>
      </c>
      <c r="I100" s="118"/>
      <c r="J100" s="175">
        <f>H100/DAY(B2)</f>
        <v>-250.34925925925927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2.6495154387269166</v>
      </c>
      <c r="I101" s="168"/>
      <c r="J101" s="175">
        <f>H101/DAY(B2)</f>
        <v>9.8130201434330253E-2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2.902111443622466</v>
      </c>
      <c r="I103" s="118"/>
      <c r="J103" s="175">
        <f>H103/DAY(B2)</f>
        <v>0.10748560902305429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1582</v>
      </c>
      <c r="H104" s="99">
        <f>G104+'26'!H104</f>
        <v>-6328.0899999999965</v>
      </c>
      <c r="I104" s="118"/>
      <c r="J104" s="175">
        <f>H104/DAY(B2)</f>
        <v>-234.37370370370357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2.3119564554420595</v>
      </c>
      <c r="I105" s="187"/>
      <c r="J105" s="188">
        <f>H105/DAY(B2)</f>
        <v>8.5628016868224424E-2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-1036</v>
      </c>
      <c r="I114" s="165"/>
      <c r="J114" s="328">
        <f>H114/DAY(B2)</f>
        <v>-38.370370370370374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 x14ac:dyDescent="0.5">
      <c r="A124" s="911"/>
      <c r="B124" s="912"/>
      <c r="C124" s="913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-608.22999999999956</v>
      </c>
      <c r="I134" s="165"/>
      <c r="J134" s="328">
        <f>H134/DAY(B2)</f>
        <v>-22.527037037037022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1658</v>
      </c>
      <c r="H135" s="99">
        <f>G135+'23'!H135</f>
        <v>27250.389999999985</v>
      </c>
      <c r="I135" s="327">
        <f>G135-(G35+G49)</f>
        <v>-453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-280</v>
      </c>
      <c r="I156" s="165"/>
      <c r="J156" s="328">
        <f>H156/DAY(B2)</f>
        <v>-10.37037037037037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 x14ac:dyDescent="0.5">
      <c r="A166" s="917"/>
      <c r="B166" s="917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-54</v>
      </c>
      <c r="I174" s="155"/>
      <c r="J174" s="178">
        <f>H174/DAY(B2)</f>
        <v>-2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-93</v>
      </c>
      <c r="I176" s="155"/>
      <c r="J176" s="178">
        <f>H176/DAY(B2)</f>
        <v>-3.4444444444444446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 x14ac:dyDescent="0.5">
      <c r="A185" s="875" t="s">
        <v>216</v>
      </c>
      <c r="B185" s="876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 x14ac:dyDescent="0.5">
      <c r="A187" s="923" t="s">
        <v>217</v>
      </c>
      <c r="B187" s="924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 x14ac:dyDescent="0.5">
      <c r="A188" s="923" t="s">
        <v>218</v>
      </c>
      <c r="B188" s="924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-3292</v>
      </c>
      <c r="I188" s="158"/>
      <c r="J188" s="179">
        <f>H188/DAY(B2)</f>
        <v>-121.92592592592592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-2064</v>
      </c>
      <c r="I189" s="158"/>
      <c r="J189" s="179">
        <f>H189/DAY(B2)</f>
        <v>-76.444444444444443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947175.45</v>
      </c>
      <c r="I8" s="116"/>
      <c r="J8" s="175">
        <f>H8/DAY(B2)</f>
        <v>33827.694642857139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-44348.850000000006</v>
      </c>
      <c r="I9" s="124">
        <f>I7-J7</f>
        <v>13859.115357142857</v>
      </c>
      <c r="J9" s="175">
        <f>H9/DAY(B2)</f>
        <v>-1583.8875000000003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-6197.9700000000084</v>
      </c>
      <c r="I10" s="282"/>
      <c r="J10" s="175">
        <f>H10/DAY(B2)</f>
        <v>-221.35607142857174</v>
      </c>
      <c r="K10" s="79"/>
      <c r="L10" s="66"/>
      <c r="N10" s="87"/>
      <c r="O10" s="71">
        <f>F7-O8</f>
        <v>574224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-67301.250000000058</v>
      </c>
      <c r="I13" s="120">
        <f>G7-G13</f>
        <v>526</v>
      </c>
      <c r="J13" s="175">
        <f>H13/DAY(B2)</f>
        <v>-2403.6160714285734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-2846.7669999999925</v>
      </c>
      <c r="I15" s="113">
        <f>'1'!I15</f>
        <v>800</v>
      </c>
      <c r="J15" s="175">
        <f>H15/DAY(B2)</f>
        <v>-101.67024999999974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901.67024999999978</v>
      </c>
      <c r="J16" s="176"/>
      <c r="K16" s="79"/>
      <c r="L16" s="66"/>
      <c r="N16" s="87"/>
      <c r="O16" s="71"/>
    </row>
    <row r="17" spans="1:16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53" t="s">
        <v>141</v>
      </c>
      <c r="B18" s="854"/>
      <c r="C18" s="855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5260</v>
      </c>
      <c r="I18" s="113">
        <f>'1'!I18</f>
        <v>65</v>
      </c>
      <c r="J18" s="175">
        <f>H18/DAY(B2)</f>
        <v>187.85714285714286</v>
      </c>
      <c r="K18" s="79"/>
      <c r="L18" s="66"/>
      <c r="N18" s="87"/>
      <c r="O18" s="71"/>
    </row>
    <row r="19" spans="1:16" ht="27.75" x14ac:dyDescent="0.5">
      <c r="A19" s="853" t="s">
        <v>69</v>
      </c>
      <c r="B19" s="854"/>
      <c r="C19" s="855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5096</v>
      </c>
      <c r="I20" s="336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6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8524579.0500000007</v>
      </c>
      <c r="I27" s="138"/>
      <c r="J27" s="175">
        <f>H27/DAY(B2)</f>
        <v>304449.2517857143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-66800.533999999621</v>
      </c>
      <c r="I28" s="140"/>
      <c r="J28" s="175">
        <f>H28/DAY(B2)</f>
        <v>-2385.7333571428435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-22801.439999999999</v>
      </c>
      <c r="I30" s="140"/>
      <c r="J30" s="175">
        <f>H30/DAY(B2)</f>
        <v>-814.33714285714279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420800</v>
      </c>
      <c r="I31" s="140"/>
      <c r="J31" s="175">
        <f>H31/DAY(B2)</f>
        <v>15028.571428571429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8855777.0760000013</v>
      </c>
      <c r="I32" s="144"/>
      <c r="J32" s="175">
        <f>H32/DAY(B2)</f>
        <v>316277.75271428574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-3650.9800000000032</v>
      </c>
      <c r="I35" s="95"/>
      <c r="J35" s="175">
        <f>H35/DAY(B2)</f>
        <v>-130.39214285714297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-4752.0899999999965</v>
      </c>
      <c r="I37" s="95"/>
      <c r="J37" s="175">
        <f>H37/DAY(B2)</f>
        <v>-169.71749999999989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-5006.43</v>
      </c>
      <c r="I38" s="95"/>
      <c r="J38" s="175">
        <f>H38/DAY(B2)</f>
        <v>-178.80107142857145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-7871.2900000000045</v>
      </c>
      <c r="I39" s="95"/>
      <c r="J39" s="175">
        <f>H39/DAY(B2)</f>
        <v>-281.11750000000018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-3189.9900000000025</v>
      </c>
      <c r="I40" s="95"/>
      <c r="J40" s="175">
        <f>H40/DAY(B2)</f>
        <v>-113.92821428571438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-44336.589999999982</v>
      </c>
      <c r="I47" s="95"/>
      <c r="J47" s="175">
        <f>H47/DAY(B2)</f>
        <v>-1583.4496428571422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-2644.1899999999987</v>
      </c>
      <c r="I49" s="95"/>
      <c r="J49" s="175">
        <f>H49/DAY(B2)</f>
        <v>-94.4353571428571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-0.42000000000007276</v>
      </c>
      <c r="I54" s="95"/>
      <c r="J54" s="175">
        <f>H54/DAY(B2)</f>
        <v>-1.5000000000002598E-2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-598.20999999999958</v>
      </c>
      <c r="I58" s="95"/>
      <c r="J58" s="175">
        <f>H58/DAY(B2)</f>
        <v>-21.364642857142844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-6347.5599999999922</v>
      </c>
      <c r="I59" s="95">
        <f>G7-G60</f>
        <v>899</v>
      </c>
      <c r="J59" s="175">
        <f>H59/DAY(B2)</f>
        <v>-226.69857142857114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-50684.149999999951</v>
      </c>
      <c r="I60" s="95">
        <f>G13-G60</f>
        <v>373</v>
      </c>
      <c r="J60" s="175">
        <f>H60/DAY(B2)</f>
        <v>-1810.1482142857126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'27'!F64</f>
        <v>0</v>
      </c>
      <c r="F64" s="122"/>
      <c r="G64" s="112">
        <f>G62+G63</f>
        <v>229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-2</v>
      </c>
      <c r="I78" s="118"/>
      <c r="J78" s="175">
        <f>H78/DAY(B2)</f>
        <v>-7.1428571428571425E-2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-1562.4180000000179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4114</v>
      </c>
      <c r="H94" s="99">
        <f>G94+'27'!H94</f>
        <v>-12143.770000000037</v>
      </c>
      <c r="I94" s="118"/>
      <c r="J94" s="175">
        <f>H94/DAY(B2)</f>
        <v>-433.70607142857273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0.23303500623088252</v>
      </c>
      <c r="H95" s="99">
        <f>G95+'27'!H95</f>
        <v>7.0035574345453879</v>
      </c>
      <c r="I95" s="167"/>
      <c r="J95" s="175">
        <f>H95/DAY(B2)</f>
        <v>0.25012705123376383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4136</v>
      </c>
      <c r="H96" s="99">
        <f>G96+'27'!H96</f>
        <v>-11837.580000000002</v>
      </c>
      <c r="I96" s="118"/>
      <c r="J96" s="175">
        <f>H96/DAY(B2)</f>
        <v>-422.77071428571435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0.23428118273479098</v>
      </c>
      <c r="H97" s="99">
        <f>G97+'27'!H97</f>
        <v>5.4858877049540746</v>
      </c>
      <c r="I97" s="167"/>
      <c r="J97" s="175">
        <f>H97/DAY(B2)</f>
        <v>0.19592456089121696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2604</v>
      </c>
      <c r="H98" s="99">
        <f>G98+'27'!H98</f>
        <v>-7871.2900000000045</v>
      </c>
      <c r="I98" s="168"/>
      <c r="J98" s="175">
        <f>H98/DAY(B2)</f>
        <v>-281.11750000000018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0.14750198255352895</v>
      </c>
      <c r="H99" s="99">
        <f>G99+'27'!H99</f>
        <v>4.1349189918502329</v>
      </c>
      <c r="I99" s="168"/>
      <c r="J99" s="175">
        <f>H99/DAY(B2)</f>
        <v>0.14767567828036546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1753</v>
      </c>
      <c r="H100" s="99">
        <f>G100+'27'!H100</f>
        <v>-5006.43</v>
      </c>
      <c r="I100" s="118"/>
      <c r="J100" s="175">
        <f>H100/DAY(B2)</f>
        <v>-178.80107142857145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2.7488130483338047</v>
      </c>
      <c r="I101" s="168"/>
      <c r="J101" s="175">
        <f>H101/DAY(B2)</f>
        <v>9.8171894583350169E-2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2.9998230104061978</v>
      </c>
      <c r="I103" s="118"/>
      <c r="J103" s="175">
        <f>H103/DAY(B2)</f>
        <v>0.10713653608593564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1576</v>
      </c>
      <c r="H104" s="99">
        <f>G104+'27'!H104</f>
        <v>-4752.0899999999965</v>
      </c>
      <c r="I104" s="118"/>
      <c r="J104" s="175">
        <f>H104/DAY(B2)</f>
        <v>-169.71749999999989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2.4012280086311386</v>
      </c>
      <c r="I105" s="187"/>
      <c r="J105" s="188">
        <f>H105/DAY(B2)</f>
        <v>8.5758143165397802E-2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 x14ac:dyDescent="0.5">
      <c r="A113" s="886" t="s">
        <v>253</v>
      </c>
      <c r="B113" s="887"/>
      <c r="C113" s="888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 x14ac:dyDescent="0.5">
      <c r="A114" s="886" t="s">
        <v>254</v>
      </c>
      <c r="B114" s="887"/>
      <c r="C114" s="888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-773</v>
      </c>
      <c r="I114" s="165"/>
      <c r="J114" s="328">
        <f>H114/DAY(B2)</f>
        <v>-27.607142857142858</v>
      </c>
    </row>
    <row r="115" spans="1:18" ht="29.25" customHeight="1" x14ac:dyDescent="0.5">
      <c r="A115" s="886" t="s">
        <v>255</v>
      </c>
      <c r="B115" s="887"/>
      <c r="C115" s="888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 x14ac:dyDescent="0.5">
      <c r="A116" s="904" t="s">
        <v>96</v>
      </c>
      <c r="B116" s="905"/>
      <c r="C116" s="906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86"/>
      <c r="R116" s="888"/>
    </row>
    <row r="117" spans="1:18" ht="29.25" customHeight="1" x14ac:dyDescent="0.5">
      <c r="A117" s="904" t="s">
        <v>184</v>
      </c>
      <c r="B117" s="905"/>
      <c r="C117" s="906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 x14ac:dyDescent="0.5">
      <c r="A124" s="911"/>
      <c r="B124" s="912"/>
      <c r="C124" s="913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86" t="s">
        <v>318</v>
      </c>
      <c r="B128" s="887"/>
      <c r="C128" s="888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-462.22999999999956</v>
      </c>
      <c r="I134" s="165"/>
      <c r="J134" s="328">
        <f>H134/DAY(B2)</f>
        <v>-16.508214285714271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1837</v>
      </c>
      <c r="H135" s="99">
        <f>G135+'23'!H135</f>
        <v>27429.389999999985</v>
      </c>
      <c r="I135" s="327">
        <f>G135-(G35+G49)</f>
        <v>-316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687">
        <f>'27'!F155</f>
        <v>29684</v>
      </c>
      <c r="F155" s="688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-224</v>
      </c>
      <c r="I156" s="165"/>
      <c r="J156" s="328">
        <f>H156/DAY(B2)</f>
        <v>-8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 x14ac:dyDescent="0.5">
      <c r="A166" s="917"/>
      <c r="B166" s="917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-3148</v>
      </c>
      <c r="I188" s="158"/>
      <c r="J188" s="179">
        <f>H188/DAY(B2)</f>
        <v>-112.42857142857143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-1942</v>
      </c>
      <c r="I189" s="158"/>
      <c r="J189" s="179">
        <f>H189/DAY(B2)</f>
        <v>-69.357142857142861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964667.45</v>
      </c>
      <c r="I8" s="116"/>
      <c r="J8" s="175">
        <f>H8/DAY(B2)</f>
        <v>33264.394827586206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-29744.850000000006</v>
      </c>
      <c r="I9" s="124">
        <f>I7-J7</f>
        <v>13203.042413793102</v>
      </c>
      <c r="J9" s="175">
        <f>H9/DAY(B2)</f>
        <v>-1025.6844827586208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-4137.9700000000084</v>
      </c>
      <c r="I10" s="282"/>
      <c r="J10" s="175">
        <f>H10/DAY(B2)</f>
        <v>-142.68862068965547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-50637.250000000058</v>
      </c>
      <c r="I13" s="120">
        <f>G7-G13</f>
        <v>503</v>
      </c>
      <c r="J13" s="175">
        <f>H13/DAY(B2)</f>
        <v>-1746.1120689655193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-1844.7669999999925</v>
      </c>
      <c r="I15" s="113">
        <f>'1'!I15</f>
        <v>800</v>
      </c>
      <c r="J15" s="175">
        <f>H15/DAY(B2)</f>
        <v>-63.61265517241354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863.6126551724135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5520</v>
      </c>
      <c r="I18" s="113">
        <f>'1'!I18</f>
        <v>65</v>
      </c>
      <c r="J18" s="175">
        <f>H18/DAY(B2)</f>
        <v>190.34482758620689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5408</v>
      </c>
      <c r="I20" s="336">
        <f>I18-J20</f>
        <v>-121.48275862068965</v>
      </c>
      <c r="J20" s="175">
        <f>H20/DAY(B2)</f>
        <v>186.48275862068965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8682007.0500000007</v>
      </c>
      <c r="I27" s="138"/>
      <c r="J27" s="175">
        <f>H27/DAY(B2)</f>
        <v>299379.5534482759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-14696.533999999621</v>
      </c>
      <c r="I28" s="140"/>
      <c r="J28" s="175">
        <f>H28/DAY(B2)</f>
        <v>-506.77703448274553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-15209.439999999999</v>
      </c>
      <c r="I30" s="140"/>
      <c r="J30" s="175">
        <f>H30/DAY(B2)</f>
        <v>-524.46344827586199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441600</v>
      </c>
      <c r="I31" s="140"/>
      <c r="J31" s="175">
        <f>H31/DAY(B2)</f>
        <v>15227.586206896553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9093701.0760000013</v>
      </c>
      <c r="I32" s="144"/>
      <c r="J32" s="175">
        <f>H32/DAY(B2)</f>
        <v>313575.89917241386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-2458.9800000000032</v>
      </c>
      <c r="I35" s="95"/>
      <c r="J35" s="175">
        <f>H35/DAY(B2)</f>
        <v>-84.792413793103563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-3141.0899999999965</v>
      </c>
      <c r="I37" s="95"/>
      <c r="J37" s="175">
        <f>H37/DAY(B2)</f>
        <v>-108.31344827586194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-3256.4300000000003</v>
      </c>
      <c r="I38" s="95"/>
      <c r="J38" s="175">
        <f>H38/DAY(B2)</f>
        <v>-112.29068965517243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-5265.2900000000045</v>
      </c>
      <c r="I39" s="95"/>
      <c r="J39" s="175">
        <f>H39/DAY(B2)</f>
        <v>-181.56172413793118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-2636.9900000000025</v>
      </c>
      <c r="I40" s="95"/>
      <c r="J40" s="175">
        <f>H40/DAY(B2)</f>
        <v>-90.9306896551725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-30292.589999999982</v>
      </c>
      <c r="I47" s="95"/>
      <c r="J47" s="175">
        <f>H47/DAY(B2)</f>
        <v>-1044.5720689655166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-1728.1899999999987</v>
      </c>
      <c r="I49" s="95"/>
      <c r="J49" s="175">
        <f>H49/DAY(B2)</f>
        <v>-59.592758620689608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-0.42000000000007276</v>
      </c>
      <c r="I54" s="95"/>
      <c r="J54" s="175">
        <f>H54/DAY(B2)</f>
        <v>-1.4482758620692164E-2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-387.20999999999958</v>
      </c>
      <c r="I58" s="95"/>
      <c r="J58" s="175">
        <f>H58/DAY(B2)</f>
        <v>-13.352068965517226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-4237.5599999999922</v>
      </c>
      <c r="I59" s="95">
        <f>G7-G60</f>
        <v>1013</v>
      </c>
      <c r="J59" s="175">
        <f>H59/DAY(B2)</f>
        <v>-146.12275862068938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-34530.149999999951</v>
      </c>
      <c r="I60" s="95">
        <f>G13-G60</f>
        <v>510</v>
      </c>
      <c r="J60" s="175">
        <f>H60/DAY(B2)</f>
        <v>-1190.6948275862053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-1009.4180000000179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4173</v>
      </c>
      <c r="H94" s="99">
        <f>G94+'28'!H94</f>
        <v>-7970.7700000000368</v>
      </c>
      <c r="I94" s="118"/>
      <c r="J94" s="175">
        <f>H94/DAY(B2)</f>
        <v>-274.85413793103578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0.24308265858915362</v>
      </c>
      <c r="H95" s="99">
        <f>G95+'28'!H95</f>
        <v>7.2466400931345412</v>
      </c>
      <c r="I95" s="167"/>
      <c r="J95" s="175">
        <f>H95/DAY(B2)</f>
        <v>0.24988414114257038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3572</v>
      </c>
      <c r="H96" s="99">
        <f>G96+'28'!H96</f>
        <v>-8265.5800000000017</v>
      </c>
      <c r="I96" s="118"/>
      <c r="J96" s="175">
        <f>H96/DAY(B2)</f>
        <v>-285.02000000000004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0.20807362963825946</v>
      </c>
      <c r="H97" s="99">
        <f>G97+'28'!H97</f>
        <v>5.6939613345923341</v>
      </c>
      <c r="I97" s="167"/>
      <c r="J97" s="175">
        <f>H97/DAY(B2)</f>
        <v>0.19634349429628739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2606</v>
      </c>
      <c r="H98" s="99">
        <f>G98+'28'!H98</f>
        <v>-5265.2900000000045</v>
      </c>
      <c r="I98" s="168"/>
      <c r="J98" s="175">
        <f>H98/DAY(B2)</f>
        <v>-181.56172413793118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0.15180287761402692</v>
      </c>
      <c r="H99" s="99">
        <f>G99+'28'!H99</f>
        <v>4.2867218694642597</v>
      </c>
      <c r="I99" s="168"/>
      <c r="J99" s="175">
        <f>H99/DAY(B2)</f>
        <v>0.14781799549876756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1750</v>
      </c>
      <c r="H100" s="99">
        <f>G100+'28'!H100</f>
        <v>-3256.4300000000003</v>
      </c>
      <c r="I100" s="118"/>
      <c r="J100" s="175">
        <f>H100/DAY(B2)</f>
        <v>-112.29068965517243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2.8507528164936464</v>
      </c>
      <c r="I101" s="168"/>
      <c r="J101" s="175">
        <f>H101/DAY(B2)</f>
        <v>9.8301821258401603E-2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3.0975686852474631</v>
      </c>
      <c r="I103" s="118"/>
      <c r="J103" s="175">
        <f>H103/DAY(B2)</f>
        <v>0.10681271328439527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1611</v>
      </c>
      <c r="H104" s="99">
        <f>G104+'28'!H104</f>
        <v>-3141.0899999999965</v>
      </c>
      <c r="I104" s="118"/>
      <c r="J104" s="175">
        <f>H104/DAY(B2)</f>
        <v>-108.31344827586194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2.4950708466342841</v>
      </c>
      <c r="I105" s="187"/>
      <c r="J105" s="188">
        <f>H105/DAY(B2)</f>
        <v>8.6036925746009796E-2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 x14ac:dyDescent="0.5">
      <c r="A113" s="886" t="s">
        <v>253</v>
      </c>
      <c r="B113" s="887"/>
      <c r="C113" s="888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 x14ac:dyDescent="0.5">
      <c r="A114" s="886" t="s">
        <v>254</v>
      </c>
      <c r="B114" s="887"/>
      <c r="C114" s="888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-515</v>
      </c>
      <c r="I114" s="165"/>
      <c r="J114" s="328">
        <f>H114/DAY(B2)</f>
        <v>-17.758620689655171</v>
      </c>
    </row>
    <row r="115" spans="1:18" ht="27.75" x14ac:dyDescent="0.5">
      <c r="A115" s="886" t="s">
        <v>255</v>
      </c>
      <c r="B115" s="887"/>
      <c r="C115" s="888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 x14ac:dyDescent="0.5">
      <c r="A116" s="904" t="s">
        <v>96</v>
      </c>
      <c r="B116" s="905"/>
      <c r="C116" s="906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27.75" x14ac:dyDescent="0.5">
      <c r="A117" s="904" t="s">
        <v>184</v>
      </c>
      <c r="B117" s="905"/>
      <c r="C117" s="906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86" t="s">
        <v>312</v>
      </c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86" t="s">
        <v>311</v>
      </c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 x14ac:dyDescent="0.5">
      <c r="A123" s="881" t="s">
        <v>102</v>
      </c>
      <c r="B123" s="881"/>
      <c r="C123" s="881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 x14ac:dyDescent="0.5">
      <c r="A124" s="911"/>
      <c r="B124" s="912"/>
      <c r="C124" s="913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86" t="s">
        <v>318</v>
      </c>
      <c r="B128" s="887"/>
      <c r="C128" s="888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-311.22999999999956</v>
      </c>
      <c r="I134" s="165"/>
      <c r="J134" s="328">
        <f>H134/DAY(B2)</f>
        <v>-10.732068965517227</v>
      </c>
    </row>
    <row r="135" spans="1:15" ht="27.75" x14ac:dyDescent="0.5">
      <c r="A135" s="914" t="s">
        <v>196</v>
      </c>
      <c r="B135" s="915"/>
      <c r="C135" s="331"/>
      <c r="D135" s="151"/>
      <c r="E135" s="95"/>
      <c r="F135" s="165"/>
      <c r="G135" s="112">
        <f>SUM(G127:G134)</f>
        <v>1778</v>
      </c>
      <c r="H135" s="99">
        <f>G135+'23'!H135</f>
        <v>27370.389999999985</v>
      </c>
      <c r="I135" s="327">
        <f>G135-(G35+G49)</f>
        <v>-330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 x14ac:dyDescent="0.5">
      <c r="A145" s="881" t="s">
        <v>190</v>
      </c>
      <c r="B145" s="881"/>
      <c r="C145" s="881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 x14ac:dyDescent="0.5">
      <c r="A146" s="882" t="s">
        <v>191</v>
      </c>
      <c r="B146" s="883"/>
      <c r="C146" s="884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 x14ac:dyDescent="0.5">
      <c r="A147" s="885" t="s">
        <v>192</v>
      </c>
      <c r="B147" s="885"/>
      <c r="C147" s="885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 x14ac:dyDescent="0.5">
      <c r="A148" s="877" t="s">
        <v>193</v>
      </c>
      <c r="B148" s="878"/>
      <c r="C148" s="879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 x14ac:dyDescent="0.5">
      <c r="A149" s="877" t="s">
        <v>336</v>
      </c>
      <c r="B149" s="878"/>
      <c r="C149" s="879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 x14ac:dyDescent="0.5">
      <c r="A150" s="877" t="s">
        <v>337</v>
      </c>
      <c r="B150" s="878"/>
      <c r="C150" s="879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 x14ac:dyDescent="0.5">
      <c r="A151" s="877" t="s">
        <v>338</v>
      </c>
      <c r="B151" s="878"/>
      <c r="C151" s="879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 x14ac:dyDescent="0.5">
      <c r="A152" s="877" t="s">
        <v>339</v>
      </c>
      <c r="B152" s="878"/>
      <c r="C152" s="879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1.5" x14ac:dyDescent="0.55000000000000004">
      <c r="A155" s="885" t="s">
        <v>345</v>
      </c>
      <c r="B155" s="885"/>
      <c r="C155" s="885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 x14ac:dyDescent="0.5">
      <c r="A156" s="885" t="s">
        <v>347</v>
      </c>
      <c r="B156" s="885"/>
      <c r="C156" s="885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 x14ac:dyDescent="0.5">
      <c r="A157" s="877" t="s">
        <v>363</v>
      </c>
      <c r="B157" s="878"/>
      <c r="C157" s="879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77" t="s">
        <v>364</v>
      </c>
      <c r="B158" s="878"/>
      <c r="C158" s="879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 x14ac:dyDescent="0.5">
      <c r="A166" s="917"/>
      <c r="B166" s="917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 x14ac:dyDescent="0.5">
      <c r="A176" s="914" t="s">
        <v>196</v>
      </c>
      <c r="B176" s="915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 x14ac:dyDescent="0.5">
      <c r="A181" s="919" t="s">
        <v>108</v>
      </c>
      <c r="B181" s="920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 x14ac:dyDescent="0.5">
      <c r="A182" s="875" t="s">
        <v>213</v>
      </c>
      <c r="B182" s="876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-2995</v>
      </c>
      <c r="I188" s="158"/>
      <c r="J188" s="179">
        <f>H188/DAY(B2)</f>
        <v>-103.27586206896552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-1867</v>
      </c>
      <c r="I189" s="158"/>
      <c r="J189" s="179">
        <f>H189/DAY(B2)</f>
        <v>-64.379310344827587</v>
      </c>
    </row>
    <row r="190" spans="1:10" ht="27.75" x14ac:dyDescent="0.5">
      <c r="A190" s="846"/>
      <c r="B190" s="847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982196.45</v>
      </c>
      <c r="I8" s="116"/>
      <c r="J8" s="175">
        <f>H8/DAY(B2)</f>
        <v>32739.881666666664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-15027.850000000006</v>
      </c>
      <c r="I9" s="124">
        <f>I7-J7</f>
        <v>12586.641</v>
      </c>
      <c r="J9" s="175">
        <f>H9/DAY(B2)</f>
        <v>-500.92833333333351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-2073.9700000000084</v>
      </c>
      <c r="I10" s="282"/>
      <c r="J10" s="175">
        <f>H10/DAY(B2)</f>
        <v>-69.132333333333619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-33856.250000000058</v>
      </c>
      <c r="I13" s="120">
        <f>G7-G13</f>
        <v>508</v>
      </c>
      <c r="J13" s="175">
        <f>H13/DAY(B2)</f>
        <v>-1128.5416666666686</v>
      </c>
      <c r="K13" s="79"/>
      <c r="L13" s="66"/>
      <c r="N13" s="87"/>
      <c r="O13" s="71"/>
    </row>
    <row r="14" spans="1:15" ht="30.75" customHeight="1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-915.76699999999255</v>
      </c>
      <c r="I15" s="113">
        <f>'1'!I15</f>
        <v>800</v>
      </c>
      <c r="J15" s="175">
        <f>H15/DAY(B2)</f>
        <v>-30.525566666666418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830.52556666666646</v>
      </c>
      <c r="J16" s="176"/>
      <c r="K16" s="79"/>
      <c r="L16" s="66"/>
      <c r="N16" s="87"/>
      <c r="O16" s="71"/>
    </row>
    <row r="17" spans="1:15" ht="30.75" customHeight="1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3" t="s">
        <v>141</v>
      </c>
      <c r="B18" s="854"/>
      <c r="C18" s="855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5690</v>
      </c>
      <c r="I18" s="113">
        <f>'1'!I18</f>
        <v>65</v>
      </c>
      <c r="J18" s="175">
        <f>H18/DAY(B2)</f>
        <v>189.66666666666666</v>
      </c>
      <c r="K18" s="79"/>
      <c r="L18" s="66"/>
      <c r="N18" s="87"/>
      <c r="O18" s="71"/>
    </row>
    <row r="19" spans="1:15" ht="30.75" customHeight="1" x14ac:dyDescent="0.5">
      <c r="A19" s="853" t="s">
        <v>69</v>
      </c>
      <c r="B19" s="854"/>
      <c r="C19" s="855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5634</v>
      </c>
      <c r="I20" s="336">
        <f>I18-J20</f>
        <v>-122.80000000000001</v>
      </c>
      <c r="J20" s="175">
        <f>H20/DAY(B2)</f>
        <v>187.8</v>
      </c>
      <c r="K20" s="79"/>
      <c r="L20" s="66"/>
      <c r="N20" s="87"/>
      <c r="O20" s="71"/>
    </row>
    <row r="21" spans="1:15" ht="30.75" customHeight="1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8839768.0500000007</v>
      </c>
      <c r="I27" s="138"/>
      <c r="J27" s="175">
        <f>H27/DAY(B2)</f>
        <v>294658.935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33611.466000000379</v>
      </c>
      <c r="I28" s="140"/>
      <c r="J28" s="175">
        <f>H28/DAY(B2)</f>
        <v>1120.3822000000125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-7033.4399999999987</v>
      </c>
      <c r="I30" s="140"/>
      <c r="J30" s="175">
        <f>H30/DAY(B2)</f>
        <v>-234.44799999999995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455200</v>
      </c>
      <c r="I31" s="140"/>
      <c r="J31" s="175">
        <f>H31/DAY(B2)</f>
        <v>15173.333333333334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9321546.0760000013</v>
      </c>
      <c r="I32" s="144"/>
      <c r="J32" s="175">
        <f>H32/DAY(B2)</f>
        <v>310718.20253333339</v>
      </c>
      <c r="K32" s="63"/>
      <c r="L32" s="89"/>
      <c r="N32" s="87"/>
      <c r="O32" s="71"/>
    </row>
    <row r="33" spans="1:15" ht="30.75" customHeight="1" x14ac:dyDescent="0.35">
      <c r="A33" s="870" t="s">
        <v>331</v>
      </c>
      <c r="B33" s="871"/>
      <c r="C33" s="871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-1252.9800000000032</v>
      </c>
      <c r="I35" s="95"/>
      <c r="J35" s="175">
        <f>H35/DAY(B2)</f>
        <v>-41.766000000000105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-1588.0899999999965</v>
      </c>
      <c r="I37" s="95"/>
      <c r="J37" s="175">
        <f>H37/DAY(B2)</f>
        <v>-52.936333333333216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-1627.4300000000003</v>
      </c>
      <c r="I38" s="95"/>
      <c r="J38" s="175">
        <f>H38/DAY(B2)</f>
        <v>-54.247666666666674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-2649.2900000000045</v>
      </c>
      <c r="I39" s="95"/>
      <c r="J39" s="175">
        <f>H39/DAY(B2)</f>
        <v>-88.309666666666814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-1838.9900000000025</v>
      </c>
      <c r="I40" s="95"/>
      <c r="J40" s="175">
        <f>H40/DAY(B2)</f>
        <v>-61.299666666666752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-15862.589999999982</v>
      </c>
      <c r="I47" s="95"/>
      <c r="J47" s="175">
        <f>H47/DAY(B2)</f>
        <v>-528.75299999999936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-857.18999999999869</v>
      </c>
      <c r="I49" s="95"/>
      <c r="J49" s="175">
        <f>H49/DAY(B2)</f>
        <v>-28.572999999999958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-0.42000000000007276</v>
      </c>
      <c r="I54" s="95"/>
      <c r="J54" s="175">
        <f>H54/DAY(B2)</f>
        <v>-1.4000000000002425E-2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-197.20999999999958</v>
      </c>
      <c r="I58" s="95"/>
      <c r="J58" s="175">
        <f>H58/DAY(B2)</f>
        <v>-6.5736666666666528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-2125.5599999999922</v>
      </c>
      <c r="I59" s="95">
        <f>G7-G60</f>
        <v>747</v>
      </c>
      <c r="J59" s="175">
        <f>H59/DAY(B2)</f>
        <v>-70.851999999999734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-17988.149999999951</v>
      </c>
      <c r="I60" s="95">
        <f>G13-G60</f>
        <v>239</v>
      </c>
      <c r="J60" s="175">
        <f>H60/DAY(B2)</f>
        <v>-599.60499999999831</v>
      </c>
      <c r="K60" s="79"/>
      <c r="L60" s="66"/>
      <c r="N60" s="87"/>
      <c r="O60" s="71"/>
    </row>
    <row r="61" spans="1:15" s="68" customFormat="1" ht="30.75" customHeight="1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53" t="s">
        <v>198</v>
      </c>
      <c r="B62" s="854"/>
      <c r="C62" s="855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 x14ac:dyDescent="0.5">
      <c r="A63" s="853" t="s">
        <v>199</v>
      </c>
      <c r="B63" s="854"/>
      <c r="C63" s="855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 x14ac:dyDescent="0.5">
      <c r="A64" s="850" t="s">
        <v>200</v>
      </c>
      <c r="B64" s="851"/>
      <c r="C64" s="852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 x14ac:dyDescent="0.5">
      <c r="A65" s="853" t="s">
        <v>201</v>
      </c>
      <c r="B65" s="854"/>
      <c r="C65" s="855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 x14ac:dyDescent="0.5">
      <c r="A71" s="850" t="s">
        <v>208</v>
      </c>
      <c r="B71" s="851"/>
      <c r="C71" s="852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 x14ac:dyDescent="0.5">
      <c r="A72" s="896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53" t="s">
        <v>220</v>
      </c>
      <c r="B74" s="854"/>
      <c r="C74" s="855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 x14ac:dyDescent="0.5">
      <c r="A75" s="853" t="s">
        <v>221</v>
      </c>
      <c r="B75" s="854"/>
      <c r="C75" s="855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97" t="s">
        <v>222</v>
      </c>
      <c r="B76" s="883"/>
      <c r="C76" s="884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 x14ac:dyDescent="0.5">
      <c r="A77" s="897" t="s">
        <v>223</v>
      </c>
      <c r="B77" s="883"/>
      <c r="C77" s="884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 x14ac:dyDescent="0.5">
      <c r="A78" s="897" t="s">
        <v>224</v>
      </c>
      <c r="B78" s="883"/>
      <c r="C78" s="884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1</v>
      </c>
      <c r="I78" s="118"/>
      <c r="J78" s="175">
        <f>H78/DAY(B2)</f>
        <v>3.3333333333333333E-2</v>
      </c>
      <c r="K78" s="69"/>
      <c r="L78" s="66"/>
      <c r="N78" s="87"/>
      <c r="O78" s="71"/>
    </row>
    <row r="79" spans="1:15" s="57" customFormat="1" ht="30.75" customHeight="1" x14ac:dyDescent="0.5">
      <c r="A79" s="897" t="s">
        <v>225</v>
      </c>
      <c r="B79" s="883"/>
      <c r="C79" s="884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-519.41800000001786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3975</v>
      </c>
      <c r="H94" s="99">
        <f>G94+'29'!H94</f>
        <v>-3995.7700000000368</v>
      </c>
      <c r="I94" s="118"/>
      <c r="J94" s="175">
        <f>H94/DAY(B2)</f>
        <v>-133.19233333333457</v>
      </c>
      <c r="K94" s="69"/>
      <c r="L94" s="66"/>
      <c r="O94" s="71"/>
    </row>
    <row r="95" spans="1:15" ht="30.75" customHeight="1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0.22991497483949333</v>
      </c>
      <c r="H95" s="99">
        <f>G95+'29'!H95</f>
        <v>7.4765550679740347</v>
      </c>
      <c r="I95" s="167"/>
      <c r="J95" s="175">
        <f>H95/DAY(B2)</f>
        <v>0.24921850226580117</v>
      </c>
      <c r="K95" s="69"/>
      <c r="L95" s="66"/>
      <c r="O95" s="71"/>
    </row>
    <row r="96" spans="1:15" ht="30.75" customHeight="1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3884</v>
      </c>
      <c r="H96" s="99">
        <f>G96+'29'!H96</f>
        <v>-4381.5800000000017</v>
      </c>
      <c r="I96" s="118"/>
      <c r="J96" s="175">
        <f>H96/DAY(B2)</f>
        <v>-146.05266666666674</v>
      </c>
      <c r="K96" s="69"/>
      <c r="L96" s="66"/>
      <c r="O96" s="71"/>
    </row>
    <row r="97" spans="1:15" ht="30.75" customHeight="1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0.22465151252241308</v>
      </c>
      <c r="H97" s="99">
        <f>G97+'29'!H97</f>
        <v>5.9186128471147468</v>
      </c>
      <c r="I97" s="167"/>
      <c r="J97" s="175">
        <f>H97/DAY(B2)</f>
        <v>0.1972870949038249</v>
      </c>
      <c r="K97" s="69"/>
      <c r="L97" s="66"/>
      <c r="O97" s="71"/>
    </row>
    <row r="98" spans="1:15" ht="30.75" customHeight="1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2616</v>
      </c>
      <c r="H98" s="99">
        <f>G98+'29'!H98</f>
        <v>-2649.2900000000045</v>
      </c>
      <c r="I98" s="168"/>
      <c r="J98" s="175">
        <f>H98/DAY(B2)</f>
        <v>-88.309666666666814</v>
      </c>
      <c r="K98" s="69"/>
      <c r="L98" s="66"/>
      <c r="O98" s="71"/>
    </row>
    <row r="99" spans="1:15" ht="30.75" customHeight="1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0.15131008155474579</v>
      </c>
      <c r="H99" s="99">
        <f>G99+'29'!H99</f>
        <v>4.4380319510190054</v>
      </c>
      <c r="I99" s="168"/>
      <c r="J99" s="175">
        <f>H99/DAY(B2)</f>
        <v>0.14793439836730018</v>
      </c>
      <c r="O99" s="71"/>
    </row>
    <row r="100" spans="1:15" ht="30.75" customHeight="1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1629</v>
      </c>
      <c r="H100" s="99">
        <f>G100+'29'!H100</f>
        <v>-1627.4300000000003</v>
      </c>
      <c r="I100" s="118"/>
      <c r="J100" s="175">
        <f>H100/DAY(B2)</f>
        <v>-54.247666666666674</v>
      </c>
      <c r="K100" s="70"/>
      <c r="O100" s="71"/>
    </row>
    <row r="101" spans="1:15" ht="30.75" customHeight="1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2.9449745759939066</v>
      </c>
      <c r="I101" s="168"/>
      <c r="J101" s="175">
        <f>H101/DAY(B2)</f>
        <v>9.8165819199796889E-2</v>
      </c>
      <c r="O101" s="71"/>
    </row>
    <row r="102" spans="1:15" ht="30.75" customHeight="1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3.207291630472751</v>
      </c>
      <c r="I103" s="118"/>
      <c r="J103" s="175">
        <f>H103/DAY(B2)</f>
        <v>0.10690972101575837</v>
      </c>
      <c r="O103" s="71"/>
    </row>
    <row r="104" spans="1:15" ht="30.75" customHeight="1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1553</v>
      </c>
      <c r="H104" s="99">
        <f>G104+'29'!H104</f>
        <v>-1588.0899999999965</v>
      </c>
      <c r="I104" s="118"/>
      <c r="J104" s="175">
        <f>H104/DAY(B2)</f>
        <v>-52.936333333333216</v>
      </c>
      <c r="O104" s="71"/>
    </row>
    <row r="105" spans="1:15" ht="30.75" customHeight="1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2.5848967474961038</v>
      </c>
      <c r="I105" s="187"/>
      <c r="J105" s="188">
        <f>H105/DAY(B2)</f>
        <v>8.6163224916536788E-2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30.75" customHeight="1" x14ac:dyDescent="0.5">
      <c r="A109" s="892"/>
      <c r="B109" s="892"/>
    </row>
    <row r="110" spans="1:15" ht="30.75" customHeight="1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30.75" customHeight="1" x14ac:dyDescent="0.5">
      <c r="A111" s="911"/>
      <c r="B111" s="912"/>
      <c r="C111" s="913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86" t="s">
        <v>252</v>
      </c>
      <c r="B112" s="887"/>
      <c r="C112" s="888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 x14ac:dyDescent="0.5">
      <c r="A113" s="886" t="s">
        <v>253</v>
      </c>
      <c r="B113" s="887"/>
      <c r="C113" s="888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 x14ac:dyDescent="0.5">
      <c r="A114" s="886" t="s">
        <v>254</v>
      </c>
      <c r="B114" s="887"/>
      <c r="C114" s="888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-263</v>
      </c>
      <c r="I114" s="165"/>
      <c r="J114" s="328">
        <f>H114/DAY(B2)</f>
        <v>-8.7666666666666675</v>
      </c>
    </row>
    <row r="115" spans="1:18" ht="30.75" customHeight="1" x14ac:dyDescent="0.5">
      <c r="A115" s="886" t="s">
        <v>255</v>
      </c>
      <c r="B115" s="887"/>
      <c r="C115" s="888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 x14ac:dyDescent="0.5">
      <c r="A116" s="904" t="s">
        <v>96</v>
      </c>
      <c r="B116" s="905"/>
      <c r="C116" s="906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30.75" customHeight="1" x14ac:dyDescent="0.5">
      <c r="A117" s="904" t="s">
        <v>184</v>
      </c>
      <c r="B117" s="905"/>
      <c r="C117" s="906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86" t="s">
        <v>312</v>
      </c>
      <c r="R117" s="888"/>
    </row>
    <row r="118" spans="1:18" ht="30.75" customHeight="1" x14ac:dyDescent="0.5">
      <c r="A118" s="881" t="s">
        <v>97</v>
      </c>
      <c r="B118" s="881"/>
      <c r="C118" s="881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86" t="s">
        <v>311</v>
      </c>
      <c r="R118" s="888"/>
    </row>
    <row r="119" spans="1:18" ht="30.75" customHeight="1" x14ac:dyDescent="0.5">
      <c r="A119" s="881" t="s">
        <v>98</v>
      </c>
      <c r="B119" s="881"/>
      <c r="C119" s="881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 x14ac:dyDescent="0.5">
      <c r="A120" s="881" t="s">
        <v>99</v>
      </c>
      <c r="B120" s="881"/>
      <c r="C120" s="881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 x14ac:dyDescent="0.5">
      <c r="A121" s="881" t="s">
        <v>100</v>
      </c>
      <c r="B121" s="881"/>
      <c r="C121" s="881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 x14ac:dyDescent="0.5">
      <c r="A122" s="881" t="s">
        <v>101</v>
      </c>
      <c r="B122" s="881"/>
      <c r="C122" s="881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 x14ac:dyDescent="0.5">
      <c r="A123" s="881" t="s">
        <v>102</v>
      </c>
      <c r="B123" s="881"/>
      <c r="C123" s="881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 x14ac:dyDescent="0.5">
      <c r="A124" s="911"/>
      <c r="B124" s="912"/>
      <c r="C124" s="913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14" t="s">
        <v>196</v>
      </c>
      <c r="B125" s="915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30.75" customHeight="1" x14ac:dyDescent="0.5">
      <c r="A127" s="917"/>
      <c r="B127" s="917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86" t="s">
        <v>318</v>
      </c>
      <c r="B128" s="887"/>
      <c r="C128" s="888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 x14ac:dyDescent="0.5">
      <c r="A131" s="886" t="s">
        <v>321</v>
      </c>
      <c r="B131" s="887"/>
      <c r="C131" s="888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 x14ac:dyDescent="0.5">
      <c r="A132" s="886" t="s">
        <v>322</v>
      </c>
      <c r="B132" s="887"/>
      <c r="C132" s="888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 x14ac:dyDescent="0.5">
      <c r="A133" s="886" t="s">
        <v>362</v>
      </c>
      <c r="B133" s="887"/>
      <c r="C133" s="888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 x14ac:dyDescent="0.5">
      <c r="A134" s="886" t="s">
        <v>340</v>
      </c>
      <c r="B134" s="887"/>
      <c r="C134" s="888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-155.22999999999956</v>
      </c>
      <c r="I134" s="165"/>
      <c r="J134" s="328">
        <f>H134/DAY(B2)</f>
        <v>-5.174333333333319</v>
      </c>
    </row>
    <row r="135" spans="1:15" ht="30.75" customHeight="1" x14ac:dyDescent="0.5">
      <c r="A135" s="914" t="s">
        <v>196</v>
      </c>
      <c r="B135" s="915"/>
      <c r="C135" s="331"/>
      <c r="D135" s="151"/>
      <c r="E135" s="95"/>
      <c r="F135" s="165"/>
      <c r="G135" s="112">
        <f>SUM(G128:G134)</f>
        <v>1757</v>
      </c>
      <c r="H135" s="99">
        <f>G135+'23'!H135</f>
        <v>27349.389999999985</v>
      </c>
      <c r="I135" s="327">
        <f>G135-(G35+G49)</f>
        <v>-320</v>
      </c>
      <c r="J135" s="328">
        <f>H135/DAY(B2)</f>
        <v>911.64633333333279</v>
      </c>
    </row>
    <row r="136" spans="1:15" ht="30.75" customHeight="1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81" t="s">
        <v>185</v>
      </c>
      <c r="B138" s="881"/>
      <c r="C138" s="881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 x14ac:dyDescent="0.5">
      <c r="A139" s="881" t="s">
        <v>186</v>
      </c>
      <c r="B139" s="881"/>
      <c r="C139" s="881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 x14ac:dyDescent="0.5">
      <c r="A140" s="881" t="s">
        <v>187</v>
      </c>
      <c r="B140" s="881"/>
      <c r="C140" s="881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 x14ac:dyDescent="0.5">
      <c r="A141" s="885" t="s">
        <v>188</v>
      </c>
      <c r="B141" s="885"/>
      <c r="C141" s="885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 x14ac:dyDescent="0.5">
      <c r="A142" s="885" t="s">
        <v>189</v>
      </c>
      <c r="B142" s="885"/>
      <c r="C142" s="885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 x14ac:dyDescent="0.5">
      <c r="A143" s="881" t="s">
        <v>91</v>
      </c>
      <c r="B143" s="881"/>
      <c r="C143" s="881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 x14ac:dyDescent="0.5">
      <c r="A144" s="885" t="s">
        <v>90</v>
      </c>
      <c r="B144" s="885"/>
      <c r="C144" s="885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 x14ac:dyDescent="0.5">
      <c r="A145" s="881" t="s">
        <v>190</v>
      </c>
      <c r="B145" s="881"/>
      <c r="C145" s="881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 x14ac:dyDescent="0.5">
      <c r="A146" s="882" t="s">
        <v>191</v>
      </c>
      <c r="B146" s="883"/>
      <c r="C146" s="884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 x14ac:dyDescent="0.5">
      <c r="A147" s="885" t="s">
        <v>192</v>
      </c>
      <c r="B147" s="885"/>
      <c r="C147" s="885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 x14ac:dyDescent="0.5">
      <c r="A148" s="877" t="s">
        <v>193</v>
      </c>
      <c r="B148" s="878"/>
      <c r="C148" s="879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 x14ac:dyDescent="0.5">
      <c r="A149" s="877" t="s">
        <v>336</v>
      </c>
      <c r="B149" s="878"/>
      <c r="C149" s="879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 x14ac:dyDescent="0.5">
      <c r="A150" s="877" t="s">
        <v>337</v>
      </c>
      <c r="B150" s="878"/>
      <c r="C150" s="879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 x14ac:dyDescent="0.5">
      <c r="A151" s="877" t="s">
        <v>338</v>
      </c>
      <c r="B151" s="878"/>
      <c r="C151" s="879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 x14ac:dyDescent="0.5">
      <c r="A152" s="877" t="s">
        <v>339</v>
      </c>
      <c r="B152" s="878"/>
      <c r="C152" s="879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 x14ac:dyDescent="0.5">
      <c r="A153" s="914" t="s">
        <v>196</v>
      </c>
      <c r="B153" s="915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0" ht="30.75" customHeight="1" x14ac:dyDescent="0.55000000000000004">
      <c r="A155" s="885" t="s">
        <v>345</v>
      </c>
      <c r="B155" s="885"/>
      <c r="C155" s="885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 x14ac:dyDescent="0.5">
      <c r="A156" s="885" t="s">
        <v>347</v>
      </c>
      <c r="B156" s="885"/>
      <c r="C156" s="885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 x14ac:dyDescent="0.5">
      <c r="A157" s="877" t="s">
        <v>363</v>
      </c>
      <c r="B157" s="878"/>
      <c r="C157" s="879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77" t="s">
        <v>364</v>
      </c>
      <c r="B158" s="878"/>
      <c r="C158" s="879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934"/>
      <c r="B159" s="935"/>
      <c r="C159" s="936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18"/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 x14ac:dyDescent="0.5">
      <c r="A166" s="917"/>
      <c r="B166" s="917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17"/>
      <c r="B167" s="917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17"/>
      <c r="B168" s="917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30.75" customHeight="1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75" t="s">
        <v>209</v>
      </c>
      <c r="B173" s="876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75" t="s">
        <v>75</v>
      </c>
      <c r="B174" s="876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 x14ac:dyDescent="0.5">
      <c r="A175" s="875" t="s">
        <v>76</v>
      </c>
      <c r="B175" s="880"/>
      <c r="C175" s="876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 x14ac:dyDescent="0.5">
      <c r="A176" s="914" t="s">
        <v>196</v>
      </c>
      <c r="B176" s="915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75" t="s">
        <v>210</v>
      </c>
      <c r="B178" s="876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 x14ac:dyDescent="0.5">
      <c r="A179" s="875" t="s">
        <v>211</v>
      </c>
      <c r="B179" s="876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 x14ac:dyDescent="0.5">
      <c r="A180" s="875" t="s">
        <v>212</v>
      </c>
      <c r="B180" s="876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 x14ac:dyDescent="0.5">
      <c r="A181" s="919" t="s">
        <v>108</v>
      </c>
      <c r="B181" s="920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75" t="s">
        <v>214</v>
      </c>
      <c r="B183" s="876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 x14ac:dyDescent="0.5">
      <c r="A184" s="875" t="s">
        <v>215</v>
      </c>
      <c r="B184" s="876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 x14ac:dyDescent="0.5">
      <c r="A185" s="875" t="s">
        <v>216</v>
      </c>
      <c r="B185" s="876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 x14ac:dyDescent="0.5">
      <c r="A187" s="923" t="s">
        <v>217</v>
      </c>
      <c r="B187" s="924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 x14ac:dyDescent="0.5">
      <c r="A188" s="923" t="s">
        <v>218</v>
      </c>
      <c r="B188" s="924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-2826</v>
      </c>
      <c r="I188" s="158"/>
      <c r="J188" s="179">
        <f>H188/DAY(B2)</f>
        <v>-94.2</v>
      </c>
    </row>
    <row r="189" spans="1:10" ht="30.75" customHeight="1" x14ac:dyDescent="0.5">
      <c r="A189" s="923" t="s">
        <v>219</v>
      </c>
      <c r="B189" s="924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-1776</v>
      </c>
      <c r="I189" s="158"/>
      <c r="J189" s="179">
        <f>H189/DAY(B2)</f>
        <v>-59.2</v>
      </c>
    </row>
    <row r="190" spans="1:10" ht="30.75" customHeight="1" x14ac:dyDescent="0.5">
      <c r="A190" s="846" t="s">
        <v>360</v>
      </c>
      <c r="B190" s="847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71" t="s">
        <v>129</v>
      </c>
      <c r="B7" s="972"/>
      <c r="C7" s="973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1000026.6</v>
      </c>
      <c r="I8" s="116"/>
      <c r="J8" s="175">
        <f>H8/DAY(B2)</f>
        <v>32258.922580645161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74" t="s">
        <v>132</v>
      </c>
      <c r="B9" s="975"/>
      <c r="C9" s="976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-2.9103830456733704E-11</v>
      </c>
      <c r="I9" s="124">
        <f>I7-J7</f>
        <v>11999.516129032258</v>
      </c>
      <c r="J9" s="175">
        <f>H9/DAY(B2)</f>
        <v>-9.3883324053979686E-13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71" t="s">
        <v>133</v>
      </c>
      <c r="B10" s="972"/>
      <c r="C10" s="973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-7.2759576141834259E-12</v>
      </c>
      <c r="I10" s="120"/>
      <c r="J10" s="175">
        <f>H10/DAY(B2)</f>
        <v>-2.3470831013494922E-13</v>
      </c>
      <c r="K10" s="79"/>
      <c r="L10" s="66"/>
      <c r="N10" s="87"/>
      <c r="O10" s="71"/>
    </row>
    <row r="11" spans="1:15" ht="21.95" customHeight="1" x14ac:dyDescent="0.4">
      <c r="A11" s="971" t="s">
        <v>134</v>
      </c>
      <c r="B11" s="972"/>
      <c r="C11" s="973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71" t="s">
        <v>135</v>
      </c>
      <c r="B12" s="972"/>
      <c r="C12" s="973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-16754.43000000008</v>
      </c>
      <c r="I13" s="120">
        <f>G7-G13</f>
        <v>512.41000000000349</v>
      </c>
      <c r="J13" s="175">
        <f>H13/DAY(B2)</f>
        <v>-540.46548387097039</v>
      </c>
      <c r="K13" s="79"/>
      <c r="L13" s="66"/>
      <c r="N13" s="87"/>
      <c r="O13" s="71"/>
    </row>
    <row r="14" spans="1:15" ht="29.25" x14ac:dyDescent="0.5">
      <c r="A14" s="862" t="s">
        <v>137</v>
      </c>
      <c r="B14" s="863"/>
      <c r="C14" s="864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53" t="s">
        <v>138</v>
      </c>
      <c r="B15" s="854"/>
      <c r="C15" s="855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 x14ac:dyDescent="0.4">
      <c r="A16" s="968"/>
      <c r="B16" s="969"/>
      <c r="C16" s="970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 x14ac:dyDescent="0.5">
      <c r="A17" s="862" t="s">
        <v>140</v>
      </c>
      <c r="B17" s="863"/>
      <c r="C17" s="864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3" t="s">
        <v>141</v>
      </c>
      <c r="B18" s="854"/>
      <c r="C18" s="855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5780</v>
      </c>
      <c r="I18" s="113">
        <f>'1'!I18</f>
        <v>65</v>
      </c>
      <c r="J18" s="175">
        <f>H18/DAY(B2)</f>
        <v>186.45161290322579</v>
      </c>
      <c r="K18" s="79"/>
      <c r="L18" s="66"/>
      <c r="N18" s="87"/>
      <c r="O18" s="71"/>
    </row>
    <row r="19" spans="1:15" ht="27.75" x14ac:dyDescent="0.5">
      <c r="A19" s="853" t="s">
        <v>69</v>
      </c>
      <c r="B19" s="854"/>
      <c r="C19" s="855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5780</v>
      </c>
      <c r="I20" s="336">
        <f>I18-J20</f>
        <v>-121.45161290322579</v>
      </c>
      <c r="J20" s="175">
        <f>H20/DAY(B2)</f>
        <v>186.45161290322579</v>
      </c>
      <c r="K20" s="79"/>
      <c r="L20" s="66"/>
      <c r="N20" s="87"/>
      <c r="O20" s="71"/>
    </row>
    <row r="21" spans="1:15" ht="29.25" x14ac:dyDescent="0.5">
      <c r="A21" s="862" t="s">
        <v>144</v>
      </c>
      <c r="B21" s="863"/>
      <c r="C21" s="864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67" t="s">
        <v>149</v>
      </c>
      <c r="B25" s="868"/>
      <c r="C25" s="869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9000239.4000000004</v>
      </c>
      <c r="I27" s="138"/>
      <c r="J27" s="175">
        <f>H27/DAY(B2)</f>
        <v>290330.30322580645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81231.349999999991</v>
      </c>
      <c r="I28" s="690"/>
      <c r="J28" s="175">
        <f>H28/DAY(B2)</f>
        <v>2620.366129032258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69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1142.5600000000013</v>
      </c>
      <c r="I30" s="690"/>
      <c r="J30" s="175">
        <f>H30/DAY(B2)</f>
        <v>36.856774193548432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462400</v>
      </c>
      <c r="I31" s="690"/>
      <c r="J31" s="175">
        <f>H31/DAY(B2)</f>
        <v>14916.129032258064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9545013.3100000005</v>
      </c>
      <c r="I32" s="144"/>
      <c r="J32" s="175">
        <f>H32/DAY(B2)</f>
        <v>307903.65516129031</v>
      </c>
      <c r="K32" s="63"/>
      <c r="L32" s="89"/>
      <c r="N32" s="87"/>
      <c r="O32" s="71"/>
    </row>
    <row r="33" spans="1:15" ht="25.5" customHeight="1" x14ac:dyDescent="0.35">
      <c r="A33" s="870" t="s">
        <v>331</v>
      </c>
      <c r="B33" s="871"/>
      <c r="C33" s="871"/>
      <c r="D33" s="337"/>
      <c r="E33" s="691"/>
      <c r="F33" s="691"/>
      <c r="G33" s="691"/>
      <c r="H33" s="691"/>
      <c r="I33" s="691"/>
      <c r="J33" s="692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-3.637978807091713E-12</v>
      </c>
      <c r="I35" s="95"/>
      <c r="J35" s="175">
        <f>H35/DAY(B2)</f>
        <v>-1.1735415506747461E-13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-3.637978807091713E-12</v>
      </c>
      <c r="I39" s="95"/>
      <c r="J39" s="175">
        <f>H39/DAY(B2)</f>
        <v>-1.1735415506747461E-13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-867.13000000000193</v>
      </c>
      <c r="I40" s="95"/>
      <c r="J40" s="175">
        <f>H40/DAY(B2)</f>
        <v>-27.971935483871029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-929.85999999997512</v>
      </c>
      <c r="I47" s="95"/>
      <c r="J47" s="175">
        <f>H47/DAY(B2)</f>
        <v>-29.99548387096694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4.5474735088646412E-13</v>
      </c>
      <c r="I58" s="95"/>
      <c r="J58" s="175">
        <f>H58/DAY(B2)</f>
        <v>1.4669269383434326E-14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4.5474735088646412E-12</v>
      </c>
      <c r="I59" s="95">
        <f>G7-G60</f>
        <v>555.93999999997686</v>
      </c>
      <c r="J59" s="175">
        <f>H59/DAY(B2)</f>
        <v>1.4669269383434326E-13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-929.85999999994601</v>
      </c>
      <c r="I60" s="95">
        <f>G13-G60</f>
        <v>43.52999999997337</v>
      </c>
      <c r="J60" s="175">
        <f>H60/DAY(B2)</f>
        <v>-29.995483870966002</v>
      </c>
      <c r="K60" s="79"/>
      <c r="L60" s="66"/>
      <c r="N60" s="87"/>
      <c r="O60" s="71"/>
    </row>
    <row r="61" spans="1:15" s="68" customFormat="1" ht="27.75" x14ac:dyDescent="0.5">
      <c r="A61" s="872" t="s">
        <v>332</v>
      </c>
      <c r="B61" s="873"/>
      <c r="C61" s="874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53" t="s">
        <v>198</v>
      </c>
      <c r="B62" s="854"/>
      <c r="C62" s="855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3" t="s">
        <v>199</v>
      </c>
      <c r="B63" s="854"/>
      <c r="C63" s="855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50" t="s">
        <v>200</v>
      </c>
      <c r="B64" s="851"/>
      <c r="C64" s="852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53" t="s">
        <v>201</v>
      </c>
      <c r="B65" s="854"/>
      <c r="C65" s="855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50" t="s">
        <v>208</v>
      </c>
      <c r="B71" s="851"/>
      <c r="C71" s="852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3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96"/>
      <c r="B72" s="888"/>
      <c r="C72" s="347"/>
      <c r="D72" s="180"/>
      <c r="E72" s="494" t="s">
        <v>207</v>
      </c>
      <c r="F72" s="494"/>
      <c r="G72" s="494"/>
      <c r="H72" s="181"/>
      <c r="I72" s="494"/>
      <c r="J72" s="694"/>
      <c r="N72" s="87"/>
      <c r="O72" s="71"/>
    </row>
    <row r="73" spans="1:15" ht="29.25" x14ac:dyDescent="0.5">
      <c r="A73" s="901" t="s">
        <v>333</v>
      </c>
      <c r="B73" s="902"/>
      <c r="C73" s="903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53" t="s">
        <v>220</v>
      </c>
      <c r="B74" s="854"/>
      <c r="C74" s="855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3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53" t="s">
        <v>221</v>
      </c>
      <c r="B75" s="854"/>
      <c r="C75" s="855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3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97" t="s">
        <v>222</v>
      </c>
      <c r="B76" s="883"/>
      <c r="C76" s="884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3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97" t="s">
        <v>223</v>
      </c>
      <c r="B77" s="883"/>
      <c r="C77" s="884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3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97" t="s">
        <v>224</v>
      </c>
      <c r="B78" s="883"/>
      <c r="C78" s="884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3</v>
      </c>
      <c r="I78" s="95"/>
      <c r="J78" s="175">
        <f>H78/DAY(B2)</f>
        <v>9.6774193548387094E-2</v>
      </c>
      <c r="K78" s="69"/>
      <c r="L78" s="66"/>
      <c r="N78" s="87"/>
      <c r="O78" s="71"/>
    </row>
    <row r="79" spans="1:15" s="57" customFormat="1" ht="27.75" x14ac:dyDescent="0.5">
      <c r="A79" s="897" t="s">
        <v>225</v>
      </c>
      <c r="B79" s="883"/>
      <c r="C79" s="884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-2.999999999998181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850" t="s">
        <v>329</v>
      </c>
      <c r="B80" s="851"/>
      <c r="C80" s="852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889" t="s">
        <v>226</v>
      </c>
      <c r="B81" s="890"/>
      <c r="C81" s="891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 x14ac:dyDescent="0.5">
      <c r="A93" s="898" t="s">
        <v>239</v>
      </c>
      <c r="B93" s="899"/>
      <c r="C93" s="900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3" t="s">
        <v>240</v>
      </c>
      <c r="B94" s="854"/>
      <c r="C94" s="855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-3.2741809263825417E-11</v>
      </c>
      <c r="I94" s="95"/>
      <c r="J94" s="175">
        <f>H94/DAY(B2)</f>
        <v>-1.0561873956072716E-12</v>
      </c>
      <c r="K94" s="69"/>
      <c r="L94" s="66"/>
      <c r="O94" s="71"/>
    </row>
    <row r="95" spans="1:15" ht="27.75" x14ac:dyDescent="0.5">
      <c r="A95" s="853" t="s">
        <v>241</v>
      </c>
      <c r="B95" s="854"/>
      <c r="C95" s="855"/>
      <c r="D95" s="151" t="s">
        <v>23</v>
      </c>
      <c r="E95" s="146"/>
      <c r="F95" s="146"/>
      <c r="G95" s="166">
        <f>G94/G7</f>
        <v>0.22684897381265082</v>
      </c>
      <c r="H95" s="99">
        <f>G95+'30'!H95</f>
        <v>7.7034040417866851</v>
      </c>
      <c r="I95" s="695"/>
      <c r="J95" s="175">
        <f>H95/DAY(B2)</f>
        <v>0.24849690457376403</v>
      </c>
      <c r="K95" s="69"/>
      <c r="L95" s="66"/>
      <c r="O95" s="71"/>
    </row>
    <row r="96" spans="1:15" ht="27.75" x14ac:dyDescent="0.5">
      <c r="A96" s="853" t="s">
        <v>242</v>
      </c>
      <c r="B96" s="854"/>
      <c r="C96" s="855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-62.729999999995925</v>
      </c>
      <c r="I96" s="95"/>
      <c r="J96" s="175">
        <f>H96/DAY(B2)</f>
        <v>-2.0235483870966426</v>
      </c>
      <c r="K96" s="69"/>
      <c r="L96" s="66"/>
      <c r="O96" s="71"/>
    </row>
    <row r="97" spans="1:15" ht="27.75" x14ac:dyDescent="0.5">
      <c r="A97" s="853" t="s">
        <v>243</v>
      </c>
      <c r="B97" s="854"/>
      <c r="C97" s="855"/>
      <c r="D97" s="151" t="s">
        <v>23</v>
      </c>
      <c r="E97" s="95"/>
      <c r="F97" s="95"/>
      <c r="G97" s="166">
        <f>G96/G7</f>
        <v>0.24519096208009153</v>
      </c>
      <c r="H97" s="99">
        <f>G97+'30'!H97</f>
        <v>6.1638038091948379</v>
      </c>
      <c r="I97" s="695"/>
      <c r="J97" s="175">
        <f>H97/DAY(B2)</f>
        <v>0.19883238094176897</v>
      </c>
      <c r="K97" s="69"/>
      <c r="L97" s="66"/>
      <c r="O97" s="71"/>
    </row>
    <row r="98" spans="1:15" ht="27.75" x14ac:dyDescent="0.5">
      <c r="A98" s="853" t="s">
        <v>244</v>
      </c>
      <c r="B98" s="854"/>
      <c r="C98" s="855"/>
      <c r="D98" s="151" t="s">
        <v>130</v>
      </c>
      <c r="E98" s="95"/>
      <c r="F98" s="95"/>
      <c r="G98" s="99">
        <f>G39+G53</f>
        <v>2649.2900000000009</v>
      </c>
      <c r="H98" s="99">
        <f>G98+'30'!H98</f>
        <v>-3.637978807091713E-12</v>
      </c>
      <c r="I98" s="650"/>
      <c r="J98" s="175">
        <f>H98/DAY(B2)</f>
        <v>-1.1735415506747461E-13</v>
      </c>
      <c r="K98" s="69"/>
      <c r="L98" s="66"/>
      <c r="O98" s="71"/>
    </row>
    <row r="99" spans="1:15" ht="27.75" x14ac:dyDescent="0.5">
      <c r="A99" s="853" t="s">
        <v>245</v>
      </c>
      <c r="B99" s="854"/>
      <c r="C99" s="855"/>
      <c r="D99" s="151" t="s">
        <v>23</v>
      </c>
      <c r="E99" s="95"/>
      <c r="F99" s="95"/>
      <c r="G99" s="166">
        <f>G98/G7</f>
        <v>0.15040623405053777</v>
      </c>
      <c r="H99" s="99">
        <f>G99+'30'!H99</f>
        <v>4.5884381850695428</v>
      </c>
      <c r="I99" s="650"/>
      <c r="J99" s="175">
        <f>H99/DAY(B2)</f>
        <v>0.14801413500224331</v>
      </c>
      <c r="O99" s="71"/>
    </row>
    <row r="100" spans="1:15" ht="27.75" x14ac:dyDescent="0.5">
      <c r="A100" s="853" t="s">
        <v>246</v>
      </c>
      <c r="B100" s="854"/>
      <c r="C100" s="855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7.75" x14ac:dyDescent="0.5">
      <c r="A101" s="853" t="s">
        <v>247</v>
      </c>
      <c r="B101" s="854"/>
      <c r="C101" s="855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3.0373674878611867</v>
      </c>
      <c r="I101" s="650"/>
      <c r="J101" s="175">
        <f>H101/DAY(B2)</f>
        <v>9.7979596382618925E-2</v>
      </c>
      <c r="O101" s="71"/>
    </row>
    <row r="102" spans="1:15" ht="27.75" x14ac:dyDescent="0.5">
      <c r="A102" s="853" t="s">
        <v>248</v>
      </c>
      <c r="B102" s="854"/>
      <c r="C102" s="855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0"/>
      <c r="J102" s="175">
        <f>H102/DAY(B2)</f>
        <v>0</v>
      </c>
      <c r="O102" s="71"/>
    </row>
    <row r="103" spans="1:15" ht="27.75" x14ac:dyDescent="0.5">
      <c r="A103" s="853" t="s">
        <v>249</v>
      </c>
      <c r="B103" s="854"/>
      <c r="C103" s="855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3.3043364629746543</v>
      </c>
      <c r="I103" s="95"/>
      <c r="J103" s="175">
        <f>H103/DAY(B2)</f>
        <v>0.10659149880563401</v>
      </c>
      <c r="O103" s="71"/>
    </row>
    <row r="104" spans="1:15" ht="27.75" x14ac:dyDescent="0.5">
      <c r="A104" s="853" t="s">
        <v>250</v>
      </c>
      <c r="B104" s="854"/>
      <c r="C104" s="855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8.5" thickBot="1" x14ac:dyDescent="0.55000000000000004">
      <c r="A105" s="893" t="s">
        <v>251</v>
      </c>
      <c r="B105" s="894"/>
      <c r="C105" s="895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2.6750562378626994</v>
      </c>
      <c r="I105" s="185"/>
      <c r="J105" s="188">
        <f>H105/DAY(B2)</f>
        <v>8.6292136705248365E-2</v>
      </c>
      <c r="O105" s="71"/>
    </row>
    <row r="106" spans="1:15" ht="29.25" x14ac:dyDescent="0.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 x14ac:dyDescent="0.5"/>
    <row r="108" spans="1:15" ht="31.5" x14ac:dyDescent="0.55000000000000004">
      <c r="A108" s="907" t="s">
        <v>324</v>
      </c>
      <c r="B108" s="907"/>
      <c r="C108" s="907"/>
      <c r="D108" s="907"/>
      <c r="E108" s="907"/>
      <c r="F108" s="907"/>
      <c r="G108" s="907"/>
      <c r="H108" s="907"/>
      <c r="I108" s="907"/>
      <c r="J108" s="907"/>
    </row>
    <row r="109" spans="1:15" ht="29.25" x14ac:dyDescent="0.5">
      <c r="A109" s="892"/>
      <c r="B109" s="892"/>
    </row>
    <row r="110" spans="1:15" ht="29.25" x14ac:dyDescent="0.5">
      <c r="A110" s="908" t="s">
        <v>165</v>
      </c>
      <c r="B110" s="909"/>
      <c r="C110" s="909"/>
      <c r="D110" s="909"/>
      <c r="E110" s="909"/>
      <c r="F110" s="909"/>
      <c r="G110" s="909"/>
      <c r="H110" s="909"/>
      <c r="I110" s="909"/>
      <c r="J110" s="910"/>
    </row>
    <row r="111" spans="1:15" ht="27.75" x14ac:dyDescent="0.5">
      <c r="A111" s="911"/>
      <c r="B111" s="912"/>
      <c r="C111" s="913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886" t="s">
        <v>252</v>
      </c>
      <c r="B112" s="887"/>
      <c r="C112" s="888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 x14ac:dyDescent="0.5">
      <c r="A113" s="886" t="s">
        <v>253</v>
      </c>
      <c r="B113" s="887"/>
      <c r="C113" s="888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 x14ac:dyDescent="0.5">
      <c r="A114" s="886" t="s">
        <v>254</v>
      </c>
      <c r="B114" s="887"/>
      <c r="C114" s="888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0</v>
      </c>
      <c r="I114" s="155"/>
      <c r="J114" s="328">
        <f>H114/DAY(B2)</f>
        <v>0</v>
      </c>
    </row>
    <row r="115" spans="1:18" ht="27.75" x14ac:dyDescent="0.5">
      <c r="A115" s="886" t="s">
        <v>255</v>
      </c>
      <c r="B115" s="887"/>
      <c r="C115" s="888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 x14ac:dyDescent="0.5">
      <c r="A116" s="904" t="s">
        <v>96</v>
      </c>
      <c r="B116" s="905"/>
      <c r="C116" s="906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86"/>
      <c r="R116" s="888"/>
    </row>
    <row r="117" spans="1:18" ht="27.75" x14ac:dyDescent="0.5">
      <c r="A117" s="904" t="s">
        <v>184</v>
      </c>
      <c r="B117" s="905"/>
      <c r="C117" s="906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86"/>
      <c r="R117" s="888"/>
    </row>
    <row r="118" spans="1:18" ht="27.75" x14ac:dyDescent="0.5">
      <c r="A118" s="881" t="s">
        <v>97</v>
      </c>
      <c r="B118" s="881"/>
      <c r="C118" s="881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86"/>
      <c r="R118" s="888"/>
    </row>
    <row r="119" spans="1:18" ht="27.75" x14ac:dyDescent="0.5">
      <c r="A119" s="881" t="s">
        <v>98</v>
      </c>
      <c r="B119" s="881"/>
      <c r="C119" s="881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 x14ac:dyDescent="0.5">
      <c r="A120" s="881" t="s">
        <v>99</v>
      </c>
      <c r="B120" s="881"/>
      <c r="C120" s="881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 x14ac:dyDescent="0.5">
      <c r="A121" s="881" t="s">
        <v>100</v>
      </c>
      <c r="B121" s="881"/>
      <c r="C121" s="881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 x14ac:dyDescent="0.5">
      <c r="A122" s="881" t="s">
        <v>101</v>
      </c>
      <c r="B122" s="881"/>
      <c r="C122" s="881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 x14ac:dyDescent="0.5">
      <c r="A123" s="881" t="s">
        <v>348</v>
      </c>
      <c r="B123" s="881"/>
      <c r="C123" s="881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 x14ac:dyDescent="0.5">
      <c r="A124" s="911"/>
      <c r="B124" s="912"/>
      <c r="C124" s="913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14" t="s">
        <v>196</v>
      </c>
      <c r="B125" s="977"/>
      <c r="C125" s="915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16" t="s">
        <v>317</v>
      </c>
      <c r="B126" s="916"/>
      <c r="C126" s="916"/>
      <c r="D126" s="916"/>
      <c r="E126" s="916"/>
      <c r="F126" s="916"/>
      <c r="G126" s="916"/>
      <c r="H126" s="916"/>
      <c r="I126" s="916"/>
      <c r="J126" s="916"/>
    </row>
    <row r="127" spans="1:18" ht="27.75" x14ac:dyDescent="0.5">
      <c r="A127" s="917"/>
      <c r="B127" s="917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886" t="s">
        <v>318</v>
      </c>
      <c r="B128" s="887"/>
      <c r="C128" s="888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 x14ac:dyDescent="0.5">
      <c r="A131" s="886" t="s">
        <v>321</v>
      </c>
      <c r="B131" s="887"/>
      <c r="C131" s="888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 x14ac:dyDescent="0.5">
      <c r="A132" s="886" t="s">
        <v>322</v>
      </c>
      <c r="B132" s="887"/>
      <c r="C132" s="888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 x14ac:dyDescent="0.5">
      <c r="A133" s="886" t="s">
        <v>362</v>
      </c>
      <c r="B133" s="887"/>
      <c r="C133" s="888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 x14ac:dyDescent="0.5">
      <c r="A134" s="886" t="s">
        <v>340</v>
      </c>
      <c r="B134" s="887"/>
      <c r="C134" s="888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0</v>
      </c>
      <c r="I134" s="155"/>
      <c r="J134" s="328">
        <f>H134/DAY(B2)</f>
        <v>0</v>
      </c>
    </row>
    <row r="135" spans="1:15" ht="27.75" x14ac:dyDescent="0.5">
      <c r="A135" s="914" t="s">
        <v>196</v>
      </c>
      <c r="B135" s="977"/>
      <c r="C135" s="915"/>
      <c r="D135" s="151"/>
      <c r="E135" s="95"/>
      <c r="F135" s="155"/>
      <c r="G135" s="112">
        <f>SUM(G128:G134)</f>
        <v>1783.7799999999988</v>
      </c>
      <c r="H135" s="99">
        <f>G135+'23'!H135</f>
        <v>27376.169999999984</v>
      </c>
      <c r="I135" s="156">
        <f>G135-(G35+G49)</f>
        <v>-326.38999999999942</v>
      </c>
      <c r="J135" s="328"/>
    </row>
    <row r="136" spans="1:15" ht="31.5" x14ac:dyDescent="0.55000000000000004">
      <c r="A136" s="918" t="s">
        <v>325</v>
      </c>
      <c r="B136" s="918"/>
      <c r="C136" s="918"/>
      <c r="D136" s="918"/>
      <c r="E136" s="918"/>
      <c r="F136" s="918"/>
      <c r="G136" s="918"/>
      <c r="H136" s="918"/>
      <c r="I136" s="918"/>
      <c r="J136" s="918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881" t="s">
        <v>185</v>
      </c>
      <c r="B138" s="881"/>
      <c r="C138" s="881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 x14ac:dyDescent="0.5">
      <c r="A139" s="881" t="s">
        <v>186</v>
      </c>
      <c r="B139" s="881"/>
      <c r="C139" s="881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 x14ac:dyDescent="0.5">
      <c r="A140" s="881" t="s">
        <v>187</v>
      </c>
      <c r="B140" s="881"/>
      <c r="C140" s="881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 x14ac:dyDescent="0.5">
      <c r="A141" s="885" t="s">
        <v>188</v>
      </c>
      <c r="B141" s="885"/>
      <c r="C141" s="885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 x14ac:dyDescent="0.5">
      <c r="A142" s="885" t="s">
        <v>189</v>
      </c>
      <c r="B142" s="885"/>
      <c r="C142" s="885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0"/>
      <c r="J142" s="328">
        <f>H142/DAY(B2)</f>
        <v>0</v>
      </c>
    </row>
    <row r="143" spans="1:15" ht="27.75" x14ac:dyDescent="0.5">
      <c r="A143" s="881" t="s">
        <v>91</v>
      </c>
      <c r="B143" s="881"/>
      <c r="C143" s="881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0"/>
      <c r="J143" s="328">
        <f>H143/DAY(B2)</f>
        <v>0</v>
      </c>
    </row>
    <row r="144" spans="1:15" ht="27.75" x14ac:dyDescent="0.5">
      <c r="A144" s="885" t="s">
        <v>90</v>
      </c>
      <c r="B144" s="885"/>
      <c r="C144" s="885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0"/>
      <c r="J144" s="328">
        <f>H144/DAY(B2)</f>
        <v>0</v>
      </c>
    </row>
    <row r="145" spans="1:11" ht="27.75" x14ac:dyDescent="0.5">
      <c r="A145" s="881" t="s">
        <v>190</v>
      </c>
      <c r="B145" s="881"/>
      <c r="C145" s="881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0"/>
      <c r="J145" s="328">
        <f>H145/DAY(B2)</f>
        <v>0</v>
      </c>
    </row>
    <row r="146" spans="1:11" ht="27.75" x14ac:dyDescent="0.5">
      <c r="A146" s="882" t="s">
        <v>191</v>
      </c>
      <c r="B146" s="883"/>
      <c r="C146" s="884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0"/>
      <c r="J146" s="328">
        <f>H146/DAY(B2)</f>
        <v>0</v>
      </c>
    </row>
    <row r="147" spans="1:11" ht="27.75" x14ac:dyDescent="0.5">
      <c r="A147" s="885" t="s">
        <v>192</v>
      </c>
      <c r="B147" s="885"/>
      <c r="C147" s="885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0"/>
      <c r="J147" s="328">
        <f>H147/DAY(B2)</f>
        <v>0</v>
      </c>
    </row>
    <row r="148" spans="1:11" ht="27.75" x14ac:dyDescent="0.5">
      <c r="A148" s="877" t="s">
        <v>193</v>
      </c>
      <c r="B148" s="878"/>
      <c r="C148" s="879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77" t="s">
        <v>336</v>
      </c>
      <c r="B149" s="878"/>
      <c r="C149" s="879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77" t="s">
        <v>337</v>
      </c>
      <c r="B150" s="878"/>
      <c r="C150" s="879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77" t="s">
        <v>338</v>
      </c>
      <c r="B151" s="878"/>
      <c r="C151" s="879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77" t="s">
        <v>339</v>
      </c>
      <c r="B152" s="878"/>
      <c r="C152" s="879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914" t="s">
        <v>196</v>
      </c>
      <c r="B153" s="977"/>
      <c r="C153" s="915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18" t="s">
        <v>344</v>
      </c>
      <c r="B154" s="918"/>
      <c r="C154" s="918"/>
      <c r="D154" s="918"/>
      <c r="E154" s="918"/>
      <c r="F154" s="918"/>
      <c r="G154" s="918"/>
      <c r="H154" s="918"/>
      <c r="I154" s="918"/>
      <c r="J154" s="918"/>
    </row>
    <row r="155" spans="1:11" ht="31.5" x14ac:dyDescent="0.55000000000000004">
      <c r="A155" s="885" t="s">
        <v>345</v>
      </c>
      <c r="B155" s="885"/>
      <c r="C155" s="885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 x14ac:dyDescent="0.5">
      <c r="A156" s="885" t="s">
        <v>347</v>
      </c>
      <c r="B156" s="885"/>
      <c r="C156" s="885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 x14ac:dyDescent="0.5">
      <c r="A157" s="877" t="s">
        <v>363</v>
      </c>
      <c r="B157" s="878"/>
      <c r="C157" s="879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 x14ac:dyDescent="0.5">
      <c r="A158" s="877" t="s">
        <v>364</v>
      </c>
      <c r="B158" s="878"/>
      <c r="C158" s="879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 x14ac:dyDescent="0.5">
      <c r="A159" s="934"/>
      <c r="B159" s="935"/>
      <c r="C159" s="936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18" t="s">
        <v>326</v>
      </c>
      <c r="B160" s="918"/>
      <c r="C160" s="918"/>
      <c r="D160" s="918"/>
      <c r="E160" s="918"/>
      <c r="F160" s="918"/>
      <c r="G160" s="918"/>
      <c r="H160" s="918"/>
      <c r="I160" s="918"/>
      <c r="J160" s="918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917"/>
      <c r="B166" s="917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17"/>
      <c r="B167" s="917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17"/>
      <c r="B168" s="917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25" t="s">
        <v>330</v>
      </c>
      <c r="B171" s="926"/>
      <c r="C171" s="926"/>
      <c r="D171" s="926"/>
      <c r="E171" s="926"/>
      <c r="F171" s="926"/>
      <c r="G171" s="926"/>
      <c r="H171" s="926"/>
      <c r="I171" s="926"/>
      <c r="J171" s="927"/>
    </row>
    <row r="172" spans="1:10" ht="27.75" x14ac:dyDescent="0.5">
      <c r="A172" s="921"/>
      <c r="B172" s="922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75" t="s">
        <v>209</v>
      </c>
      <c r="B173" s="876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75" t="s">
        <v>75</v>
      </c>
      <c r="B174" s="876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75" t="s">
        <v>76</v>
      </c>
      <c r="B175" s="880"/>
      <c r="C175" s="876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914" t="s">
        <v>196</v>
      </c>
      <c r="B176" s="977"/>
      <c r="C176" s="915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75" t="s">
        <v>77</v>
      </c>
      <c r="B177" s="876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75" t="s">
        <v>210</v>
      </c>
      <c r="B178" s="876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75" t="s">
        <v>211</v>
      </c>
      <c r="B179" s="876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75" t="s">
        <v>212</v>
      </c>
      <c r="B180" s="876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919" t="s">
        <v>108</v>
      </c>
      <c r="B181" s="920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75" t="s">
        <v>213</v>
      </c>
      <c r="B182" s="876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75" t="s">
        <v>214</v>
      </c>
      <c r="B183" s="876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75" t="s">
        <v>215</v>
      </c>
      <c r="B184" s="876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75" t="s">
        <v>216</v>
      </c>
      <c r="B185" s="876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14" t="s">
        <v>196</v>
      </c>
      <c r="B186" s="915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923" t="s">
        <v>217</v>
      </c>
      <c r="B187" s="924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 x14ac:dyDescent="0.5">
      <c r="A188" s="923" t="s">
        <v>218</v>
      </c>
      <c r="B188" s="924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-2700</v>
      </c>
      <c r="I188" s="157"/>
      <c r="J188" s="179">
        <f>H188/DAY(B2)</f>
        <v>-87.096774193548384</v>
      </c>
    </row>
    <row r="189" spans="1:10" ht="27.75" x14ac:dyDescent="0.5">
      <c r="A189" s="923" t="s">
        <v>219</v>
      </c>
      <c r="B189" s="924"/>
      <c r="C189" s="333"/>
      <c r="D189" s="230" t="s">
        <v>142</v>
      </c>
      <c r="E189" s="95">
        <f>'30'!F189</f>
        <v>0</v>
      </c>
      <c r="F189" s="157"/>
      <c r="G189" s="689">
        <f>G181</f>
        <v>167</v>
      </c>
      <c r="H189" s="99">
        <f>G189+'30'!H189</f>
        <v>-1609</v>
      </c>
      <c r="I189" s="157"/>
      <c r="J189" s="179">
        <f>H189/DAY(B2)</f>
        <v>-51.903225806451616</v>
      </c>
    </row>
    <row r="190" spans="1:10" ht="27.75" x14ac:dyDescent="0.5">
      <c r="A190" s="846"/>
      <c r="B190" s="847"/>
      <c r="C190" s="481"/>
      <c r="D190" s="478"/>
      <c r="E190" s="497" t="s">
        <v>207</v>
      </c>
      <c r="F190" s="497"/>
      <c r="G190" s="497"/>
      <c r="H190" s="479"/>
      <c r="I190" s="497"/>
      <c r="J190" s="696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46"/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48" t="s">
        <v>6</v>
      </c>
      <c r="F2" s="748"/>
      <c r="G2" s="748"/>
      <c r="H2" s="754" t="s">
        <v>14</v>
      </c>
      <c r="I2" s="754"/>
      <c r="J2" s="754"/>
      <c r="K2" s="264" t="s">
        <v>15</v>
      </c>
      <c r="L2" s="754" t="s">
        <v>16</v>
      </c>
      <c r="M2" s="754"/>
      <c r="N2" s="754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 x14ac:dyDescent="0.2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 x14ac:dyDescent="0.2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 x14ac:dyDescent="0.2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 x14ac:dyDescent="0.2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 x14ac:dyDescent="0.25">
      <c r="A11" s="16">
        <v>8</v>
      </c>
      <c r="B11" s="26">
        <v>8</v>
      </c>
      <c r="C11" s="18"/>
      <c r="D11" s="19">
        <f>'8'!F8</f>
        <v>865054</v>
      </c>
      <c r="E11" s="19">
        <f>'8'!G96</f>
        <v>4082.4900000000066</v>
      </c>
      <c r="F11" s="19">
        <f>'1'!F142</f>
        <v>21357.57</v>
      </c>
      <c r="G11" s="21">
        <f t="shared" si="0"/>
        <v>87192065.94930014</v>
      </c>
      <c r="H11" s="19">
        <f>'8'!G68</f>
        <v>30</v>
      </c>
      <c r="I11" s="19">
        <f>'8'!G69</f>
        <v>10</v>
      </c>
      <c r="J11" s="19">
        <f>'8'!G70</f>
        <v>33</v>
      </c>
      <c r="K11" s="23">
        <f t="shared" si="1"/>
        <v>40</v>
      </c>
      <c r="L11" s="19">
        <f>'8'!G71</f>
        <v>214</v>
      </c>
      <c r="M11" s="19">
        <f>'8'!G72</f>
        <v>0</v>
      </c>
      <c r="N11" s="19">
        <v>0</v>
      </c>
      <c r="O11" s="23">
        <f t="shared" si="2"/>
        <v>214</v>
      </c>
    </row>
    <row r="12" spans="1:15" x14ac:dyDescent="0.25">
      <c r="A12" s="16">
        <v>9</v>
      </c>
      <c r="B12" s="27">
        <v>9</v>
      </c>
      <c r="C12" s="26"/>
      <c r="D12" s="19">
        <f>'9'!F8</f>
        <v>884521</v>
      </c>
      <c r="E12" s="19">
        <f>'9'!G96</f>
        <v>3894.5299999999988</v>
      </c>
      <c r="F12" s="19">
        <f>'1'!F142</f>
        <v>21357.57</v>
      </c>
      <c r="G12" s="21">
        <f t="shared" si="0"/>
        <v>83177697.09209998</v>
      </c>
      <c r="H12" s="19">
        <f>'9'!G68</f>
        <v>37</v>
      </c>
      <c r="I12" s="19">
        <f>'9'!G69</f>
        <v>9</v>
      </c>
      <c r="J12" s="19">
        <f>'9'!G70</f>
        <v>14</v>
      </c>
      <c r="K12" s="23">
        <f t="shared" si="1"/>
        <v>46</v>
      </c>
      <c r="L12" s="19">
        <f>'9'!G71</f>
        <v>238</v>
      </c>
      <c r="M12" s="19">
        <f>'9'!G72</f>
        <v>0</v>
      </c>
      <c r="N12" s="19">
        <v>0</v>
      </c>
      <c r="O12" s="23">
        <f t="shared" si="2"/>
        <v>238</v>
      </c>
    </row>
    <row r="13" spans="1:15" x14ac:dyDescent="0.25">
      <c r="A13" s="16">
        <v>10</v>
      </c>
      <c r="B13" s="27">
        <v>10</v>
      </c>
      <c r="C13" s="26"/>
      <c r="D13" s="19">
        <f>'10'!F8</f>
        <v>904894</v>
      </c>
      <c r="E13" s="19">
        <f>'10'!G96</f>
        <v>4557</v>
      </c>
      <c r="F13" s="19">
        <f>'1'!F142</f>
        <v>21357.57</v>
      </c>
      <c r="G13" s="21">
        <f t="shared" si="0"/>
        <v>97326446.489999995</v>
      </c>
      <c r="H13" s="19">
        <f>'10'!G68</f>
        <v>40</v>
      </c>
      <c r="I13" s="19">
        <f>'10'!G69</f>
        <v>18</v>
      </c>
      <c r="J13" s="19">
        <f>'10'!G70</f>
        <v>8</v>
      </c>
      <c r="K13" s="23">
        <f t="shared" si="1"/>
        <v>58</v>
      </c>
      <c r="L13" s="19">
        <f>'10'!G71</f>
        <v>256</v>
      </c>
      <c r="M13" s="19">
        <f>'10'!G72</f>
        <v>0</v>
      </c>
      <c r="N13" s="19">
        <v>0</v>
      </c>
      <c r="O13" s="23">
        <f t="shared" si="2"/>
        <v>256</v>
      </c>
    </row>
    <row r="14" spans="1:15" x14ac:dyDescent="0.25">
      <c r="A14" s="16">
        <v>11</v>
      </c>
      <c r="B14" s="17">
        <v>11</v>
      </c>
      <c r="C14" s="27"/>
      <c r="D14" s="19">
        <f>'11'!F8</f>
        <v>925914</v>
      </c>
      <c r="E14" s="19">
        <f>'11'!G96</f>
        <v>4736</v>
      </c>
      <c r="F14" s="19">
        <f>'1'!F142</f>
        <v>21357.57</v>
      </c>
      <c r="G14" s="21">
        <f t="shared" si="0"/>
        <v>101149451.52</v>
      </c>
      <c r="H14" s="19">
        <f>'11'!G68</f>
        <v>53</v>
      </c>
      <c r="I14" s="19">
        <f>'11'!G69</f>
        <v>32</v>
      </c>
      <c r="J14" s="19">
        <f>'11'!G70</f>
        <v>12</v>
      </c>
      <c r="K14" s="23">
        <f t="shared" si="1"/>
        <v>85</v>
      </c>
      <c r="L14" s="19">
        <f>'11'!G71</f>
        <v>297</v>
      </c>
      <c r="M14" s="19">
        <f>'11'!G72</f>
        <v>0</v>
      </c>
      <c r="N14" s="19">
        <v>0</v>
      </c>
      <c r="O14" s="23">
        <f t="shared" si="2"/>
        <v>297</v>
      </c>
    </row>
    <row r="15" spans="1:15" x14ac:dyDescent="0.25">
      <c r="A15" s="16">
        <v>12</v>
      </c>
      <c r="B15" s="26">
        <v>12</v>
      </c>
      <c r="C15" s="27"/>
      <c r="D15" s="19">
        <f>'12'!F8</f>
        <v>948253</v>
      </c>
      <c r="E15" s="19">
        <f>'12'!G96</f>
        <v>4928</v>
      </c>
      <c r="F15" s="19">
        <f>'1'!F142</f>
        <v>21357.57</v>
      </c>
      <c r="G15" s="20">
        <f t="shared" si="0"/>
        <v>105250104.95999999</v>
      </c>
      <c r="H15" s="19">
        <f>'12'!G68</f>
        <v>52</v>
      </c>
      <c r="I15" s="19">
        <f>'12'!G69</f>
        <v>14</v>
      </c>
      <c r="J15" s="19">
        <f>'12'!G70</f>
        <v>5</v>
      </c>
      <c r="K15" s="23">
        <f t="shared" si="1"/>
        <v>66</v>
      </c>
      <c r="L15" s="19">
        <f>'12'!G71</f>
        <v>291</v>
      </c>
      <c r="M15" s="19">
        <f>'12'!G72</f>
        <v>0</v>
      </c>
      <c r="N15" s="19">
        <v>0</v>
      </c>
      <c r="O15" s="23">
        <f t="shared" si="2"/>
        <v>291</v>
      </c>
    </row>
    <row r="16" spans="1:15" x14ac:dyDescent="0.25">
      <c r="A16" s="16">
        <v>13</v>
      </c>
      <c r="B16" s="26">
        <v>13</v>
      </c>
      <c r="C16" s="26"/>
      <c r="D16" s="19">
        <f>'13'!F8</f>
        <v>970453</v>
      </c>
      <c r="E16" s="19">
        <f>'13'!G96</f>
        <v>5019</v>
      </c>
      <c r="F16" s="19">
        <f>'1'!F142</f>
        <v>21357.57</v>
      </c>
      <c r="G16" s="20">
        <f t="shared" si="0"/>
        <v>107193643.83</v>
      </c>
      <c r="H16" s="19">
        <f>'13'!G68</f>
        <v>32</v>
      </c>
      <c r="I16" s="19">
        <f>'13'!G69</f>
        <v>11</v>
      </c>
      <c r="J16" s="19">
        <f>'13'!G70</f>
        <v>8</v>
      </c>
      <c r="K16" s="23">
        <f t="shared" si="1"/>
        <v>43</v>
      </c>
      <c r="L16" s="19">
        <f>'13'!G71</f>
        <v>261</v>
      </c>
      <c r="M16" s="19">
        <f>'13'!G72</f>
        <v>0</v>
      </c>
      <c r="N16" s="19">
        <v>0</v>
      </c>
      <c r="O16" s="23">
        <f t="shared" si="2"/>
        <v>261</v>
      </c>
    </row>
    <row r="17" spans="1:15" x14ac:dyDescent="0.25">
      <c r="A17" s="16">
        <v>14</v>
      </c>
      <c r="B17" s="17">
        <v>14</v>
      </c>
      <c r="C17" s="27"/>
      <c r="D17" s="19">
        <f>'14'!F8</f>
        <v>991714</v>
      </c>
      <c r="E17" s="19">
        <f>'14'!G96</f>
        <v>4624</v>
      </c>
      <c r="F17" s="19">
        <f>'1'!F142</f>
        <v>21357.57</v>
      </c>
      <c r="G17" s="20">
        <f t="shared" si="0"/>
        <v>98757403.679999992</v>
      </c>
      <c r="H17" s="19">
        <f>'14'!G68</f>
        <v>34</v>
      </c>
      <c r="I17" s="19">
        <f>'14'!G69</f>
        <v>11</v>
      </c>
      <c r="J17" s="19">
        <f>'14'!G71</f>
        <v>287</v>
      </c>
      <c r="K17" s="23">
        <f t="shared" si="1"/>
        <v>45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1012814</v>
      </c>
      <c r="E18" s="19">
        <f>'15'!G96</f>
        <v>4586.5399999999881</v>
      </c>
      <c r="F18" s="19">
        <f>'1'!F142</f>
        <v>21357.57</v>
      </c>
      <c r="G18" s="20">
        <f t="shared" si="0"/>
        <v>97957349.107799739</v>
      </c>
      <c r="H18" s="19">
        <f>'15'!G68</f>
        <v>44</v>
      </c>
      <c r="I18" s="19">
        <f>'15'!G69</f>
        <v>26</v>
      </c>
      <c r="J18" s="19">
        <f>'15'!G71</f>
        <v>306</v>
      </c>
      <c r="K18" s="23">
        <f t="shared" si="1"/>
        <v>70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856" t="s">
        <v>115</v>
      </c>
      <c r="B1" s="857"/>
      <c r="C1" s="857"/>
      <c r="D1" s="857"/>
      <c r="E1" s="857"/>
      <c r="F1" s="857"/>
      <c r="G1" s="857"/>
      <c r="H1" s="857"/>
      <c r="I1" s="857"/>
      <c r="J1" s="858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865" t="s">
        <v>119</v>
      </c>
      <c r="F3" s="866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859" t="s">
        <v>128</v>
      </c>
      <c r="B6" s="860"/>
      <c r="C6" s="861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982196.45</v>
      </c>
      <c r="I8" s="116"/>
      <c r="J8" s="175">
        <f>H8/DAY(B2)</f>
        <v>31683.756451612902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5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-15027.850000000006</v>
      </c>
      <c r="I9" s="124"/>
      <c r="J9" s="175">
        <f>H9/DAY(B2)</f>
        <v>-484.76935483870989</v>
      </c>
      <c r="K9" s="79">
        <f>K8-100</f>
        <v>1715817</v>
      </c>
      <c r="L9" s="66"/>
      <c r="N9" s="87"/>
      <c r="O9" s="71"/>
      <c r="Q9" s="686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-2073.9700000000084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684"/>
      <c r="C14" s="684"/>
      <c r="D14" s="151"/>
      <c r="E14" s="95"/>
      <c r="F14" s="95"/>
      <c r="G14" s="119">
        <f>G9+G10+G11+G12</f>
        <v>0</v>
      </c>
      <c r="H14" s="99">
        <f>G14+'30'!H13</f>
        <v>-33856.250000000058</v>
      </c>
      <c r="I14" s="120">
        <f>G7-G14</f>
        <v>0</v>
      </c>
      <c r="J14" s="175">
        <f>H14/DAY(B2)</f>
        <v>-1092.1370967741955</v>
      </c>
      <c r="K14" s="79"/>
      <c r="L14" s="66"/>
      <c r="N14" s="87"/>
      <c r="O14" s="71"/>
    </row>
    <row r="15" spans="1:17" ht="33" customHeight="1" x14ac:dyDescent="0.5">
      <c r="A15" s="862" t="s">
        <v>137</v>
      </c>
      <c r="B15" s="863"/>
      <c r="C15" s="864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-166.76699999999255</v>
      </c>
      <c r="I16" s="113">
        <f>'1'!I15</f>
        <v>800</v>
      </c>
      <c r="J16" s="175">
        <f>H16/DAY(B2)</f>
        <v>-5.3795806451610497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805.37958064516101</v>
      </c>
      <c r="J17" s="176"/>
      <c r="K17" s="79"/>
      <c r="L17" s="66"/>
      <c r="N17" s="87"/>
      <c r="O17" s="71"/>
    </row>
    <row r="18" spans="1:15" ht="33" customHeight="1" x14ac:dyDescent="0.5">
      <c r="A18" s="862" t="s">
        <v>140</v>
      </c>
      <c r="B18" s="863"/>
      <c r="C18" s="864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53" t="s">
        <v>141</v>
      </c>
      <c r="B19" s="854"/>
      <c r="C19" s="855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5830</v>
      </c>
      <c r="I19" s="113">
        <f>'1'!I18</f>
        <v>65</v>
      </c>
      <c r="J19" s="175">
        <f>H19/DAY(B2)</f>
        <v>188.06451612903226</v>
      </c>
      <c r="K19" s="79"/>
      <c r="L19" s="66"/>
      <c r="N19" s="87"/>
      <c r="O19" s="71"/>
    </row>
    <row r="20" spans="1:15" ht="33" customHeight="1" x14ac:dyDescent="0.5">
      <c r="A20" s="853" t="s">
        <v>69</v>
      </c>
      <c r="B20" s="854"/>
      <c r="C20" s="855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-2723</v>
      </c>
      <c r="I21" s="336">
        <f>I19-J21</f>
        <v>152.83870967741936</v>
      </c>
      <c r="J21" s="175">
        <f>H21/DAY(B2)</f>
        <v>-87.838709677419359</v>
      </c>
      <c r="K21" s="79"/>
      <c r="L21" s="66"/>
      <c r="N21" s="87"/>
      <c r="O21" s="71"/>
    </row>
    <row r="22" spans="1:15" ht="33" customHeight="1" x14ac:dyDescent="0.5">
      <c r="A22" s="862" t="s">
        <v>144</v>
      </c>
      <c r="B22" s="863"/>
      <c r="C22" s="864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 x14ac:dyDescent="0.35">
      <c r="A26" s="867" t="s">
        <v>149</v>
      </c>
      <c r="B26" s="868"/>
      <c r="C26" s="869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8839768.0500000007</v>
      </c>
      <c r="I28" s="138"/>
      <c r="J28" s="175">
        <f>H28/DAY(B2)</f>
        <v>285153.80806451617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72559.466000000379</v>
      </c>
      <c r="I29" s="140"/>
      <c r="J29" s="175">
        <f>H29/DAY(B2)</f>
        <v>2340.627935483883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-1247595.44</v>
      </c>
      <c r="I31" s="140"/>
      <c r="J31" s="175">
        <f>H31/DAY(B2)</f>
        <v>-40245.014193548384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466400</v>
      </c>
      <c r="I32" s="140"/>
      <c r="J32" s="175">
        <f>H32/DAY(B2)</f>
        <v>15045.161290322581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8131132.0760000013</v>
      </c>
      <c r="I33" s="144"/>
      <c r="J33" s="175">
        <f>H33/DAY(B2)</f>
        <v>262294.58309677424</v>
      </c>
      <c r="K33" s="63"/>
      <c r="L33" s="89"/>
      <c r="N33" s="87"/>
      <c r="O33" s="71"/>
    </row>
    <row r="34" spans="1:15" ht="33" customHeight="1" x14ac:dyDescent="0.35">
      <c r="A34" s="870" t="s">
        <v>331</v>
      </c>
      <c r="B34" s="871"/>
      <c r="C34" s="871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-1252.9800000000032</v>
      </c>
      <c r="I36" s="95"/>
      <c r="J36" s="175">
        <f>H36/DAY(B2)</f>
        <v>-40.418709677419457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-425.08999999999651</v>
      </c>
      <c r="I38" s="95"/>
      <c r="J38" s="175">
        <f>H38/DAY(B2)</f>
        <v>-13.712580645161177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40.569999999999709</v>
      </c>
      <c r="I39" s="95"/>
      <c r="J39" s="175">
        <f>H39/DAY(B2)</f>
        <v>1.3087096774193454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1236.7099999999955</v>
      </c>
      <c r="I40" s="95"/>
      <c r="J40" s="175">
        <f>H40/DAY(B2)</f>
        <v>39.89387096774179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-1460.9900000000025</v>
      </c>
      <c r="I41" s="95"/>
      <c r="J41" s="175">
        <f>H41/DAY(B2)</f>
        <v>-47.128709677419437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-999.58999999998196</v>
      </c>
      <c r="I48" s="95"/>
      <c r="J48" s="175">
        <f>H48/DAY(B2)</f>
        <v>-32.244838709676834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394825.81</v>
      </c>
      <c r="I50" s="95"/>
      <c r="J50" s="175">
        <f>H50/DAY(B2)</f>
        <v>12736.316451612904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9819.58</v>
      </c>
      <c r="I55" s="95"/>
      <c r="J55" s="175">
        <f>H55/DAY(B2)</f>
        <v>316.76064516129031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3027274.89</v>
      </c>
      <c r="I60" s="95">
        <f>G7-G61</f>
        <v>-3044263.45</v>
      </c>
      <c r="J60" s="175">
        <f>H60/DAY(B2)</f>
        <v>97654.028709677426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3026275.3000000003</v>
      </c>
      <c r="I61" s="95">
        <f>G14-G61</f>
        <v>-3044263.45</v>
      </c>
      <c r="J61" s="175">
        <f>H61/DAY(B2)</f>
        <v>97621.783870967745</v>
      </c>
      <c r="K61" s="79"/>
      <c r="L61" s="66"/>
      <c r="N61" s="87"/>
      <c r="O61" s="71"/>
    </row>
    <row r="62" spans="1:15" s="68" customFormat="1" ht="33" customHeight="1" x14ac:dyDescent="0.5">
      <c r="A62" s="872" t="s">
        <v>332</v>
      </c>
      <c r="B62" s="873"/>
      <c r="C62" s="874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53" t="s">
        <v>198</v>
      </c>
      <c r="B63" s="854"/>
      <c r="C63" s="855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53" t="s">
        <v>199</v>
      </c>
      <c r="B64" s="854"/>
      <c r="C64" s="855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193663.22999999995</v>
      </c>
      <c r="I64" s="118"/>
      <c r="J64" s="175">
        <f>H64/DAY(B2)</f>
        <v>6247.2009677419337</v>
      </c>
      <c r="K64" s="69"/>
      <c r="L64" s="66"/>
      <c r="N64" s="87"/>
      <c r="O64" s="71"/>
    </row>
    <row r="65" spans="1:15" ht="33" customHeight="1" x14ac:dyDescent="0.5">
      <c r="A65" s="850" t="s">
        <v>200</v>
      </c>
      <c r="B65" s="851"/>
      <c r="C65" s="852"/>
      <c r="D65" s="151"/>
      <c r="E65" s="122"/>
      <c r="F65" s="122"/>
      <c r="G65" s="112">
        <f>G63+G64</f>
        <v>451111</v>
      </c>
      <c r="H65" s="99">
        <f>G65+'30'!H95</f>
        <v>451118.47655506799</v>
      </c>
      <c r="I65" s="118"/>
      <c r="J65" s="175">
        <f>H65/DAY(B2)</f>
        <v>14552.208921131225</v>
      </c>
      <c r="K65" s="69"/>
      <c r="L65" s="66"/>
      <c r="N65" s="87"/>
      <c r="O65" s="71"/>
    </row>
    <row r="66" spans="1:15" ht="33" customHeight="1" x14ac:dyDescent="0.5">
      <c r="A66" s="853" t="s">
        <v>201</v>
      </c>
      <c r="B66" s="854"/>
      <c r="C66" s="855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416637.42</v>
      </c>
      <c r="I66" s="118"/>
      <c r="J66" s="175">
        <f>H66/DAY(B2)</f>
        <v>13439.916774193547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104641.91861284712</v>
      </c>
      <c r="I67" s="118"/>
      <c r="J67" s="175">
        <f>H67/DAY(B2)</f>
        <v>3375.5457617047459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97720.709999999992</v>
      </c>
      <c r="I68" s="118"/>
      <c r="J68" s="175">
        <f>H68/DAY(B2)</f>
        <v>3152.280967741935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152139.43803195102</v>
      </c>
      <c r="I69" s="118"/>
      <c r="J69" s="175">
        <f>H69/DAY(B2)</f>
        <v>4907.7238074822908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7017.57</v>
      </c>
      <c r="I70" s="118"/>
      <c r="J70" s="175">
        <f>H70/DAY(B2)</f>
        <v>226.37322580645161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6375.9449745759939</v>
      </c>
      <c r="I71" s="118"/>
      <c r="J71" s="175">
        <f>H71/DAY(B2)</f>
        <v>205.6756443411611</v>
      </c>
      <c r="K71" s="69"/>
      <c r="L71" s="66"/>
      <c r="N71" s="87"/>
      <c r="O71" s="71"/>
    </row>
    <row r="72" spans="1:15" ht="33" customHeight="1" x14ac:dyDescent="0.5">
      <c r="A72" s="850" t="s">
        <v>208</v>
      </c>
      <c r="B72" s="851"/>
      <c r="C72" s="852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 x14ac:dyDescent="0.5">
      <c r="A73" s="896"/>
      <c r="B73" s="888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901" t="s">
        <v>333</v>
      </c>
      <c r="B74" s="902"/>
      <c r="C74" s="903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53" t="s">
        <v>220</v>
      </c>
      <c r="B75" s="854"/>
      <c r="C75" s="855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53" t="s">
        <v>221</v>
      </c>
      <c r="B76" s="854"/>
      <c r="C76" s="855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97" t="s">
        <v>222</v>
      </c>
      <c r="B77" s="883"/>
      <c r="C77" s="884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97" t="s">
        <v>223</v>
      </c>
      <c r="B78" s="883"/>
      <c r="C78" s="884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97" t="s">
        <v>224</v>
      </c>
      <c r="B79" s="883"/>
      <c r="C79" s="884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 x14ac:dyDescent="0.5">
      <c r="A80" s="897" t="s">
        <v>225</v>
      </c>
      <c r="B80" s="883"/>
      <c r="C80" s="884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50" t="s">
        <v>329</v>
      </c>
      <c r="B81" s="851"/>
      <c r="C81" s="852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89" t="s">
        <v>226</v>
      </c>
      <c r="B82" s="890"/>
      <c r="C82" s="891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-7745.23</v>
      </c>
      <c r="I86" s="118">
        <f>G83+G84+G85+G86</f>
        <v>-138518</v>
      </c>
      <c r="J86" s="175">
        <f>H86/DAY(B2)</f>
        <v>-249.84612903225806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70171.389999999985</v>
      </c>
      <c r="I87" s="118"/>
      <c r="J87" s="175">
        <f>H87/DAY(B2)</f>
        <v>2263.5932258064513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 x14ac:dyDescent="0.5">
      <c r="A94" s="898" t="s">
        <v>239</v>
      </c>
      <c r="B94" s="899"/>
      <c r="C94" s="900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53" t="s">
        <v>240</v>
      </c>
      <c r="B95" s="854"/>
      <c r="C95" s="855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 x14ac:dyDescent="0.5">
      <c r="A96" s="853" t="s">
        <v>241</v>
      </c>
      <c r="B96" s="854"/>
      <c r="C96" s="855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53" t="s">
        <v>242</v>
      </c>
      <c r="B97" s="854"/>
      <c r="C97" s="855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 x14ac:dyDescent="0.5">
      <c r="A98" s="853" t="s">
        <v>243</v>
      </c>
      <c r="B98" s="854"/>
      <c r="C98" s="855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53" t="s">
        <v>244</v>
      </c>
      <c r="B99" s="854"/>
      <c r="C99" s="855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 x14ac:dyDescent="0.5">
      <c r="A100" s="853" t="s">
        <v>245</v>
      </c>
      <c r="B100" s="854"/>
      <c r="C100" s="855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53" t="s">
        <v>246</v>
      </c>
      <c r="B101" s="854"/>
      <c r="C101" s="855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 x14ac:dyDescent="0.5">
      <c r="A102" s="853" t="s">
        <v>247</v>
      </c>
      <c r="B102" s="854"/>
      <c r="C102" s="855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53" t="s">
        <v>248</v>
      </c>
      <c r="B103" s="854"/>
      <c r="C103" s="855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 x14ac:dyDescent="0.5">
      <c r="A104" s="853" t="s">
        <v>249</v>
      </c>
      <c r="B104" s="854"/>
      <c r="C104" s="855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53" t="s">
        <v>250</v>
      </c>
      <c r="B105" s="854"/>
      <c r="C105" s="855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 x14ac:dyDescent="0.55000000000000004">
      <c r="A106" s="893" t="s">
        <v>251</v>
      </c>
      <c r="B106" s="894"/>
      <c r="C106" s="895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07" t="s">
        <v>324</v>
      </c>
      <c r="B109" s="907"/>
      <c r="C109" s="907"/>
      <c r="D109" s="907"/>
      <c r="E109" s="907"/>
      <c r="F109" s="907"/>
      <c r="G109" s="907"/>
      <c r="H109" s="907"/>
      <c r="I109" s="907"/>
      <c r="J109" s="907"/>
    </row>
    <row r="110" spans="1:15" ht="33" customHeight="1" x14ac:dyDescent="0.5">
      <c r="A110" s="892"/>
      <c r="B110" s="892"/>
    </row>
    <row r="111" spans="1:15" ht="33" customHeight="1" x14ac:dyDescent="0.5">
      <c r="A111" s="908" t="s">
        <v>165</v>
      </c>
      <c r="B111" s="909"/>
      <c r="C111" s="909"/>
      <c r="D111" s="909"/>
      <c r="E111" s="909"/>
      <c r="F111" s="909"/>
      <c r="G111" s="909"/>
      <c r="H111" s="909"/>
      <c r="I111" s="909"/>
      <c r="J111" s="910"/>
    </row>
    <row r="112" spans="1:15" ht="33" customHeight="1" x14ac:dyDescent="0.5">
      <c r="A112" s="911"/>
      <c r="B112" s="912"/>
      <c r="C112" s="913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86" t="s">
        <v>252</v>
      </c>
      <c r="B113" s="887"/>
      <c r="C113" s="888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86" t="s">
        <v>253</v>
      </c>
      <c r="B114" s="887"/>
      <c r="C114" s="888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86" t="s">
        <v>254</v>
      </c>
      <c r="B115" s="887"/>
      <c r="C115" s="888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86" t="s">
        <v>255</v>
      </c>
      <c r="B116" s="887"/>
      <c r="C116" s="888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904" t="s">
        <v>96</v>
      </c>
      <c r="B117" s="905"/>
      <c r="C117" s="906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86" t="s">
        <v>311</v>
      </c>
      <c r="R117" s="888"/>
    </row>
    <row r="118" spans="1:18" ht="33" customHeight="1" x14ac:dyDescent="0.5">
      <c r="A118" s="904" t="s">
        <v>184</v>
      </c>
      <c r="B118" s="905"/>
      <c r="C118" s="906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86" t="s">
        <v>312</v>
      </c>
      <c r="R118" s="888"/>
    </row>
    <row r="119" spans="1:18" ht="33" customHeight="1" x14ac:dyDescent="0.5">
      <c r="A119" s="881" t="s">
        <v>97</v>
      </c>
      <c r="B119" s="881"/>
      <c r="C119" s="881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86" t="s">
        <v>311</v>
      </c>
      <c r="R119" s="888"/>
    </row>
    <row r="120" spans="1:18" ht="33" customHeight="1" x14ac:dyDescent="0.5">
      <c r="A120" s="881" t="s">
        <v>98</v>
      </c>
      <c r="B120" s="881"/>
      <c r="C120" s="881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 x14ac:dyDescent="0.5">
      <c r="A121" s="881" t="s">
        <v>99</v>
      </c>
      <c r="B121" s="881"/>
      <c r="C121" s="881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81" t="s">
        <v>100</v>
      </c>
      <c r="B122" s="881"/>
      <c r="C122" s="881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 x14ac:dyDescent="0.5">
      <c r="A123" s="881" t="s">
        <v>101</v>
      </c>
      <c r="B123" s="881"/>
      <c r="C123" s="881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 x14ac:dyDescent="0.5">
      <c r="A124" s="881" t="s">
        <v>102</v>
      </c>
      <c r="B124" s="881"/>
      <c r="C124" s="881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 x14ac:dyDescent="0.5">
      <c r="A125" s="911"/>
      <c r="B125" s="912"/>
      <c r="C125" s="913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17"/>
      <c r="B126" s="917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16" t="s">
        <v>317</v>
      </c>
      <c r="B127" s="916"/>
      <c r="C127" s="916"/>
      <c r="D127" s="916"/>
      <c r="E127" s="916"/>
      <c r="F127" s="916"/>
      <c r="G127" s="916"/>
      <c r="H127" s="916"/>
      <c r="I127" s="916"/>
      <c r="J127" s="916"/>
    </row>
    <row r="128" spans="1:18" ht="33" customHeight="1" x14ac:dyDescent="0.5">
      <c r="A128" s="917"/>
      <c r="B128" s="917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86" t="s">
        <v>318</v>
      </c>
      <c r="B129" s="887"/>
      <c r="C129" s="888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86" t="s">
        <v>321</v>
      </c>
      <c r="B132" s="887"/>
      <c r="C132" s="888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-2826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86" t="s">
        <v>322</v>
      </c>
      <c r="B133" s="887"/>
      <c r="C133" s="888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-1776</v>
      </c>
      <c r="I133" s="165"/>
      <c r="J133" s="328" t="e">
        <f t="shared" si="10"/>
        <v>#DIV/0!</v>
      </c>
    </row>
    <row r="134" spans="1:15" ht="33" customHeight="1" x14ac:dyDescent="0.5">
      <c r="A134" s="886" t="s">
        <v>323</v>
      </c>
      <c r="B134" s="887"/>
      <c r="C134" s="888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11"/>
      <c r="B135" s="912"/>
      <c r="C135" s="913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11"/>
      <c r="B136" s="912"/>
      <c r="C136" s="913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18" t="s">
        <v>325</v>
      </c>
      <c r="B137" s="918"/>
      <c r="C137" s="918"/>
      <c r="D137" s="918"/>
      <c r="E137" s="918"/>
      <c r="F137" s="918"/>
      <c r="G137" s="918"/>
      <c r="H137" s="918"/>
      <c r="I137" s="918"/>
      <c r="J137" s="918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81" t="s">
        <v>185</v>
      </c>
      <c r="B139" s="881"/>
      <c r="C139" s="881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81" t="s">
        <v>186</v>
      </c>
      <c r="B140" s="881"/>
      <c r="C140" s="881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81" t="s">
        <v>187</v>
      </c>
      <c r="B141" s="881"/>
      <c r="C141" s="881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85" t="s">
        <v>188</v>
      </c>
      <c r="B142" s="885"/>
      <c r="C142" s="885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85" t="s">
        <v>189</v>
      </c>
      <c r="B143" s="885"/>
      <c r="C143" s="885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81" t="s">
        <v>190</v>
      </c>
      <c r="B144" s="881"/>
      <c r="C144" s="881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82" t="s">
        <v>191</v>
      </c>
      <c r="B145" s="883"/>
      <c r="C145" s="884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85" t="s">
        <v>90</v>
      </c>
      <c r="B146" s="885"/>
      <c r="C146" s="885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85" t="s">
        <v>192</v>
      </c>
      <c r="B147" s="885"/>
      <c r="C147" s="885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85" t="s">
        <v>193</v>
      </c>
      <c r="B148" s="885"/>
      <c r="C148" s="885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85" t="s">
        <v>91</v>
      </c>
      <c r="B149" s="885"/>
      <c r="C149" s="885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85" t="s">
        <v>194</v>
      </c>
      <c r="B150" s="885"/>
      <c r="C150" s="885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18" t="s">
        <v>326</v>
      </c>
      <c r="B153" s="918"/>
      <c r="C153" s="918"/>
      <c r="D153" s="918"/>
      <c r="E153" s="918"/>
      <c r="F153" s="918"/>
      <c r="G153" s="918"/>
      <c r="H153" s="918"/>
      <c r="I153" s="918"/>
      <c r="J153" s="918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17" t="s">
        <v>328</v>
      </c>
      <c r="B159" s="917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17" t="s">
        <v>327</v>
      </c>
      <c r="B160" s="917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17" t="s">
        <v>328</v>
      </c>
      <c r="B161" s="917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25" t="s">
        <v>330</v>
      </c>
      <c r="B164" s="926"/>
      <c r="C164" s="926"/>
      <c r="D164" s="926"/>
      <c r="E164" s="926"/>
      <c r="F164" s="926"/>
      <c r="G164" s="926"/>
      <c r="H164" s="926"/>
      <c r="I164" s="926"/>
      <c r="J164" s="927"/>
    </row>
    <row r="165" spans="1:10" ht="33" customHeight="1" x14ac:dyDescent="0.5">
      <c r="A165" s="921"/>
      <c r="B165" s="922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75" t="s">
        <v>209</v>
      </c>
      <c r="B166" s="876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75" t="s">
        <v>75</v>
      </c>
      <c r="B167" s="876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75" t="s">
        <v>76</v>
      </c>
      <c r="B168" s="880"/>
      <c r="C168" s="876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75" t="s">
        <v>196</v>
      </c>
      <c r="B169" s="876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75" t="s">
        <v>77</v>
      </c>
      <c r="B170" s="876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75" t="s">
        <v>210</v>
      </c>
      <c r="B171" s="876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75" t="s">
        <v>211</v>
      </c>
      <c r="B172" s="876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75" t="s">
        <v>212</v>
      </c>
      <c r="B173" s="876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23" t="s">
        <v>108</v>
      </c>
      <c r="B174" s="924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75" t="s">
        <v>213</v>
      </c>
      <c r="B175" s="876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75" t="s">
        <v>214</v>
      </c>
      <c r="B176" s="876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75" t="s">
        <v>215</v>
      </c>
      <c r="B177" s="876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75" t="s">
        <v>216</v>
      </c>
      <c r="B178" s="876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75" t="s">
        <v>196</v>
      </c>
      <c r="B179" s="876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23" t="s">
        <v>217</v>
      </c>
      <c r="B180" s="924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23" t="s">
        <v>218</v>
      </c>
      <c r="B181" s="924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23" t="s">
        <v>219</v>
      </c>
      <c r="B182" s="924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23"/>
      <c r="B183" s="924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2022-02-19T05:11:07Z</dcterms:modified>
</cp:coreProperties>
</file>