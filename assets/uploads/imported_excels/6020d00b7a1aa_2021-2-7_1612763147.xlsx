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J11" i="2"/>
  <c r="I11" i="2"/>
  <c r="H11" i="2"/>
  <c r="F11" i="2"/>
  <c r="E11" i="2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<sst xmlns="http://schemas.openxmlformats.org/spreadsheetml/2006/main" count="102" uniqueCount="39">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</sst>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O14" sqref="O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v>0</v>
      </c>
      <c r="F10" s="22">
        <v>0.11799999999999999</v>
      </c>
      <c r="G10" s="24">
        <v>0</v>
      </c>
      <c r="H10" s="22">
        <v>0.99</v>
      </c>
      <c r="I10" s="24">
        <v>0</v>
      </c>
      <c r="J10" s="22">
        <v>8.1000000000000003E-2</v>
      </c>
      <c r="K10" s="46">
        <v>0</v>
      </c>
      <c r="L10" s="24"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v>0</v>
      </c>
      <c r="F11" s="22">
        <v>0.11799999999999999</v>
      </c>
      <c r="G11" s="24">
        <f>(('2 - 2020'!E17-'2 - 2020'!E16)+('2 - 2020'!F17-'2 - 2020'!F16)+('2 - 2020'!G17-'2 - 2020'!G16))*1.81</f>
        <v>0</v>
      </c>
      <c r="H11" s="22">
        <v>0.99</v>
      </c>
      <c r="I11" s="24">
        <f>'2 - 2020'!J17-'2 - 2020'!J16</f>
        <v>0</v>
      </c>
      <c r="J11" s="22">
        <v>8.1000000000000003E-2</v>
      </c>
      <c r="K11" s="46">
        <f>'2 - 2020'!H17-'2 - 2020'!H16</f>
        <v>0</v>
      </c>
      <c r="L11" s="24">
        <f>'2 - 2020'!I17-'2 - 2020'!I16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0</v>
      </c>
      <c r="F12" s="22">
        <v>0.11799999999999999</v>
      </c>
      <c r="G12" s="24">
        <f>(('2 - 2020'!E18-'2 - 2020'!E17)+('2 - 2020'!F18-'2 - 2020'!F17)+('2 - 2020'!G18-'2 - 2020'!G17))*1.81</f>
        <v>0</v>
      </c>
      <c r="H12" s="22">
        <v>0.99</v>
      </c>
      <c r="I12" s="24">
        <f>'2 - 2020'!J18-'2 - 2020'!J17</f>
        <v>0</v>
      </c>
      <c r="J12" s="22">
        <v>8.1000000000000003E-2</v>
      </c>
      <c r="K12" s="46">
        <f>'2 - 2020'!H18-'2 - 2020'!H17</f>
        <v>0</v>
      </c>
      <c r="L12" s="24">
        <f>'2 - 2020'!I18-'2 - 2020'!I17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0</v>
      </c>
      <c r="F13" s="22">
        <v>0.11799999999999999</v>
      </c>
      <c r="G13" s="24">
        <f>(('2 - 2020'!E19-'2 - 2020'!E18)+('2 - 2020'!F19-'2 - 2020'!F18)+('2 - 2020'!G19-'2 - 2020'!G18))*1.81</f>
        <v>0</v>
      </c>
      <c r="H13" s="22">
        <v>0.99</v>
      </c>
      <c r="I13" s="24">
        <f>'2 - 2020'!J19-'2 - 2020'!J18</f>
        <v>0</v>
      </c>
      <c r="J13" s="22">
        <v>8.1000000000000003E-2</v>
      </c>
      <c r="K13" s="46">
        <f>'2 - 2020'!H19-'2 - 2020'!H18</f>
        <v>0</v>
      </c>
      <c r="L13" s="24">
        <f>'2 - 2020'!I19-'2 - 2020'!I18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H8" sqref="H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v>0</v>
      </c>
      <c r="F10" s="24">
        <v>0</v>
      </c>
      <c r="G10" s="22">
        <v>0.11799999999999999</v>
      </c>
      <c r="H10" s="24">
        <v>0</v>
      </c>
      <c r="I10" s="24">
        <v>0</v>
      </c>
      <c r="J10" s="24"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0</v>
      </c>
      <c r="F11" s="24">
        <f>'2 - 2020'!C17-'2 - 2020'!C16</f>
        <v>0</v>
      </c>
      <c r="G11" s="22">
        <v>0.11799999999999999</v>
      </c>
      <c r="H11" s="24">
        <f>'2 - 2020'!E17-'2 - 2020'!E16</f>
        <v>0</v>
      </c>
      <c r="I11" s="24">
        <f>'2 - 2020'!F17-'2 - 2020'!F16</f>
        <v>0</v>
      </c>
      <c r="J11" s="24">
        <f>'2 - 2020'!G17-'2 - 2020'!G16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0</v>
      </c>
      <c r="F12" s="24">
        <f>'2 - 2020'!C18-'2 - 2020'!C17</f>
        <v>0</v>
      </c>
      <c r="G12" s="22">
        <v>0.11799999999999999</v>
      </c>
      <c r="H12" s="24">
        <f>'2 - 2020'!E18-'2 - 2020'!E17</f>
        <v>0</v>
      </c>
      <c r="I12" s="24">
        <f>'2 - 2020'!F18-'2 - 2020'!F17</f>
        <v>0</v>
      </c>
      <c r="J12" s="24">
        <f>'2 - 2020'!G18-'2 - 2020'!G17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0</v>
      </c>
      <c r="F13" s="24">
        <f>'2 - 2020'!C19-'2 - 2020'!C18</f>
        <v>0</v>
      </c>
      <c r="G13" s="22">
        <v>0.11799999999999999</v>
      </c>
      <c r="H13" s="24">
        <f>'2 - 2020'!E19-'2 - 2020'!E18</f>
        <v>0</v>
      </c>
      <c r="I13" s="24">
        <f>'2 - 2020'!F19-'2 - 2020'!F18</f>
        <v>0</v>
      </c>
      <c r="J13" s="24">
        <f>'2 - 2020'!G19-'2 - 2020'!G18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E24" sqref="E2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>E12+5</f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>E13+5</f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>E14+5</f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/>
      <c r="C16" s="15"/>
      <c r="D16" s="16"/>
      <c r="E16" s="21"/>
      <c r="F16" s="21"/>
      <c r="G16" s="17"/>
      <c r="H16" s="15"/>
      <c r="I16" s="15"/>
      <c r="J16" s="15"/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1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1"/>
        <v>-14528</v>
      </c>
      <c r="I39" s="30">
        <f>I38-I7</f>
        <v>-109234</v>
      </c>
      <c r="J39" s="30">
        <f>J38-J7</f>
        <v>-44171258</v>
      </c>
      <c r="K39" s="30">
        <f t="shared" ref="K39" si="2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3">E32-E10</f>
        <v>-13580</v>
      </c>
      <c r="F42" s="58">
        <f t="shared" si="3"/>
        <v>-3017</v>
      </c>
      <c r="G42" s="58">
        <f t="shared" si="3"/>
        <v>-25778</v>
      </c>
      <c r="H42" s="58">
        <f t="shared" si="3"/>
        <v>-14528</v>
      </c>
      <c r="I42" s="58">
        <f t="shared" si="3"/>
        <v>-109493</v>
      </c>
      <c r="J42" s="58">
        <f t="shared" si="3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2021-02-08T05:44:55Z</dcterms:modified>
</cp:coreProperties>
</file>