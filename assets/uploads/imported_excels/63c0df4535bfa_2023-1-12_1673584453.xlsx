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K15" i="3" l="1"/>
  <c r="J10" i="2" l="1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<sst xmlns="http://schemas.openxmlformats.org/spreadsheetml/2006/main" count="108" uniqueCount="39">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</sst>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Q22" sqref="Q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9218.0999999999767</v>
      </c>
      <c r="F12" s="13">
        <v>0.11799999999999999</v>
      </c>
      <c r="G12" s="15">
        <f>'01 - 2023'!D18-'01 - 2023'!D17+'01 - 2023'!E18-'01 - 2023'!E17</f>
        <v>25.520000000000437</v>
      </c>
      <c r="H12" s="13">
        <v>0.99</v>
      </c>
      <c r="I12" s="15">
        <f>'01 - 2023'!J18-'01 - 2023'!J17</f>
        <v>12848</v>
      </c>
      <c r="J12" s="13">
        <v>8.1000000000000003E-2</v>
      </c>
      <c r="K12" s="21">
        <f>'01 - 2023'!H18-'01 - 2023'!H17</f>
        <v>0</v>
      </c>
      <c r="L12" s="15">
        <f>'01 - 2023'!I18-'01 - 2023'!I17</f>
        <v>113</v>
      </c>
      <c r="M12" s="14">
        <v>4.393629424766913</v>
      </c>
      <c r="N12" s="16">
        <v>88</v>
      </c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9677.5</v>
      </c>
      <c r="F13" s="13">
        <v>0.11799999999999999</v>
      </c>
      <c r="G13" s="15">
        <f>'01 - 2023'!D19-'01 - 2023'!D18+'01 - 2023'!E19-'01 - 2023'!E18</f>
        <v>28.419999999999163</v>
      </c>
      <c r="H13" s="13">
        <v>0.99</v>
      </c>
      <c r="I13" s="15">
        <f>'01 - 2023'!J19-'01 - 2023'!J18</f>
        <v>12097</v>
      </c>
      <c r="J13" s="13">
        <v>8.1000000000000003E-2</v>
      </c>
      <c r="K13" s="21">
        <f>'01 - 2023'!H19-'01 - 2023'!H18</f>
        <v>0</v>
      </c>
      <c r="L13" s="15">
        <f>'01 - 2023'!I19-'01 - 2023'!I18</f>
        <v>108</v>
      </c>
      <c r="M13" s="14">
        <v>4.393629424766913</v>
      </c>
      <c r="N13" s="16">
        <v>87</v>
      </c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9280</v>
      </c>
      <c r="F14" s="13">
        <v>0.11799999999999999</v>
      </c>
      <c r="G14" s="15">
        <f>'01 - 2023'!D20-'01 - 2023'!D19+'01 - 2023'!E20-'01 - 2023'!E19</f>
        <v>24.600000000000364</v>
      </c>
      <c r="H14" s="13">
        <v>0.99</v>
      </c>
      <c r="I14" s="15">
        <f>'01 - 2023'!J20-'01 - 2023'!J19</f>
        <v>11258</v>
      </c>
      <c r="J14" s="13">
        <v>8.1000000000000003E-2</v>
      </c>
      <c r="K14" s="21">
        <f>'01 - 2023'!H20-'01 - 2023'!H19</f>
        <v>0</v>
      </c>
      <c r="L14" s="15">
        <f>'01 - 2023'!I20-'01 - 2023'!I19</f>
        <v>117</v>
      </c>
      <c r="M14" s="14">
        <v>4.393629424766913</v>
      </c>
      <c r="N14" s="16">
        <v>95</v>
      </c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v>0</v>
      </c>
      <c r="F15" s="13">
        <v>0.11799999999999999</v>
      </c>
      <c r="G15" s="15">
        <v>0</v>
      </c>
      <c r="H15" s="13">
        <v>0.99</v>
      </c>
      <c r="I15" s="15">
        <v>0</v>
      </c>
      <c r="J15" s="13">
        <v>8.1000000000000003E-2</v>
      </c>
      <c r="K15" s="21">
        <f>'01 - 2023'!H21-'01 - 2023'!H20</f>
        <v>0</v>
      </c>
      <c r="L15" s="15"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0</v>
      </c>
      <c r="F16" s="13">
        <v>0.11799999999999999</v>
      </c>
      <c r="G16" s="15">
        <f>'01 - 2023'!D22-'01 - 2023'!D21+'01 - 2023'!E22-'01 - 2023'!E21</f>
        <v>0</v>
      </c>
      <c r="H16" s="13">
        <v>0.99</v>
      </c>
      <c r="I16" s="15">
        <f>'01 - 2023'!J22-'01 - 2023'!J21</f>
        <v>0</v>
      </c>
      <c r="J16" s="13">
        <v>8.1000000000000003E-2</v>
      </c>
      <c r="K16" s="21">
        <f>'01 - 2023'!H22-'01 - 2023'!H21</f>
        <v>0</v>
      </c>
      <c r="L16" s="15">
        <f>'01 - 2023'!I22-'01 - 2023'!I21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0</v>
      </c>
      <c r="F17" s="13">
        <v>0.11799999999999999</v>
      </c>
      <c r="G17" s="15">
        <f>'01 - 2023'!D23-'01 - 2023'!D22+'01 - 2023'!E23-'01 - 2023'!E22</f>
        <v>0</v>
      </c>
      <c r="H17" s="13">
        <v>0.99</v>
      </c>
      <c r="I17" s="15">
        <f>'01 - 2023'!J23-'01 - 2023'!J22</f>
        <v>0</v>
      </c>
      <c r="J17" s="13">
        <v>8.1000000000000003E-2</v>
      </c>
      <c r="K17" s="21">
        <f>'01 - 2023'!H23-'01 - 2023'!H22</f>
        <v>0</v>
      </c>
      <c r="L17" s="15">
        <f>'01 - 2023'!I23-'01 - 2023'!I22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0</v>
      </c>
      <c r="F18" s="13">
        <v>0.11799999999999999</v>
      </c>
      <c r="G18" s="15">
        <f>'01 - 2023'!D24-'01 - 2023'!D23+'01 - 2023'!E24-'01 - 2023'!E23</f>
        <v>0</v>
      </c>
      <c r="H18" s="13">
        <v>0.99</v>
      </c>
      <c r="I18" s="15">
        <f>'01 - 2023'!J24-'01 - 2023'!J23</f>
        <v>0</v>
      </c>
      <c r="J18" s="13">
        <v>8.1000000000000003E-2</v>
      </c>
      <c r="K18" s="21">
        <f>'01 - 2023'!H24-'01 - 2023'!H23</f>
        <v>0</v>
      </c>
      <c r="L18" s="15">
        <f>'01 - 2023'!I24-'01 - 2023'!I23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0</v>
      </c>
      <c r="F19" s="13">
        <v>0.11799999999999999</v>
      </c>
      <c r="G19" s="15">
        <f>'01 - 2023'!D25-'01 - 2023'!D24+'01 - 2023'!E25-'01 - 2023'!E24</f>
        <v>0</v>
      </c>
      <c r="H19" s="13">
        <v>0.99</v>
      </c>
      <c r="I19" s="15">
        <f>'01 - 2023'!J25-'01 - 2023'!J24</f>
        <v>0</v>
      </c>
      <c r="J19" s="13">
        <v>8.1000000000000003E-2</v>
      </c>
      <c r="K19" s="21">
        <f>'01 - 2023'!H25-'01 - 2023'!H24</f>
        <v>0</v>
      </c>
      <c r="L19" s="15">
        <f>'01 - 2023'!I25-'01 - 2023'!I24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0</v>
      </c>
      <c r="F20" s="13">
        <v>0.11799999999999999</v>
      </c>
      <c r="G20" s="15">
        <f>'01 - 2023'!D26-'01 - 2023'!D25+'01 - 2023'!E26-'01 - 2023'!E25</f>
        <v>0</v>
      </c>
      <c r="H20" s="13">
        <v>0.99</v>
      </c>
      <c r="I20" s="15">
        <f>'01 - 2023'!J26-'01 - 2023'!J25</f>
        <v>0</v>
      </c>
      <c r="J20" s="13">
        <v>8.1000000000000003E-2</v>
      </c>
      <c r="K20" s="21">
        <f>'01 - 2023'!H26-'01 - 2023'!H25</f>
        <v>0</v>
      </c>
      <c r="L20" s="15">
        <f>'01 - 2023'!I26-'01 - 2023'!I25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0</v>
      </c>
      <c r="F21" s="13">
        <v>0.11799999999999999</v>
      </c>
      <c r="G21" s="15">
        <f>'01 - 2023'!D27-'01 - 2023'!D26+'01 - 2023'!E27-'01 - 2023'!E26</f>
        <v>0</v>
      </c>
      <c r="H21" s="13">
        <v>0.99</v>
      </c>
      <c r="I21" s="15">
        <f>'01 - 2023'!J27-'01 - 2023'!J26</f>
        <v>0</v>
      </c>
      <c r="J21" s="13">
        <v>8.1000000000000003E-2</v>
      </c>
      <c r="K21" s="21">
        <f>'01 - 2023'!H27-'01 - 2023'!H26</f>
        <v>0</v>
      </c>
      <c r="L21" s="15">
        <f>'01 - 2023'!I27-'01 - 2023'!I26</f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15" sqref="M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3948.0999999999767</v>
      </c>
      <c r="F12" s="15">
        <f>'01 - 2023'!C18-'01 - 2023'!C17</f>
        <v>5270</v>
      </c>
      <c r="G12" s="13">
        <v>0.11799999999999999</v>
      </c>
      <c r="H12" s="15">
        <f>'01 - 2023'!E18-'01 - 2023'!E17</f>
        <v>25.600000000000364</v>
      </c>
      <c r="I12" s="15">
        <f>'01 - 2023'!F18-'01 - 2023'!F17</f>
        <v>7.2000000000007276</v>
      </c>
      <c r="J12" s="15">
        <f>'01 - 2023'!G18-'01 - 2023'!G17</f>
        <v>35.480000000003201</v>
      </c>
      <c r="K12" s="13">
        <v>0.74</v>
      </c>
      <c r="L12" s="16">
        <v>88</v>
      </c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4256.5</v>
      </c>
      <c r="F13" s="15">
        <f>'01 - 2023'!C19-'01 - 2023'!C18</f>
        <v>5421</v>
      </c>
      <c r="G13" s="13">
        <v>0.11799999999999999</v>
      </c>
      <c r="H13" s="15">
        <f>'01 - 2023'!E19-'01 - 2023'!E18</f>
        <v>27.9399999999996</v>
      </c>
      <c r="I13" s="15">
        <f>'01 - 2023'!F19-'01 - 2023'!F18</f>
        <v>8.3499999999994543</v>
      </c>
      <c r="J13" s="15">
        <f>'01 - 2023'!G19-'01 - 2023'!G18</f>
        <v>35.069999999999709</v>
      </c>
      <c r="K13" s="13">
        <v>0.74</v>
      </c>
      <c r="L13" s="16">
        <v>87</v>
      </c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4068</v>
      </c>
      <c r="F14" s="15">
        <f>'01 - 2023'!C20-'01 - 2023'!C19</f>
        <v>5212</v>
      </c>
      <c r="G14" s="13">
        <v>0.11799999999999999</v>
      </c>
      <c r="H14" s="15">
        <f>'01 - 2023'!E20-'01 - 2023'!E19</f>
        <v>24.680000000000291</v>
      </c>
      <c r="I14" s="15">
        <f>'01 - 2023'!F20-'01 - 2023'!F19</f>
        <v>7.819999999999709</v>
      </c>
      <c r="J14" s="15">
        <f>'01 - 2023'!G20-'01 - 2023'!G19</f>
        <v>33.789999999993597</v>
      </c>
      <c r="K14" s="13">
        <v>0.74</v>
      </c>
      <c r="L14" s="16">
        <v>95</v>
      </c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v>0</v>
      </c>
      <c r="F15" s="15">
        <v>0</v>
      </c>
      <c r="G15" s="13">
        <v>0.11799999999999999</v>
      </c>
      <c r="H15" s="15">
        <v>0</v>
      </c>
      <c r="I15" s="15">
        <v>0</v>
      </c>
      <c r="J15" s="15"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0</v>
      </c>
      <c r="F16" s="15">
        <f>'01 - 2023'!C22-'01 - 2023'!C21</f>
        <v>0</v>
      </c>
      <c r="G16" s="13">
        <v>0.11799999999999999</v>
      </c>
      <c r="H16" s="15">
        <f>'01 - 2023'!E22-'01 - 2023'!E21</f>
        <v>0</v>
      </c>
      <c r="I16" s="15">
        <f>'01 - 2023'!F22-'01 - 2023'!F21</f>
        <v>0</v>
      </c>
      <c r="J16" s="15">
        <f>'01 - 2023'!G22-'01 - 2023'!G21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0</v>
      </c>
      <c r="F17" s="15">
        <f>'01 - 2023'!C23-'01 - 2023'!C22</f>
        <v>0</v>
      </c>
      <c r="G17" s="13">
        <v>0.11799999999999999</v>
      </c>
      <c r="H17" s="15">
        <f>'01 - 2023'!E23-'01 - 2023'!E22</f>
        <v>0</v>
      </c>
      <c r="I17" s="15">
        <f>'01 - 2023'!F23-'01 - 2023'!F22</f>
        <v>0</v>
      </c>
      <c r="J17" s="15">
        <f>'01 - 2023'!G23-'01 - 2023'!G22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0</v>
      </c>
      <c r="F18" s="15">
        <f>'01 - 2023'!C24-'01 - 2023'!C23</f>
        <v>0</v>
      </c>
      <c r="G18" s="13">
        <v>0.11799999999999999</v>
      </c>
      <c r="H18" s="15">
        <f>'01 - 2023'!E24-'01 - 2023'!E23</f>
        <v>0</v>
      </c>
      <c r="I18" s="15">
        <f>'01 - 2023'!F24-'01 - 2023'!F23</f>
        <v>0</v>
      </c>
      <c r="J18" s="15">
        <f>'01 - 2023'!G24-'01 - 2023'!G23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0</v>
      </c>
      <c r="F19" s="15">
        <f>'01 - 2023'!C25-'01 - 2023'!C24</f>
        <v>0</v>
      </c>
      <c r="G19" s="13">
        <v>0.11799999999999999</v>
      </c>
      <c r="H19" s="15">
        <f>'01 - 2023'!E25-'01 - 2023'!E24</f>
        <v>0</v>
      </c>
      <c r="I19" s="15">
        <f>'01 - 2023'!F25-'01 - 2023'!F24</f>
        <v>0</v>
      </c>
      <c r="J19" s="15">
        <f>'01 - 2023'!G25-'01 - 2023'!G24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0</v>
      </c>
      <c r="F20" s="15">
        <f>'01 - 2023'!C26-'01 - 2023'!C25</f>
        <v>0</v>
      </c>
      <c r="G20" s="13">
        <v>0.11799999999999999</v>
      </c>
      <c r="H20" s="15">
        <f>'01 - 2023'!E26-'01 - 2023'!E25</f>
        <v>0</v>
      </c>
      <c r="I20" s="15">
        <f>'01 - 2023'!F26-'01 - 2023'!F25</f>
        <v>0</v>
      </c>
      <c r="J20" s="15">
        <f>'01 - 2023'!G26-'01 - 2023'!G25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0</v>
      </c>
      <c r="F21" s="15">
        <f>'01 - 2023'!C27-'01 - 2023'!C26</f>
        <v>0</v>
      </c>
      <c r="G21" s="13">
        <v>0.11799999999999999</v>
      </c>
      <c r="H21" s="15">
        <f>'01 - 2023'!E27-'01 - 2023'!E26</f>
        <v>0</v>
      </c>
      <c r="I21" s="15">
        <f>'01 - 2023'!F27-'01 - 2023'!F26</f>
        <v>0</v>
      </c>
      <c r="J21" s="15">
        <f>'01 - 2023'!G27-'01 - 2023'!G26</f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B21" sqref="B2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>
        <v>1023550.6</v>
      </c>
      <c r="C18" s="41">
        <v>223884</v>
      </c>
      <c r="D18" s="40">
        <v>0.28000000000000003</v>
      </c>
      <c r="E18" s="39">
        <v>7414.3</v>
      </c>
      <c r="F18" s="39">
        <v>4308.8100000000004</v>
      </c>
      <c r="G18" s="39">
        <v>49476.98</v>
      </c>
      <c r="H18" s="41">
        <v>14528</v>
      </c>
      <c r="I18" s="41">
        <v>184049</v>
      </c>
      <c r="J18" s="41">
        <v>62495019</v>
      </c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>
        <v>1027807.1</v>
      </c>
      <c r="C19" s="41">
        <v>229305</v>
      </c>
      <c r="D19" s="40">
        <v>0.76</v>
      </c>
      <c r="E19" s="39">
        <v>7442.24</v>
      </c>
      <c r="F19" s="39">
        <v>4317.16</v>
      </c>
      <c r="G19" s="39">
        <v>49512.05</v>
      </c>
      <c r="H19" s="41">
        <v>14528</v>
      </c>
      <c r="I19" s="41">
        <v>184157</v>
      </c>
      <c r="J19" s="41">
        <v>62507116</v>
      </c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>
        <v>1031875.1</v>
      </c>
      <c r="C20" s="43">
        <v>234517</v>
      </c>
      <c r="D20" s="40">
        <v>0.68</v>
      </c>
      <c r="E20" s="41">
        <v>7466.92</v>
      </c>
      <c r="F20" s="41">
        <v>4324.9799999999996</v>
      </c>
      <c r="G20" s="44">
        <v>49545.84</v>
      </c>
      <c r="H20" s="41">
        <v>14528</v>
      </c>
      <c r="I20" s="43">
        <v>184274</v>
      </c>
      <c r="J20" s="43">
        <v>62518374</v>
      </c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/>
      <c r="C21" s="43"/>
      <c r="D21" s="40"/>
      <c r="E21" s="44"/>
      <c r="F21" s="39"/>
      <c r="G21" s="44"/>
      <c r="H21" s="41">
        <v>14528</v>
      </c>
      <c r="I21" s="43"/>
      <c r="J21" s="43"/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1"/>
      <c r="C22" s="41"/>
      <c r="D22" s="40"/>
      <c r="E22" s="39"/>
      <c r="F22" s="39"/>
      <c r="G22" s="44"/>
      <c r="H22" s="41">
        <v>14528</v>
      </c>
      <c r="I22" s="44"/>
      <c r="J22" s="43"/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/>
      <c r="C23" s="43"/>
      <c r="D23" s="40"/>
      <c r="E23" s="44"/>
      <c r="F23" s="39"/>
      <c r="G23" s="44"/>
      <c r="H23" s="41">
        <v>14528</v>
      </c>
      <c r="I23" s="43"/>
      <c r="J23" s="43"/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/>
      <c r="C24" s="43"/>
      <c r="D24" s="40"/>
      <c r="E24" s="44"/>
      <c r="F24" s="39"/>
      <c r="G24" s="44"/>
      <c r="H24" s="41">
        <v>14528</v>
      </c>
      <c r="I24" s="43"/>
      <c r="J24" s="43"/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/>
      <c r="C25" s="44"/>
      <c r="D25" s="40"/>
      <c r="E25" s="44"/>
      <c r="F25" s="39"/>
      <c r="G25" s="44"/>
      <c r="H25" s="41">
        <v>14528</v>
      </c>
      <c r="I25" s="43"/>
      <c r="J25" s="43"/>
      <c r="K25" s="91"/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/>
      <c r="C26" s="44"/>
      <c r="D26" s="42"/>
      <c r="E26" s="44"/>
      <c r="F26" s="39"/>
      <c r="G26" s="44"/>
      <c r="H26" s="41">
        <v>14528</v>
      </c>
      <c r="I26" s="43"/>
      <c r="J26" s="43"/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4150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2023-01-13T04:32:55Z</dcterms:modified>
</cp:coreProperties>
</file>