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4000" windowHeight="9600" tabRatio="598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" i="2" l="1"/>
  <c r="T31" i="2" l="1"/>
  <c r="T32" i="2" s="1"/>
  <c r="T33" i="2" s="1"/>
  <c r="P24" i="2"/>
  <c r="P25" i="2" s="1"/>
  <c r="P26" i="2" s="1"/>
  <c r="P27" i="2" s="1"/>
  <c r="P31" i="2" s="1"/>
  <c r="P32" i="2" s="1"/>
  <c r="P33" i="2" s="1"/>
  <c r="N31" i="2"/>
  <c r="N32" i="2" s="1"/>
  <c r="N33" i="2" s="1"/>
  <c r="L31" i="2"/>
  <c r="L32" i="2" s="1"/>
  <c r="L33" i="2" s="1"/>
  <c r="H31" i="2"/>
  <c r="H32" i="2" s="1"/>
  <c r="H33" i="2" s="1"/>
  <c r="F31" i="2"/>
  <c r="F32" i="2" s="1"/>
  <c r="F33" i="2" s="1"/>
  <c r="D31" i="2"/>
  <c r="D32" i="2" s="1"/>
  <c r="D33" i="2" s="1"/>
  <c r="B31" i="2"/>
  <c r="B32" i="2" s="1"/>
  <c r="B33" i="2" s="1"/>
  <c r="U3" i="2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J3" i="3" s="1"/>
  <c r="K3" i="3" s="1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Z3" i="4" s="1"/>
  <c r="AA3" i="4" s="1"/>
  <c r="Q3" i="4"/>
  <c r="O3" i="4"/>
  <c r="X3" i="4" s="1"/>
  <c r="M3" i="4"/>
  <c r="K3" i="4"/>
  <c r="H3" i="4"/>
  <c r="I3" i="4" s="1"/>
  <c r="F3" i="4"/>
  <c r="D3" i="4"/>
  <c r="T3" i="1" l="1"/>
  <c r="U3" i="1" s="1"/>
  <c r="Y3" i="4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O10" i="1"/>
  <c r="P10" i="1" s="1"/>
  <c r="O11" i="1"/>
  <c r="P11" i="1" s="1"/>
  <c r="O12" i="1"/>
  <c r="P12" i="1" s="1"/>
  <c r="O13" i="1"/>
  <c r="P13" i="1" s="1"/>
  <c r="O14" i="1"/>
  <c r="P14" i="1" s="1"/>
  <c r="O15" i="1"/>
  <c r="O16" i="1"/>
  <c r="O17" i="1"/>
  <c r="P17" i="1" s="1"/>
  <c r="O18" i="1"/>
  <c r="P18" i="1" s="1"/>
  <c r="O19" i="1"/>
  <c r="P19" i="1" s="1"/>
  <c r="O20" i="1"/>
  <c r="P20" i="1" s="1"/>
  <c r="O21" i="1"/>
  <c r="O22" i="1"/>
  <c r="P22" i="1" s="1"/>
  <c r="O23" i="1"/>
  <c r="P23" i="1" s="1"/>
  <c r="O24" i="1"/>
  <c r="P24" i="1" s="1"/>
  <c r="O25" i="1"/>
  <c r="O26" i="1"/>
  <c r="P26" i="1" s="1"/>
  <c r="O27" i="1"/>
  <c r="P27" i="1" s="1"/>
  <c r="O28" i="1"/>
  <c r="P28" i="1" s="1"/>
  <c r="O29" i="1"/>
  <c r="P9" i="1"/>
  <c r="P15" i="1"/>
  <c r="P16" i="1"/>
  <c r="P21" i="1"/>
  <c r="P25" i="1"/>
  <c r="P29" i="1"/>
  <c r="P32" i="1"/>
  <c r="L4" i="1"/>
  <c r="M4" i="1" s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M5" i="1"/>
  <c r="M6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10" i="1"/>
  <c r="J15" i="1"/>
  <c r="J31" i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3" i="1"/>
  <c r="G33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<sst xmlns="http://schemas.openxmlformats.org/spreadsheetml/2006/main" count="441" uniqueCount="144">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</sst>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selection activeCell="H31" sqref="H31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6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74520.160132000005</v>
      </c>
      <c r="F2" s="162">
        <v>1.27</v>
      </c>
      <c r="G2" s="47">
        <f>Gas!C3*0.9147</f>
        <v>1737.9299999999998</v>
      </c>
      <c r="H2" s="163">
        <v>3.65</v>
      </c>
      <c r="I2" s="164">
        <f>Submetering!H2+Submetering!AD2+Submetering!AE2</f>
        <v>1236</v>
      </c>
      <c r="J2" s="165">
        <v>10.029999999999999</v>
      </c>
      <c r="K2" s="47">
        <f>ELECT.!B3</f>
        <v>110</v>
      </c>
    </row>
    <row r="3" spans="1:14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59057.756880000001</v>
      </c>
      <c r="F3" s="162">
        <v>1.27</v>
      </c>
      <c r="G3" s="47">
        <f>Gas!C4*0.9147</f>
        <v>1612.6161</v>
      </c>
      <c r="H3" s="163">
        <v>3.65</v>
      </c>
      <c r="I3" s="165">
        <f>Submetering!H3+Submetering!AD3+Submetering!AE3</f>
        <v>906</v>
      </c>
      <c r="J3" s="165">
        <v>10.029999999999999</v>
      </c>
      <c r="K3" s="47">
        <f>ELECT.!B4</f>
        <v>144</v>
      </c>
    </row>
    <row r="4" spans="1:14" x14ac:dyDescent="0.2">
      <c r="A4" s="58" t="s">
        <v>53</v>
      </c>
      <c r="B4" s="63">
        <f t="shared" ref="B4:B31" si="0">B3+1</f>
        <v>3</v>
      </c>
      <c r="C4" s="63">
        <v>6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52633.196844000006</v>
      </c>
      <c r="F4" s="162">
        <v>1.27</v>
      </c>
      <c r="G4" s="47">
        <f>Gas!C5*0.9147</f>
        <v>1752.5652</v>
      </c>
      <c r="H4" s="163">
        <v>3.65</v>
      </c>
      <c r="I4" s="165">
        <f>Submetering!H4+Submetering!AD4+Submetering!AE4</f>
        <v>956.00000000000011</v>
      </c>
      <c r="J4" s="165">
        <v>10.029999999999999</v>
      </c>
      <c r="K4" s="47">
        <f>ELECT.!B5</f>
        <v>182</v>
      </c>
    </row>
    <row r="5" spans="1:14" x14ac:dyDescent="0.2">
      <c r="A5" s="58" t="s">
        <v>53</v>
      </c>
      <c r="B5" s="63">
        <f t="shared" si="0"/>
        <v>4</v>
      </c>
      <c r="C5" s="63">
        <v>6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76954.119112</v>
      </c>
      <c r="F5" s="162">
        <v>1.27</v>
      </c>
      <c r="G5" s="47">
        <f>Gas!C6*0.9147</f>
        <v>1769.0298</v>
      </c>
      <c r="H5" s="163">
        <v>3.65</v>
      </c>
      <c r="I5" s="165">
        <f>Submetering!H5+Submetering!AD5+Submetering!AE5</f>
        <v>1416</v>
      </c>
      <c r="J5" s="165">
        <v>10.029999999999999</v>
      </c>
      <c r="K5" s="47">
        <f>ELECT.!B6</f>
        <v>138</v>
      </c>
    </row>
    <row r="6" spans="1:14" x14ac:dyDescent="0.2">
      <c r="A6" s="58" t="s">
        <v>53</v>
      </c>
      <c r="B6" s="63">
        <f t="shared" si="0"/>
        <v>5</v>
      </c>
      <c r="C6" s="63">
        <v>6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52658.385232000001</v>
      </c>
      <c r="F6" s="162">
        <v>1.27</v>
      </c>
      <c r="G6" s="47">
        <f>Gas!C7*0.9147</f>
        <v>2271.2001</v>
      </c>
      <c r="H6" s="163">
        <v>3.65</v>
      </c>
      <c r="I6" s="165">
        <f>Submetering!H6+Submetering!AD6+Submetering!AE6</f>
        <v>1666</v>
      </c>
      <c r="J6" s="165">
        <v>10.029999999999999</v>
      </c>
      <c r="K6" s="47">
        <f>ELECT.!B7</f>
        <v>211</v>
      </c>
    </row>
    <row r="7" spans="1:14" x14ac:dyDescent="0.2">
      <c r="A7" s="58" t="s">
        <v>53</v>
      </c>
      <c r="B7" s="63">
        <f t="shared" si="0"/>
        <v>6</v>
      </c>
      <c r="C7" s="63">
        <v>6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70700.338052000006</v>
      </c>
      <c r="F7" s="162">
        <v>1.27</v>
      </c>
      <c r="G7" s="47">
        <f>Gas!C8*0.9147</f>
        <v>1821.1677</v>
      </c>
      <c r="H7" s="163">
        <v>3.65</v>
      </c>
      <c r="I7" s="165">
        <f>Submetering!H7+Submetering!AD7+Submetering!AE7</f>
        <v>976</v>
      </c>
      <c r="J7" s="165">
        <v>10.029999999999999</v>
      </c>
      <c r="K7" s="47">
        <f>ELECT.!B8</f>
        <v>222</v>
      </c>
    </row>
    <row r="8" spans="1:14" x14ac:dyDescent="0.2">
      <c r="A8" s="58" t="s">
        <v>53</v>
      </c>
      <c r="B8" s="63">
        <f t="shared" si="0"/>
        <v>7</v>
      </c>
      <c r="C8" s="63">
        <v>6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57927.086531999994</v>
      </c>
      <c r="F8" s="162">
        <v>1.27</v>
      </c>
      <c r="G8" s="47">
        <f>Gas!C9*0.9147</f>
        <v>1674.8156999999999</v>
      </c>
      <c r="H8" s="163">
        <v>3.65</v>
      </c>
      <c r="I8" s="165">
        <f>Submetering!H8+Submetering!AD8+Submetering!AE8</f>
        <v>1005.9999999999999</v>
      </c>
      <c r="J8" s="165">
        <v>10.029999999999999</v>
      </c>
      <c r="K8" s="47">
        <f>ELECT.!B9</f>
        <v>235</v>
      </c>
    </row>
    <row r="9" spans="1:14" x14ac:dyDescent="0.2">
      <c r="A9" s="58" t="s">
        <v>53</v>
      </c>
      <c r="B9" s="63">
        <f t="shared" si="0"/>
        <v>8</v>
      </c>
      <c r="C9" s="63">
        <v>6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45206.913600000007</v>
      </c>
      <c r="F9" s="162">
        <v>1.27</v>
      </c>
      <c r="G9" s="47">
        <f>Gas!C10*0.9147</f>
        <v>2178.8154</v>
      </c>
      <c r="H9" s="163">
        <v>3.65</v>
      </c>
      <c r="I9" s="165">
        <f>Submetering!H9+Submetering!AD9+Submetering!AE9</f>
        <v>856</v>
      </c>
      <c r="J9" s="165">
        <v>10.029999999999999</v>
      </c>
      <c r="K9" s="47">
        <f>ELECT.!B10</f>
        <v>221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6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67290.490623999998</v>
      </c>
      <c r="F10" s="162">
        <v>1.27</v>
      </c>
      <c r="G10" s="47">
        <f>Gas!C11*0.9147</f>
        <v>1733.3564999999999</v>
      </c>
      <c r="H10" s="163">
        <v>3.65</v>
      </c>
      <c r="I10" s="165">
        <f>Submetering!H10+Submetering!AD10+Submetering!AE10</f>
        <v>1036</v>
      </c>
      <c r="J10" s="165">
        <v>10.029999999999999</v>
      </c>
      <c r="K10" s="47">
        <f>ELECT.!B11</f>
        <v>230</v>
      </c>
    </row>
    <row r="11" spans="1:14" x14ac:dyDescent="0.2">
      <c r="A11" s="58" t="s">
        <v>53</v>
      </c>
      <c r="B11" s="63">
        <f t="shared" si="0"/>
        <v>10</v>
      </c>
      <c r="C11" s="63">
        <v>6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57120.413724000005</v>
      </c>
      <c r="F11" s="162">
        <v>1.27</v>
      </c>
      <c r="G11" s="47">
        <f>Gas!C12*0.9147</f>
        <v>1466.2640999999999</v>
      </c>
      <c r="H11" s="163">
        <v>3.65</v>
      </c>
      <c r="I11" s="165">
        <f>Submetering!H11+Submetering!AD11+Submetering!AE11</f>
        <v>736</v>
      </c>
      <c r="J11" s="165">
        <v>10.029999999999999</v>
      </c>
      <c r="K11" s="47">
        <f>ELECT.!B12</f>
        <v>225</v>
      </c>
    </row>
    <row r="12" spans="1:14" x14ac:dyDescent="0.2">
      <c r="A12" s="58" t="s">
        <v>53</v>
      </c>
      <c r="B12" s="63">
        <f t="shared" si="0"/>
        <v>11</v>
      </c>
      <c r="C12" s="63">
        <v>6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80735.509568000009</v>
      </c>
      <c r="F12" s="162">
        <v>1.27</v>
      </c>
      <c r="G12" s="47">
        <f>Gas!C13*0.9147</f>
        <v>2397.4286999999999</v>
      </c>
      <c r="H12" s="163">
        <v>3.65</v>
      </c>
      <c r="I12" s="165">
        <f>Submetering!H12+Submetering!AD12+Submetering!AE12</f>
        <v>836</v>
      </c>
      <c r="J12" s="165">
        <v>10.029999999999999</v>
      </c>
      <c r="K12" s="47">
        <f>ELECT.!B13</f>
        <v>169</v>
      </c>
    </row>
    <row r="13" spans="1:14" x14ac:dyDescent="0.2">
      <c r="A13" s="58" t="s">
        <v>53</v>
      </c>
      <c r="B13" s="63">
        <f t="shared" si="0"/>
        <v>12</v>
      </c>
      <c r="C13" s="63">
        <v>6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57981.889204000006</v>
      </c>
      <c r="F13" s="162">
        <v>1.27</v>
      </c>
      <c r="G13" s="47">
        <f>Gas!C14*0.9147</f>
        <v>1837.6323</v>
      </c>
      <c r="H13" s="163">
        <v>3.65</v>
      </c>
      <c r="I13" s="165">
        <f>Submetering!H13+Submetering!AD13+Submetering!AE13</f>
        <v>546</v>
      </c>
      <c r="J13" s="165">
        <v>10.029999999999999</v>
      </c>
      <c r="K13" s="47">
        <f>ELECT.!B14</f>
        <v>180</v>
      </c>
    </row>
    <row r="14" spans="1:14" x14ac:dyDescent="0.2">
      <c r="A14" s="58" t="s">
        <v>53</v>
      </c>
      <c r="B14" s="63">
        <f t="shared" si="0"/>
        <v>13</v>
      </c>
      <c r="C14" s="63">
        <v>6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55589.591952000002</v>
      </c>
      <c r="F14" s="162">
        <v>1.27</v>
      </c>
      <c r="G14" s="47">
        <f>Gas!C15*0.9147</f>
        <v>2076.3689999999997</v>
      </c>
      <c r="H14" s="163">
        <v>3.65</v>
      </c>
      <c r="I14" s="165">
        <f>Submetering!H14+Submetering!AD14+Submetering!AE14</f>
        <v>916.00000000000011</v>
      </c>
      <c r="J14" s="165">
        <v>10.029999999999999</v>
      </c>
      <c r="K14" s="47">
        <f>ELECT.!B15</f>
        <v>138</v>
      </c>
    </row>
    <row r="15" spans="1:14" x14ac:dyDescent="0.2">
      <c r="A15" s="58" t="s">
        <v>53</v>
      </c>
      <c r="B15" s="63">
        <f t="shared" si="0"/>
        <v>14</v>
      </c>
      <c r="C15" s="63">
        <v>6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64317.14402</v>
      </c>
      <c r="F15" s="162">
        <v>1.27</v>
      </c>
      <c r="G15" s="47">
        <f>Gas!C16*0.9147</f>
        <v>1922.6994</v>
      </c>
      <c r="H15" s="163">
        <v>3.65</v>
      </c>
      <c r="I15" s="165">
        <f>Submetering!H15+Submetering!AD15+Submetering!AE15</f>
        <v>526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6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73653.031960000008</v>
      </c>
      <c r="F16" s="162">
        <v>1.27</v>
      </c>
      <c r="G16" s="47">
        <f>Gas!C17*0.9147</f>
        <v>1990.3871999999999</v>
      </c>
      <c r="H16" s="163">
        <v>3.65</v>
      </c>
      <c r="I16" s="165">
        <f>Submetering!H16+Submetering!AD16+Submetering!AE16</f>
        <v>526</v>
      </c>
      <c r="J16" s="165">
        <v>10.029999999999999</v>
      </c>
      <c r="K16" s="47">
        <f>ELECT.!B17</f>
        <v>202</v>
      </c>
    </row>
    <row r="17" spans="1:13" x14ac:dyDescent="0.2">
      <c r="A17" s="58" t="s">
        <v>53</v>
      </c>
      <c r="B17" s="63">
        <f t="shared" si="0"/>
        <v>16</v>
      </c>
      <c r="C17" s="63">
        <v>6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50875.464668000008</v>
      </c>
      <c r="F17" s="162">
        <v>1.27</v>
      </c>
      <c r="G17" s="47">
        <f>Gas!C18*0.9147</f>
        <v>1833.9734999999998</v>
      </c>
      <c r="H17" s="163">
        <v>3.65</v>
      </c>
      <c r="I17" s="165">
        <f>Submetering!H17+Submetering!AD17+Submetering!AE17</f>
        <v>976</v>
      </c>
      <c r="J17" s="165">
        <v>10.029999999999999</v>
      </c>
      <c r="K17" s="47">
        <f>ELECT.!B18</f>
        <v>115</v>
      </c>
    </row>
    <row r="18" spans="1:13" x14ac:dyDescent="0.2">
      <c r="A18" s="58" t="s">
        <v>53</v>
      </c>
      <c r="B18" s="63">
        <f t="shared" si="0"/>
        <v>17</v>
      </c>
      <c r="C18" s="63">
        <v>6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82536.318484000003</v>
      </c>
      <c r="F18" s="162">
        <v>1.27</v>
      </c>
      <c r="G18" s="47">
        <f>Gas!C19*0.9147</f>
        <v>1954.7139</v>
      </c>
      <c r="H18" s="163">
        <v>3.65</v>
      </c>
      <c r="I18" s="165">
        <f>Submetering!H18+Submetering!AD18+Submetering!AE18</f>
        <v>766</v>
      </c>
      <c r="J18" s="165">
        <v>10.029999999999999</v>
      </c>
      <c r="K18" s="47">
        <f>ELECT.!B19</f>
        <v>162</v>
      </c>
    </row>
    <row r="19" spans="1:13" x14ac:dyDescent="0.2">
      <c r="A19" s="58" t="s">
        <v>53</v>
      </c>
      <c r="B19" s="63">
        <f t="shared" si="0"/>
        <v>18</v>
      </c>
      <c r="C19" s="63">
        <v>6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57103.878884000005</v>
      </c>
      <c r="F19" s="162">
        <v>1.27</v>
      </c>
      <c r="G19" s="47">
        <f>Gas!C20*0.9147</f>
        <v>2101.9805999999999</v>
      </c>
      <c r="H19" s="163">
        <v>3.65</v>
      </c>
      <c r="I19" s="165">
        <f>Submetering!H19+Submetering!AD19+Submetering!AE19</f>
        <v>706</v>
      </c>
      <c r="J19" s="165">
        <v>10.029999999999999</v>
      </c>
      <c r="K19" s="47">
        <f>ELECT.!B20</f>
        <v>185</v>
      </c>
    </row>
    <row r="20" spans="1:13" x14ac:dyDescent="0.2">
      <c r="A20" s="58" t="s">
        <v>53</v>
      </c>
      <c r="B20" s="63">
        <f t="shared" si="0"/>
        <v>19</v>
      </c>
      <c r="C20" s="63">
        <v>6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69910.943195999993</v>
      </c>
      <c r="F20" s="162">
        <v>1.27</v>
      </c>
      <c r="G20" s="47">
        <f>Gas!C21*0.9147</f>
        <v>1739.7593999999999</v>
      </c>
      <c r="H20" s="163">
        <v>3.65</v>
      </c>
      <c r="I20" s="165">
        <f>Submetering!H20+Submetering!AD20+Submetering!AE20</f>
        <v>806</v>
      </c>
      <c r="J20" s="165">
        <v>10.029999999999999</v>
      </c>
      <c r="K20" s="47">
        <f>ELECT.!B21</f>
        <v>160</v>
      </c>
    </row>
    <row r="21" spans="1:13" x14ac:dyDescent="0.2">
      <c r="A21" s="58" t="s">
        <v>53</v>
      </c>
      <c r="B21" s="63">
        <f t="shared" si="0"/>
        <v>20</v>
      </c>
      <c r="C21" s="63">
        <v>6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64131.293060000004</v>
      </c>
      <c r="F21" s="162">
        <v>1.27</v>
      </c>
      <c r="G21" s="47">
        <f>Gas!C22*0.9147</f>
        <v>1984.8989999999999</v>
      </c>
      <c r="H21" s="163">
        <v>3.65</v>
      </c>
      <c r="I21" s="165">
        <f>Submetering!H21+Submetering!AD21+Submetering!AE21</f>
        <v>1206</v>
      </c>
      <c r="J21" s="165">
        <v>10.029999999999999</v>
      </c>
      <c r="K21" s="47">
        <f>ELECT.!B22</f>
        <v>196</v>
      </c>
    </row>
    <row r="22" spans="1:13" x14ac:dyDescent="0.2">
      <c r="A22" s="58" t="s">
        <v>53</v>
      </c>
      <c r="B22" s="63">
        <f t="shared" si="0"/>
        <v>21</v>
      </c>
      <c r="C22" s="63">
        <v>6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44890.778939999997</v>
      </c>
      <c r="F22" s="162">
        <v>1.27</v>
      </c>
      <c r="G22" s="47">
        <f>Gas!C23*0.9147</f>
        <v>1597.0662</v>
      </c>
      <c r="H22" s="163">
        <v>3.65</v>
      </c>
      <c r="I22" s="165">
        <f>Submetering!H22+Submetering!AD22+Submetering!AE22</f>
        <v>1206</v>
      </c>
      <c r="J22" s="165">
        <v>10.029999999999999</v>
      </c>
      <c r="K22" s="47">
        <f>ELECT.!B23</f>
        <v>201</v>
      </c>
    </row>
    <row r="23" spans="1:13" x14ac:dyDescent="0.2">
      <c r="A23" s="58" t="s">
        <v>53</v>
      </c>
      <c r="B23" s="63">
        <f t="shared" si="0"/>
        <v>22</v>
      </c>
      <c r="C23" s="63">
        <v>6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76270.374012</v>
      </c>
      <c r="F23" s="162">
        <v>1.27</v>
      </c>
      <c r="G23" s="47">
        <f>Gas!C24*0.9147</f>
        <v>1951.9697999999999</v>
      </c>
      <c r="H23" s="163">
        <v>3.65</v>
      </c>
      <c r="I23" s="165">
        <f>Submetering!H23+Submetering!AD23+Submetering!AE23</f>
        <v>576.00000000000011</v>
      </c>
      <c r="J23" s="165">
        <v>10.029999999999999</v>
      </c>
      <c r="K23" s="47">
        <f>ELECT.!B24</f>
        <v>197</v>
      </c>
    </row>
    <row r="24" spans="1:13" x14ac:dyDescent="0.2">
      <c r="A24" s="58" t="s">
        <v>53</v>
      </c>
      <c r="B24" s="63">
        <f t="shared" si="0"/>
        <v>23</v>
      </c>
      <c r="C24" s="63">
        <v>6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131034.564396</v>
      </c>
      <c r="F24" s="162">
        <v>1.27</v>
      </c>
      <c r="G24" s="47">
        <f>Gas!C25*0.9147</f>
        <v>1858.6704</v>
      </c>
      <c r="H24" s="163">
        <v>3.65</v>
      </c>
      <c r="I24" s="165">
        <f>Submetering!H24+Submetering!AD24+Submetering!AE24</f>
        <v>856</v>
      </c>
      <c r="J24" s="165">
        <v>10.029999999999999</v>
      </c>
      <c r="K24" s="47">
        <f>ELECT.!B25</f>
        <v>236</v>
      </c>
    </row>
    <row r="25" spans="1:13" x14ac:dyDescent="0.2">
      <c r="A25" s="58" t="s">
        <v>53</v>
      </c>
      <c r="B25" s="63">
        <f t="shared" si="0"/>
        <v>24</v>
      </c>
      <c r="C25" s="63">
        <v>6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-2539.152</v>
      </c>
      <c r="F25" s="162">
        <v>1.27</v>
      </c>
      <c r="G25" s="47">
        <f>Gas!C26*0.9147</f>
        <v>1914.4670999999998</v>
      </c>
      <c r="H25" s="163">
        <v>3.65</v>
      </c>
      <c r="I25" s="165">
        <f>Submetering!H25+Submetering!AD25+Submetering!AE25</f>
        <v>855.99999999999989</v>
      </c>
      <c r="J25" s="165">
        <v>10.029999999999999</v>
      </c>
      <c r="K25" s="47">
        <f>ELECT.!B26</f>
        <v>254</v>
      </c>
    </row>
    <row r="26" spans="1:13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67324.242067999992</v>
      </c>
      <c r="F26" s="162">
        <v>1.27</v>
      </c>
      <c r="G26" s="47">
        <f>Gas!C27*0.9147</f>
        <v>2208.0857999999998</v>
      </c>
      <c r="H26" s="163">
        <v>3.65</v>
      </c>
      <c r="I26" s="165">
        <f>Submetering!H26+Submetering!AD26+Submetering!AE26</f>
        <v>826.00000000000011</v>
      </c>
      <c r="J26" s="165">
        <v>10.029999999999999</v>
      </c>
      <c r="K26" s="47">
        <f>ELECT.!B27</f>
        <v>256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6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66243.944319999995</v>
      </c>
      <c r="F27" s="162">
        <v>1.27</v>
      </c>
      <c r="G27" s="47">
        <f>Gas!C28*0.9147</f>
        <v>1883.3672999999999</v>
      </c>
      <c r="H27" s="163">
        <v>3.65</v>
      </c>
      <c r="I27" s="165">
        <f>Submetering!H27+Submetering!AD27+Submetering!AE27</f>
        <v>826</v>
      </c>
      <c r="J27" s="165">
        <v>10.029999999999999</v>
      </c>
      <c r="K27" s="47">
        <f>ELECT.!B28</f>
        <v>216</v>
      </c>
    </row>
    <row r="28" spans="1:13" x14ac:dyDescent="0.2">
      <c r="A28" s="58" t="s">
        <v>53</v>
      </c>
      <c r="B28" s="63">
        <f t="shared" si="0"/>
        <v>27</v>
      </c>
      <c r="C28" s="63">
        <v>6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56084.304995999999</v>
      </c>
      <c r="F28" s="162">
        <v>1.27</v>
      </c>
      <c r="G28" s="47">
        <f>Gas!C29*0.9147</f>
        <v>1924.5287999999998</v>
      </c>
      <c r="H28" s="163">
        <v>3.65</v>
      </c>
      <c r="I28" s="165">
        <f>Submetering!H28+Submetering!AD28+Submetering!AE28</f>
        <v>1086</v>
      </c>
      <c r="J28" s="165">
        <v>10.029999999999999</v>
      </c>
      <c r="K28" s="47">
        <f>ELECT.!B29</f>
        <v>144</v>
      </c>
    </row>
    <row r="29" spans="1:13" x14ac:dyDescent="0.2">
      <c r="A29" s="58" t="s">
        <v>53</v>
      </c>
      <c r="B29" s="63">
        <f t="shared" si="0"/>
        <v>28</v>
      </c>
      <c r="C29" s="63">
        <v>6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65522.146315999998</v>
      </c>
      <c r="F29" s="162">
        <v>1.27</v>
      </c>
      <c r="G29" s="47">
        <f>Gas!C30*0.9147</f>
        <v>1759.8827999999999</v>
      </c>
      <c r="H29" s="163">
        <v>3.65</v>
      </c>
      <c r="I29" s="165">
        <f>Submetering!H29+Submetering!AD29+Submetering!AE29</f>
        <v>1256</v>
      </c>
      <c r="J29" s="165">
        <v>10.029999999999999</v>
      </c>
      <c r="K29" s="47">
        <f>ELECT.!B30</f>
        <v>169</v>
      </c>
    </row>
    <row r="30" spans="1:13" x14ac:dyDescent="0.2">
      <c r="A30" s="58" t="s">
        <v>53</v>
      </c>
      <c r="B30" s="63">
        <f t="shared" si="0"/>
        <v>29</v>
      </c>
      <c r="C30" s="63">
        <v>6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6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I1" zoomScale="85" zoomScaleNormal="85" workbookViewId="0">
      <selection activeCell="C28" sqref="C28:AC2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6</v>
      </c>
      <c r="D2" s="63">
        <v>2021</v>
      </c>
      <c r="E2" s="47">
        <f>Water!C3</f>
        <v>1430</v>
      </c>
      <c r="F2" s="47">
        <f>Water!E3</f>
        <v>0</v>
      </c>
      <c r="G2" s="47">
        <f>Water!G3</f>
        <v>337.5</v>
      </c>
      <c r="H2" s="47">
        <f>Water!I3</f>
        <v>3.2130000000000001</v>
      </c>
      <c r="I2" s="47">
        <f>ELECT.!F3</f>
        <v>16431</v>
      </c>
      <c r="J2" s="47">
        <f>ELECT.!H3</f>
        <v>61587</v>
      </c>
      <c r="K2" s="47">
        <f>ELECT.!K3</f>
        <v>7453</v>
      </c>
      <c r="L2" s="47">
        <f>ELECT.!M3</f>
        <v>5340</v>
      </c>
      <c r="M2" s="47">
        <f>ELECT.!O3</f>
        <v>10896</v>
      </c>
      <c r="N2" s="47">
        <f>ELECT.!Q3</f>
        <v>13693</v>
      </c>
      <c r="O2" s="47">
        <f>ELECT.!S3</f>
        <v>11727</v>
      </c>
      <c r="P2" s="47">
        <f>ELECT.!W3*2</f>
        <v>27196</v>
      </c>
      <c r="Q2" s="47">
        <f>ELECT.!D3</f>
        <v>480</v>
      </c>
      <c r="R2" s="48">
        <f>BTU!C3</f>
        <v>10.165000000000873</v>
      </c>
      <c r="S2" s="48">
        <f>BTU!F3</f>
        <v>2.887000000000171</v>
      </c>
      <c r="T2" s="48">
        <f>BTU!I3</f>
        <v>9</v>
      </c>
      <c r="U2" s="48">
        <f>BTU!O3</f>
        <v>1.2550000000001091</v>
      </c>
      <c r="V2" s="48">
        <f>BTU!L3</f>
        <v>2.2700000000004366</v>
      </c>
      <c r="W2" s="48">
        <f>BTU!R3</f>
        <v>4.1700000000000728</v>
      </c>
      <c r="X2" s="45">
        <f>ELECT.!B3</f>
        <v>110</v>
      </c>
      <c r="Y2" s="45">
        <f>I2+J2-(K2+L2+M2+N2+O2+P2)</f>
        <v>1713</v>
      </c>
      <c r="Z2">
        <f>'Mall, Citadel, Rotana'!C3+'Mall, Citadel, Rotana'!E3+'Mall, Citadel, Rotana'!G3+'Mall, Citadel, Rotana'!I3</f>
        <v>1557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149</v>
      </c>
      <c r="AD2" s="45">
        <f>(E2-H2-194)*0.1318</f>
        <v>162.48132660000002</v>
      </c>
      <c r="AE2" s="45">
        <f>E2-H2-AD2-194</f>
        <v>1070.3056733999999</v>
      </c>
    </row>
    <row r="3" spans="1:31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Water!C4</f>
        <v>1100</v>
      </c>
      <c r="F3" s="47">
        <f>Water!E4</f>
        <v>0</v>
      </c>
      <c r="G3" s="47">
        <f>Water!G4</f>
        <v>353.7</v>
      </c>
      <c r="H3" s="47">
        <f>Water!I4</f>
        <v>4.0229999999999997</v>
      </c>
      <c r="I3" s="47">
        <f>ELECT.!F4</f>
        <v>13363</v>
      </c>
      <c r="J3" s="47">
        <f>ELECT.!H4</f>
        <v>48750</v>
      </c>
      <c r="K3" s="47">
        <f>ELECT.!K4</f>
        <v>5771</v>
      </c>
      <c r="L3" s="47">
        <f>ELECT.!M4</f>
        <v>4615</v>
      </c>
      <c r="M3" s="47">
        <f>ELECT.!O4</f>
        <v>8562</v>
      </c>
      <c r="N3" s="47">
        <f>ELECT.!Q4</f>
        <v>10813</v>
      </c>
      <c r="O3" s="47">
        <f>ELECT.!S4</f>
        <v>9526</v>
      </c>
      <c r="P3" s="47">
        <f>ELECT.!W4*2</f>
        <v>21394</v>
      </c>
      <c r="Q3" s="47">
        <f>ELECT.!D4</f>
        <v>640</v>
      </c>
      <c r="R3" s="48">
        <f>BTU!C4</f>
        <v>9.3269999999974971</v>
      </c>
      <c r="S3" s="48">
        <f>BTU!F4</f>
        <v>2.8240000000000691</v>
      </c>
      <c r="T3" s="48">
        <f>BTU!I4</f>
        <v>8</v>
      </c>
      <c r="U3" s="48">
        <f>BTU!O4</f>
        <v>1.5579999999999927</v>
      </c>
      <c r="V3" s="48">
        <f>BTU!L4</f>
        <v>2.1700000000000728</v>
      </c>
      <c r="W3" s="48">
        <f>BTU!R4</f>
        <v>2.3800000000001091</v>
      </c>
      <c r="X3" s="45">
        <f>ELECT.!B4</f>
        <v>144</v>
      </c>
      <c r="Y3" s="45">
        <f t="shared" ref="Y3:Y31" si="0">I3+J3-(K3+L3+M3+N3+O3+P3)</f>
        <v>1432</v>
      </c>
      <c r="Z3">
        <f>'Mall, Citadel, Rotana'!C4+'Mall, Citadel, Rotana'!E4+'Mall, Citadel, Rotana'!G4+'Mall, Citadel, Rotana'!I4</f>
        <v>1420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121</v>
      </c>
      <c r="AD3" s="45">
        <f t="shared" ref="AD3:AD31" si="1">(E3-H3-194)*0.1318</f>
        <v>118.88056860000002</v>
      </c>
      <c r="AE3" s="45">
        <f t="shared" ref="AE3:AE31" si="2">E3-H3-AD3-194</f>
        <v>783.09643140000003</v>
      </c>
    </row>
    <row r="4" spans="1:31" x14ac:dyDescent="0.2">
      <c r="A4" s="58" t="s">
        <v>53</v>
      </c>
      <c r="B4" s="63">
        <f t="shared" ref="B4:B31" si="3">B3+1</f>
        <v>3</v>
      </c>
      <c r="C4" s="63">
        <v>6</v>
      </c>
      <c r="D4" s="63">
        <v>2021</v>
      </c>
      <c r="E4" s="47">
        <f>Water!C5</f>
        <v>1150</v>
      </c>
      <c r="F4" s="47">
        <f>Water!E5</f>
        <v>0</v>
      </c>
      <c r="G4" s="47">
        <f>Water!G5</f>
        <v>334.8</v>
      </c>
      <c r="H4" s="47">
        <f>Water!I5</f>
        <v>3.8879999999999999</v>
      </c>
      <c r="I4" s="47">
        <f>ELECT.!F5</f>
        <v>15151</v>
      </c>
      <c r="J4" s="47">
        <f>ELECT.!H5</f>
        <v>40367</v>
      </c>
      <c r="K4" s="47">
        <f>ELECT.!K5</f>
        <v>4860</v>
      </c>
      <c r="L4" s="47">
        <f>ELECT.!M5</f>
        <v>5033</v>
      </c>
      <c r="M4" s="47">
        <f>ELECT.!O5</f>
        <v>9956</v>
      </c>
      <c r="N4" s="47">
        <f>ELECT.!Q5</f>
        <v>8564</v>
      </c>
      <c r="O4" s="47">
        <f>ELECT.!S5</f>
        <v>8121</v>
      </c>
      <c r="P4" s="47">
        <f>ELECT.!W5*2</f>
        <v>17720</v>
      </c>
      <c r="Q4" s="47">
        <f>ELECT.!D5</f>
        <v>480</v>
      </c>
      <c r="R4" s="48">
        <f>BTU!C5</f>
        <v>8.6300000000010186</v>
      </c>
      <c r="S4" s="48">
        <f>BTU!F5</f>
        <v>2.7129999999997381</v>
      </c>
      <c r="T4" s="48">
        <f>BTU!I5</f>
        <v>8</v>
      </c>
      <c r="U4" s="48">
        <f>BTU!O5</f>
        <v>1.5249999999996362</v>
      </c>
      <c r="V4" s="48">
        <f>BTU!L5</f>
        <v>2.0399999999990541</v>
      </c>
      <c r="W4" s="48">
        <f>BTU!R5</f>
        <v>2.2299999999995634</v>
      </c>
      <c r="X4" s="45">
        <f>ELECT.!B5</f>
        <v>182</v>
      </c>
      <c r="Y4" s="45">
        <f t="shared" si="0"/>
        <v>1264</v>
      </c>
      <c r="Z4">
        <f>'Mall, Citadel, Rotana'!C5+'Mall, Citadel, Rotana'!E5+'Mall, Citadel, Rotana'!G5+'Mall, Citadel, Rotana'!I5</f>
        <v>1254</v>
      </c>
      <c r="AA4">
        <f>'Mall, Citadel, Rotana'!K5+'Mall, Citadel, Rotana'!M5</f>
        <v>640</v>
      </c>
      <c r="AB4">
        <f>'Mall, Citadel, Rotana'!O5</f>
        <v>2</v>
      </c>
      <c r="AC4">
        <f>'Mall, Citadel, Rotana'!Q5+'Mall, Citadel, Rotana'!S5</f>
        <v>173</v>
      </c>
      <c r="AD4" s="45">
        <f t="shared" si="1"/>
        <v>125.4883616</v>
      </c>
      <c r="AE4" s="45">
        <f t="shared" si="2"/>
        <v>826.62363840000012</v>
      </c>
    </row>
    <row r="5" spans="1:31" x14ac:dyDescent="0.2">
      <c r="A5" s="58" t="s">
        <v>53</v>
      </c>
      <c r="B5" s="63">
        <f t="shared" si="3"/>
        <v>4</v>
      </c>
      <c r="C5" s="63">
        <v>6</v>
      </c>
      <c r="D5" s="63">
        <v>2021</v>
      </c>
      <c r="E5" s="47">
        <f>Water!C6</f>
        <v>1610</v>
      </c>
      <c r="F5" s="47">
        <f>Water!E6</f>
        <v>0</v>
      </c>
      <c r="G5" s="47">
        <f>Water!G6</f>
        <v>772.2</v>
      </c>
      <c r="H5" s="47">
        <f>Water!I6</f>
        <v>2.9699999999999998</v>
      </c>
      <c r="I5" s="47">
        <f>ELECT.!F6</f>
        <v>19324</v>
      </c>
      <c r="J5" s="47">
        <f>ELECT.!H6</f>
        <v>60078</v>
      </c>
      <c r="K5" s="47">
        <f>ELECT.!K6</f>
        <v>6678</v>
      </c>
      <c r="L5" s="47">
        <f>ELECT.!M6</f>
        <v>6572</v>
      </c>
      <c r="M5" s="47">
        <f>ELECT.!O6</f>
        <v>12472</v>
      </c>
      <c r="N5" s="47">
        <f>ELECT.!Q6</f>
        <v>12828</v>
      </c>
      <c r="O5" s="47">
        <f>ELECT.!S6</f>
        <v>12060</v>
      </c>
      <c r="P5" s="47">
        <f>ELECT.!W6*2</f>
        <v>27058</v>
      </c>
      <c r="Q5" s="47">
        <f>ELECT.!D6</f>
        <v>480</v>
      </c>
      <c r="R5" s="48">
        <f>BTU!C6</f>
        <v>6.7950000000018917</v>
      </c>
      <c r="S5" s="48">
        <f>BTU!F6</f>
        <v>1.0040000000003602</v>
      </c>
      <c r="T5" s="48">
        <f>BTU!I6</f>
        <v>5</v>
      </c>
      <c r="U5" s="48">
        <f>BTU!O6</f>
        <v>1.1290000000003602</v>
      </c>
      <c r="V5" s="48">
        <f>BTU!L6</f>
        <v>1.5900000000001455</v>
      </c>
      <c r="W5" s="48">
        <f>BTU!R6</f>
        <v>1.2200000000002547</v>
      </c>
      <c r="X5" s="45">
        <f>ELECT.!B6</f>
        <v>138</v>
      </c>
      <c r="Y5" s="45">
        <f t="shared" si="0"/>
        <v>1734</v>
      </c>
      <c r="Z5">
        <f>'Mall, Citadel, Rotana'!C6+'Mall, Citadel, Rotana'!E6+'Mall, Citadel, Rotana'!G6+'Mall, Citadel, Rotana'!I6</f>
        <v>802</v>
      </c>
      <c r="AA5">
        <f>'Mall, Citadel, Rotana'!K6+'Mall, Citadel, Rotana'!M6</f>
        <v>320</v>
      </c>
      <c r="AB5">
        <f>'Mall, Citadel, Rotana'!O6</f>
        <v>5</v>
      </c>
      <c r="AC5">
        <f>'Mall, Citadel, Rotana'!Q6+'Mall, Citadel, Rotana'!S6</f>
        <v>146</v>
      </c>
      <c r="AD5" s="45">
        <f t="shared" si="1"/>
        <v>186.23735400000001</v>
      </c>
      <c r="AE5" s="45">
        <f t="shared" si="2"/>
        <v>1226.7926459999999</v>
      </c>
    </row>
    <row r="6" spans="1:31" x14ac:dyDescent="0.2">
      <c r="A6" s="58" t="s">
        <v>53</v>
      </c>
      <c r="B6" s="63">
        <f t="shared" si="3"/>
        <v>5</v>
      </c>
      <c r="C6" s="63">
        <v>6</v>
      </c>
      <c r="D6" s="63">
        <v>2021</v>
      </c>
      <c r="E6" s="47">
        <f>Water!C7</f>
        <v>1860</v>
      </c>
      <c r="F6" s="47">
        <f>Water!E7</f>
        <v>16.2</v>
      </c>
      <c r="G6" s="47">
        <f>Water!G7</f>
        <v>1215</v>
      </c>
      <c r="H6" s="47">
        <f>Water!I7</f>
        <v>3.5640000000000001</v>
      </c>
      <c r="I6" s="47">
        <f>ELECT.!F7</f>
        <v>13521</v>
      </c>
      <c r="J6" s="47">
        <f>ELECT.!H7</f>
        <v>42561</v>
      </c>
      <c r="K6" s="47">
        <f>ELECT.!K7</f>
        <v>4751</v>
      </c>
      <c r="L6" s="47">
        <f>ELECT.!M7</f>
        <v>4522</v>
      </c>
      <c r="M6" s="47">
        <f>ELECT.!O7</f>
        <v>8886</v>
      </c>
      <c r="N6" s="47">
        <f>ELECT.!Q7</f>
        <v>9278</v>
      </c>
      <c r="O6" s="47">
        <f>ELECT.!S7</f>
        <v>8570</v>
      </c>
      <c r="P6" s="47">
        <f>ELECT.!W7*2</f>
        <v>19078</v>
      </c>
      <c r="Q6" s="47">
        <f>ELECT.!D7</f>
        <v>800</v>
      </c>
      <c r="R6" s="48">
        <f>BTU!C7</f>
        <v>7.2860000000000582</v>
      </c>
      <c r="S6" s="48">
        <f>BTU!F7</f>
        <v>2.4909999999999854</v>
      </c>
      <c r="T6" s="48">
        <f>BTU!I7</f>
        <v>8</v>
      </c>
      <c r="U6" s="48">
        <f>BTU!O7</f>
        <v>1.4119999999998072</v>
      </c>
      <c r="V6" s="48">
        <f>BTU!L7</f>
        <v>2.6300000000010186</v>
      </c>
      <c r="W6" s="48">
        <f>BTU!R7</f>
        <v>2.3500000000003638</v>
      </c>
      <c r="X6" s="45">
        <f>ELECT.!B7</f>
        <v>211</v>
      </c>
      <c r="Y6" s="45">
        <f t="shared" si="0"/>
        <v>997</v>
      </c>
      <c r="Z6">
        <f>'Mall, Citadel, Rotana'!C7+'Mall, Citadel, Rotana'!E7+'Mall, Citadel, Rotana'!G7+'Mall, Citadel, Rotana'!I7</f>
        <v>2042</v>
      </c>
      <c r="AA6">
        <f>'Mall, Citadel, Rotana'!K7+'Mall, Citadel, Rotana'!M7</f>
        <v>480</v>
      </c>
      <c r="AB6">
        <f>'Mall, Citadel, Rotana'!O7</f>
        <v>3</v>
      </c>
      <c r="AC6">
        <f>'Mall, Citadel, Rotana'!Q7+'Mall, Citadel, Rotana'!S7</f>
        <v>135</v>
      </c>
      <c r="AD6" s="45">
        <f t="shared" si="1"/>
        <v>219.1090648</v>
      </c>
      <c r="AE6" s="45">
        <f t="shared" si="2"/>
        <v>1443.3269352</v>
      </c>
    </row>
    <row r="7" spans="1:31" x14ac:dyDescent="0.2">
      <c r="A7" s="58" t="s">
        <v>53</v>
      </c>
      <c r="B7" s="63">
        <f t="shared" si="3"/>
        <v>6</v>
      </c>
      <c r="C7" s="63">
        <v>6</v>
      </c>
      <c r="D7" s="63">
        <v>2021</v>
      </c>
      <c r="E7" s="47">
        <f>Water!C8</f>
        <v>1170</v>
      </c>
      <c r="F7" s="47">
        <f>Water!E8</f>
        <v>0</v>
      </c>
      <c r="G7" s="47">
        <f>Water!G8</f>
        <v>723.6</v>
      </c>
      <c r="H7" s="47">
        <f>Water!I8</f>
        <v>3.5640000000000001</v>
      </c>
      <c r="I7" s="47">
        <f>ELECT.!F8</f>
        <v>15303</v>
      </c>
      <c r="J7" s="47">
        <f>ELECT.!H8</f>
        <v>58609</v>
      </c>
      <c r="K7" s="47">
        <f>ELECT.!K8</f>
        <v>6844</v>
      </c>
      <c r="L7" s="47">
        <f>ELECT.!M8</f>
        <v>5060</v>
      </c>
      <c r="M7" s="47">
        <f>ELECT.!O8</f>
        <v>10006</v>
      </c>
      <c r="N7" s="47">
        <f>ELECT.!Q8</f>
        <v>12605</v>
      </c>
      <c r="O7" s="47">
        <f>ELECT.!S8</f>
        <v>11291</v>
      </c>
      <c r="P7" s="47">
        <f>ELECT.!W8*2</f>
        <v>26412</v>
      </c>
      <c r="Q7" s="47">
        <f>ELECT.!D8</f>
        <v>480</v>
      </c>
      <c r="R7" s="48">
        <f>BTU!C8</f>
        <v>10.252999999996973</v>
      </c>
      <c r="S7" s="48">
        <f>BTU!F8</f>
        <v>2.0760000000000218</v>
      </c>
      <c r="T7" s="48">
        <f>BTU!I8</f>
        <v>8</v>
      </c>
      <c r="U7" s="48">
        <f>BTU!O8</f>
        <v>1.5349999999998545</v>
      </c>
      <c r="V7" s="48">
        <f>BTU!L8</f>
        <v>2.2299999999995634</v>
      </c>
      <c r="W7" s="48">
        <f>BTU!R8</f>
        <v>2.3800000000001091</v>
      </c>
      <c r="X7" s="45">
        <f>ELECT.!B8</f>
        <v>222</v>
      </c>
      <c r="Y7" s="45">
        <f t="shared" si="0"/>
        <v>1694</v>
      </c>
      <c r="Z7">
        <f>'Mall, Citadel, Rotana'!C8+'Mall, Citadel, Rotana'!E8+'Mall, Citadel, Rotana'!G8+'Mall, Citadel, Rotana'!I8</f>
        <v>1437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60</v>
      </c>
      <c r="AD7" s="45">
        <f t="shared" si="1"/>
        <v>128.16706479999999</v>
      </c>
      <c r="AE7" s="45">
        <f t="shared" si="2"/>
        <v>844.26893519999999</v>
      </c>
    </row>
    <row r="8" spans="1:31" x14ac:dyDescent="0.2">
      <c r="A8" s="58" t="s">
        <v>53</v>
      </c>
      <c r="B8" s="63">
        <f t="shared" si="3"/>
        <v>7</v>
      </c>
      <c r="C8" s="63">
        <v>6</v>
      </c>
      <c r="D8" s="63">
        <v>2021</v>
      </c>
      <c r="E8" s="47">
        <f>Water!C9</f>
        <v>1200</v>
      </c>
      <c r="F8" s="47">
        <f>Water!E9</f>
        <v>0</v>
      </c>
      <c r="G8" s="47">
        <f>Water!G9</f>
        <v>734.4</v>
      </c>
      <c r="H8" s="47">
        <f>Water!I9</f>
        <v>4.4009999999999998</v>
      </c>
      <c r="I8" s="47">
        <f>ELECT.!F9</f>
        <v>13052</v>
      </c>
      <c r="J8" s="47">
        <f>ELECT.!H9</f>
        <v>48074</v>
      </c>
      <c r="K8" s="47">
        <f>ELECT.!K9</f>
        <v>5988</v>
      </c>
      <c r="L8" s="47">
        <f>ELECT.!M9</f>
        <v>4536</v>
      </c>
      <c r="M8" s="47">
        <f>ELECT.!O9</f>
        <v>8364</v>
      </c>
      <c r="N8" s="47">
        <f>ELECT.!Q9</f>
        <v>10414</v>
      </c>
      <c r="O8" s="47">
        <f>ELECT.!S9</f>
        <v>9337</v>
      </c>
      <c r="P8" s="47">
        <f>ELECT.!W9*2</f>
        <v>21286</v>
      </c>
      <c r="Q8" s="47">
        <f>ELECT.!D9</f>
        <v>480</v>
      </c>
      <c r="R8" s="48">
        <f>BTU!C9</f>
        <v>7.7090000000025611</v>
      </c>
      <c r="S8" s="48">
        <f>BTU!F9</f>
        <v>2.6859999999996944</v>
      </c>
      <c r="T8" s="48">
        <f>BTU!I9</f>
        <v>6</v>
      </c>
      <c r="U8" s="48">
        <f>BTU!O9</f>
        <v>1.1849999999999454</v>
      </c>
      <c r="V8" s="48">
        <f>BTU!L9</f>
        <v>2.0499999999992724</v>
      </c>
      <c r="W8" s="48">
        <f>BTU!R9</f>
        <v>1.5999999999994543</v>
      </c>
      <c r="X8" s="45">
        <f>ELECT.!B9</f>
        <v>235</v>
      </c>
      <c r="Y8" s="45">
        <f t="shared" si="0"/>
        <v>1201</v>
      </c>
      <c r="Z8">
        <f>'Mall, Citadel, Rotana'!C9+'Mall, Citadel, Rotana'!E9+'Mall, Citadel, Rotana'!G9+'Mall, Citadel, Rotana'!I9</f>
        <v>1576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115</v>
      </c>
      <c r="AD8" s="45">
        <f t="shared" si="1"/>
        <v>132.01074819999999</v>
      </c>
      <c r="AE8" s="45">
        <f t="shared" si="2"/>
        <v>869.58825179999985</v>
      </c>
    </row>
    <row r="9" spans="1:31" x14ac:dyDescent="0.2">
      <c r="A9" s="58" t="s">
        <v>53</v>
      </c>
      <c r="B9" s="63">
        <f t="shared" si="3"/>
        <v>8</v>
      </c>
      <c r="C9" s="63">
        <v>6</v>
      </c>
      <c r="D9" s="63">
        <v>2021</v>
      </c>
      <c r="E9" s="47">
        <f>Water!C10</f>
        <v>1050</v>
      </c>
      <c r="F9" s="47">
        <f>Water!E10</f>
        <v>0</v>
      </c>
      <c r="G9" s="47">
        <f>Water!G10</f>
        <v>588.6</v>
      </c>
      <c r="H9" s="47">
        <f>Water!I10</f>
        <v>3.9689999999999999</v>
      </c>
      <c r="I9" s="47">
        <f>ELECT.!F10</f>
        <v>10313</v>
      </c>
      <c r="J9" s="47">
        <f>ELECT.!H10</f>
        <v>38064</v>
      </c>
      <c r="K9" s="47">
        <f>ELECT.!K10</f>
        <v>4719</v>
      </c>
      <c r="L9" s="47">
        <f>ELECT.!M10</f>
        <v>3532</v>
      </c>
      <c r="M9" s="47">
        <f>ELECT.!O10</f>
        <v>6628</v>
      </c>
      <c r="N9" s="47">
        <f>ELECT.!Q10</f>
        <v>8239</v>
      </c>
      <c r="O9" s="47">
        <f>ELECT.!S10</f>
        <v>7444</v>
      </c>
      <c r="P9" s="47">
        <f>ELECT.!W10*2</f>
        <v>16756</v>
      </c>
      <c r="Q9" s="47">
        <f>ELECT.!D10</f>
        <v>480</v>
      </c>
      <c r="R9" s="48">
        <f>BTU!C10</f>
        <v>7.7739999999976135</v>
      </c>
      <c r="S9" s="48">
        <f>BTU!F10</f>
        <v>1.9360000000001492</v>
      </c>
      <c r="T9" s="48">
        <f>BTU!I10</f>
        <v>6</v>
      </c>
      <c r="U9" s="48">
        <f>BTU!O10</f>
        <v>0.943000000000211</v>
      </c>
      <c r="V9" s="48">
        <f>BTU!L10</f>
        <v>1.5500000000010914</v>
      </c>
      <c r="W9" s="48">
        <f>BTU!R10</f>
        <v>1.4899999999997817</v>
      </c>
      <c r="X9" s="45">
        <f>ELECT.!B10</f>
        <v>221</v>
      </c>
      <c r="Y9" s="45">
        <f t="shared" si="0"/>
        <v>1059</v>
      </c>
      <c r="Z9">
        <f>'Mall, Citadel, Rotana'!C10+'Mall, Citadel, Rotana'!E10+'Mall, Citadel, Rotana'!G10+'Mall, Citadel, Rotana'!I10</f>
        <v>1593</v>
      </c>
      <c r="AA9">
        <f>'Mall, Citadel, Rotana'!K10+'Mall, Citadel, Rotana'!M10</f>
        <v>800</v>
      </c>
      <c r="AB9">
        <f>'Mall, Citadel, Rotana'!O10</f>
        <v>4</v>
      </c>
      <c r="AC9">
        <f>'Mall, Citadel, Rotana'!Q10+'Mall, Citadel, Rotana'!S10</f>
        <v>100</v>
      </c>
      <c r="AD9" s="45">
        <f t="shared" si="1"/>
        <v>112.2976858</v>
      </c>
      <c r="AE9" s="45">
        <f t="shared" si="2"/>
        <v>739.7333142</v>
      </c>
    </row>
    <row r="10" spans="1:31" x14ac:dyDescent="0.2">
      <c r="A10" s="58" t="s">
        <v>53</v>
      </c>
      <c r="B10" s="63">
        <f t="shared" si="3"/>
        <v>9</v>
      </c>
      <c r="C10" s="63">
        <v>6</v>
      </c>
      <c r="D10" s="63">
        <v>2021</v>
      </c>
      <c r="E10" s="47">
        <f>Water!C11</f>
        <v>1230</v>
      </c>
      <c r="F10" s="47">
        <f>Water!E11</f>
        <v>0</v>
      </c>
      <c r="G10" s="47">
        <f>Water!G11</f>
        <v>761.4</v>
      </c>
      <c r="H10" s="47">
        <f>Water!I11</f>
        <v>29.483999999999998</v>
      </c>
      <c r="I10" s="47">
        <f>ELECT.!F11</f>
        <v>14651</v>
      </c>
      <c r="J10" s="47">
        <f>ELECT.!H11</f>
        <v>55507</v>
      </c>
      <c r="K10" s="47">
        <f>ELECT.!K11</f>
        <v>6659</v>
      </c>
      <c r="L10" s="47">
        <f>ELECT.!M11</f>
        <v>4819</v>
      </c>
      <c r="M10" s="47">
        <f>ELECT.!O11</f>
        <v>9642</v>
      </c>
      <c r="N10" s="47">
        <f>ELECT.!Q11</f>
        <v>12439</v>
      </c>
      <c r="O10" s="47">
        <f>ELECT.!S11</f>
        <v>10644</v>
      </c>
      <c r="P10" s="47">
        <f>ELECT.!W11*2</f>
        <v>24492</v>
      </c>
      <c r="Q10" s="47">
        <f>ELECT.!D11</f>
        <v>480</v>
      </c>
      <c r="R10" s="48">
        <f>BTU!C11</f>
        <v>8.1840000000011059</v>
      </c>
      <c r="S10" s="48">
        <f>BTU!F11</f>
        <v>3.1390000000001237</v>
      </c>
      <c r="T10" s="48">
        <f>BTU!I11</f>
        <v>7</v>
      </c>
      <c r="U10" s="48">
        <f>BTU!O11</f>
        <v>1.362999999999829</v>
      </c>
      <c r="V10" s="48">
        <f>BTU!L11</f>
        <v>2.3299999999999272</v>
      </c>
      <c r="W10" s="48">
        <f>BTU!R11</f>
        <v>2.0700000000006185</v>
      </c>
      <c r="X10" s="45">
        <f>ELECT.!B11</f>
        <v>230</v>
      </c>
      <c r="Y10" s="45">
        <f t="shared" si="0"/>
        <v>1463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99</v>
      </c>
      <c r="AD10" s="45">
        <f t="shared" si="1"/>
        <v>132.6588088</v>
      </c>
      <c r="AE10" s="45">
        <f t="shared" si="2"/>
        <v>873.85719119999999</v>
      </c>
    </row>
    <row r="11" spans="1:31" x14ac:dyDescent="0.2">
      <c r="A11" s="58" t="s">
        <v>53</v>
      </c>
      <c r="B11" s="63">
        <f t="shared" si="3"/>
        <v>10</v>
      </c>
      <c r="C11" s="63">
        <v>6</v>
      </c>
      <c r="D11" s="63">
        <v>2021</v>
      </c>
      <c r="E11" s="47">
        <f>Water!C12</f>
        <v>930</v>
      </c>
      <c r="F11" s="47">
        <f>Water!E12</f>
        <v>0</v>
      </c>
      <c r="G11" s="47">
        <f>Water!G12</f>
        <v>494.1</v>
      </c>
      <c r="H11" s="47">
        <f>Water!I12</f>
        <v>0</v>
      </c>
      <c r="I11" s="47">
        <f>ELECT.!F12</f>
        <v>13014</v>
      </c>
      <c r="J11" s="47">
        <f>ELECT.!H12</f>
        <v>47333</v>
      </c>
      <c r="K11" s="47">
        <f>ELECT.!K12</f>
        <v>5542</v>
      </c>
      <c r="L11" s="47">
        <f>ELECT.!M12</f>
        <v>4350</v>
      </c>
      <c r="M11" s="47">
        <f>ELECT.!O12</f>
        <v>8502</v>
      </c>
      <c r="N11" s="47">
        <f>ELECT.!Q12</f>
        <v>11054</v>
      </c>
      <c r="O11" s="47">
        <f>ELECT.!S12</f>
        <v>9087</v>
      </c>
      <c r="P11" s="47">
        <f>ELECT.!W12*2</f>
        <v>20574</v>
      </c>
      <c r="Q11" s="47">
        <f>ELECT.!D12</f>
        <v>640</v>
      </c>
      <c r="R11" s="48">
        <f>BTU!C12</f>
        <v>11.829000000001543</v>
      </c>
      <c r="S11" s="48">
        <f>BTU!F12</f>
        <v>3.1169999999997344</v>
      </c>
      <c r="T11" s="48">
        <f>BTU!I12</f>
        <v>8</v>
      </c>
      <c r="U11" s="48">
        <f>BTU!O12</f>
        <v>1.9540000000001783</v>
      </c>
      <c r="V11" s="48">
        <f>BTU!L12</f>
        <v>2.5599999999994907</v>
      </c>
      <c r="W11" s="48">
        <f>BTU!R12</f>
        <v>2.3999999999996362</v>
      </c>
      <c r="X11" s="45">
        <f>ELECT.!B12</f>
        <v>225</v>
      </c>
      <c r="Y11" s="45">
        <f t="shared" si="0"/>
        <v>1238</v>
      </c>
      <c r="Z11">
        <f>'Mall, Citadel, Rotana'!C12+'Mall, Citadel, Rotana'!E12+'Mall, Citadel, Rotana'!G12+'Mall, Citadel, Rotana'!I12</f>
        <v>1615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109</v>
      </c>
      <c r="AD11" s="45">
        <f t="shared" si="1"/>
        <v>97.004800000000003</v>
      </c>
      <c r="AE11" s="45">
        <f t="shared" si="2"/>
        <v>638.99519999999995</v>
      </c>
    </row>
    <row r="12" spans="1:31" x14ac:dyDescent="0.2">
      <c r="A12" s="58" t="s">
        <v>53</v>
      </c>
      <c r="B12" s="63">
        <f t="shared" si="3"/>
        <v>11</v>
      </c>
      <c r="C12" s="63">
        <v>6</v>
      </c>
      <c r="D12" s="63">
        <v>2021</v>
      </c>
      <c r="E12" s="47">
        <f>Water!C13</f>
        <v>1030</v>
      </c>
      <c r="F12" s="47">
        <f>Water!E13</f>
        <v>0</v>
      </c>
      <c r="G12" s="47">
        <f>Water!G13</f>
        <v>494.1</v>
      </c>
      <c r="H12" s="47">
        <f>Water!I13</f>
        <v>4.077</v>
      </c>
      <c r="I12" s="47">
        <f>ELECT.!F13</f>
        <v>17829</v>
      </c>
      <c r="J12" s="47">
        <f>ELECT.!H13</f>
        <v>66196</v>
      </c>
      <c r="K12" s="47">
        <f>ELECT.!K13</f>
        <v>6851</v>
      </c>
      <c r="L12" s="47">
        <f>ELECT.!M13</f>
        <v>5477</v>
      </c>
      <c r="M12" s="47">
        <f>ELECT.!O13</f>
        <v>12090</v>
      </c>
      <c r="N12" s="47">
        <f>ELECT.!Q13</f>
        <v>15135</v>
      </c>
      <c r="O12" s="47">
        <f>ELECT.!S13</f>
        <v>13058</v>
      </c>
      <c r="P12" s="47">
        <f>ELECT.!W13*2</f>
        <v>29794</v>
      </c>
      <c r="Q12" s="47">
        <f>ELECT.!D13</f>
        <v>640</v>
      </c>
      <c r="R12" s="48">
        <f>BTU!C13</f>
        <v>8.2239999999983411</v>
      </c>
      <c r="S12" s="48">
        <f>BTU!F13</f>
        <v>0.77700000000004366</v>
      </c>
      <c r="T12" s="48">
        <f>BTU!I13</f>
        <v>5</v>
      </c>
      <c r="U12" s="48">
        <f>BTU!O13</f>
        <v>1.125999999999749</v>
      </c>
      <c r="V12" s="48">
        <f>BTU!L13</f>
        <v>1.1999999999989086</v>
      </c>
      <c r="W12" s="48">
        <f>BTU!R13</f>
        <v>2.3699999999998909</v>
      </c>
      <c r="X12" s="45">
        <f>ELECT.!B13</f>
        <v>169</v>
      </c>
      <c r="Y12" s="45">
        <f t="shared" si="0"/>
        <v>1620</v>
      </c>
      <c r="Z12">
        <f>'Mall, Citadel, Rotana'!C13+'Mall, Citadel, Rotana'!E13+'Mall, Citadel, Rotana'!G13+'Mall, Citadel, Rotana'!I13</f>
        <v>1455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107</v>
      </c>
      <c r="AD12" s="45">
        <f t="shared" si="1"/>
        <v>109.64745139999999</v>
      </c>
      <c r="AE12" s="45">
        <f t="shared" si="2"/>
        <v>722.27554859999998</v>
      </c>
    </row>
    <row r="13" spans="1:31" x14ac:dyDescent="0.2">
      <c r="A13" s="58" t="s">
        <v>53</v>
      </c>
      <c r="B13" s="63">
        <f t="shared" si="3"/>
        <v>12</v>
      </c>
      <c r="C13" s="63">
        <v>6</v>
      </c>
      <c r="D13" s="63">
        <v>2021</v>
      </c>
      <c r="E13" s="47">
        <f>Water!C14</f>
        <v>740</v>
      </c>
      <c r="F13" s="47">
        <f>Water!E14</f>
        <v>0</v>
      </c>
      <c r="G13" s="47">
        <f>Water!G14</f>
        <v>340.2</v>
      </c>
      <c r="H13" s="47">
        <f>Water!I14</f>
        <v>2.7269999999999999</v>
      </c>
      <c r="I13" s="47">
        <f>ELECT.!F14</f>
        <v>9075</v>
      </c>
      <c r="J13" s="47">
        <f>ELECT.!H14</f>
        <v>51838</v>
      </c>
      <c r="K13" s="47">
        <f>ELECT.!K14</f>
        <v>5273</v>
      </c>
      <c r="L13" s="47">
        <f>ELECT.!M14</f>
        <v>4266</v>
      </c>
      <c r="M13" s="47">
        <f>ELECT.!O14</f>
        <v>4694</v>
      </c>
      <c r="N13" s="47">
        <f>ELECT.!Q14</f>
        <v>16146</v>
      </c>
      <c r="O13" s="47">
        <f>ELECT.!S14</f>
        <v>8755</v>
      </c>
      <c r="P13" s="47">
        <f>ELECT.!W14*2</f>
        <v>20576</v>
      </c>
      <c r="Q13" s="47">
        <f>ELECT.!D14</f>
        <v>640</v>
      </c>
      <c r="R13" s="48">
        <f>BTU!C14</f>
        <v>10.413000000000466</v>
      </c>
      <c r="S13" s="48">
        <f>BTU!F14</f>
        <v>1.5480000000002292</v>
      </c>
      <c r="T13" s="48">
        <f>BTU!I14</f>
        <v>7</v>
      </c>
      <c r="U13" s="48">
        <f>BTU!O14</f>
        <v>1.4120000000002619</v>
      </c>
      <c r="V13" s="48">
        <f>BTU!L14</f>
        <v>2.2200000000011642</v>
      </c>
      <c r="W13" s="48">
        <f>BTU!R14</f>
        <v>2.4499999999998181</v>
      </c>
      <c r="X13" s="45">
        <f>ELECT.!B14</f>
        <v>180</v>
      </c>
      <c r="Y13" s="45">
        <f t="shared" si="0"/>
        <v>1203</v>
      </c>
      <c r="Z13">
        <f>'Mall, Citadel, Rotana'!C14+'Mall, Citadel, Rotana'!E14+'Mall, Citadel, Rotana'!G14+'Mall, Citadel, Rotana'!I14</f>
        <v>1433</v>
      </c>
      <c r="AA13">
        <f>'Mall, Citadel, Rotana'!K14+'Mall, Citadel, Rotana'!M14</f>
        <v>480</v>
      </c>
      <c r="AB13">
        <f>'Mall, Citadel, Rotana'!O14</f>
        <v>4</v>
      </c>
      <c r="AC13">
        <f>'Mall, Citadel, Rotana'!Q14+'Mall, Citadel, Rotana'!S14</f>
        <v>116</v>
      </c>
      <c r="AD13" s="45">
        <f t="shared" si="1"/>
        <v>71.603381400000004</v>
      </c>
      <c r="AE13" s="45">
        <f t="shared" si="2"/>
        <v>471.66961860000004</v>
      </c>
    </row>
    <row r="14" spans="1:31" x14ac:dyDescent="0.2">
      <c r="A14" s="58" t="s">
        <v>53</v>
      </c>
      <c r="B14" s="63">
        <f t="shared" si="3"/>
        <v>13</v>
      </c>
      <c r="C14" s="63">
        <v>6</v>
      </c>
      <c r="D14" s="63">
        <v>2021</v>
      </c>
      <c r="E14" s="47">
        <f>Water!C15</f>
        <v>1110</v>
      </c>
      <c r="F14" s="47">
        <f>Water!E15</f>
        <v>0</v>
      </c>
      <c r="G14" s="47">
        <f>Water!G15</f>
        <v>378</v>
      </c>
      <c r="H14" s="47">
        <f>Water!I15</f>
        <v>3.7530000000000001</v>
      </c>
      <c r="I14" s="47">
        <f>ELECT.!F15</f>
        <v>7519</v>
      </c>
      <c r="J14" s="47">
        <f>ELECT.!H15</f>
        <v>51133</v>
      </c>
      <c r="K14" s="47">
        <f>ELECT.!K15</f>
        <v>5186</v>
      </c>
      <c r="L14" s="47">
        <f>ELECT.!M15</f>
        <v>4228</v>
      </c>
      <c r="M14" s="47">
        <f>ELECT.!O15</f>
        <v>3148</v>
      </c>
      <c r="N14" s="47">
        <f>ELECT.!Q15</f>
        <v>16993</v>
      </c>
      <c r="O14" s="47">
        <f>ELECT.!S15</f>
        <v>8366</v>
      </c>
      <c r="P14" s="47">
        <f>ELECT.!W15*2</f>
        <v>19062</v>
      </c>
      <c r="Q14" s="47">
        <f>ELECT.!D15</f>
        <v>640</v>
      </c>
      <c r="R14" s="48">
        <f>BTU!C15</f>
        <v>11.03099999999904</v>
      </c>
      <c r="S14" s="48">
        <f>BTU!F15</f>
        <v>2.7519999999999527</v>
      </c>
      <c r="T14" s="48">
        <f>BTU!I15</f>
        <v>7</v>
      </c>
      <c r="U14" s="48">
        <f>BTU!O15</f>
        <v>1.5380000000000109</v>
      </c>
      <c r="V14" s="48">
        <f>BTU!L15</f>
        <v>2.1999999999989086</v>
      </c>
      <c r="W14" s="48">
        <f>BTU!R15</f>
        <v>2.2100000000000364</v>
      </c>
      <c r="X14" s="45">
        <f>ELECT.!B15</f>
        <v>138</v>
      </c>
      <c r="Y14" s="45">
        <f t="shared" si="0"/>
        <v>1669</v>
      </c>
      <c r="Z14">
        <f>'Mall, Citadel, Rotana'!C15+'Mall, Citadel, Rotana'!E15+'Mall, Citadel, Rotana'!G15+'Mall, Citadel, Rotana'!I15</f>
        <v>1428</v>
      </c>
      <c r="AA14">
        <f>'Mall, Citadel, Rotana'!K15+'Mall, Citadel, Rotana'!M15</f>
        <v>640</v>
      </c>
      <c r="AB14">
        <f>'Mall, Citadel, Rotana'!O15</f>
        <v>2</v>
      </c>
      <c r="AC14">
        <f>'Mall, Citadel, Rotana'!Q15+'Mall, Citadel, Rotana'!S15</f>
        <v>119</v>
      </c>
      <c r="AD14" s="45">
        <f t="shared" si="1"/>
        <v>120.23415460000001</v>
      </c>
      <c r="AE14" s="45">
        <f t="shared" si="2"/>
        <v>792.01284540000006</v>
      </c>
    </row>
    <row r="15" spans="1:31" x14ac:dyDescent="0.2">
      <c r="A15" s="58" t="s">
        <v>53</v>
      </c>
      <c r="B15" s="63">
        <f t="shared" si="3"/>
        <v>14</v>
      </c>
      <c r="C15" s="63">
        <v>6</v>
      </c>
      <c r="D15" s="63">
        <v>2021</v>
      </c>
      <c r="E15" s="47">
        <f>Water!C16</f>
        <v>720</v>
      </c>
      <c r="F15" s="47">
        <f>Water!E16</f>
        <v>0</v>
      </c>
      <c r="G15" s="47">
        <f>Water!G16</f>
        <v>391.5</v>
      </c>
      <c r="H15" s="47">
        <f>Water!I16</f>
        <v>2.9699999999999998</v>
      </c>
      <c r="I15" s="47">
        <f>ELECT.!F16</f>
        <v>11379</v>
      </c>
      <c r="J15" s="47">
        <f>ELECT.!H16</f>
        <v>56201</v>
      </c>
      <c r="K15" s="47">
        <f>ELECT.!K16</f>
        <v>6192</v>
      </c>
      <c r="L15" s="47">
        <f>ELECT.!M16</f>
        <v>5188</v>
      </c>
      <c r="M15" s="47">
        <f>ELECT.!O16</f>
        <v>6052</v>
      </c>
      <c r="N15" s="47">
        <f>ELECT.!Q16</f>
        <v>15838</v>
      </c>
      <c r="O15" s="47">
        <f>ELECT.!S16</f>
        <v>10225</v>
      </c>
      <c r="P15" s="47">
        <f>ELECT.!W16*2</f>
        <v>22930</v>
      </c>
      <c r="Q15" s="47">
        <f>ELECT.!D16</f>
        <v>960</v>
      </c>
      <c r="R15" s="48">
        <f>BTU!C16</f>
        <v>10.049000000002707</v>
      </c>
      <c r="S15" s="48">
        <f>BTU!F16</f>
        <v>3.0029999999997017</v>
      </c>
      <c r="T15" s="48">
        <f>BTU!I16</f>
        <v>7</v>
      </c>
      <c r="U15" s="48">
        <f>BTU!O16</f>
        <v>1.5169999999998254</v>
      </c>
      <c r="V15" s="48">
        <f>BTU!L16</f>
        <v>2.2400000000016007</v>
      </c>
      <c r="W15" s="48">
        <f>BTU!R16</f>
        <v>2.5399999999999636</v>
      </c>
      <c r="X15" s="45">
        <f>ELECT.!B16</f>
        <v>0</v>
      </c>
      <c r="Y15" s="45">
        <f t="shared" si="0"/>
        <v>1155</v>
      </c>
      <c r="Z15">
        <f>'Mall, Citadel, Rotana'!C16+'Mall, Citadel, Rotana'!E16+'Mall, Citadel, Rotana'!G16+'Mall, Citadel, Rotana'!I16</f>
        <v>1592</v>
      </c>
      <c r="AA15">
        <f>'Mall, Citadel, Rotana'!K16+'Mall, Citadel, Rotana'!M16</f>
        <v>640</v>
      </c>
      <c r="AB15">
        <f>'Mall, Citadel, Rotana'!O16</f>
        <v>4</v>
      </c>
      <c r="AC15">
        <f>'Mall, Citadel, Rotana'!Q16+'Mall, Citadel, Rotana'!S16</f>
        <v>109</v>
      </c>
      <c r="AD15" s="45">
        <f t="shared" si="1"/>
        <v>68.93535399999999</v>
      </c>
      <c r="AE15" s="45">
        <f t="shared" si="2"/>
        <v>454.09464600000001</v>
      </c>
    </row>
    <row r="16" spans="1:31" x14ac:dyDescent="0.2">
      <c r="A16" s="58" t="s">
        <v>53</v>
      </c>
      <c r="B16" s="63">
        <f t="shared" si="3"/>
        <v>15</v>
      </c>
      <c r="C16" s="63">
        <v>6</v>
      </c>
      <c r="D16" s="63">
        <v>2021</v>
      </c>
      <c r="E16" s="47">
        <f>Water!C17</f>
        <v>720</v>
      </c>
      <c r="F16" s="47">
        <f>Water!E17</f>
        <v>0</v>
      </c>
      <c r="G16" s="47">
        <f>Water!G17</f>
        <v>421.2</v>
      </c>
      <c r="H16" s="47">
        <f>Water!I17</f>
        <v>3.5369999999999999</v>
      </c>
      <c r="I16" s="47">
        <f>ELECT.!F17</f>
        <v>17542</v>
      </c>
      <c r="J16" s="47">
        <f>ELECT.!H17</f>
        <v>59285</v>
      </c>
      <c r="K16" s="47">
        <f>ELECT.!K17</f>
        <v>6641</v>
      </c>
      <c r="L16" s="47">
        <f>ELECT.!M17</f>
        <v>6684</v>
      </c>
      <c r="M16" s="47">
        <f>ELECT.!O17</f>
        <v>10682</v>
      </c>
      <c r="N16" s="47">
        <f>ELECT.!Q17</f>
        <v>12961</v>
      </c>
      <c r="O16" s="47">
        <f>ELECT.!S17</f>
        <v>11594</v>
      </c>
      <c r="P16" s="47">
        <f>ELECT.!W17*2</f>
        <v>26696</v>
      </c>
      <c r="Q16" s="47">
        <f>ELECT.!D17</f>
        <v>1280</v>
      </c>
      <c r="R16" s="48">
        <f>BTU!C17</f>
        <v>10.531999999999243</v>
      </c>
      <c r="S16" s="48">
        <f>BTU!F17</f>
        <v>3.2890000000002146</v>
      </c>
      <c r="T16" s="48">
        <f>BTU!I17</f>
        <v>7</v>
      </c>
      <c r="U16" s="48">
        <f>BTU!O17</f>
        <v>1.5430000000001201</v>
      </c>
      <c r="V16" s="48">
        <f>BTU!L17</f>
        <v>2.3999999999996362</v>
      </c>
      <c r="W16" s="48">
        <f>BTU!R17</f>
        <v>2.8900000000003274</v>
      </c>
      <c r="X16" s="45">
        <f>ELECT.!B17</f>
        <v>202</v>
      </c>
      <c r="Y16" s="45">
        <f t="shared" si="0"/>
        <v>1569</v>
      </c>
      <c r="Z16">
        <f>'Mall, Citadel, Rotana'!C17+'Mall, Citadel, Rotana'!E17+'Mall, Citadel, Rotana'!G17+'Mall, Citadel, Rotana'!I17</f>
        <v>1418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125</v>
      </c>
      <c r="AD16" s="45">
        <f t="shared" si="1"/>
        <v>68.860623399999994</v>
      </c>
      <c r="AE16" s="45">
        <f t="shared" si="2"/>
        <v>453.60237659999996</v>
      </c>
    </row>
    <row r="17" spans="1:31" x14ac:dyDescent="0.2">
      <c r="A17" s="58" t="s">
        <v>53</v>
      </c>
      <c r="B17" s="63">
        <f t="shared" si="3"/>
        <v>16</v>
      </c>
      <c r="C17" s="63">
        <v>6</v>
      </c>
      <c r="D17" s="63">
        <v>2021</v>
      </c>
      <c r="E17" s="47">
        <f>Water!C18</f>
        <v>1170</v>
      </c>
      <c r="F17" s="47">
        <f>Water!E18</f>
        <v>0</v>
      </c>
      <c r="G17" s="47">
        <f>Water!G18</f>
        <v>453.6</v>
      </c>
      <c r="H17" s="47">
        <f>Water!I18</f>
        <v>3.2399999999999998</v>
      </c>
      <c r="I17" s="47">
        <f>ELECT.!F18</f>
        <v>11735</v>
      </c>
      <c r="J17" s="47">
        <f>ELECT.!H18</f>
        <v>42160</v>
      </c>
      <c r="K17" s="47">
        <f>ELECT.!K18</f>
        <v>4836</v>
      </c>
      <c r="L17" s="47">
        <f>ELECT.!M18</f>
        <v>4255</v>
      </c>
      <c r="M17" s="47">
        <f>ELECT.!O18</f>
        <v>7332</v>
      </c>
      <c r="N17" s="47">
        <f>ELECT.!Q18</f>
        <v>9342</v>
      </c>
      <c r="O17" s="47">
        <f>ELECT.!S18</f>
        <v>7957</v>
      </c>
      <c r="P17" s="47">
        <f>ELECT.!W18*2</f>
        <v>19020</v>
      </c>
      <c r="Q17" s="47">
        <f>ELECT.!D18</f>
        <v>960</v>
      </c>
      <c r="R17" s="48">
        <f>BTU!C18</f>
        <v>8.672999999998865</v>
      </c>
      <c r="S17" s="48">
        <f>BTU!F18</f>
        <v>2.3850000000002183</v>
      </c>
      <c r="T17" s="48">
        <f>BTU!I18</f>
        <v>7</v>
      </c>
      <c r="U17" s="48">
        <f>BTU!O18</f>
        <v>1.2170000000000982</v>
      </c>
      <c r="V17" s="48">
        <f>BTU!L18</f>
        <v>1.7999999999992724</v>
      </c>
      <c r="W17" s="48">
        <f>BTU!R18</f>
        <v>2.0399999999999636</v>
      </c>
      <c r="X17" s="45">
        <f>ELECT.!B18</f>
        <v>115</v>
      </c>
      <c r="Y17" s="45">
        <f t="shared" si="0"/>
        <v>1153</v>
      </c>
      <c r="Z17">
        <f>'Mall, Citadel, Rotana'!C18+'Mall, Citadel, Rotana'!E18+'Mall, Citadel, Rotana'!G18+'Mall, Citadel, Rotana'!I18</f>
        <v>1380</v>
      </c>
      <c r="AA17">
        <f>'Mall, Citadel, Rotana'!K18+'Mall, Citadel, Rotana'!M18</f>
        <v>800</v>
      </c>
      <c r="AB17">
        <f>'Mall, Citadel, Rotana'!O18</f>
        <v>3</v>
      </c>
      <c r="AC17">
        <f>'Mall, Citadel, Rotana'!Q18+'Mall, Citadel, Rotana'!S18</f>
        <v>147</v>
      </c>
      <c r="AD17" s="45">
        <f t="shared" si="1"/>
        <v>128.209768</v>
      </c>
      <c r="AE17" s="45">
        <f t="shared" si="2"/>
        <v>844.55023200000005</v>
      </c>
    </row>
    <row r="18" spans="1:31" x14ac:dyDescent="0.2">
      <c r="A18" s="58" t="s">
        <v>53</v>
      </c>
      <c r="B18" s="63">
        <f t="shared" si="3"/>
        <v>17</v>
      </c>
      <c r="C18" s="63">
        <v>6</v>
      </c>
      <c r="D18" s="63">
        <v>2021</v>
      </c>
      <c r="E18" s="47">
        <f>Water!C19</f>
        <v>960</v>
      </c>
      <c r="F18" s="47">
        <f>Water!E19</f>
        <v>0</v>
      </c>
      <c r="G18" s="47">
        <f>Water!G19</f>
        <v>475.2</v>
      </c>
      <c r="H18" s="47">
        <f>Water!I19</f>
        <v>3.8609999999999998</v>
      </c>
      <c r="I18" s="47">
        <f>ELECT.!F19</f>
        <v>23960</v>
      </c>
      <c r="J18" s="47">
        <f>ELECT.!H19</f>
        <v>61974</v>
      </c>
      <c r="K18" s="47">
        <f>ELECT.!K19</f>
        <v>7227</v>
      </c>
      <c r="L18" s="47">
        <f>ELECT.!M19</f>
        <v>9218</v>
      </c>
      <c r="M18" s="47">
        <f>ELECT.!O19</f>
        <v>14538</v>
      </c>
      <c r="N18" s="47">
        <f>ELECT.!Q19</f>
        <v>13497</v>
      </c>
      <c r="O18" s="47">
        <f>ELECT.!S19</f>
        <v>12217</v>
      </c>
      <c r="P18" s="47">
        <f>ELECT.!W19*2</f>
        <v>27534</v>
      </c>
      <c r="Q18" s="47">
        <f>ELECT.!D19</f>
        <v>800</v>
      </c>
      <c r="R18" s="48">
        <f>BTU!C19</f>
        <v>11.015999999999622</v>
      </c>
      <c r="S18" s="48">
        <f>BTU!F19</f>
        <v>3.3599999999996726</v>
      </c>
      <c r="T18" s="48">
        <f>BTU!I19</f>
        <v>8</v>
      </c>
      <c r="U18" s="48">
        <f>BTU!O19</f>
        <v>1.6010000000001128</v>
      </c>
      <c r="V18" s="48">
        <f>BTU!L19</f>
        <v>2.5799999999999272</v>
      </c>
      <c r="W18" s="48">
        <f>BTU!R19</f>
        <v>2.8800000000001091</v>
      </c>
      <c r="X18" s="45">
        <f>ELECT.!B19</f>
        <v>162</v>
      </c>
      <c r="Y18" s="45">
        <f t="shared" si="0"/>
        <v>1703</v>
      </c>
      <c r="Z18">
        <f>'Mall, Citadel, Rotana'!C19+'Mall, Citadel, Rotana'!E19+'Mall, Citadel, Rotana'!G19+'Mall, Citadel, Rotana'!I19</f>
        <v>1412</v>
      </c>
      <c r="AA18">
        <f>'Mall, Citadel, Rotana'!K19+'Mall, Citadel, Rotana'!M19</f>
        <v>640</v>
      </c>
      <c r="AB18">
        <f>'Mall, Citadel, Rotana'!O19</f>
        <v>3</v>
      </c>
      <c r="AC18">
        <f>'Mall, Citadel, Rotana'!Q19+'Mall, Citadel, Rotana'!S19</f>
        <v>120</v>
      </c>
      <c r="AD18" s="45">
        <f t="shared" si="1"/>
        <v>100.44992020000001</v>
      </c>
      <c r="AE18" s="45">
        <f t="shared" si="2"/>
        <v>661.68907979999994</v>
      </c>
    </row>
    <row r="19" spans="1:31" x14ac:dyDescent="0.2">
      <c r="A19" s="58" t="s">
        <v>53</v>
      </c>
      <c r="B19" s="63">
        <f t="shared" si="3"/>
        <v>18</v>
      </c>
      <c r="C19" s="63">
        <v>6</v>
      </c>
      <c r="D19" s="63">
        <v>2021</v>
      </c>
      <c r="E19" s="47">
        <f>Water!C20</f>
        <v>900</v>
      </c>
      <c r="F19" s="47">
        <f>Water!E20</f>
        <v>0</v>
      </c>
      <c r="G19" s="47">
        <f>Water!G20</f>
        <v>432</v>
      </c>
      <c r="H19" s="47">
        <f>Water!I20</f>
        <v>5.2110000000000003</v>
      </c>
      <c r="I19" s="47">
        <f>ELECT.!F20</f>
        <v>17049</v>
      </c>
      <c r="J19" s="47">
        <f>ELECT.!H20</f>
        <v>42935</v>
      </c>
      <c r="K19" s="47">
        <f>ELECT.!K20</f>
        <v>4621</v>
      </c>
      <c r="L19" s="47">
        <f>ELECT.!M20</f>
        <v>5764</v>
      </c>
      <c r="M19" s="47">
        <f>ELECT.!O20</f>
        <v>11048</v>
      </c>
      <c r="N19" s="47">
        <f>ELECT.!Q20</f>
        <v>9563</v>
      </c>
      <c r="O19" s="47">
        <f>ELECT.!S20</f>
        <v>8723</v>
      </c>
      <c r="P19" s="47">
        <f>ELECT.!W20*2</f>
        <v>19128</v>
      </c>
      <c r="Q19" s="47">
        <f>ELECT.!D20</f>
        <v>640</v>
      </c>
      <c r="R19" s="48">
        <f>BTU!C20</f>
        <v>7.636000000002241</v>
      </c>
      <c r="S19" s="48">
        <f>BTU!F20</f>
        <v>1.2270000000003165</v>
      </c>
      <c r="T19" s="48">
        <f>BTU!I20</f>
        <v>5</v>
      </c>
      <c r="U19" s="48">
        <f>BTU!O20</f>
        <v>1.1289999999999054</v>
      </c>
      <c r="V19" s="48">
        <f>BTU!L20</f>
        <v>1.7299999999995634</v>
      </c>
      <c r="W19" s="48">
        <f>BTU!R20</f>
        <v>1.5900000000001455</v>
      </c>
      <c r="X19" s="45">
        <f>ELECT.!B20</f>
        <v>185</v>
      </c>
      <c r="Y19" s="45">
        <f t="shared" si="0"/>
        <v>1137</v>
      </c>
      <c r="Z19">
        <f>'Mall, Citadel, Rotana'!C20+'Mall, Citadel, Rotana'!E20+'Mall, Citadel, Rotana'!G20+'Mall, Citadel, Rotana'!I20</f>
        <v>1392</v>
      </c>
      <c r="AA19">
        <f>'Mall, Citadel, Rotana'!K20+'Mall, Citadel, Rotana'!M20</f>
        <v>480</v>
      </c>
      <c r="AB19">
        <f>'Mall, Citadel, Rotana'!O20</f>
        <v>4</v>
      </c>
      <c r="AC19">
        <f>'Mall, Citadel, Rotana'!Q20+'Mall, Citadel, Rotana'!S20</f>
        <v>129</v>
      </c>
      <c r="AD19" s="45">
        <f t="shared" si="1"/>
        <v>92.363990200000003</v>
      </c>
      <c r="AE19" s="45">
        <f t="shared" si="2"/>
        <v>608.4250098</v>
      </c>
    </row>
    <row r="20" spans="1:31" x14ac:dyDescent="0.2">
      <c r="A20" s="58" t="s">
        <v>53</v>
      </c>
      <c r="B20" s="63">
        <f t="shared" si="3"/>
        <v>19</v>
      </c>
      <c r="C20" s="63">
        <v>6</v>
      </c>
      <c r="D20" s="63">
        <v>2021</v>
      </c>
      <c r="E20" s="47">
        <f>Water!C21</f>
        <v>1000</v>
      </c>
      <c r="F20" s="47">
        <f>Water!E21</f>
        <v>0</v>
      </c>
      <c r="G20" s="47">
        <f>Water!G21</f>
        <v>494.1</v>
      </c>
      <c r="H20" s="47">
        <f>Water!I21</f>
        <v>5.6159999999999997</v>
      </c>
      <c r="I20" s="47">
        <f>ELECT.!F21</f>
        <v>20307</v>
      </c>
      <c r="J20" s="47">
        <f>ELECT.!H21</f>
        <v>52705</v>
      </c>
      <c r="K20" s="47">
        <f>ELECT.!K21</f>
        <v>6167</v>
      </c>
      <c r="L20" s="47">
        <f>ELECT.!M21</f>
        <v>6984</v>
      </c>
      <c r="M20" s="47">
        <f>ELECT.!O21</f>
        <v>13194</v>
      </c>
      <c r="N20" s="47">
        <f>ELECT.!Q21</f>
        <v>11790</v>
      </c>
      <c r="O20" s="47">
        <f>ELECT.!S21</f>
        <v>10755</v>
      </c>
      <c r="P20" s="47">
        <f>ELECT.!W21*2</f>
        <v>22514</v>
      </c>
      <c r="Q20" s="47">
        <f>ELECT.!D21</f>
        <v>480</v>
      </c>
      <c r="R20" s="48">
        <f>BTU!C21</f>
        <v>9.4979999999995925</v>
      </c>
      <c r="S20" s="48">
        <f>BTU!F21</f>
        <v>1.8019999999996799</v>
      </c>
      <c r="T20" s="48">
        <f>BTU!I21</f>
        <v>6</v>
      </c>
      <c r="U20" s="48">
        <f>BTU!O21</f>
        <v>1.4719999999997526</v>
      </c>
      <c r="V20" s="48">
        <f>BTU!L21</f>
        <v>2.2300000000013824</v>
      </c>
      <c r="W20" s="48">
        <f>BTU!R21</f>
        <v>2.6099999999996726</v>
      </c>
      <c r="X20" s="45">
        <f>ELECT.!B21</f>
        <v>160</v>
      </c>
      <c r="Y20" s="45">
        <f t="shared" si="0"/>
        <v>1608</v>
      </c>
      <c r="Z20">
        <f>'Mall, Citadel, Rotana'!C21+'Mall, Citadel, Rotana'!E21+'Mall, Citadel, Rotana'!G21+'Mall, Citadel, Rotana'!I21</f>
        <v>1392</v>
      </c>
      <c r="AA20">
        <f>'Mall, Citadel, Rotana'!K21+'Mall, Citadel, Rotana'!M21</f>
        <v>480</v>
      </c>
      <c r="AB20">
        <f>'Mall, Citadel, Rotana'!O21</f>
        <v>2</v>
      </c>
      <c r="AC20">
        <f>'Mall, Citadel, Rotana'!Q21+'Mall, Citadel, Rotana'!S21</f>
        <v>119</v>
      </c>
      <c r="AD20" s="45">
        <f t="shared" si="1"/>
        <v>105.4906112</v>
      </c>
      <c r="AE20" s="45">
        <f t="shared" si="2"/>
        <v>694.89338880000003</v>
      </c>
    </row>
    <row r="21" spans="1:31" x14ac:dyDescent="0.2">
      <c r="A21" s="58" t="s">
        <v>53</v>
      </c>
      <c r="B21" s="63">
        <f t="shared" si="3"/>
        <v>20</v>
      </c>
      <c r="C21" s="63">
        <v>6</v>
      </c>
      <c r="D21" s="63">
        <v>2021</v>
      </c>
      <c r="E21" s="47">
        <f>Water!C22</f>
        <v>1400</v>
      </c>
      <c r="F21" s="47">
        <f>Water!E22</f>
        <v>0</v>
      </c>
      <c r="G21" s="47">
        <f>Water!G22</f>
        <v>531.9</v>
      </c>
      <c r="H21" s="47">
        <f>Water!I22</f>
        <v>3.996</v>
      </c>
      <c r="I21" s="47">
        <f>ELECT.!F22</f>
        <v>14141</v>
      </c>
      <c r="J21" s="47">
        <f>ELECT.!H22</f>
        <v>53479</v>
      </c>
      <c r="K21" s="47">
        <f>ELECT.!K22</f>
        <v>6419</v>
      </c>
      <c r="L21" s="47">
        <f>ELECT.!M22</f>
        <v>4557</v>
      </c>
      <c r="M21" s="47">
        <f>ELECT.!O22</f>
        <v>9430</v>
      </c>
      <c r="N21" s="47">
        <f>ELECT.!Q22</f>
        <v>11956</v>
      </c>
      <c r="O21" s="47">
        <f>ELECT.!S22</f>
        <v>10519</v>
      </c>
      <c r="P21" s="47">
        <f>ELECT.!W22*2</f>
        <v>22896</v>
      </c>
      <c r="Q21" s="47">
        <f>ELECT.!D22</f>
        <v>480</v>
      </c>
      <c r="R21" s="48">
        <f>BTU!C22</f>
        <v>8.8789999999971769</v>
      </c>
      <c r="S21" s="48">
        <f>BTU!F22</f>
        <v>2.2809999999999491</v>
      </c>
      <c r="T21" s="48">
        <f>BTU!I22</f>
        <v>7</v>
      </c>
      <c r="U21" s="48">
        <f>BTU!O22</f>
        <v>1.4720000000002074</v>
      </c>
      <c r="V21" s="48">
        <f>BTU!L22</f>
        <v>2.1499999999996362</v>
      </c>
      <c r="W21" s="48">
        <f>BTU!R22</f>
        <v>1.8500000000003638</v>
      </c>
      <c r="X21" s="45">
        <f>ELECT.!B22</f>
        <v>196</v>
      </c>
      <c r="Y21" s="45">
        <f t="shared" si="0"/>
        <v>1843</v>
      </c>
      <c r="Z21">
        <f>'Mall, Citadel, Rotana'!C22+'Mall, Citadel, Rotana'!E22+'Mall, Citadel, Rotana'!G22+'Mall, Citadel, Rotana'!I22</f>
        <v>1410</v>
      </c>
      <c r="AA21">
        <f>'Mall, Citadel, Rotana'!K22+'Mall, Citadel, Rotana'!M22</f>
        <v>640</v>
      </c>
      <c r="AB21">
        <f>'Mall, Citadel, Rotana'!O22</f>
        <v>4</v>
      </c>
      <c r="AC21">
        <f>'Mall, Citadel, Rotana'!Q22+'Mall, Citadel, Rotana'!S22</f>
        <v>437</v>
      </c>
      <c r="AD21" s="45">
        <f t="shared" si="1"/>
        <v>158.42412719999999</v>
      </c>
      <c r="AE21" s="45">
        <f t="shared" si="2"/>
        <v>1043.5798728</v>
      </c>
    </row>
    <row r="22" spans="1:31" x14ac:dyDescent="0.2">
      <c r="A22" s="58" t="s">
        <v>53</v>
      </c>
      <c r="B22" s="63">
        <f t="shared" si="3"/>
        <v>21</v>
      </c>
      <c r="C22" s="63">
        <v>6</v>
      </c>
      <c r="D22" s="63">
        <v>2021</v>
      </c>
      <c r="E22" s="47">
        <f>Water!C23</f>
        <v>1400</v>
      </c>
      <c r="F22" s="47">
        <f>Water!E23</f>
        <v>0</v>
      </c>
      <c r="G22" s="47">
        <f>Water!G23</f>
        <v>445.5</v>
      </c>
      <c r="H22" s="47">
        <f>Water!I23</f>
        <v>3.9689999999999999</v>
      </c>
      <c r="I22" s="47">
        <f>ELECT.!F23</f>
        <v>10296</v>
      </c>
      <c r="J22" s="47">
        <f>ELECT.!H23</f>
        <v>37626</v>
      </c>
      <c r="K22" s="47">
        <f>ELECT.!K23</f>
        <v>4542</v>
      </c>
      <c r="L22" s="47">
        <f>ELECT.!M23</f>
        <v>3476</v>
      </c>
      <c r="M22" s="47">
        <f>ELECT.!O23</f>
        <v>6684</v>
      </c>
      <c r="N22" s="47">
        <f>ELECT.!Q23</f>
        <v>8711</v>
      </c>
      <c r="O22" s="47">
        <f>ELECT.!S23</f>
        <v>7289</v>
      </c>
      <c r="P22" s="47">
        <f>ELECT.!W23*2</f>
        <v>15696</v>
      </c>
      <c r="Q22" s="47">
        <f>ELECT.!D23</f>
        <v>480</v>
      </c>
      <c r="R22" s="48">
        <f>BTU!C23</f>
        <v>9.3560000000034051</v>
      </c>
      <c r="S22" s="48">
        <f>BTU!F23</f>
        <v>2.9639999999999418</v>
      </c>
      <c r="T22" s="48">
        <f>BTU!I23</f>
        <v>7</v>
      </c>
      <c r="U22" s="48">
        <f>BTU!O23</f>
        <v>1.4719999999997526</v>
      </c>
      <c r="V22" s="48">
        <f>BTU!L23</f>
        <v>2.2700000000004366</v>
      </c>
      <c r="W22" s="48">
        <f>BTU!R23</f>
        <v>3.0500000000001819</v>
      </c>
      <c r="X22" s="45">
        <f>ELECT.!B23</f>
        <v>201</v>
      </c>
      <c r="Y22" s="45">
        <f t="shared" si="0"/>
        <v>1524</v>
      </c>
      <c r="Z22">
        <f>'Mall, Citadel, Rotana'!C23+'Mall, Citadel, Rotana'!E23+'Mall, Citadel, Rotana'!G23+'Mall, Citadel, Rotana'!I23</f>
        <v>1386</v>
      </c>
      <c r="AA22">
        <f>'Mall, Citadel, Rotana'!K23+'Mall, Citadel, Rotana'!M23</f>
        <v>800</v>
      </c>
      <c r="AB22">
        <f>'Mall, Citadel, Rotana'!O23</f>
        <v>4</v>
      </c>
      <c r="AC22">
        <f>'Mall, Citadel, Rotana'!Q23+'Mall, Citadel, Rotana'!S23</f>
        <v>146</v>
      </c>
      <c r="AD22" s="45">
        <f t="shared" si="1"/>
        <v>158.42768580000001</v>
      </c>
      <c r="AE22" s="45">
        <f t="shared" si="2"/>
        <v>1043.6033141999999</v>
      </c>
    </row>
    <row r="23" spans="1:31" x14ac:dyDescent="0.2">
      <c r="A23" s="58" t="s">
        <v>53</v>
      </c>
      <c r="B23" s="63">
        <f t="shared" si="3"/>
        <v>22</v>
      </c>
      <c r="C23" s="63">
        <v>6</v>
      </c>
      <c r="D23" s="63">
        <v>2021</v>
      </c>
      <c r="E23" s="47">
        <f>Water!C24</f>
        <v>770</v>
      </c>
      <c r="F23" s="47">
        <f>Water!E24</f>
        <v>0</v>
      </c>
      <c r="G23" s="47">
        <f>Water!G24</f>
        <v>521.1</v>
      </c>
      <c r="H23" s="47">
        <f>Water!I24</f>
        <v>13.257</v>
      </c>
      <c r="I23" s="47">
        <f>ELECT.!F24</f>
        <v>22814</v>
      </c>
      <c r="J23" s="47">
        <f>ELECT.!H24</f>
        <v>56670</v>
      </c>
      <c r="K23" s="47">
        <f>ELECT.!K24</f>
        <v>6676</v>
      </c>
      <c r="L23" s="47">
        <f>ELECT.!M24</f>
        <v>7772</v>
      </c>
      <c r="M23" s="47">
        <f>ELECT.!O24</f>
        <v>14774</v>
      </c>
      <c r="N23" s="47">
        <f>ELECT.!Q24</f>
        <v>13204</v>
      </c>
      <c r="O23" s="47">
        <f>ELECT.!S24</f>
        <v>10873</v>
      </c>
      <c r="P23" s="47">
        <f>ELECT.!W24*2</f>
        <v>23920</v>
      </c>
      <c r="Q23" s="47">
        <f>ELECT.!D24</f>
        <v>1120</v>
      </c>
      <c r="R23" s="48">
        <f>BTU!C24</f>
        <v>10.783999999999651</v>
      </c>
      <c r="S23" s="48">
        <f>BTU!F24</f>
        <v>2.956000000000131</v>
      </c>
      <c r="T23" s="48">
        <f>BTU!I24</f>
        <v>7</v>
      </c>
      <c r="U23" s="48">
        <f>BTU!O24</f>
        <v>1.4420000000000073</v>
      </c>
      <c r="V23" s="48">
        <f>BTU!L24</f>
        <v>2.2099999999991269</v>
      </c>
      <c r="W23" s="48">
        <f>BTU!R24</f>
        <v>2.1899999999995998</v>
      </c>
      <c r="X23" s="45">
        <f>ELECT.!B24</f>
        <v>197</v>
      </c>
      <c r="Y23" s="45">
        <f t="shared" si="0"/>
        <v>2265</v>
      </c>
      <c r="Z23">
        <f>'Mall, Citadel, Rotana'!C24+'Mall, Citadel, Rotana'!E24+'Mall, Citadel, Rotana'!G24+'Mall, Citadel, Rotana'!I24</f>
        <v>1423</v>
      </c>
      <c r="AA23">
        <f>'Mall, Citadel, Rotana'!K24+'Mall, Citadel, Rotana'!M24</f>
        <v>640</v>
      </c>
      <c r="AB23">
        <f>'Mall, Citadel, Rotana'!O24</f>
        <v>3</v>
      </c>
      <c r="AC23">
        <f>'Mall, Citadel, Rotana'!Q24+'Mall, Citadel, Rotana'!S24</f>
        <v>0</v>
      </c>
      <c r="AD23" s="45">
        <f t="shared" si="1"/>
        <v>74.169527400000007</v>
      </c>
      <c r="AE23" s="45">
        <f t="shared" si="2"/>
        <v>488.57347260000006</v>
      </c>
    </row>
    <row r="24" spans="1:31" x14ac:dyDescent="0.2">
      <c r="A24" s="58" t="s">
        <v>53</v>
      </c>
      <c r="B24" s="63">
        <f t="shared" si="3"/>
        <v>23</v>
      </c>
      <c r="C24" s="63">
        <v>6</v>
      </c>
      <c r="D24" s="63">
        <v>2021</v>
      </c>
      <c r="E24" s="47">
        <f>Water!C25</f>
        <v>1050</v>
      </c>
      <c r="F24" s="47">
        <f>Water!E25</f>
        <v>0</v>
      </c>
      <c r="G24" s="47">
        <f>Water!G25</f>
        <v>16900</v>
      </c>
      <c r="H24" s="47">
        <f>Water!I25</f>
        <v>0</v>
      </c>
      <c r="I24" s="47">
        <f>ELECT.!F25</f>
        <v>37560</v>
      </c>
      <c r="J24" s="47">
        <f>ELECT.!H25</f>
        <v>96934</v>
      </c>
      <c r="K24" s="47">
        <f>ELECT.!K25</f>
        <v>11532</v>
      </c>
      <c r="L24" s="47">
        <f>ELECT.!M25</f>
        <v>11786</v>
      </c>
      <c r="M24" s="47">
        <f>ELECT.!O25</f>
        <v>25478</v>
      </c>
      <c r="N24" s="47">
        <f>ELECT.!Q25</f>
        <v>18693</v>
      </c>
      <c r="O24" s="47">
        <f>ELECT.!S25</f>
        <v>19421</v>
      </c>
      <c r="P24" s="47">
        <f>ELECT.!W25*2</f>
        <v>43648</v>
      </c>
      <c r="Q24" s="47">
        <f>ELECT.!D25</f>
        <v>800</v>
      </c>
      <c r="R24" s="48">
        <f>BTU!C25</f>
        <v>11.582999999998719</v>
      </c>
      <c r="S24" s="48">
        <f>BTU!F25</f>
        <v>3.2010000000000218</v>
      </c>
      <c r="T24" s="48">
        <f>BTU!I25</f>
        <v>8</v>
      </c>
      <c r="U24" s="48">
        <f>BTU!O25</f>
        <v>1.3330000000000837</v>
      </c>
      <c r="V24" s="48">
        <f>BTU!L25</f>
        <v>2.3800000000010186</v>
      </c>
      <c r="W24" s="48">
        <f>BTU!R25</f>
        <v>2.4600000000000364</v>
      </c>
      <c r="X24" s="45">
        <f>ELECT.!B25</f>
        <v>236</v>
      </c>
      <c r="Y24" s="45">
        <f t="shared" si="0"/>
        <v>3936</v>
      </c>
      <c r="Z24">
        <f>'Mall, Citadel, Rotana'!C25+'Mall, Citadel, Rotana'!E25+'Mall, Citadel, Rotana'!G25+'Mall, Citadel, Rotana'!I25</f>
        <v>776</v>
      </c>
      <c r="AA24">
        <f>'Mall, Citadel, Rotana'!K25+'Mall, Citadel, Rotana'!M25</f>
        <v>640</v>
      </c>
      <c r="AB24">
        <f>'Mall, Citadel, Rotana'!O25</f>
        <v>3</v>
      </c>
      <c r="AC24">
        <f>'Mall, Citadel, Rotana'!Q25+'Mall, Citadel, Rotana'!S25</f>
        <v>0</v>
      </c>
      <c r="AD24" s="45">
        <f t="shared" si="1"/>
        <v>112.82080000000001</v>
      </c>
      <c r="AE24" s="45">
        <f t="shared" si="2"/>
        <v>743.17920000000004</v>
      </c>
    </row>
    <row r="25" spans="1:31" x14ac:dyDescent="0.2">
      <c r="A25" s="58" t="s">
        <v>53</v>
      </c>
      <c r="B25" s="63">
        <f t="shared" si="3"/>
        <v>24</v>
      </c>
      <c r="C25" s="63">
        <v>6</v>
      </c>
      <c r="D25" s="63">
        <v>2021</v>
      </c>
      <c r="E25" s="47">
        <f>Water!C26</f>
        <v>1050</v>
      </c>
      <c r="F25" s="47">
        <f>Water!E26</f>
        <v>0</v>
      </c>
      <c r="G25" s="47">
        <f>Water!G26</f>
        <v>467.1</v>
      </c>
      <c r="H25" s="47">
        <f>Water!I26</f>
        <v>3.2669999999999999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960</v>
      </c>
      <c r="R25" s="48">
        <f>BTU!C26</f>
        <v>16.533999999999651</v>
      </c>
      <c r="S25" s="48">
        <f>BTU!F26</f>
        <v>4.0850000000000364</v>
      </c>
      <c r="T25" s="48">
        <f>BTU!I26</f>
        <v>10</v>
      </c>
      <c r="U25" s="48">
        <f>BTU!O26</f>
        <v>1.9749999999999091</v>
      </c>
      <c r="V25" s="48">
        <f>BTU!L26</f>
        <v>3.1499999999996362</v>
      </c>
      <c r="W25" s="48">
        <f>BTU!R26</f>
        <v>2.3000000000001819</v>
      </c>
      <c r="X25" s="45">
        <f>ELECT.!B26</f>
        <v>254</v>
      </c>
      <c r="Y25" s="45">
        <f t="shared" si="0"/>
        <v>0</v>
      </c>
      <c r="Z25">
        <f>'Mall, Citadel, Rotana'!C26+'Mall, Citadel, Rotana'!E26+'Mall, Citadel, Rotana'!G26+'Mall, Citadel, Rotana'!I26</f>
        <v>2039</v>
      </c>
      <c r="AA25">
        <f>'Mall, Citadel, Rotana'!K26+'Mall, Citadel, Rotana'!M26</f>
        <v>640</v>
      </c>
      <c r="AB25">
        <f>'Mall, Citadel, Rotana'!O26</f>
        <v>3</v>
      </c>
      <c r="AC25">
        <f>'Mall, Citadel, Rotana'!Q26+'Mall, Citadel, Rotana'!S26</f>
        <v>0</v>
      </c>
      <c r="AD25" s="45">
        <f t="shared" si="1"/>
        <v>112.39020939999999</v>
      </c>
      <c r="AE25" s="45">
        <f t="shared" si="2"/>
        <v>740.34279059999994</v>
      </c>
    </row>
    <row r="26" spans="1:31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Water!C27</f>
        <v>1020</v>
      </c>
      <c r="F26" s="47">
        <f>Water!E27</f>
        <v>0</v>
      </c>
      <c r="G26" s="47">
        <f>Water!G27</f>
        <v>418.5</v>
      </c>
      <c r="H26" s="47">
        <f>Water!I27</f>
        <v>1.8089999999999999</v>
      </c>
      <c r="I26" s="47">
        <f>ELECT.!F27</f>
        <v>24122</v>
      </c>
      <c r="J26" s="47">
        <f>ELECT.!H27</f>
        <v>46153</v>
      </c>
      <c r="K26" s="47">
        <f>ELECT.!K27</f>
        <v>5663</v>
      </c>
      <c r="L26" s="47">
        <f>ELECT.!M27</f>
        <v>5356</v>
      </c>
      <c r="M26" s="47">
        <f>ELECT.!O27</f>
        <v>18632</v>
      </c>
      <c r="N26" s="47">
        <f>ELECT.!Q27</f>
        <v>3761</v>
      </c>
      <c r="O26" s="47">
        <f>ELECT.!S27</f>
        <v>10935</v>
      </c>
      <c r="P26" s="47">
        <f>ELECT.!W27*2</f>
        <v>24492</v>
      </c>
      <c r="Q26" s="47">
        <f>ELECT.!D27</f>
        <v>640</v>
      </c>
      <c r="R26" s="48">
        <f>BTU!C27</f>
        <v>14.39600000000064</v>
      </c>
      <c r="S26" s="48">
        <f>BTU!F27</f>
        <v>1.1640000000002146</v>
      </c>
      <c r="T26" s="48">
        <f>BTU!I27</f>
        <v>8</v>
      </c>
      <c r="U26" s="48">
        <f>BTU!O27</f>
        <v>1.3700000000003456</v>
      </c>
      <c r="V26" s="48">
        <f>BTU!L27</f>
        <v>2.3299999999999272</v>
      </c>
      <c r="W26" s="48">
        <f>BTU!R27</f>
        <v>1.1499999999996362</v>
      </c>
      <c r="X26" s="45">
        <f>ELECT.!B27</f>
        <v>256</v>
      </c>
      <c r="Y26" s="45">
        <f t="shared" si="0"/>
        <v>1436</v>
      </c>
      <c r="Z26">
        <f>'Mall, Citadel, Rotana'!C27+'Mall, Citadel, Rotana'!E27+'Mall, Citadel, Rotana'!G27+'Mall, Citadel, Rotana'!I27</f>
        <v>1456</v>
      </c>
      <c r="AA26">
        <f>'Mall, Citadel, Rotana'!K27+'Mall, Citadel, Rotana'!M27</f>
        <v>480</v>
      </c>
      <c r="AB26">
        <f>'Mall, Citadel, Rotana'!O27</f>
        <v>3</v>
      </c>
      <c r="AC26">
        <f>'Mall, Citadel, Rotana'!Q27+'Mall, Citadel, Rotana'!S27</f>
        <v>0</v>
      </c>
      <c r="AD26" s="45">
        <f t="shared" si="1"/>
        <v>108.62837380000001</v>
      </c>
      <c r="AE26" s="45">
        <f t="shared" si="2"/>
        <v>715.56262620000007</v>
      </c>
    </row>
    <row r="27" spans="1:31" x14ac:dyDescent="0.2">
      <c r="A27" s="58" t="s">
        <v>53</v>
      </c>
      <c r="B27" s="63">
        <f t="shared" si="3"/>
        <v>26</v>
      </c>
      <c r="C27" s="63">
        <v>6</v>
      </c>
      <c r="D27" s="63">
        <v>2021</v>
      </c>
      <c r="E27" s="47">
        <f>Water!C28</f>
        <v>1020</v>
      </c>
      <c r="F27" s="47">
        <f>Water!E28</f>
        <v>0</v>
      </c>
      <c r="G27" s="47">
        <f>Water!G28</f>
        <v>491.4</v>
      </c>
      <c r="H27" s="47">
        <f>Water!I28</f>
        <v>2.7</v>
      </c>
      <c r="I27" s="47">
        <f>ELECT.!F28</f>
        <v>21227</v>
      </c>
      <c r="J27" s="47">
        <f>ELECT.!H28</f>
        <v>48760</v>
      </c>
      <c r="K27" s="47">
        <f>ELECT.!K28</f>
        <v>6021</v>
      </c>
      <c r="L27" s="47">
        <f>ELECT.!M28</f>
        <v>4906</v>
      </c>
      <c r="M27" s="47">
        <f>ELECT.!O28</f>
        <v>16036</v>
      </c>
      <c r="N27" s="47">
        <f>ELECT.!Q28</f>
        <v>6678</v>
      </c>
      <c r="O27" s="47">
        <f>ELECT.!S28</f>
        <v>11044</v>
      </c>
      <c r="P27" s="47">
        <f>ELECT.!W28*2</f>
        <v>23436</v>
      </c>
      <c r="Q27" s="47">
        <f>ELECT.!D28</f>
        <v>480</v>
      </c>
      <c r="R27" s="48">
        <f>BTU!C28</f>
        <v>11.34400000000096</v>
      </c>
      <c r="S27" s="48">
        <f>BTU!F28</f>
        <v>1.8319999999998799</v>
      </c>
      <c r="T27" s="48">
        <f>BTU!I28</f>
        <v>6</v>
      </c>
      <c r="U27" s="48">
        <f>BTU!O28</f>
        <v>1.1659999999997126</v>
      </c>
      <c r="V27" s="48">
        <f>BTU!L28</f>
        <v>1.7099999999991269</v>
      </c>
      <c r="W27" s="48">
        <f>BTU!R28</f>
        <v>3.75</v>
      </c>
      <c r="X27" s="45">
        <f>ELECT.!B28</f>
        <v>216</v>
      </c>
      <c r="Y27" s="45">
        <f t="shared" si="0"/>
        <v>1866</v>
      </c>
      <c r="Z27">
        <f>'Mall, Citadel, Rotana'!C28+'Mall, Citadel, Rotana'!E28+'Mall, Citadel, Rotana'!G28+'Mall, Citadel, Rotana'!I28</f>
        <v>1474</v>
      </c>
      <c r="AA27">
        <f>'Mall, Citadel, Rotana'!K28+'Mall, Citadel, Rotana'!M28</f>
        <v>480</v>
      </c>
      <c r="AB27">
        <f>'Mall, Citadel, Rotana'!O28</f>
        <v>3</v>
      </c>
      <c r="AC27">
        <f>'Mall, Citadel, Rotana'!Q28+'Mall, Citadel, Rotana'!S28</f>
        <v>734</v>
      </c>
      <c r="AD27" s="45">
        <f t="shared" si="1"/>
        <v>108.51093999999999</v>
      </c>
      <c r="AE27" s="45">
        <f t="shared" si="2"/>
        <v>714.78905999999995</v>
      </c>
    </row>
    <row r="28" spans="1:31" x14ac:dyDescent="0.2">
      <c r="A28" s="58" t="s">
        <v>53</v>
      </c>
      <c r="B28" s="63">
        <f t="shared" si="3"/>
        <v>27</v>
      </c>
      <c r="C28" s="63">
        <v>6</v>
      </c>
      <c r="D28" s="63">
        <v>2021</v>
      </c>
      <c r="E28" s="47">
        <f>Water!C29</f>
        <v>1280</v>
      </c>
      <c r="F28" s="47">
        <f>Water!E29</f>
        <v>0</v>
      </c>
      <c r="G28" s="47">
        <f>Water!G29</f>
        <v>510.3</v>
      </c>
      <c r="H28" s="47">
        <f>Water!I29</f>
        <v>3.8340000000000001</v>
      </c>
      <c r="I28" s="47">
        <f>ELECT.!F29</f>
        <v>13427</v>
      </c>
      <c r="J28" s="47">
        <f>ELECT.!H29</f>
        <v>46966</v>
      </c>
      <c r="K28" s="47">
        <f>ELECT.!K29</f>
        <v>5119</v>
      </c>
      <c r="L28" s="47">
        <f>ELECT.!M29</f>
        <v>4267</v>
      </c>
      <c r="M28" s="47">
        <f>ELECT.!O29</f>
        <v>9006</v>
      </c>
      <c r="N28" s="47">
        <f>ELECT.!Q29</f>
        <v>11794</v>
      </c>
      <c r="O28" s="47">
        <f>ELECT.!S29</f>
        <v>9275</v>
      </c>
      <c r="P28" s="47">
        <f>ELECT.!W29*2</f>
        <v>19744</v>
      </c>
      <c r="Q28" s="47">
        <f>ELECT.!D29</f>
        <v>800</v>
      </c>
      <c r="R28" s="48">
        <f>BTU!C29</f>
        <v>13.966999999996915</v>
      </c>
      <c r="S28" s="48">
        <f>BTU!F29</f>
        <v>2.6799999999998363</v>
      </c>
      <c r="T28" s="48">
        <f>BTU!I29</f>
        <v>9</v>
      </c>
      <c r="U28" s="48">
        <f>BTU!O29</f>
        <v>1.5880000000001928</v>
      </c>
      <c r="V28" s="48">
        <f>BTU!L29</f>
        <v>2.2900000000008731</v>
      </c>
      <c r="W28" s="48">
        <f>BTU!R29</f>
        <v>3.8000000000001819</v>
      </c>
      <c r="X28" s="45">
        <f>ELECT.!B29</f>
        <v>144</v>
      </c>
      <c r="Y28" s="45">
        <f t="shared" si="0"/>
        <v>1188</v>
      </c>
      <c r="Z28">
        <f>'Mall, Citadel, Rotana'!C29+'Mall, Citadel, Rotana'!E29+'Mall, Citadel, Rotana'!G29+'Mall, Citadel, Rotana'!I29</f>
        <v>2796</v>
      </c>
      <c r="AA28">
        <f>'Mall, Citadel, Rotana'!K29+'Mall, Citadel, Rotana'!M29</f>
        <v>640</v>
      </c>
      <c r="AB28">
        <f>'Mall, Citadel, Rotana'!O29</f>
        <v>3</v>
      </c>
      <c r="AC28">
        <f>'Mall, Citadel, Rotana'!Q29+'Mall, Citadel, Rotana'!S29</f>
        <v>0</v>
      </c>
      <c r="AD28" s="45">
        <f t="shared" si="1"/>
        <v>142.62947879999999</v>
      </c>
      <c r="AE28" s="45">
        <f t="shared" si="2"/>
        <v>939.53652119999992</v>
      </c>
    </row>
    <row r="29" spans="1:31" x14ac:dyDescent="0.2">
      <c r="A29" s="58" t="s">
        <v>53</v>
      </c>
      <c r="B29" s="63">
        <f t="shared" si="3"/>
        <v>28</v>
      </c>
      <c r="C29" s="63">
        <v>6</v>
      </c>
      <c r="D29" s="63">
        <v>2021</v>
      </c>
      <c r="E29" s="47">
        <f>Water!C30</f>
        <v>1450</v>
      </c>
      <c r="F29" s="47">
        <f>Water!E30</f>
        <v>0</v>
      </c>
      <c r="G29" s="47">
        <f>Water!G30</f>
        <v>537.29999999999995</v>
      </c>
      <c r="H29" s="47">
        <f>Water!I30</f>
        <v>2.6459999999999999</v>
      </c>
      <c r="I29" s="47">
        <f>ELECT.!F30</f>
        <v>14942</v>
      </c>
      <c r="J29" s="47">
        <f>ELECT.!H30</f>
        <v>52455</v>
      </c>
      <c r="K29" s="47">
        <f>ELECT.!K30</f>
        <v>5557</v>
      </c>
      <c r="L29" s="47">
        <f>ELECT.!M30</f>
        <v>4636</v>
      </c>
      <c r="M29" s="47">
        <f>ELECT.!O30</f>
        <v>10150</v>
      </c>
      <c r="N29" s="47">
        <f>ELECT.!Q30</f>
        <v>13661</v>
      </c>
      <c r="O29" s="47">
        <f>ELECT.!S30</f>
        <v>9773</v>
      </c>
      <c r="P29" s="47">
        <f>ELECT.!W30*2</f>
        <v>21576</v>
      </c>
      <c r="Q29" s="47">
        <f>ELECT.!D30</f>
        <v>800</v>
      </c>
      <c r="R29" s="48">
        <f>BTU!C30</f>
        <v>15.166000000001077</v>
      </c>
      <c r="S29" s="48">
        <f>BTU!F30</f>
        <v>3.2580000000002656</v>
      </c>
      <c r="T29" s="48">
        <f>BTU!I30</f>
        <v>9</v>
      </c>
      <c r="U29" s="48">
        <f>BTU!O30</f>
        <v>1.556999999999789</v>
      </c>
      <c r="V29" s="48">
        <f>BTU!L30</f>
        <v>2.25</v>
      </c>
      <c r="W29" s="48">
        <f>BTU!R30</f>
        <v>3.3000000000001819</v>
      </c>
      <c r="X29" s="45">
        <f>ELECT.!B30</f>
        <v>169</v>
      </c>
      <c r="Y29" s="45">
        <f t="shared" si="0"/>
        <v>2044</v>
      </c>
      <c r="Z29">
        <f>'Mall, Citadel, Rotana'!C30+'Mall, Citadel, Rotana'!E30+'Mall, Citadel, Rotana'!G30+'Mall, Citadel, Rotana'!I30</f>
        <v>-48</v>
      </c>
      <c r="AA29">
        <f>'Mall, Citadel, Rotana'!K30+'Mall, Citadel, Rotana'!M30</f>
        <v>640</v>
      </c>
      <c r="AB29">
        <f>'Mall, Citadel, Rotana'!O30</f>
        <v>3</v>
      </c>
      <c r="AC29">
        <f>'Mall, Citadel, Rotana'!Q30+'Mall, Citadel, Rotana'!S30</f>
        <v>261</v>
      </c>
      <c r="AD29" s="45">
        <f t="shared" si="1"/>
        <v>165.19205719999999</v>
      </c>
      <c r="AE29" s="45">
        <f t="shared" si="2"/>
        <v>1088.1619428000001</v>
      </c>
    </row>
    <row r="30" spans="1:31" x14ac:dyDescent="0.2">
      <c r="A30" s="58" t="s">
        <v>53</v>
      </c>
      <c r="B30" s="63">
        <f t="shared" si="3"/>
        <v>29</v>
      </c>
      <c r="C30" s="63">
        <v>6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 t="str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 t="str">
        <f>BTU!C31</f>
        <v>0</v>
      </c>
      <c r="S30" s="48" t="str">
        <f>BTU!F31</f>
        <v>0</v>
      </c>
      <c r="T30" s="48" t="str">
        <f>BTU!I31</f>
        <v>0</v>
      </c>
      <c r="U30" s="48" t="str">
        <f>BTU!O31</f>
        <v>0</v>
      </c>
      <c r="V30" s="48" t="str">
        <f>BTU!L31</f>
        <v>0</v>
      </c>
      <c r="W30" s="48" t="str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6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A7" workbookViewId="0">
      <selection activeCell="A30" sqref="A30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44347</v>
      </c>
      <c r="B2" s="42">
        <v>45328</v>
      </c>
      <c r="C2" s="16"/>
      <c r="D2" s="42">
        <v>39551</v>
      </c>
      <c r="E2" s="16">
        <v>320</v>
      </c>
      <c r="F2" s="42">
        <v>20411</v>
      </c>
      <c r="G2" s="16"/>
      <c r="H2" s="42">
        <v>242585</v>
      </c>
      <c r="I2" s="16"/>
      <c r="J2" s="42">
        <v>303517</v>
      </c>
      <c r="K2" s="16"/>
      <c r="L2" s="42">
        <v>24984</v>
      </c>
      <c r="M2" s="16"/>
      <c r="N2" s="42">
        <v>215544</v>
      </c>
      <c r="O2" s="16"/>
      <c r="P2" s="42">
        <v>106171</v>
      </c>
      <c r="Q2" s="16">
        <v>99</v>
      </c>
      <c r="R2" s="1">
        <v>55047</v>
      </c>
      <c r="S2" s="16">
        <v>0</v>
      </c>
      <c r="T2" s="42">
        <v>3652</v>
      </c>
      <c r="U2" s="16">
        <v>320</v>
      </c>
    </row>
    <row r="3" spans="1:24" ht="13.5" thickBot="1" x14ac:dyDescent="0.25">
      <c r="A3" s="10">
        <v>44348</v>
      </c>
      <c r="B3" s="42">
        <v>45334</v>
      </c>
      <c r="C3" s="16">
        <f>(B3-B2)*800/5</f>
        <v>960</v>
      </c>
      <c r="D3" s="42">
        <v>39554</v>
      </c>
      <c r="E3" s="16">
        <f>(D3-D2)*800/5</f>
        <v>480</v>
      </c>
      <c r="F3" s="42">
        <v>20414</v>
      </c>
      <c r="G3" s="16">
        <f>(F3-F2)*100/5</f>
        <v>60</v>
      </c>
      <c r="H3" s="42">
        <v>242642</v>
      </c>
      <c r="I3" s="16">
        <f>(H3-H2)</f>
        <v>57</v>
      </c>
      <c r="J3" s="42">
        <f>J2</f>
        <v>303517</v>
      </c>
      <c r="K3" s="16">
        <f>(J3-J2)*800/5</f>
        <v>0</v>
      </c>
      <c r="L3" s="42">
        <v>24988</v>
      </c>
      <c r="M3" s="16">
        <f>(L3-L2)*800/5</f>
        <v>640</v>
      </c>
      <c r="N3" s="42">
        <v>215547</v>
      </c>
      <c r="O3" s="16">
        <f>N3-N2</f>
        <v>3</v>
      </c>
      <c r="P3" s="42">
        <v>106320</v>
      </c>
      <c r="Q3" s="16">
        <f>P3-P2</f>
        <v>149</v>
      </c>
      <c r="R3" s="1">
        <f>R2</f>
        <v>55047</v>
      </c>
      <c r="S3" s="16">
        <f>R3-R2</f>
        <v>0</v>
      </c>
      <c r="T3" s="42">
        <v>3653</v>
      </c>
      <c r="U3" s="16">
        <f>(T3-T2)*800/5</f>
        <v>160</v>
      </c>
    </row>
    <row r="4" spans="1:24" ht="13.5" thickBot="1" x14ac:dyDescent="0.25">
      <c r="A4" s="10">
        <v>44349</v>
      </c>
      <c r="B4" s="42">
        <v>45339</v>
      </c>
      <c r="C4" s="16">
        <f t="shared" ref="C4:C33" si="0">(B4-B3)*800/5</f>
        <v>800</v>
      </c>
      <c r="D4" s="42">
        <v>39557</v>
      </c>
      <c r="E4" s="16">
        <f t="shared" ref="E4:E33" si="1">(D4-D3)*800/5</f>
        <v>480</v>
      </c>
      <c r="F4" s="42">
        <v>20418</v>
      </c>
      <c r="G4" s="16">
        <f t="shared" ref="G4:G33" si="2">(F4-F3)*100/5</f>
        <v>80</v>
      </c>
      <c r="H4" s="42">
        <v>242702</v>
      </c>
      <c r="I4" s="16">
        <f t="shared" ref="I4:I33" si="3">(H4-H3)</f>
        <v>60</v>
      </c>
      <c r="J4" s="42">
        <v>303517</v>
      </c>
      <c r="K4" s="16">
        <f t="shared" ref="K4:K33" si="4">(J4-J3)*800/5</f>
        <v>0</v>
      </c>
      <c r="L4" s="42">
        <v>24992</v>
      </c>
      <c r="M4" s="16">
        <f t="shared" ref="M4:M33" si="5">(L4-L3)*800/5</f>
        <v>640</v>
      </c>
      <c r="N4" s="42">
        <v>215550</v>
      </c>
      <c r="O4" s="16">
        <f t="shared" ref="O4:O33" si="6">N4-N3</f>
        <v>3</v>
      </c>
      <c r="P4" s="42">
        <v>106441</v>
      </c>
      <c r="Q4" s="16">
        <f t="shared" ref="Q4:Q33" si="7">P4-P3</f>
        <v>121</v>
      </c>
      <c r="R4" s="1">
        <v>55047</v>
      </c>
      <c r="S4" s="16">
        <f t="shared" ref="S4:S33" si="8">R4-R3</f>
        <v>0</v>
      </c>
      <c r="T4" s="42">
        <v>3654</v>
      </c>
      <c r="U4" s="16">
        <f t="shared" ref="U4:U33" si="9">(T4-T3)*800/5</f>
        <v>160</v>
      </c>
    </row>
    <row r="5" spans="1:24" ht="13.5" thickBot="1" x14ac:dyDescent="0.25">
      <c r="A5" s="10">
        <v>44350</v>
      </c>
      <c r="B5" s="42">
        <v>45344</v>
      </c>
      <c r="C5" s="16">
        <f t="shared" si="0"/>
        <v>800</v>
      </c>
      <c r="D5" s="42">
        <v>39559</v>
      </c>
      <c r="E5" s="16">
        <f t="shared" si="1"/>
        <v>320</v>
      </c>
      <c r="F5" s="42">
        <v>20421</v>
      </c>
      <c r="G5" s="16">
        <f t="shared" si="2"/>
        <v>60</v>
      </c>
      <c r="H5" s="42">
        <v>242776</v>
      </c>
      <c r="I5" s="16">
        <f t="shared" si="3"/>
        <v>74</v>
      </c>
      <c r="J5" s="42">
        <v>303517</v>
      </c>
      <c r="K5" s="16">
        <f t="shared" si="4"/>
        <v>0</v>
      </c>
      <c r="L5" s="42">
        <v>24996</v>
      </c>
      <c r="M5" s="16">
        <f t="shared" si="5"/>
        <v>640</v>
      </c>
      <c r="N5" s="42">
        <v>215552</v>
      </c>
      <c r="O5" s="16">
        <f t="shared" si="6"/>
        <v>2</v>
      </c>
      <c r="P5" s="42">
        <v>106614</v>
      </c>
      <c r="Q5" s="16">
        <f t="shared" si="7"/>
        <v>173</v>
      </c>
      <c r="R5" s="1">
        <v>55047</v>
      </c>
      <c r="S5" s="16">
        <f t="shared" si="8"/>
        <v>0</v>
      </c>
      <c r="T5" s="42">
        <v>3655</v>
      </c>
      <c r="U5" s="16">
        <f t="shared" si="9"/>
        <v>160</v>
      </c>
    </row>
    <row r="6" spans="1:24" ht="13.5" thickBot="1" x14ac:dyDescent="0.25">
      <c r="A6" s="10">
        <v>44351</v>
      </c>
      <c r="B6" s="42">
        <v>45345</v>
      </c>
      <c r="C6" s="16">
        <f t="shared" si="0"/>
        <v>160</v>
      </c>
      <c r="D6" s="42">
        <v>39562</v>
      </c>
      <c r="E6" s="16">
        <f t="shared" si="1"/>
        <v>480</v>
      </c>
      <c r="F6" s="42">
        <v>20425</v>
      </c>
      <c r="G6" s="16">
        <f t="shared" si="2"/>
        <v>80</v>
      </c>
      <c r="H6" s="42">
        <v>242858</v>
      </c>
      <c r="I6" s="16">
        <f t="shared" si="3"/>
        <v>82</v>
      </c>
      <c r="J6" s="42">
        <v>303517</v>
      </c>
      <c r="K6" s="16">
        <f t="shared" si="4"/>
        <v>0</v>
      </c>
      <c r="L6" s="42">
        <v>24998</v>
      </c>
      <c r="M6" s="16">
        <f t="shared" si="5"/>
        <v>320</v>
      </c>
      <c r="N6" s="42">
        <v>215557</v>
      </c>
      <c r="O6" s="16">
        <f t="shared" si="6"/>
        <v>5</v>
      </c>
      <c r="P6" s="42">
        <v>106760</v>
      </c>
      <c r="Q6" s="16">
        <f t="shared" si="7"/>
        <v>146</v>
      </c>
      <c r="R6" s="1">
        <v>55047</v>
      </c>
      <c r="S6" s="16">
        <f>R30-R5</f>
        <v>0</v>
      </c>
      <c r="T6" s="42">
        <v>3656</v>
      </c>
      <c r="U6" s="16">
        <f t="shared" si="9"/>
        <v>160</v>
      </c>
    </row>
    <row r="7" spans="1:24" ht="13.5" thickBot="1" x14ac:dyDescent="0.25">
      <c r="A7" s="10">
        <v>44352</v>
      </c>
      <c r="B7" s="42">
        <v>45354</v>
      </c>
      <c r="C7" s="16">
        <f t="shared" si="0"/>
        <v>1440</v>
      </c>
      <c r="D7" s="42">
        <v>39565</v>
      </c>
      <c r="E7" s="16">
        <f t="shared" si="1"/>
        <v>480</v>
      </c>
      <c r="F7" s="42">
        <v>20428</v>
      </c>
      <c r="G7" s="16">
        <f t="shared" si="2"/>
        <v>60</v>
      </c>
      <c r="H7" s="42">
        <v>242920</v>
      </c>
      <c r="I7" s="16">
        <f t="shared" si="3"/>
        <v>62</v>
      </c>
      <c r="J7" s="42">
        <v>303517</v>
      </c>
      <c r="K7" s="16">
        <f t="shared" si="4"/>
        <v>0</v>
      </c>
      <c r="L7" s="42">
        <v>25001</v>
      </c>
      <c r="M7" s="16">
        <f t="shared" si="5"/>
        <v>480</v>
      </c>
      <c r="N7" s="42">
        <v>215560</v>
      </c>
      <c r="O7" s="16">
        <f t="shared" si="6"/>
        <v>3</v>
      </c>
      <c r="P7" s="42">
        <v>106895</v>
      </c>
      <c r="Q7" s="16">
        <f t="shared" si="7"/>
        <v>135</v>
      </c>
      <c r="R7" s="1">
        <v>55047</v>
      </c>
      <c r="S7" s="16">
        <f>R7-R30</f>
        <v>0</v>
      </c>
      <c r="T7" s="42">
        <v>3657</v>
      </c>
      <c r="U7" s="16">
        <f t="shared" si="9"/>
        <v>160</v>
      </c>
    </row>
    <row r="8" spans="1:24" ht="13.5" thickBot="1" x14ac:dyDescent="0.25">
      <c r="A8" s="10">
        <v>44353</v>
      </c>
      <c r="B8" s="42">
        <v>45359</v>
      </c>
      <c r="C8" s="16">
        <f t="shared" si="0"/>
        <v>800</v>
      </c>
      <c r="D8" s="42">
        <v>39568</v>
      </c>
      <c r="E8" s="16">
        <f t="shared" si="1"/>
        <v>480</v>
      </c>
      <c r="F8" s="42">
        <v>20432</v>
      </c>
      <c r="G8" s="16">
        <f t="shared" si="2"/>
        <v>80</v>
      </c>
      <c r="H8" s="42">
        <v>242997</v>
      </c>
      <c r="I8" s="16">
        <f t="shared" si="3"/>
        <v>77</v>
      </c>
      <c r="J8" s="42">
        <v>303517</v>
      </c>
      <c r="K8" s="16">
        <f t="shared" si="4"/>
        <v>0</v>
      </c>
      <c r="L8" s="42">
        <v>25005</v>
      </c>
      <c r="M8" s="16">
        <f t="shared" si="5"/>
        <v>640</v>
      </c>
      <c r="N8" s="42">
        <v>215563</v>
      </c>
      <c r="O8" s="16">
        <f t="shared" si="6"/>
        <v>3</v>
      </c>
      <c r="P8" s="42">
        <v>106955</v>
      </c>
      <c r="Q8" s="16">
        <f t="shared" si="7"/>
        <v>60</v>
      </c>
      <c r="R8" s="1">
        <v>55047</v>
      </c>
      <c r="S8" s="16">
        <f>R8-R7</f>
        <v>0</v>
      </c>
      <c r="T8" s="42">
        <v>3658</v>
      </c>
      <c r="U8" s="16">
        <f t="shared" si="9"/>
        <v>160</v>
      </c>
    </row>
    <row r="9" spans="1:24" ht="13.5" thickBot="1" x14ac:dyDescent="0.25">
      <c r="A9" s="10">
        <v>44354</v>
      </c>
      <c r="B9" s="42">
        <v>45365</v>
      </c>
      <c r="C9" s="16">
        <f t="shared" si="0"/>
        <v>960</v>
      </c>
      <c r="D9" s="42">
        <v>39571</v>
      </c>
      <c r="E9" s="16">
        <f t="shared" si="1"/>
        <v>480</v>
      </c>
      <c r="F9" s="42">
        <v>20435</v>
      </c>
      <c r="G9" s="16">
        <f t="shared" si="2"/>
        <v>60</v>
      </c>
      <c r="H9" s="42">
        <v>243073</v>
      </c>
      <c r="I9" s="16">
        <f t="shared" si="3"/>
        <v>76</v>
      </c>
      <c r="J9" s="42">
        <v>303517</v>
      </c>
      <c r="K9" s="16">
        <f t="shared" si="4"/>
        <v>0</v>
      </c>
      <c r="L9" s="42">
        <v>25009</v>
      </c>
      <c r="M9" s="16">
        <f t="shared" si="5"/>
        <v>640</v>
      </c>
      <c r="N9" s="42">
        <v>215566</v>
      </c>
      <c r="O9" s="16">
        <f t="shared" si="6"/>
        <v>3</v>
      </c>
      <c r="P9" s="42">
        <v>107070</v>
      </c>
      <c r="Q9" s="16">
        <f>P9-P8</f>
        <v>115</v>
      </c>
      <c r="R9" s="1">
        <v>55047</v>
      </c>
      <c r="S9" s="16">
        <f>R9-R8</f>
        <v>0</v>
      </c>
      <c r="T9" s="42">
        <v>3659</v>
      </c>
      <c r="U9" s="16">
        <f t="shared" si="9"/>
        <v>160</v>
      </c>
    </row>
    <row r="10" spans="1:24" ht="13.5" thickBot="1" x14ac:dyDescent="0.25">
      <c r="A10" s="10">
        <v>44355</v>
      </c>
      <c r="B10" s="42">
        <v>45370</v>
      </c>
      <c r="C10" s="16">
        <f t="shared" si="0"/>
        <v>800</v>
      </c>
      <c r="D10" s="42">
        <v>39575</v>
      </c>
      <c r="E10" s="16">
        <f t="shared" si="1"/>
        <v>640</v>
      </c>
      <c r="F10" s="42">
        <v>20439</v>
      </c>
      <c r="G10" s="16">
        <f t="shared" si="2"/>
        <v>80</v>
      </c>
      <c r="H10" s="42">
        <v>243146</v>
      </c>
      <c r="I10" s="16">
        <f t="shared" si="3"/>
        <v>73</v>
      </c>
      <c r="J10" s="42">
        <v>303517</v>
      </c>
      <c r="K10" s="16">
        <f t="shared" si="4"/>
        <v>0</v>
      </c>
      <c r="L10" s="42">
        <v>25014</v>
      </c>
      <c r="M10" s="16">
        <f t="shared" si="5"/>
        <v>800</v>
      </c>
      <c r="N10" s="42">
        <v>215570</v>
      </c>
      <c r="O10" s="16">
        <f t="shared" si="6"/>
        <v>4</v>
      </c>
      <c r="P10" s="42">
        <v>107170</v>
      </c>
      <c r="Q10" s="16">
        <f>P10-P9</f>
        <v>100</v>
      </c>
      <c r="R10" s="1">
        <v>55047</v>
      </c>
      <c r="S10" s="16">
        <f>R10-R9</f>
        <v>0</v>
      </c>
      <c r="T10" s="42">
        <v>3660</v>
      </c>
      <c r="U10" s="16">
        <f t="shared" si="9"/>
        <v>160</v>
      </c>
    </row>
    <row r="11" spans="1:24" ht="13.5" thickBot="1" x14ac:dyDescent="0.25">
      <c r="A11" s="10">
        <v>44356</v>
      </c>
      <c r="B11" s="42">
        <v>45375</v>
      </c>
      <c r="C11" s="16">
        <f t="shared" si="0"/>
        <v>800</v>
      </c>
      <c r="D11" s="42">
        <v>39577</v>
      </c>
      <c r="E11" s="16">
        <f t="shared" si="1"/>
        <v>320</v>
      </c>
      <c r="F11" s="42">
        <v>20442</v>
      </c>
      <c r="G11" s="16">
        <f t="shared" si="2"/>
        <v>60</v>
      </c>
      <c r="H11" s="42">
        <v>243228</v>
      </c>
      <c r="I11" s="16">
        <f t="shared" si="3"/>
        <v>82</v>
      </c>
      <c r="J11" s="42">
        <v>303517</v>
      </c>
      <c r="K11" s="16">
        <f t="shared" si="4"/>
        <v>0</v>
      </c>
      <c r="L11" s="42">
        <v>25017</v>
      </c>
      <c r="M11" s="16">
        <f t="shared" si="5"/>
        <v>480</v>
      </c>
      <c r="N11" s="42">
        <v>215573</v>
      </c>
      <c r="O11" s="16">
        <f t="shared" si="6"/>
        <v>3</v>
      </c>
      <c r="P11" s="42">
        <v>107269</v>
      </c>
      <c r="Q11" s="16">
        <f t="shared" si="7"/>
        <v>99</v>
      </c>
      <c r="R11" s="1">
        <v>55047</v>
      </c>
      <c r="S11" s="16">
        <f t="shared" si="8"/>
        <v>0</v>
      </c>
      <c r="T11" s="42">
        <v>3661</v>
      </c>
      <c r="U11" s="16">
        <f t="shared" si="9"/>
        <v>160</v>
      </c>
    </row>
    <row r="12" spans="1:24" ht="13.5" thickBot="1" x14ac:dyDescent="0.25">
      <c r="A12" s="10">
        <v>44357</v>
      </c>
      <c r="B12" s="42">
        <v>45381</v>
      </c>
      <c r="C12" s="16">
        <f t="shared" si="0"/>
        <v>960</v>
      </c>
      <c r="D12" s="42">
        <v>39580</v>
      </c>
      <c r="E12" s="16">
        <f t="shared" si="1"/>
        <v>480</v>
      </c>
      <c r="F12" s="42">
        <v>20446</v>
      </c>
      <c r="G12" s="16">
        <f t="shared" si="2"/>
        <v>80</v>
      </c>
      <c r="H12" s="42">
        <v>243323</v>
      </c>
      <c r="I12" s="16">
        <f t="shared" si="3"/>
        <v>95</v>
      </c>
      <c r="J12" s="42">
        <v>303517</v>
      </c>
      <c r="K12" s="16">
        <f t="shared" si="4"/>
        <v>0</v>
      </c>
      <c r="L12" s="42">
        <v>25021</v>
      </c>
      <c r="M12" s="16">
        <f t="shared" si="5"/>
        <v>640</v>
      </c>
      <c r="N12" s="42">
        <v>215576</v>
      </c>
      <c r="O12" s="16">
        <f t="shared" si="6"/>
        <v>3</v>
      </c>
      <c r="P12" s="42">
        <v>107378</v>
      </c>
      <c r="Q12" s="16">
        <f t="shared" si="7"/>
        <v>109</v>
      </c>
      <c r="R12" s="1">
        <v>55047</v>
      </c>
      <c r="S12" s="16">
        <f t="shared" si="8"/>
        <v>0</v>
      </c>
      <c r="T12" s="42">
        <v>3662</v>
      </c>
      <c r="U12" s="16">
        <f t="shared" si="9"/>
        <v>160</v>
      </c>
    </row>
    <row r="13" spans="1:24" ht="13.5" thickBot="1" x14ac:dyDescent="0.25">
      <c r="A13" s="10">
        <v>44358</v>
      </c>
      <c r="B13" s="42">
        <v>45386</v>
      </c>
      <c r="C13" s="16">
        <f t="shared" si="0"/>
        <v>800</v>
      </c>
      <c r="D13" s="42">
        <v>39583</v>
      </c>
      <c r="E13" s="16">
        <f t="shared" si="1"/>
        <v>480</v>
      </c>
      <c r="F13" s="42">
        <v>20450</v>
      </c>
      <c r="G13" s="16">
        <f t="shared" si="2"/>
        <v>80</v>
      </c>
      <c r="H13" s="42">
        <v>243418</v>
      </c>
      <c r="I13" s="16">
        <f t="shared" si="3"/>
        <v>95</v>
      </c>
      <c r="J13" s="42">
        <v>303517</v>
      </c>
      <c r="K13" s="16">
        <f t="shared" si="4"/>
        <v>0</v>
      </c>
      <c r="L13" s="42">
        <v>25024</v>
      </c>
      <c r="M13" s="16">
        <f t="shared" si="5"/>
        <v>480</v>
      </c>
      <c r="N13" s="42">
        <v>215579</v>
      </c>
      <c r="O13" s="16">
        <f t="shared" si="6"/>
        <v>3</v>
      </c>
      <c r="P13" s="42">
        <v>107485</v>
      </c>
      <c r="Q13" s="16">
        <f t="shared" si="7"/>
        <v>107</v>
      </c>
      <c r="R13" s="1">
        <v>55047</v>
      </c>
      <c r="S13" s="16">
        <f t="shared" si="8"/>
        <v>0</v>
      </c>
      <c r="T13" s="42">
        <v>3663</v>
      </c>
      <c r="U13" s="16">
        <f t="shared" si="9"/>
        <v>160</v>
      </c>
    </row>
    <row r="14" spans="1:24" ht="13.5" thickBot="1" x14ac:dyDescent="0.25">
      <c r="A14" s="10">
        <v>44359</v>
      </c>
      <c r="B14" s="42">
        <v>45391</v>
      </c>
      <c r="C14" s="16">
        <f t="shared" si="0"/>
        <v>800</v>
      </c>
      <c r="D14" s="42">
        <v>39586</v>
      </c>
      <c r="E14" s="16">
        <f t="shared" si="1"/>
        <v>480</v>
      </c>
      <c r="F14" s="42">
        <v>20453</v>
      </c>
      <c r="G14" s="16">
        <f t="shared" si="2"/>
        <v>60</v>
      </c>
      <c r="H14" s="42">
        <v>243511</v>
      </c>
      <c r="I14" s="16">
        <f t="shared" si="3"/>
        <v>93</v>
      </c>
      <c r="J14" s="42">
        <v>303517</v>
      </c>
      <c r="K14" s="16">
        <f t="shared" si="4"/>
        <v>0</v>
      </c>
      <c r="L14" s="42">
        <v>25027</v>
      </c>
      <c r="M14" s="16">
        <f t="shared" si="5"/>
        <v>480</v>
      </c>
      <c r="N14" s="42">
        <v>215583</v>
      </c>
      <c r="O14" s="16">
        <f t="shared" si="6"/>
        <v>4</v>
      </c>
      <c r="P14" s="42">
        <v>107601</v>
      </c>
      <c r="Q14" s="16">
        <f t="shared" si="7"/>
        <v>116</v>
      </c>
      <c r="R14" s="1">
        <v>55047</v>
      </c>
      <c r="S14" s="16">
        <f t="shared" si="8"/>
        <v>0</v>
      </c>
      <c r="T14" s="42">
        <v>3664</v>
      </c>
      <c r="U14" s="16">
        <f>(T14-T13)*800/5</f>
        <v>160</v>
      </c>
    </row>
    <row r="15" spans="1:24" ht="13.5" thickBot="1" x14ac:dyDescent="0.25">
      <c r="A15" s="10">
        <v>44360</v>
      </c>
      <c r="B15" s="42">
        <v>45396</v>
      </c>
      <c r="C15" s="16">
        <f t="shared" si="0"/>
        <v>800</v>
      </c>
      <c r="D15" s="42">
        <v>39589</v>
      </c>
      <c r="E15" s="16">
        <f t="shared" si="1"/>
        <v>480</v>
      </c>
      <c r="F15" s="42">
        <v>20456</v>
      </c>
      <c r="G15" s="16">
        <f t="shared" si="2"/>
        <v>60</v>
      </c>
      <c r="H15" s="42">
        <v>243599</v>
      </c>
      <c r="I15" s="16">
        <f t="shared" si="3"/>
        <v>88</v>
      </c>
      <c r="J15" s="42">
        <v>303517</v>
      </c>
      <c r="K15" s="16">
        <f t="shared" si="4"/>
        <v>0</v>
      </c>
      <c r="L15" s="42">
        <v>25031</v>
      </c>
      <c r="M15" s="16">
        <f t="shared" si="5"/>
        <v>640</v>
      </c>
      <c r="N15" s="42">
        <v>215585</v>
      </c>
      <c r="O15" s="16">
        <f t="shared" si="6"/>
        <v>2</v>
      </c>
      <c r="P15" s="42">
        <v>107720</v>
      </c>
      <c r="Q15" s="16">
        <f t="shared" si="7"/>
        <v>119</v>
      </c>
      <c r="R15" s="1">
        <v>55047</v>
      </c>
      <c r="S15" s="16">
        <f t="shared" si="8"/>
        <v>0</v>
      </c>
      <c r="T15" s="42">
        <v>3665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44361</v>
      </c>
      <c r="B16" s="42">
        <v>45402</v>
      </c>
      <c r="C16" s="16">
        <f t="shared" si="0"/>
        <v>960</v>
      </c>
      <c r="D16" s="42">
        <v>39592</v>
      </c>
      <c r="E16" s="16">
        <f t="shared" si="1"/>
        <v>480</v>
      </c>
      <c r="F16" s="42">
        <v>20460</v>
      </c>
      <c r="G16" s="16">
        <f t="shared" si="2"/>
        <v>80</v>
      </c>
      <c r="H16" s="42">
        <v>243671</v>
      </c>
      <c r="I16" s="16">
        <f t="shared" si="3"/>
        <v>72</v>
      </c>
      <c r="J16" s="42">
        <v>303517</v>
      </c>
      <c r="K16" s="16">
        <f t="shared" si="4"/>
        <v>0</v>
      </c>
      <c r="L16" s="42">
        <v>25035</v>
      </c>
      <c r="M16" s="16">
        <f t="shared" si="5"/>
        <v>640</v>
      </c>
      <c r="N16" s="42">
        <v>215589</v>
      </c>
      <c r="O16" s="16">
        <f t="shared" si="6"/>
        <v>4</v>
      </c>
      <c r="P16" s="42">
        <v>107829</v>
      </c>
      <c r="Q16" s="16">
        <f t="shared" si="7"/>
        <v>109</v>
      </c>
      <c r="R16" s="1">
        <v>55047</v>
      </c>
      <c r="S16" s="16">
        <f t="shared" si="8"/>
        <v>0</v>
      </c>
      <c r="T16" s="42">
        <v>3667</v>
      </c>
      <c r="U16" s="16">
        <f t="shared" si="9"/>
        <v>320</v>
      </c>
      <c r="W16" t="s">
        <v>12</v>
      </c>
    </row>
    <row r="17" spans="1:23" ht="13.5" thickBot="1" x14ac:dyDescent="0.25">
      <c r="A17" s="10">
        <v>44362</v>
      </c>
      <c r="B17" s="42">
        <v>45407</v>
      </c>
      <c r="C17" s="16">
        <f t="shared" si="0"/>
        <v>800</v>
      </c>
      <c r="D17" s="42">
        <v>39595</v>
      </c>
      <c r="E17" s="16">
        <f t="shared" si="1"/>
        <v>480</v>
      </c>
      <c r="F17" s="42">
        <v>20464</v>
      </c>
      <c r="G17" s="16">
        <f t="shared" si="2"/>
        <v>80</v>
      </c>
      <c r="H17" s="42">
        <v>243729</v>
      </c>
      <c r="I17" s="16">
        <f t="shared" si="3"/>
        <v>58</v>
      </c>
      <c r="J17" s="42">
        <v>303517</v>
      </c>
      <c r="K17" s="16">
        <f t="shared" si="4"/>
        <v>0</v>
      </c>
      <c r="L17" s="42">
        <v>25039</v>
      </c>
      <c r="M17" s="16">
        <f t="shared" si="5"/>
        <v>640</v>
      </c>
      <c r="N17" s="42">
        <v>215592</v>
      </c>
      <c r="O17" s="16">
        <f t="shared" si="6"/>
        <v>3</v>
      </c>
      <c r="P17" s="42">
        <v>107954</v>
      </c>
      <c r="Q17" s="16">
        <f t="shared" si="7"/>
        <v>125</v>
      </c>
      <c r="R17" s="1">
        <v>55047</v>
      </c>
      <c r="S17" s="16">
        <f>S16</f>
        <v>0</v>
      </c>
      <c r="T17" s="42">
        <v>3668</v>
      </c>
      <c r="U17" s="16">
        <f t="shared" si="9"/>
        <v>160</v>
      </c>
    </row>
    <row r="18" spans="1:23" ht="13.5" thickBot="1" x14ac:dyDescent="0.25">
      <c r="A18" s="10">
        <v>44363</v>
      </c>
      <c r="B18" s="42">
        <v>45412</v>
      </c>
      <c r="C18" s="16">
        <f t="shared" si="0"/>
        <v>800</v>
      </c>
      <c r="D18" s="42">
        <v>39598</v>
      </c>
      <c r="E18" s="16">
        <f t="shared" si="1"/>
        <v>480</v>
      </c>
      <c r="F18" s="42">
        <v>20467</v>
      </c>
      <c r="G18" s="16">
        <f t="shared" si="2"/>
        <v>60</v>
      </c>
      <c r="H18" s="42">
        <v>243769</v>
      </c>
      <c r="I18" s="16">
        <f t="shared" si="3"/>
        <v>40</v>
      </c>
      <c r="J18" s="42">
        <v>303517</v>
      </c>
      <c r="K18" s="16">
        <f t="shared" si="4"/>
        <v>0</v>
      </c>
      <c r="L18" s="42">
        <v>25044</v>
      </c>
      <c r="M18" s="16">
        <f t="shared" si="5"/>
        <v>800</v>
      </c>
      <c r="N18" s="42">
        <v>215595</v>
      </c>
      <c r="O18" s="16">
        <f t="shared" si="6"/>
        <v>3</v>
      </c>
      <c r="P18" s="42">
        <v>108101</v>
      </c>
      <c r="Q18" s="16">
        <f t="shared" si="7"/>
        <v>147</v>
      </c>
      <c r="R18" s="1">
        <v>55047</v>
      </c>
      <c r="S18" s="16">
        <f t="shared" si="8"/>
        <v>0</v>
      </c>
      <c r="T18" s="42">
        <v>3669</v>
      </c>
      <c r="U18" s="16">
        <f t="shared" si="9"/>
        <v>160</v>
      </c>
    </row>
    <row r="19" spans="1:23" ht="13.5" thickBot="1" x14ac:dyDescent="0.25">
      <c r="A19" s="10">
        <v>44364</v>
      </c>
      <c r="B19" s="42">
        <v>45417</v>
      </c>
      <c r="C19" s="16">
        <f t="shared" si="0"/>
        <v>800</v>
      </c>
      <c r="D19" s="42">
        <v>39601</v>
      </c>
      <c r="E19" s="16">
        <f t="shared" si="1"/>
        <v>480</v>
      </c>
      <c r="F19" s="42">
        <v>20471</v>
      </c>
      <c r="G19" s="16">
        <f t="shared" si="2"/>
        <v>80</v>
      </c>
      <c r="H19" s="42">
        <v>243821</v>
      </c>
      <c r="I19" s="16">
        <f t="shared" si="3"/>
        <v>52</v>
      </c>
      <c r="J19" s="42">
        <v>303517</v>
      </c>
      <c r="K19" s="16">
        <f t="shared" si="4"/>
        <v>0</v>
      </c>
      <c r="L19" s="42">
        <v>25048</v>
      </c>
      <c r="M19" s="16">
        <f t="shared" si="5"/>
        <v>640</v>
      </c>
      <c r="N19" s="42">
        <v>215598</v>
      </c>
      <c r="O19" s="16">
        <f t="shared" si="6"/>
        <v>3</v>
      </c>
      <c r="P19" s="42">
        <v>108221</v>
      </c>
      <c r="Q19" s="16">
        <f t="shared" si="7"/>
        <v>120</v>
      </c>
      <c r="R19" s="1">
        <v>55047</v>
      </c>
      <c r="S19" s="16">
        <f t="shared" si="8"/>
        <v>0</v>
      </c>
      <c r="T19" s="42">
        <v>3670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44365</v>
      </c>
      <c r="B20" s="42">
        <v>45422</v>
      </c>
      <c r="C20" s="16">
        <f t="shared" si="0"/>
        <v>800</v>
      </c>
      <c r="D20" s="42">
        <v>39604</v>
      </c>
      <c r="E20" s="16">
        <f t="shared" si="1"/>
        <v>480</v>
      </c>
      <c r="F20" s="42">
        <v>20474</v>
      </c>
      <c r="G20" s="16">
        <f t="shared" si="2"/>
        <v>60</v>
      </c>
      <c r="H20" s="42">
        <v>243873</v>
      </c>
      <c r="I20" s="16">
        <f t="shared" si="3"/>
        <v>52</v>
      </c>
      <c r="J20" s="42">
        <v>303517</v>
      </c>
      <c r="K20" s="16">
        <v>0</v>
      </c>
      <c r="L20" s="42">
        <v>25051</v>
      </c>
      <c r="M20" s="16">
        <f t="shared" si="5"/>
        <v>480</v>
      </c>
      <c r="N20" s="42">
        <v>215602</v>
      </c>
      <c r="O20" s="16">
        <f t="shared" si="6"/>
        <v>4</v>
      </c>
      <c r="P20" s="42">
        <v>108350</v>
      </c>
      <c r="Q20" s="16">
        <f t="shared" si="7"/>
        <v>129</v>
      </c>
      <c r="R20" s="1">
        <v>55047</v>
      </c>
      <c r="S20" s="16">
        <f t="shared" si="8"/>
        <v>0</v>
      </c>
      <c r="T20" s="42">
        <v>3671</v>
      </c>
      <c r="U20" s="16">
        <f t="shared" si="9"/>
        <v>160</v>
      </c>
    </row>
    <row r="21" spans="1:23" ht="13.5" thickBot="1" x14ac:dyDescent="0.25">
      <c r="A21" s="10">
        <v>44366</v>
      </c>
      <c r="B21" s="42">
        <v>45427</v>
      </c>
      <c r="C21" s="16">
        <f t="shared" si="0"/>
        <v>800</v>
      </c>
      <c r="D21" s="42">
        <v>39607</v>
      </c>
      <c r="E21" s="16">
        <f t="shared" si="1"/>
        <v>480</v>
      </c>
      <c r="F21" s="42">
        <v>20477</v>
      </c>
      <c r="G21" s="16">
        <f t="shared" si="2"/>
        <v>60</v>
      </c>
      <c r="H21" s="42">
        <v>243925</v>
      </c>
      <c r="I21" s="16">
        <f t="shared" si="3"/>
        <v>52</v>
      </c>
      <c r="J21" s="42">
        <v>303517</v>
      </c>
      <c r="K21" s="16">
        <f t="shared" si="4"/>
        <v>0</v>
      </c>
      <c r="L21" s="42">
        <v>25054</v>
      </c>
      <c r="M21" s="16">
        <f t="shared" si="5"/>
        <v>480</v>
      </c>
      <c r="N21" s="42">
        <v>215604</v>
      </c>
      <c r="O21" s="16">
        <f t="shared" si="6"/>
        <v>2</v>
      </c>
      <c r="P21" s="42">
        <v>108469</v>
      </c>
      <c r="Q21" s="16">
        <f t="shared" si="7"/>
        <v>119</v>
      </c>
      <c r="R21" s="1">
        <v>55047</v>
      </c>
      <c r="S21" s="16">
        <f t="shared" si="8"/>
        <v>0</v>
      </c>
      <c r="T21" s="42">
        <v>3672</v>
      </c>
      <c r="U21" s="16">
        <f t="shared" si="9"/>
        <v>160</v>
      </c>
    </row>
    <row r="22" spans="1:23" ht="13.5" thickBot="1" x14ac:dyDescent="0.25">
      <c r="A22" s="10">
        <v>44367</v>
      </c>
      <c r="B22" s="42">
        <v>45432</v>
      </c>
      <c r="C22" s="16">
        <f t="shared" si="0"/>
        <v>800</v>
      </c>
      <c r="D22" s="42">
        <v>39610</v>
      </c>
      <c r="E22" s="16">
        <f t="shared" si="1"/>
        <v>480</v>
      </c>
      <c r="F22" s="42">
        <v>20481</v>
      </c>
      <c r="G22" s="16">
        <f t="shared" si="2"/>
        <v>80</v>
      </c>
      <c r="H22" s="42">
        <v>243975</v>
      </c>
      <c r="I22" s="16">
        <f t="shared" si="3"/>
        <v>50</v>
      </c>
      <c r="J22" s="42">
        <v>303517</v>
      </c>
      <c r="K22" s="16">
        <f t="shared" si="4"/>
        <v>0</v>
      </c>
      <c r="L22" s="42">
        <v>25058</v>
      </c>
      <c r="M22" s="16">
        <f t="shared" si="5"/>
        <v>640</v>
      </c>
      <c r="N22" s="42">
        <v>215608</v>
      </c>
      <c r="O22" s="16">
        <f t="shared" si="6"/>
        <v>4</v>
      </c>
      <c r="P22" s="42">
        <v>108906</v>
      </c>
      <c r="Q22" s="16">
        <f>P22-P21</f>
        <v>437</v>
      </c>
      <c r="R22" s="1">
        <v>55047</v>
      </c>
      <c r="S22" s="16">
        <f t="shared" si="8"/>
        <v>0</v>
      </c>
      <c r="T22" s="42">
        <v>3673</v>
      </c>
      <c r="U22" s="16">
        <f t="shared" si="9"/>
        <v>160</v>
      </c>
    </row>
    <row r="23" spans="1:23" ht="13.5" thickBot="1" x14ac:dyDescent="0.25">
      <c r="A23" s="10">
        <v>44368</v>
      </c>
      <c r="B23" s="42">
        <v>45437</v>
      </c>
      <c r="C23" s="16">
        <f t="shared" si="0"/>
        <v>800</v>
      </c>
      <c r="D23" s="42">
        <v>39613</v>
      </c>
      <c r="E23" s="16">
        <f t="shared" si="1"/>
        <v>480</v>
      </c>
      <c r="F23" s="42">
        <v>20484</v>
      </c>
      <c r="G23" s="16">
        <f t="shared" si="2"/>
        <v>60</v>
      </c>
      <c r="H23" s="42">
        <v>244021</v>
      </c>
      <c r="I23" s="16">
        <f t="shared" si="3"/>
        <v>46</v>
      </c>
      <c r="J23" s="42">
        <v>303517</v>
      </c>
      <c r="K23" s="16">
        <f t="shared" si="4"/>
        <v>0</v>
      </c>
      <c r="L23" s="42">
        <v>25063</v>
      </c>
      <c r="M23" s="16">
        <f t="shared" si="5"/>
        <v>800</v>
      </c>
      <c r="N23" s="42">
        <v>215612</v>
      </c>
      <c r="O23" s="16">
        <f t="shared" si="6"/>
        <v>4</v>
      </c>
      <c r="P23" s="42">
        <v>109052</v>
      </c>
      <c r="Q23" s="16">
        <f t="shared" si="7"/>
        <v>146</v>
      </c>
      <c r="R23" s="1">
        <v>55047</v>
      </c>
      <c r="S23" s="16">
        <f t="shared" si="8"/>
        <v>0</v>
      </c>
      <c r="T23" s="42">
        <v>3674</v>
      </c>
      <c r="U23" s="16">
        <f t="shared" si="9"/>
        <v>160</v>
      </c>
    </row>
    <row r="24" spans="1:23" s="153" customFormat="1" ht="13.5" thickBot="1" x14ac:dyDescent="0.25">
      <c r="A24" s="10">
        <v>44369</v>
      </c>
      <c r="B24" s="42">
        <v>45442</v>
      </c>
      <c r="C24" s="16">
        <f t="shared" si="0"/>
        <v>800</v>
      </c>
      <c r="D24" s="42">
        <v>39616</v>
      </c>
      <c r="E24" s="16">
        <f t="shared" si="1"/>
        <v>480</v>
      </c>
      <c r="F24" s="42">
        <v>20488</v>
      </c>
      <c r="G24" s="16">
        <f t="shared" si="2"/>
        <v>80</v>
      </c>
      <c r="H24" s="42">
        <v>244084</v>
      </c>
      <c r="I24" s="16">
        <f t="shared" si="3"/>
        <v>63</v>
      </c>
      <c r="J24" s="42">
        <v>303517</v>
      </c>
      <c r="K24" s="16">
        <f t="shared" si="4"/>
        <v>0</v>
      </c>
      <c r="L24" s="42">
        <v>25067</v>
      </c>
      <c r="M24" s="16">
        <f t="shared" si="5"/>
        <v>640</v>
      </c>
      <c r="N24" s="42">
        <v>215615</v>
      </c>
      <c r="O24" s="16">
        <f t="shared" si="6"/>
        <v>3</v>
      </c>
      <c r="P24" s="42">
        <f t="shared" ref="P24:P33" si="10">P23</f>
        <v>109052</v>
      </c>
      <c r="Q24" s="16">
        <f t="shared" si="7"/>
        <v>0</v>
      </c>
      <c r="R24" s="1">
        <v>55047</v>
      </c>
      <c r="S24" s="16">
        <f t="shared" si="8"/>
        <v>0</v>
      </c>
      <c r="T24" s="42">
        <v>3676</v>
      </c>
      <c r="U24" s="16">
        <f t="shared" si="9"/>
        <v>320</v>
      </c>
    </row>
    <row r="25" spans="1:23" ht="13.5" thickBot="1" x14ac:dyDescent="0.25">
      <c r="A25" s="10">
        <v>44370</v>
      </c>
      <c r="B25" s="42">
        <v>45444</v>
      </c>
      <c r="C25" s="16">
        <f t="shared" si="0"/>
        <v>320</v>
      </c>
      <c r="D25" s="42">
        <v>39618</v>
      </c>
      <c r="E25" s="16">
        <f t="shared" si="1"/>
        <v>320</v>
      </c>
      <c r="F25" s="42">
        <v>20492</v>
      </c>
      <c r="G25" s="16">
        <f t="shared" si="2"/>
        <v>80</v>
      </c>
      <c r="H25" s="42">
        <v>244140</v>
      </c>
      <c r="I25" s="16">
        <f t="shared" si="3"/>
        <v>56</v>
      </c>
      <c r="J25" s="42">
        <v>303517</v>
      </c>
      <c r="K25" s="16">
        <f t="shared" si="4"/>
        <v>0</v>
      </c>
      <c r="L25" s="42">
        <v>25071</v>
      </c>
      <c r="M25" s="16">
        <f t="shared" si="5"/>
        <v>640</v>
      </c>
      <c r="N25" s="42">
        <v>215618</v>
      </c>
      <c r="O25" s="16">
        <f t="shared" si="6"/>
        <v>3</v>
      </c>
      <c r="P25" s="42">
        <f t="shared" si="10"/>
        <v>109052</v>
      </c>
      <c r="Q25" s="16">
        <f t="shared" si="7"/>
        <v>0</v>
      </c>
      <c r="R25" s="1">
        <v>55047</v>
      </c>
      <c r="S25" s="16">
        <f t="shared" si="8"/>
        <v>0</v>
      </c>
      <c r="T25" s="42">
        <v>3677</v>
      </c>
      <c r="U25" s="16">
        <f t="shared" si="9"/>
        <v>160</v>
      </c>
      <c r="V25" t="s">
        <v>12</v>
      </c>
    </row>
    <row r="26" spans="1:23" ht="12.75" customHeight="1" thickBot="1" x14ac:dyDescent="0.25">
      <c r="A26" s="10">
        <v>44371</v>
      </c>
      <c r="B26" s="42">
        <v>45453</v>
      </c>
      <c r="C26" s="16">
        <f t="shared" si="0"/>
        <v>1440</v>
      </c>
      <c r="D26" s="42">
        <v>39621</v>
      </c>
      <c r="E26" s="16">
        <f t="shared" si="1"/>
        <v>480</v>
      </c>
      <c r="F26" s="42">
        <v>20495</v>
      </c>
      <c r="G26" s="16">
        <f t="shared" si="2"/>
        <v>60</v>
      </c>
      <c r="H26" s="42">
        <v>244199</v>
      </c>
      <c r="I26" s="16">
        <f t="shared" si="3"/>
        <v>59</v>
      </c>
      <c r="J26" s="42">
        <v>303517</v>
      </c>
      <c r="K26" s="16">
        <f t="shared" si="4"/>
        <v>0</v>
      </c>
      <c r="L26" s="42">
        <v>25075</v>
      </c>
      <c r="M26" s="16">
        <f t="shared" si="5"/>
        <v>640</v>
      </c>
      <c r="N26" s="42">
        <v>215621</v>
      </c>
      <c r="O26" s="16">
        <f t="shared" si="6"/>
        <v>3</v>
      </c>
      <c r="P26" s="42">
        <f t="shared" si="10"/>
        <v>109052</v>
      </c>
      <c r="Q26" s="16">
        <f t="shared" si="7"/>
        <v>0</v>
      </c>
      <c r="R26" s="1">
        <v>55047</v>
      </c>
      <c r="S26" s="16">
        <f t="shared" si="8"/>
        <v>0</v>
      </c>
      <c r="T26" s="42">
        <v>3678</v>
      </c>
      <c r="U26" s="16">
        <f t="shared" si="9"/>
        <v>160</v>
      </c>
      <c r="W26" t="s">
        <v>12</v>
      </c>
    </row>
    <row r="27" spans="1:23" ht="13.5" thickBot="1" x14ac:dyDescent="0.25">
      <c r="A27" s="10">
        <v>44372</v>
      </c>
      <c r="B27" s="42">
        <v>45458</v>
      </c>
      <c r="C27" s="16">
        <f t="shared" si="0"/>
        <v>800</v>
      </c>
      <c r="D27" s="42">
        <v>39624</v>
      </c>
      <c r="E27" s="16">
        <f t="shared" si="1"/>
        <v>480</v>
      </c>
      <c r="F27" s="42">
        <v>20500</v>
      </c>
      <c r="G27" s="16">
        <f t="shared" si="2"/>
        <v>100</v>
      </c>
      <c r="H27" s="42">
        <v>244275</v>
      </c>
      <c r="I27" s="16">
        <f t="shared" si="3"/>
        <v>76</v>
      </c>
      <c r="J27" s="42">
        <v>303517</v>
      </c>
      <c r="K27" s="16">
        <f t="shared" si="4"/>
        <v>0</v>
      </c>
      <c r="L27" s="42">
        <v>25078</v>
      </c>
      <c r="M27" s="16">
        <f t="shared" si="5"/>
        <v>480</v>
      </c>
      <c r="N27" s="42">
        <v>215624</v>
      </c>
      <c r="O27" s="16">
        <f t="shared" si="6"/>
        <v>3</v>
      </c>
      <c r="P27" s="42">
        <f t="shared" si="10"/>
        <v>109052</v>
      </c>
      <c r="Q27" s="16">
        <f t="shared" si="7"/>
        <v>0</v>
      </c>
      <c r="R27" s="1">
        <v>55047</v>
      </c>
      <c r="S27" s="16">
        <f t="shared" si="8"/>
        <v>0</v>
      </c>
      <c r="T27" s="42">
        <v>3679</v>
      </c>
      <c r="U27" s="16">
        <f t="shared" si="9"/>
        <v>160</v>
      </c>
    </row>
    <row r="28" spans="1:23" ht="13.5" thickBot="1" x14ac:dyDescent="0.25">
      <c r="A28" s="10">
        <v>44373</v>
      </c>
      <c r="B28" s="42">
        <v>45463</v>
      </c>
      <c r="C28" s="16">
        <f t="shared" si="0"/>
        <v>800</v>
      </c>
      <c r="D28" s="42">
        <v>39627</v>
      </c>
      <c r="E28" s="16">
        <f t="shared" si="1"/>
        <v>480</v>
      </c>
      <c r="F28" s="42">
        <v>20507</v>
      </c>
      <c r="G28" s="16">
        <f t="shared" si="2"/>
        <v>140</v>
      </c>
      <c r="H28" s="42">
        <v>244329</v>
      </c>
      <c r="I28" s="16">
        <f t="shared" si="3"/>
        <v>54</v>
      </c>
      <c r="J28" s="42">
        <v>303517</v>
      </c>
      <c r="K28" s="16">
        <f t="shared" si="4"/>
        <v>0</v>
      </c>
      <c r="L28" s="42">
        <v>25081</v>
      </c>
      <c r="M28" s="16">
        <f t="shared" si="5"/>
        <v>480</v>
      </c>
      <c r="N28" s="42">
        <v>215627</v>
      </c>
      <c r="O28" s="16">
        <f t="shared" si="6"/>
        <v>3</v>
      </c>
      <c r="P28" s="42">
        <v>109786</v>
      </c>
      <c r="Q28" s="17">
        <f t="shared" si="7"/>
        <v>734</v>
      </c>
      <c r="R28" s="1">
        <v>55047</v>
      </c>
      <c r="S28" s="17">
        <f t="shared" si="8"/>
        <v>0</v>
      </c>
      <c r="T28" s="42">
        <v>3680</v>
      </c>
      <c r="U28" s="16">
        <f t="shared" si="9"/>
        <v>160</v>
      </c>
    </row>
    <row r="29" spans="1:23" ht="13.5" thickBot="1" x14ac:dyDescent="0.25">
      <c r="A29" s="10">
        <v>44374</v>
      </c>
      <c r="B29" s="42">
        <v>45468</v>
      </c>
      <c r="C29" s="16">
        <f t="shared" si="0"/>
        <v>800</v>
      </c>
      <c r="D29" s="42">
        <v>39639</v>
      </c>
      <c r="E29" s="16">
        <f t="shared" si="1"/>
        <v>1920</v>
      </c>
      <c r="F29" s="42">
        <v>20507</v>
      </c>
      <c r="G29" s="16">
        <f t="shared" si="2"/>
        <v>0</v>
      </c>
      <c r="H29" s="42">
        <v>244405</v>
      </c>
      <c r="I29" s="16">
        <f t="shared" si="3"/>
        <v>76</v>
      </c>
      <c r="J29" s="42">
        <v>303517</v>
      </c>
      <c r="K29" s="16">
        <f t="shared" si="4"/>
        <v>0</v>
      </c>
      <c r="L29" s="42">
        <v>25085</v>
      </c>
      <c r="M29" s="16">
        <f t="shared" si="5"/>
        <v>640</v>
      </c>
      <c r="N29" s="42">
        <v>215630</v>
      </c>
      <c r="O29" s="16">
        <f t="shared" si="6"/>
        <v>3</v>
      </c>
      <c r="P29" s="42">
        <v>109786</v>
      </c>
      <c r="Q29" s="16">
        <f t="shared" si="7"/>
        <v>0</v>
      </c>
      <c r="R29" s="1">
        <v>55047</v>
      </c>
      <c r="S29" s="16">
        <f t="shared" si="8"/>
        <v>0</v>
      </c>
      <c r="T29" s="42">
        <v>3681</v>
      </c>
      <c r="U29" s="16">
        <f t="shared" si="9"/>
        <v>160</v>
      </c>
    </row>
    <row r="30" spans="1:23" ht="13.5" thickBot="1" x14ac:dyDescent="0.25">
      <c r="A30" s="10">
        <v>44375</v>
      </c>
      <c r="B30" s="42">
        <v>45474</v>
      </c>
      <c r="C30" s="16">
        <f t="shared" si="0"/>
        <v>960</v>
      </c>
      <c r="D30" s="42">
        <v>39632</v>
      </c>
      <c r="E30" s="16">
        <f t="shared" si="1"/>
        <v>-1120</v>
      </c>
      <c r="F30" s="42">
        <v>20510</v>
      </c>
      <c r="G30" s="16">
        <f t="shared" si="2"/>
        <v>60</v>
      </c>
      <c r="H30" s="42">
        <v>244457</v>
      </c>
      <c r="I30" s="16">
        <f t="shared" si="3"/>
        <v>52</v>
      </c>
      <c r="J30" s="42">
        <v>303517</v>
      </c>
      <c r="K30" s="16">
        <f t="shared" si="4"/>
        <v>0</v>
      </c>
      <c r="L30" s="42">
        <v>25089</v>
      </c>
      <c r="M30" s="16">
        <f t="shared" si="5"/>
        <v>640</v>
      </c>
      <c r="N30" s="42">
        <v>215633</v>
      </c>
      <c r="O30" s="16">
        <f t="shared" si="6"/>
        <v>3</v>
      </c>
      <c r="P30" s="42">
        <v>110047</v>
      </c>
      <c r="Q30" s="16">
        <f t="shared" si="7"/>
        <v>261</v>
      </c>
      <c r="R30" s="1">
        <v>55047</v>
      </c>
      <c r="S30" s="16">
        <f t="shared" si="8"/>
        <v>0</v>
      </c>
      <c r="T30" s="42">
        <v>3682</v>
      </c>
      <c r="U30" s="16">
        <f t="shared" si="9"/>
        <v>160</v>
      </c>
    </row>
    <row r="31" spans="1:23" ht="13.5" thickBot="1" x14ac:dyDescent="0.25">
      <c r="A31" s="10">
        <v>44376</v>
      </c>
      <c r="B31" s="42">
        <f t="shared" ref="B30:B33" si="11">B30</f>
        <v>45474</v>
      </c>
      <c r="C31" s="16">
        <f t="shared" si="0"/>
        <v>0</v>
      </c>
      <c r="D31" s="42">
        <f t="shared" ref="D30:D33" si="12">D30</f>
        <v>39632</v>
      </c>
      <c r="E31" s="16">
        <f t="shared" si="1"/>
        <v>0</v>
      </c>
      <c r="F31" s="42">
        <f t="shared" ref="F30:F33" si="13">F30</f>
        <v>20510</v>
      </c>
      <c r="G31" s="16">
        <f t="shared" si="2"/>
        <v>0</v>
      </c>
      <c r="H31" s="42">
        <f t="shared" ref="H30:H33" si="14">H30</f>
        <v>244457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ref="L30:L33" si="15">L30</f>
        <v>25089</v>
      </c>
      <c r="M31" s="16">
        <f t="shared" si="5"/>
        <v>0</v>
      </c>
      <c r="N31" s="42">
        <f t="shared" ref="N30:N33" si="16">N30</f>
        <v>215633</v>
      </c>
      <c r="O31" s="16">
        <f t="shared" si="6"/>
        <v>0</v>
      </c>
      <c r="P31" s="42">
        <f t="shared" si="10"/>
        <v>110047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ref="T30:T33" si="17">T30</f>
        <v>3682</v>
      </c>
      <c r="U31" s="16">
        <f t="shared" si="9"/>
        <v>0</v>
      </c>
    </row>
    <row r="32" spans="1:23" ht="15" customHeight="1" thickBot="1" x14ac:dyDescent="0.25">
      <c r="A32" s="10">
        <v>44377</v>
      </c>
      <c r="B32" s="42">
        <f t="shared" si="11"/>
        <v>45474</v>
      </c>
      <c r="C32" s="16">
        <f t="shared" si="0"/>
        <v>0</v>
      </c>
      <c r="D32" s="42">
        <f t="shared" si="12"/>
        <v>39632</v>
      </c>
      <c r="E32" s="16">
        <f t="shared" si="1"/>
        <v>0</v>
      </c>
      <c r="F32" s="42">
        <f t="shared" si="13"/>
        <v>20510</v>
      </c>
      <c r="G32" s="16">
        <f t="shared" si="2"/>
        <v>0</v>
      </c>
      <c r="H32" s="42">
        <f t="shared" si="14"/>
        <v>244457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5"/>
        <v>25089</v>
      </c>
      <c r="M32" s="16">
        <f t="shared" si="5"/>
        <v>0</v>
      </c>
      <c r="N32" s="42">
        <f t="shared" si="16"/>
        <v>215633</v>
      </c>
      <c r="O32" s="16">
        <f t="shared" si="6"/>
        <v>0</v>
      </c>
      <c r="P32" s="42">
        <f t="shared" si="10"/>
        <v>110047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3682</v>
      </c>
      <c r="U32" s="16">
        <f t="shared" si="9"/>
        <v>0</v>
      </c>
      <c r="V32" t="s">
        <v>12</v>
      </c>
    </row>
    <row r="33" spans="1:21" ht="13.5" thickBot="1" x14ac:dyDescent="0.25">
      <c r="A33" s="10">
        <v>44377</v>
      </c>
      <c r="B33" s="42">
        <f t="shared" si="11"/>
        <v>45474</v>
      </c>
      <c r="C33" s="16">
        <f t="shared" si="0"/>
        <v>0</v>
      </c>
      <c r="D33" s="42">
        <f t="shared" si="12"/>
        <v>39632</v>
      </c>
      <c r="E33" s="16">
        <f t="shared" si="1"/>
        <v>0</v>
      </c>
      <c r="F33" s="42">
        <f t="shared" si="13"/>
        <v>20510</v>
      </c>
      <c r="G33" s="16">
        <f t="shared" si="2"/>
        <v>0</v>
      </c>
      <c r="H33" s="42">
        <f t="shared" si="14"/>
        <v>244457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5"/>
        <v>25089</v>
      </c>
      <c r="M33" s="16">
        <f t="shared" si="5"/>
        <v>0</v>
      </c>
      <c r="N33" s="42">
        <f t="shared" si="16"/>
        <v>215633</v>
      </c>
      <c r="O33" s="16">
        <f t="shared" si="6"/>
        <v>0</v>
      </c>
      <c r="P33" s="42">
        <f t="shared" si="10"/>
        <v>110047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3682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23360</v>
      </c>
      <c r="D34" s="13"/>
      <c r="E34" s="11">
        <f>SUM(E3:E33)</f>
        <v>12960</v>
      </c>
      <c r="F34" s="13"/>
      <c r="G34" s="11">
        <f>SUM(G3:G33)</f>
        <v>1980</v>
      </c>
      <c r="H34" s="13"/>
      <c r="I34" s="11">
        <f>SUM(I3:I33)</f>
        <v>1872</v>
      </c>
      <c r="J34" s="13"/>
      <c r="K34" s="11">
        <f>SUM(K3:K33)</f>
        <v>0</v>
      </c>
      <c r="L34" s="13"/>
      <c r="M34" s="11">
        <f>SUM(M3:M33)</f>
        <v>16800</v>
      </c>
      <c r="N34" s="43"/>
      <c r="O34" s="11">
        <f>SUM(O3:O33)</f>
        <v>89</v>
      </c>
      <c r="P34" s="13"/>
      <c r="Q34" s="11">
        <f>SUM(Q3:Q33)</f>
        <v>3876</v>
      </c>
      <c r="R34" s="1"/>
      <c r="S34" s="11">
        <f>SUM(S3:S33)</f>
        <v>0</v>
      </c>
      <c r="T34" s="1"/>
      <c r="U34" s="11">
        <f>SUM(U3:U33)</f>
        <v>4800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opLeftCell="A16" zoomScale="110" zoomScaleNormal="110" workbookViewId="0">
      <selection activeCell="J30" sqref="J30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44347</v>
      </c>
      <c r="B2" s="3">
        <v>412240</v>
      </c>
      <c r="C2" s="49"/>
      <c r="D2" s="3">
        <v>4377900</v>
      </c>
      <c r="E2" s="49">
        <v>0</v>
      </c>
      <c r="F2" s="3">
        <v>3251800</v>
      </c>
      <c r="G2" s="49"/>
      <c r="H2" s="3">
        <v>734422</v>
      </c>
      <c r="I2" s="54"/>
      <c r="J2" s="23"/>
      <c r="K2" s="24"/>
    </row>
    <row r="3" spans="1:14" ht="16.5" thickBot="1" x14ac:dyDescent="0.3">
      <c r="A3" s="10">
        <v>44348</v>
      </c>
      <c r="B3" s="3">
        <v>412383</v>
      </c>
      <c r="C3" s="49">
        <f t="shared" ref="C3" si="0">(IF((B3-B2)&lt;0,"0",(B3-B2)))*10</f>
        <v>1430</v>
      </c>
      <c r="D3" s="3">
        <v>4377900</v>
      </c>
      <c r="E3" s="49">
        <f>(IF((D3-D2)&lt;0,"0",(D3-D2)))*0.027</f>
        <v>0</v>
      </c>
      <c r="F3" s="3">
        <v>3264300</v>
      </c>
      <c r="G3" s="49">
        <f>(IF((F3-F2)&lt;0,"0",(F3-F2)))*0.027</f>
        <v>337.5</v>
      </c>
      <c r="H3" s="3">
        <v>734541</v>
      </c>
      <c r="I3" s="54">
        <f>(IF((H3-H2)&lt;0,"0",(H3-H2)))*0.027</f>
        <v>3.2130000000000001</v>
      </c>
      <c r="J3" s="23">
        <f t="shared" ref="J3" si="1">C3+E3+G3+I3</f>
        <v>1770.713</v>
      </c>
      <c r="K3" s="24">
        <f t="shared" ref="K3" si="2">J3*5.86</f>
        <v>10376.37818</v>
      </c>
    </row>
    <row r="4" spans="1:14" ht="16.5" thickBot="1" x14ac:dyDescent="0.3">
      <c r="A4" s="10">
        <v>44349</v>
      </c>
      <c r="B4" s="3">
        <v>412493</v>
      </c>
      <c r="C4" s="49">
        <f t="shared" ref="C4:C8" si="3">(IF((B4-B3)&lt;0,"0",(B4-B3)))*10</f>
        <v>1100</v>
      </c>
      <c r="D4" s="3">
        <v>4377900</v>
      </c>
      <c r="E4" s="49">
        <f t="shared" ref="E4:E33" si="4">(IF((D4-D3)&lt;0,"0",(D4-D3)))*0.027</f>
        <v>0</v>
      </c>
      <c r="F4" s="3">
        <v>3277400</v>
      </c>
      <c r="G4" s="49">
        <f>(IF((F4-F3)&lt;0,"0",(F4-F3)))*0.027</f>
        <v>353.7</v>
      </c>
      <c r="H4" s="3">
        <v>734690</v>
      </c>
      <c r="I4" s="54">
        <f>(IF((H4-H3)&lt;0,"0",(H4-H3)))*0.027</f>
        <v>4.0229999999999997</v>
      </c>
      <c r="J4" s="23">
        <f t="shared" ref="J4:J33" si="5">C4+E4+G4+I4</f>
        <v>1457.723</v>
      </c>
      <c r="K4" s="24">
        <f t="shared" ref="K4:K33" si="6">J4*5.86</f>
        <v>8542.2567799999997</v>
      </c>
    </row>
    <row r="5" spans="1:14" ht="16.5" thickBot="1" x14ac:dyDescent="0.3">
      <c r="A5" s="10">
        <v>44350</v>
      </c>
      <c r="B5" s="3">
        <v>412608</v>
      </c>
      <c r="C5" s="49">
        <f t="shared" si="3"/>
        <v>1150</v>
      </c>
      <c r="D5" s="3">
        <v>4377900</v>
      </c>
      <c r="E5" s="49">
        <f t="shared" si="4"/>
        <v>0</v>
      </c>
      <c r="F5" s="3">
        <v>3289800</v>
      </c>
      <c r="G5" s="49">
        <f t="shared" ref="G5:G33" si="7">(IF((F5-F4)&lt;0,"0",(F5-F4)))*0.027</f>
        <v>334.8</v>
      </c>
      <c r="H5" s="3">
        <v>734834</v>
      </c>
      <c r="I5" s="54">
        <f t="shared" ref="I5:I33" si="8">(IF((H5-H4)&lt;0,"0",(H5-H4)))*0.027</f>
        <v>3.8879999999999999</v>
      </c>
      <c r="J5" s="23">
        <f t="shared" si="5"/>
        <v>1488.6879999999999</v>
      </c>
      <c r="K5" s="24">
        <f t="shared" si="6"/>
        <v>8723.7116800000003</v>
      </c>
    </row>
    <row r="6" spans="1:14" ht="16.5" thickBot="1" x14ac:dyDescent="0.3">
      <c r="A6" s="10">
        <v>44351</v>
      </c>
      <c r="B6" s="3">
        <v>412769</v>
      </c>
      <c r="C6" s="49">
        <f t="shared" si="3"/>
        <v>1610</v>
      </c>
      <c r="D6" s="3">
        <v>4377300</v>
      </c>
      <c r="E6" s="49">
        <f t="shared" si="4"/>
        <v>0</v>
      </c>
      <c r="F6" s="3">
        <v>3318400</v>
      </c>
      <c r="G6" s="49">
        <f t="shared" si="7"/>
        <v>772.2</v>
      </c>
      <c r="H6" s="3">
        <v>734944</v>
      </c>
      <c r="I6" s="54">
        <f t="shared" si="8"/>
        <v>2.9699999999999998</v>
      </c>
      <c r="J6" s="23">
        <f t="shared" si="5"/>
        <v>2385.1699999999996</v>
      </c>
      <c r="K6" s="24">
        <f t="shared" si="6"/>
        <v>13977.096199999998</v>
      </c>
    </row>
    <row r="7" spans="1:14" ht="16.5" thickBot="1" x14ac:dyDescent="0.3">
      <c r="A7" s="10">
        <v>44352</v>
      </c>
      <c r="B7" s="3">
        <v>412955</v>
      </c>
      <c r="C7" s="49">
        <f t="shared" si="3"/>
        <v>1860</v>
      </c>
      <c r="D7" s="3">
        <v>4377900</v>
      </c>
      <c r="E7" s="49">
        <f t="shared" si="4"/>
        <v>16.2</v>
      </c>
      <c r="F7" s="3">
        <v>3363400</v>
      </c>
      <c r="G7" s="49">
        <f t="shared" si="7"/>
        <v>1215</v>
      </c>
      <c r="H7" s="3">
        <v>735076</v>
      </c>
      <c r="I7" s="54">
        <f t="shared" si="8"/>
        <v>3.5640000000000001</v>
      </c>
      <c r="J7" s="23">
        <f t="shared" si="5"/>
        <v>3094.7639999999997</v>
      </c>
      <c r="K7" s="24">
        <f t="shared" si="6"/>
        <v>18135.317039999998</v>
      </c>
      <c r="L7" t="s">
        <v>12</v>
      </c>
      <c r="N7" t="s">
        <v>12</v>
      </c>
    </row>
    <row r="8" spans="1:14" ht="16.5" thickBot="1" x14ac:dyDescent="0.3">
      <c r="A8" s="10">
        <v>44353</v>
      </c>
      <c r="B8" s="3">
        <v>413072</v>
      </c>
      <c r="C8" s="49">
        <f t="shared" si="3"/>
        <v>1170</v>
      </c>
      <c r="D8" s="3">
        <v>4377900</v>
      </c>
      <c r="E8" s="49">
        <f t="shared" si="4"/>
        <v>0</v>
      </c>
      <c r="F8" s="3">
        <v>3390200</v>
      </c>
      <c r="G8" s="49">
        <f t="shared" si="7"/>
        <v>723.6</v>
      </c>
      <c r="H8" s="3">
        <v>735208</v>
      </c>
      <c r="I8" s="54">
        <f t="shared" si="8"/>
        <v>3.5640000000000001</v>
      </c>
      <c r="J8" s="23">
        <f t="shared" si="5"/>
        <v>1897.164</v>
      </c>
      <c r="K8" s="24">
        <f t="shared" si="6"/>
        <v>11117.38104</v>
      </c>
    </row>
    <row r="9" spans="1:14" ht="16.5" thickBot="1" x14ac:dyDescent="0.3">
      <c r="A9" s="10">
        <v>44354</v>
      </c>
      <c r="B9" s="3">
        <v>413192</v>
      </c>
      <c r="C9" s="49">
        <f t="shared" ref="C9:C33" si="9">(IF((B9-B8)&lt;0,"0",(B9-B8)))*10</f>
        <v>1200</v>
      </c>
      <c r="D9" s="3">
        <v>4377900</v>
      </c>
      <c r="E9" s="49">
        <f t="shared" si="4"/>
        <v>0</v>
      </c>
      <c r="F9" s="3">
        <v>3417400</v>
      </c>
      <c r="G9" s="49">
        <f t="shared" si="7"/>
        <v>734.4</v>
      </c>
      <c r="H9" s="3">
        <v>735371</v>
      </c>
      <c r="I9" s="54">
        <f t="shared" si="8"/>
        <v>4.4009999999999998</v>
      </c>
      <c r="J9" s="23">
        <f t="shared" si="5"/>
        <v>1938.8010000000002</v>
      </c>
      <c r="K9" s="24">
        <f t="shared" si="6"/>
        <v>11361.373860000002</v>
      </c>
    </row>
    <row r="10" spans="1:14" ht="16.5" thickBot="1" x14ac:dyDescent="0.3">
      <c r="A10" s="10">
        <v>44355</v>
      </c>
      <c r="B10" s="3">
        <v>413297</v>
      </c>
      <c r="C10" s="49">
        <f>(IF((B10-B9)&lt;0,"0",(B10-B9)))*10</f>
        <v>1050</v>
      </c>
      <c r="D10" s="3">
        <v>4377900</v>
      </c>
      <c r="E10" s="49">
        <f t="shared" si="4"/>
        <v>0</v>
      </c>
      <c r="F10" s="3">
        <v>3439200</v>
      </c>
      <c r="G10" s="49">
        <f t="shared" si="7"/>
        <v>588.6</v>
      </c>
      <c r="H10" s="3">
        <v>735518</v>
      </c>
      <c r="I10" s="54">
        <f t="shared" si="8"/>
        <v>3.9689999999999999</v>
      </c>
      <c r="J10" s="23">
        <f t="shared" si="5"/>
        <v>1642.569</v>
      </c>
      <c r="K10" s="24">
        <f t="shared" si="6"/>
        <v>9625.4543400000002</v>
      </c>
    </row>
    <row r="11" spans="1:14" ht="16.5" thickBot="1" x14ac:dyDescent="0.3">
      <c r="A11" s="10">
        <v>44356</v>
      </c>
      <c r="B11" s="3">
        <v>413420</v>
      </c>
      <c r="C11" s="49">
        <f t="shared" si="9"/>
        <v>1230</v>
      </c>
      <c r="D11" s="3">
        <v>4377900</v>
      </c>
      <c r="E11" s="49">
        <f t="shared" si="4"/>
        <v>0</v>
      </c>
      <c r="F11" s="3">
        <v>3467400</v>
      </c>
      <c r="G11" s="49">
        <f t="shared" si="7"/>
        <v>761.4</v>
      </c>
      <c r="H11" s="3">
        <v>736610</v>
      </c>
      <c r="I11" s="54">
        <f t="shared" si="8"/>
        <v>29.483999999999998</v>
      </c>
      <c r="J11" s="23">
        <f t="shared" si="5"/>
        <v>2020.884</v>
      </c>
      <c r="K11" s="24">
        <f t="shared" si="6"/>
        <v>11842.38024</v>
      </c>
      <c r="N11" t="s">
        <v>12</v>
      </c>
    </row>
    <row r="12" spans="1:14" ht="16.5" thickBot="1" x14ac:dyDescent="0.3">
      <c r="A12" s="10">
        <v>44357</v>
      </c>
      <c r="B12" s="3">
        <v>413513</v>
      </c>
      <c r="C12" s="49">
        <f t="shared" si="9"/>
        <v>930</v>
      </c>
      <c r="D12" s="3">
        <v>4377900</v>
      </c>
      <c r="E12" s="49">
        <f t="shared" si="4"/>
        <v>0</v>
      </c>
      <c r="F12" s="3">
        <v>3485700</v>
      </c>
      <c r="G12" s="49">
        <f t="shared" si="7"/>
        <v>494.1</v>
      </c>
      <c r="H12" s="3">
        <v>735802</v>
      </c>
      <c r="I12" s="54">
        <f t="shared" si="8"/>
        <v>0</v>
      </c>
      <c r="J12" s="23">
        <f t="shared" si="5"/>
        <v>1424.1</v>
      </c>
      <c r="K12" s="24">
        <f t="shared" si="6"/>
        <v>8345.2260000000006</v>
      </c>
    </row>
    <row r="13" spans="1:14" ht="16.5" thickBot="1" x14ac:dyDescent="0.3">
      <c r="A13" s="10">
        <v>44358</v>
      </c>
      <c r="B13" s="3">
        <v>413616</v>
      </c>
      <c r="C13" s="49">
        <f t="shared" si="9"/>
        <v>1030</v>
      </c>
      <c r="D13" s="3">
        <v>4377900</v>
      </c>
      <c r="E13" s="49">
        <f t="shared" si="4"/>
        <v>0</v>
      </c>
      <c r="F13" s="3">
        <v>3504000</v>
      </c>
      <c r="G13" s="49">
        <f t="shared" si="7"/>
        <v>494.1</v>
      </c>
      <c r="H13" s="3">
        <v>735953</v>
      </c>
      <c r="I13" s="54">
        <f t="shared" si="8"/>
        <v>4.077</v>
      </c>
      <c r="J13" s="23">
        <f t="shared" si="5"/>
        <v>1528.1769999999999</v>
      </c>
      <c r="K13" s="24">
        <f t="shared" si="6"/>
        <v>8955.1172200000001</v>
      </c>
    </row>
    <row r="14" spans="1:14" ht="16.5" thickBot="1" x14ac:dyDescent="0.3">
      <c r="A14" s="10">
        <v>44359</v>
      </c>
      <c r="B14" s="3">
        <v>413690</v>
      </c>
      <c r="C14" s="49">
        <f t="shared" si="9"/>
        <v>740</v>
      </c>
      <c r="D14" s="3">
        <v>4377900</v>
      </c>
      <c r="E14" s="49">
        <f t="shared" si="4"/>
        <v>0</v>
      </c>
      <c r="F14" s="3">
        <v>3516600</v>
      </c>
      <c r="G14" s="49">
        <f t="shared" si="7"/>
        <v>340.2</v>
      </c>
      <c r="H14" s="3">
        <v>736054</v>
      </c>
      <c r="I14" s="54">
        <f t="shared" si="8"/>
        <v>2.7269999999999999</v>
      </c>
      <c r="J14" s="23">
        <f t="shared" si="5"/>
        <v>1082.9270000000001</v>
      </c>
      <c r="K14" s="24">
        <f t="shared" si="6"/>
        <v>6345.952220000001</v>
      </c>
    </row>
    <row r="15" spans="1:14" ht="16.5" thickBot="1" x14ac:dyDescent="0.3">
      <c r="A15" s="10">
        <v>44360</v>
      </c>
      <c r="B15" s="3">
        <v>413801</v>
      </c>
      <c r="C15" s="49">
        <f t="shared" si="9"/>
        <v>1110</v>
      </c>
      <c r="D15" s="3">
        <v>4377900</v>
      </c>
      <c r="E15" s="49">
        <f t="shared" si="4"/>
        <v>0</v>
      </c>
      <c r="F15" s="3">
        <v>3530600</v>
      </c>
      <c r="G15" s="49">
        <f t="shared" si="7"/>
        <v>378</v>
      </c>
      <c r="H15" s="3">
        <v>736193</v>
      </c>
      <c r="I15" s="54">
        <f t="shared" si="8"/>
        <v>3.7530000000000001</v>
      </c>
      <c r="J15" s="23">
        <f t="shared" si="5"/>
        <v>1491.7529999999999</v>
      </c>
      <c r="K15" s="24">
        <f t="shared" si="6"/>
        <v>8741.6725800000004</v>
      </c>
    </row>
    <row r="16" spans="1:14" ht="16.5" thickBot="1" x14ac:dyDescent="0.3">
      <c r="A16" s="10">
        <v>44361</v>
      </c>
      <c r="B16" s="3">
        <v>413873</v>
      </c>
      <c r="C16" s="49">
        <f t="shared" si="9"/>
        <v>720</v>
      </c>
      <c r="D16" s="3">
        <v>4377900</v>
      </c>
      <c r="E16" s="49">
        <f t="shared" si="4"/>
        <v>0</v>
      </c>
      <c r="F16" s="3">
        <v>3545100</v>
      </c>
      <c r="G16" s="49">
        <f t="shared" si="7"/>
        <v>391.5</v>
      </c>
      <c r="H16" s="3">
        <v>736303</v>
      </c>
      <c r="I16" s="54">
        <f t="shared" si="8"/>
        <v>2.9699999999999998</v>
      </c>
      <c r="J16" s="23">
        <f t="shared" si="5"/>
        <v>1114.47</v>
      </c>
      <c r="K16" s="24">
        <f t="shared" si="6"/>
        <v>6530.7942000000003</v>
      </c>
    </row>
    <row r="17" spans="1:25" ht="16.5" thickBot="1" x14ac:dyDescent="0.3">
      <c r="A17" s="10">
        <v>44362</v>
      </c>
      <c r="B17" s="3">
        <v>413945</v>
      </c>
      <c r="C17" s="49">
        <f t="shared" si="9"/>
        <v>720</v>
      </c>
      <c r="D17" s="3">
        <v>4377900</v>
      </c>
      <c r="E17" s="49">
        <f t="shared" si="4"/>
        <v>0</v>
      </c>
      <c r="F17" s="3">
        <v>3560700</v>
      </c>
      <c r="G17" s="49">
        <f t="shared" si="7"/>
        <v>421.2</v>
      </c>
      <c r="H17" s="3">
        <v>736434</v>
      </c>
      <c r="I17" s="54">
        <f t="shared" si="8"/>
        <v>3.5369999999999999</v>
      </c>
      <c r="J17" s="23">
        <f t="shared" si="5"/>
        <v>1144.7370000000001</v>
      </c>
      <c r="K17" s="24">
        <f t="shared" si="6"/>
        <v>6708.1588200000006</v>
      </c>
      <c r="P17" t="s">
        <v>12</v>
      </c>
      <c r="R17" t="s">
        <v>12</v>
      </c>
    </row>
    <row r="18" spans="1:25" ht="16.5" thickBot="1" x14ac:dyDescent="0.3">
      <c r="A18" s="10">
        <v>44363</v>
      </c>
      <c r="B18" s="3">
        <v>414062</v>
      </c>
      <c r="C18" s="49">
        <f t="shared" si="9"/>
        <v>1170</v>
      </c>
      <c r="D18" s="3">
        <v>4377900</v>
      </c>
      <c r="E18" s="49">
        <f t="shared" si="4"/>
        <v>0</v>
      </c>
      <c r="F18" s="3">
        <v>3577500</v>
      </c>
      <c r="G18" s="49">
        <f t="shared" si="7"/>
        <v>453.6</v>
      </c>
      <c r="H18" s="3">
        <v>736554</v>
      </c>
      <c r="I18" s="54">
        <f t="shared" si="8"/>
        <v>3.2399999999999998</v>
      </c>
      <c r="J18" s="23">
        <f t="shared" si="5"/>
        <v>1626.84</v>
      </c>
      <c r="K18" s="24">
        <f t="shared" si="6"/>
        <v>9533.2824000000001</v>
      </c>
      <c r="Q18" t="s">
        <v>43</v>
      </c>
    </row>
    <row r="19" spans="1:25" ht="16.5" thickBot="1" x14ac:dyDescent="0.3">
      <c r="A19" s="10">
        <v>44364</v>
      </c>
      <c r="B19" s="3">
        <v>414158</v>
      </c>
      <c r="C19" s="49">
        <f t="shared" si="9"/>
        <v>960</v>
      </c>
      <c r="D19" s="3">
        <v>4377900</v>
      </c>
      <c r="E19" s="49">
        <f t="shared" si="4"/>
        <v>0</v>
      </c>
      <c r="F19" s="3">
        <v>3595100</v>
      </c>
      <c r="G19" s="49">
        <f t="shared" si="7"/>
        <v>475.2</v>
      </c>
      <c r="H19" s="3">
        <v>736697</v>
      </c>
      <c r="I19" s="54">
        <f t="shared" si="8"/>
        <v>3.8609999999999998</v>
      </c>
      <c r="J19" s="23">
        <f t="shared" si="5"/>
        <v>1439.0610000000001</v>
      </c>
      <c r="K19" s="24">
        <f t="shared" si="6"/>
        <v>8432.897460000002</v>
      </c>
      <c r="Q19" t="s">
        <v>12</v>
      </c>
    </row>
    <row r="20" spans="1:25" ht="16.5" thickBot="1" x14ac:dyDescent="0.3">
      <c r="A20" s="10">
        <v>44365</v>
      </c>
      <c r="B20" s="3">
        <v>414248</v>
      </c>
      <c r="C20" s="49">
        <f t="shared" si="9"/>
        <v>900</v>
      </c>
      <c r="D20" s="3">
        <v>4377900</v>
      </c>
      <c r="E20" s="49">
        <f t="shared" si="4"/>
        <v>0</v>
      </c>
      <c r="F20" s="3">
        <v>3611100</v>
      </c>
      <c r="G20" s="49">
        <f t="shared" si="7"/>
        <v>432</v>
      </c>
      <c r="H20" s="3">
        <v>736890</v>
      </c>
      <c r="I20" s="54">
        <f t="shared" si="8"/>
        <v>5.2110000000000003</v>
      </c>
      <c r="J20" s="23">
        <f t="shared" si="5"/>
        <v>1337.211</v>
      </c>
      <c r="K20" s="24">
        <f t="shared" si="6"/>
        <v>7836.0564600000007</v>
      </c>
    </row>
    <row r="21" spans="1:25" ht="16.5" thickBot="1" x14ac:dyDescent="0.3">
      <c r="A21" s="10">
        <v>44366</v>
      </c>
      <c r="B21" s="3">
        <v>414348</v>
      </c>
      <c r="C21" s="49">
        <f t="shared" si="9"/>
        <v>1000</v>
      </c>
      <c r="D21" s="3">
        <v>4377900</v>
      </c>
      <c r="E21" s="49">
        <f t="shared" si="4"/>
        <v>0</v>
      </c>
      <c r="F21" s="3">
        <v>3629400</v>
      </c>
      <c r="G21" s="49">
        <f t="shared" si="7"/>
        <v>494.1</v>
      </c>
      <c r="H21" s="3">
        <v>737098</v>
      </c>
      <c r="I21" s="54">
        <f t="shared" si="8"/>
        <v>5.6159999999999997</v>
      </c>
      <c r="J21" s="23">
        <f t="shared" si="5"/>
        <v>1499.7159999999999</v>
      </c>
      <c r="K21" s="24">
        <f t="shared" si="6"/>
        <v>8788.3357599999999</v>
      </c>
    </row>
    <row r="22" spans="1:25" ht="16.5" thickBot="1" x14ac:dyDescent="0.3">
      <c r="A22" s="10">
        <v>44367</v>
      </c>
      <c r="B22" s="3">
        <v>414488</v>
      </c>
      <c r="C22" s="49">
        <f t="shared" si="9"/>
        <v>1400</v>
      </c>
      <c r="D22" s="3">
        <v>4377900</v>
      </c>
      <c r="E22" s="49">
        <f t="shared" si="4"/>
        <v>0</v>
      </c>
      <c r="F22" s="3">
        <v>3649100</v>
      </c>
      <c r="G22" s="49">
        <f t="shared" si="7"/>
        <v>531.9</v>
      </c>
      <c r="H22" s="3">
        <v>737246</v>
      </c>
      <c r="I22" s="54">
        <f t="shared" si="8"/>
        <v>3.996</v>
      </c>
      <c r="J22" s="23">
        <f t="shared" si="5"/>
        <v>1935.8960000000002</v>
      </c>
      <c r="K22" s="24">
        <f t="shared" si="6"/>
        <v>11344.350560000003</v>
      </c>
      <c r="P22" t="s">
        <v>12</v>
      </c>
      <c r="S22" s="36" t="s">
        <v>12</v>
      </c>
    </row>
    <row r="23" spans="1:25" ht="16.5" thickBot="1" x14ac:dyDescent="0.3">
      <c r="A23" s="10">
        <v>44368</v>
      </c>
      <c r="B23" s="3">
        <v>414628</v>
      </c>
      <c r="C23" s="49">
        <f t="shared" si="9"/>
        <v>1400</v>
      </c>
      <c r="D23" s="3">
        <v>4377900</v>
      </c>
      <c r="E23" s="49">
        <f t="shared" si="4"/>
        <v>0</v>
      </c>
      <c r="F23" s="3">
        <v>3665600</v>
      </c>
      <c r="G23" s="49">
        <f t="shared" si="7"/>
        <v>445.5</v>
      </c>
      <c r="H23" s="3">
        <v>737393</v>
      </c>
      <c r="I23" s="54">
        <f t="shared" si="8"/>
        <v>3.9689999999999999</v>
      </c>
      <c r="J23" s="23">
        <f t="shared" si="5"/>
        <v>1849.4690000000001</v>
      </c>
      <c r="K23" s="24">
        <f t="shared" si="6"/>
        <v>10837.888340000001</v>
      </c>
      <c r="Q23" t="s">
        <v>12</v>
      </c>
    </row>
    <row r="24" spans="1:25" ht="16.5" thickBot="1" x14ac:dyDescent="0.3">
      <c r="A24" s="10">
        <v>44369</v>
      </c>
      <c r="B24" s="3">
        <v>414705</v>
      </c>
      <c r="C24" s="49">
        <f t="shared" si="9"/>
        <v>770</v>
      </c>
      <c r="D24" s="3">
        <v>4377000</v>
      </c>
      <c r="E24" s="49">
        <f t="shared" si="4"/>
        <v>0</v>
      </c>
      <c r="F24" s="3">
        <v>3684900</v>
      </c>
      <c r="G24" s="49">
        <f t="shared" si="7"/>
        <v>521.1</v>
      </c>
      <c r="H24" s="3">
        <v>737884</v>
      </c>
      <c r="I24" s="54">
        <f t="shared" si="8"/>
        <v>13.257</v>
      </c>
      <c r="J24" s="23">
        <f t="shared" si="5"/>
        <v>1304.357</v>
      </c>
      <c r="K24" s="24">
        <f t="shared" si="6"/>
        <v>7643.5320200000006</v>
      </c>
    </row>
    <row r="25" spans="1:25" ht="17.25" customHeight="1" thickBot="1" x14ac:dyDescent="0.4">
      <c r="A25" s="10">
        <v>44370</v>
      </c>
      <c r="B25" s="3">
        <v>414810</v>
      </c>
      <c r="C25" s="49">
        <f t="shared" si="9"/>
        <v>1050</v>
      </c>
      <c r="D25" s="3">
        <v>4377000</v>
      </c>
      <c r="E25" s="49">
        <f t="shared" si="4"/>
        <v>0</v>
      </c>
      <c r="F25" s="3">
        <v>3701800</v>
      </c>
      <c r="G25" s="49">
        <f>F25-F24</f>
        <v>16900</v>
      </c>
      <c r="H25" s="3">
        <v>737630</v>
      </c>
      <c r="I25" s="54">
        <f t="shared" si="8"/>
        <v>0</v>
      </c>
      <c r="J25" s="23">
        <f t="shared" si="5"/>
        <v>17950</v>
      </c>
      <c r="K25" s="24">
        <f t="shared" si="6"/>
        <v>105187</v>
      </c>
      <c r="Y25" s="65"/>
    </row>
    <row r="26" spans="1:25" ht="16.5" thickBot="1" x14ac:dyDescent="0.3">
      <c r="A26" s="10">
        <v>44371</v>
      </c>
      <c r="B26" s="3">
        <v>414915</v>
      </c>
      <c r="C26" s="49">
        <f t="shared" si="9"/>
        <v>1050</v>
      </c>
      <c r="D26" s="3">
        <v>4377000</v>
      </c>
      <c r="E26" s="49">
        <f t="shared" si="4"/>
        <v>0</v>
      </c>
      <c r="F26" s="3">
        <v>3719100</v>
      </c>
      <c r="G26" s="49">
        <f t="shared" si="7"/>
        <v>467.1</v>
      </c>
      <c r="H26" s="3">
        <v>737751</v>
      </c>
      <c r="I26" s="54">
        <f t="shared" si="8"/>
        <v>3.2669999999999999</v>
      </c>
      <c r="J26" s="23">
        <f t="shared" si="5"/>
        <v>1520.367</v>
      </c>
      <c r="K26" s="24">
        <f t="shared" si="6"/>
        <v>8909.3506200000011</v>
      </c>
      <c r="L26" t="s">
        <v>12</v>
      </c>
    </row>
    <row r="27" spans="1:25" ht="16.5" thickBot="1" x14ac:dyDescent="0.3">
      <c r="A27" s="10">
        <v>44372</v>
      </c>
      <c r="B27" s="3">
        <v>415017</v>
      </c>
      <c r="C27" s="49">
        <f t="shared" si="9"/>
        <v>1020</v>
      </c>
      <c r="D27" s="3">
        <v>4377000</v>
      </c>
      <c r="E27" s="49">
        <f t="shared" si="4"/>
        <v>0</v>
      </c>
      <c r="F27" s="3">
        <v>3734600</v>
      </c>
      <c r="G27" s="49">
        <f t="shared" si="7"/>
        <v>418.5</v>
      </c>
      <c r="H27" s="3">
        <v>737818</v>
      </c>
      <c r="I27" s="54">
        <f t="shared" si="8"/>
        <v>1.8089999999999999</v>
      </c>
      <c r="J27" s="23">
        <f t="shared" si="5"/>
        <v>1440.309</v>
      </c>
      <c r="K27" s="24">
        <f t="shared" si="6"/>
        <v>8440.2107400000004</v>
      </c>
      <c r="O27" t="s">
        <v>12</v>
      </c>
    </row>
    <row r="28" spans="1:25" ht="16.5" thickBot="1" x14ac:dyDescent="0.3">
      <c r="A28" s="10">
        <v>44373</v>
      </c>
      <c r="B28" s="3">
        <v>415119</v>
      </c>
      <c r="C28" s="49">
        <f t="shared" si="9"/>
        <v>1020</v>
      </c>
      <c r="D28" s="3">
        <v>4377000</v>
      </c>
      <c r="E28" s="49">
        <f t="shared" si="4"/>
        <v>0</v>
      </c>
      <c r="F28" s="3">
        <v>3752800</v>
      </c>
      <c r="G28" s="49">
        <f t="shared" si="7"/>
        <v>491.4</v>
      </c>
      <c r="H28" s="3">
        <v>737918</v>
      </c>
      <c r="I28" s="54">
        <f t="shared" si="8"/>
        <v>2.7</v>
      </c>
      <c r="J28" s="23">
        <f t="shared" si="5"/>
        <v>1514.1000000000001</v>
      </c>
      <c r="K28" s="24">
        <f t="shared" si="6"/>
        <v>8872.626000000002</v>
      </c>
    </row>
    <row r="29" spans="1:25" ht="16.5" thickBot="1" x14ac:dyDescent="0.3">
      <c r="A29" s="10">
        <v>44374</v>
      </c>
      <c r="B29" s="3">
        <v>415247</v>
      </c>
      <c r="C29" s="49">
        <f t="shared" si="9"/>
        <v>1280</v>
      </c>
      <c r="D29" s="3">
        <v>4377000</v>
      </c>
      <c r="E29" s="49">
        <f t="shared" si="4"/>
        <v>0</v>
      </c>
      <c r="F29" s="3">
        <v>3771700</v>
      </c>
      <c r="G29" s="49">
        <f t="shared" si="7"/>
        <v>510.3</v>
      </c>
      <c r="H29" s="3">
        <v>738060</v>
      </c>
      <c r="I29" s="54">
        <f t="shared" si="8"/>
        <v>3.8340000000000001</v>
      </c>
      <c r="J29" s="23">
        <f t="shared" si="5"/>
        <v>1794.134</v>
      </c>
      <c r="K29" s="24">
        <f t="shared" si="6"/>
        <v>10513.625240000001</v>
      </c>
    </row>
    <row r="30" spans="1:25" ht="16.5" thickBot="1" x14ac:dyDescent="0.3">
      <c r="A30" s="10">
        <v>44375</v>
      </c>
      <c r="B30" s="3">
        <v>415392</v>
      </c>
      <c r="C30" s="49">
        <f t="shared" si="9"/>
        <v>1450</v>
      </c>
      <c r="D30" s="3">
        <v>4377000</v>
      </c>
      <c r="E30" s="49">
        <f t="shared" si="4"/>
        <v>0</v>
      </c>
      <c r="F30" s="3">
        <v>3791600</v>
      </c>
      <c r="G30" s="49">
        <f t="shared" si="7"/>
        <v>537.29999999999995</v>
      </c>
      <c r="H30" s="3">
        <v>738158</v>
      </c>
      <c r="I30" s="54">
        <f t="shared" si="8"/>
        <v>2.6459999999999999</v>
      </c>
      <c r="J30" s="23">
        <f t="shared" si="5"/>
        <v>1989.9459999999999</v>
      </c>
      <c r="K30" s="24">
        <f t="shared" si="6"/>
        <v>11661.083560000001</v>
      </c>
    </row>
    <row r="31" spans="1:25" ht="16.5" thickBot="1" x14ac:dyDescent="0.3">
      <c r="A31" s="10">
        <v>44376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44377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44377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31520</v>
      </c>
      <c r="D34" s="3"/>
      <c r="E34" s="66">
        <f>SUM(E3:E33)</f>
        <v>16.2</v>
      </c>
      <c r="F34" s="3"/>
      <c r="G34" s="66">
        <f>SUM(G3:G33)</f>
        <v>31018.300000000003</v>
      </c>
      <c r="H34" s="3"/>
      <c r="I34" s="66">
        <f>SUM(I3:I33)</f>
        <v>129.54599999999999</v>
      </c>
      <c r="J34" s="66">
        <f>SUM(J3:J33)</f>
        <v>62684.046000000002</v>
      </c>
      <c r="K34" s="66">
        <f>SUM(K3:K33)</f>
        <v>367328.50956000003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A19" zoomScale="120" zoomScaleNormal="120" zoomScaleSheetLayoutView="110" workbookViewId="0">
      <selection activeCell="B30" sqref="B30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44347</v>
      </c>
      <c r="B2" s="49">
        <v>102</v>
      </c>
      <c r="C2" s="161">
        <v>18252</v>
      </c>
      <c r="D2" s="49"/>
      <c r="E2" s="137">
        <v>26143363</v>
      </c>
      <c r="F2" s="49"/>
      <c r="G2" s="141">
        <v>82726315</v>
      </c>
      <c r="H2" s="49"/>
      <c r="I2" s="28"/>
      <c r="J2" s="137">
        <v>8089438</v>
      </c>
      <c r="K2" s="49"/>
      <c r="L2" s="139">
        <v>8075564</v>
      </c>
      <c r="M2" s="49">
        <v>3901</v>
      </c>
      <c r="N2" s="137">
        <v>5208255</v>
      </c>
      <c r="O2" s="49"/>
      <c r="P2" s="139">
        <v>3524726</v>
      </c>
      <c r="Q2" s="49"/>
      <c r="R2" s="137">
        <v>17551875</v>
      </c>
      <c r="S2" s="49"/>
      <c r="T2" s="137">
        <v>0</v>
      </c>
      <c r="U2" s="29"/>
      <c r="V2" s="137">
        <v>5221164</v>
      </c>
      <c r="W2" s="49"/>
      <c r="X2" s="28"/>
      <c r="Y2" s="35"/>
      <c r="Z2" s="27"/>
      <c r="AA2" s="27"/>
    </row>
    <row r="3" spans="1:27" ht="16.5" thickBot="1" x14ac:dyDescent="0.25">
      <c r="A3" s="10">
        <v>44348</v>
      </c>
      <c r="B3" s="49">
        <v>110</v>
      </c>
      <c r="C3" s="161">
        <v>18255</v>
      </c>
      <c r="D3" s="49">
        <f t="shared" ref="D3" si="0">IF((C3-C2)&lt;0,"0",(C3-C2))*160</f>
        <v>480</v>
      </c>
      <c r="E3" s="137">
        <v>26159794</v>
      </c>
      <c r="F3" s="49">
        <f t="shared" ref="F3" si="1">IF((E3-E2)&lt;0,"0",(E3-E2))</f>
        <v>16431</v>
      </c>
      <c r="G3" s="141">
        <v>82787902</v>
      </c>
      <c r="H3" s="49">
        <f t="shared" ref="H3" si="2">IF((G3-G2)&lt;0,"0",(G3-G2))</f>
        <v>61587</v>
      </c>
      <c r="I3" s="28">
        <f>F3+H3</f>
        <v>78018</v>
      </c>
      <c r="J3" s="137">
        <v>8096891</v>
      </c>
      <c r="K3" s="49">
        <f t="shared" ref="K3" si="3">IF((J3-J2)&lt;0,"0",(J3-J2))</f>
        <v>7453</v>
      </c>
      <c r="L3" s="139">
        <v>8080904</v>
      </c>
      <c r="M3" s="49">
        <f t="shared" ref="M3" si="4">IF((L3-L2)&lt;0,"0",(L3-L2))</f>
        <v>5340</v>
      </c>
      <c r="N3" s="137">
        <v>5213703</v>
      </c>
      <c r="O3" s="49">
        <f>(IF((N3-N2)&lt;P94,"0",(N3-N2)))*2</f>
        <v>10896</v>
      </c>
      <c r="P3" s="139">
        <v>3538419</v>
      </c>
      <c r="Q3" s="49">
        <f t="shared" ref="Q3" si="5">IF((P3-P2)&lt;0,"0",(P3-P2))</f>
        <v>13693</v>
      </c>
      <c r="R3" s="137">
        <v>17563602</v>
      </c>
      <c r="S3" s="49">
        <f t="shared" ref="S3" si="6">IF((R3-R2)&lt;0,"0",(R3-R2))</f>
        <v>11727</v>
      </c>
      <c r="T3" s="137">
        <v>0</v>
      </c>
      <c r="U3" s="140"/>
      <c r="V3" s="137">
        <v>5234762</v>
      </c>
      <c r="W3" s="49">
        <f t="shared" ref="W3" si="7">IF((V3-V2)&lt;0,"0",(V3-V2))</f>
        <v>13598</v>
      </c>
      <c r="X3" s="28">
        <f t="shared" ref="X3" si="8">K3+M3+O3+Q3+S3+U3+W3</f>
        <v>62707</v>
      </c>
      <c r="Y3" s="35">
        <f t="shared" ref="Y3" si="9">I3-X3</f>
        <v>15311</v>
      </c>
      <c r="Z3" s="27">
        <f t="shared" ref="Z3" si="10">(0.93352*(W3+S3)+0.5568*(Q3+O3))*0.26</f>
        <v>9706.4627920000003</v>
      </c>
      <c r="AA3" s="27">
        <f>SUM(Z1:Z3)</f>
        <v>9706.4627920000003</v>
      </c>
    </row>
    <row r="4" spans="1:27" ht="16.5" thickBot="1" x14ac:dyDescent="0.25">
      <c r="A4" s="10">
        <v>44349</v>
      </c>
      <c r="B4" s="49">
        <v>144</v>
      </c>
      <c r="C4" s="161">
        <v>18259</v>
      </c>
      <c r="D4" s="49">
        <f t="shared" ref="D4:D33" si="11">IF((C4-C3)&lt;0,"0",(C4-C3))*160</f>
        <v>640</v>
      </c>
      <c r="E4" s="137">
        <v>26173157</v>
      </c>
      <c r="F4" s="49">
        <f t="shared" ref="F4:F33" si="12">IF((E4-E3)&lt;0,"0",(E4-E3))</f>
        <v>13363</v>
      </c>
      <c r="G4" s="141">
        <v>82836652</v>
      </c>
      <c r="H4" s="49">
        <f t="shared" ref="H4:H33" si="13">IF((G4-G3)&lt;0,"0",(G4-G3))</f>
        <v>48750</v>
      </c>
      <c r="I4" s="138">
        <f t="shared" ref="I4:I30" si="14">F4+H4</f>
        <v>62113</v>
      </c>
      <c r="J4" s="137">
        <v>8102662</v>
      </c>
      <c r="K4" s="49">
        <f t="shared" ref="K4:K33" si="15">IF((J4-J3)&lt;0,"0",(J4-J3))</f>
        <v>5771</v>
      </c>
      <c r="L4" s="139">
        <v>8085519</v>
      </c>
      <c r="M4" s="49">
        <f t="shared" ref="M4:M33" si="16">IF((L4-L3)&lt;0,"0",(L4-L3))</f>
        <v>4615</v>
      </c>
      <c r="N4" s="137">
        <v>5217984</v>
      </c>
      <c r="O4" s="49">
        <f>(IF((N4-N3)&lt;P96,"0",(N4-N3)))*2</f>
        <v>8562</v>
      </c>
      <c r="P4" s="139">
        <v>3549232</v>
      </c>
      <c r="Q4" s="49">
        <f t="shared" ref="Q4:Q33" si="17">IF((P4-P3)&lt;0,"0",(P4-P3))</f>
        <v>10813</v>
      </c>
      <c r="R4" s="137">
        <v>17573128</v>
      </c>
      <c r="S4" s="49">
        <f t="shared" ref="S4:S33" si="18">IF((R4-R3)&lt;0,"0",(R4-R3))</f>
        <v>9526</v>
      </c>
      <c r="T4" s="137">
        <v>0</v>
      </c>
      <c r="U4" s="140"/>
      <c r="V4" s="137">
        <v>5245459</v>
      </c>
      <c r="W4" s="49">
        <f t="shared" ref="W4:W33" si="19">IF((V4-V3)&lt;0,"0",(V4-V3))</f>
        <v>10697</v>
      </c>
      <c r="X4" s="28">
        <f t="shared" ref="X4:X33" si="20">K4+M4+O4+Q4+S4+U4+W4</f>
        <v>49984</v>
      </c>
      <c r="Y4" s="35">
        <f t="shared" ref="Y4:Y33" si="21">I4-X4</f>
        <v>12129</v>
      </c>
      <c r="Z4" s="27">
        <f t="shared" ref="Z4:Z33" si="22">(0.93352*(W4+S4)+0.5568*(Q4+O4))*0.26</f>
        <v>7713.3094896000011</v>
      </c>
      <c r="AA4" s="27">
        <f>SUM(Z2:Z4)</f>
        <v>17419.772281600002</v>
      </c>
    </row>
    <row r="5" spans="1:27" ht="16.5" thickBot="1" x14ac:dyDescent="0.25">
      <c r="A5" s="10">
        <v>44350</v>
      </c>
      <c r="B5" s="49">
        <v>182</v>
      </c>
      <c r="C5" s="161">
        <v>18262</v>
      </c>
      <c r="D5" s="49">
        <f t="shared" si="11"/>
        <v>480</v>
      </c>
      <c r="E5" s="137">
        <v>26188308</v>
      </c>
      <c r="F5" s="49">
        <f t="shared" si="12"/>
        <v>15151</v>
      </c>
      <c r="G5" s="141">
        <v>82877019</v>
      </c>
      <c r="H5" s="49">
        <f t="shared" si="13"/>
        <v>40367</v>
      </c>
      <c r="I5" s="138">
        <f t="shared" si="14"/>
        <v>55518</v>
      </c>
      <c r="J5" s="137">
        <v>8107522</v>
      </c>
      <c r="K5" s="49">
        <f t="shared" si="15"/>
        <v>4860</v>
      </c>
      <c r="L5" s="139">
        <v>8090552</v>
      </c>
      <c r="M5" s="49">
        <f t="shared" si="16"/>
        <v>5033</v>
      </c>
      <c r="N5" s="137">
        <v>5222962</v>
      </c>
      <c r="O5" s="49">
        <f t="shared" ref="O5:O33" si="23">(IF((N5-N4)&lt;0,"0",(N5-N4)))*2</f>
        <v>9956</v>
      </c>
      <c r="P5" s="139">
        <v>3557796</v>
      </c>
      <c r="Q5" s="49">
        <f t="shared" si="17"/>
        <v>8564</v>
      </c>
      <c r="R5" s="137">
        <v>17581249</v>
      </c>
      <c r="S5" s="49">
        <f t="shared" si="18"/>
        <v>8121</v>
      </c>
      <c r="T5" s="137">
        <v>0</v>
      </c>
      <c r="U5" s="140"/>
      <c r="V5" s="137">
        <v>5254319</v>
      </c>
      <c r="W5" s="49">
        <f t="shared" si="19"/>
        <v>8860</v>
      </c>
      <c r="X5" s="28">
        <f t="shared" si="20"/>
        <v>45394</v>
      </c>
      <c r="Y5" s="35">
        <f t="shared" si="21"/>
        <v>10124</v>
      </c>
      <c r="Z5" s="27">
        <f t="shared" si="22"/>
        <v>6802.6501712000008</v>
      </c>
      <c r="AA5" s="27">
        <f>SUM(Z3:Z5)</f>
        <v>24222.422452800005</v>
      </c>
    </row>
    <row r="6" spans="1:27" ht="16.5" thickBot="1" x14ac:dyDescent="0.25">
      <c r="A6" s="10">
        <v>44351</v>
      </c>
      <c r="B6" s="49">
        <v>138</v>
      </c>
      <c r="C6" s="161">
        <v>18265</v>
      </c>
      <c r="D6" s="49">
        <f t="shared" si="11"/>
        <v>480</v>
      </c>
      <c r="E6" s="137">
        <v>26207632</v>
      </c>
      <c r="F6" s="49">
        <f t="shared" si="12"/>
        <v>19324</v>
      </c>
      <c r="G6" s="141">
        <v>82937097</v>
      </c>
      <c r="H6" s="49">
        <f t="shared" si="13"/>
        <v>60078</v>
      </c>
      <c r="I6" s="138">
        <f t="shared" si="14"/>
        <v>79402</v>
      </c>
      <c r="J6" s="137">
        <v>8114200</v>
      </c>
      <c r="K6" s="49">
        <f t="shared" si="15"/>
        <v>6678</v>
      </c>
      <c r="L6" s="139">
        <v>8097124</v>
      </c>
      <c r="M6" s="49">
        <f t="shared" si="16"/>
        <v>6572</v>
      </c>
      <c r="N6" s="137">
        <v>5229198</v>
      </c>
      <c r="O6" s="49">
        <f t="shared" si="23"/>
        <v>12472</v>
      </c>
      <c r="P6" s="139">
        <v>3570624</v>
      </c>
      <c r="Q6" s="49">
        <f t="shared" si="17"/>
        <v>12828</v>
      </c>
      <c r="R6" s="137">
        <v>17593309</v>
      </c>
      <c r="S6" s="49">
        <f t="shared" si="18"/>
        <v>12060</v>
      </c>
      <c r="T6" s="137">
        <v>0</v>
      </c>
      <c r="U6" s="140"/>
      <c r="V6" s="137">
        <v>5267848</v>
      </c>
      <c r="W6" s="49">
        <f t="shared" si="19"/>
        <v>13529</v>
      </c>
      <c r="X6" s="28">
        <f t="shared" si="20"/>
        <v>64139</v>
      </c>
      <c r="Y6" s="35">
        <f t="shared" si="21"/>
        <v>15263</v>
      </c>
      <c r="Z6" s="27">
        <f t="shared" si="22"/>
        <v>9873.4696528000004</v>
      </c>
      <c r="AA6" s="27">
        <f>SUM(Z4:Z6)</f>
        <v>24389.429313600005</v>
      </c>
    </row>
    <row r="7" spans="1:27" ht="16.5" thickBot="1" x14ac:dyDescent="0.25">
      <c r="A7" s="10">
        <v>44352</v>
      </c>
      <c r="B7" s="49">
        <v>211</v>
      </c>
      <c r="C7" s="161">
        <v>18270</v>
      </c>
      <c r="D7" s="49">
        <f t="shared" si="11"/>
        <v>800</v>
      </c>
      <c r="E7" s="137">
        <v>26221153</v>
      </c>
      <c r="F7" s="49">
        <f t="shared" si="12"/>
        <v>13521</v>
      </c>
      <c r="G7" s="141">
        <v>82979658</v>
      </c>
      <c r="H7" s="49">
        <f t="shared" si="13"/>
        <v>42561</v>
      </c>
      <c r="I7" s="138">
        <f t="shared" si="14"/>
        <v>56082</v>
      </c>
      <c r="J7" s="137">
        <v>8118951</v>
      </c>
      <c r="K7" s="49">
        <f t="shared" si="15"/>
        <v>4751</v>
      </c>
      <c r="L7" s="139">
        <v>8101646</v>
      </c>
      <c r="M7" s="49">
        <f t="shared" si="16"/>
        <v>4522</v>
      </c>
      <c r="N7" s="137">
        <v>5233641</v>
      </c>
      <c r="O7" s="49">
        <f t="shared" si="23"/>
        <v>8886</v>
      </c>
      <c r="P7" s="139">
        <v>3579902</v>
      </c>
      <c r="Q7" s="49">
        <f t="shared" si="17"/>
        <v>9278</v>
      </c>
      <c r="R7" s="137">
        <v>17601879</v>
      </c>
      <c r="S7" s="49">
        <f t="shared" si="18"/>
        <v>8570</v>
      </c>
      <c r="T7" s="137">
        <v>0</v>
      </c>
      <c r="U7" s="140"/>
      <c r="V7" s="137">
        <v>5277387</v>
      </c>
      <c r="W7" s="49">
        <f t="shared" si="19"/>
        <v>9539</v>
      </c>
      <c r="X7" s="28">
        <f t="shared" si="20"/>
        <v>45546</v>
      </c>
      <c r="Y7" s="35">
        <f t="shared" si="21"/>
        <v>10536</v>
      </c>
      <c r="Z7" s="27">
        <f t="shared" si="22"/>
        <v>7024.8955087999993</v>
      </c>
      <c r="AA7" s="27">
        <f t="shared" ref="AA7:AA33" si="24">SUM(Z4:Z7)</f>
        <v>31414.324822400005</v>
      </c>
    </row>
    <row r="8" spans="1:27" ht="16.5" thickBot="1" x14ac:dyDescent="0.25">
      <c r="A8" s="10">
        <v>44353</v>
      </c>
      <c r="B8" s="49">
        <v>222</v>
      </c>
      <c r="C8" s="161">
        <v>18273</v>
      </c>
      <c r="D8" s="49">
        <f t="shared" si="11"/>
        <v>480</v>
      </c>
      <c r="E8" s="137">
        <v>26236456</v>
      </c>
      <c r="F8" s="49">
        <f t="shared" si="12"/>
        <v>15303</v>
      </c>
      <c r="G8" s="141">
        <v>83038267</v>
      </c>
      <c r="H8" s="49">
        <f t="shared" si="13"/>
        <v>58609</v>
      </c>
      <c r="I8" s="138">
        <f t="shared" si="14"/>
        <v>73912</v>
      </c>
      <c r="J8" s="137">
        <v>8125795</v>
      </c>
      <c r="K8" s="49">
        <f t="shared" si="15"/>
        <v>6844</v>
      </c>
      <c r="L8" s="139">
        <v>8106706</v>
      </c>
      <c r="M8" s="49">
        <f t="shared" si="16"/>
        <v>5060</v>
      </c>
      <c r="N8" s="137">
        <v>5238644</v>
      </c>
      <c r="O8" s="49">
        <f t="shared" si="23"/>
        <v>10006</v>
      </c>
      <c r="P8" s="139">
        <v>3592507</v>
      </c>
      <c r="Q8" s="49">
        <f t="shared" si="17"/>
        <v>12605</v>
      </c>
      <c r="R8" s="137">
        <v>17613170</v>
      </c>
      <c r="S8" s="49">
        <f t="shared" si="18"/>
        <v>11291</v>
      </c>
      <c r="T8" s="137">
        <v>0</v>
      </c>
      <c r="U8" s="140"/>
      <c r="V8" s="137">
        <v>5290593</v>
      </c>
      <c r="W8" s="49">
        <f t="shared" si="19"/>
        <v>13206</v>
      </c>
      <c r="X8" s="28">
        <f t="shared" si="20"/>
        <v>59012</v>
      </c>
      <c r="Y8" s="35">
        <f t="shared" si="21"/>
        <v>14900</v>
      </c>
      <c r="Z8" s="27">
        <f t="shared" si="22"/>
        <v>9219.1435024000002</v>
      </c>
      <c r="AA8" s="27">
        <f t="shared" si="24"/>
        <v>32920.158835200004</v>
      </c>
    </row>
    <row r="9" spans="1:27" ht="16.5" thickBot="1" x14ac:dyDescent="0.25">
      <c r="A9" s="10">
        <v>44354</v>
      </c>
      <c r="B9" s="49">
        <v>235</v>
      </c>
      <c r="C9" s="161">
        <v>18276</v>
      </c>
      <c r="D9" s="49">
        <f t="shared" si="11"/>
        <v>480</v>
      </c>
      <c r="E9" s="137">
        <v>26249508</v>
      </c>
      <c r="F9" s="49">
        <f t="shared" si="12"/>
        <v>13052</v>
      </c>
      <c r="G9" s="141">
        <v>83086341</v>
      </c>
      <c r="H9" s="49">
        <f t="shared" si="13"/>
        <v>48074</v>
      </c>
      <c r="I9" s="138">
        <f t="shared" si="14"/>
        <v>61126</v>
      </c>
      <c r="J9" s="137">
        <v>8131783</v>
      </c>
      <c r="K9" s="49">
        <f t="shared" si="15"/>
        <v>5988</v>
      </c>
      <c r="L9" s="139">
        <v>8111242</v>
      </c>
      <c r="M9" s="49">
        <f t="shared" si="16"/>
        <v>4536</v>
      </c>
      <c r="N9" s="137">
        <v>5242826</v>
      </c>
      <c r="O9" s="49">
        <f t="shared" si="23"/>
        <v>8364</v>
      </c>
      <c r="P9" s="139">
        <v>3602921</v>
      </c>
      <c r="Q9" s="49">
        <f t="shared" si="17"/>
        <v>10414</v>
      </c>
      <c r="R9" s="137">
        <v>17622507</v>
      </c>
      <c r="S9" s="49">
        <f t="shared" si="18"/>
        <v>9337</v>
      </c>
      <c r="T9" s="137">
        <v>0</v>
      </c>
      <c r="U9" s="140"/>
      <c r="V9" s="137">
        <v>5301236</v>
      </c>
      <c r="W9" s="49">
        <f t="shared" si="19"/>
        <v>10643</v>
      </c>
      <c r="X9" s="28">
        <f t="shared" si="20"/>
        <v>49282</v>
      </c>
      <c r="Y9" s="35">
        <f t="shared" si="21"/>
        <v>11844</v>
      </c>
      <c r="Z9" s="27">
        <f t="shared" si="22"/>
        <v>7567.9031999999997</v>
      </c>
      <c r="AA9" s="27">
        <f t="shared" si="24"/>
        <v>33685.411864000002</v>
      </c>
    </row>
    <row r="10" spans="1:27" ht="16.5" thickBot="1" x14ac:dyDescent="0.25">
      <c r="A10" s="10">
        <v>44355</v>
      </c>
      <c r="B10" s="49">
        <v>221</v>
      </c>
      <c r="C10" s="161">
        <v>18279</v>
      </c>
      <c r="D10" s="49">
        <f t="shared" si="11"/>
        <v>480</v>
      </c>
      <c r="E10" s="137">
        <v>26259821</v>
      </c>
      <c r="F10" s="49">
        <f t="shared" si="12"/>
        <v>10313</v>
      </c>
      <c r="G10" s="141">
        <v>83124405</v>
      </c>
      <c r="H10" s="49">
        <f t="shared" si="13"/>
        <v>38064</v>
      </c>
      <c r="I10" s="138">
        <f t="shared" si="14"/>
        <v>48377</v>
      </c>
      <c r="J10" s="137">
        <v>8136502</v>
      </c>
      <c r="K10" s="49">
        <f t="shared" si="15"/>
        <v>4719</v>
      </c>
      <c r="L10" s="139">
        <v>8114774</v>
      </c>
      <c r="M10" s="49">
        <f t="shared" si="16"/>
        <v>3532</v>
      </c>
      <c r="N10" s="137">
        <v>5246140</v>
      </c>
      <c r="O10" s="49">
        <f t="shared" si="23"/>
        <v>6628</v>
      </c>
      <c r="P10" s="139">
        <v>3611160</v>
      </c>
      <c r="Q10" s="49">
        <f t="shared" si="17"/>
        <v>8239</v>
      </c>
      <c r="R10" s="137">
        <v>17629951</v>
      </c>
      <c r="S10" s="49">
        <f t="shared" si="18"/>
        <v>7444</v>
      </c>
      <c r="T10" s="137">
        <v>0</v>
      </c>
      <c r="U10" s="140"/>
      <c r="V10" s="137">
        <v>5309614</v>
      </c>
      <c r="W10" s="49">
        <f t="shared" si="19"/>
        <v>8378</v>
      </c>
      <c r="X10" s="28">
        <f t="shared" si="20"/>
        <v>38940</v>
      </c>
      <c r="Y10" s="35">
        <f t="shared" si="21"/>
        <v>9437</v>
      </c>
      <c r="Z10" s="27">
        <f t="shared" si="22"/>
        <v>5992.5057504000006</v>
      </c>
      <c r="AA10" s="27">
        <f t="shared" si="24"/>
        <v>29804.447961599999</v>
      </c>
    </row>
    <row r="11" spans="1:27" ht="15.75" customHeight="1" thickBot="1" x14ac:dyDescent="0.25">
      <c r="A11" s="10">
        <v>44356</v>
      </c>
      <c r="B11" s="49">
        <v>230</v>
      </c>
      <c r="C11" s="161">
        <v>18282</v>
      </c>
      <c r="D11" s="49">
        <f t="shared" si="11"/>
        <v>480</v>
      </c>
      <c r="E11" s="137">
        <v>26274472</v>
      </c>
      <c r="F11" s="49">
        <f t="shared" si="12"/>
        <v>14651</v>
      </c>
      <c r="G11" s="141">
        <v>83179912</v>
      </c>
      <c r="H11" s="49">
        <f t="shared" si="13"/>
        <v>55507</v>
      </c>
      <c r="I11" s="138">
        <f t="shared" si="14"/>
        <v>70158</v>
      </c>
      <c r="J11" s="137">
        <v>8143161</v>
      </c>
      <c r="K11" s="49">
        <f t="shared" si="15"/>
        <v>6659</v>
      </c>
      <c r="L11" s="139">
        <v>8119593</v>
      </c>
      <c r="M11" s="49">
        <f t="shared" si="16"/>
        <v>4819</v>
      </c>
      <c r="N11" s="137">
        <v>5250961</v>
      </c>
      <c r="O11" s="49">
        <f t="shared" si="23"/>
        <v>9642</v>
      </c>
      <c r="P11" s="139">
        <v>3623599</v>
      </c>
      <c r="Q11" s="49">
        <f t="shared" si="17"/>
        <v>12439</v>
      </c>
      <c r="R11" s="137">
        <v>17640595</v>
      </c>
      <c r="S11" s="49">
        <f t="shared" si="18"/>
        <v>10644</v>
      </c>
      <c r="T11" s="137">
        <v>0</v>
      </c>
      <c r="U11" s="140"/>
      <c r="V11" s="137">
        <v>5321860</v>
      </c>
      <c r="W11" s="49">
        <f t="shared" si="19"/>
        <v>12246</v>
      </c>
      <c r="X11" s="28">
        <f t="shared" si="20"/>
        <v>56449</v>
      </c>
      <c r="Y11" s="35">
        <f t="shared" si="21"/>
        <v>13709</v>
      </c>
      <c r="Z11" s="27">
        <f t="shared" si="22"/>
        <v>8752.3731360000002</v>
      </c>
      <c r="AA11" s="27">
        <f t="shared" si="24"/>
        <v>31531.925588799997</v>
      </c>
    </row>
    <row r="12" spans="1:27" ht="16.5" thickBot="1" x14ac:dyDescent="0.25">
      <c r="A12" s="10">
        <v>44357</v>
      </c>
      <c r="B12" s="49">
        <v>225</v>
      </c>
      <c r="C12" s="161">
        <v>18286</v>
      </c>
      <c r="D12" s="49">
        <f t="shared" si="11"/>
        <v>640</v>
      </c>
      <c r="E12" s="137">
        <v>26287486</v>
      </c>
      <c r="F12" s="49">
        <f t="shared" si="12"/>
        <v>13014</v>
      </c>
      <c r="G12" s="141">
        <v>83227245</v>
      </c>
      <c r="H12" s="49">
        <f t="shared" si="13"/>
        <v>47333</v>
      </c>
      <c r="I12" s="138">
        <f t="shared" si="14"/>
        <v>60347</v>
      </c>
      <c r="J12" s="137">
        <v>8148703</v>
      </c>
      <c r="K12" s="49">
        <f t="shared" si="15"/>
        <v>5542</v>
      </c>
      <c r="L12" s="139">
        <v>8123943</v>
      </c>
      <c r="M12" s="49">
        <f t="shared" si="16"/>
        <v>4350</v>
      </c>
      <c r="N12" s="137">
        <v>5255212</v>
      </c>
      <c r="O12" s="49">
        <f t="shared" si="23"/>
        <v>8502</v>
      </c>
      <c r="P12" s="139">
        <v>3634653</v>
      </c>
      <c r="Q12" s="49">
        <f t="shared" si="17"/>
        <v>11054</v>
      </c>
      <c r="R12" s="137">
        <v>17649682</v>
      </c>
      <c r="S12" s="49">
        <f t="shared" si="18"/>
        <v>9087</v>
      </c>
      <c r="T12" s="137">
        <v>0</v>
      </c>
      <c r="U12" s="140"/>
      <c r="V12" s="137">
        <v>5332147</v>
      </c>
      <c r="W12" s="49">
        <f t="shared" si="19"/>
        <v>10287</v>
      </c>
      <c r="X12" s="28">
        <f t="shared" si="20"/>
        <v>48822</v>
      </c>
      <c r="Y12" s="35">
        <f t="shared" si="21"/>
        <v>11525</v>
      </c>
      <c r="Z12" s="27">
        <f t="shared" si="22"/>
        <v>7533.4472927999996</v>
      </c>
      <c r="AA12" s="27">
        <f t="shared" si="24"/>
        <v>29846.229379200002</v>
      </c>
    </row>
    <row r="13" spans="1:27" ht="16.5" thickBot="1" x14ac:dyDescent="0.25">
      <c r="A13" s="10">
        <v>44358</v>
      </c>
      <c r="B13" s="49">
        <v>169</v>
      </c>
      <c r="C13" s="161">
        <v>18290</v>
      </c>
      <c r="D13" s="49">
        <f t="shared" si="11"/>
        <v>640</v>
      </c>
      <c r="E13" s="137">
        <v>26305315</v>
      </c>
      <c r="F13" s="49">
        <f t="shared" si="12"/>
        <v>17829</v>
      </c>
      <c r="G13" s="141">
        <v>83293441</v>
      </c>
      <c r="H13" s="49">
        <f t="shared" si="13"/>
        <v>66196</v>
      </c>
      <c r="I13" s="138">
        <f t="shared" si="14"/>
        <v>84025</v>
      </c>
      <c r="J13" s="137">
        <v>8155554</v>
      </c>
      <c r="K13" s="49">
        <f t="shared" si="15"/>
        <v>6851</v>
      </c>
      <c r="L13" s="139">
        <v>8129420</v>
      </c>
      <c r="M13" s="49">
        <f t="shared" si="16"/>
        <v>5477</v>
      </c>
      <c r="N13" s="137">
        <v>5261257</v>
      </c>
      <c r="O13" s="49">
        <f t="shared" si="23"/>
        <v>12090</v>
      </c>
      <c r="P13" s="139">
        <v>3649788</v>
      </c>
      <c r="Q13" s="49">
        <f t="shared" si="17"/>
        <v>15135</v>
      </c>
      <c r="R13" s="137">
        <v>17662740</v>
      </c>
      <c r="S13" s="49">
        <f>IF((R13-R12)&lt;0,"0",(R13-R12))</f>
        <v>13058</v>
      </c>
      <c r="T13" s="137">
        <v>0</v>
      </c>
      <c r="U13" s="140"/>
      <c r="V13" s="137">
        <v>5347044</v>
      </c>
      <c r="W13" s="49">
        <f t="shared" si="19"/>
        <v>14897</v>
      </c>
      <c r="X13" s="28">
        <f t="shared" si="20"/>
        <v>67508</v>
      </c>
      <c r="Y13" s="35">
        <f t="shared" si="21"/>
        <v>16517</v>
      </c>
      <c r="Z13" s="27">
        <f t="shared" si="22"/>
        <v>10726.412215999999</v>
      </c>
      <c r="AA13" s="27">
        <f t="shared" si="24"/>
        <v>33004.738395200002</v>
      </c>
    </row>
    <row r="14" spans="1:27" ht="16.5" thickBot="1" x14ac:dyDescent="0.25">
      <c r="A14" s="10">
        <v>44359</v>
      </c>
      <c r="B14" s="49">
        <v>180</v>
      </c>
      <c r="C14" s="161">
        <v>18294</v>
      </c>
      <c r="D14" s="49">
        <f t="shared" si="11"/>
        <v>640</v>
      </c>
      <c r="E14" s="137">
        <v>26314390</v>
      </c>
      <c r="F14" s="49">
        <f>IF((E14-E13)&lt;0,"0",(E14-E13))</f>
        <v>9075</v>
      </c>
      <c r="G14" s="141">
        <v>83345279</v>
      </c>
      <c r="H14" s="49">
        <f t="shared" si="13"/>
        <v>51838</v>
      </c>
      <c r="I14" s="138">
        <f t="shared" si="14"/>
        <v>60913</v>
      </c>
      <c r="J14" s="137">
        <v>8160827</v>
      </c>
      <c r="K14" s="49">
        <f t="shared" si="15"/>
        <v>5273</v>
      </c>
      <c r="L14" s="139">
        <v>8133686</v>
      </c>
      <c r="M14" s="49">
        <f t="shared" si="16"/>
        <v>4266</v>
      </c>
      <c r="N14" s="137">
        <v>5263604</v>
      </c>
      <c r="O14" s="49">
        <f t="shared" si="23"/>
        <v>4694</v>
      </c>
      <c r="P14" s="139">
        <v>3665934</v>
      </c>
      <c r="Q14" s="49">
        <f t="shared" si="17"/>
        <v>16146</v>
      </c>
      <c r="R14" s="137">
        <v>17671495</v>
      </c>
      <c r="S14" s="49">
        <f>IF((R14-R13)&lt;0,"0",(R14-R13))</f>
        <v>8755</v>
      </c>
      <c r="T14" s="137">
        <v>0</v>
      </c>
      <c r="U14" s="140"/>
      <c r="V14" s="137">
        <v>5357332</v>
      </c>
      <c r="W14" s="49">
        <f t="shared" si="19"/>
        <v>10288</v>
      </c>
      <c r="X14" s="28">
        <f t="shared" si="20"/>
        <v>49422</v>
      </c>
      <c r="Y14" s="35">
        <f t="shared" si="21"/>
        <v>11491</v>
      </c>
      <c r="Z14" s="27">
        <f t="shared" si="22"/>
        <v>7638.9906736000003</v>
      </c>
      <c r="AA14" s="27">
        <f t="shared" si="24"/>
        <v>34651.2233184</v>
      </c>
    </row>
    <row r="15" spans="1:27" ht="16.5" thickBot="1" x14ac:dyDescent="0.25">
      <c r="A15" s="10">
        <v>44360</v>
      </c>
      <c r="B15" s="49">
        <v>138</v>
      </c>
      <c r="C15" s="161">
        <v>18298</v>
      </c>
      <c r="D15" s="49">
        <f t="shared" si="11"/>
        <v>640</v>
      </c>
      <c r="E15" s="137">
        <v>26321909</v>
      </c>
      <c r="F15" s="49">
        <f>IF((E15-E14)&lt;0,"0",(E15-E14))</f>
        <v>7519</v>
      </c>
      <c r="G15" s="141">
        <v>83396412</v>
      </c>
      <c r="H15" s="49">
        <f t="shared" si="13"/>
        <v>51133</v>
      </c>
      <c r="I15" s="138">
        <f t="shared" si="14"/>
        <v>58652</v>
      </c>
      <c r="J15" s="137">
        <v>8166013</v>
      </c>
      <c r="K15" s="49">
        <f t="shared" si="15"/>
        <v>5186</v>
      </c>
      <c r="L15" s="139">
        <v>8137914</v>
      </c>
      <c r="M15" s="49">
        <f t="shared" si="16"/>
        <v>4228</v>
      </c>
      <c r="N15" s="137">
        <v>5265178</v>
      </c>
      <c r="O15" s="49">
        <f t="shared" si="23"/>
        <v>3148</v>
      </c>
      <c r="P15" s="139">
        <v>3682927</v>
      </c>
      <c r="Q15" s="49">
        <f t="shared" si="17"/>
        <v>16993</v>
      </c>
      <c r="R15" s="137">
        <v>17679861</v>
      </c>
      <c r="S15" s="49">
        <f>IF((R15-R14)&lt;0,"0",(R15-R14))</f>
        <v>8366</v>
      </c>
      <c r="T15" s="137">
        <v>0</v>
      </c>
      <c r="U15" s="140"/>
      <c r="V15" s="137">
        <v>5366863</v>
      </c>
      <c r="W15" s="49">
        <f t="shared" si="19"/>
        <v>9531</v>
      </c>
      <c r="X15" s="28">
        <f t="shared" si="20"/>
        <v>47452</v>
      </c>
      <c r="Y15" s="35">
        <f t="shared" si="21"/>
        <v>11200</v>
      </c>
      <c r="Z15" s="27">
        <f t="shared" si="22"/>
        <v>7259.6462224000006</v>
      </c>
      <c r="AA15" s="27">
        <f t="shared" si="24"/>
        <v>33158.496404800004</v>
      </c>
    </row>
    <row r="16" spans="1:27" ht="16.5" thickBot="1" x14ac:dyDescent="0.25">
      <c r="A16" s="10">
        <v>44361</v>
      </c>
      <c r="B16" s="49"/>
      <c r="C16" s="161">
        <v>18304</v>
      </c>
      <c r="D16" s="49">
        <f t="shared" si="11"/>
        <v>960</v>
      </c>
      <c r="E16" s="137">
        <v>26333288</v>
      </c>
      <c r="F16" s="49">
        <f>IF((E16-E15)&lt;0,"0",(E16-E15))</f>
        <v>11379</v>
      </c>
      <c r="G16" s="141">
        <v>83452613</v>
      </c>
      <c r="H16" s="49">
        <f t="shared" si="13"/>
        <v>56201</v>
      </c>
      <c r="I16" s="138">
        <f t="shared" si="14"/>
        <v>67580</v>
      </c>
      <c r="J16" s="137">
        <v>8172205</v>
      </c>
      <c r="K16" s="49">
        <f t="shared" si="15"/>
        <v>6192</v>
      </c>
      <c r="L16" s="139">
        <v>8143102</v>
      </c>
      <c r="M16" s="49">
        <f t="shared" si="16"/>
        <v>5188</v>
      </c>
      <c r="N16" s="137">
        <v>5268204</v>
      </c>
      <c r="O16" s="49">
        <f t="shared" si="23"/>
        <v>6052</v>
      </c>
      <c r="P16" s="139">
        <v>3698765</v>
      </c>
      <c r="Q16" s="49">
        <f t="shared" si="17"/>
        <v>15838</v>
      </c>
      <c r="R16" s="137">
        <v>17690086</v>
      </c>
      <c r="S16" s="49">
        <f t="shared" si="18"/>
        <v>10225</v>
      </c>
      <c r="T16" s="137">
        <v>0</v>
      </c>
      <c r="U16" s="140"/>
      <c r="V16" s="137">
        <v>5378328</v>
      </c>
      <c r="W16" s="49">
        <f t="shared" si="19"/>
        <v>11465</v>
      </c>
      <c r="X16" s="28">
        <f t="shared" si="20"/>
        <v>54960</v>
      </c>
      <c r="Y16" s="35">
        <f t="shared" si="21"/>
        <v>12620</v>
      </c>
      <c r="Z16" s="27">
        <f t="shared" si="22"/>
        <v>8433.4642079999994</v>
      </c>
      <c r="AA16" s="27">
        <f t="shared" si="24"/>
        <v>34058.513319999998</v>
      </c>
    </row>
    <row r="17" spans="1:27" s="151" customFormat="1" ht="16.5" thickBot="1" x14ac:dyDescent="0.25">
      <c r="A17" s="10">
        <v>44362</v>
      </c>
      <c r="B17" s="146">
        <v>202</v>
      </c>
      <c r="C17" s="161">
        <v>18312</v>
      </c>
      <c r="D17" s="49">
        <f t="shared" si="11"/>
        <v>1280</v>
      </c>
      <c r="E17" s="137">
        <v>26350830</v>
      </c>
      <c r="F17" s="146">
        <f t="shared" si="12"/>
        <v>17542</v>
      </c>
      <c r="G17" s="141">
        <v>83511898</v>
      </c>
      <c r="H17" s="49">
        <f t="shared" si="13"/>
        <v>59285</v>
      </c>
      <c r="I17" s="148">
        <f t="shared" si="14"/>
        <v>76827</v>
      </c>
      <c r="J17" s="137">
        <v>8178846</v>
      </c>
      <c r="K17" s="146">
        <f t="shared" si="15"/>
        <v>6641</v>
      </c>
      <c r="L17" s="139">
        <v>8149786</v>
      </c>
      <c r="M17" s="146">
        <f t="shared" si="16"/>
        <v>6684</v>
      </c>
      <c r="N17" s="137">
        <v>5273545</v>
      </c>
      <c r="O17" s="146">
        <f t="shared" si="23"/>
        <v>10682</v>
      </c>
      <c r="P17" s="139">
        <v>3711726</v>
      </c>
      <c r="Q17" s="146">
        <f t="shared" si="17"/>
        <v>12961</v>
      </c>
      <c r="R17" s="137">
        <v>17701680</v>
      </c>
      <c r="S17" s="146">
        <f t="shared" si="18"/>
        <v>11594</v>
      </c>
      <c r="T17" s="147">
        <v>0</v>
      </c>
      <c r="U17" s="140"/>
      <c r="V17" s="137">
        <v>5391676</v>
      </c>
      <c r="W17" s="146">
        <f t="shared" si="19"/>
        <v>13348</v>
      </c>
      <c r="X17" s="28">
        <f t="shared" si="20"/>
        <v>61910</v>
      </c>
      <c r="Y17" s="149">
        <f t="shared" si="21"/>
        <v>14917</v>
      </c>
      <c r="Z17" s="150">
        <f t="shared" si="22"/>
        <v>9476.5523424000003</v>
      </c>
      <c r="AA17" s="150">
        <f t="shared" si="24"/>
        <v>32808.6534464</v>
      </c>
    </row>
    <row r="18" spans="1:27" s="151" customFormat="1" ht="16.5" thickBot="1" x14ac:dyDescent="0.25">
      <c r="A18" s="10">
        <v>44363</v>
      </c>
      <c r="B18" s="146">
        <v>115</v>
      </c>
      <c r="C18" s="161">
        <v>18318</v>
      </c>
      <c r="D18" s="49">
        <f t="shared" si="11"/>
        <v>960</v>
      </c>
      <c r="E18" s="137">
        <v>26362565</v>
      </c>
      <c r="F18" s="146">
        <f t="shared" si="12"/>
        <v>11735</v>
      </c>
      <c r="G18" s="141">
        <v>83554058</v>
      </c>
      <c r="H18" s="49">
        <f t="shared" si="13"/>
        <v>42160</v>
      </c>
      <c r="I18" s="148">
        <f t="shared" si="14"/>
        <v>53895</v>
      </c>
      <c r="J18" s="137">
        <v>8183682</v>
      </c>
      <c r="K18" s="146">
        <f t="shared" si="15"/>
        <v>4836</v>
      </c>
      <c r="L18" s="139">
        <v>8154041</v>
      </c>
      <c r="M18" s="146">
        <f t="shared" si="16"/>
        <v>4255</v>
      </c>
      <c r="N18" s="137">
        <v>5277211</v>
      </c>
      <c r="O18" s="146">
        <f t="shared" si="23"/>
        <v>7332</v>
      </c>
      <c r="P18" s="139">
        <v>3721068</v>
      </c>
      <c r="Q18" s="146">
        <f t="shared" si="17"/>
        <v>9342</v>
      </c>
      <c r="R18" s="137">
        <v>17709637</v>
      </c>
      <c r="S18" s="146">
        <f t="shared" si="18"/>
        <v>7957</v>
      </c>
      <c r="T18" s="147">
        <v>0</v>
      </c>
      <c r="U18" s="140"/>
      <c r="V18" s="137">
        <v>5401186</v>
      </c>
      <c r="W18" s="146">
        <f t="shared" si="19"/>
        <v>9510</v>
      </c>
      <c r="X18" s="28">
        <f t="shared" si="20"/>
        <v>43232</v>
      </c>
      <c r="Y18" s="149">
        <f t="shared" si="21"/>
        <v>10663</v>
      </c>
      <c r="Z18" s="150">
        <f t="shared" si="22"/>
        <v>6653.3680304</v>
      </c>
      <c r="AA18" s="150">
        <f t="shared" si="24"/>
        <v>31823.030803200003</v>
      </c>
    </row>
    <row r="19" spans="1:27" s="151" customFormat="1" ht="16.5" thickBot="1" x14ac:dyDescent="0.25">
      <c r="A19" s="10">
        <v>44364</v>
      </c>
      <c r="B19" s="146">
        <v>162</v>
      </c>
      <c r="C19" s="161">
        <v>18323</v>
      </c>
      <c r="D19" s="49">
        <f>IF((C19-C18)&lt;0,"0",(C19-C18))*160</f>
        <v>800</v>
      </c>
      <c r="E19" s="137">
        <v>26386525</v>
      </c>
      <c r="F19" s="146">
        <f t="shared" si="12"/>
        <v>23960</v>
      </c>
      <c r="G19" s="141">
        <v>83616032</v>
      </c>
      <c r="H19" s="49">
        <f t="shared" si="13"/>
        <v>61974</v>
      </c>
      <c r="I19" s="148">
        <f t="shared" si="14"/>
        <v>85934</v>
      </c>
      <c r="J19" s="137">
        <v>8190909</v>
      </c>
      <c r="K19" s="146">
        <f t="shared" si="15"/>
        <v>7227</v>
      </c>
      <c r="L19" s="139">
        <v>8163259</v>
      </c>
      <c r="M19" s="146">
        <f t="shared" si="16"/>
        <v>9218</v>
      </c>
      <c r="N19" s="137">
        <v>5284480</v>
      </c>
      <c r="O19" s="146">
        <f t="shared" si="23"/>
        <v>14538</v>
      </c>
      <c r="P19" s="139">
        <v>3734565</v>
      </c>
      <c r="Q19" s="146">
        <f t="shared" si="17"/>
        <v>13497</v>
      </c>
      <c r="R19" s="137">
        <v>17721854</v>
      </c>
      <c r="S19" s="146">
        <f t="shared" si="18"/>
        <v>12217</v>
      </c>
      <c r="T19" s="147">
        <v>0</v>
      </c>
      <c r="U19" s="140"/>
      <c r="V19" s="137">
        <v>5414953</v>
      </c>
      <c r="W19" s="146">
        <f t="shared" si="19"/>
        <v>13767</v>
      </c>
      <c r="X19" s="28">
        <f t="shared" si="20"/>
        <v>70464</v>
      </c>
      <c r="Y19" s="149">
        <f t="shared" si="21"/>
        <v>15470</v>
      </c>
      <c r="Z19" s="150">
        <f t="shared" si="22"/>
        <v>10365.282636800001</v>
      </c>
      <c r="AA19" s="150">
        <f t="shared" si="24"/>
        <v>34928.667217599999</v>
      </c>
    </row>
    <row r="20" spans="1:27" s="151" customFormat="1" ht="16.5" thickBot="1" x14ac:dyDescent="0.25">
      <c r="A20" s="10">
        <v>44365</v>
      </c>
      <c r="B20" s="146">
        <v>185</v>
      </c>
      <c r="C20" s="161">
        <v>18327</v>
      </c>
      <c r="D20" s="49">
        <f>IF((C20-C19)&lt;0,"0",(C20-C19))*160</f>
        <v>640</v>
      </c>
      <c r="E20" s="137">
        <v>26403574</v>
      </c>
      <c r="F20" s="146">
        <f t="shared" si="12"/>
        <v>17049</v>
      </c>
      <c r="G20" s="141">
        <v>83658967</v>
      </c>
      <c r="H20" s="49">
        <f t="shared" si="13"/>
        <v>42935</v>
      </c>
      <c r="I20" s="148">
        <f t="shared" si="14"/>
        <v>59984</v>
      </c>
      <c r="J20" s="137">
        <v>8195530</v>
      </c>
      <c r="K20" s="146">
        <f t="shared" si="15"/>
        <v>4621</v>
      </c>
      <c r="L20" s="139">
        <v>8169023</v>
      </c>
      <c r="M20" s="146">
        <f t="shared" si="16"/>
        <v>5764</v>
      </c>
      <c r="N20" s="137">
        <v>5290004</v>
      </c>
      <c r="O20" s="146">
        <f t="shared" si="23"/>
        <v>11048</v>
      </c>
      <c r="P20" s="139">
        <v>3744128</v>
      </c>
      <c r="Q20" s="146">
        <f t="shared" si="17"/>
        <v>9563</v>
      </c>
      <c r="R20" s="137">
        <v>17730577</v>
      </c>
      <c r="S20" s="146">
        <f t="shared" si="18"/>
        <v>8723</v>
      </c>
      <c r="T20" s="147">
        <v>0</v>
      </c>
      <c r="U20" s="140"/>
      <c r="V20" s="137">
        <v>5424517</v>
      </c>
      <c r="W20" s="146">
        <f t="shared" si="19"/>
        <v>9564</v>
      </c>
      <c r="X20" s="28">
        <f t="shared" si="20"/>
        <v>49283</v>
      </c>
      <c r="Y20" s="149">
        <f t="shared" si="21"/>
        <v>10701</v>
      </c>
      <c r="Z20" s="150">
        <f t="shared" si="22"/>
        <v>7422.3461103999998</v>
      </c>
      <c r="AA20" s="150">
        <f t="shared" si="24"/>
        <v>33917.549120000003</v>
      </c>
    </row>
    <row r="21" spans="1:27" s="151" customFormat="1" ht="16.5" thickBot="1" x14ac:dyDescent="0.25">
      <c r="A21" s="10">
        <v>44366</v>
      </c>
      <c r="B21" s="146">
        <v>160</v>
      </c>
      <c r="C21" s="161">
        <v>18330</v>
      </c>
      <c r="D21" s="49">
        <f>IF((C21-C20)&lt;0,"0",(C21-C20))*160</f>
        <v>480</v>
      </c>
      <c r="E21" s="137">
        <v>26423881</v>
      </c>
      <c r="F21" s="146">
        <f t="shared" si="12"/>
        <v>20307</v>
      </c>
      <c r="G21" s="141">
        <v>83711672</v>
      </c>
      <c r="H21" s="49">
        <f t="shared" si="13"/>
        <v>52705</v>
      </c>
      <c r="I21" s="148">
        <f t="shared" si="14"/>
        <v>73012</v>
      </c>
      <c r="J21" s="137">
        <v>8201697</v>
      </c>
      <c r="K21" s="146">
        <f t="shared" si="15"/>
        <v>6167</v>
      </c>
      <c r="L21" s="139">
        <v>8176007</v>
      </c>
      <c r="M21" s="146">
        <f t="shared" si="16"/>
        <v>6984</v>
      </c>
      <c r="N21" s="137">
        <v>5296601</v>
      </c>
      <c r="O21" s="146">
        <f t="shared" si="23"/>
        <v>13194</v>
      </c>
      <c r="P21" s="139">
        <v>3755918</v>
      </c>
      <c r="Q21" s="146">
        <f t="shared" si="17"/>
        <v>11790</v>
      </c>
      <c r="R21" s="137">
        <v>17741332</v>
      </c>
      <c r="S21" s="146">
        <f t="shared" si="18"/>
        <v>10755</v>
      </c>
      <c r="T21" s="147">
        <v>0</v>
      </c>
      <c r="U21" s="140"/>
      <c r="V21" s="137">
        <v>5435774</v>
      </c>
      <c r="W21" s="146">
        <f t="shared" si="19"/>
        <v>11257</v>
      </c>
      <c r="X21" s="28">
        <f t="shared" si="20"/>
        <v>60147</v>
      </c>
      <c r="Y21" s="149">
        <f t="shared" si="21"/>
        <v>12865</v>
      </c>
      <c r="Z21" s="150">
        <f t="shared" si="22"/>
        <v>8959.5306943999985</v>
      </c>
      <c r="AA21" s="150">
        <f t="shared" si="24"/>
        <v>33400.527471999994</v>
      </c>
    </row>
    <row r="22" spans="1:27" ht="16.5" thickBot="1" x14ac:dyDescent="0.25">
      <c r="A22" s="10">
        <v>44367</v>
      </c>
      <c r="B22" s="49">
        <v>196</v>
      </c>
      <c r="C22" s="161">
        <v>18333</v>
      </c>
      <c r="D22" s="49">
        <f t="shared" si="11"/>
        <v>480</v>
      </c>
      <c r="E22" s="137">
        <v>26438022</v>
      </c>
      <c r="F22" s="49">
        <f t="shared" si="12"/>
        <v>14141</v>
      </c>
      <c r="G22" s="141">
        <v>83765151</v>
      </c>
      <c r="H22" s="49">
        <f t="shared" si="13"/>
        <v>53479</v>
      </c>
      <c r="I22" s="138">
        <f t="shared" si="14"/>
        <v>67620</v>
      </c>
      <c r="J22" s="137">
        <v>8208116</v>
      </c>
      <c r="K22" s="49">
        <f t="shared" si="15"/>
        <v>6419</v>
      </c>
      <c r="L22" s="139">
        <v>8180564</v>
      </c>
      <c r="M22" s="49">
        <f t="shared" si="16"/>
        <v>4557</v>
      </c>
      <c r="N22" s="137">
        <v>5301316</v>
      </c>
      <c r="O22" s="49">
        <f t="shared" si="23"/>
        <v>9430</v>
      </c>
      <c r="P22" s="139">
        <v>3767874</v>
      </c>
      <c r="Q22" s="49">
        <f t="shared" si="17"/>
        <v>11956</v>
      </c>
      <c r="R22" s="137">
        <v>17751851</v>
      </c>
      <c r="S22" s="49">
        <f t="shared" si="18"/>
        <v>10519</v>
      </c>
      <c r="T22" s="137">
        <v>0</v>
      </c>
      <c r="U22" s="140"/>
      <c r="V22" s="137">
        <v>5447222</v>
      </c>
      <c r="W22" s="49">
        <f t="shared" si="19"/>
        <v>11448</v>
      </c>
      <c r="X22" s="28">
        <f t="shared" si="20"/>
        <v>54329</v>
      </c>
      <c r="Y22" s="35">
        <f t="shared" si="21"/>
        <v>13291</v>
      </c>
      <c r="Z22" s="27">
        <f t="shared" si="22"/>
        <v>8427.7332463999992</v>
      </c>
      <c r="AA22" s="27">
        <f t="shared" si="24"/>
        <v>35174.892688</v>
      </c>
    </row>
    <row r="23" spans="1:27" ht="16.5" thickBot="1" x14ac:dyDescent="0.25">
      <c r="A23" s="10">
        <v>44368</v>
      </c>
      <c r="B23" s="49">
        <v>201</v>
      </c>
      <c r="C23" s="161">
        <v>18336</v>
      </c>
      <c r="D23" s="49">
        <f t="shared" si="11"/>
        <v>480</v>
      </c>
      <c r="E23" s="137">
        <v>26448318</v>
      </c>
      <c r="F23" s="49">
        <f t="shared" si="12"/>
        <v>10296</v>
      </c>
      <c r="G23" s="141">
        <v>83802777</v>
      </c>
      <c r="H23" s="49">
        <f t="shared" si="13"/>
        <v>37626</v>
      </c>
      <c r="I23" s="138">
        <f t="shared" si="14"/>
        <v>47922</v>
      </c>
      <c r="J23" s="137">
        <v>8212658</v>
      </c>
      <c r="K23" s="49">
        <f t="shared" si="15"/>
        <v>4542</v>
      </c>
      <c r="L23" s="139">
        <v>8184040</v>
      </c>
      <c r="M23" s="49">
        <f t="shared" si="16"/>
        <v>3476</v>
      </c>
      <c r="N23" s="137">
        <v>5304658</v>
      </c>
      <c r="O23" s="49">
        <f t="shared" si="23"/>
        <v>6684</v>
      </c>
      <c r="P23" s="139">
        <v>3776585</v>
      </c>
      <c r="Q23" s="49">
        <f t="shared" si="17"/>
        <v>8711</v>
      </c>
      <c r="R23" s="137">
        <v>17759140</v>
      </c>
      <c r="S23" s="49">
        <f t="shared" si="18"/>
        <v>7289</v>
      </c>
      <c r="T23" s="137">
        <v>0</v>
      </c>
      <c r="U23" s="140"/>
      <c r="V23" s="137">
        <v>5455070</v>
      </c>
      <c r="W23" s="49">
        <f t="shared" si="19"/>
        <v>7848</v>
      </c>
      <c r="X23" s="28">
        <f t="shared" si="20"/>
        <v>38550</v>
      </c>
      <c r="Y23" s="35">
        <f t="shared" si="21"/>
        <v>9372</v>
      </c>
      <c r="Z23" s="27">
        <f t="shared" si="22"/>
        <v>5902.6833423999997</v>
      </c>
      <c r="AA23" s="27">
        <f t="shared" si="24"/>
        <v>30712.293393599997</v>
      </c>
    </row>
    <row r="24" spans="1:27" ht="16.5" thickBot="1" x14ac:dyDescent="0.25">
      <c r="A24" s="10">
        <v>44369</v>
      </c>
      <c r="B24" s="49">
        <v>197</v>
      </c>
      <c r="C24" s="161">
        <v>18343</v>
      </c>
      <c r="D24" s="49">
        <f t="shared" si="11"/>
        <v>1120</v>
      </c>
      <c r="E24" s="137">
        <v>26471132</v>
      </c>
      <c r="F24" s="49">
        <f t="shared" si="12"/>
        <v>22814</v>
      </c>
      <c r="G24" s="141">
        <v>83859447</v>
      </c>
      <c r="H24" s="49">
        <f t="shared" si="13"/>
        <v>56670</v>
      </c>
      <c r="I24" s="138">
        <f t="shared" si="14"/>
        <v>79484</v>
      </c>
      <c r="J24" s="137">
        <v>8219334</v>
      </c>
      <c r="K24" s="49">
        <f t="shared" si="15"/>
        <v>6676</v>
      </c>
      <c r="L24" s="139">
        <v>8191812</v>
      </c>
      <c r="M24" s="49">
        <f t="shared" si="16"/>
        <v>7772</v>
      </c>
      <c r="N24" s="137">
        <v>5312045</v>
      </c>
      <c r="O24" s="49">
        <f t="shared" si="23"/>
        <v>14774</v>
      </c>
      <c r="P24" s="139">
        <v>3789789</v>
      </c>
      <c r="Q24" s="49">
        <f t="shared" si="17"/>
        <v>13204</v>
      </c>
      <c r="R24" s="137">
        <v>17770013</v>
      </c>
      <c r="S24" s="49">
        <f t="shared" si="18"/>
        <v>10873</v>
      </c>
      <c r="T24" s="137">
        <v>0</v>
      </c>
      <c r="U24" s="140"/>
      <c r="V24" s="137">
        <v>5467030</v>
      </c>
      <c r="W24" s="49">
        <f t="shared" si="19"/>
        <v>11960</v>
      </c>
      <c r="X24" s="28">
        <f t="shared" si="20"/>
        <v>65259</v>
      </c>
      <c r="Y24" s="35">
        <f t="shared" si="21"/>
        <v>14225</v>
      </c>
      <c r="Z24" s="27">
        <f t="shared" si="22"/>
        <v>9592.2352656000003</v>
      </c>
      <c r="AA24" s="27">
        <f t="shared" si="24"/>
        <v>32882.182548799996</v>
      </c>
    </row>
    <row r="25" spans="1:27" ht="16.5" thickBot="1" x14ac:dyDescent="0.25">
      <c r="A25" s="10">
        <v>44370</v>
      </c>
      <c r="B25" s="49">
        <v>236</v>
      </c>
      <c r="C25" s="161">
        <v>18348</v>
      </c>
      <c r="D25" s="49">
        <f t="shared" si="11"/>
        <v>800</v>
      </c>
      <c r="E25" s="137">
        <v>26508692</v>
      </c>
      <c r="F25" s="49">
        <f t="shared" si="12"/>
        <v>37560</v>
      </c>
      <c r="G25" s="141">
        <v>83956381</v>
      </c>
      <c r="H25" s="49">
        <f t="shared" si="13"/>
        <v>96934</v>
      </c>
      <c r="I25" s="138">
        <f t="shared" si="14"/>
        <v>134494</v>
      </c>
      <c r="J25" s="137">
        <v>8230866</v>
      </c>
      <c r="K25" s="49">
        <f t="shared" si="15"/>
        <v>11532</v>
      </c>
      <c r="L25" s="139">
        <v>8203598</v>
      </c>
      <c r="M25" s="49">
        <f t="shared" si="16"/>
        <v>11786</v>
      </c>
      <c r="N25" s="137">
        <v>5324784</v>
      </c>
      <c r="O25" s="49">
        <f t="shared" si="23"/>
        <v>25478</v>
      </c>
      <c r="P25" s="139">
        <v>3808482</v>
      </c>
      <c r="Q25" s="49">
        <f t="shared" si="17"/>
        <v>18693</v>
      </c>
      <c r="R25" s="137">
        <v>17789434</v>
      </c>
      <c r="S25" s="49">
        <f t="shared" si="18"/>
        <v>19421</v>
      </c>
      <c r="T25" s="137">
        <v>0</v>
      </c>
      <c r="U25" s="140"/>
      <c r="V25" s="137">
        <v>5488854</v>
      </c>
      <c r="W25" s="49">
        <f t="shared" si="19"/>
        <v>21824</v>
      </c>
      <c r="X25" s="28">
        <f t="shared" si="20"/>
        <v>108734</v>
      </c>
      <c r="Y25" s="35">
        <f t="shared" si="21"/>
        <v>25760</v>
      </c>
      <c r="Z25" s="27">
        <f t="shared" si="22"/>
        <v>16405.335752000003</v>
      </c>
      <c r="AA25" s="27">
        <f t="shared" si="24"/>
        <v>40327.987606399998</v>
      </c>
    </row>
    <row r="26" spans="1:27" ht="16.5" thickBot="1" x14ac:dyDescent="0.25">
      <c r="A26" s="10">
        <v>44371</v>
      </c>
      <c r="B26" s="49">
        <v>254</v>
      </c>
      <c r="C26" s="161">
        <v>18354</v>
      </c>
      <c r="D26" s="49">
        <f t="shared" si="11"/>
        <v>960</v>
      </c>
      <c r="E26" s="137">
        <v>26508692</v>
      </c>
      <c r="F26" s="49">
        <f t="shared" si="12"/>
        <v>0</v>
      </c>
      <c r="G26" s="141">
        <v>83956381</v>
      </c>
      <c r="H26" s="49">
        <f t="shared" si="13"/>
        <v>0</v>
      </c>
      <c r="I26" s="138">
        <f t="shared" si="14"/>
        <v>0</v>
      </c>
      <c r="J26" s="137">
        <v>8230866</v>
      </c>
      <c r="K26" s="49">
        <f t="shared" si="15"/>
        <v>0</v>
      </c>
      <c r="L26" s="139">
        <v>8203598</v>
      </c>
      <c r="M26" s="49">
        <f t="shared" si="16"/>
        <v>0</v>
      </c>
      <c r="N26" s="137">
        <v>5324784</v>
      </c>
      <c r="O26" s="49">
        <f t="shared" si="23"/>
        <v>0</v>
      </c>
      <c r="P26" s="139">
        <v>3808482</v>
      </c>
      <c r="Q26" s="49">
        <f t="shared" si="17"/>
        <v>0</v>
      </c>
      <c r="R26" s="137">
        <v>17789434</v>
      </c>
      <c r="S26" s="49">
        <f t="shared" si="18"/>
        <v>0</v>
      </c>
      <c r="T26" s="137">
        <v>0</v>
      </c>
      <c r="U26" s="140"/>
      <c r="V26" s="137">
        <v>5488854</v>
      </c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31900.254360000003</v>
      </c>
    </row>
    <row r="27" spans="1:27" ht="16.5" thickBot="1" x14ac:dyDescent="0.25">
      <c r="A27" s="10">
        <v>44372</v>
      </c>
      <c r="B27" s="49">
        <v>256</v>
      </c>
      <c r="C27" s="161">
        <v>18358</v>
      </c>
      <c r="D27" s="49">
        <f t="shared" si="11"/>
        <v>640</v>
      </c>
      <c r="E27" s="137">
        <v>26532814</v>
      </c>
      <c r="F27" s="49">
        <f t="shared" si="12"/>
        <v>24122</v>
      </c>
      <c r="G27" s="141">
        <v>84002534</v>
      </c>
      <c r="H27" s="49">
        <f t="shared" si="13"/>
        <v>46153</v>
      </c>
      <c r="I27" s="138">
        <f t="shared" si="14"/>
        <v>70275</v>
      </c>
      <c r="J27" s="137">
        <v>8236529</v>
      </c>
      <c r="K27" s="49">
        <f t="shared" si="15"/>
        <v>5663</v>
      </c>
      <c r="L27" s="139">
        <v>8208954</v>
      </c>
      <c r="M27" s="49">
        <f t="shared" si="16"/>
        <v>5356</v>
      </c>
      <c r="N27" s="137">
        <v>5334100</v>
      </c>
      <c r="O27" s="49">
        <f t="shared" si="23"/>
        <v>18632</v>
      </c>
      <c r="P27" s="139">
        <v>3812243</v>
      </c>
      <c r="Q27" s="49">
        <f t="shared" si="17"/>
        <v>3761</v>
      </c>
      <c r="R27" s="137">
        <v>17800369</v>
      </c>
      <c r="S27" s="49">
        <f t="shared" si="18"/>
        <v>10935</v>
      </c>
      <c r="T27" s="137">
        <v>0</v>
      </c>
      <c r="U27" s="140"/>
      <c r="V27" s="137">
        <v>5501100</v>
      </c>
      <c r="W27" s="49">
        <f t="shared" si="19"/>
        <v>12246</v>
      </c>
      <c r="X27" s="28">
        <f t="shared" si="20"/>
        <v>56593</v>
      </c>
      <c r="Y27" s="35">
        <f t="shared" si="21"/>
        <v>13682</v>
      </c>
      <c r="Z27" s="27">
        <f t="shared" si="22"/>
        <v>8868.1708752000013</v>
      </c>
      <c r="AA27" s="27">
        <f t="shared" si="24"/>
        <v>34865.741892800004</v>
      </c>
    </row>
    <row r="28" spans="1:27" ht="16.5" thickBot="1" x14ac:dyDescent="0.25">
      <c r="A28" s="10">
        <v>44373</v>
      </c>
      <c r="B28" s="49">
        <v>216</v>
      </c>
      <c r="C28" s="161">
        <v>18361</v>
      </c>
      <c r="D28" s="49">
        <f t="shared" si="11"/>
        <v>480</v>
      </c>
      <c r="E28" s="137">
        <v>26554041</v>
      </c>
      <c r="F28" s="49">
        <f t="shared" si="12"/>
        <v>21227</v>
      </c>
      <c r="G28" s="141">
        <v>84051294</v>
      </c>
      <c r="H28" s="49">
        <f t="shared" si="13"/>
        <v>48760</v>
      </c>
      <c r="I28" s="138">
        <f t="shared" si="14"/>
        <v>69987</v>
      </c>
      <c r="J28" s="137">
        <v>8242550</v>
      </c>
      <c r="K28" s="49">
        <f t="shared" si="15"/>
        <v>6021</v>
      </c>
      <c r="L28" s="139">
        <v>8213860</v>
      </c>
      <c r="M28" s="49">
        <f t="shared" si="16"/>
        <v>4906</v>
      </c>
      <c r="N28" s="137">
        <v>5342118</v>
      </c>
      <c r="O28" s="49">
        <f t="shared" si="23"/>
        <v>16036</v>
      </c>
      <c r="P28" s="139">
        <v>3818921</v>
      </c>
      <c r="Q28" s="49">
        <f t="shared" si="17"/>
        <v>6678</v>
      </c>
      <c r="R28" s="137">
        <v>17811413</v>
      </c>
      <c r="S28" s="49">
        <f t="shared" si="18"/>
        <v>11044</v>
      </c>
      <c r="T28" s="137">
        <v>0</v>
      </c>
      <c r="U28" s="140"/>
      <c r="V28" s="137">
        <v>5512818</v>
      </c>
      <c r="W28" s="49">
        <f t="shared" si="19"/>
        <v>11718</v>
      </c>
      <c r="X28" s="28">
        <f t="shared" si="20"/>
        <v>56403</v>
      </c>
      <c r="Y28" s="35">
        <f t="shared" si="21"/>
        <v>13584</v>
      </c>
      <c r="Z28" s="27">
        <f t="shared" si="22"/>
        <v>8812.9437343999998</v>
      </c>
      <c r="AA28" s="27">
        <f t="shared" si="24"/>
        <v>34086.4503616</v>
      </c>
    </row>
    <row r="29" spans="1:27" ht="16.5" thickBot="1" x14ac:dyDescent="0.25">
      <c r="A29" s="10">
        <v>44374</v>
      </c>
      <c r="B29" s="49">
        <v>144</v>
      </c>
      <c r="C29" s="161">
        <v>18366</v>
      </c>
      <c r="D29" s="49">
        <f t="shared" si="11"/>
        <v>800</v>
      </c>
      <c r="E29" s="137">
        <v>26567468</v>
      </c>
      <c r="F29" s="49">
        <f t="shared" si="12"/>
        <v>13427</v>
      </c>
      <c r="G29" s="141">
        <v>84098260</v>
      </c>
      <c r="H29" s="49">
        <f t="shared" si="13"/>
        <v>46966</v>
      </c>
      <c r="I29" s="138">
        <f t="shared" si="14"/>
        <v>60393</v>
      </c>
      <c r="J29" s="137">
        <v>8247669</v>
      </c>
      <c r="K29" s="49">
        <f t="shared" si="15"/>
        <v>5119</v>
      </c>
      <c r="L29" s="139">
        <v>8218127</v>
      </c>
      <c r="M29" s="49">
        <f t="shared" si="16"/>
        <v>4267</v>
      </c>
      <c r="N29" s="137">
        <v>5346621</v>
      </c>
      <c r="O29" s="49">
        <f t="shared" si="23"/>
        <v>9006</v>
      </c>
      <c r="P29" s="139">
        <v>3830715</v>
      </c>
      <c r="Q29" s="49">
        <f t="shared" si="17"/>
        <v>11794</v>
      </c>
      <c r="R29" s="137">
        <v>17820688</v>
      </c>
      <c r="S29" s="49">
        <f t="shared" si="18"/>
        <v>9275</v>
      </c>
      <c r="T29" s="137">
        <v>0</v>
      </c>
      <c r="U29" s="140"/>
      <c r="V29" s="137">
        <v>5522690</v>
      </c>
      <c r="W29" s="49">
        <f t="shared" si="19"/>
        <v>9872</v>
      </c>
      <c r="X29" s="28">
        <f t="shared" si="20"/>
        <v>49333</v>
      </c>
      <c r="Y29" s="35">
        <f t="shared" si="21"/>
        <v>11060</v>
      </c>
      <c r="Z29" s="27">
        <f t="shared" si="22"/>
        <v>7658.4423343999997</v>
      </c>
      <c r="AA29" s="27">
        <f t="shared" si="24"/>
        <v>25339.556944</v>
      </c>
    </row>
    <row r="30" spans="1:27" ht="16.5" thickBot="1" x14ac:dyDescent="0.25">
      <c r="A30" s="10">
        <v>44375</v>
      </c>
      <c r="B30" s="49">
        <v>169</v>
      </c>
      <c r="C30" s="161">
        <v>18371</v>
      </c>
      <c r="D30" s="49">
        <f t="shared" si="11"/>
        <v>800</v>
      </c>
      <c r="E30" s="137">
        <v>26582410</v>
      </c>
      <c r="F30" s="49">
        <f t="shared" si="12"/>
        <v>14942</v>
      </c>
      <c r="G30" s="141">
        <v>84150715</v>
      </c>
      <c r="H30" s="49">
        <f t="shared" si="13"/>
        <v>52455</v>
      </c>
      <c r="I30" s="138">
        <f t="shared" si="14"/>
        <v>67397</v>
      </c>
      <c r="J30" s="137">
        <v>8253226</v>
      </c>
      <c r="K30" s="49">
        <f t="shared" si="15"/>
        <v>5557</v>
      </c>
      <c r="L30" s="139">
        <v>8222763</v>
      </c>
      <c r="M30" s="49">
        <f t="shared" si="16"/>
        <v>4636</v>
      </c>
      <c r="N30" s="137">
        <v>5351696</v>
      </c>
      <c r="O30" s="49">
        <f t="shared" si="23"/>
        <v>10150</v>
      </c>
      <c r="P30" s="139">
        <v>3844376</v>
      </c>
      <c r="Q30" s="49">
        <f t="shared" si="17"/>
        <v>13661</v>
      </c>
      <c r="R30" s="137">
        <v>17830461</v>
      </c>
      <c r="S30" s="49">
        <f t="shared" si="18"/>
        <v>9773</v>
      </c>
      <c r="T30" s="137">
        <v>0</v>
      </c>
      <c r="U30" s="140"/>
      <c r="V30" s="137">
        <v>5533478</v>
      </c>
      <c r="W30" s="49">
        <f t="shared" si="19"/>
        <v>10788</v>
      </c>
      <c r="X30" s="28">
        <f t="shared" si="20"/>
        <v>54565</v>
      </c>
      <c r="Y30" s="35">
        <f t="shared" si="21"/>
        <v>12832</v>
      </c>
      <c r="Z30" s="27">
        <f t="shared" si="22"/>
        <v>8437.5380752000001</v>
      </c>
      <c r="AA30" s="27">
        <f t="shared" si="24"/>
        <v>33777.095019200002</v>
      </c>
    </row>
    <row r="31" spans="1:27" ht="16.5" thickBot="1" x14ac:dyDescent="0.25">
      <c r="A31" s="10">
        <v>44376</v>
      </c>
      <c r="B31" s="49"/>
      <c r="C31" s="161"/>
      <c r="D31" s="49">
        <f t="shared" si="11"/>
        <v>0</v>
      </c>
      <c r="E31" s="137"/>
      <c r="F31" s="49" t="str">
        <f t="shared" si="12"/>
        <v>0</v>
      </c>
      <c r="G31" s="141"/>
      <c r="H31" s="49" t="str">
        <f t="shared" si="13"/>
        <v>0</v>
      </c>
      <c r="I31" s="28">
        <f>F31+H31</f>
        <v>0</v>
      </c>
      <c r="J31" s="137"/>
      <c r="K31" s="49" t="str">
        <f t="shared" si="15"/>
        <v>0</v>
      </c>
      <c r="L31" s="139"/>
      <c r="M31" s="49" t="str">
        <f t="shared" si="16"/>
        <v>0</v>
      </c>
      <c r="N31" s="137"/>
      <c r="O31" s="49">
        <f t="shared" si="23"/>
        <v>0</v>
      </c>
      <c r="P31" s="139"/>
      <c r="Q31" s="49" t="str">
        <f t="shared" si="17"/>
        <v>0</v>
      </c>
      <c r="R31" s="137"/>
      <c r="S31" s="49" t="str">
        <f t="shared" si="18"/>
        <v>0</v>
      </c>
      <c r="T31" s="137">
        <v>0</v>
      </c>
      <c r="U31" s="29"/>
      <c r="V31" s="137"/>
      <c r="W31" s="49" t="str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24908.924143999997</v>
      </c>
    </row>
    <row r="32" spans="1:27" ht="16.5" thickBot="1" x14ac:dyDescent="0.25">
      <c r="A32" s="10">
        <v>44377</v>
      </c>
      <c r="B32" s="49"/>
      <c r="C32" s="161"/>
      <c r="D32" s="49">
        <f t="shared" si="11"/>
        <v>0</v>
      </c>
      <c r="E32" s="137"/>
      <c r="F32" s="49">
        <f t="shared" si="12"/>
        <v>0</v>
      </c>
      <c r="G32" s="141"/>
      <c r="H32" s="49">
        <f t="shared" si="13"/>
        <v>0</v>
      </c>
      <c r="I32" s="28">
        <f>F32+H32</f>
        <v>0</v>
      </c>
      <c r="J32" s="137"/>
      <c r="K32" s="49">
        <f t="shared" si="15"/>
        <v>0</v>
      </c>
      <c r="L32" s="139"/>
      <c r="M32" s="49">
        <f t="shared" si="16"/>
        <v>0</v>
      </c>
      <c r="N32" s="137"/>
      <c r="O32" s="49">
        <f t="shared" si="23"/>
        <v>0</v>
      </c>
      <c r="P32" s="139"/>
      <c r="Q32" s="49">
        <f t="shared" si="17"/>
        <v>0</v>
      </c>
      <c r="R32" s="137"/>
      <c r="S32" s="49">
        <f t="shared" si="18"/>
        <v>0</v>
      </c>
      <c r="T32" s="137">
        <v>0</v>
      </c>
      <c r="U32" s="29"/>
      <c r="V32" s="137"/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16095.980409600001</v>
      </c>
    </row>
    <row r="33" spans="1:28" ht="16.5" thickBot="1" x14ac:dyDescent="0.25">
      <c r="A33" s="10">
        <v>44377</v>
      </c>
      <c r="B33" s="49"/>
      <c r="C33" s="161"/>
      <c r="D33" s="49">
        <f t="shared" si="11"/>
        <v>0</v>
      </c>
      <c r="E33" s="137"/>
      <c r="F33" s="49">
        <f t="shared" si="12"/>
        <v>0</v>
      </c>
      <c r="G33" s="141"/>
      <c r="H33" s="49">
        <f t="shared" si="13"/>
        <v>0</v>
      </c>
      <c r="I33" s="28">
        <f>F33+H33</f>
        <v>0</v>
      </c>
      <c r="J33" s="137"/>
      <c r="K33" s="49">
        <f t="shared" si="15"/>
        <v>0</v>
      </c>
      <c r="L33" s="139"/>
      <c r="M33" s="49">
        <f t="shared" si="16"/>
        <v>0</v>
      </c>
      <c r="N33" s="137"/>
      <c r="O33" s="49">
        <f t="shared" si="23"/>
        <v>0</v>
      </c>
      <c r="P33" s="139"/>
      <c r="Q33" s="49">
        <f t="shared" si="17"/>
        <v>0</v>
      </c>
      <c r="R33" s="137"/>
      <c r="S33" s="49">
        <f t="shared" si="18"/>
        <v>0</v>
      </c>
      <c r="T33" s="137">
        <v>0</v>
      </c>
      <c r="U33" s="29"/>
      <c r="V33" s="137"/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8437.5380752000001</v>
      </c>
    </row>
    <row r="34" spans="1:28" ht="16.5" thickBot="1" x14ac:dyDescent="0.25">
      <c r="A34" s="6" t="s">
        <v>23</v>
      </c>
      <c r="B34" s="159">
        <f>SUM(B2:B33)</f>
        <v>5200</v>
      </c>
      <c r="C34" s="159"/>
      <c r="D34" s="159">
        <f>SUM(D2:D33)</f>
        <v>19040</v>
      </c>
      <c r="E34" s="159">
        <v>0</v>
      </c>
      <c r="F34" s="159">
        <f>SUM(F2:F33)</f>
        <v>439047</v>
      </c>
      <c r="G34" s="159">
        <v>0</v>
      </c>
      <c r="H34" s="159">
        <f>SUM(H2:H33)</f>
        <v>1424400</v>
      </c>
      <c r="I34" s="159">
        <f>SUM(I5:I33)</f>
        <v>1723316</v>
      </c>
      <c r="J34" s="159">
        <v>0</v>
      </c>
      <c r="K34" s="159">
        <f>SUM(K2:K33)</f>
        <v>163788</v>
      </c>
      <c r="L34" s="159">
        <v>0</v>
      </c>
      <c r="M34" s="159">
        <f>SUM(M2:M33)</f>
        <v>151100</v>
      </c>
      <c r="N34" s="159">
        <v>0</v>
      </c>
      <c r="O34" s="159">
        <f>SUM(O2:O33)</f>
        <v>286882</v>
      </c>
      <c r="P34" s="159">
        <v>0</v>
      </c>
      <c r="Q34" s="159">
        <f>SUM(Q2:Q33)</f>
        <v>319650</v>
      </c>
      <c r="R34" s="159">
        <v>0</v>
      </c>
      <c r="S34" s="159">
        <f>SUM(S2:S33)</f>
        <v>278586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312314</v>
      </c>
      <c r="X34" s="159">
        <f>SUM(X5:X33)</f>
        <v>1395728</v>
      </c>
      <c r="Y34" s="159">
        <f>SUM(Y2:Y33)</f>
        <v>355028</v>
      </c>
      <c r="Z34" s="159">
        <f>SUM(Z2:Z33)</f>
        <v>231226.83625600001</v>
      </c>
      <c r="AA34" s="159">
        <f>SUM(AA2:AA33)</f>
        <v>915200.88223200012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9" zoomScale="80" zoomScaleNormal="55" zoomScaleSheetLayoutView="80" workbookViewId="0">
      <selection activeCell="B30" sqref="B30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44347</v>
      </c>
      <c r="B2" s="154">
        <v>17373532</v>
      </c>
      <c r="C2" s="55"/>
    </row>
    <row r="3" spans="1:9" ht="24" thickBot="1" x14ac:dyDescent="0.4">
      <c r="A3" s="10">
        <v>44348</v>
      </c>
      <c r="B3" s="154">
        <v>17375432</v>
      </c>
      <c r="C3" s="55">
        <f>IF((B3-B2)&lt;0,"0",(B3-B2))</f>
        <v>1900</v>
      </c>
    </row>
    <row r="4" spans="1:9" ht="24" thickBot="1" x14ac:dyDescent="0.4">
      <c r="A4" s="10">
        <v>44349</v>
      </c>
      <c r="B4" s="154">
        <v>17377195</v>
      </c>
      <c r="C4" s="55">
        <f t="shared" ref="C4:C30" si="0">IF((B4-B3)&lt;0,"0",(B4-B3))</f>
        <v>1763</v>
      </c>
    </row>
    <row r="5" spans="1:9" ht="24" thickBot="1" x14ac:dyDescent="0.4">
      <c r="A5" s="10">
        <v>44350</v>
      </c>
      <c r="B5" s="154">
        <v>17379111</v>
      </c>
      <c r="C5" s="55">
        <f t="shared" si="0"/>
        <v>1916</v>
      </c>
    </row>
    <row r="6" spans="1:9" ht="24" thickBot="1" x14ac:dyDescent="0.4">
      <c r="A6" s="10">
        <v>44351</v>
      </c>
      <c r="B6" s="154">
        <v>17381045</v>
      </c>
      <c r="C6" s="55">
        <f>IF((B6-B5)&lt;0,"0",(B6-B5))</f>
        <v>1934</v>
      </c>
    </row>
    <row r="7" spans="1:9" ht="24" thickBot="1" x14ac:dyDescent="0.4">
      <c r="A7" s="10">
        <v>44352</v>
      </c>
      <c r="B7" s="154">
        <v>17383528</v>
      </c>
      <c r="C7" s="55">
        <f>IF((B7-B6)&lt;0,"0",(B7-B6))</f>
        <v>2483</v>
      </c>
    </row>
    <row r="8" spans="1:9" ht="24" thickBot="1" x14ac:dyDescent="0.4">
      <c r="A8" s="10">
        <v>44353</v>
      </c>
      <c r="B8" s="154">
        <v>17385519</v>
      </c>
      <c r="C8" s="55">
        <f>IF((B8-B7)&lt;0,"0",(B8-B7))</f>
        <v>1991</v>
      </c>
    </row>
    <row r="9" spans="1:9" ht="24" thickBot="1" x14ac:dyDescent="0.4">
      <c r="A9" s="10">
        <v>44354</v>
      </c>
      <c r="B9" s="154">
        <v>17387350</v>
      </c>
      <c r="C9" s="55">
        <f t="shared" si="0"/>
        <v>1831</v>
      </c>
    </row>
    <row r="10" spans="1:9" ht="24" thickBot="1" x14ac:dyDescent="0.4">
      <c r="A10" s="10">
        <v>44355</v>
      </c>
      <c r="B10" s="154">
        <v>17389732</v>
      </c>
      <c r="C10" s="55">
        <f t="shared" si="0"/>
        <v>2382</v>
      </c>
    </row>
    <row r="11" spans="1:9" ht="24" thickBot="1" x14ac:dyDescent="0.4">
      <c r="A11" s="10">
        <v>44356</v>
      </c>
      <c r="B11" s="154">
        <v>17391627</v>
      </c>
      <c r="C11" s="55">
        <f t="shared" si="0"/>
        <v>1895</v>
      </c>
    </row>
    <row r="12" spans="1:9" ht="24" thickBot="1" x14ac:dyDescent="0.4">
      <c r="A12" s="10">
        <v>44357</v>
      </c>
      <c r="B12" s="154">
        <v>17393230</v>
      </c>
      <c r="C12" s="55">
        <f t="shared" si="0"/>
        <v>1603</v>
      </c>
    </row>
    <row r="13" spans="1:9" ht="24" thickBot="1" x14ac:dyDescent="0.4">
      <c r="A13" s="10">
        <v>44358</v>
      </c>
      <c r="B13" s="154">
        <v>17395851</v>
      </c>
      <c r="C13" s="55">
        <f t="shared" si="0"/>
        <v>2621</v>
      </c>
    </row>
    <row r="14" spans="1:9" ht="24" thickBot="1" x14ac:dyDescent="0.4">
      <c r="A14" s="10">
        <v>44359</v>
      </c>
      <c r="B14" s="154">
        <v>17397860</v>
      </c>
      <c r="C14" s="55">
        <f t="shared" si="0"/>
        <v>2009</v>
      </c>
    </row>
    <row r="15" spans="1:9" ht="24" thickBot="1" x14ac:dyDescent="0.4">
      <c r="A15" s="10">
        <v>44360</v>
      </c>
      <c r="B15" s="154">
        <v>17400130</v>
      </c>
      <c r="C15" s="55">
        <f t="shared" si="0"/>
        <v>2270</v>
      </c>
      <c r="I15" t="s">
        <v>12</v>
      </c>
    </row>
    <row r="16" spans="1:9" ht="26.25" customHeight="1" thickBot="1" x14ac:dyDescent="0.4">
      <c r="A16" s="10">
        <v>44361</v>
      </c>
      <c r="B16" s="154">
        <v>17402232</v>
      </c>
      <c r="C16" s="55">
        <f t="shared" si="0"/>
        <v>2102</v>
      </c>
    </row>
    <row r="17" spans="1:9" ht="25.5" customHeight="1" thickBot="1" x14ac:dyDescent="0.4">
      <c r="A17" s="10">
        <v>44362</v>
      </c>
      <c r="B17" s="154">
        <v>17404408</v>
      </c>
      <c r="C17" s="55">
        <f t="shared" si="0"/>
        <v>2176</v>
      </c>
      <c r="F17" s="152"/>
    </row>
    <row r="18" spans="1:9" ht="24" thickBot="1" x14ac:dyDescent="0.4">
      <c r="A18" s="10">
        <v>44363</v>
      </c>
      <c r="B18" s="154">
        <v>17406413</v>
      </c>
      <c r="C18" s="55">
        <f t="shared" si="0"/>
        <v>2005</v>
      </c>
    </row>
    <row r="19" spans="1:9" ht="24" thickBot="1" x14ac:dyDescent="0.4">
      <c r="A19" s="10">
        <v>44364</v>
      </c>
      <c r="B19" s="154">
        <v>17408550</v>
      </c>
      <c r="C19" s="55">
        <f t="shared" si="0"/>
        <v>2137</v>
      </c>
    </row>
    <row r="20" spans="1:9" ht="24" thickBot="1" x14ac:dyDescent="0.4">
      <c r="A20" s="10">
        <v>44365</v>
      </c>
      <c r="B20" s="154">
        <v>17410848</v>
      </c>
      <c r="C20" s="55">
        <f t="shared" si="0"/>
        <v>2298</v>
      </c>
    </row>
    <row r="21" spans="1:9" ht="24" thickBot="1" x14ac:dyDescent="0.4">
      <c r="A21" s="10">
        <v>44366</v>
      </c>
      <c r="B21" s="154">
        <v>17412750</v>
      </c>
      <c r="C21" s="55">
        <f t="shared" si="0"/>
        <v>1902</v>
      </c>
    </row>
    <row r="22" spans="1:9" ht="24" thickBot="1" x14ac:dyDescent="0.4">
      <c r="A22" s="10">
        <v>44367</v>
      </c>
      <c r="B22" s="154">
        <v>17414920</v>
      </c>
      <c r="C22" s="55">
        <f t="shared" si="0"/>
        <v>2170</v>
      </c>
    </row>
    <row r="23" spans="1:9" ht="24" thickBot="1" x14ac:dyDescent="0.4">
      <c r="A23" s="10">
        <v>44368</v>
      </c>
      <c r="B23" s="154">
        <v>17416666</v>
      </c>
      <c r="C23" s="55">
        <f t="shared" si="0"/>
        <v>1746</v>
      </c>
      <c r="F23" t="s">
        <v>12</v>
      </c>
    </row>
    <row r="24" spans="1:9" ht="24" thickBot="1" x14ac:dyDescent="0.4">
      <c r="A24" s="10">
        <v>44369</v>
      </c>
      <c r="B24" s="154">
        <v>17418800</v>
      </c>
      <c r="C24" s="55">
        <f t="shared" si="0"/>
        <v>2134</v>
      </c>
      <c r="E24" t="s">
        <v>12</v>
      </c>
    </row>
    <row r="25" spans="1:9" ht="24" thickBot="1" x14ac:dyDescent="0.4">
      <c r="A25" s="10">
        <v>44370</v>
      </c>
      <c r="B25" s="154">
        <v>17420832</v>
      </c>
      <c r="C25" s="55">
        <f t="shared" si="0"/>
        <v>2032</v>
      </c>
    </row>
    <row r="26" spans="1:9" ht="24" thickBot="1" x14ac:dyDescent="0.4">
      <c r="A26" s="10">
        <v>44371</v>
      </c>
      <c r="B26" s="154">
        <v>17422925</v>
      </c>
      <c r="C26" s="55">
        <f t="shared" si="0"/>
        <v>2093</v>
      </c>
    </row>
    <row r="27" spans="1:9" ht="24" thickBot="1" x14ac:dyDescent="0.4">
      <c r="A27" s="10">
        <v>44372</v>
      </c>
      <c r="B27" s="154">
        <v>17425339</v>
      </c>
      <c r="C27" s="55">
        <f t="shared" si="0"/>
        <v>2414</v>
      </c>
    </row>
    <row r="28" spans="1:9" ht="24" thickBot="1" x14ac:dyDescent="0.4">
      <c r="A28" s="10">
        <v>44373</v>
      </c>
      <c r="B28" s="154">
        <v>17427398</v>
      </c>
      <c r="C28" s="55">
        <f t="shared" si="0"/>
        <v>2059</v>
      </c>
      <c r="I28" t="s">
        <v>12</v>
      </c>
    </row>
    <row r="29" spans="1:9" ht="24" thickBot="1" x14ac:dyDescent="0.4">
      <c r="A29" s="10">
        <v>44374</v>
      </c>
      <c r="B29" s="154">
        <v>17429502</v>
      </c>
      <c r="C29" s="55">
        <f t="shared" si="0"/>
        <v>2104</v>
      </c>
    </row>
    <row r="30" spans="1:9" ht="24" thickBot="1" x14ac:dyDescent="0.4">
      <c r="A30" s="10">
        <v>44375</v>
      </c>
      <c r="B30" s="154">
        <v>17431426</v>
      </c>
      <c r="C30" s="55">
        <f t="shared" si="0"/>
        <v>1924</v>
      </c>
    </row>
    <row r="31" spans="1:9" ht="24" thickBot="1" x14ac:dyDescent="0.4">
      <c r="A31" s="10">
        <v>44376</v>
      </c>
      <c r="B31" s="154"/>
      <c r="C31" s="55" t="str">
        <f>IF((B31-B30)&lt;0,"0",(B31-B30))</f>
        <v>0</v>
      </c>
    </row>
    <row r="32" spans="1:9" ht="24" thickBot="1" x14ac:dyDescent="0.4">
      <c r="A32" s="10">
        <v>44377</v>
      </c>
      <c r="B32" s="154"/>
      <c r="C32" s="55">
        <f>IF((B32-B31)&lt;0,"0",(B32-B31))</f>
        <v>0</v>
      </c>
    </row>
    <row r="33" spans="1:3" ht="24" thickBot="1" x14ac:dyDescent="0.4">
      <c r="A33" s="10">
        <v>44377</v>
      </c>
      <c r="B33" s="154"/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57894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opLeftCell="A10" zoomScale="87" zoomScaleNormal="87" workbookViewId="0">
      <pane xSplit="1" topLeftCell="B1" activePane="topRight" state="frozen"/>
      <selection pane="topRight" activeCell="B30" sqref="B30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44347</v>
      </c>
      <c r="B2" s="1">
        <v>20747.607</v>
      </c>
      <c r="C2" s="54">
        <v>9.9749999999985448</v>
      </c>
      <c r="D2" s="38">
        <v>18952.499999997231</v>
      </c>
      <c r="E2" s="1">
        <v>3613.8829999999998</v>
      </c>
      <c r="F2" s="54">
        <v>2.7979999999997744</v>
      </c>
      <c r="G2" s="38">
        <v>5316.1999999995714</v>
      </c>
      <c r="H2" s="1">
        <v>3176</v>
      </c>
      <c r="I2" s="54">
        <v>8</v>
      </c>
      <c r="J2" s="38">
        <v>15200</v>
      </c>
      <c r="K2" s="7">
        <v>13414.59</v>
      </c>
      <c r="L2" s="54">
        <v>2.1300000000010186</v>
      </c>
      <c r="M2" s="38">
        <v>4047.0000000019349</v>
      </c>
      <c r="N2" s="7">
        <v>3052.0720000000001</v>
      </c>
      <c r="O2" s="54">
        <v>1.3440000000000509</v>
      </c>
      <c r="P2" s="38">
        <v>2553.6000000000968</v>
      </c>
      <c r="Q2" s="7">
        <v>4814.08</v>
      </c>
      <c r="R2" s="54">
        <v>2.3699999999998909</v>
      </c>
      <c r="S2" s="38">
        <v>4502.9999999997926</v>
      </c>
      <c r="T2" s="8">
        <v>26.61699999999928</v>
      </c>
      <c r="U2" s="40">
        <v>50572.299999998628</v>
      </c>
    </row>
    <row r="3" spans="1:25" ht="16.5" thickBot="1" x14ac:dyDescent="0.25">
      <c r="A3" s="10">
        <v>44348</v>
      </c>
      <c r="B3" s="1">
        <v>20757.772000000001</v>
      </c>
      <c r="C3" s="54">
        <f>IF((B3-B2)&lt;0,"0",(B3-B2))</f>
        <v>10.165000000000873</v>
      </c>
      <c r="D3" s="38">
        <f t="shared" ref="D3" si="0">C3*1.9*1000</f>
        <v>19313.500000001655</v>
      </c>
      <c r="E3" s="1">
        <v>3616.77</v>
      </c>
      <c r="F3" s="54">
        <f t="shared" ref="F3" si="1">IF((E3-E2)&lt;0,"0",(E3-E2))</f>
        <v>2.887000000000171</v>
      </c>
      <c r="G3" s="38">
        <f t="shared" ref="G3" si="2">F3*1.9*1000</f>
        <v>5485.3000000003249</v>
      </c>
      <c r="H3" s="1">
        <v>3185</v>
      </c>
      <c r="I3" s="54">
        <f t="shared" ref="I3" si="3">IF((H3-H2)&lt;0,"0",(H3-H2))</f>
        <v>9</v>
      </c>
      <c r="J3" s="38">
        <f t="shared" ref="J3" si="4">I3*1.9*1000</f>
        <v>17099.999999999996</v>
      </c>
      <c r="K3" s="7">
        <v>13416.86</v>
      </c>
      <c r="L3" s="54">
        <f t="shared" ref="L3" si="5">IF((K3-K2)&lt;0,"0",(K3-K2))</f>
        <v>2.2700000000004366</v>
      </c>
      <c r="M3" s="38">
        <f t="shared" ref="M3" si="6">L3*1.9*1000</f>
        <v>4313.0000000008295</v>
      </c>
      <c r="N3" s="7">
        <v>3053.3270000000002</v>
      </c>
      <c r="O3" s="54">
        <f t="shared" ref="O3" si="7">IF((N3-N2)&lt;0,"0",(N3-N2))</f>
        <v>1.2550000000001091</v>
      </c>
      <c r="P3" s="38">
        <f t="shared" ref="P3" si="8">O3*1.9*1000</f>
        <v>2384.5000000002074</v>
      </c>
      <c r="Q3" s="7">
        <v>4818.25</v>
      </c>
      <c r="R3" s="54">
        <f t="shared" ref="R3" si="9">IF((Q3-Q2)&lt;0,"0",(Q3-Q2))</f>
        <v>4.1700000000000728</v>
      </c>
      <c r="S3" s="38">
        <f t="shared" ref="S3" si="10">R3*1.9*1000</f>
        <v>7923.0000000001373</v>
      </c>
      <c r="T3" s="8">
        <f>C3+F3+I3+L3+O3+R3</f>
        <v>29.747000000001663</v>
      </c>
      <c r="U3" s="40">
        <f>T3*1.9*1000</f>
        <v>56519.300000003153</v>
      </c>
    </row>
    <row r="4" spans="1:25" ht="16.5" thickBot="1" x14ac:dyDescent="0.25">
      <c r="A4" s="10">
        <v>44349</v>
      </c>
      <c r="B4" s="1">
        <v>20767.098999999998</v>
      </c>
      <c r="C4" s="54">
        <f t="shared" ref="C4:C33" si="11">IF((B4-B3)&lt;0,"0",(B4-B3))</f>
        <v>9.3269999999974971</v>
      </c>
      <c r="D4" s="38">
        <f t="shared" ref="D4:D33" si="12">C4*1.9*1000</f>
        <v>17721.299999995241</v>
      </c>
      <c r="E4" s="1">
        <v>3619.5940000000001</v>
      </c>
      <c r="F4" s="54">
        <f t="shared" ref="F4:F33" si="13">IF((E4-E3)&lt;0,"0",(E4-E3))</f>
        <v>2.8240000000000691</v>
      </c>
      <c r="G4" s="38">
        <f t="shared" ref="G4:G33" si="14">F4*1.9*1000</f>
        <v>5365.6000000001313</v>
      </c>
      <c r="H4" s="1">
        <v>3193</v>
      </c>
      <c r="I4" s="54">
        <f t="shared" ref="I4:I33" si="15">IF((H4-H3)&lt;0,"0",(H4-H3))</f>
        <v>8</v>
      </c>
      <c r="J4" s="38">
        <f t="shared" ref="J4:J33" si="16">I4*1.9*1000</f>
        <v>15200</v>
      </c>
      <c r="K4" s="7">
        <v>13419.03</v>
      </c>
      <c r="L4" s="54">
        <f t="shared" ref="L4:L33" si="17">IF((K4-K3)&lt;0,"0",(K4-K3))</f>
        <v>2.1700000000000728</v>
      </c>
      <c r="M4" s="38">
        <f t="shared" ref="M4:M33" si="18">L4*1.9*1000</f>
        <v>4123.0000000001382</v>
      </c>
      <c r="N4" s="7">
        <v>3054.8850000000002</v>
      </c>
      <c r="O4" s="54">
        <f t="shared" ref="O4:O33" si="19">IF((N4-N3)&lt;0,"0",(N4-N3))</f>
        <v>1.5579999999999927</v>
      </c>
      <c r="P4" s="38">
        <f t="shared" ref="P4:P33" si="20">O4*1.9*1000</f>
        <v>2960.1999999999862</v>
      </c>
      <c r="Q4" s="7">
        <v>4820.63</v>
      </c>
      <c r="R4" s="54">
        <f t="shared" ref="R4:R33" si="21">IF((Q4-Q3)&lt;0,"0",(Q4-Q3))</f>
        <v>2.3800000000001091</v>
      </c>
      <c r="S4" s="38">
        <f t="shared" ref="S4:S33" si="22">R4*1.9*1000</f>
        <v>4522.0000000002074</v>
      </c>
      <c r="T4" s="8">
        <f>C4+F4+I4+L4+O4+R4</f>
        <v>26.258999999997741</v>
      </c>
      <c r="U4" s="40">
        <f t="shared" ref="U4:U33" si="23">T4*1.9*1000</f>
        <v>49892.099999995706</v>
      </c>
    </row>
    <row r="5" spans="1:25" ht="16.5" thickBot="1" x14ac:dyDescent="0.25">
      <c r="A5" s="10">
        <v>44350</v>
      </c>
      <c r="B5" s="1">
        <v>20775.728999999999</v>
      </c>
      <c r="C5" s="54">
        <f t="shared" si="11"/>
        <v>8.6300000000010186</v>
      </c>
      <c r="D5" s="38">
        <f t="shared" si="12"/>
        <v>16397.000000001935</v>
      </c>
      <c r="E5" s="1">
        <v>3622.3069999999998</v>
      </c>
      <c r="F5" s="54">
        <f t="shared" si="13"/>
        <v>2.7129999999997381</v>
      </c>
      <c r="G5" s="38">
        <f t="shared" si="14"/>
        <v>5154.6999999995014</v>
      </c>
      <c r="H5" s="1">
        <v>3201</v>
      </c>
      <c r="I5" s="54">
        <f t="shared" si="15"/>
        <v>8</v>
      </c>
      <c r="J5" s="38">
        <f t="shared" si="16"/>
        <v>15200</v>
      </c>
      <c r="K5" s="7">
        <v>13421.07</v>
      </c>
      <c r="L5" s="54">
        <f t="shared" si="17"/>
        <v>2.0399999999990541</v>
      </c>
      <c r="M5" s="38">
        <f t="shared" si="18"/>
        <v>3875.9999999982028</v>
      </c>
      <c r="N5" s="7">
        <v>3056.41</v>
      </c>
      <c r="O5" s="54">
        <f t="shared" si="19"/>
        <v>1.5249999999996362</v>
      </c>
      <c r="P5" s="38">
        <f t="shared" si="20"/>
        <v>2897.4999999993083</v>
      </c>
      <c r="Q5" s="7">
        <v>4822.8599999999997</v>
      </c>
      <c r="R5" s="54">
        <f t="shared" si="21"/>
        <v>2.2299999999995634</v>
      </c>
      <c r="S5" s="38">
        <f t="shared" si="22"/>
        <v>4236.9999999991705</v>
      </c>
      <c r="T5" s="8">
        <f>C5+F5+I5+L5+O5+R5</f>
        <v>25.13799999999901</v>
      </c>
      <c r="U5" s="40">
        <f t="shared" si="23"/>
        <v>47762.19999999812</v>
      </c>
    </row>
    <row r="6" spans="1:25" ht="16.5" thickBot="1" x14ac:dyDescent="0.25">
      <c r="A6" s="10">
        <v>44351</v>
      </c>
      <c r="B6" s="1">
        <v>20782.524000000001</v>
      </c>
      <c r="C6" s="54">
        <f t="shared" si="11"/>
        <v>6.7950000000018917</v>
      </c>
      <c r="D6" s="38">
        <f t="shared" si="12"/>
        <v>12910.500000003594</v>
      </c>
      <c r="E6" s="1">
        <v>3623.3110000000001</v>
      </c>
      <c r="F6" s="54">
        <f t="shared" si="13"/>
        <v>1.0040000000003602</v>
      </c>
      <c r="G6" s="38">
        <f t="shared" si="14"/>
        <v>1907.6000000006843</v>
      </c>
      <c r="H6" s="1">
        <v>3206</v>
      </c>
      <c r="I6" s="54">
        <f t="shared" si="15"/>
        <v>5</v>
      </c>
      <c r="J6" s="38">
        <f t="shared" si="16"/>
        <v>9500</v>
      </c>
      <c r="K6" s="7">
        <v>13422.66</v>
      </c>
      <c r="L6" s="54">
        <f t="shared" si="17"/>
        <v>1.5900000000001455</v>
      </c>
      <c r="M6" s="38">
        <f t="shared" si="18"/>
        <v>3021.000000000276</v>
      </c>
      <c r="N6" s="7">
        <v>3057.5390000000002</v>
      </c>
      <c r="O6" s="54">
        <f t="shared" si="19"/>
        <v>1.1290000000003602</v>
      </c>
      <c r="P6" s="38">
        <f t="shared" si="20"/>
        <v>2145.1000000006843</v>
      </c>
      <c r="Q6" s="7">
        <v>4824.08</v>
      </c>
      <c r="R6" s="54">
        <f t="shared" si="21"/>
        <v>1.2200000000002547</v>
      </c>
      <c r="S6" s="38">
        <f t="shared" si="22"/>
        <v>2318.0000000004839</v>
      </c>
      <c r="T6" s="8">
        <f t="shared" ref="T6:T33" si="24">C6+F6+I6+L6+O6+R6</f>
        <v>16.738000000003012</v>
      </c>
      <c r="U6" s="40">
        <f t="shared" si="23"/>
        <v>31802.200000005723</v>
      </c>
    </row>
    <row r="7" spans="1:25" ht="16.5" thickBot="1" x14ac:dyDescent="0.25">
      <c r="A7" s="10">
        <v>44352</v>
      </c>
      <c r="B7" s="1">
        <v>20789.810000000001</v>
      </c>
      <c r="C7" s="54">
        <f t="shared" si="11"/>
        <v>7.2860000000000582</v>
      </c>
      <c r="D7" s="38">
        <f t="shared" si="12"/>
        <v>13843.400000000109</v>
      </c>
      <c r="E7" s="1">
        <v>3625.8020000000001</v>
      </c>
      <c r="F7" s="54">
        <f t="shared" si="13"/>
        <v>2.4909999999999854</v>
      </c>
      <c r="G7" s="38">
        <f t="shared" si="14"/>
        <v>4732.8999999999724</v>
      </c>
      <c r="H7" s="1">
        <v>3214</v>
      </c>
      <c r="I7" s="54">
        <f t="shared" si="15"/>
        <v>8</v>
      </c>
      <c r="J7" s="38">
        <f t="shared" si="16"/>
        <v>15200</v>
      </c>
      <c r="K7" s="7">
        <v>13425.29</v>
      </c>
      <c r="L7" s="54">
        <f t="shared" si="17"/>
        <v>2.6300000000010186</v>
      </c>
      <c r="M7" s="38">
        <f t="shared" si="18"/>
        <v>4997.0000000019354</v>
      </c>
      <c r="N7" s="7">
        <v>3058.951</v>
      </c>
      <c r="O7" s="54">
        <f t="shared" si="19"/>
        <v>1.4119999999998072</v>
      </c>
      <c r="P7" s="38">
        <f t="shared" si="20"/>
        <v>2682.7999999996337</v>
      </c>
      <c r="Q7" s="7">
        <v>4826.43</v>
      </c>
      <c r="R7" s="54">
        <f t="shared" si="21"/>
        <v>2.3500000000003638</v>
      </c>
      <c r="S7" s="38">
        <f t="shared" si="22"/>
        <v>4465.0000000006912</v>
      </c>
      <c r="T7" s="8">
        <f t="shared" si="24"/>
        <v>24.169000000001233</v>
      </c>
      <c r="U7" s="40">
        <f t="shared" si="23"/>
        <v>45921.100000002341</v>
      </c>
    </row>
    <row r="8" spans="1:25" ht="16.5" thickBot="1" x14ac:dyDescent="0.25">
      <c r="A8" s="10">
        <v>44353</v>
      </c>
      <c r="B8" s="1">
        <v>20800.062999999998</v>
      </c>
      <c r="C8" s="54">
        <f t="shared" si="11"/>
        <v>10.252999999996973</v>
      </c>
      <c r="D8" s="38">
        <f t="shared" si="12"/>
        <v>19480.699999994245</v>
      </c>
      <c r="E8" s="1">
        <v>3627.8780000000002</v>
      </c>
      <c r="F8" s="54">
        <f t="shared" si="13"/>
        <v>2.0760000000000218</v>
      </c>
      <c r="G8" s="38">
        <f t="shared" si="14"/>
        <v>3944.400000000041</v>
      </c>
      <c r="H8" s="1">
        <v>3222</v>
      </c>
      <c r="I8" s="54">
        <f t="shared" si="15"/>
        <v>8</v>
      </c>
      <c r="J8" s="38">
        <f t="shared" si="16"/>
        <v>15200</v>
      </c>
      <c r="K8" s="7">
        <v>13427.52</v>
      </c>
      <c r="L8" s="54">
        <f t="shared" si="17"/>
        <v>2.2299999999995634</v>
      </c>
      <c r="M8" s="38">
        <f t="shared" si="18"/>
        <v>4236.9999999991705</v>
      </c>
      <c r="N8" s="7">
        <v>3060.4859999999999</v>
      </c>
      <c r="O8" s="54">
        <f t="shared" si="19"/>
        <v>1.5349999999998545</v>
      </c>
      <c r="P8" s="38">
        <f t="shared" si="20"/>
        <v>2916.4999999997235</v>
      </c>
      <c r="Q8" s="7">
        <v>4828.8100000000004</v>
      </c>
      <c r="R8" s="54">
        <f t="shared" si="21"/>
        <v>2.3800000000001091</v>
      </c>
      <c r="S8" s="38">
        <f t="shared" si="22"/>
        <v>4522.0000000002074</v>
      </c>
      <c r="T8" s="8">
        <f t="shared" si="24"/>
        <v>26.473999999996522</v>
      </c>
      <c r="U8" s="40">
        <f t="shared" si="23"/>
        <v>50300.599999993385</v>
      </c>
    </row>
    <row r="9" spans="1:25" ht="16.5" thickBot="1" x14ac:dyDescent="0.25">
      <c r="A9" s="10">
        <v>44354</v>
      </c>
      <c r="B9" s="1">
        <v>20807.772000000001</v>
      </c>
      <c r="C9" s="54">
        <f t="shared" si="11"/>
        <v>7.7090000000025611</v>
      </c>
      <c r="D9" s="38">
        <f t="shared" si="12"/>
        <v>14647.100000004866</v>
      </c>
      <c r="E9" s="1">
        <v>3630.5639999999999</v>
      </c>
      <c r="F9" s="54">
        <f t="shared" si="13"/>
        <v>2.6859999999996944</v>
      </c>
      <c r="G9" s="38">
        <f t="shared" si="14"/>
        <v>5103.3999999994185</v>
      </c>
      <c r="H9" s="1">
        <v>3228</v>
      </c>
      <c r="I9" s="54">
        <f t="shared" si="15"/>
        <v>6</v>
      </c>
      <c r="J9" s="38">
        <f t="shared" si="16"/>
        <v>11399.999999999998</v>
      </c>
      <c r="K9" s="7">
        <v>13429.57</v>
      </c>
      <c r="L9" s="54">
        <f t="shared" si="17"/>
        <v>2.0499999999992724</v>
      </c>
      <c r="M9" s="38">
        <f t="shared" si="18"/>
        <v>3894.9999999986176</v>
      </c>
      <c r="N9" s="7">
        <v>3061.6709999999998</v>
      </c>
      <c r="O9" s="54">
        <f t="shared" si="19"/>
        <v>1.1849999999999454</v>
      </c>
      <c r="P9" s="38">
        <f t="shared" si="20"/>
        <v>2251.4999999998963</v>
      </c>
      <c r="Q9" s="7">
        <v>4830.41</v>
      </c>
      <c r="R9" s="54">
        <f t="shared" si="21"/>
        <v>1.5999999999994543</v>
      </c>
      <c r="S9" s="38">
        <f t="shared" si="22"/>
        <v>3039.9999999989632</v>
      </c>
      <c r="T9" s="8">
        <f t="shared" si="24"/>
        <v>21.230000000000928</v>
      </c>
      <c r="U9" s="40">
        <f t="shared" si="23"/>
        <v>40337.000000001761</v>
      </c>
    </row>
    <row r="10" spans="1:25" ht="16.5" thickBot="1" x14ac:dyDescent="0.25">
      <c r="A10" s="10">
        <v>44355</v>
      </c>
      <c r="B10" s="1">
        <v>20815.545999999998</v>
      </c>
      <c r="C10" s="54">
        <f t="shared" si="11"/>
        <v>7.7739999999976135</v>
      </c>
      <c r="D10" s="38">
        <f t="shared" si="12"/>
        <v>14770.599999995466</v>
      </c>
      <c r="E10" s="1">
        <v>3632.5</v>
      </c>
      <c r="F10" s="54">
        <f t="shared" si="13"/>
        <v>1.9360000000001492</v>
      </c>
      <c r="G10" s="38">
        <f t="shared" si="14"/>
        <v>3678.4000000002834</v>
      </c>
      <c r="H10" s="1">
        <v>3234</v>
      </c>
      <c r="I10" s="54">
        <f t="shared" si="15"/>
        <v>6</v>
      </c>
      <c r="J10" s="38">
        <f t="shared" si="16"/>
        <v>11399.999999999998</v>
      </c>
      <c r="K10" s="7">
        <v>13431.12</v>
      </c>
      <c r="L10" s="54">
        <f t="shared" si="17"/>
        <v>1.5500000000010914</v>
      </c>
      <c r="M10" s="38">
        <f t="shared" si="18"/>
        <v>2945.0000000020732</v>
      </c>
      <c r="N10" s="7">
        <v>3062.614</v>
      </c>
      <c r="O10" s="54">
        <f t="shared" si="19"/>
        <v>0.943000000000211</v>
      </c>
      <c r="P10" s="38">
        <f t="shared" si="20"/>
        <v>1791.7000000004009</v>
      </c>
      <c r="Q10" s="7">
        <v>4831.8999999999996</v>
      </c>
      <c r="R10" s="54">
        <f t="shared" si="21"/>
        <v>1.4899999999997817</v>
      </c>
      <c r="S10" s="38">
        <f t="shared" si="22"/>
        <v>2830.9999999995853</v>
      </c>
      <c r="T10" s="8">
        <f t="shared" si="24"/>
        <v>19.692999999998847</v>
      </c>
      <c r="U10" s="40">
        <f t="shared" si="23"/>
        <v>37416.699999997807</v>
      </c>
    </row>
    <row r="11" spans="1:25" ht="16.5" thickBot="1" x14ac:dyDescent="0.25">
      <c r="A11" s="10">
        <v>44356</v>
      </c>
      <c r="B11" s="1">
        <v>20823.73</v>
      </c>
      <c r="C11" s="54">
        <f t="shared" si="11"/>
        <v>8.1840000000011059</v>
      </c>
      <c r="D11" s="38">
        <f t="shared" si="12"/>
        <v>15549.600000002101</v>
      </c>
      <c r="E11" s="1">
        <v>3635.6390000000001</v>
      </c>
      <c r="F11" s="54">
        <f t="shared" si="13"/>
        <v>3.1390000000001237</v>
      </c>
      <c r="G11" s="38">
        <f t="shared" si="14"/>
        <v>5964.100000000235</v>
      </c>
      <c r="H11" s="1">
        <v>3241</v>
      </c>
      <c r="I11" s="54">
        <f t="shared" si="15"/>
        <v>7</v>
      </c>
      <c r="J11" s="38">
        <f t="shared" si="16"/>
        <v>13299.999999999998</v>
      </c>
      <c r="K11" s="7">
        <v>13433.45</v>
      </c>
      <c r="L11" s="54">
        <f t="shared" si="17"/>
        <v>2.3299999999999272</v>
      </c>
      <c r="M11" s="38">
        <f t="shared" si="18"/>
        <v>4426.9999999998618</v>
      </c>
      <c r="N11" s="7">
        <v>3063.9769999999999</v>
      </c>
      <c r="O11" s="54">
        <f t="shared" si="19"/>
        <v>1.362999999999829</v>
      </c>
      <c r="P11" s="38">
        <f t="shared" si="20"/>
        <v>2589.6999999996751</v>
      </c>
      <c r="Q11" s="7">
        <v>4833.97</v>
      </c>
      <c r="R11" s="54">
        <f t="shared" si="21"/>
        <v>2.0700000000006185</v>
      </c>
      <c r="S11" s="38">
        <f t="shared" si="22"/>
        <v>3933.0000000011751</v>
      </c>
      <c r="T11" s="8">
        <f t="shared" si="24"/>
        <v>24.086000000001604</v>
      </c>
      <c r="U11" s="40">
        <f t="shared" si="23"/>
        <v>45763.400000003043</v>
      </c>
    </row>
    <row r="12" spans="1:25" ht="16.5" thickBot="1" x14ac:dyDescent="0.25">
      <c r="A12" s="10">
        <v>44357</v>
      </c>
      <c r="B12" s="1">
        <v>20835.559000000001</v>
      </c>
      <c r="C12" s="54">
        <f t="shared" si="11"/>
        <v>11.829000000001543</v>
      </c>
      <c r="D12" s="38">
        <f t="shared" si="12"/>
        <v>22475.100000002927</v>
      </c>
      <c r="E12" s="1">
        <v>3638.7559999999999</v>
      </c>
      <c r="F12" s="54">
        <f t="shared" si="13"/>
        <v>3.1169999999997344</v>
      </c>
      <c r="G12" s="38">
        <f t="shared" si="14"/>
        <v>5922.2999999994954</v>
      </c>
      <c r="H12" s="1">
        <v>3249</v>
      </c>
      <c r="I12" s="54">
        <f t="shared" si="15"/>
        <v>8</v>
      </c>
      <c r="J12" s="38">
        <f t="shared" si="16"/>
        <v>15200</v>
      </c>
      <c r="K12" s="7">
        <v>13436.01</v>
      </c>
      <c r="L12" s="54">
        <f t="shared" si="17"/>
        <v>2.5599999999994907</v>
      </c>
      <c r="M12" s="38">
        <f t="shared" si="18"/>
        <v>4863.9999999990314</v>
      </c>
      <c r="N12" s="7">
        <v>3065.931</v>
      </c>
      <c r="O12" s="54">
        <f t="shared" si="19"/>
        <v>1.9540000000001783</v>
      </c>
      <c r="P12" s="38">
        <f t="shared" si="20"/>
        <v>3712.6000000003387</v>
      </c>
      <c r="Q12" s="7">
        <v>4836.37</v>
      </c>
      <c r="R12" s="54">
        <f t="shared" si="21"/>
        <v>2.3999999999996362</v>
      </c>
      <c r="S12" s="38">
        <f t="shared" si="22"/>
        <v>4559.9999999993088</v>
      </c>
      <c r="T12" s="8">
        <f t="shared" si="24"/>
        <v>29.860000000000582</v>
      </c>
      <c r="U12" s="40">
        <f t="shared" si="23"/>
        <v>56734.000000001106</v>
      </c>
    </row>
    <row r="13" spans="1:25" ht="16.5" thickBot="1" x14ac:dyDescent="0.25">
      <c r="A13" s="10">
        <v>44358</v>
      </c>
      <c r="B13" s="1">
        <v>20843.782999999999</v>
      </c>
      <c r="C13" s="54">
        <f t="shared" si="11"/>
        <v>8.2239999999983411</v>
      </c>
      <c r="D13" s="38">
        <f t="shared" si="12"/>
        <v>15625.599999996848</v>
      </c>
      <c r="E13" s="1">
        <v>3639.5329999999999</v>
      </c>
      <c r="F13" s="54">
        <f t="shared" si="13"/>
        <v>0.77700000000004366</v>
      </c>
      <c r="G13" s="38">
        <f t="shared" si="14"/>
        <v>1476.3000000000827</v>
      </c>
      <c r="H13" s="1">
        <v>3254</v>
      </c>
      <c r="I13" s="54">
        <f t="shared" si="15"/>
        <v>5</v>
      </c>
      <c r="J13" s="38">
        <f t="shared" si="16"/>
        <v>9500</v>
      </c>
      <c r="K13" s="7">
        <v>13437.21</v>
      </c>
      <c r="L13" s="54">
        <f t="shared" si="17"/>
        <v>1.1999999999989086</v>
      </c>
      <c r="M13" s="38">
        <f t="shared" si="18"/>
        <v>2279.9999999979264</v>
      </c>
      <c r="N13" s="7">
        <v>3067.0569999999998</v>
      </c>
      <c r="O13" s="54">
        <f t="shared" si="19"/>
        <v>1.125999999999749</v>
      </c>
      <c r="P13" s="38">
        <f t="shared" si="20"/>
        <v>2139.3999999995226</v>
      </c>
      <c r="Q13" s="7">
        <v>4838.74</v>
      </c>
      <c r="R13" s="54">
        <f t="shared" si="21"/>
        <v>2.3699999999998909</v>
      </c>
      <c r="S13" s="38">
        <f t="shared" si="22"/>
        <v>4502.9999999997926</v>
      </c>
      <c r="T13" s="8">
        <f t="shared" si="24"/>
        <v>18.696999999996933</v>
      </c>
      <c r="U13" s="40">
        <f t="shared" si="23"/>
        <v>35524.299999994168</v>
      </c>
    </row>
    <row r="14" spans="1:25" ht="16.5" thickBot="1" x14ac:dyDescent="0.25">
      <c r="A14" s="10">
        <v>44359</v>
      </c>
      <c r="B14" s="1">
        <v>20854.196</v>
      </c>
      <c r="C14" s="54">
        <f t="shared" si="11"/>
        <v>10.413000000000466</v>
      </c>
      <c r="D14" s="38">
        <f t="shared" si="12"/>
        <v>19784.700000000885</v>
      </c>
      <c r="E14" s="1">
        <v>3641.0810000000001</v>
      </c>
      <c r="F14" s="54">
        <f t="shared" si="13"/>
        <v>1.5480000000002292</v>
      </c>
      <c r="G14" s="38">
        <f t="shared" si="14"/>
        <v>2941.2000000004355</v>
      </c>
      <c r="H14" s="1">
        <v>3261</v>
      </c>
      <c r="I14" s="54">
        <f t="shared" si="15"/>
        <v>7</v>
      </c>
      <c r="J14" s="38">
        <f t="shared" si="16"/>
        <v>13299.999999999998</v>
      </c>
      <c r="K14" s="7">
        <v>13439.43</v>
      </c>
      <c r="L14" s="54">
        <f t="shared" si="17"/>
        <v>2.2200000000011642</v>
      </c>
      <c r="M14" s="38">
        <f t="shared" si="18"/>
        <v>4218.0000000022119</v>
      </c>
      <c r="N14" s="7">
        <v>3068.4690000000001</v>
      </c>
      <c r="O14" s="54">
        <f t="shared" si="19"/>
        <v>1.4120000000002619</v>
      </c>
      <c r="P14" s="38">
        <f t="shared" si="20"/>
        <v>2682.8000000004977</v>
      </c>
      <c r="Q14" s="7">
        <v>4841.1899999999996</v>
      </c>
      <c r="R14" s="54">
        <f t="shared" si="21"/>
        <v>2.4499999999998181</v>
      </c>
      <c r="S14" s="38">
        <f t="shared" si="22"/>
        <v>4654.9999999996535</v>
      </c>
      <c r="T14" s="8">
        <f t="shared" si="24"/>
        <v>25.043000000001939</v>
      </c>
      <c r="U14" s="40">
        <f t="shared" si="23"/>
        <v>47581.700000003679</v>
      </c>
    </row>
    <row r="15" spans="1:25" ht="16.5" thickBot="1" x14ac:dyDescent="0.25">
      <c r="A15" s="10">
        <v>44360</v>
      </c>
      <c r="B15" s="1">
        <v>20865.226999999999</v>
      </c>
      <c r="C15" s="54">
        <f t="shared" si="11"/>
        <v>11.03099999999904</v>
      </c>
      <c r="D15" s="38">
        <f t="shared" si="12"/>
        <v>20958.899999998175</v>
      </c>
      <c r="E15" s="1">
        <v>3643.8330000000001</v>
      </c>
      <c r="F15" s="54">
        <f t="shared" si="13"/>
        <v>2.7519999999999527</v>
      </c>
      <c r="G15" s="38">
        <f t="shared" si="14"/>
        <v>5228.7999999999101</v>
      </c>
      <c r="H15" s="1">
        <v>3268</v>
      </c>
      <c r="I15" s="54">
        <f t="shared" si="15"/>
        <v>7</v>
      </c>
      <c r="J15" s="38">
        <f t="shared" si="16"/>
        <v>13299.999999999998</v>
      </c>
      <c r="K15" s="7">
        <v>13441.63</v>
      </c>
      <c r="L15" s="54">
        <f t="shared" si="17"/>
        <v>2.1999999999989086</v>
      </c>
      <c r="M15" s="38">
        <f t="shared" si="18"/>
        <v>4179.9999999979254</v>
      </c>
      <c r="N15" s="7">
        <v>3070.0070000000001</v>
      </c>
      <c r="O15" s="54">
        <f t="shared" si="19"/>
        <v>1.5380000000000109</v>
      </c>
      <c r="P15" s="38">
        <f t="shared" si="20"/>
        <v>2922.2000000000207</v>
      </c>
      <c r="Q15" s="7">
        <v>4843.3999999999996</v>
      </c>
      <c r="R15" s="54">
        <f t="shared" si="21"/>
        <v>2.2100000000000364</v>
      </c>
      <c r="S15" s="38">
        <f t="shared" si="22"/>
        <v>4199.0000000000691</v>
      </c>
      <c r="T15" s="8">
        <f t="shared" si="24"/>
        <v>26.730999999997948</v>
      </c>
      <c r="U15" s="40">
        <f t="shared" si="23"/>
        <v>50788.899999996094</v>
      </c>
      <c r="W15" t="s">
        <v>12</v>
      </c>
    </row>
    <row r="16" spans="1:25" ht="16.5" thickBot="1" x14ac:dyDescent="0.25">
      <c r="A16" s="10">
        <v>44361</v>
      </c>
      <c r="B16" s="1">
        <v>20875.276000000002</v>
      </c>
      <c r="C16" s="54">
        <f t="shared" si="11"/>
        <v>10.049000000002707</v>
      </c>
      <c r="D16" s="38">
        <f t="shared" si="12"/>
        <v>19093.100000005139</v>
      </c>
      <c r="E16" s="1">
        <v>3646.8359999999998</v>
      </c>
      <c r="F16" s="54">
        <f t="shared" si="13"/>
        <v>3.0029999999997017</v>
      </c>
      <c r="G16" s="38">
        <f t="shared" si="14"/>
        <v>5705.6999999994323</v>
      </c>
      <c r="H16" s="1">
        <v>3275</v>
      </c>
      <c r="I16" s="54">
        <f t="shared" si="15"/>
        <v>7</v>
      </c>
      <c r="J16" s="38">
        <f t="shared" si="16"/>
        <v>13299.999999999998</v>
      </c>
      <c r="K16" s="7">
        <v>13443.87</v>
      </c>
      <c r="L16" s="54">
        <f t="shared" si="17"/>
        <v>2.2400000000016007</v>
      </c>
      <c r="M16" s="38">
        <f t="shared" si="18"/>
        <v>4256.0000000030414</v>
      </c>
      <c r="N16" s="7">
        <v>3071.5239999999999</v>
      </c>
      <c r="O16" s="54">
        <f t="shared" si="19"/>
        <v>1.5169999999998254</v>
      </c>
      <c r="P16" s="38">
        <f t="shared" si="20"/>
        <v>2882.2999999996682</v>
      </c>
      <c r="Q16" s="7">
        <v>4845.9399999999996</v>
      </c>
      <c r="R16" s="54">
        <f t="shared" si="21"/>
        <v>2.5399999999999636</v>
      </c>
      <c r="S16" s="38">
        <f t="shared" si="22"/>
        <v>4825.99999999993</v>
      </c>
      <c r="T16" s="8">
        <f t="shared" si="24"/>
        <v>26.349000000003798</v>
      </c>
      <c r="U16" s="40">
        <f t="shared" si="23"/>
        <v>50063.100000007209</v>
      </c>
      <c r="Y16" t="s">
        <v>12</v>
      </c>
    </row>
    <row r="17" spans="1:24" ht="16.5" thickBot="1" x14ac:dyDescent="0.25">
      <c r="A17" s="10">
        <v>44362</v>
      </c>
      <c r="B17" s="1">
        <v>20885.808000000001</v>
      </c>
      <c r="C17" s="54">
        <f t="shared" si="11"/>
        <v>10.531999999999243</v>
      </c>
      <c r="D17" s="38">
        <f t="shared" si="12"/>
        <v>20010.799999998562</v>
      </c>
      <c r="E17" s="1">
        <v>3650.125</v>
      </c>
      <c r="F17" s="54">
        <f t="shared" si="13"/>
        <v>3.2890000000002146</v>
      </c>
      <c r="G17" s="38">
        <f t="shared" si="14"/>
        <v>6249.1000000004069</v>
      </c>
      <c r="H17" s="1">
        <v>3282</v>
      </c>
      <c r="I17" s="54">
        <f t="shared" si="15"/>
        <v>7</v>
      </c>
      <c r="J17" s="38">
        <f t="shared" si="16"/>
        <v>13299.999999999998</v>
      </c>
      <c r="K17" s="7">
        <v>13446.27</v>
      </c>
      <c r="L17" s="54">
        <f t="shared" si="17"/>
        <v>2.3999999999996362</v>
      </c>
      <c r="M17" s="38">
        <f t="shared" si="18"/>
        <v>4559.9999999993088</v>
      </c>
      <c r="N17" s="7">
        <v>3073.067</v>
      </c>
      <c r="O17" s="54">
        <f t="shared" si="19"/>
        <v>1.5430000000001201</v>
      </c>
      <c r="P17" s="38">
        <f t="shared" si="20"/>
        <v>2931.7000000002281</v>
      </c>
      <c r="Q17" s="7">
        <v>4848.83</v>
      </c>
      <c r="R17" s="54">
        <f t="shared" si="21"/>
        <v>2.8900000000003274</v>
      </c>
      <c r="S17" s="38">
        <f t="shared" si="22"/>
        <v>5491.0000000006221</v>
      </c>
      <c r="T17" s="8">
        <f t="shared" si="24"/>
        <v>27.653999999999542</v>
      </c>
      <c r="U17" s="40">
        <f t="shared" si="23"/>
        <v>52542.599999999125</v>
      </c>
    </row>
    <row r="18" spans="1:24" ht="16.5" thickBot="1" x14ac:dyDescent="0.25">
      <c r="A18" s="10">
        <v>44363</v>
      </c>
      <c r="B18" s="1">
        <v>20894.481</v>
      </c>
      <c r="C18" s="54">
        <f t="shared" si="11"/>
        <v>8.672999999998865</v>
      </c>
      <c r="D18" s="38">
        <f t="shared" si="12"/>
        <v>16478.699999997843</v>
      </c>
      <c r="E18" s="1">
        <v>3652.51</v>
      </c>
      <c r="F18" s="54">
        <f t="shared" si="13"/>
        <v>2.3850000000002183</v>
      </c>
      <c r="G18" s="38">
        <f t="shared" si="14"/>
        <v>4531.5000000004138</v>
      </c>
      <c r="H18" s="1">
        <v>3289</v>
      </c>
      <c r="I18" s="54">
        <f t="shared" si="15"/>
        <v>7</v>
      </c>
      <c r="J18" s="38">
        <f t="shared" si="16"/>
        <v>13299.999999999998</v>
      </c>
      <c r="K18" s="7">
        <v>13448.07</v>
      </c>
      <c r="L18" s="54">
        <f t="shared" si="17"/>
        <v>1.7999999999992724</v>
      </c>
      <c r="M18" s="38">
        <f t="shared" si="18"/>
        <v>3419.9999999986176</v>
      </c>
      <c r="N18" s="7">
        <v>3074.2840000000001</v>
      </c>
      <c r="O18" s="54">
        <f t="shared" si="19"/>
        <v>1.2170000000000982</v>
      </c>
      <c r="P18" s="38">
        <f t="shared" si="20"/>
        <v>2312.3000000001866</v>
      </c>
      <c r="Q18" s="7">
        <v>4850.87</v>
      </c>
      <c r="R18" s="54">
        <f t="shared" si="21"/>
        <v>2.0399999999999636</v>
      </c>
      <c r="S18" s="38">
        <f t="shared" si="22"/>
        <v>3875.9999999999304</v>
      </c>
      <c r="T18" s="8">
        <f t="shared" si="24"/>
        <v>23.114999999998417</v>
      </c>
      <c r="U18" s="40">
        <f t="shared" si="23"/>
        <v>43918.499999996988</v>
      </c>
    </row>
    <row r="19" spans="1:24" ht="16.5" thickBot="1" x14ac:dyDescent="0.25">
      <c r="A19" s="10">
        <v>44364</v>
      </c>
      <c r="B19" s="1">
        <v>20905.496999999999</v>
      </c>
      <c r="C19" s="54">
        <f t="shared" si="11"/>
        <v>11.015999999999622</v>
      </c>
      <c r="D19" s="38">
        <f t="shared" si="12"/>
        <v>20930.399999999281</v>
      </c>
      <c r="E19" s="1">
        <v>3655.87</v>
      </c>
      <c r="F19" s="54">
        <f t="shared" si="13"/>
        <v>3.3599999999996726</v>
      </c>
      <c r="G19" s="38">
        <f t="shared" si="14"/>
        <v>6383.9999999993779</v>
      </c>
      <c r="H19" s="1">
        <v>3297</v>
      </c>
      <c r="I19" s="54">
        <f t="shared" si="15"/>
        <v>8</v>
      </c>
      <c r="J19" s="38">
        <f t="shared" si="16"/>
        <v>15200</v>
      </c>
      <c r="K19" s="7">
        <v>13450.65</v>
      </c>
      <c r="L19" s="54">
        <f t="shared" si="17"/>
        <v>2.5799999999999272</v>
      </c>
      <c r="M19" s="38">
        <f t="shared" si="18"/>
        <v>4901.9999999998618</v>
      </c>
      <c r="N19" s="7">
        <v>3075.8850000000002</v>
      </c>
      <c r="O19" s="54">
        <f t="shared" si="19"/>
        <v>1.6010000000001128</v>
      </c>
      <c r="P19" s="38">
        <f t="shared" si="20"/>
        <v>3041.9000000002143</v>
      </c>
      <c r="Q19" s="7">
        <v>4853.75</v>
      </c>
      <c r="R19" s="54">
        <f t="shared" si="21"/>
        <v>2.8800000000001091</v>
      </c>
      <c r="S19" s="38">
        <f t="shared" si="22"/>
        <v>5472.0000000002074</v>
      </c>
      <c r="T19" s="8">
        <f t="shared" si="24"/>
        <v>29.436999999999443</v>
      </c>
      <c r="U19" s="40">
        <f t="shared" si="23"/>
        <v>55930.299999998933</v>
      </c>
    </row>
    <row r="20" spans="1:24" ht="16.5" thickBot="1" x14ac:dyDescent="0.25">
      <c r="A20" s="10">
        <v>44365</v>
      </c>
      <c r="B20" s="1">
        <v>20913.133000000002</v>
      </c>
      <c r="C20" s="54">
        <f t="shared" si="11"/>
        <v>7.636000000002241</v>
      </c>
      <c r="D20" s="38">
        <f t="shared" si="12"/>
        <v>14508.400000004258</v>
      </c>
      <c r="E20" s="1">
        <v>3657.0970000000002</v>
      </c>
      <c r="F20" s="54">
        <f t="shared" si="13"/>
        <v>1.2270000000003165</v>
      </c>
      <c r="G20" s="38">
        <f t="shared" si="14"/>
        <v>2331.3000000006014</v>
      </c>
      <c r="H20" s="1">
        <v>3302</v>
      </c>
      <c r="I20" s="54">
        <f t="shared" si="15"/>
        <v>5</v>
      </c>
      <c r="J20" s="38">
        <f t="shared" si="16"/>
        <v>9500</v>
      </c>
      <c r="K20" s="7">
        <v>13452.38</v>
      </c>
      <c r="L20" s="54">
        <f t="shared" si="17"/>
        <v>1.7299999999995634</v>
      </c>
      <c r="M20" s="38">
        <f t="shared" si="18"/>
        <v>3286.9999999991705</v>
      </c>
      <c r="N20" s="7">
        <v>3077.0140000000001</v>
      </c>
      <c r="O20" s="54">
        <f t="shared" si="19"/>
        <v>1.1289999999999054</v>
      </c>
      <c r="P20" s="38">
        <f t="shared" si="20"/>
        <v>2145.0999999998203</v>
      </c>
      <c r="Q20" s="7">
        <v>4855.34</v>
      </c>
      <c r="R20" s="54">
        <f t="shared" si="21"/>
        <v>1.5900000000001455</v>
      </c>
      <c r="S20" s="38">
        <f t="shared" si="22"/>
        <v>3021.000000000276</v>
      </c>
      <c r="T20" s="8">
        <f t="shared" si="24"/>
        <v>18.312000000002172</v>
      </c>
      <c r="U20" s="40">
        <f t="shared" si="23"/>
        <v>34792.800000004128</v>
      </c>
      <c r="X20" t="s">
        <v>12</v>
      </c>
    </row>
    <row r="21" spans="1:24" ht="16.5" thickBot="1" x14ac:dyDescent="0.25">
      <c r="A21" s="10">
        <v>44366</v>
      </c>
      <c r="B21" s="1">
        <v>20922.631000000001</v>
      </c>
      <c r="C21" s="54">
        <f t="shared" si="11"/>
        <v>9.4979999999995925</v>
      </c>
      <c r="D21" s="38">
        <f t="shared" si="12"/>
        <v>18046.199999999226</v>
      </c>
      <c r="E21" s="1">
        <v>3658.8989999999999</v>
      </c>
      <c r="F21" s="54">
        <f t="shared" si="13"/>
        <v>1.8019999999996799</v>
      </c>
      <c r="G21" s="38">
        <f t="shared" si="14"/>
        <v>3423.7999999993917</v>
      </c>
      <c r="H21" s="1">
        <v>3308</v>
      </c>
      <c r="I21" s="54">
        <f t="shared" si="15"/>
        <v>6</v>
      </c>
      <c r="J21" s="38">
        <f t="shared" si="16"/>
        <v>11399.999999999998</v>
      </c>
      <c r="K21" s="7">
        <v>13454.61</v>
      </c>
      <c r="L21" s="54">
        <f t="shared" si="17"/>
        <v>2.2300000000013824</v>
      </c>
      <c r="M21" s="38">
        <f t="shared" si="18"/>
        <v>4237.0000000026266</v>
      </c>
      <c r="N21" s="7">
        <v>3078.4859999999999</v>
      </c>
      <c r="O21" s="54">
        <f t="shared" si="19"/>
        <v>1.4719999999997526</v>
      </c>
      <c r="P21" s="38">
        <f t="shared" si="20"/>
        <v>2796.79999999953</v>
      </c>
      <c r="Q21" s="7">
        <v>4857.95</v>
      </c>
      <c r="R21" s="54">
        <f t="shared" si="21"/>
        <v>2.6099999999996726</v>
      </c>
      <c r="S21" s="38">
        <f t="shared" si="22"/>
        <v>4958.9999999993779</v>
      </c>
      <c r="T21" s="8">
        <f t="shared" si="24"/>
        <v>23.61200000000008</v>
      </c>
      <c r="U21" s="40">
        <f t="shared" si="23"/>
        <v>44862.800000000148</v>
      </c>
    </row>
    <row r="22" spans="1:24" ht="16.5" thickBot="1" x14ac:dyDescent="0.25">
      <c r="A22" s="10">
        <v>44367</v>
      </c>
      <c r="B22" s="1">
        <v>20931.509999999998</v>
      </c>
      <c r="C22" s="54">
        <f t="shared" si="11"/>
        <v>8.8789999999971769</v>
      </c>
      <c r="D22" s="38">
        <f t="shared" si="12"/>
        <v>16870.099999994636</v>
      </c>
      <c r="E22" s="1">
        <v>3661.18</v>
      </c>
      <c r="F22" s="54">
        <f t="shared" si="13"/>
        <v>2.2809999999999491</v>
      </c>
      <c r="G22" s="38">
        <f t="shared" si="14"/>
        <v>4333.8999999999032</v>
      </c>
      <c r="H22" s="1">
        <v>3315</v>
      </c>
      <c r="I22" s="54">
        <f t="shared" si="15"/>
        <v>7</v>
      </c>
      <c r="J22" s="38">
        <f t="shared" si="16"/>
        <v>13299.999999999998</v>
      </c>
      <c r="K22" s="7">
        <v>13456.76</v>
      </c>
      <c r="L22" s="54">
        <f t="shared" si="17"/>
        <v>2.1499999999996362</v>
      </c>
      <c r="M22" s="38">
        <f t="shared" si="18"/>
        <v>4084.9999999993088</v>
      </c>
      <c r="N22" s="7">
        <v>3079.9580000000001</v>
      </c>
      <c r="O22" s="54">
        <f t="shared" si="19"/>
        <v>1.4720000000002074</v>
      </c>
      <c r="P22" s="38">
        <f t="shared" si="20"/>
        <v>2796.800000000394</v>
      </c>
      <c r="Q22" s="7">
        <v>4859.8</v>
      </c>
      <c r="R22" s="54">
        <f t="shared" si="21"/>
        <v>1.8500000000003638</v>
      </c>
      <c r="S22" s="38">
        <f t="shared" si="22"/>
        <v>3515.0000000006912</v>
      </c>
      <c r="T22" s="8">
        <f t="shared" si="24"/>
        <v>23.631999999997333</v>
      </c>
      <c r="U22" s="40">
        <f t="shared" si="23"/>
        <v>44900.799999994932</v>
      </c>
    </row>
    <row r="23" spans="1:24" ht="16.5" thickBot="1" x14ac:dyDescent="0.25">
      <c r="A23" s="10">
        <v>44368</v>
      </c>
      <c r="B23" s="1">
        <v>20940.866000000002</v>
      </c>
      <c r="C23" s="54">
        <f t="shared" si="11"/>
        <v>9.3560000000034051</v>
      </c>
      <c r="D23" s="38">
        <f t="shared" si="12"/>
        <v>17776.40000000647</v>
      </c>
      <c r="E23" s="1">
        <v>3664.1439999999998</v>
      </c>
      <c r="F23" s="54">
        <f t="shared" si="13"/>
        <v>2.9639999999999418</v>
      </c>
      <c r="G23" s="38">
        <f t="shared" si="14"/>
        <v>5631.5999999998894</v>
      </c>
      <c r="H23" s="1">
        <v>3322</v>
      </c>
      <c r="I23" s="54">
        <f t="shared" si="15"/>
        <v>7</v>
      </c>
      <c r="J23" s="38">
        <f t="shared" si="16"/>
        <v>13299.999999999998</v>
      </c>
      <c r="K23" s="7">
        <v>13459.03</v>
      </c>
      <c r="L23" s="54">
        <f t="shared" si="17"/>
        <v>2.2700000000004366</v>
      </c>
      <c r="M23" s="38">
        <f t="shared" si="18"/>
        <v>4313.0000000008295</v>
      </c>
      <c r="N23" s="7">
        <v>3081.43</v>
      </c>
      <c r="O23" s="54">
        <f t="shared" si="19"/>
        <v>1.4719999999997526</v>
      </c>
      <c r="P23" s="38">
        <f t="shared" si="20"/>
        <v>2796.79999999953</v>
      </c>
      <c r="Q23" s="7">
        <v>4862.8500000000004</v>
      </c>
      <c r="R23" s="54">
        <f t="shared" si="21"/>
        <v>3.0500000000001819</v>
      </c>
      <c r="S23" s="38">
        <f t="shared" si="22"/>
        <v>5795.0000000003456</v>
      </c>
      <c r="T23" s="8">
        <f t="shared" si="24"/>
        <v>26.112000000003718</v>
      </c>
      <c r="U23" s="40">
        <f t="shared" si="23"/>
        <v>49612.800000007061</v>
      </c>
    </row>
    <row r="24" spans="1:24" ht="16.5" thickBot="1" x14ac:dyDescent="0.25">
      <c r="A24" s="10">
        <v>44369</v>
      </c>
      <c r="B24" s="1">
        <v>20951.650000000001</v>
      </c>
      <c r="C24" s="54">
        <f t="shared" si="11"/>
        <v>10.783999999999651</v>
      </c>
      <c r="D24" s="38">
        <f t="shared" si="12"/>
        <v>20489.599999999336</v>
      </c>
      <c r="E24" s="1">
        <v>3667.1</v>
      </c>
      <c r="F24" s="54">
        <f t="shared" si="13"/>
        <v>2.956000000000131</v>
      </c>
      <c r="G24" s="38">
        <f t="shared" si="14"/>
        <v>5616.4000000002479</v>
      </c>
      <c r="H24" s="1">
        <v>3329</v>
      </c>
      <c r="I24" s="54">
        <f t="shared" si="15"/>
        <v>7</v>
      </c>
      <c r="J24" s="38">
        <f t="shared" si="16"/>
        <v>13299.999999999998</v>
      </c>
      <c r="K24" s="7">
        <v>13461.24</v>
      </c>
      <c r="L24" s="54">
        <f t="shared" si="17"/>
        <v>2.2099999999991269</v>
      </c>
      <c r="M24" s="38">
        <f t="shared" si="18"/>
        <v>4198.9999999983411</v>
      </c>
      <c r="N24" s="7">
        <v>3082.8719999999998</v>
      </c>
      <c r="O24" s="54">
        <f t="shared" si="19"/>
        <v>1.4420000000000073</v>
      </c>
      <c r="P24" s="38">
        <f t="shared" si="20"/>
        <v>2739.8000000000134</v>
      </c>
      <c r="Q24" s="7">
        <v>4865.04</v>
      </c>
      <c r="R24" s="54">
        <f t="shared" si="21"/>
        <v>2.1899999999995998</v>
      </c>
      <c r="S24" s="38">
        <f t="shared" si="22"/>
        <v>4160.9999999992397</v>
      </c>
      <c r="T24" s="8">
        <f t="shared" si="24"/>
        <v>26.581999999998516</v>
      </c>
      <c r="U24" s="40">
        <f t="shared" si="23"/>
        <v>50505.79999999718</v>
      </c>
    </row>
    <row r="25" spans="1:24" ht="16.5" thickBot="1" x14ac:dyDescent="0.25">
      <c r="A25" s="10">
        <v>44370</v>
      </c>
      <c r="B25" s="1">
        <v>20963.233</v>
      </c>
      <c r="C25" s="54">
        <f t="shared" si="11"/>
        <v>11.582999999998719</v>
      </c>
      <c r="D25" s="38">
        <f t="shared" si="12"/>
        <v>22007.699999997567</v>
      </c>
      <c r="E25" s="1">
        <v>3670.3009999999999</v>
      </c>
      <c r="F25" s="54">
        <f t="shared" si="13"/>
        <v>3.2010000000000218</v>
      </c>
      <c r="G25" s="38">
        <f t="shared" si="14"/>
        <v>6081.9000000000406</v>
      </c>
      <c r="H25" s="1">
        <v>3337</v>
      </c>
      <c r="I25" s="54">
        <f t="shared" si="15"/>
        <v>8</v>
      </c>
      <c r="J25" s="38">
        <f t="shared" si="16"/>
        <v>15200</v>
      </c>
      <c r="K25" s="7">
        <v>13463.62</v>
      </c>
      <c r="L25" s="54">
        <f t="shared" si="17"/>
        <v>2.3800000000010186</v>
      </c>
      <c r="M25" s="38">
        <f t="shared" si="18"/>
        <v>4522.0000000019354</v>
      </c>
      <c r="N25" s="7">
        <v>3084.2049999999999</v>
      </c>
      <c r="O25" s="54">
        <f t="shared" si="19"/>
        <v>1.3330000000000837</v>
      </c>
      <c r="P25" s="38">
        <f t="shared" si="20"/>
        <v>2532.7000000001585</v>
      </c>
      <c r="Q25" s="7">
        <v>4867.5</v>
      </c>
      <c r="R25" s="54">
        <f t="shared" si="21"/>
        <v>2.4600000000000364</v>
      </c>
      <c r="S25" s="38">
        <f t="shared" si="22"/>
        <v>4674.0000000000691</v>
      </c>
      <c r="T25" s="8">
        <f t="shared" si="24"/>
        <v>28.95699999999988</v>
      </c>
      <c r="U25" s="40">
        <f t="shared" si="23"/>
        <v>55018.29999999977</v>
      </c>
    </row>
    <row r="26" spans="1:24" ht="16.5" thickBot="1" x14ac:dyDescent="0.25">
      <c r="A26" s="10">
        <v>44371</v>
      </c>
      <c r="B26" s="1">
        <v>20979.767</v>
      </c>
      <c r="C26" s="54">
        <f t="shared" si="11"/>
        <v>16.533999999999651</v>
      </c>
      <c r="D26" s="38">
        <f t="shared" si="12"/>
        <v>31414.599999999336</v>
      </c>
      <c r="E26" s="1">
        <v>3674.386</v>
      </c>
      <c r="F26" s="54">
        <f t="shared" si="13"/>
        <v>4.0850000000000364</v>
      </c>
      <c r="G26" s="38">
        <f t="shared" si="14"/>
        <v>7761.5000000000691</v>
      </c>
      <c r="H26" s="1">
        <v>3347</v>
      </c>
      <c r="I26" s="54">
        <f t="shared" si="15"/>
        <v>10</v>
      </c>
      <c r="J26" s="38">
        <f t="shared" si="16"/>
        <v>19000</v>
      </c>
      <c r="K26" s="7">
        <v>13466.77</v>
      </c>
      <c r="L26" s="54">
        <f t="shared" si="17"/>
        <v>3.1499999999996362</v>
      </c>
      <c r="M26" s="38">
        <f t="shared" si="18"/>
        <v>5984.9999999993088</v>
      </c>
      <c r="N26" s="7">
        <v>3086.18</v>
      </c>
      <c r="O26" s="54">
        <f t="shared" si="19"/>
        <v>1.9749999999999091</v>
      </c>
      <c r="P26" s="38">
        <f t="shared" si="20"/>
        <v>3752.4999999998272</v>
      </c>
      <c r="Q26" s="7">
        <v>4869.8</v>
      </c>
      <c r="R26" s="54">
        <f t="shared" si="21"/>
        <v>2.3000000000001819</v>
      </c>
      <c r="S26" s="38">
        <f t="shared" si="22"/>
        <v>4370.0000000003456</v>
      </c>
      <c r="T26" s="8">
        <f t="shared" si="24"/>
        <v>38.043999999999414</v>
      </c>
      <c r="U26" s="40">
        <f t="shared" si="23"/>
        <v>72283.599999998885</v>
      </c>
      <c r="V26" t="s">
        <v>12</v>
      </c>
    </row>
    <row r="27" spans="1:24" ht="16.5" thickBot="1" x14ac:dyDescent="0.25">
      <c r="A27" s="10">
        <v>44372</v>
      </c>
      <c r="B27" s="1">
        <v>20994.163</v>
      </c>
      <c r="C27" s="54">
        <f t="shared" si="11"/>
        <v>14.39600000000064</v>
      </c>
      <c r="D27" s="38">
        <f t="shared" si="12"/>
        <v>27352.400000001213</v>
      </c>
      <c r="E27" s="1">
        <v>3675.55</v>
      </c>
      <c r="F27" s="54">
        <f t="shared" si="13"/>
        <v>1.1640000000002146</v>
      </c>
      <c r="G27" s="38">
        <f t="shared" si="14"/>
        <v>2211.6000000004078</v>
      </c>
      <c r="H27" s="1">
        <v>3355</v>
      </c>
      <c r="I27" s="54">
        <f t="shared" si="15"/>
        <v>8</v>
      </c>
      <c r="J27" s="38">
        <f t="shared" si="16"/>
        <v>15200</v>
      </c>
      <c r="K27" s="7">
        <v>13469.1</v>
      </c>
      <c r="L27" s="54">
        <f t="shared" si="17"/>
        <v>2.3299999999999272</v>
      </c>
      <c r="M27" s="38">
        <f t="shared" si="18"/>
        <v>4426.9999999998618</v>
      </c>
      <c r="N27" s="7">
        <v>3087.55</v>
      </c>
      <c r="O27" s="54">
        <f t="shared" si="19"/>
        <v>1.3700000000003456</v>
      </c>
      <c r="P27" s="38">
        <f t="shared" si="20"/>
        <v>2603.0000000006567</v>
      </c>
      <c r="Q27" s="7">
        <v>4870.95</v>
      </c>
      <c r="R27" s="54">
        <f t="shared" si="21"/>
        <v>1.1499999999996362</v>
      </c>
      <c r="S27" s="38">
        <f t="shared" si="22"/>
        <v>2184.9999999993088</v>
      </c>
      <c r="T27" s="8">
        <f t="shared" si="24"/>
        <v>28.410000000000764</v>
      </c>
      <c r="U27" s="40">
        <f t="shared" si="23"/>
        <v>53979.000000001448</v>
      </c>
      <c r="V27" t="s">
        <v>12</v>
      </c>
    </row>
    <row r="28" spans="1:24" ht="16.5" thickBot="1" x14ac:dyDescent="0.25">
      <c r="A28" s="10">
        <v>44373</v>
      </c>
      <c r="B28" s="1">
        <v>21005.507000000001</v>
      </c>
      <c r="C28" s="54">
        <f t="shared" si="11"/>
        <v>11.34400000000096</v>
      </c>
      <c r="D28" s="38">
        <f t="shared" si="12"/>
        <v>21553.600000001825</v>
      </c>
      <c r="E28" s="1">
        <v>3677.3820000000001</v>
      </c>
      <c r="F28" s="54">
        <f t="shared" si="13"/>
        <v>1.8319999999998799</v>
      </c>
      <c r="G28" s="38">
        <f t="shared" si="14"/>
        <v>3480.7999999997714</v>
      </c>
      <c r="H28" s="1">
        <v>3361</v>
      </c>
      <c r="I28" s="54">
        <f t="shared" si="15"/>
        <v>6</v>
      </c>
      <c r="J28" s="38">
        <f t="shared" si="16"/>
        <v>11399.999999999998</v>
      </c>
      <c r="K28" s="7">
        <v>13470.81</v>
      </c>
      <c r="L28" s="54">
        <f t="shared" si="17"/>
        <v>1.7099999999991269</v>
      </c>
      <c r="M28" s="38">
        <f t="shared" si="18"/>
        <v>3248.9999999983411</v>
      </c>
      <c r="N28" s="7">
        <v>3088.7159999999999</v>
      </c>
      <c r="O28" s="54">
        <f t="shared" si="19"/>
        <v>1.1659999999997126</v>
      </c>
      <c r="P28" s="38">
        <f t="shared" si="20"/>
        <v>2215.3999999994539</v>
      </c>
      <c r="Q28" s="7">
        <v>4874.7</v>
      </c>
      <c r="R28" s="54">
        <f t="shared" si="21"/>
        <v>3.75</v>
      </c>
      <c r="S28" s="38">
        <f t="shared" si="22"/>
        <v>7125</v>
      </c>
      <c r="T28" s="8">
        <f t="shared" si="24"/>
        <v>25.80199999999968</v>
      </c>
      <c r="U28" s="40">
        <f t="shared" si="23"/>
        <v>49023.799999999392</v>
      </c>
    </row>
    <row r="29" spans="1:24" ht="16.5" thickBot="1" x14ac:dyDescent="0.25">
      <c r="A29" s="10">
        <v>44374</v>
      </c>
      <c r="B29" s="1">
        <v>21019.473999999998</v>
      </c>
      <c r="C29" s="54">
        <f t="shared" si="11"/>
        <v>13.966999999996915</v>
      </c>
      <c r="D29" s="38">
        <f t="shared" si="12"/>
        <v>26537.299999994135</v>
      </c>
      <c r="E29" s="1">
        <v>3680.0619999999999</v>
      </c>
      <c r="F29" s="54">
        <f t="shared" si="13"/>
        <v>2.6799999999998363</v>
      </c>
      <c r="G29" s="38">
        <f t="shared" si="14"/>
        <v>5091.999999999689</v>
      </c>
      <c r="H29" s="1">
        <v>3370</v>
      </c>
      <c r="I29" s="54">
        <f t="shared" si="15"/>
        <v>9</v>
      </c>
      <c r="J29" s="38">
        <f t="shared" si="16"/>
        <v>17099.999999999996</v>
      </c>
      <c r="K29" s="7">
        <v>13473.1</v>
      </c>
      <c r="L29" s="54">
        <f t="shared" si="17"/>
        <v>2.2900000000008731</v>
      </c>
      <c r="M29" s="38">
        <f t="shared" si="18"/>
        <v>4351.0000000016589</v>
      </c>
      <c r="N29" s="7">
        <v>3090.3040000000001</v>
      </c>
      <c r="O29" s="54">
        <f t="shared" si="19"/>
        <v>1.5880000000001928</v>
      </c>
      <c r="P29" s="38">
        <f t="shared" si="20"/>
        <v>3017.2000000003663</v>
      </c>
      <c r="Q29" s="7">
        <v>4878.5</v>
      </c>
      <c r="R29" s="54">
        <f t="shared" si="21"/>
        <v>3.8000000000001819</v>
      </c>
      <c r="S29" s="38">
        <f t="shared" si="22"/>
        <v>7220.0000000003456</v>
      </c>
      <c r="T29" s="8">
        <f t="shared" si="24"/>
        <v>33.324999999997999</v>
      </c>
      <c r="U29" s="40">
        <f t="shared" si="23"/>
        <v>63317.499999996195</v>
      </c>
    </row>
    <row r="30" spans="1:24" ht="16.5" thickBot="1" x14ac:dyDescent="0.25">
      <c r="A30" s="10">
        <v>44375</v>
      </c>
      <c r="B30" s="1">
        <v>21034.639999999999</v>
      </c>
      <c r="C30" s="54">
        <f t="shared" si="11"/>
        <v>15.166000000001077</v>
      </c>
      <c r="D30" s="38">
        <f t="shared" si="12"/>
        <v>28815.400000002042</v>
      </c>
      <c r="E30" s="1">
        <v>3683.32</v>
      </c>
      <c r="F30" s="54">
        <f t="shared" si="13"/>
        <v>3.2580000000002656</v>
      </c>
      <c r="G30" s="38">
        <f t="shared" si="14"/>
        <v>6190.2000000005046</v>
      </c>
      <c r="H30" s="1">
        <v>3379</v>
      </c>
      <c r="I30" s="54">
        <f t="shared" si="15"/>
        <v>9</v>
      </c>
      <c r="J30" s="38">
        <f t="shared" si="16"/>
        <v>17099.999999999996</v>
      </c>
      <c r="K30" s="7">
        <v>13475.35</v>
      </c>
      <c r="L30" s="54">
        <f t="shared" si="17"/>
        <v>2.25</v>
      </c>
      <c r="M30" s="38">
        <f t="shared" si="18"/>
        <v>4274.9999999999991</v>
      </c>
      <c r="N30" s="7">
        <v>3091.8609999999999</v>
      </c>
      <c r="O30" s="54">
        <f t="shared" si="19"/>
        <v>1.556999999999789</v>
      </c>
      <c r="P30" s="38">
        <f t="shared" si="20"/>
        <v>2958.2999999995991</v>
      </c>
      <c r="Q30" s="7">
        <v>4881.8</v>
      </c>
      <c r="R30" s="54">
        <f t="shared" si="21"/>
        <v>3.3000000000001819</v>
      </c>
      <c r="S30" s="38">
        <f t="shared" si="22"/>
        <v>6270.0000000003447</v>
      </c>
      <c r="T30" s="8">
        <f t="shared" si="24"/>
        <v>34.531000000001313</v>
      </c>
      <c r="U30" s="40">
        <f t="shared" si="23"/>
        <v>65608.900000002497</v>
      </c>
    </row>
    <row r="31" spans="1:24" ht="16.5" thickBot="1" x14ac:dyDescent="0.25">
      <c r="A31" s="10">
        <v>44376</v>
      </c>
      <c r="B31" s="1"/>
      <c r="C31" s="54" t="str">
        <f t="shared" si="11"/>
        <v>0</v>
      </c>
      <c r="D31" s="38">
        <f t="shared" si="12"/>
        <v>0</v>
      </c>
      <c r="E31" s="1"/>
      <c r="F31" s="54" t="str">
        <f t="shared" si="13"/>
        <v>0</v>
      </c>
      <c r="G31" s="38">
        <f t="shared" si="14"/>
        <v>0</v>
      </c>
      <c r="H31" s="1"/>
      <c r="I31" s="54" t="str">
        <f t="shared" si="15"/>
        <v>0</v>
      </c>
      <c r="J31" s="38">
        <f t="shared" si="16"/>
        <v>0</v>
      </c>
      <c r="K31" s="7"/>
      <c r="L31" s="54" t="str">
        <f t="shared" si="17"/>
        <v>0</v>
      </c>
      <c r="M31" s="38">
        <f t="shared" si="18"/>
        <v>0</v>
      </c>
      <c r="N31" s="7"/>
      <c r="O31" s="54" t="str">
        <f t="shared" si="19"/>
        <v>0</v>
      </c>
      <c r="P31" s="38">
        <f t="shared" si="20"/>
        <v>0</v>
      </c>
      <c r="Q31" s="7"/>
      <c r="R31" s="54" t="str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44377</v>
      </c>
      <c r="B32" s="1"/>
      <c r="C32" s="54">
        <f t="shared" si="11"/>
        <v>0</v>
      </c>
      <c r="D32" s="38">
        <f t="shared" si="12"/>
        <v>0</v>
      </c>
      <c r="E32" s="1"/>
      <c r="F32" s="54">
        <f t="shared" si="13"/>
        <v>0</v>
      </c>
      <c r="G32" s="38">
        <f t="shared" si="14"/>
        <v>0</v>
      </c>
      <c r="H32" s="1"/>
      <c r="I32" s="54">
        <f t="shared" si="15"/>
        <v>0</v>
      </c>
      <c r="J32" s="38">
        <f t="shared" si="16"/>
        <v>0</v>
      </c>
      <c r="K32" s="7"/>
      <c r="L32" s="54">
        <f t="shared" si="17"/>
        <v>0</v>
      </c>
      <c r="M32" s="38">
        <f t="shared" si="18"/>
        <v>0</v>
      </c>
      <c r="N32" s="7"/>
      <c r="O32" s="54">
        <f t="shared" si="19"/>
        <v>0</v>
      </c>
      <c r="P32" s="38">
        <f t="shared" si="20"/>
        <v>0</v>
      </c>
      <c r="Q32" s="7"/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44377</v>
      </c>
      <c r="B33" s="1"/>
      <c r="C33" s="54">
        <f t="shared" si="11"/>
        <v>0</v>
      </c>
      <c r="D33" s="38">
        <f t="shared" si="12"/>
        <v>0</v>
      </c>
      <c r="E33" s="1"/>
      <c r="F33" s="54">
        <f t="shared" si="13"/>
        <v>0</v>
      </c>
      <c r="G33" s="38">
        <f t="shared" si="14"/>
        <v>0</v>
      </c>
      <c r="H33" s="1"/>
      <c r="I33" s="54">
        <f t="shared" si="15"/>
        <v>0</v>
      </c>
      <c r="J33" s="38">
        <f t="shared" si="16"/>
        <v>0</v>
      </c>
      <c r="K33" s="7"/>
      <c r="L33" s="54">
        <f t="shared" si="17"/>
        <v>0</v>
      </c>
      <c r="M33" s="38">
        <f t="shared" si="18"/>
        <v>0</v>
      </c>
      <c r="N33" s="7"/>
      <c r="O33" s="54">
        <f t="shared" si="19"/>
        <v>0</v>
      </c>
      <c r="P33" s="38">
        <f t="shared" si="20"/>
        <v>0</v>
      </c>
      <c r="Q33" s="7"/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287.03299999999945</v>
      </c>
      <c r="D34" s="159">
        <f>SUM(D2:D33)</f>
        <v>564315.19999999611</v>
      </c>
      <c r="E34" s="159">
        <v>0</v>
      </c>
      <c r="F34" s="159">
        <f>SUM(F2:F33)</f>
        <v>72.235000000000127</v>
      </c>
      <c r="G34" s="159">
        <f>SUM(G2:G33)</f>
        <v>137246.50000000023</v>
      </c>
      <c r="H34" s="159"/>
      <c r="I34" s="159">
        <f>SUM(I2:I33)</f>
        <v>211</v>
      </c>
      <c r="J34" s="159">
        <f>SUM(J2:J33)</f>
        <v>400900</v>
      </c>
      <c r="K34" s="159"/>
      <c r="L34" s="159">
        <f>SUM(L2:L33)</f>
        <v>62.890000000001237</v>
      </c>
      <c r="M34" s="159">
        <f>SUM(M2:M33)</f>
        <v>119491.00000000233</v>
      </c>
      <c r="N34" s="159"/>
      <c r="O34" s="159">
        <f>SUM(O2:O33)</f>
        <v>41.132999999999811</v>
      </c>
      <c r="P34" s="159">
        <f>SUM(P2:P33)</f>
        <v>78152.699999999633</v>
      </c>
      <c r="Q34" s="159"/>
      <c r="R34" s="159">
        <f>SUM(R2:R33)</f>
        <v>70.090000000000146</v>
      </c>
      <c r="S34" s="159">
        <f>SUM(S2:S33)</f>
        <v>133171.00000000029</v>
      </c>
      <c r="T34" s="159">
        <f>SUM(T2:T33)</f>
        <v>754.35599999999931</v>
      </c>
      <c r="U34" s="159">
        <f>SUM(U2:U33)</f>
        <v>1433276.3999999985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N18" sqref="N1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-64710473</v>
      </c>
      <c r="D2" s="107">
        <f>C2*1.27</f>
        <v>-82182300.710000008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26143363</v>
      </c>
      <c r="J3" s="155">
        <f>ELECT.!E33</f>
        <v>0</v>
      </c>
      <c r="K3" s="102">
        <f>J3-I3</f>
        <v>-26143363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82726315</v>
      </c>
      <c r="J4" s="155">
        <f>ELECT.!G33</f>
        <v>0</v>
      </c>
      <c r="K4" s="102">
        <f>J4-I4</f>
        <v>-82726315</v>
      </c>
    </row>
    <row r="5" spans="1:11" ht="13.5" thickBot="1" x14ac:dyDescent="0.25">
      <c r="A5" s="105"/>
      <c r="B5" s="111" t="s">
        <v>27</v>
      </c>
      <c r="C5" s="115">
        <f>(K10+K12)*0.842284+K26</f>
        <v>-26499389.279651999</v>
      </c>
      <c r="D5" s="115">
        <f t="shared" ref="D5:D11" si="0">C5*1.27</f>
        <v>-33654224.38515804</v>
      </c>
      <c r="E5" s="116"/>
      <c r="F5" s="105"/>
      <c r="G5" s="105"/>
      <c r="H5" s="111" t="s">
        <v>23</v>
      </c>
      <c r="I5" s="117"/>
      <c r="J5" s="117"/>
      <c r="K5" s="142">
        <f>K3+K4</f>
        <v>-108869678</v>
      </c>
    </row>
    <row r="6" spans="1:11" ht="13.5" thickBot="1" x14ac:dyDescent="0.25">
      <c r="A6" s="105"/>
      <c r="B6" s="111" t="s">
        <v>99</v>
      </c>
      <c r="C6" s="115">
        <f>(K10+K12+K26)*0.1488</f>
        <v>-4600081.0223999992</v>
      </c>
      <c r="D6" s="115">
        <f t="shared" si="0"/>
        <v>-5842102.8984479988</v>
      </c>
      <c r="E6" s="116"/>
      <c r="F6" s="105"/>
      <c r="G6" s="105"/>
      <c r="H6" s="111" t="s">
        <v>100</v>
      </c>
      <c r="I6" s="160">
        <f>ELECT.!J2</f>
        <v>8089438</v>
      </c>
      <c r="J6" s="156">
        <f>ELECT.!J33</f>
        <v>0</v>
      </c>
      <c r="K6" s="102">
        <f>J6-I6</f>
        <v>-8089438</v>
      </c>
    </row>
    <row r="7" spans="1:11" ht="13.5" thickBot="1" x14ac:dyDescent="0.25">
      <c r="A7" s="105"/>
      <c r="B7" s="111" t="s">
        <v>101</v>
      </c>
      <c r="C7" s="115">
        <f>(K6+K7)-(C8+C9+C10+C11+K26)</f>
        <v>-13304579</v>
      </c>
      <c r="D7" s="115">
        <f t="shared" si="0"/>
        <v>-16896815.330000002</v>
      </c>
      <c r="E7" s="116"/>
      <c r="F7" s="105"/>
      <c r="G7" s="105"/>
      <c r="H7" s="111" t="s">
        <v>102</v>
      </c>
      <c r="I7" s="160">
        <f>ELECT.!L2</f>
        <v>8075564</v>
      </c>
      <c r="J7" s="156">
        <f>ELECT.!L33</f>
        <v>0</v>
      </c>
      <c r="K7" s="102">
        <f>J7-I7</f>
        <v>-8075564</v>
      </c>
    </row>
    <row r="8" spans="1:11" ht="13.5" thickBot="1" x14ac:dyDescent="0.25">
      <c r="A8" s="105"/>
      <c r="B8" s="111" t="s">
        <v>103</v>
      </c>
      <c r="C8" s="115">
        <f>K21+K22+K23+K24</f>
        <v>34332</v>
      </c>
      <c r="D8" s="115">
        <f t="shared" si="0"/>
        <v>43601.64</v>
      </c>
      <c r="E8" s="116"/>
      <c r="F8" s="105"/>
      <c r="G8" s="105"/>
      <c r="H8" s="111" t="s">
        <v>104</v>
      </c>
      <c r="I8" s="160">
        <f>ELECT.!N2</f>
        <v>5208255</v>
      </c>
      <c r="J8" s="156">
        <f>ELECT.!N33</f>
        <v>0</v>
      </c>
      <c r="K8" s="102">
        <f>(J8-I8)*2</f>
        <v>-10416510</v>
      </c>
    </row>
    <row r="9" spans="1:11" ht="13.5" thickBot="1" x14ac:dyDescent="0.25">
      <c r="A9" s="105"/>
      <c r="B9" s="111" t="s">
        <v>137</v>
      </c>
      <c r="C9" s="115">
        <f>K25+K16+K17</f>
        <v>4889</v>
      </c>
      <c r="D9" s="115">
        <f t="shared" si="0"/>
        <v>6209.03</v>
      </c>
      <c r="E9" s="116"/>
      <c r="F9" s="105"/>
      <c r="G9" s="105"/>
      <c r="H9" s="111" t="s">
        <v>105</v>
      </c>
      <c r="I9" s="160">
        <f>ELECT.!P2</f>
        <v>3524726</v>
      </c>
      <c r="J9" s="156">
        <f>ELECT.!P33</f>
        <v>0</v>
      </c>
      <c r="K9" s="102">
        <f>J9-I9</f>
        <v>-3524726</v>
      </c>
    </row>
    <row r="10" spans="1:11" ht="13.5" thickBot="1" x14ac:dyDescent="0.25">
      <c r="A10" s="105"/>
      <c r="B10" s="111" t="s">
        <v>106</v>
      </c>
      <c r="C10" s="115">
        <f>K18</f>
        <v>16800</v>
      </c>
      <c r="D10" s="115">
        <f t="shared" si="0"/>
        <v>21336</v>
      </c>
      <c r="E10" s="116"/>
      <c r="F10" s="105"/>
      <c r="G10" s="105"/>
      <c r="H10" s="111" t="s">
        <v>107</v>
      </c>
      <c r="I10" s="160">
        <f>ELECT.!R2</f>
        <v>17551875</v>
      </c>
      <c r="J10" s="156">
        <f>ELECT.!R33</f>
        <v>0</v>
      </c>
      <c r="K10" s="102">
        <f>J10-I10</f>
        <v>-17551875</v>
      </c>
    </row>
    <row r="11" spans="1:11" ht="13.5" thickBot="1" x14ac:dyDescent="0.25">
      <c r="A11" s="105"/>
      <c r="B11" s="111" t="s">
        <v>108</v>
      </c>
      <c r="C11" s="115">
        <f>K19+K20</f>
        <v>3876</v>
      </c>
      <c r="D11" s="115">
        <f t="shared" si="0"/>
        <v>4922.5200000000004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5221164</v>
      </c>
      <c r="J12" s="156">
        <f>ELECT.!V33</f>
        <v>0</v>
      </c>
      <c r="K12" s="102">
        <f>(J12-I12)*2</f>
        <v>-10442328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-58100441</v>
      </c>
    </row>
    <row r="14" spans="1:11" ht="13.5" thickBot="1" x14ac:dyDescent="0.25">
      <c r="A14" s="105"/>
      <c r="B14" s="111" t="s">
        <v>42</v>
      </c>
      <c r="C14" s="115">
        <f>K29</f>
        <v>-4122400</v>
      </c>
      <c r="D14" s="123">
        <f t="shared" ref="D14:D22" si="1">C14*10.03</f>
        <v>-41347672</v>
      </c>
      <c r="E14" s="124"/>
      <c r="F14" s="105"/>
      <c r="G14" s="105"/>
      <c r="H14" s="111" t="s">
        <v>114</v>
      </c>
      <c r="I14" s="120"/>
      <c r="J14" s="121"/>
      <c r="K14" s="103">
        <f>K5-K13</f>
        <v>-50769237</v>
      </c>
    </row>
    <row r="15" spans="1:11" ht="13.5" thickBot="1" x14ac:dyDescent="0.25">
      <c r="A15" s="105"/>
      <c r="B15" s="111" t="s">
        <v>115</v>
      </c>
      <c r="C15" s="125">
        <f>K30</f>
        <v>-19829.394</v>
      </c>
      <c r="D15" s="123">
        <f t="shared" si="1"/>
        <v>-198888.82181999998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-541485.88187080005</v>
      </c>
      <c r="D16" s="123">
        <f t="shared" si="1"/>
        <v>-5431103.3951641237</v>
      </c>
      <c r="E16" s="124"/>
      <c r="F16" s="105"/>
      <c r="G16" s="105"/>
      <c r="H16" s="126" t="s">
        <v>136</v>
      </c>
      <c r="I16" s="127">
        <f>'Mall, Citadel, Rotana'!T2</f>
        <v>3652</v>
      </c>
      <c r="J16" s="127">
        <f>'Mall, Citadel, Rotana'!T33</f>
        <v>3682</v>
      </c>
      <c r="K16" s="104">
        <f>(J16-I16)*160</f>
        <v>4800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24984</v>
      </c>
      <c r="J18" s="127">
        <f>'Mall, Citadel, Rotana'!L33</f>
        <v>25089</v>
      </c>
      <c r="K18" s="104">
        <f>(J18-I18)*160</f>
        <v>16800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106171</v>
      </c>
      <c r="J19" s="127">
        <f>'Mall, Citadel, Rotana'!P33</f>
        <v>110047</v>
      </c>
      <c r="K19" s="104">
        <f>J19-I19</f>
        <v>3876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45328</v>
      </c>
      <c r="J21" s="127">
        <f>'Mall, Citadel, Rotana'!B33</f>
        <v>45474</v>
      </c>
      <c r="K21" s="104">
        <f>(J21-I21)*120</f>
        <v>17520</v>
      </c>
    </row>
    <row r="22" spans="1:11" ht="13.5" thickBot="1" x14ac:dyDescent="0.25">
      <c r="A22" s="105"/>
      <c r="B22" s="111" t="s">
        <v>119</v>
      </c>
      <c r="C22" s="123">
        <f>C14-(C15+C16+C17+C18+C19+C20+C21)</f>
        <v>-3566904.7241292</v>
      </c>
      <c r="D22" s="123">
        <f t="shared" si="1"/>
        <v>-35776054.383015871</v>
      </c>
      <c r="E22" s="124"/>
      <c r="F22" s="105"/>
      <c r="G22" s="105"/>
      <c r="H22" s="126" t="s">
        <v>15</v>
      </c>
      <c r="I22" s="127">
        <f>'Mall, Citadel, Rotana'!D2</f>
        <v>39551</v>
      </c>
      <c r="J22" s="127">
        <f>'Mall, Citadel, Rotana'!D33</f>
        <v>39632</v>
      </c>
      <c r="K22" s="104">
        <f>(J22-I22)*160</f>
        <v>12960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20411</v>
      </c>
      <c r="J23" s="127">
        <f>'Mall, Citadel, Rotana'!F33</f>
        <v>20510</v>
      </c>
      <c r="K23" s="104">
        <f>(J23-I23)*20</f>
        <v>1980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242585</v>
      </c>
      <c r="J24" s="127">
        <f>'Mall, Citadel, Rotana'!H33</f>
        <v>244457</v>
      </c>
      <c r="K24" s="104">
        <f>J24-I24</f>
        <v>1872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215544</v>
      </c>
      <c r="J25" s="127">
        <f>'Mall, Citadel, Rotana'!N33</f>
        <v>215633</v>
      </c>
      <c r="K25" s="104">
        <f>J25-I25</f>
        <v>89</v>
      </c>
    </row>
    <row r="26" spans="1:11" ht="13.5" thickBot="1" x14ac:dyDescent="0.25">
      <c r="A26" s="105"/>
      <c r="B26" s="111" t="s">
        <v>42</v>
      </c>
      <c r="C26" s="129">
        <f>K35</f>
        <v>-17373532</v>
      </c>
      <c r="D26" s="115">
        <f>C26*3.65</f>
        <v>-63413391.799999997</v>
      </c>
      <c r="E26" s="116"/>
      <c r="F26" s="105"/>
      <c r="G26" s="105"/>
      <c r="H26" s="126" t="s">
        <v>123</v>
      </c>
      <c r="I26" s="136">
        <f>ELECT.!C2</f>
        <v>18252</v>
      </c>
      <c r="J26" s="136">
        <f>ELECT.!C33</f>
        <v>0</v>
      </c>
      <c r="K26" s="104">
        <f>(J26-I26)*160</f>
        <v>-2920320</v>
      </c>
    </row>
    <row r="27" spans="1:11" ht="13.5" thickBot="1" x14ac:dyDescent="0.25">
      <c r="A27" s="105"/>
      <c r="B27" s="106" t="s">
        <v>124</v>
      </c>
      <c r="C27" s="129">
        <f>C26</f>
        <v>-17373532</v>
      </c>
      <c r="D27" s="115">
        <f>C27*3.65</f>
        <v>-63413391.799999997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412240</v>
      </c>
      <c r="J29" s="127">
        <f>Water!B33</f>
        <v>0</v>
      </c>
      <c r="K29" s="104">
        <f>(J29-I29)*10</f>
        <v>-4122400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734422</v>
      </c>
      <c r="J30" s="127">
        <f>Water!H33</f>
        <v>0</v>
      </c>
      <c r="K30" s="104">
        <f>(J30-I30)*0.027</f>
        <v>-19829.394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4377900</v>
      </c>
      <c r="J31" s="127">
        <f>Water!D33</f>
        <v>0</v>
      </c>
      <c r="K31" s="104">
        <f>(J31-I31)*0.027</f>
        <v>-118203.3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3251800</v>
      </c>
      <c r="J32" s="127">
        <f>Water!F33</f>
        <v>0</v>
      </c>
      <c r="K32" s="104">
        <f>(J32-I32)*0.027</f>
        <v>-87798.6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17373532</v>
      </c>
      <c r="J35" s="158">
        <f>Gas!B33</f>
        <v>0</v>
      </c>
      <c r="K35" s="135">
        <f>J35-I35</f>
        <v>-17373532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8" sqref="N1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81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81">
        <v>6</v>
      </c>
      <c r="K2" s="71" t="s">
        <v>80</v>
      </c>
      <c r="L2" s="72">
        <v>278147</v>
      </c>
      <c r="M2" s="72">
        <v>278147</v>
      </c>
      <c r="N2" s="73">
        <f>M2-L2</f>
        <v>0</v>
      </c>
      <c r="O2" s="74"/>
    </row>
    <row r="3" spans="2:15" ht="15" x14ac:dyDescent="0.2">
      <c r="B3" s="67"/>
      <c r="C3" s="186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86"/>
      <c r="K3" s="71" t="s">
        <v>81</v>
      </c>
      <c r="L3" s="72">
        <v>241395</v>
      </c>
      <c r="M3" s="72">
        <v>241395</v>
      </c>
      <c r="N3" s="73">
        <f t="shared" ref="N3:N60" si="1">M3-L3</f>
        <v>0</v>
      </c>
      <c r="O3" s="74"/>
    </row>
    <row r="4" spans="2:15" ht="15" x14ac:dyDescent="0.2">
      <c r="B4" s="67"/>
      <c r="C4" s="182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82"/>
      <c r="K4" s="71" t="s">
        <v>82</v>
      </c>
      <c r="L4" s="72">
        <v>189597</v>
      </c>
      <c r="M4" s="72">
        <v>189597</v>
      </c>
      <c r="N4" s="73">
        <f t="shared" si="1"/>
        <v>0</v>
      </c>
      <c r="O4" s="74"/>
    </row>
    <row r="5" spans="2:15" ht="15" x14ac:dyDescent="0.2">
      <c r="B5" s="67"/>
      <c r="C5" s="181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81">
        <v>7</v>
      </c>
      <c r="K5" s="71" t="s">
        <v>80</v>
      </c>
      <c r="L5" s="72">
        <v>239098</v>
      </c>
      <c r="M5" s="72">
        <v>239098</v>
      </c>
      <c r="N5" s="73">
        <f t="shared" si="1"/>
        <v>0</v>
      </c>
      <c r="O5" s="74"/>
    </row>
    <row r="6" spans="2:15" ht="15" x14ac:dyDescent="0.2">
      <c r="B6" s="67"/>
      <c r="C6" s="186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86"/>
      <c r="K6" s="71" t="s">
        <v>81</v>
      </c>
      <c r="L6" s="72">
        <v>153583</v>
      </c>
      <c r="M6" s="72">
        <v>153583</v>
      </c>
      <c r="N6" s="73">
        <f t="shared" si="1"/>
        <v>0</v>
      </c>
      <c r="O6" s="74"/>
    </row>
    <row r="7" spans="2:15" ht="15" x14ac:dyDescent="0.2">
      <c r="B7" s="67"/>
      <c r="C7" s="182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82"/>
      <c r="K7" s="71" t="s">
        <v>82</v>
      </c>
      <c r="L7" s="72">
        <v>117854</v>
      </c>
      <c r="M7" s="72">
        <v>117854</v>
      </c>
      <c r="N7" s="73">
        <f t="shared" si="1"/>
        <v>0</v>
      </c>
      <c r="O7" s="74"/>
    </row>
    <row r="8" spans="2:15" ht="15" x14ac:dyDescent="0.2">
      <c r="B8" s="67"/>
      <c r="C8" s="181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81">
        <v>8</v>
      </c>
      <c r="K8" s="71" t="s">
        <v>80</v>
      </c>
      <c r="L8" s="72">
        <v>72512</v>
      </c>
      <c r="M8" s="72">
        <v>72512</v>
      </c>
      <c r="N8" s="73">
        <f t="shared" si="1"/>
        <v>0</v>
      </c>
      <c r="O8" s="74"/>
    </row>
    <row r="9" spans="2:15" ht="15" x14ac:dyDescent="0.2">
      <c r="B9" s="67"/>
      <c r="C9" s="186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86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82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82"/>
      <c r="K10" s="71" t="s">
        <v>82</v>
      </c>
      <c r="L10" s="72">
        <v>96586</v>
      </c>
      <c r="M10" s="72">
        <v>96586</v>
      </c>
      <c r="N10" s="73">
        <f t="shared" si="1"/>
        <v>0</v>
      </c>
      <c r="O10" s="74"/>
    </row>
    <row r="11" spans="2:15" ht="15" x14ac:dyDescent="0.2">
      <c r="B11" s="67"/>
      <c r="C11" s="181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81">
        <v>9</v>
      </c>
      <c r="K11" s="71" t="s">
        <v>80</v>
      </c>
      <c r="L11" s="72">
        <v>43563</v>
      </c>
      <c r="M11" s="72">
        <v>43563</v>
      </c>
      <c r="N11" s="73">
        <f t="shared" si="1"/>
        <v>0</v>
      </c>
      <c r="O11" s="74"/>
    </row>
    <row r="12" spans="2:15" ht="15" x14ac:dyDescent="0.2">
      <c r="B12" s="67"/>
      <c r="C12" s="186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86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82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82"/>
      <c r="K13" s="71" t="s">
        <v>82</v>
      </c>
      <c r="L13" s="72">
        <v>28469</v>
      </c>
      <c r="M13" s="72">
        <v>28469</v>
      </c>
      <c r="N13" s="73">
        <f t="shared" si="1"/>
        <v>0</v>
      </c>
      <c r="O13" s="74"/>
    </row>
    <row r="14" spans="2:15" ht="15" x14ac:dyDescent="0.2">
      <c r="B14" s="67"/>
      <c r="C14" s="181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81">
        <v>10</v>
      </c>
      <c r="K14" s="71" t="s">
        <v>80</v>
      </c>
      <c r="L14" s="72">
        <v>193243</v>
      </c>
      <c r="M14" s="72">
        <v>193243</v>
      </c>
      <c r="N14" s="73">
        <f t="shared" si="1"/>
        <v>0</v>
      </c>
      <c r="O14" s="74"/>
    </row>
    <row r="15" spans="2:15" ht="15" x14ac:dyDescent="0.2">
      <c r="B15" s="67"/>
      <c r="C15" s="186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86"/>
      <c r="K15" s="71" t="s">
        <v>81</v>
      </c>
      <c r="L15" s="72">
        <v>7741</v>
      </c>
      <c r="M15" s="72">
        <v>7741</v>
      </c>
      <c r="N15" s="73">
        <f t="shared" si="1"/>
        <v>0</v>
      </c>
      <c r="O15" s="74"/>
    </row>
    <row r="16" spans="2:15" ht="15" x14ac:dyDescent="0.2">
      <c r="B16" s="67"/>
      <c r="C16" s="182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82"/>
      <c r="K16" s="71" t="s">
        <v>82</v>
      </c>
      <c r="L16" s="72">
        <v>184137</v>
      </c>
      <c r="M16" s="72">
        <v>184137</v>
      </c>
      <c r="N16" s="73">
        <f t="shared" si="1"/>
        <v>0</v>
      </c>
      <c r="O16" s="74"/>
    </row>
    <row r="17" spans="2:15" ht="15" x14ac:dyDescent="0.2">
      <c r="B17" s="67"/>
      <c r="C17" s="181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81">
        <v>11</v>
      </c>
      <c r="K17" s="71" t="s">
        <v>80</v>
      </c>
      <c r="L17" s="73">
        <v>63276</v>
      </c>
      <c r="M17" s="73">
        <v>63276</v>
      </c>
      <c r="N17" s="73">
        <f t="shared" si="1"/>
        <v>0</v>
      </c>
      <c r="O17" s="74"/>
    </row>
    <row r="18" spans="2:15" ht="15" x14ac:dyDescent="0.2">
      <c r="B18" s="67"/>
      <c r="C18" s="186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86"/>
      <c r="K18" s="71" t="s">
        <v>81</v>
      </c>
      <c r="L18" s="73">
        <v>211867</v>
      </c>
      <c r="M18" s="73">
        <v>211867</v>
      </c>
      <c r="N18" s="73">
        <f t="shared" si="1"/>
        <v>0</v>
      </c>
      <c r="O18" s="74"/>
    </row>
    <row r="19" spans="2:15" ht="15" x14ac:dyDescent="0.2">
      <c r="B19" s="67"/>
      <c r="C19" s="182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82"/>
      <c r="K19" s="71" t="s">
        <v>82</v>
      </c>
      <c r="L19" s="72">
        <v>30588</v>
      </c>
      <c r="M19" s="72">
        <v>30588</v>
      </c>
      <c r="N19" s="73">
        <f t="shared" si="1"/>
        <v>0</v>
      </c>
      <c r="O19" s="74"/>
    </row>
    <row r="20" spans="2:15" ht="15" x14ac:dyDescent="0.2">
      <c r="B20" s="67"/>
      <c r="C20" s="181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81">
        <v>12</v>
      </c>
      <c r="K20" s="71" t="s">
        <v>80</v>
      </c>
      <c r="L20" s="166">
        <v>145544</v>
      </c>
      <c r="M20" s="166">
        <v>145544</v>
      </c>
      <c r="N20" s="73">
        <f t="shared" si="1"/>
        <v>0</v>
      </c>
      <c r="O20" s="74"/>
    </row>
    <row r="21" spans="2:15" ht="15" x14ac:dyDescent="0.2">
      <c r="B21" s="67"/>
      <c r="C21" s="186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86"/>
      <c r="K21" s="71" t="s">
        <v>81</v>
      </c>
      <c r="L21" s="72">
        <v>22365</v>
      </c>
      <c r="M21" s="72">
        <v>22365</v>
      </c>
      <c r="N21" s="73">
        <f t="shared" si="1"/>
        <v>0</v>
      </c>
      <c r="O21" s="74"/>
    </row>
    <row r="22" spans="2:15" ht="15" x14ac:dyDescent="0.2">
      <c r="B22" s="67"/>
      <c r="C22" s="182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82"/>
      <c r="K22" s="71" t="s">
        <v>82</v>
      </c>
      <c r="L22" s="72">
        <v>241282</v>
      </c>
      <c r="M22" s="72">
        <v>241282</v>
      </c>
      <c r="N22" s="73">
        <f t="shared" si="1"/>
        <v>0</v>
      </c>
      <c r="O22" s="74"/>
    </row>
    <row r="23" spans="2:15" ht="15" x14ac:dyDescent="0.2">
      <c r="B23" s="67"/>
      <c r="C23" s="181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81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86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86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82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82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81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81">
        <v>15</v>
      </c>
      <c r="K26" s="71" t="s">
        <v>80</v>
      </c>
      <c r="L26" s="166">
        <v>39380</v>
      </c>
      <c r="M26" s="166">
        <v>39380</v>
      </c>
      <c r="N26" s="73">
        <f t="shared" si="1"/>
        <v>0</v>
      </c>
      <c r="O26" s="74"/>
    </row>
    <row r="27" spans="2:15" ht="15" x14ac:dyDescent="0.2">
      <c r="B27" s="67"/>
      <c r="C27" s="186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86"/>
      <c r="K27" s="71" t="s">
        <v>81</v>
      </c>
      <c r="L27" s="72">
        <v>79294</v>
      </c>
      <c r="M27" s="72">
        <v>79294</v>
      </c>
      <c r="N27" s="73">
        <f t="shared" si="1"/>
        <v>0</v>
      </c>
      <c r="O27" s="74"/>
    </row>
    <row r="28" spans="2:15" ht="15" x14ac:dyDescent="0.2">
      <c r="B28" s="67"/>
      <c r="C28" s="182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82"/>
      <c r="K28" s="71" t="s">
        <v>82</v>
      </c>
      <c r="L28" s="72">
        <v>151963</v>
      </c>
      <c r="M28" s="72">
        <v>151963</v>
      </c>
      <c r="N28" s="73">
        <f t="shared" si="1"/>
        <v>0</v>
      </c>
      <c r="O28" s="74"/>
    </row>
    <row r="29" spans="2:15" ht="15" x14ac:dyDescent="0.2">
      <c r="B29" s="67"/>
      <c r="C29" s="181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81">
        <v>16</v>
      </c>
      <c r="K29" s="71" t="s">
        <v>80</v>
      </c>
      <c r="L29" s="166">
        <v>97965</v>
      </c>
      <c r="M29" s="166">
        <v>97965</v>
      </c>
      <c r="N29" s="73">
        <f t="shared" si="1"/>
        <v>0</v>
      </c>
      <c r="O29" s="75" t="s">
        <v>12</v>
      </c>
    </row>
    <row r="30" spans="2:15" ht="15" x14ac:dyDescent="0.2">
      <c r="B30" s="67"/>
      <c r="C30" s="186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86"/>
      <c r="K30" s="71" t="s">
        <v>81</v>
      </c>
      <c r="L30" s="166">
        <v>59399</v>
      </c>
      <c r="M30" s="166">
        <v>59399</v>
      </c>
      <c r="N30" s="73">
        <f t="shared" si="1"/>
        <v>0</v>
      </c>
      <c r="O30" s="74"/>
    </row>
    <row r="31" spans="2:15" ht="15" x14ac:dyDescent="0.2">
      <c r="B31" s="67"/>
      <c r="C31" s="182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8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81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81">
        <v>17</v>
      </c>
      <c r="K32" s="71" t="s">
        <v>80</v>
      </c>
      <c r="L32" s="72">
        <v>32018</v>
      </c>
      <c r="M32" s="72">
        <v>32018</v>
      </c>
      <c r="N32" s="73">
        <f t="shared" si="1"/>
        <v>0</v>
      </c>
      <c r="O32" s="74"/>
    </row>
    <row r="33" spans="2:15" ht="15" x14ac:dyDescent="0.2">
      <c r="B33" s="67"/>
      <c r="C33" s="186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86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82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82"/>
      <c r="K34" s="71" t="s">
        <v>82</v>
      </c>
      <c r="L34" s="72">
        <v>11410</v>
      </c>
      <c r="M34" s="72">
        <v>11410</v>
      </c>
      <c r="N34" s="73">
        <f t="shared" si="1"/>
        <v>0</v>
      </c>
      <c r="O34" s="80"/>
    </row>
    <row r="35" spans="2:15" ht="15" x14ac:dyDescent="0.2">
      <c r="B35" s="67"/>
      <c r="C35" s="181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81">
        <v>18</v>
      </c>
      <c r="K35" s="71" t="s">
        <v>80</v>
      </c>
      <c r="L35" s="72">
        <v>235612</v>
      </c>
      <c r="M35" s="72">
        <v>235612</v>
      </c>
      <c r="N35" s="73">
        <f t="shared" si="1"/>
        <v>0</v>
      </c>
      <c r="O35" s="80"/>
    </row>
    <row r="36" spans="2:15" ht="15" x14ac:dyDescent="0.2">
      <c r="B36" s="67"/>
      <c r="C36" s="186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86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82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82"/>
      <c r="K37" s="71" t="s">
        <v>82</v>
      </c>
      <c r="L37" s="72">
        <v>76545</v>
      </c>
      <c r="M37" s="72">
        <v>76545</v>
      </c>
      <c r="N37" s="73">
        <f t="shared" si="1"/>
        <v>0</v>
      </c>
      <c r="O37" s="74"/>
    </row>
    <row r="38" spans="2:15" ht="15" x14ac:dyDescent="0.2">
      <c r="B38" s="67"/>
      <c r="C38" s="181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81">
        <v>19</v>
      </c>
      <c r="K38" s="71" t="s">
        <v>80</v>
      </c>
      <c r="L38" s="72">
        <v>21241</v>
      </c>
      <c r="M38" s="72">
        <v>21241</v>
      </c>
      <c r="N38" s="73">
        <f t="shared" si="1"/>
        <v>0</v>
      </c>
      <c r="O38" s="74"/>
    </row>
    <row r="39" spans="2:15" ht="15" x14ac:dyDescent="0.2">
      <c r="B39" s="67"/>
      <c r="C39" s="186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86"/>
      <c r="K39" s="71" t="s">
        <v>81</v>
      </c>
      <c r="L39" s="166">
        <v>82607</v>
      </c>
      <c r="M39" s="166">
        <v>82607</v>
      </c>
      <c r="N39" s="73">
        <f t="shared" si="1"/>
        <v>0</v>
      </c>
      <c r="O39" s="80"/>
    </row>
    <row r="40" spans="2:15" ht="15" x14ac:dyDescent="0.2">
      <c r="B40" s="67"/>
      <c r="C40" s="182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82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81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81">
        <v>20</v>
      </c>
      <c r="K41" s="71" t="s">
        <v>80</v>
      </c>
      <c r="L41" s="72">
        <v>118234</v>
      </c>
      <c r="M41" s="72">
        <v>118234</v>
      </c>
      <c r="N41" s="73">
        <f t="shared" si="1"/>
        <v>0</v>
      </c>
      <c r="O41" s="74"/>
    </row>
    <row r="42" spans="2:15" ht="15" x14ac:dyDescent="0.2">
      <c r="B42" s="67"/>
      <c r="C42" s="186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86"/>
      <c r="K42" s="71" t="s">
        <v>81</v>
      </c>
      <c r="L42" s="166">
        <v>68785</v>
      </c>
      <c r="M42" s="166">
        <v>68785</v>
      </c>
      <c r="N42" s="73">
        <f t="shared" si="1"/>
        <v>0</v>
      </c>
      <c r="O42" s="74"/>
    </row>
    <row r="43" spans="2:15" ht="15" x14ac:dyDescent="0.2">
      <c r="B43" s="67"/>
      <c r="C43" s="182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82"/>
      <c r="K43" s="71" t="s">
        <v>82</v>
      </c>
      <c r="L43" s="72">
        <v>3251</v>
      </c>
      <c r="M43" s="72">
        <v>3251</v>
      </c>
      <c r="N43" s="73">
        <f t="shared" si="1"/>
        <v>0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81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81">
        <v>21</v>
      </c>
      <c r="K45" s="85" t="s">
        <v>83</v>
      </c>
      <c r="L45" s="72">
        <v>3367</v>
      </c>
      <c r="M45" s="72">
        <v>3367</v>
      </c>
      <c r="N45" s="73">
        <f t="shared" si="1"/>
        <v>0</v>
      </c>
      <c r="O45" s="75" t="s">
        <v>12</v>
      </c>
    </row>
    <row r="46" spans="2:15" ht="15" x14ac:dyDescent="0.2">
      <c r="B46" s="67"/>
      <c r="C46" s="186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86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1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81">
        <v>22</v>
      </c>
      <c r="K47" s="85" t="s">
        <v>83</v>
      </c>
      <c r="L47" s="86">
        <v>13941</v>
      </c>
      <c r="M47" s="86">
        <v>13941</v>
      </c>
      <c r="N47" s="73">
        <f t="shared" si="1"/>
        <v>0</v>
      </c>
      <c r="O47" s="74"/>
    </row>
    <row r="48" spans="2:15" ht="15" x14ac:dyDescent="0.2">
      <c r="B48" s="67"/>
      <c r="C48" s="186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86"/>
      <c r="K48" s="85" t="s">
        <v>82</v>
      </c>
      <c r="L48" s="86">
        <v>19468</v>
      </c>
      <c r="M48" s="86">
        <v>19468</v>
      </c>
      <c r="N48" s="73">
        <f t="shared" si="1"/>
        <v>0</v>
      </c>
      <c r="O48" s="74"/>
    </row>
    <row r="49" spans="1:15" ht="15" x14ac:dyDescent="0.2">
      <c r="B49" s="67"/>
      <c r="C49" s="181">
        <v>23</v>
      </c>
      <c r="D49" s="71" t="s">
        <v>83</v>
      </c>
      <c r="E49" s="86"/>
      <c r="F49" s="86"/>
      <c r="G49" s="73">
        <f t="shared" si="2"/>
        <v>0</v>
      </c>
      <c r="H49" s="74"/>
      <c r="J49" s="181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86"/>
      <c r="D50" s="71" t="s">
        <v>82</v>
      </c>
      <c r="E50" s="86"/>
      <c r="F50" s="86"/>
      <c r="G50" s="73">
        <f t="shared" si="2"/>
        <v>0</v>
      </c>
      <c r="H50" s="74"/>
      <c r="J50" s="186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87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87">
        <v>24</v>
      </c>
      <c r="K52" s="71" t="s">
        <v>84</v>
      </c>
      <c r="L52" s="166">
        <v>240464</v>
      </c>
      <c r="M52" s="166">
        <v>240464</v>
      </c>
      <c r="N52" s="73">
        <f t="shared" si="1"/>
        <v>0</v>
      </c>
      <c r="O52" s="88"/>
    </row>
    <row r="53" spans="1:15" ht="15" x14ac:dyDescent="0.2">
      <c r="B53" s="67"/>
      <c r="C53" s="188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88"/>
      <c r="K53" s="71" t="s">
        <v>85</v>
      </c>
      <c r="L53" s="166">
        <v>535259</v>
      </c>
      <c r="M53" s="166">
        <v>535259</v>
      </c>
      <c r="N53" s="73">
        <f t="shared" si="1"/>
        <v>0</v>
      </c>
      <c r="O53" s="80"/>
    </row>
    <row r="54" spans="1:15" ht="15" x14ac:dyDescent="0.2">
      <c r="B54" s="67"/>
      <c r="C54" s="189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89"/>
      <c r="K54" s="71" t="s">
        <v>84</v>
      </c>
      <c r="L54" s="166">
        <v>34567</v>
      </c>
      <c r="M54" s="166">
        <v>34567</v>
      </c>
      <c r="N54" s="73">
        <f t="shared" si="1"/>
        <v>0</v>
      </c>
      <c r="O54" s="89" t="s">
        <v>12</v>
      </c>
    </row>
    <row r="55" spans="1:15" ht="15" x14ac:dyDescent="0.2">
      <c r="B55" s="67"/>
      <c r="C55" s="181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81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82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82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81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81">
        <v>26</v>
      </c>
      <c r="K57" s="71" t="s">
        <v>84</v>
      </c>
      <c r="L57" s="72">
        <v>700352</v>
      </c>
      <c r="M57" s="72">
        <v>700352</v>
      </c>
      <c r="N57" s="73">
        <f t="shared" si="1"/>
        <v>0</v>
      </c>
      <c r="O57" s="74"/>
    </row>
    <row r="58" spans="1:15" ht="15" x14ac:dyDescent="0.2">
      <c r="A58" s="77"/>
      <c r="B58" s="67"/>
      <c r="C58" s="182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82"/>
      <c r="K58" s="71" t="s">
        <v>85</v>
      </c>
      <c r="L58" s="72">
        <v>767743</v>
      </c>
      <c r="M58" s="72">
        <v>767743</v>
      </c>
      <c r="N58" s="73">
        <f t="shared" si="1"/>
        <v>0</v>
      </c>
      <c r="O58" s="80"/>
    </row>
    <row r="59" spans="1:15" ht="15" x14ac:dyDescent="0.2">
      <c r="A59" s="77"/>
      <c r="B59" s="67"/>
      <c r="C59" s="181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81">
        <v>27</v>
      </c>
      <c r="K59" s="71" t="s">
        <v>84</v>
      </c>
      <c r="L59" s="72">
        <v>237633</v>
      </c>
      <c r="M59" s="72">
        <v>237633</v>
      </c>
      <c r="N59" s="73">
        <f t="shared" si="1"/>
        <v>0</v>
      </c>
      <c r="O59" s="74"/>
    </row>
    <row r="60" spans="1:15" ht="15" x14ac:dyDescent="0.2">
      <c r="A60" s="77"/>
      <c r="B60" s="67"/>
      <c r="C60" s="182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82"/>
      <c r="K60" s="71" t="s">
        <v>85</v>
      </c>
      <c r="L60" s="72">
        <v>97283</v>
      </c>
      <c r="M60" s="72">
        <v>97283</v>
      </c>
      <c r="N60" s="73">
        <f t="shared" si="1"/>
        <v>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81">
        <v>28</v>
      </c>
      <c r="D62" s="176" t="s">
        <v>86</v>
      </c>
      <c r="E62" s="72"/>
      <c r="F62" s="72"/>
      <c r="G62" s="73"/>
      <c r="H62" s="178" t="s">
        <v>87</v>
      </c>
      <c r="I62" s="77"/>
      <c r="J62" s="181">
        <v>28</v>
      </c>
      <c r="K62" s="176" t="s">
        <v>86</v>
      </c>
      <c r="L62" s="72"/>
      <c r="M62" s="72"/>
      <c r="N62" s="73"/>
      <c r="O62" s="178" t="s">
        <v>87</v>
      </c>
    </row>
    <row r="63" spans="1:15" ht="15" x14ac:dyDescent="0.2">
      <c r="A63" s="77"/>
      <c r="B63" s="67"/>
      <c r="C63" s="182"/>
      <c r="D63" s="177"/>
      <c r="E63" s="72"/>
      <c r="F63" s="72"/>
      <c r="G63" s="73"/>
      <c r="H63" s="179"/>
      <c r="I63" s="77"/>
      <c r="J63" s="182"/>
      <c r="K63" s="177"/>
      <c r="L63" s="72"/>
      <c r="M63" s="72"/>
      <c r="N63" s="73"/>
      <c r="O63" s="179"/>
    </row>
    <row r="64" spans="1:15" x14ac:dyDescent="0.2">
      <c r="A64" s="77"/>
      <c r="B64" s="67"/>
      <c r="C64" s="180" t="s">
        <v>88</v>
      </c>
      <c r="D64" s="180"/>
      <c r="E64" s="180"/>
      <c r="F64" s="180"/>
      <c r="G64" s="91">
        <f>SUM(G2:G63)</f>
        <v>31537</v>
      </c>
      <c r="H64" s="92"/>
      <c r="I64" s="77"/>
      <c r="J64" s="180" t="s">
        <v>88</v>
      </c>
      <c r="K64" s="180"/>
      <c r="L64" s="180"/>
      <c r="M64" s="180"/>
      <c r="N64" s="91">
        <f>SUM(N2:N63)</f>
        <v>0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3">
        <v>44317</v>
      </c>
      <c r="C69" s="184"/>
      <c r="D69" s="184"/>
      <c r="E69" s="185"/>
      <c r="F69" s="95"/>
      <c r="G69" s="183">
        <v>44348</v>
      </c>
      <c r="H69" s="184"/>
      <c r="I69" s="184"/>
      <c r="J69" s="185"/>
      <c r="K69" s="95"/>
      <c r="L69" s="173" t="s">
        <v>25</v>
      </c>
      <c r="M69" s="174"/>
      <c r="N69" s="174"/>
      <c r="O69" s="175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92374</v>
      </c>
      <c r="I71" s="99">
        <v>55047</v>
      </c>
      <c r="J71" s="100">
        <v>78552</v>
      </c>
      <c r="K71" s="93"/>
      <c r="L71" s="96">
        <v>6</v>
      </c>
      <c r="M71" s="101">
        <f>H71-C71</f>
        <v>0</v>
      </c>
      <c r="N71" s="101">
        <f>I71-D71</f>
        <v>0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95734</v>
      </c>
      <c r="I72" s="99">
        <v>103671</v>
      </c>
      <c r="J72" s="100">
        <v>63262</v>
      </c>
      <c r="K72" s="93"/>
      <c r="L72" s="96">
        <v>7</v>
      </c>
      <c r="M72" s="101">
        <f t="shared" ref="M72:O94" si="4">H72-C72</f>
        <v>0</v>
      </c>
      <c r="N72" s="101">
        <f t="shared" si="4"/>
        <v>0</v>
      </c>
      <c r="O72" s="101">
        <f t="shared" si="4"/>
        <v>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112016</v>
      </c>
      <c r="I73" s="99">
        <v>245453</v>
      </c>
      <c r="J73" s="100">
        <v>105612</v>
      </c>
      <c r="K73" s="93"/>
      <c r="L73" s="96">
        <v>8</v>
      </c>
      <c r="M73" s="101">
        <f t="shared" si="4"/>
        <v>0</v>
      </c>
      <c r="N73" s="101">
        <f t="shared" si="4"/>
        <v>0</v>
      </c>
      <c r="O73" s="101">
        <f t="shared" si="4"/>
        <v>0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68228</v>
      </c>
      <c r="I74" s="99">
        <v>151338</v>
      </c>
      <c r="J74" s="100">
        <v>150678</v>
      </c>
      <c r="K74" s="93"/>
      <c r="L74" s="96">
        <v>9</v>
      </c>
      <c r="M74" s="101">
        <f t="shared" si="4"/>
        <v>0</v>
      </c>
      <c r="N74" s="101">
        <f t="shared" si="4"/>
        <v>0</v>
      </c>
      <c r="O74" s="101">
        <f t="shared" si="4"/>
        <v>0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70801</v>
      </c>
      <c r="I75" s="99">
        <v>111973</v>
      </c>
      <c r="J75" s="100">
        <v>143250</v>
      </c>
      <c r="K75" s="93"/>
      <c r="L75" s="96">
        <v>10</v>
      </c>
      <c r="M75" s="101">
        <f t="shared" si="4"/>
        <v>0</v>
      </c>
      <c r="N75" s="101">
        <f t="shared" si="4"/>
        <v>0</v>
      </c>
      <c r="O75" s="101">
        <f t="shared" si="4"/>
        <v>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152635</v>
      </c>
      <c r="I76" s="99">
        <v>182054</v>
      </c>
      <c r="J76" s="100">
        <v>211520</v>
      </c>
      <c r="K76" s="93"/>
      <c r="L76" s="96">
        <v>11</v>
      </c>
      <c r="M76" s="101">
        <f t="shared" si="4"/>
        <v>0</v>
      </c>
      <c r="N76" s="101">
        <f t="shared" si="4"/>
        <v>0</v>
      </c>
      <c r="O76" s="101">
        <f t="shared" si="4"/>
        <v>0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148659</v>
      </c>
      <c r="I77" s="99">
        <v>96275</v>
      </c>
      <c r="J77" s="100">
        <v>100130</v>
      </c>
      <c r="K77" s="93"/>
      <c r="L77" s="96">
        <v>12</v>
      </c>
      <c r="M77" s="101">
        <f t="shared" si="4"/>
        <v>0</v>
      </c>
      <c r="N77" s="101">
        <f>I77-D77</f>
        <v>0</v>
      </c>
      <c r="O77" s="101">
        <f t="shared" si="4"/>
        <v>0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123669</v>
      </c>
      <c r="I78" s="99">
        <v>47927</v>
      </c>
      <c r="J78" s="100">
        <v>50895</v>
      </c>
      <c r="K78" s="93"/>
      <c r="L78" s="96">
        <v>14</v>
      </c>
      <c r="M78" s="101">
        <f t="shared" si="4"/>
        <v>0</v>
      </c>
      <c r="N78" s="101">
        <f t="shared" si="4"/>
        <v>0</v>
      </c>
      <c r="O78" s="101">
        <f t="shared" si="4"/>
        <v>0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166733</v>
      </c>
      <c r="I79" s="99">
        <v>145942</v>
      </c>
      <c r="J79" s="100">
        <v>157487</v>
      </c>
      <c r="K79" s="93"/>
      <c r="L79" s="96">
        <v>15</v>
      </c>
      <c r="M79" s="101">
        <f t="shared" si="4"/>
        <v>0</v>
      </c>
      <c r="N79" s="101">
        <f t="shared" si="4"/>
        <v>0</v>
      </c>
      <c r="O79" s="101">
        <f t="shared" si="4"/>
        <v>0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120829</v>
      </c>
      <c r="I80" s="99">
        <v>146144</v>
      </c>
      <c r="J80" s="100">
        <v>215163</v>
      </c>
      <c r="K80" s="93"/>
      <c r="L80" s="96">
        <v>16</v>
      </c>
      <c r="M80" s="101">
        <f t="shared" si="4"/>
        <v>0</v>
      </c>
      <c r="N80" s="101">
        <f t="shared" si="4"/>
        <v>0</v>
      </c>
      <c r="O80" s="101">
        <f t="shared" si="4"/>
        <v>0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85376</v>
      </c>
      <c r="J81" s="100">
        <v>201943</v>
      </c>
      <c r="K81" s="93"/>
      <c r="L81" s="96">
        <v>17</v>
      </c>
      <c r="M81" s="101">
        <f t="shared" si="4"/>
        <v>0</v>
      </c>
      <c r="N81" s="101">
        <f t="shared" si="4"/>
        <v>0</v>
      </c>
      <c r="O81" s="101">
        <f t="shared" si="4"/>
        <v>0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136235</v>
      </c>
      <c r="I82" s="99">
        <v>72184</v>
      </c>
      <c r="J82" s="100">
        <v>162768</v>
      </c>
      <c r="K82" s="93"/>
      <c r="L82" s="96">
        <v>18</v>
      </c>
      <c r="M82" s="101">
        <f t="shared" si="4"/>
        <v>0</v>
      </c>
      <c r="N82" s="101">
        <f t="shared" si="4"/>
        <v>0</v>
      </c>
      <c r="O82" s="101">
        <f t="shared" si="4"/>
        <v>0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75441</v>
      </c>
      <c r="I83" s="99">
        <v>170074</v>
      </c>
      <c r="J83" s="100">
        <v>121678</v>
      </c>
      <c r="K83" s="93"/>
      <c r="L83" s="96">
        <v>19</v>
      </c>
      <c r="M83" s="101">
        <f t="shared" si="4"/>
        <v>0</v>
      </c>
      <c r="N83" s="101">
        <f t="shared" si="4"/>
        <v>0</v>
      </c>
      <c r="O83" s="101">
        <f t="shared" si="4"/>
        <v>0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142668</v>
      </c>
      <c r="I84" s="99">
        <v>171627</v>
      </c>
      <c r="J84" s="100">
        <v>87434</v>
      </c>
      <c r="K84" s="93"/>
      <c r="L84" s="96">
        <v>20</v>
      </c>
      <c r="M84" s="101">
        <f>H84-C84</f>
        <v>0</v>
      </c>
      <c r="N84" s="101">
        <f t="shared" si="4"/>
        <v>0</v>
      </c>
      <c r="O84" s="101">
        <f t="shared" si="4"/>
        <v>0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191118</v>
      </c>
      <c r="I85" s="99">
        <v>88339</v>
      </c>
      <c r="J85" s="100">
        <v>111017</v>
      </c>
      <c r="K85" s="93"/>
      <c r="L85" s="96">
        <v>21</v>
      </c>
      <c r="M85" s="101">
        <f t="shared" si="4"/>
        <v>0</v>
      </c>
      <c r="N85" s="101">
        <f t="shared" si="4"/>
        <v>0</v>
      </c>
      <c r="O85" s="101">
        <f t="shared" si="4"/>
        <v>0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132813</v>
      </c>
      <c r="I86" s="99">
        <v>91010</v>
      </c>
      <c r="J86" s="100">
        <v>116927</v>
      </c>
      <c r="K86" s="93"/>
      <c r="L86" s="96">
        <v>22</v>
      </c>
      <c r="M86" s="101">
        <f t="shared" si="4"/>
        <v>0</v>
      </c>
      <c r="N86" s="101">
        <f t="shared" si="4"/>
        <v>0</v>
      </c>
      <c r="O86" s="101">
        <f t="shared" si="4"/>
        <v>0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126911</v>
      </c>
      <c r="I87" s="99">
        <v>154743</v>
      </c>
      <c r="J87" s="100">
        <v>287877</v>
      </c>
      <c r="K87" s="93"/>
      <c r="L87" s="96">
        <v>23</v>
      </c>
      <c r="M87" s="101">
        <f t="shared" si="4"/>
        <v>0</v>
      </c>
      <c r="N87" s="101">
        <f t="shared" si="4"/>
        <v>0</v>
      </c>
      <c r="O87" s="101">
        <f t="shared" si="4"/>
        <v>0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78398</v>
      </c>
      <c r="I88" s="99">
        <v>149678</v>
      </c>
      <c r="J88" s="100">
        <v>101315</v>
      </c>
      <c r="K88" s="93"/>
      <c r="L88" s="96">
        <v>24</v>
      </c>
      <c r="M88" s="101">
        <f t="shared" si="4"/>
        <v>0</v>
      </c>
      <c r="N88" s="101">
        <f t="shared" si="4"/>
        <v>0</v>
      </c>
      <c r="O88" s="101">
        <f>J88-E88</f>
        <v>0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120617</v>
      </c>
      <c r="I89" s="99">
        <v>179190</v>
      </c>
      <c r="J89" s="100">
        <v>159256</v>
      </c>
      <c r="K89" s="93"/>
      <c r="L89" s="96">
        <v>25</v>
      </c>
      <c r="M89" s="101">
        <f t="shared" si="4"/>
        <v>0</v>
      </c>
      <c r="N89" s="101">
        <f t="shared" si="4"/>
        <v>0</v>
      </c>
      <c r="O89" s="101">
        <f>J89-E89</f>
        <v>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113322</v>
      </c>
      <c r="I90" s="99">
        <v>50933</v>
      </c>
      <c r="J90" s="100">
        <v>53964</v>
      </c>
      <c r="K90" s="93"/>
      <c r="L90" s="96">
        <v>26</v>
      </c>
      <c r="M90" s="101">
        <f t="shared" si="4"/>
        <v>0</v>
      </c>
      <c r="N90" s="101">
        <f t="shared" si="4"/>
        <v>0</v>
      </c>
      <c r="O90" s="101">
        <f t="shared" si="4"/>
        <v>0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101450</v>
      </c>
      <c r="I91" s="99">
        <v>108029</v>
      </c>
      <c r="J91" s="100">
        <v>120021</v>
      </c>
      <c r="K91" s="93"/>
      <c r="L91" s="96">
        <v>27</v>
      </c>
      <c r="M91" s="101">
        <f t="shared" si="4"/>
        <v>0</v>
      </c>
      <c r="N91" s="101">
        <f t="shared" si="4"/>
        <v>0</v>
      </c>
      <c r="O91" s="101">
        <f t="shared" si="4"/>
        <v>0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194074</v>
      </c>
      <c r="I92" s="99">
        <v>102133</v>
      </c>
      <c r="J92" s="100">
        <v>110195</v>
      </c>
      <c r="K92" s="93"/>
      <c r="L92" s="96">
        <v>28</v>
      </c>
      <c r="M92" s="101">
        <f t="shared" si="4"/>
        <v>0</v>
      </c>
      <c r="N92" s="101">
        <f t="shared" si="4"/>
        <v>0</v>
      </c>
      <c r="O92" s="101">
        <f t="shared" si="4"/>
        <v>0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81315</v>
      </c>
      <c r="J93" s="100"/>
      <c r="K93" s="93"/>
      <c r="L93" s="96">
        <v>29</v>
      </c>
      <c r="M93" s="101">
        <f t="shared" si="4"/>
        <v>0</v>
      </c>
      <c r="N93" s="101">
        <f t="shared" si="4"/>
        <v>0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2021-06-28T23:40:03Z</dcterms:modified>
</cp:coreProperties>
</file>