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Serengeti\"/>
    </mc:Choice>
  </mc:AlternateContent>
  <bookViews>
    <workbookView xWindow="0" yWindow="0" windowWidth="25125" windowHeight="12435"/>
  </bookViews>
  <sheets>
    <sheet name="Total" sheetId="2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26" l="1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2" i="26"/>
  <c r="B3" i="26" l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L2" i="26"/>
  <c r="L4" i="26" l="1"/>
  <c r="L6" i="26"/>
  <c r="L8" i="26"/>
  <c r="L10" i="26"/>
  <c r="L12" i="26"/>
  <c r="L14" i="26"/>
  <c r="L16" i="26"/>
  <c r="L18" i="26"/>
  <c r="L20" i="26"/>
  <c r="L22" i="26"/>
  <c r="L24" i="26"/>
  <c r="L26" i="26"/>
  <c r="L28" i="26"/>
  <c r="L30" i="26"/>
  <c r="L3" i="26"/>
  <c r="L5" i="26"/>
  <c r="L7" i="26"/>
  <c r="L9" i="26"/>
  <c r="L11" i="26"/>
  <c r="L13" i="26"/>
  <c r="L15" i="26"/>
  <c r="L17" i="26"/>
  <c r="L19" i="26"/>
  <c r="L21" i="26"/>
  <c r="L23" i="26"/>
  <c r="L25" i="26"/>
  <c r="L27" i="26"/>
  <c r="L29" i="26"/>
  <c r="L31" i="26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<sst xmlns="http://schemas.openxmlformats.org/spreadsheetml/2006/main" count="43" uniqueCount="13">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</sst>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7" fillId="0" borderId="1" xfId="0" applyFont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6">
    <cellStyle name="Comma 2" xfId="1"/>
    <cellStyle name="Normal" xfId="0" builtinId="0"/>
    <cellStyle name="Normal 2" xfId="2"/>
    <cellStyle name="Normal 2 4" xfId="3"/>
    <cellStyle name="Normal 3" xfId="4"/>
    <cellStyle name="Normal 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39"/>
  <sheetViews>
    <sheetView tabSelected="1" workbookViewId="0">
      <selection activeCell="O7" sqref="O7"/>
    </sheetView>
  </sheetViews>
  <sheetFormatPr defaultColWidth="11.5703125" defaultRowHeight="12.75" x14ac:dyDescent="0.2"/>
  <cols>
    <col min="1" max="1" width="12.42578125" style="1" customWidth="1"/>
    <col min="2" max="3" width="11.5703125" style="10"/>
    <col min="4" max="4" width="13.42578125" style="11" customWidth="1"/>
    <col min="5" max="5" width="12.5703125" style="12" customWidth="1"/>
    <col min="6" max="6" width="12.5703125" style="1" customWidth="1"/>
    <col min="7" max="7" width="11.5703125" style="1"/>
    <col min="8" max="8" width="11.5703125" style="17"/>
    <col min="9" max="9" width="11.5703125" style="1"/>
    <col min="10" max="10" width="11.5703125" style="17"/>
    <col min="11" max="11" width="11.5703125" style="12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8" customFormat="1" ht="60.75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15" t="s">
        <v>7</v>
      </c>
      <c r="I1" s="6" t="s">
        <v>8</v>
      </c>
      <c r="J1" s="15" t="s">
        <v>9</v>
      </c>
      <c r="K1" s="5" t="s">
        <v>10</v>
      </c>
      <c r="L1" s="7" t="s">
        <v>11</v>
      </c>
    </row>
    <row r="2" spans="1:12" x14ac:dyDescent="0.2">
      <c r="A2" s="9" t="s">
        <v>12</v>
      </c>
      <c r="B2" s="10">
        <v>1</v>
      </c>
      <c r="C2" s="10">
        <v>5</v>
      </c>
      <c r="D2" s="11">
        <v>2019</v>
      </c>
      <c r="E2" s="12">
        <f>163716/31</f>
        <v>5281.1612903225805</v>
      </c>
      <c r="F2" s="13">
        <v>0.41499999999999998</v>
      </c>
      <c r="G2" s="13">
        <f>3524/31</f>
        <v>113.6774193548387</v>
      </c>
      <c r="H2" s="16">
        <v>2.38</v>
      </c>
      <c r="I2" s="13">
        <f>3981/31</f>
        <v>128.41935483870967</v>
      </c>
      <c r="J2" s="16">
        <v>0</v>
      </c>
      <c r="K2" s="12">
        <f>840/31</f>
        <v>27.096774193548388</v>
      </c>
      <c r="L2" s="14" t="e">
        <f>E2*F2+G2*H2+#REF!*#REF!+I2*J2</f>
        <v>#REF!</v>
      </c>
    </row>
    <row r="3" spans="1:12" x14ac:dyDescent="0.2">
      <c r="A3" s="9" t="s">
        <v>12</v>
      </c>
      <c r="B3" s="10">
        <f>B2+1</f>
        <v>2</v>
      </c>
      <c r="C3" s="10">
        <v>5</v>
      </c>
      <c r="D3" s="11">
        <v>2019</v>
      </c>
      <c r="E3" s="12">
        <f t="shared" ref="E3:E32" si="0">163716/31</f>
        <v>5281.1612903225805</v>
      </c>
      <c r="F3" s="13">
        <v>0.41499999999999998</v>
      </c>
      <c r="G3" s="13">
        <f t="shared" ref="G3:G32" si="1">3524/31</f>
        <v>113.6774193548387</v>
      </c>
      <c r="H3" s="16">
        <v>2.38</v>
      </c>
      <c r="I3" s="13">
        <f t="shared" ref="I3:I32" si="2">3981/31</f>
        <v>128.41935483870967</v>
      </c>
      <c r="J3" s="16">
        <v>0</v>
      </c>
      <c r="K3" s="12">
        <f t="shared" ref="K3:K32" si="3">840/31</f>
        <v>27.096774193548388</v>
      </c>
      <c r="L3" s="14" t="e">
        <f>E3*F3+G3*H3+#REF!*#REF!+I3*J3</f>
        <v>#REF!</v>
      </c>
    </row>
    <row r="4" spans="1:12" x14ac:dyDescent="0.2">
      <c r="A4" s="9" t="s">
        <v>12</v>
      </c>
      <c r="B4" s="10">
        <f t="shared" ref="B4:B32" si="4">B3+1</f>
        <v>3</v>
      </c>
      <c r="C4" s="10">
        <v>5</v>
      </c>
      <c r="D4" s="11">
        <v>2019</v>
      </c>
      <c r="E4" s="12">
        <f t="shared" si="0"/>
        <v>5281.1612903225805</v>
      </c>
      <c r="F4" s="13">
        <v>0.41499999999999998</v>
      </c>
      <c r="G4" s="13">
        <f t="shared" si="1"/>
        <v>113.6774193548387</v>
      </c>
      <c r="H4" s="16">
        <v>2.38</v>
      </c>
      <c r="I4" s="13">
        <f t="shared" si="2"/>
        <v>128.41935483870967</v>
      </c>
      <c r="J4" s="16">
        <v>0</v>
      </c>
      <c r="K4" s="12">
        <f t="shared" si="3"/>
        <v>27.096774193548388</v>
      </c>
      <c r="L4" s="14" t="e">
        <f>E4*F4+G4*H4+#REF!*#REF!+I4*J4</f>
        <v>#REF!</v>
      </c>
    </row>
    <row r="5" spans="1:12" x14ac:dyDescent="0.2">
      <c r="A5" s="9" t="s">
        <v>12</v>
      </c>
      <c r="B5" s="10">
        <f t="shared" si="4"/>
        <v>4</v>
      </c>
      <c r="C5" s="10">
        <v>5</v>
      </c>
      <c r="D5" s="11">
        <v>2019</v>
      </c>
      <c r="E5" s="12">
        <f t="shared" si="0"/>
        <v>5281.1612903225805</v>
      </c>
      <c r="F5" s="13">
        <v>0.41499999999999998</v>
      </c>
      <c r="G5" s="13">
        <f t="shared" si="1"/>
        <v>113.6774193548387</v>
      </c>
      <c r="H5" s="16">
        <v>2.38</v>
      </c>
      <c r="I5" s="13">
        <f t="shared" si="2"/>
        <v>128.41935483870967</v>
      </c>
      <c r="J5" s="16">
        <v>0</v>
      </c>
      <c r="K5" s="12">
        <f t="shared" si="3"/>
        <v>27.096774193548388</v>
      </c>
      <c r="L5" s="14" t="e">
        <f>E5*F5+G5*H5+#REF!*#REF!+I5*J5</f>
        <v>#REF!</v>
      </c>
    </row>
    <row r="6" spans="1:12" x14ac:dyDescent="0.2">
      <c r="A6" s="9" t="s">
        <v>12</v>
      </c>
      <c r="B6" s="10">
        <f t="shared" si="4"/>
        <v>5</v>
      </c>
      <c r="C6" s="10">
        <v>5</v>
      </c>
      <c r="D6" s="11">
        <v>2019</v>
      </c>
      <c r="E6" s="12">
        <f t="shared" si="0"/>
        <v>5281.1612903225805</v>
      </c>
      <c r="F6" s="13">
        <v>0.41499999999999998</v>
      </c>
      <c r="G6" s="13">
        <f t="shared" si="1"/>
        <v>113.6774193548387</v>
      </c>
      <c r="H6" s="16">
        <v>2.38</v>
      </c>
      <c r="I6" s="13">
        <f t="shared" si="2"/>
        <v>128.41935483870967</v>
      </c>
      <c r="J6" s="16">
        <v>0</v>
      </c>
      <c r="K6" s="12">
        <f t="shared" si="3"/>
        <v>27.096774193548388</v>
      </c>
      <c r="L6" s="14" t="e">
        <f>E6*F6+G6*H6+#REF!*#REF!+I6*J6</f>
        <v>#REF!</v>
      </c>
    </row>
    <row r="7" spans="1:12" x14ac:dyDescent="0.2">
      <c r="A7" s="9" t="s">
        <v>12</v>
      </c>
      <c r="B7" s="10">
        <f t="shared" si="4"/>
        <v>6</v>
      </c>
      <c r="C7" s="10">
        <v>5</v>
      </c>
      <c r="D7" s="11">
        <v>2019</v>
      </c>
      <c r="E7" s="12">
        <f t="shared" si="0"/>
        <v>5281.1612903225805</v>
      </c>
      <c r="F7" s="13">
        <v>0.41499999999999998</v>
      </c>
      <c r="G7" s="13">
        <f t="shared" si="1"/>
        <v>113.6774193548387</v>
      </c>
      <c r="H7" s="16">
        <v>2.38</v>
      </c>
      <c r="I7" s="13">
        <f t="shared" si="2"/>
        <v>128.41935483870967</v>
      </c>
      <c r="J7" s="16">
        <v>0</v>
      </c>
      <c r="K7" s="12">
        <f t="shared" si="3"/>
        <v>27.096774193548388</v>
      </c>
      <c r="L7" s="14" t="e">
        <f>E7*F7+G7*H7+#REF!*#REF!+I7*J7</f>
        <v>#REF!</v>
      </c>
    </row>
    <row r="8" spans="1:12" x14ac:dyDescent="0.2">
      <c r="A8" s="9" t="s">
        <v>12</v>
      </c>
      <c r="B8" s="10">
        <f t="shared" si="4"/>
        <v>7</v>
      </c>
      <c r="C8" s="10">
        <v>5</v>
      </c>
      <c r="D8" s="11">
        <v>2019</v>
      </c>
      <c r="E8" s="12">
        <f t="shared" si="0"/>
        <v>5281.1612903225805</v>
      </c>
      <c r="F8" s="13">
        <v>0.41499999999999998</v>
      </c>
      <c r="G8" s="13">
        <f t="shared" si="1"/>
        <v>113.6774193548387</v>
      </c>
      <c r="H8" s="16">
        <v>2.38</v>
      </c>
      <c r="I8" s="13">
        <f t="shared" si="2"/>
        <v>128.41935483870967</v>
      </c>
      <c r="J8" s="16">
        <v>0</v>
      </c>
      <c r="K8" s="12">
        <f t="shared" si="3"/>
        <v>27.096774193548388</v>
      </c>
      <c r="L8" s="14" t="e">
        <f>E8*F8+G8*H8+#REF!*#REF!+I8*J8</f>
        <v>#REF!</v>
      </c>
    </row>
    <row r="9" spans="1:12" x14ac:dyDescent="0.2">
      <c r="A9" s="9" t="s">
        <v>12</v>
      </c>
      <c r="B9" s="10">
        <f t="shared" si="4"/>
        <v>8</v>
      </c>
      <c r="C9" s="10">
        <v>5</v>
      </c>
      <c r="D9" s="11">
        <v>2019</v>
      </c>
      <c r="E9" s="12">
        <f t="shared" si="0"/>
        <v>5281.1612903225805</v>
      </c>
      <c r="F9" s="13">
        <v>0.41499999999999998</v>
      </c>
      <c r="G9" s="13">
        <f t="shared" si="1"/>
        <v>113.6774193548387</v>
      </c>
      <c r="H9" s="16">
        <v>2.38</v>
      </c>
      <c r="I9" s="13">
        <f t="shared" si="2"/>
        <v>128.41935483870967</v>
      </c>
      <c r="J9" s="16">
        <v>0</v>
      </c>
      <c r="K9" s="12">
        <f t="shared" si="3"/>
        <v>27.096774193548388</v>
      </c>
      <c r="L9" s="14" t="e">
        <f>E9*F9+G9*H9+#REF!*#REF!+I9*J9</f>
        <v>#REF!</v>
      </c>
    </row>
    <row r="10" spans="1:12" x14ac:dyDescent="0.2">
      <c r="A10" s="9" t="s">
        <v>12</v>
      </c>
      <c r="B10" s="10">
        <f t="shared" si="4"/>
        <v>9</v>
      </c>
      <c r="C10" s="10">
        <v>5</v>
      </c>
      <c r="D10" s="11">
        <v>2019</v>
      </c>
      <c r="E10" s="12">
        <f t="shared" si="0"/>
        <v>5281.1612903225805</v>
      </c>
      <c r="F10" s="13">
        <v>0.41499999999999998</v>
      </c>
      <c r="G10" s="13">
        <f t="shared" si="1"/>
        <v>113.6774193548387</v>
      </c>
      <c r="H10" s="16">
        <v>2.38</v>
      </c>
      <c r="I10" s="13">
        <f t="shared" si="2"/>
        <v>128.41935483870967</v>
      </c>
      <c r="J10" s="16">
        <v>0</v>
      </c>
      <c r="K10" s="12">
        <f t="shared" si="3"/>
        <v>27.096774193548388</v>
      </c>
      <c r="L10" s="14" t="e">
        <f>E10*F10+G10*H10+#REF!*#REF!+I10*J10</f>
        <v>#REF!</v>
      </c>
    </row>
    <row r="11" spans="1:12" x14ac:dyDescent="0.2">
      <c r="A11" s="9" t="s">
        <v>12</v>
      </c>
      <c r="B11" s="10">
        <f t="shared" si="4"/>
        <v>10</v>
      </c>
      <c r="C11" s="10">
        <v>5</v>
      </c>
      <c r="D11" s="11">
        <v>2019</v>
      </c>
      <c r="E11" s="12">
        <f t="shared" si="0"/>
        <v>5281.1612903225805</v>
      </c>
      <c r="F11" s="13">
        <v>0.41499999999999998</v>
      </c>
      <c r="G11" s="13">
        <f t="shared" si="1"/>
        <v>113.6774193548387</v>
      </c>
      <c r="H11" s="16">
        <v>2.38</v>
      </c>
      <c r="I11" s="13">
        <f t="shared" si="2"/>
        <v>128.41935483870967</v>
      </c>
      <c r="J11" s="16">
        <v>0</v>
      </c>
      <c r="K11" s="12">
        <f t="shared" si="3"/>
        <v>27.096774193548388</v>
      </c>
      <c r="L11" s="14" t="e">
        <f>E11*F11+G11*H11+#REF!*#REF!+I11*J11</f>
        <v>#REF!</v>
      </c>
    </row>
    <row r="12" spans="1:12" x14ac:dyDescent="0.2">
      <c r="A12" s="9" t="s">
        <v>12</v>
      </c>
      <c r="B12" s="10">
        <f t="shared" si="4"/>
        <v>11</v>
      </c>
      <c r="C12" s="10">
        <v>5</v>
      </c>
      <c r="D12" s="11">
        <v>2019</v>
      </c>
      <c r="E12" s="12">
        <f t="shared" si="0"/>
        <v>5281.1612903225805</v>
      </c>
      <c r="F12" s="13">
        <v>0.41499999999999998</v>
      </c>
      <c r="G12" s="13">
        <f t="shared" si="1"/>
        <v>113.6774193548387</v>
      </c>
      <c r="H12" s="16">
        <v>2.38</v>
      </c>
      <c r="I12" s="13">
        <f t="shared" si="2"/>
        <v>128.41935483870967</v>
      </c>
      <c r="J12" s="16">
        <v>0</v>
      </c>
      <c r="K12" s="12">
        <f t="shared" si="3"/>
        <v>27.096774193548388</v>
      </c>
      <c r="L12" s="14" t="e">
        <f>E12*F12+G12*H12+#REF!*#REF!+I12*J12</f>
        <v>#REF!</v>
      </c>
    </row>
    <row r="13" spans="1:12" x14ac:dyDescent="0.2">
      <c r="A13" s="9" t="s">
        <v>12</v>
      </c>
      <c r="B13" s="10">
        <f t="shared" si="4"/>
        <v>12</v>
      </c>
      <c r="C13" s="10">
        <v>5</v>
      </c>
      <c r="D13" s="11">
        <v>2019</v>
      </c>
      <c r="E13" s="12">
        <f t="shared" si="0"/>
        <v>5281.1612903225805</v>
      </c>
      <c r="F13" s="13">
        <v>0.41499999999999998</v>
      </c>
      <c r="G13" s="13">
        <f t="shared" si="1"/>
        <v>113.6774193548387</v>
      </c>
      <c r="H13" s="16">
        <v>2.38</v>
      </c>
      <c r="I13" s="13">
        <f t="shared" si="2"/>
        <v>128.41935483870967</v>
      </c>
      <c r="J13" s="16">
        <v>0</v>
      </c>
      <c r="K13" s="12">
        <f t="shared" si="3"/>
        <v>27.096774193548388</v>
      </c>
      <c r="L13" s="14" t="e">
        <f>E13*F13+G13*H13+#REF!*#REF!+I13*J13</f>
        <v>#REF!</v>
      </c>
    </row>
    <row r="14" spans="1:12" x14ac:dyDescent="0.2">
      <c r="A14" s="9" t="s">
        <v>12</v>
      </c>
      <c r="B14" s="10">
        <f t="shared" si="4"/>
        <v>13</v>
      </c>
      <c r="C14" s="10">
        <v>5</v>
      </c>
      <c r="D14" s="11">
        <v>2019</v>
      </c>
      <c r="E14" s="12">
        <f t="shared" si="0"/>
        <v>5281.1612903225805</v>
      </c>
      <c r="F14" s="13">
        <v>0.41499999999999998</v>
      </c>
      <c r="G14" s="13">
        <f t="shared" si="1"/>
        <v>113.6774193548387</v>
      </c>
      <c r="H14" s="16">
        <v>2.38</v>
      </c>
      <c r="I14" s="13">
        <f t="shared" si="2"/>
        <v>128.41935483870967</v>
      </c>
      <c r="J14" s="16">
        <v>0</v>
      </c>
      <c r="K14" s="12">
        <f t="shared" si="3"/>
        <v>27.096774193548388</v>
      </c>
      <c r="L14" s="14" t="e">
        <f>E14*F14+G14*H14+#REF!*#REF!+I14*J14</f>
        <v>#REF!</v>
      </c>
    </row>
    <row r="15" spans="1:12" x14ac:dyDescent="0.2">
      <c r="A15" s="9" t="s">
        <v>12</v>
      </c>
      <c r="B15" s="10">
        <f t="shared" si="4"/>
        <v>14</v>
      </c>
      <c r="C15" s="10">
        <v>5</v>
      </c>
      <c r="D15" s="11">
        <v>2019</v>
      </c>
      <c r="E15" s="12">
        <f t="shared" si="0"/>
        <v>5281.1612903225805</v>
      </c>
      <c r="F15" s="13">
        <v>0.41499999999999998</v>
      </c>
      <c r="G15" s="13">
        <f t="shared" si="1"/>
        <v>113.6774193548387</v>
      </c>
      <c r="H15" s="16">
        <v>2.38</v>
      </c>
      <c r="I15" s="13">
        <f t="shared" si="2"/>
        <v>128.41935483870967</v>
      </c>
      <c r="J15" s="16">
        <v>0</v>
      </c>
      <c r="K15" s="12">
        <f t="shared" si="3"/>
        <v>27.096774193548388</v>
      </c>
      <c r="L15" s="14" t="e">
        <f>E15*F15+G15*H15+#REF!*#REF!+I15*J15</f>
        <v>#REF!</v>
      </c>
    </row>
    <row r="16" spans="1:12" x14ac:dyDescent="0.2">
      <c r="A16" s="9" t="s">
        <v>12</v>
      </c>
      <c r="B16" s="10">
        <f t="shared" si="4"/>
        <v>15</v>
      </c>
      <c r="C16" s="10">
        <v>5</v>
      </c>
      <c r="D16" s="11">
        <v>2019</v>
      </c>
      <c r="E16" s="12">
        <f t="shared" si="0"/>
        <v>5281.1612903225805</v>
      </c>
      <c r="F16" s="13">
        <v>0.41499999999999998</v>
      </c>
      <c r="G16" s="13">
        <f t="shared" si="1"/>
        <v>113.6774193548387</v>
      </c>
      <c r="H16" s="16">
        <v>2.38</v>
      </c>
      <c r="I16" s="13">
        <f t="shared" si="2"/>
        <v>128.41935483870967</v>
      </c>
      <c r="J16" s="16">
        <v>0</v>
      </c>
      <c r="K16" s="12">
        <f t="shared" si="3"/>
        <v>27.096774193548388</v>
      </c>
      <c r="L16" s="14" t="e">
        <f>E16*F16+G16*H16+#REF!*#REF!+I16*J16</f>
        <v>#REF!</v>
      </c>
    </row>
    <row r="17" spans="1:12" x14ac:dyDescent="0.2">
      <c r="A17" s="9" t="s">
        <v>12</v>
      </c>
      <c r="B17" s="10">
        <f t="shared" si="4"/>
        <v>16</v>
      </c>
      <c r="C17" s="10">
        <v>5</v>
      </c>
      <c r="D17" s="11">
        <v>2019</v>
      </c>
      <c r="E17" s="12">
        <f t="shared" si="0"/>
        <v>5281.1612903225805</v>
      </c>
      <c r="F17" s="13">
        <v>0.41499999999999998</v>
      </c>
      <c r="G17" s="13">
        <f t="shared" si="1"/>
        <v>113.6774193548387</v>
      </c>
      <c r="H17" s="16">
        <v>2.38</v>
      </c>
      <c r="I17" s="13">
        <f t="shared" si="2"/>
        <v>128.41935483870967</v>
      </c>
      <c r="J17" s="16">
        <v>0</v>
      </c>
      <c r="K17" s="12">
        <f t="shared" si="3"/>
        <v>27.096774193548388</v>
      </c>
      <c r="L17" s="14" t="e">
        <f>E17*F17+G17*H17+#REF!*#REF!+I17*J17</f>
        <v>#REF!</v>
      </c>
    </row>
    <row r="18" spans="1:12" x14ac:dyDescent="0.2">
      <c r="A18" s="9" t="s">
        <v>12</v>
      </c>
      <c r="B18" s="10">
        <f t="shared" si="4"/>
        <v>17</v>
      </c>
      <c r="C18" s="10">
        <v>5</v>
      </c>
      <c r="D18" s="11">
        <v>2019</v>
      </c>
      <c r="E18" s="12">
        <f t="shared" si="0"/>
        <v>5281.1612903225805</v>
      </c>
      <c r="F18" s="13">
        <v>0.41499999999999998</v>
      </c>
      <c r="G18" s="13">
        <f t="shared" si="1"/>
        <v>113.6774193548387</v>
      </c>
      <c r="H18" s="16">
        <v>2.38</v>
      </c>
      <c r="I18" s="13">
        <f t="shared" si="2"/>
        <v>128.41935483870967</v>
      </c>
      <c r="J18" s="16">
        <v>0</v>
      </c>
      <c r="K18" s="12">
        <f t="shared" si="3"/>
        <v>27.096774193548388</v>
      </c>
      <c r="L18" s="14" t="e">
        <f>E18*F18+G18*H18+#REF!*#REF!+I18*J18</f>
        <v>#REF!</v>
      </c>
    </row>
    <row r="19" spans="1:12" x14ac:dyDescent="0.2">
      <c r="A19" s="9" t="s">
        <v>12</v>
      </c>
      <c r="B19" s="10">
        <f t="shared" si="4"/>
        <v>18</v>
      </c>
      <c r="C19" s="10">
        <v>5</v>
      </c>
      <c r="D19" s="11">
        <v>2019</v>
      </c>
      <c r="E19" s="12">
        <f t="shared" si="0"/>
        <v>5281.1612903225805</v>
      </c>
      <c r="F19" s="13">
        <v>0.41499999999999998</v>
      </c>
      <c r="G19" s="13">
        <f t="shared" si="1"/>
        <v>113.6774193548387</v>
      </c>
      <c r="H19" s="16">
        <v>2.38</v>
      </c>
      <c r="I19" s="13">
        <f t="shared" si="2"/>
        <v>128.41935483870967</v>
      </c>
      <c r="J19" s="16">
        <v>0</v>
      </c>
      <c r="K19" s="12">
        <f t="shared" si="3"/>
        <v>27.096774193548388</v>
      </c>
      <c r="L19" s="14" t="e">
        <f>E19*F19+G19*H19+#REF!*#REF!+I19*J19</f>
        <v>#REF!</v>
      </c>
    </row>
    <row r="20" spans="1:12" x14ac:dyDescent="0.2">
      <c r="A20" s="9" t="s">
        <v>12</v>
      </c>
      <c r="B20" s="10">
        <f t="shared" si="4"/>
        <v>19</v>
      </c>
      <c r="C20" s="10">
        <v>5</v>
      </c>
      <c r="D20" s="11">
        <v>2019</v>
      </c>
      <c r="E20" s="12">
        <f t="shared" si="0"/>
        <v>5281.1612903225805</v>
      </c>
      <c r="F20" s="13">
        <v>0.41499999999999998</v>
      </c>
      <c r="G20" s="13">
        <f t="shared" si="1"/>
        <v>113.6774193548387</v>
      </c>
      <c r="H20" s="16">
        <v>2.38</v>
      </c>
      <c r="I20" s="13">
        <f t="shared" si="2"/>
        <v>128.41935483870967</v>
      </c>
      <c r="J20" s="16">
        <v>0</v>
      </c>
      <c r="K20" s="12">
        <f t="shared" si="3"/>
        <v>27.096774193548388</v>
      </c>
      <c r="L20" s="14" t="e">
        <f>E20*F20+G20*H20+#REF!*#REF!+I20*J20</f>
        <v>#REF!</v>
      </c>
    </row>
    <row r="21" spans="1:12" x14ac:dyDescent="0.2">
      <c r="A21" s="9" t="s">
        <v>12</v>
      </c>
      <c r="B21" s="10">
        <f t="shared" si="4"/>
        <v>20</v>
      </c>
      <c r="C21" s="10">
        <v>5</v>
      </c>
      <c r="D21" s="11">
        <v>2019</v>
      </c>
      <c r="E21" s="12">
        <f t="shared" si="0"/>
        <v>5281.1612903225805</v>
      </c>
      <c r="F21" s="13">
        <v>0.41499999999999998</v>
      </c>
      <c r="G21" s="13">
        <f t="shared" si="1"/>
        <v>113.6774193548387</v>
      </c>
      <c r="H21" s="16">
        <v>2.38</v>
      </c>
      <c r="I21" s="13">
        <f t="shared" si="2"/>
        <v>128.41935483870967</v>
      </c>
      <c r="J21" s="16">
        <v>0</v>
      </c>
      <c r="K21" s="12">
        <f t="shared" si="3"/>
        <v>27.096774193548388</v>
      </c>
      <c r="L21" s="14" t="e">
        <f>E21*F21+G21*H21+#REF!*#REF!+I21*J21</f>
        <v>#REF!</v>
      </c>
    </row>
    <row r="22" spans="1:12" x14ac:dyDescent="0.2">
      <c r="A22" s="9" t="s">
        <v>12</v>
      </c>
      <c r="B22" s="10">
        <f t="shared" si="4"/>
        <v>21</v>
      </c>
      <c r="C22" s="10">
        <v>5</v>
      </c>
      <c r="D22" s="11">
        <v>2019</v>
      </c>
      <c r="E22" s="12">
        <f t="shared" si="0"/>
        <v>5281.1612903225805</v>
      </c>
      <c r="F22" s="13">
        <v>0.41499999999999998</v>
      </c>
      <c r="G22" s="13">
        <f t="shared" si="1"/>
        <v>113.6774193548387</v>
      </c>
      <c r="H22" s="16">
        <v>2.38</v>
      </c>
      <c r="I22" s="13">
        <f t="shared" si="2"/>
        <v>128.41935483870967</v>
      </c>
      <c r="J22" s="16">
        <v>0</v>
      </c>
      <c r="K22" s="12">
        <f t="shared" si="3"/>
        <v>27.096774193548388</v>
      </c>
      <c r="L22" s="14" t="e">
        <f>E22*F22+G22*H22+#REF!*#REF!+I22*J22</f>
        <v>#REF!</v>
      </c>
    </row>
    <row r="23" spans="1:12" x14ac:dyDescent="0.2">
      <c r="A23" s="9" t="s">
        <v>12</v>
      </c>
      <c r="B23" s="10">
        <f t="shared" si="4"/>
        <v>22</v>
      </c>
      <c r="C23" s="10">
        <v>5</v>
      </c>
      <c r="D23" s="11">
        <v>2019</v>
      </c>
      <c r="E23" s="12">
        <f t="shared" si="0"/>
        <v>5281.1612903225805</v>
      </c>
      <c r="F23" s="13">
        <v>0.41499999999999998</v>
      </c>
      <c r="G23" s="13">
        <f t="shared" si="1"/>
        <v>113.6774193548387</v>
      </c>
      <c r="H23" s="16">
        <v>2.38</v>
      </c>
      <c r="I23" s="13">
        <f t="shared" si="2"/>
        <v>128.41935483870967</v>
      </c>
      <c r="J23" s="16">
        <v>0</v>
      </c>
      <c r="K23" s="12">
        <f t="shared" si="3"/>
        <v>27.096774193548388</v>
      </c>
      <c r="L23" s="14" t="e">
        <f>E23*F23+G23*H23+#REF!*#REF!+I23*J23</f>
        <v>#REF!</v>
      </c>
    </row>
    <row r="24" spans="1:12" x14ac:dyDescent="0.2">
      <c r="A24" s="9" t="s">
        <v>12</v>
      </c>
      <c r="B24" s="10">
        <f t="shared" si="4"/>
        <v>23</v>
      </c>
      <c r="C24" s="10">
        <v>5</v>
      </c>
      <c r="D24" s="11">
        <v>2019</v>
      </c>
      <c r="E24" s="12">
        <f t="shared" si="0"/>
        <v>5281.1612903225805</v>
      </c>
      <c r="F24" s="13">
        <v>0.41499999999999998</v>
      </c>
      <c r="G24" s="13">
        <f t="shared" si="1"/>
        <v>113.6774193548387</v>
      </c>
      <c r="H24" s="16">
        <v>2.38</v>
      </c>
      <c r="I24" s="13">
        <f t="shared" si="2"/>
        <v>128.41935483870967</v>
      </c>
      <c r="J24" s="16">
        <v>0</v>
      </c>
      <c r="K24" s="12">
        <f t="shared" si="3"/>
        <v>27.096774193548388</v>
      </c>
      <c r="L24" s="14" t="e">
        <f>E24*F24+G24*H24+#REF!*#REF!+I24*J24</f>
        <v>#REF!</v>
      </c>
    </row>
    <row r="25" spans="1:12" x14ac:dyDescent="0.2">
      <c r="A25" s="9" t="s">
        <v>12</v>
      </c>
      <c r="B25" s="10">
        <f t="shared" si="4"/>
        <v>24</v>
      </c>
      <c r="C25" s="10">
        <v>5</v>
      </c>
      <c r="D25" s="11">
        <v>2019</v>
      </c>
      <c r="E25" s="12">
        <f t="shared" si="0"/>
        <v>5281.1612903225805</v>
      </c>
      <c r="F25" s="13">
        <v>0.41499999999999998</v>
      </c>
      <c r="G25" s="13">
        <f t="shared" si="1"/>
        <v>113.6774193548387</v>
      </c>
      <c r="H25" s="16">
        <v>2.38</v>
      </c>
      <c r="I25" s="13">
        <f t="shared" si="2"/>
        <v>128.41935483870967</v>
      </c>
      <c r="J25" s="16">
        <v>0</v>
      </c>
      <c r="K25" s="12">
        <f t="shared" si="3"/>
        <v>27.096774193548388</v>
      </c>
      <c r="L25" s="14" t="e">
        <f>E25*F25+G25*H25+#REF!*#REF!+I25*J25</f>
        <v>#REF!</v>
      </c>
    </row>
    <row r="26" spans="1:12" x14ac:dyDescent="0.2">
      <c r="A26" s="9" t="s">
        <v>12</v>
      </c>
      <c r="B26" s="10">
        <f>B25+1</f>
        <v>25</v>
      </c>
      <c r="C26" s="10">
        <v>5</v>
      </c>
      <c r="D26" s="11">
        <v>2019</v>
      </c>
      <c r="E26" s="12">
        <f t="shared" si="0"/>
        <v>5281.1612903225805</v>
      </c>
      <c r="F26" s="13">
        <v>0.41499999999999998</v>
      </c>
      <c r="G26" s="13">
        <f t="shared" si="1"/>
        <v>113.6774193548387</v>
      </c>
      <c r="H26" s="16">
        <v>2.38</v>
      </c>
      <c r="I26" s="13">
        <f t="shared" si="2"/>
        <v>128.41935483870967</v>
      </c>
      <c r="J26" s="16">
        <v>0</v>
      </c>
      <c r="K26" s="12">
        <f t="shared" si="3"/>
        <v>27.096774193548388</v>
      </c>
      <c r="L26" s="14" t="e">
        <f>E26*F26+G26*H26+#REF!*#REF!+I26*J26</f>
        <v>#REF!</v>
      </c>
    </row>
    <row r="27" spans="1:12" x14ac:dyDescent="0.2">
      <c r="A27" s="9" t="s">
        <v>12</v>
      </c>
      <c r="B27" s="10">
        <f t="shared" si="4"/>
        <v>26</v>
      </c>
      <c r="C27" s="10">
        <v>5</v>
      </c>
      <c r="D27" s="11">
        <v>2019</v>
      </c>
      <c r="E27" s="12">
        <f t="shared" si="0"/>
        <v>5281.1612903225805</v>
      </c>
      <c r="F27" s="13">
        <v>0.41499999999999998</v>
      </c>
      <c r="G27" s="13">
        <f t="shared" si="1"/>
        <v>113.6774193548387</v>
      </c>
      <c r="H27" s="16">
        <v>2.38</v>
      </c>
      <c r="I27" s="13">
        <f t="shared" si="2"/>
        <v>128.41935483870967</v>
      </c>
      <c r="J27" s="16">
        <v>0</v>
      </c>
      <c r="K27" s="12">
        <f t="shared" si="3"/>
        <v>27.096774193548388</v>
      </c>
      <c r="L27" s="14" t="e">
        <f>E27*F27+G27*H27+#REF!*#REF!+I27*J27</f>
        <v>#REF!</v>
      </c>
    </row>
    <row r="28" spans="1:12" x14ac:dyDescent="0.2">
      <c r="A28" s="9" t="s">
        <v>12</v>
      </c>
      <c r="B28" s="10">
        <f t="shared" si="4"/>
        <v>27</v>
      </c>
      <c r="C28" s="10">
        <v>5</v>
      </c>
      <c r="D28" s="11">
        <v>2019</v>
      </c>
      <c r="E28" s="12">
        <f t="shared" si="0"/>
        <v>5281.1612903225805</v>
      </c>
      <c r="F28" s="13">
        <v>0.41499999999999998</v>
      </c>
      <c r="G28" s="13">
        <f t="shared" si="1"/>
        <v>113.6774193548387</v>
      </c>
      <c r="H28" s="16">
        <v>2.38</v>
      </c>
      <c r="I28" s="13">
        <f t="shared" si="2"/>
        <v>128.41935483870967</v>
      </c>
      <c r="J28" s="16">
        <v>0</v>
      </c>
      <c r="K28" s="12">
        <f t="shared" si="3"/>
        <v>27.096774193548388</v>
      </c>
      <c r="L28" s="14" t="e">
        <f>E28*F28+G28*H28+#REF!*#REF!+I28*J28</f>
        <v>#REF!</v>
      </c>
    </row>
    <row r="29" spans="1:12" x14ac:dyDescent="0.2">
      <c r="A29" s="9" t="s">
        <v>12</v>
      </c>
      <c r="B29" s="10">
        <f t="shared" si="4"/>
        <v>28</v>
      </c>
      <c r="C29" s="10">
        <v>5</v>
      </c>
      <c r="D29" s="11">
        <v>2019</v>
      </c>
      <c r="E29" s="12">
        <f t="shared" si="0"/>
        <v>5281.1612903225805</v>
      </c>
      <c r="F29" s="13">
        <v>0.41499999999999998</v>
      </c>
      <c r="G29" s="13">
        <f t="shared" si="1"/>
        <v>113.6774193548387</v>
      </c>
      <c r="H29" s="16">
        <v>2.38</v>
      </c>
      <c r="I29" s="13">
        <f t="shared" si="2"/>
        <v>128.41935483870967</v>
      </c>
      <c r="J29" s="16">
        <v>0</v>
      </c>
      <c r="K29" s="12">
        <f t="shared" si="3"/>
        <v>27.096774193548388</v>
      </c>
      <c r="L29" s="14" t="e">
        <f>E29*F29+G29*H29+#REF!*#REF!+I29*J29</f>
        <v>#REF!</v>
      </c>
    </row>
    <row r="30" spans="1:12" x14ac:dyDescent="0.2">
      <c r="A30" s="9" t="s">
        <v>12</v>
      </c>
      <c r="B30" s="10">
        <f t="shared" si="4"/>
        <v>29</v>
      </c>
      <c r="C30" s="10">
        <v>5</v>
      </c>
      <c r="D30" s="11">
        <v>2019</v>
      </c>
      <c r="E30" s="12">
        <f t="shared" si="0"/>
        <v>5281.1612903225805</v>
      </c>
      <c r="F30" s="13">
        <v>0.41499999999999998</v>
      </c>
      <c r="G30" s="13">
        <f t="shared" si="1"/>
        <v>113.6774193548387</v>
      </c>
      <c r="H30" s="16">
        <v>2.38</v>
      </c>
      <c r="I30" s="13">
        <f t="shared" si="2"/>
        <v>128.41935483870967</v>
      </c>
      <c r="J30" s="16">
        <v>0</v>
      </c>
      <c r="K30" s="12">
        <f t="shared" si="3"/>
        <v>27.096774193548388</v>
      </c>
      <c r="L30" s="14" t="e">
        <f>E30*F30+G30*H30+#REF!*#REF!+I30*J30</f>
        <v>#REF!</v>
      </c>
    </row>
    <row r="31" spans="1:12" x14ac:dyDescent="0.2">
      <c r="A31" s="9" t="s">
        <v>12</v>
      </c>
      <c r="B31" s="10">
        <f t="shared" si="4"/>
        <v>30</v>
      </c>
      <c r="C31" s="10">
        <v>5</v>
      </c>
      <c r="D31" s="11">
        <v>2019</v>
      </c>
      <c r="E31" s="12">
        <f t="shared" si="0"/>
        <v>5281.1612903225805</v>
      </c>
      <c r="F31" s="13">
        <v>0.41499999999999998</v>
      </c>
      <c r="G31" s="13">
        <f t="shared" si="1"/>
        <v>113.6774193548387</v>
      </c>
      <c r="H31" s="16">
        <v>2.38</v>
      </c>
      <c r="I31" s="13">
        <f t="shared" si="2"/>
        <v>128.41935483870967</v>
      </c>
      <c r="J31" s="16">
        <v>0</v>
      </c>
      <c r="K31" s="12">
        <f t="shared" si="3"/>
        <v>27.096774193548388</v>
      </c>
      <c r="L31" s="14" t="e">
        <f>E31*F31+G31*H31+#REF!*#REF!+I31*J31</f>
        <v>#REF!</v>
      </c>
    </row>
    <row r="32" spans="1:12" x14ac:dyDescent="0.2">
      <c r="A32" s="9" t="s">
        <v>12</v>
      </c>
      <c r="B32" s="10">
        <f t="shared" si="4"/>
        <v>31</v>
      </c>
      <c r="C32" s="10">
        <v>5</v>
      </c>
      <c r="D32" s="11">
        <v>2019</v>
      </c>
      <c r="E32" s="12">
        <f t="shared" si="0"/>
        <v>5281.1612903225805</v>
      </c>
      <c r="F32" s="13">
        <v>0.41499999999999998</v>
      </c>
      <c r="G32" s="13">
        <f t="shared" si="1"/>
        <v>113.6774193548387</v>
      </c>
      <c r="H32" s="16">
        <v>2.38</v>
      </c>
      <c r="I32" s="13">
        <f t="shared" si="2"/>
        <v>128.41935483870967</v>
      </c>
      <c r="J32" s="16">
        <v>0</v>
      </c>
      <c r="K32" s="12">
        <f t="shared" si="3"/>
        <v>27.096774193548388</v>
      </c>
    </row>
    <row r="33" spans="6:10" x14ac:dyDescent="0.2">
      <c r="F33" s="13"/>
      <c r="G33" s="13"/>
      <c r="H33" s="16"/>
      <c r="I33" s="13"/>
      <c r="J33" s="16"/>
    </row>
    <row r="34" spans="6:10" x14ac:dyDescent="0.2">
      <c r="F34" s="13"/>
      <c r="G34" s="13"/>
      <c r="H34" s="16"/>
      <c r="I34" s="13"/>
      <c r="J34" s="16"/>
    </row>
    <row r="35" spans="6:10" x14ac:dyDescent="0.2">
      <c r="F35" s="13"/>
      <c r="G35" s="13"/>
      <c r="H35" s="16"/>
      <c r="I35" s="13"/>
      <c r="J35" s="16"/>
    </row>
    <row r="36" spans="6:10" x14ac:dyDescent="0.2">
      <c r="F36" s="13"/>
      <c r="G36" s="13"/>
      <c r="H36" s="16"/>
      <c r="I36" s="13"/>
      <c r="J36" s="16"/>
    </row>
    <row r="37" spans="6:10" x14ac:dyDescent="0.2">
      <c r="F37" s="13"/>
      <c r="G37" s="13"/>
      <c r="H37" s="16"/>
      <c r="I37" s="13"/>
      <c r="J37" s="16"/>
    </row>
    <row r="38" spans="6:10" x14ac:dyDescent="0.2">
      <c r="F38" s="13"/>
      <c r="G38" s="13"/>
      <c r="H38" s="16"/>
      <c r="I38" s="13"/>
      <c r="J38" s="16"/>
    </row>
    <row r="39" spans="6:10" x14ac:dyDescent="0.2">
      <c r="F39" s="13"/>
      <c r="G39" s="13"/>
      <c r="H39" s="16"/>
      <c r="I39" s="13"/>
      <c r="J3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Kilimanjaro Hotel Kempinski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Joe El Khoury</cp:lastModifiedBy>
  <cp:lastPrinted>2019-07-20T21:13:12Z</cp:lastPrinted>
  <dcterms:created xsi:type="dcterms:W3CDTF">2009-01-25T09:02:38Z</dcterms:created>
  <dcterms:modified xsi:type="dcterms:W3CDTF">2020-05-12T06:46:46Z</dcterms:modified>
</cp:coreProperties>
</file>