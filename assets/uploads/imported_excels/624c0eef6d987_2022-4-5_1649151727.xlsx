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8_{F8926316-CEFC-41A3-B970-C8717CEB7C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<sst xmlns="http://schemas.openxmlformats.org/spreadsheetml/2006/main" count="304" uniqueCount="123">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</sst>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%20El%20Khoury/AppData/Local/Microsoft/Windows/INetCache/Content.Outlook/1ZNWHPSO/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M6" sqref="M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3</v>
      </c>
      <c r="D2" s="6">
        <v>2022</v>
      </c>
      <c r="E2" s="8">
        <f>Submetring!E2+Submetring!F2+Submetring!G2</f>
        <v>9426</v>
      </c>
      <c r="F2" s="6">
        <v>0.251</v>
      </c>
      <c r="G2" s="8">
        <f>Submetring!H2+Submetring!I2</f>
        <v>2247</v>
      </c>
      <c r="H2" s="6">
        <v>0.56711199999999995</v>
      </c>
      <c r="I2" s="8">
        <f>Submetring!J2</f>
        <v>187</v>
      </c>
      <c r="J2" s="6">
        <v>3.03</v>
      </c>
      <c r="K2" s="8">
        <f>Hotel!Y9</f>
        <v>190</v>
      </c>
    </row>
    <row r="3" spans="1:11" x14ac:dyDescent="0.25">
      <c r="A3" s="6" t="s">
        <v>11</v>
      </c>
      <c r="B3" s="9">
        <f>B2+1</f>
        <v>2</v>
      </c>
      <c r="C3" s="7">
        <v>3</v>
      </c>
      <c r="D3" s="6">
        <v>2022</v>
      </c>
      <c r="E3" s="8">
        <f>Submetring!E3+Submetring!F3+Submetring!G3</f>
        <v>9221</v>
      </c>
      <c r="F3" s="6">
        <v>0.251</v>
      </c>
      <c r="G3" s="8">
        <f>Submetring!H3+Submetring!I3</f>
        <v>2318</v>
      </c>
      <c r="H3" s="6">
        <v>0.56711199999999995</v>
      </c>
      <c r="I3" s="8">
        <f>Submetring!J3</f>
        <v>203</v>
      </c>
      <c r="J3" s="6">
        <v>3.03</v>
      </c>
      <c r="K3" s="8">
        <f>Hotel!Y10</f>
        <v>190</v>
      </c>
    </row>
    <row r="4" spans="1:11" x14ac:dyDescent="0.25">
      <c r="A4" s="6" t="s">
        <v>11</v>
      </c>
      <c r="B4" s="9">
        <f t="shared" ref="B4:B29" si="0">B3+1</f>
        <v>3</v>
      </c>
      <c r="C4" s="7">
        <v>3</v>
      </c>
      <c r="D4" s="6">
        <v>2022</v>
      </c>
      <c r="E4" s="8">
        <f>Submetring!E4+Submetring!F4+Submetring!G4</f>
        <v>8742</v>
      </c>
      <c r="F4" s="6">
        <v>0.251</v>
      </c>
      <c r="G4" s="8">
        <f>Submetring!H4+Submetring!I4</f>
        <v>2220</v>
      </c>
      <c r="H4" s="6">
        <v>0.56711199999999995</v>
      </c>
      <c r="I4" s="8">
        <f>Submetring!J4</f>
        <v>207</v>
      </c>
      <c r="J4" s="6">
        <v>3.03</v>
      </c>
      <c r="K4" s="8">
        <f>Hotel!Y11</f>
        <v>188</v>
      </c>
    </row>
    <row r="5" spans="1:11" x14ac:dyDescent="0.25">
      <c r="A5" s="6" t="s">
        <v>11</v>
      </c>
      <c r="B5" s="9">
        <f t="shared" si="0"/>
        <v>4</v>
      </c>
      <c r="C5" s="7">
        <v>3</v>
      </c>
      <c r="D5" s="6">
        <v>2022</v>
      </c>
      <c r="E5" s="8">
        <f>Submetring!E5+Submetring!F5+Submetring!G5</f>
        <v>8872</v>
      </c>
      <c r="F5" s="6">
        <v>0.251</v>
      </c>
      <c r="G5" s="8">
        <f>Submetring!H5+Submetring!I5</f>
        <v>2209</v>
      </c>
      <c r="H5" s="6">
        <v>0.56711199999999995</v>
      </c>
      <c r="I5" s="8">
        <f>Submetring!J5</f>
        <v>208</v>
      </c>
      <c r="J5" s="6">
        <v>3.03</v>
      </c>
      <c r="K5" s="8">
        <f>Hotel!Y12</f>
        <v>84</v>
      </c>
    </row>
    <row r="6" spans="1:11" x14ac:dyDescent="0.25">
      <c r="A6" s="6" t="s">
        <v>11</v>
      </c>
      <c r="B6" s="9">
        <f t="shared" si="0"/>
        <v>5</v>
      </c>
      <c r="C6" s="7">
        <v>3</v>
      </c>
      <c r="D6" s="6">
        <v>2022</v>
      </c>
      <c r="E6" s="8">
        <f>Submetring!E6+Submetring!F6+Submetring!G6</f>
        <v>9073</v>
      </c>
      <c r="F6" s="6">
        <v>0.251</v>
      </c>
      <c r="G6" s="8">
        <f>Submetring!H6+Submetring!I6</f>
        <v>2557</v>
      </c>
      <c r="H6" s="6">
        <v>0.56711199999999995</v>
      </c>
      <c r="I6" s="8">
        <f>Submetring!J6</f>
        <v>162</v>
      </c>
      <c r="J6" s="6">
        <v>3.03</v>
      </c>
      <c r="K6" s="8">
        <f>Hotel!Y13</f>
        <v>84</v>
      </c>
    </row>
    <row r="7" spans="1:11" x14ac:dyDescent="0.25">
      <c r="A7" s="6" t="s">
        <v>11</v>
      </c>
      <c r="B7" s="9">
        <f t="shared" si="0"/>
        <v>6</v>
      </c>
      <c r="C7" s="7">
        <v>3</v>
      </c>
      <c r="D7" s="6">
        <v>2022</v>
      </c>
      <c r="E7" s="8">
        <f>Submetring!E7+Submetring!F7+Submetring!G7</f>
        <v>9223</v>
      </c>
      <c r="F7" s="6">
        <v>0.251</v>
      </c>
      <c r="G7" s="8">
        <f>Submetring!H7+Submetring!I7</f>
        <v>2156</v>
      </c>
      <c r="H7" s="6">
        <v>0.56711199999999995</v>
      </c>
      <c r="I7" s="8">
        <f>Submetring!J7</f>
        <v>214</v>
      </c>
      <c r="J7" s="6">
        <v>3.03</v>
      </c>
      <c r="K7" s="8">
        <f>Hotel!Y14</f>
        <v>93</v>
      </c>
    </row>
    <row r="8" spans="1:11" x14ac:dyDescent="0.25">
      <c r="A8" s="6" t="s">
        <v>11</v>
      </c>
      <c r="B8" s="9">
        <f t="shared" si="0"/>
        <v>7</v>
      </c>
      <c r="C8" s="7">
        <v>3</v>
      </c>
      <c r="D8" s="6">
        <v>2022</v>
      </c>
      <c r="E8" s="8">
        <f>Submetring!E8+Submetring!F8+Submetring!G8</f>
        <v>9333</v>
      </c>
      <c r="F8" s="6">
        <v>0.251</v>
      </c>
      <c r="G8" s="8">
        <f>Submetring!H8+Submetring!I8</f>
        <v>2428</v>
      </c>
      <c r="H8" s="6">
        <v>0.56711199999999995</v>
      </c>
      <c r="I8" s="8">
        <f>Submetring!J8</f>
        <v>219</v>
      </c>
      <c r="J8" s="6">
        <v>3.03</v>
      </c>
      <c r="K8" s="8">
        <f>Hotel!Y15</f>
        <v>83</v>
      </c>
    </row>
    <row r="9" spans="1:11" x14ac:dyDescent="0.25">
      <c r="A9" s="6" t="s">
        <v>11</v>
      </c>
      <c r="B9" s="9">
        <f t="shared" si="0"/>
        <v>8</v>
      </c>
      <c r="C9" s="7">
        <v>3</v>
      </c>
      <c r="D9" s="6">
        <v>2022</v>
      </c>
      <c r="E9" s="8">
        <f>Submetring!E9+Submetring!F9+Submetring!G9</f>
        <v>8925</v>
      </c>
      <c r="F9" s="6">
        <v>0.251</v>
      </c>
      <c r="G9" s="8">
        <f>Submetring!H9+Submetring!I9</f>
        <v>2171</v>
      </c>
      <c r="H9" s="6">
        <v>0.56711199999999995</v>
      </c>
      <c r="I9" s="8">
        <f>Submetring!J9</f>
        <v>188</v>
      </c>
      <c r="J9" s="6">
        <v>3.03</v>
      </c>
      <c r="K9" s="8">
        <f>Hotel!Y16</f>
        <v>77</v>
      </c>
    </row>
    <row r="10" spans="1:11" x14ac:dyDescent="0.25">
      <c r="A10" s="6" t="s">
        <v>11</v>
      </c>
      <c r="B10" s="9">
        <f t="shared" si="0"/>
        <v>9</v>
      </c>
      <c r="C10" s="7">
        <v>3</v>
      </c>
      <c r="D10" s="6">
        <v>2022</v>
      </c>
      <c r="E10" s="8">
        <f>Submetring!E10+Submetring!F10+Submetring!G10</f>
        <v>8844</v>
      </c>
      <c r="F10" s="6">
        <v>0.251</v>
      </c>
      <c r="G10" s="8">
        <f>Submetring!H10+Submetring!I10</f>
        <v>2287</v>
      </c>
      <c r="H10" s="6">
        <v>0.56711199999999995</v>
      </c>
      <c r="I10" s="8">
        <f>Submetring!J10</f>
        <v>169</v>
      </c>
      <c r="J10" s="6">
        <v>3.03</v>
      </c>
      <c r="K10" s="8">
        <f>Hotel!Y17</f>
        <v>88</v>
      </c>
    </row>
    <row r="11" spans="1:11" x14ac:dyDescent="0.25">
      <c r="A11" s="6" t="s">
        <v>11</v>
      </c>
      <c r="B11" s="9">
        <f t="shared" si="0"/>
        <v>10</v>
      </c>
      <c r="C11" s="7">
        <v>3</v>
      </c>
      <c r="D11" s="6">
        <v>2022</v>
      </c>
      <c r="E11" s="8">
        <f>Submetring!E11+Submetring!F11+Submetring!G11</f>
        <v>9052</v>
      </c>
      <c r="F11" s="6">
        <v>0.251</v>
      </c>
      <c r="G11" s="8">
        <f>Submetring!H11+Submetring!I11</f>
        <v>2326</v>
      </c>
      <c r="H11" s="6">
        <v>0.56711199999999995</v>
      </c>
      <c r="I11" s="8">
        <f>Submetring!J11</f>
        <v>219</v>
      </c>
      <c r="J11" s="6">
        <v>3.03</v>
      </c>
      <c r="K11" s="8">
        <f>Hotel!Y18</f>
        <v>86</v>
      </c>
    </row>
    <row r="12" spans="1:11" x14ac:dyDescent="0.25">
      <c r="A12" s="6" t="s">
        <v>11</v>
      </c>
      <c r="B12" s="9">
        <f t="shared" si="0"/>
        <v>11</v>
      </c>
      <c r="C12" s="7">
        <v>3</v>
      </c>
      <c r="D12" s="6">
        <v>2022</v>
      </c>
      <c r="E12" s="8">
        <f>Submetring!E12+Submetring!F12+Submetring!G12</f>
        <v>9423</v>
      </c>
      <c r="F12" s="6">
        <v>0.251</v>
      </c>
      <c r="G12" s="8">
        <f>Submetring!H12+Submetring!I12</f>
        <v>2279</v>
      </c>
      <c r="H12" s="6">
        <v>0.56711199999999995</v>
      </c>
      <c r="I12" s="8">
        <f>Submetring!J12</f>
        <v>247</v>
      </c>
      <c r="J12" s="6">
        <v>3.03</v>
      </c>
      <c r="K12" s="8">
        <f>Hotel!Y19</f>
        <v>103</v>
      </c>
    </row>
    <row r="13" spans="1:11" x14ac:dyDescent="0.25">
      <c r="A13" s="6" t="s">
        <v>11</v>
      </c>
      <c r="B13" s="9">
        <f t="shared" si="0"/>
        <v>12</v>
      </c>
      <c r="C13" s="7">
        <v>3</v>
      </c>
      <c r="D13" s="6">
        <v>2022</v>
      </c>
      <c r="E13" s="8">
        <f>Submetring!E13+Submetring!F13+Submetring!G13</f>
        <v>9802</v>
      </c>
      <c r="F13" s="6">
        <v>0.251</v>
      </c>
      <c r="G13" s="8">
        <f>Submetring!H13+Submetring!I13</f>
        <v>2399</v>
      </c>
      <c r="H13" s="6">
        <v>0.56711199999999995</v>
      </c>
      <c r="I13" s="8">
        <f>Submetring!J13</f>
        <v>210</v>
      </c>
      <c r="J13" s="6">
        <v>3.03</v>
      </c>
      <c r="K13" s="8">
        <f>Hotel!Y20</f>
        <v>98</v>
      </c>
    </row>
    <row r="14" spans="1:11" x14ac:dyDescent="0.25">
      <c r="A14" s="6" t="s">
        <v>11</v>
      </c>
      <c r="B14" s="9">
        <f t="shared" si="0"/>
        <v>13</v>
      </c>
      <c r="C14" s="7">
        <v>3</v>
      </c>
      <c r="D14" s="6">
        <v>2022</v>
      </c>
      <c r="E14" s="8">
        <f>Submetring!E14+Submetring!F14+Submetring!G14</f>
        <v>9376</v>
      </c>
      <c r="F14" s="6">
        <v>0.251</v>
      </c>
      <c r="G14" s="8">
        <f>Submetring!H14+Submetring!I14</f>
        <v>2542</v>
      </c>
      <c r="H14" s="6">
        <v>0.56711199999999995</v>
      </c>
      <c r="I14" s="8">
        <f>Submetring!J14</f>
        <v>209</v>
      </c>
      <c r="J14" s="6">
        <v>3.03</v>
      </c>
      <c r="K14" s="8">
        <f>Hotel!Y21</f>
        <v>129</v>
      </c>
    </row>
    <row r="15" spans="1:11" x14ac:dyDescent="0.25">
      <c r="A15" s="6" t="s">
        <v>11</v>
      </c>
      <c r="B15" s="9">
        <f t="shared" si="0"/>
        <v>14</v>
      </c>
      <c r="C15" s="7">
        <v>3</v>
      </c>
      <c r="D15" s="6">
        <v>2022</v>
      </c>
      <c r="E15" s="8">
        <f>Submetring!E15+Submetring!F15+Submetring!G15</f>
        <v>9384</v>
      </c>
      <c r="F15" s="6">
        <v>0.251</v>
      </c>
      <c r="G15" s="8">
        <f>Submetring!H15+Submetring!I15</f>
        <v>2236</v>
      </c>
      <c r="H15" s="6">
        <v>0.56711199999999995</v>
      </c>
      <c r="I15" s="8">
        <f>Submetring!J15</f>
        <v>192</v>
      </c>
      <c r="J15" s="6">
        <v>3.03</v>
      </c>
      <c r="K15" s="8">
        <f>Hotel!Y22</f>
        <v>112</v>
      </c>
    </row>
    <row r="16" spans="1:11" x14ac:dyDescent="0.25">
      <c r="A16" s="6" t="s">
        <v>11</v>
      </c>
      <c r="B16" s="9">
        <f t="shared" si="0"/>
        <v>15</v>
      </c>
      <c r="C16" s="7">
        <v>3</v>
      </c>
      <c r="D16" s="6">
        <v>2022</v>
      </c>
      <c r="E16" s="8">
        <f>Submetring!E16+Submetring!F16+Submetring!G16</f>
        <v>9302</v>
      </c>
      <c r="F16" s="6">
        <v>0.251</v>
      </c>
      <c r="G16" s="8">
        <f>Submetring!H16+Submetring!I16</f>
        <v>1941</v>
      </c>
      <c r="H16" s="6">
        <v>0.56711199999999995</v>
      </c>
      <c r="I16" s="8">
        <f>Submetring!J16</f>
        <v>175</v>
      </c>
      <c r="J16" s="6">
        <v>3.03</v>
      </c>
      <c r="K16" s="8">
        <f>Hotel!Y23</f>
        <v>150</v>
      </c>
    </row>
    <row r="17" spans="1:11" x14ac:dyDescent="0.25">
      <c r="A17" s="6" t="s">
        <v>11</v>
      </c>
      <c r="B17" s="9">
        <f t="shared" si="0"/>
        <v>16</v>
      </c>
      <c r="C17" s="7">
        <v>3</v>
      </c>
      <c r="D17" s="6">
        <v>2022</v>
      </c>
      <c r="E17" s="8">
        <f>Submetring!E17+Submetring!F17+Submetring!G17</f>
        <v>9337</v>
      </c>
      <c r="F17" s="6">
        <v>0.251</v>
      </c>
      <c r="G17" s="8">
        <f>Submetring!H17+Submetring!I17</f>
        <v>2194</v>
      </c>
      <c r="H17" s="6">
        <v>0.56711199999999995</v>
      </c>
      <c r="I17" s="8">
        <f>Submetring!J17</f>
        <v>334</v>
      </c>
      <c r="J17" s="6">
        <v>3.03</v>
      </c>
      <c r="K17" s="8">
        <f>Hotel!Y24</f>
        <v>158</v>
      </c>
    </row>
    <row r="18" spans="1:11" x14ac:dyDescent="0.25">
      <c r="A18" s="6" t="s">
        <v>11</v>
      </c>
      <c r="B18" s="9">
        <f t="shared" si="0"/>
        <v>17</v>
      </c>
      <c r="C18" s="7">
        <v>3</v>
      </c>
      <c r="D18" s="6">
        <v>2022</v>
      </c>
      <c r="E18" s="8">
        <f>Submetring!E18+Submetring!F18+Submetring!G18</f>
        <v>9100</v>
      </c>
      <c r="F18" s="6">
        <v>0.251</v>
      </c>
      <c r="G18" s="8">
        <f>Submetring!H18+Submetring!I18</f>
        <v>2217</v>
      </c>
      <c r="H18" s="6">
        <v>0.56711199999999995</v>
      </c>
      <c r="I18" s="8">
        <f>Submetring!J18</f>
        <v>335</v>
      </c>
      <c r="J18" s="6">
        <v>3.03</v>
      </c>
      <c r="K18" s="8">
        <f>Hotel!Y25</f>
        <v>202</v>
      </c>
    </row>
    <row r="19" spans="1:11" x14ac:dyDescent="0.25">
      <c r="A19" s="6" t="s">
        <v>11</v>
      </c>
      <c r="B19" s="9">
        <f t="shared" si="0"/>
        <v>18</v>
      </c>
      <c r="C19" s="7">
        <v>3</v>
      </c>
      <c r="D19" s="6">
        <v>2022</v>
      </c>
      <c r="E19" s="8">
        <f>Submetring!E19+Submetring!F19+Submetring!G19</f>
        <v>9547</v>
      </c>
      <c r="F19" s="6">
        <v>0.251</v>
      </c>
      <c r="G19" s="8">
        <f>Submetring!H19+Submetring!I19</f>
        <v>2035</v>
      </c>
      <c r="H19" s="6">
        <v>0.56711199999999995</v>
      </c>
      <c r="I19" s="8">
        <f>Submetring!J19</f>
        <v>266</v>
      </c>
      <c r="J19" s="6">
        <v>3.03</v>
      </c>
      <c r="K19" s="8">
        <f>Hotel!Y26</f>
        <v>175</v>
      </c>
    </row>
    <row r="20" spans="1:11" x14ac:dyDescent="0.25">
      <c r="A20" s="6" t="s">
        <v>11</v>
      </c>
      <c r="B20" s="9">
        <f t="shared" si="0"/>
        <v>19</v>
      </c>
      <c r="C20" s="7">
        <v>3</v>
      </c>
      <c r="D20" s="6">
        <v>2022</v>
      </c>
      <c r="E20" s="8">
        <f>Submetring!E20+Submetring!F20+Submetring!G20</f>
        <v>9583</v>
      </c>
      <c r="F20" s="6">
        <v>0.251</v>
      </c>
      <c r="G20" s="8">
        <f>Submetring!H20+Submetring!I20</f>
        <v>2061</v>
      </c>
      <c r="H20" s="6">
        <v>0.56711199999999995</v>
      </c>
      <c r="I20" s="8">
        <f>Submetring!J20</f>
        <v>218</v>
      </c>
      <c r="J20" s="6">
        <v>3.03</v>
      </c>
      <c r="K20" s="8">
        <f>Hotel!Y27</f>
        <v>148</v>
      </c>
    </row>
    <row r="21" spans="1:11" x14ac:dyDescent="0.25">
      <c r="A21" s="6" t="s">
        <v>11</v>
      </c>
      <c r="B21" s="9">
        <f t="shared" si="0"/>
        <v>20</v>
      </c>
      <c r="C21" s="7">
        <v>3</v>
      </c>
      <c r="D21" s="6">
        <v>2022</v>
      </c>
      <c r="E21" s="8">
        <f>Submetring!E21+Submetring!F21+Submetring!G21</f>
        <v>9004</v>
      </c>
      <c r="F21" s="6">
        <v>0.251</v>
      </c>
      <c r="G21" s="8">
        <f>Submetring!H21+Submetring!I21</f>
        <v>2161</v>
      </c>
      <c r="H21" s="6">
        <v>0.56711199999999995</v>
      </c>
      <c r="I21" s="8">
        <f>Submetring!J21</f>
        <v>202</v>
      </c>
      <c r="J21" s="6">
        <v>3.03</v>
      </c>
      <c r="K21" s="8">
        <f>Hotel!Y28</f>
        <v>159</v>
      </c>
    </row>
    <row r="22" spans="1:11" x14ac:dyDescent="0.25">
      <c r="A22" s="6" t="s">
        <v>11</v>
      </c>
      <c r="B22" s="9">
        <f t="shared" si="0"/>
        <v>21</v>
      </c>
      <c r="C22" s="7">
        <v>3</v>
      </c>
      <c r="D22" s="6">
        <v>2022</v>
      </c>
      <c r="E22" s="8">
        <f>Submetring!E22+Submetring!F22+Submetring!G22</f>
        <v>9094</v>
      </c>
      <c r="F22" s="6">
        <v>0.251</v>
      </c>
      <c r="G22" s="8">
        <f>Submetring!H22+Submetring!I22</f>
        <v>2231</v>
      </c>
      <c r="H22" s="6">
        <v>0.56711199999999995</v>
      </c>
      <c r="I22" s="8">
        <f>Submetring!J22</f>
        <v>218</v>
      </c>
      <c r="J22" s="6">
        <v>3.03</v>
      </c>
      <c r="K22" s="8">
        <f>Hotel!Y29</f>
        <v>170</v>
      </c>
    </row>
    <row r="23" spans="1:11" x14ac:dyDescent="0.25">
      <c r="A23" s="6" t="s">
        <v>11</v>
      </c>
      <c r="B23" s="9">
        <f t="shared" si="0"/>
        <v>22</v>
      </c>
      <c r="C23" s="7">
        <v>3</v>
      </c>
      <c r="D23" s="6">
        <v>2022</v>
      </c>
      <c r="E23" s="8">
        <f>Submetring!E23+Submetring!F23+Submetring!G23</f>
        <v>9622</v>
      </c>
      <c r="F23" s="6">
        <v>0.251</v>
      </c>
      <c r="G23" s="8">
        <f>Submetring!H23+Submetring!I23</f>
        <v>2523</v>
      </c>
      <c r="H23" s="6">
        <v>0.56711199999999995</v>
      </c>
      <c r="I23" s="8">
        <f>Submetring!J23</f>
        <v>243</v>
      </c>
      <c r="J23" s="6">
        <v>3.03</v>
      </c>
      <c r="K23" s="8">
        <f>Hotel!Y30</f>
        <v>171</v>
      </c>
    </row>
    <row r="24" spans="1:11" x14ac:dyDescent="0.25">
      <c r="A24" s="6" t="s">
        <v>11</v>
      </c>
      <c r="B24" s="9">
        <f t="shared" si="0"/>
        <v>23</v>
      </c>
      <c r="C24" s="7">
        <v>3</v>
      </c>
      <c r="D24" s="6">
        <v>2022</v>
      </c>
      <c r="E24" s="8">
        <f>Submetring!E24+Submetring!F24+Submetring!G24</f>
        <v>9728</v>
      </c>
      <c r="F24" s="6">
        <v>0.251</v>
      </c>
      <c r="G24" s="8">
        <f>Submetring!H24+Submetring!I24</f>
        <v>2487</v>
      </c>
      <c r="H24" s="6">
        <v>0.56711199999999995</v>
      </c>
      <c r="I24" s="8">
        <f>Submetring!J24</f>
        <v>207</v>
      </c>
      <c r="J24" s="6">
        <v>3.03</v>
      </c>
      <c r="K24" s="8">
        <f>Hotel!Y31</f>
        <v>155</v>
      </c>
    </row>
    <row r="25" spans="1:11" x14ac:dyDescent="0.25">
      <c r="A25" s="6" t="s">
        <v>11</v>
      </c>
      <c r="B25" s="9">
        <f t="shared" si="0"/>
        <v>24</v>
      </c>
      <c r="C25" s="7">
        <v>3</v>
      </c>
      <c r="D25" s="6">
        <v>2022</v>
      </c>
      <c r="E25" s="8">
        <f>Submetring!E25+Submetring!F25+Submetring!G25</f>
        <v>10231</v>
      </c>
      <c r="F25" s="6">
        <v>0.251</v>
      </c>
      <c r="G25" s="8">
        <f>Submetring!H25+Submetring!I25</f>
        <v>2703</v>
      </c>
      <c r="H25" s="6">
        <v>0.56711199999999995</v>
      </c>
      <c r="I25" s="8">
        <f>Submetring!J25</f>
        <v>288</v>
      </c>
      <c r="J25" s="6">
        <v>3.03</v>
      </c>
      <c r="K25" s="8">
        <f>Hotel!Y32</f>
        <v>151</v>
      </c>
    </row>
    <row r="26" spans="1:11" x14ac:dyDescent="0.25">
      <c r="A26" s="6" t="s">
        <v>11</v>
      </c>
      <c r="B26" s="9">
        <f>B25+1</f>
        <v>25</v>
      </c>
      <c r="C26" s="7">
        <v>3</v>
      </c>
      <c r="D26" s="6">
        <v>2022</v>
      </c>
      <c r="E26" s="8">
        <f>Submetring!E26+Submetring!F26+Submetring!G26</f>
        <v>10034</v>
      </c>
      <c r="F26" s="6">
        <v>0.251</v>
      </c>
      <c r="G26" s="8">
        <f>Submetring!H26+Submetring!I26</f>
        <v>2575</v>
      </c>
      <c r="H26" s="6">
        <v>0.56711199999999995</v>
      </c>
      <c r="I26" s="8">
        <f>Submetring!J26</f>
        <v>306</v>
      </c>
      <c r="J26" s="6">
        <v>3.03</v>
      </c>
      <c r="K26" s="8">
        <f>Hotel!Y33</f>
        <v>175</v>
      </c>
    </row>
    <row r="27" spans="1:11" x14ac:dyDescent="0.25">
      <c r="A27" s="6" t="s">
        <v>11</v>
      </c>
      <c r="B27" s="9">
        <f t="shared" si="0"/>
        <v>26</v>
      </c>
      <c r="C27" s="7">
        <v>3</v>
      </c>
      <c r="D27" s="6">
        <v>2022</v>
      </c>
      <c r="E27" s="8">
        <f>Submetring!E27+Submetring!F27+Submetring!G27</f>
        <v>10008</v>
      </c>
      <c r="F27" s="6">
        <v>0.251</v>
      </c>
      <c r="G27" s="8">
        <f>Submetring!H27+Submetring!I27</f>
        <v>2502</v>
      </c>
      <c r="H27" s="6">
        <v>0.56711199999999995</v>
      </c>
      <c r="I27" s="8">
        <f>Submetring!J27</f>
        <v>253</v>
      </c>
      <c r="J27" s="6">
        <v>3.03</v>
      </c>
      <c r="K27" s="8">
        <f>Hotel!Y34</f>
        <v>167</v>
      </c>
    </row>
    <row r="28" spans="1:11" x14ac:dyDescent="0.25">
      <c r="A28" s="6" t="s">
        <v>11</v>
      </c>
      <c r="B28" s="9">
        <f t="shared" si="0"/>
        <v>27</v>
      </c>
      <c r="C28" s="7">
        <v>3</v>
      </c>
      <c r="D28" s="6">
        <v>2022</v>
      </c>
      <c r="E28" s="8">
        <f>Submetring!E28+Submetring!F28+Submetring!G28</f>
        <v>9360</v>
      </c>
      <c r="F28" s="6">
        <v>0.251</v>
      </c>
      <c r="G28" s="8">
        <f>Submetring!H28+Submetring!I28</f>
        <v>2150</v>
      </c>
      <c r="H28" s="6">
        <v>0.56711199999999995</v>
      </c>
      <c r="I28" s="8">
        <f>Submetring!J28</f>
        <v>350</v>
      </c>
      <c r="J28" s="6">
        <v>3.03</v>
      </c>
      <c r="K28" s="8">
        <f>Hotel!Y35</f>
        <v>156</v>
      </c>
    </row>
    <row r="29" spans="1:11" x14ac:dyDescent="0.25">
      <c r="A29" s="6" t="s">
        <v>11</v>
      </c>
      <c r="B29" s="9">
        <f t="shared" si="0"/>
        <v>28</v>
      </c>
      <c r="C29" s="7">
        <v>3</v>
      </c>
      <c r="D29" s="6">
        <v>2022</v>
      </c>
      <c r="E29" s="8">
        <f>Submetring!E29+Submetring!F29+Submetring!G29</f>
        <v>9605</v>
      </c>
      <c r="F29" s="6">
        <v>0.251</v>
      </c>
      <c r="G29" s="8">
        <f>Submetring!H29+Submetring!I29</f>
        <v>2095</v>
      </c>
      <c r="H29" s="6">
        <v>0.56711199999999995</v>
      </c>
      <c r="I29" s="8">
        <f>Submetring!J29</f>
        <v>208</v>
      </c>
      <c r="J29" s="6">
        <v>3.03</v>
      </c>
      <c r="K29" s="8">
        <f>Hotel!Y36</f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9"/>
  <sheetViews>
    <sheetView workbookViewId="0">
      <selection activeCell="P13" sqref="P1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3</v>
      </c>
      <c r="D2" s="10">
        <v>2022</v>
      </c>
      <c r="E2" s="11">
        <f>Hotel!D9</f>
        <v>3191</v>
      </c>
      <c r="F2" s="11">
        <f>Hotel!F9</f>
        <v>3180</v>
      </c>
      <c r="G2" s="11">
        <f>Hotel!H9</f>
        <v>3055</v>
      </c>
      <c r="H2" s="11">
        <f>Hotel!N9</f>
        <v>130</v>
      </c>
      <c r="I2" s="11">
        <f>Hotel!P9</f>
        <v>2117</v>
      </c>
      <c r="J2" s="11">
        <f>Hotel!U9</f>
        <v>187</v>
      </c>
      <c r="K2" s="11">
        <f>Hotel!Y9</f>
        <v>190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3</v>
      </c>
      <c r="D3" s="10">
        <v>2022</v>
      </c>
      <c r="E3" s="11">
        <f>Hotel!D10</f>
        <v>3125</v>
      </c>
      <c r="F3" s="11">
        <f>Hotel!F10</f>
        <v>3112</v>
      </c>
      <c r="G3" s="11">
        <f>Hotel!H10</f>
        <v>2984</v>
      </c>
      <c r="H3" s="11">
        <f>Hotel!N10</f>
        <v>137</v>
      </c>
      <c r="I3" s="11">
        <f>Hotel!P10</f>
        <v>2181</v>
      </c>
      <c r="J3" s="11">
        <f>Hotel!U10</f>
        <v>203</v>
      </c>
      <c r="K3" s="11">
        <f>Hotel!Y10</f>
        <v>190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29" si="0">B3+1</f>
        <v>3</v>
      </c>
      <c r="C4" s="10">
        <v>3</v>
      </c>
      <c r="D4" s="10">
        <v>2022</v>
      </c>
      <c r="E4" s="11">
        <f>Hotel!D11</f>
        <v>2978</v>
      </c>
      <c r="F4" s="11">
        <f>Hotel!F11</f>
        <v>2948</v>
      </c>
      <c r="G4" s="11">
        <f>Hotel!H11</f>
        <v>2816</v>
      </c>
      <c r="H4" s="11">
        <f>Hotel!N11</f>
        <v>106</v>
      </c>
      <c r="I4" s="11">
        <f>Hotel!P11</f>
        <v>2114</v>
      </c>
      <c r="J4" s="11">
        <f>Hotel!U11</f>
        <v>207</v>
      </c>
      <c r="K4" s="11">
        <f>Hotel!Y11</f>
        <v>188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3</v>
      </c>
      <c r="D5" s="10">
        <v>2022</v>
      </c>
      <c r="E5" s="11">
        <f>Hotel!D12</f>
        <v>3005</v>
      </c>
      <c r="F5" s="11">
        <f>Hotel!F12</f>
        <v>2983</v>
      </c>
      <c r="G5" s="11">
        <f>Hotel!H12</f>
        <v>2884</v>
      </c>
      <c r="H5" s="11">
        <f>Hotel!N12</f>
        <v>109</v>
      </c>
      <c r="I5" s="11">
        <f>Hotel!P12</f>
        <v>2100</v>
      </c>
      <c r="J5" s="11">
        <f>Hotel!U12</f>
        <v>208</v>
      </c>
      <c r="K5" s="11">
        <f>Hotel!Y12</f>
        <v>84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3</v>
      </c>
      <c r="D6" s="10">
        <v>2022</v>
      </c>
      <c r="E6" s="11">
        <f>Hotel!D13</f>
        <v>3106</v>
      </c>
      <c r="F6" s="11">
        <f>Hotel!F13</f>
        <v>3079</v>
      </c>
      <c r="G6" s="11">
        <f>Hotel!H13</f>
        <v>2888</v>
      </c>
      <c r="H6" s="11">
        <f>Hotel!N13</f>
        <v>111</v>
      </c>
      <c r="I6" s="11">
        <f>Hotel!P13</f>
        <v>2446</v>
      </c>
      <c r="J6" s="11">
        <f>Hotel!U13</f>
        <v>162</v>
      </c>
      <c r="K6" s="11">
        <f>Hotel!Y13</f>
        <v>84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3</v>
      </c>
      <c r="D7" s="10">
        <v>2022</v>
      </c>
      <c r="E7" s="11">
        <f>Hotel!D14</f>
        <v>3142</v>
      </c>
      <c r="F7" s="11">
        <f>Hotel!F14</f>
        <v>3122</v>
      </c>
      <c r="G7" s="11">
        <f>Hotel!H14</f>
        <v>2959</v>
      </c>
      <c r="H7" s="11">
        <f>Hotel!N14</f>
        <v>122</v>
      </c>
      <c r="I7" s="11">
        <f>Hotel!P14</f>
        <v>2034</v>
      </c>
      <c r="J7" s="11">
        <f>Hotel!U14</f>
        <v>214</v>
      </c>
      <c r="K7" s="11">
        <f>Hotel!Y14</f>
        <v>93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3</v>
      </c>
      <c r="D8" s="10">
        <v>2022</v>
      </c>
      <c r="E8" s="11">
        <f>Hotel!D15</f>
        <v>3182</v>
      </c>
      <c r="F8" s="11">
        <f>Hotel!F15</f>
        <v>3152</v>
      </c>
      <c r="G8" s="11">
        <f>Hotel!H15</f>
        <v>2999</v>
      </c>
      <c r="H8" s="11">
        <f>Hotel!N15</f>
        <v>114</v>
      </c>
      <c r="I8" s="11">
        <f>Hotel!P15</f>
        <v>2314</v>
      </c>
      <c r="J8" s="11">
        <f>Hotel!U15</f>
        <v>219</v>
      </c>
      <c r="K8" s="11">
        <f>Hotel!Y15</f>
        <v>83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3</v>
      </c>
      <c r="D9" s="10">
        <v>2022</v>
      </c>
      <c r="E9" s="11">
        <f>Hotel!D16</f>
        <v>3039</v>
      </c>
      <c r="F9" s="11">
        <f>Hotel!F16</f>
        <v>3004</v>
      </c>
      <c r="G9" s="11">
        <f>Hotel!H16</f>
        <v>2882</v>
      </c>
      <c r="H9" s="11">
        <f>Hotel!N16</f>
        <v>113</v>
      </c>
      <c r="I9" s="11">
        <f>Hotel!P16</f>
        <v>2058</v>
      </c>
      <c r="J9" s="11">
        <f>Hotel!U16</f>
        <v>188</v>
      </c>
      <c r="K9" s="11">
        <f>Hotel!Y16</f>
        <v>77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3</v>
      </c>
      <c r="D10" s="10">
        <v>2022</v>
      </c>
      <c r="E10" s="11">
        <f>Hotel!D17</f>
        <v>2999</v>
      </c>
      <c r="F10" s="11">
        <f>Hotel!F17</f>
        <v>3003</v>
      </c>
      <c r="G10" s="11">
        <f>Hotel!H17</f>
        <v>2842</v>
      </c>
      <c r="H10" s="11">
        <f>Hotel!N17</f>
        <v>103</v>
      </c>
      <c r="I10" s="11">
        <f>Hotel!P17</f>
        <v>2184</v>
      </c>
      <c r="J10" s="11">
        <f>Hotel!U17</f>
        <v>169</v>
      </c>
      <c r="K10" s="11">
        <f>Hotel!Y17</f>
        <v>88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3</v>
      </c>
      <c r="D11" s="10">
        <v>2022</v>
      </c>
      <c r="E11" s="11">
        <f>Hotel!D18</f>
        <v>3085</v>
      </c>
      <c r="F11" s="11">
        <f>Hotel!F18</f>
        <v>3069</v>
      </c>
      <c r="G11" s="11">
        <f>Hotel!H18</f>
        <v>2898</v>
      </c>
      <c r="H11" s="11">
        <f>Hotel!N18</f>
        <v>125</v>
      </c>
      <c r="I11" s="11">
        <f>Hotel!P18</f>
        <v>2201</v>
      </c>
      <c r="J11" s="11">
        <f>Hotel!U18</f>
        <v>219</v>
      </c>
      <c r="K11" s="11">
        <f>Hotel!Y18</f>
        <v>86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3</v>
      </c>
      <c r="D12" s="10">
        <v>2022</v>
      </c>
      <c r="E12" s="11">
        <f>Hotel!D19</f>
        <v>3206</v>
      </c>
      <c r="F12" s="11">
        <f>Hotel!F19</f>
        <v>3197</v>
      </c>
      <c r="G12" s="11">
        <f>Hotel!H19</f>
        <v>3020</v>
      </c>
      <c r="H12" s="11">
        <f>Hotel!N19</f>
        <v>116</v>
      </c>
      <c r="I12" s="11">
        <f>Hotel!P19</f>
        <v>2163</v>
      </c>
      <c r="J12" s="11">
        <f>Hotel!U19</f>
        <v>247</v>
      </c>
      <c r="K12" s="11">
        <f>Hotel!Y19</f>
        <v>103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3</v>
      </c>
      <c r="D13" s="10">
        <v>2022</v>
      </c>
      <c r="E13" s="11">
        <f>Hotel!D20</f>
        <v>3338</v>
      </c>
      <c r="F13" s="11">
        <f>Hotel!F20</f>
        <v>3320</v>
      </c>
      <c r="G13" s="11">
        <f>Hotel!H20</f>
        <v>3144</v>
      </c>
      <c r="H13" s="11">
        <f>Hotel!N20</f>
        <v>129</v>
      </c>
      <c r="I13" s="11">
        <f>Hotel!P20</f>
        <v>2270</v>
      </c>
      <c r="J13" s="11">
        <f>Hotel!U20</f>
        <v>210</v>
      </c>
      <c r="K13" s="11">
        <f>Hotel!Y20</f>
        <v>98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3</v>
      </c>
      <c r="D14" s="10">
        <v>2022</v>
      </c>
      <c r="E14" s="11">
        <f>Hotel!D21</f>
        <v>3189</v>
      </c>
      <c r="F14" s="11">
        <f>Hotel!F21</f>
        <v>3172</v>
      </c>
      <c r="G14" s="11">
        <f>Hotel!H21</f>
        <v>3015</v>
      </c>
      <c r="H14" s="11">
        <f>Hotel!N21</f>
        <v>124</v>
      </c>
      <c r="I14" s="11">
        <f>Hotel!P21</f>
        <v>2418</v>
      </c>
      <c r="J14" s="11">
        <f>Hotel!U21</f>
        <v>209</v>
      </c>
      <c r="K14" s="11">
        <f>Hotel!Y21</f>
        <v>129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3</v>
      </c>
      <c r="D15" s="10">
        <v>2022</v>
      </c>
      <c r="E15" s="11">
        <f>Hotel!D22</f>
        <v>3218</v>
      </c>
      <c r="F15" s="11">
        <f>Hotel!F22</f>
        <v>3162</v>
      </c>
      <c r="G15" s="11">
        <f>Hotel!H22</f>
        <v>3004</v>
      </c>
      <c r="H15" s="11">
        <f>Hotel!N22</f>
        <v>119</v>
      </c>
      <c r="I15" s="11">
        <f>Hotel!P22</f>
        <v>2117</v>
      </c>
      <c r="J15" s="11">
        <f>Hotel!U22</f>
        <v>192</v>
      </c>
      <c r="K15" s="11">
        <f>Hotel!Y22</f>
        <v>112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3</v>
      </c>
      <c r="D16" s="10">
        <v>2022</v>
      </c>
      <c r="E16" s="11">
        <f>Hotel!D23</f>
        <v>3172</v>
      </c>
      <c r="F16" s="11">
        <f>Hotel!F23</f>
        <v>3153</v>
      </c>
      <c r="G16" s="11">
        <f>Hotel!H23</f>
        <v>2977</v>
      </c>
      <c r="H16" s="11">
        <f>Hotel!N23</f>
        <v>118</v>
      </c>
      <c r="I16" s="11">
        <f>Hotel!P23</f>
        <v>1823</v>
      </c>
      <c r="J16" s="11">
        <f>Hotel!U23</f>
        <v>175</v>
      </c>
      <c r="K16" s="11">
        <f>Hotel!Y23</f>
        <v>150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3</v>
      </c>
      <c r="D17" s="10">
        <v>2022</v>
      </c>
      <c r="E17" s="11">
        <f>Hotel!D24</f>
        <v>3170</v>
      </c>
      <c r="F17" s="11">
        <f>Hotel!F24</f>
        <v>3181</v>
      </c>
      <c r="G17" s="11">
        <f>Hotel!H24</f>
        <v>2986</v>
      </c>
      <c r="H17" s="11">
        <f>Hotel!N24</f>
        <v>132</v>
      </c>
      <c r="I17" s="11">
        <f>Hotel!P24</f>
        <v>2062</v>
      </c>
      <c r="J17" s="11">
        <f>Hotel!U24</f>
        <v>334</v>
      </c>
      <c r="K17" s="11">
        <f>Hotel!Y24</f>
        <v>158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3</v>
      </c>
      <c r="D18" s="10">
        <v>2022</v>
      </c>
      <c r="E18" s="11">
        <f>Hotel!D25</f>
        <v>3093</v>
      </c>
      <c r="F18" s="11">
        <f>Hotel!F25</f>
        <v>3098</v>
      </c>
      <c r="G18" s="11">
        <f>Hotel!H25</f>
        <v>2909</v>
      </c>
      <c r="H18" s="11">
        <f>Hotel!N25</f>
        <v>117</v>
      </c>
      <c r="I18" s="11">
        <f>Hotel!P25</f>
        <v>2100</v>
      </c>
      <c r="J18" s="11">
        <f>Hotel!U25</f>
        <v>335</v>
      </c>
      <c r="K18" s="11">
        <f>Hotel!Y25</f>
        <v>202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3</v>
      </c>
      <c r="D19" s="10">
        <v>2022</v>
      </c>
      <c r="E19" s="11">
        <f>Hotel!D26</f>
        <v>3236</v>
      </c>
      <c r="F19" s="11">
        <f>Hotel!F26</f>
        <v>3270</v>
      </c>
      <c r="G19" s="11">
        <f>Hotel!H26</f>
        <v>3041</v>
      </c>
      <c r="H19" s="11">
        <f>Hotel!N26</f>
        <v>127</v>
      </c>
      <c r="I19" s="11">
        <f>Hotel!P26</f>
        <v>1908</v>
      </c>
      <c r="J19" s="11">
        <f>Hotel!U26</f>
        <v>266</v>
      </c>
      <c r="K19" s="11">
        <f>Hotel!Y26</f>
        <v>175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3</v>
      </c>
      <c r="D20" s="10">
        <v>2022</v>
      </c>
      <c r="E20" s="11">
        <f>Hotel!D27</f>
        <v>3251</v>
      </c>
      <c r="F20" s="11">
        <f>Hotel!F27</f>
        <v>3237</v>
      </c>
      <c r="G20" s="11">
        <f>Hotel!H27</f>
        <v>3095</v>
      </c>
      <c r="H20" s="11">
        <f>Hotel!N27</f>
        <v>160</v>
      </c>
      <c r="I20" s="11">
        <f>Hotel!P27</f>
        <v>1901</v>
      </c>
      <c r="J20" s="11">
        <f>Hotel!U27</f>
        <v>218</v>
      </c>
      <c r="K20" s="11">
        <f>Hotel!Y27</f>
        <v>148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3</v>
      </c>
      <c r="D21" s="10">
        <v>2022</v>
      </c>
      <c r="E21" s="11">
        <f>Hotel!D28</f>
        <v>3145</v>
      </c>
      <c r="F21" s="11">
        <f>Hotel!F28</f>
        <v>3019</v>
      </c>
      <c r="G21" s="11">
        <f>Hotel!H28</f>
        <v>2840</v>
      </c>
      <c r="H21" s="11">
        <f>Hotel!N28</f>
        <v>147</v>
      </c>
      <c r="I21" s="11">
        <f>Hotel!P28</f>
        <v>2014</v>
      </c>
      <c r="J21" s="11">
        <f>Hotel!U28</f>
        <v>202</v>
      </c>
      <c r="K21" s="11">
        <f>Hotel!Y28</f>
        <v>159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3</v>
      </c>
      <c r="D22" s="10">
        <v>2022</v>
      </c>
      <c r="E22" s="11">
        <f>Hotel!D29</f>
        <v>3034</v>
      </c>
      <c r="F22" s="11">
        <f>Hotel!F29</f>
        <v>3085</v>
      </c>
      <c r="G22" s="11">
        <f>Hotel!H29</f>
        <v>2975</v>
      </c>
      <c r="H22" s="11">
        <f>Hotel!N29</f>
        <v>119</v>
      </c>
      <c r="I22" s="11">
        <f>Hotel!P29</f>
        <v>2112</v>
      </c>
      <c r="J22" s="11">
        <f>Hotel!U29</f>
        <v>218</v>
      </c>
      <c r="K22" s="11">
        <f>Hotel!Y29</f>
        <v>170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3</v>
      </c>
      <c r="D23" s="10">
        <v>2022</v>
      </c>
      <c r="E23" s="11">
        <f>Hotel!D30</f>
        <v>3292</v>
      </c>
      <c r="F23" s="11">
        <f>Hotel!F30</f>
        <v>3252</v>
      </c>
      <c r="G23" s="11">
        <f>Hotel!H30</f>
        <v>3078</v>
      </c>
      <c r="H23" s="11">
        <f>Hotel!N30</f>
        <v>134</v>
      </c>
      <c r="I23" s="11">
        <f>Hotel!P30</f>
        <v>2389</v>
      </c>
      <c r="J23" s="11">
        <f>Hotel!U30</f>
        <v>243</v>
      </c>
      <c r="K23" s="11">
        <f>Hotel!Y30</f>
        <v>171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3</v>
      </c>
      <c r="D24" s="10">
        <v>2022</v>
      </c>
      <c r="E24" s="11">
        <f>Hotel!D31</f>
        <v>3322</v>
      </c>
      <c r="F24" s="11">
        <f>Hotel!F31</f>
        <v>3283</v>
      </c>
      <c r="G24" s="11">
        <f>Hotel!H31</f>
        <v>3123</v>
      </c>
      <c r="H24" s="11">
        <f>Hotel!N31</f>
        <v>111</v>
      </c>
      <c r="I24" s="11">
        <f>Hotel!P31</f>
        <v>2376</v>
      </c>
      <c r="J24" s="11">
        <f>Hotel!U31</f>
        <v>207</v>
      </c>
      <c r="K24" s="11">
        <f>Hotel!Y31</f>
        <v>155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3</v>
      </c>
      <c r="D25" s="10">
        <v>2022</v>
      </c>
      <c r="E25" s="11">
        <f>Hotel!D32</f>
        <v>3485</v>
      </c>
      <c r="F25" s="11">
        <f>Hotel!F32</f>
        <v>3464</v>
      </c>
      <c r="G25" s="11">
        <f>Hotel!H32</f>
        <v>3282</v>
      </c>
      <c r="H25" s="11">
        <f>Hotel!N32</f>
        <v>121</v>
      </c>
      <c r="I25" s="11">
        <f>Hotel!P32</f>
        <v>2582</v>
      </c>
      <c r="J25" s="11">
        <f>Hotel!U32</f>
        <v>288</v>
      </c>
      <c r="K25" s="11">
        <f>Hotel!Y32</f>
        <v>151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3</v>
      </c>
      <c r="D26" s="10">
        <v>2022</v>
      </c>
      <c r="E26" s="11">
        <f>Hotel!D33</f>
        <v>3415</v>
      </c>
      <c r="F26" s="11">
        <f>Hotel!F33</f>
        <v>3403</v>
      </c>
      <c r="G26" s="11">
        <f>Hotel!H33</f>
        <v>3216</v>
      </c>
      <c r="H26" s="11">
        <f>Hotel!N33</f>
        <v>124</v>
      </c>
      <c r="I26" s="11">
        <f>Hotel!P33</f>
        <v>2451</v>
      </c>
      <c r="J26" s="11">
        <f>Hotel!U33</f>
        <v>306</v>
      </c>
      <c r="K26" s="11">
        <f>Hotel!Y33</f>
        <v>175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3</v>
      </c>
      <c r="D27" s="10">
        <v>2022</v>
      </c>
      <c r="E27" s="11">
        <f>Hotel!D34</f>
        <v>3416</v>
      </c>
      <c r="F27" s="11">
        <f>Hotel!F34</f>
        <v>3401</v>
      </c>
      <c r="G27" s="11">
        <f>Hotel!H34</f>
        <v>3191</v>
      </c>
      <c r="H27" s="11">
        <f>Hotel!N34</f>
        <v>134</v>
      </c>
      <c r="I27" s="11">
        <f>Hotel!P34</f>
        <v>2368</v>
      </c>
      <c r="J27" s="11">
        <f>Hotel!U34</f>
        <v>253</v>
      </c>
      <c r="K27" s="11">
        <f>Hotel!Y34</f>
        <v>167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3</v>
      </c>
      <c r="D28" s="10">
        <v>2022</v>
      </c>
      <c r="E28" s="11">
        <f>Hotel!D35</f>
        <v>3189</v>
      </c>
      <c r="F28" s="11">
        <f>Hotel!F35</f>
        <v>3178</v>
      </c>
      <c r="G28" s="11">
        <f>Hotel!H35</f>
        <v>2993</v>
      </c>
      <c r="H28" s="11">
        <f>Hotel!N35</f>
        <v>142</v>
      </c>
      <c r="I28" s="11">
        <f>Hotel!P35</f>
        <v>2008</v>
      </c>
      <c r="J28" s="11">
        <f>Hotel!U35</f>
        <v>350</v>
      </c>
      <c r="K28" s="11">
        <f>Hotel!Y35</f>
        <v>156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3</v>
      </c>
      <c r="D29" s="10">
        <v>2022</v>
      </c>
      <c r="E29" s="11">
        <f>Hotel!D36</f>
        <v>3265</v>
      </c>
      <c r="F29" s="11">
        <f>Hotel!F36</f>
        <v>3269</v>
      </c>
      <c r="G29" s="11">
        <f>Hotel!H36</f>
        <v>3071</v>
      </c>
      <c r="H29" s="11">
        <f>Hotel!N36</f>
        <v>129</v>
      </c>
      <c r="I29" s="11">
        <f>Hotel!P36</f>
        <v>1966</v>
      </c>
      <c r="J29" s="11">
        <f>Hotel!U36</f>
        <v>208</v>
      </c>
      <c r="K29" s="11">
        <f>Hotel!Y36</f>
        <v>139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0"/>
  <sheetViews>
    <sheetView zoomScale="91" zoomScaleNormal="91" workbookViewId="0">
      <selection activeCell="AB9" sqref="AB9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2022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6410439</v>
      </c>
      <c r="D6" s="28"/>
      <c r="E6" s="29">
        <v>6359433</v>
      </c>
      <c r="F6" s="30"/>
      <c r="G6" s="122">
        <v>6004099</v>
      </c>
      <c r="H6" s="31">
        <f>G6-G5</f>
        <v>6004099</v>
      </c>
      <c r="I6" s="32"/>
      <c r="J6" s="33">
        <f>D6+F6+H6</f>
        <v>6004099</v>
      </c>
      <c r="K6" s="33" t="e">
        <f>D6*0.152+F6*0.238+H6*0.115+#REF!*0.218</f>
        <v>#REF!</v>
      </c>
      <c r="L6" s="34"/>
      <c r="M6" s="35">
        <v>174744</v>
      </c>
      <c r="N6" s="31" t="e">
        <f>M6-#REF!</f>
        <v>#REF!</v>
      </c>
      <c r="O6" s="36">
        <v>2613906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341138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6413630</v>
      </c>
      <c r="D9" s="61">
        <f>IF((C9-C6&lt;0), "0",C9-C6)</f>
        <v>3191</v>
      </c>
      <c r="E9" s="62">
        <v>6362613</v>
      </c>
      <c r="F9" s="61">
        <f>IF((E9-E6&lt;0), "0",E9-E6)</f>
        <v>3180</v>
      </c>
      <c r="G9" s="63">
        <v>6007154</v>
      </c>
      <c r="H9" s="61">
        <f>IF((G9-G6&lt;0), "0",G9-G6)</f>
        <v>3055</v>
      </c>
      <c r="I9" s="60">
        <f>H9+F9+D9</f>
        <v>9426</v>
      </c>
      <c r="J9" s="64">
        <v>0.99</v>
      </c>
      <c r="K9" s="65">
        <f>I9*0.251</f>
        <v>2365.9259999999999</v>
      </c>
      <c r="L9" s="66"/>
      <c r="M9" s="60">
        <v>174874</v>
      </c>
      <c r="N9" s="61">
        <f>IF((M9-M6&lt;0), "0",M9-M6)</f>
        <v>130</v>
      </c>
      <c r="O9" s="60">
        <v>2616023</v>
      </c>
      <c r="P9" s="61">
        <f>IF((O9-O6&lt;0), "0",O9-O6)</f>
        <v>2117</v>
      </c>
      <c r="Q9" s="67">
        <f t="shared" ref="Q9:Q39" si="0">N9+P9</f>
        <v>2247</v>
      </c>
      <c r="R9" s="68">
        <f>(P9+N9*1.2285)*0.056*10.127</f>
        <v>1291.1467259600001</v>
      </c>
      <c r="S9" s="69"/>
      <c r="T9" s="70">
        <v>341325</v>
      </c>
      <c r="U9" s="61">
        <f>IF((T9-T6&lt;0), "0",T9-T6)</f>
        <v>187</v>
      </c>
      <c r="V9" s="71">
        <f>U9*(1.315+1.54)</f>
        <v>533.88499999999999</v>
      </c>
      <c r="W9" s="72"/>
      <c r="X9" s="73">
        <f t="shared" ref="X9:X39" si="1">K9+R9+V9</f>
        <v>4190.9577259600001</v>
      </c>
      <c r="Y9" s="74">
        <v>190</v>
      </c>
      <c r="Z9" s="75">
        <f>X9/Y9</f>
        <v>22.057672241894736</v>
      </c>
    </row>
    <row r="10" spans="1:27" x14ac:dyDescent="0.25">
      <c r="A10" s="10" t="s">
        <v>120</v>
      </c>
      <c r="B10" s="59">
        <f>B9+1</f>
        <v>2</v>
      </c>
      <c r="C10" s="62">
        <v>6416755</v>
      </c>
      <c r="D10" s="61">
        <f t="shared" ref="D10:D39" si="2">IF((C10-C9&lt;0), "0",C10-C9)</f>
        <v>3125</v>
      </c>
      <c r="E10" s="62">
        <v>6365725</v>
      </c>
      <c r="F10" s="61">
        <f>IF((E10-E9&lt;0), "0",E10-E9)</f>
        <v>3112</v>
      </c>
      <c r="G10" s="63">
        <v>6010138</v>
      </c>
      <c r="H10" s="61">
        <f t="shared" ref="H10:H39" si="3">IF((G10-G9&lt;0), "0",G10-G9)</f>
        <v>2984</v>
      </c>
      <c r="I10" s="60">
        <f t="shared" ref="I10:I39" si="4">H10+F10+D10</f>
        <v>9221</v>
      </c>
      <c r="J10" s="64">
        <v>0.99</v>
      </c>
      <c r="K10" s="65">
        <f t="shared" ref="K10:K39" si="5">I10*0.251</f>
        <v>2314.471</v>
      </c>
      <c r="L10" s="66"/>
      <c r="M10" s="60">
        <v>175011</v>
      </c>
      <c r="N10" s="61">
        <f>IF((M10-M9&lt;0), "0",M10-M9)</f>
        <v>137</v>
      </c>
      <c r="O10" s="60">
        <v>2618204</v>
      </c>
      <c r="P10" s="61">
        <f>IF((O10-O9&lt;0), "0",O10-O9)</f>
        <v>2181</v>
      </c>
      <c r="Q10" s="67">
        <f t="shared" si="0"/>
        <v>2318</v>
      </c>
      <c r="R10" s="68">
        <f t="shared" ref="R10:R39" si="6">(P10+N10*1.2285)*0.056*10.127</f>
        <v>1332.3187736040002</v>
      </c>
      <c r="S10" s="69"/>
      <c r="T10" s="70">
        <v>341528</v>
      </c>
      <c r="U10" s="61">
        <f>IF((T10-T9&lt;0), "0",T10-T9)</f>
        <v>203</v>
      </c>
      <c r="V10" s="71">
        <f t="shared" ref="V10:V39" si="7">U10*(1.315+1.54)</f>
        <v>579.56499999999994</v>
      </c>
      <c r="W10" s="72"/>
      <c r="X10" s="77">
        <f t="shared" si="1"/>
        <v>4226.354773604</v>
      </c>
      <c r="Y10" s="78">
        <v>190</v>
      </c>
      <c r="Z10" s="79">
        <f t="shared" ref="Z10:Z39" si="8">X10/Y10</f>
        <v>22.243972492652631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6419733</v>
      </c>
      <c r="D11" s="61">
        <f t="shared" si="2"/>
        <v>2978</v>
      </c>
      <c r="E11" s="62">
        <v>6368673</v>
      </c>
      <c r="F11" s="61">
        <f t="shared" ref="F11:F39" si="10">IF((E11-E10&lt;0), "0",E11-E10)</f>
        <v>2948</v>
      </c>
      <c r="G11" s="63">
        <v>6012954</v>
      </c>
      <c r="H11" s="61">
        <f t="shared" si="3"/>
        <v>2816</v>
      </c>
      <c r="I11" s="60">
        <f t="shared" si="4"/>
        <v>8742</v>
      </c>
      <c r="J11" s="64">
        <v>0.99</v>
      </c>
      <c r="K11" s="65">
        <f t="shared" si="5"/>
        <v>2194.2420000000002</v>
      </c>
      <c r="L11" s="66"/>
      <c r="M11" s="60">
        <v>175117</v>
      </c>
      <c r="N11" s="61">
        <f t="shared" ref="N11:N39" si="11">IF((M11-M10&lt;0), "0",M11-M10)</f>
        <v>106</v>
      </c>
      <c r="O11" s="60">
        <v>2620318</v>
      </c>
      <c r="P11" s="61">
        <f t="shared" ref="P11:P39" si="12">IF((O11-O10&lt;0), "0",O11-O10)</f>
        <v>2114</v>
      </c>
      <c r="Q11" s="67">
        <f t="shared" si="0"/>
        <v>2220</v>
      </c>
      <c r="R11" s="68">
        <f t="shared" si="6"/>
        <v>1272.7246597520002</v>
      </c>
      <c r="S11" s="69"/>
      <c r="T11" s="70">
        <v>341735</v>
      </c>
      <c r="U11" s="61">
        <f t="shared" ref="U11:U39" si="13">IF((T11-T10&lt;0), "0",T11-T10)</f>
        <v>207</v>
      </c>
      <c r="V11" s="71">
        <f t="shared" si="7"/>
        <v>590.98500000000001</v>
      </c>
      <c r="W11" s="72"/>
      <c r="X11" s="77">
        <f t="shared" si="1"/>
        <v>4057.9516597520005</v>
      </c>
      <c r="Y11" s="78">
        <v>188</v>
      </c>
      <c r="Z11" s="79">
        <f t="shared" si="8"/>
        <v>21.584849254000002</v>
      </c>
    </row>
    <row r="12" spans="1:27" x14ac:dyDescent="0.25">
      <c r="A12" s="10" t="s">
        <v>96</v>
      </c>
      <c r="B12" s="59">
        <f t="shared" si="9"/>
        <v>4</v>
      </c>
      <c r="C12" s="62">
        <v>6422738</v>
      </c>
      <c r="D12" s="61">
        <f t="shared" si="2"/>
        <v>3005</v>
      </c>
      <c r="E12" s="62">
        <v>6371656</v>
      </c>
      <c r="F12" s="61">
        <f t="shared" si="10"/>
        <v>2983</v>
      </c>
      <c r="G12" s="63">
        <v>6015838</v>
      </c>
      <c r="H12" s="61">
        <f t="shared" si="3"/>
        <v>2884</v>
      </c>
      <c r="I12" s="60">
        <f t="shared" si="4"/>
        <v>8872</v>
      </c>
      <c r="J12" s="64">
        <v>0.99</v>
      </c>
      <c r="K12" s="65">
        <f t="shared" si="5"/>
        <v>2226.8719999999998</v>
      </c>
      <c r="L12" s="66"/>
      <c r="M12" s="60">
        <v>175226</v>
      </c>
      <c r="N12" s="61">
        <f t="shared" si="11"/>
        <v>109</v>
      </c>
      <c r="O12" s="60">
        <v>2622418</v>
      </c>
      <c r="P12" s="61">
        <f t="shared" si="12"/>
        <v>2100</v>
      </c>
      <c r="Q12" s="67">
        <f t="shared" si="0"/>
        <v>2209</v>
      </c>
      <c r="R12" s="68">
        <f t="shared" si="6"/>
        <v>1266.875183028</v>
      </c>
      <c r="S12" s="69"/>
      <c r="T12" s="70">
        <v>341943</v>
      </c>
      <c r="U12" s="61">
        <f t="shared" si="13"/>
        <v>208</v>
      </c>
      <c r="V12" s="71">
        <f t="shared" si="7"/>
        <v>593.84</v>
      </c>
      <c r="W12" s="72"/>
      <c r="X12" s="77">
        <f t="shared" si="1"/>
        <v>4087.5871830280003</v>
      </c>
      <c r="Y12" s="78">
        <v>84</v>
      </c>
      <c r="Z12" s="79">
        <f t="shared" si="8"/>
        <v>48.661752178904763</v>
      </c>
    </row>
    <row r="13" spans="1:27" x14ac:dyDescent="0.25">
      <c r="A13" s="10" t="s">
        <v>116</v>
      </c>
      <c r="B13" s="59">
        <f t="shared" si="9"/>
        <v>5</v>
      </c>
      <c r="C13" s="62">
        <v>6425844</v>
      </c>
      <c r="D13" s="61">
        <f t="shared" si="2"/>
        <v>3106</v>
      </c>
      <c r="E13" s="62">
        <v>6374735</v>
      </c>
      <c r="F13" s="61">
        <f t="shared" si="10"/>
        <v>3079</v>
      </c>
      <c r="G13" s="63">
        <v>6018726</v>
      </c>
      <c r="H13" s="61">
        <f t="shared" si="3"/>
        <v>2888</v>
      </c>
      <c r="I13" s="60">
        <f t="shared" si="4"/>
        <v>9073</v>
      </c>
      <c r="J13" s="64">
        <v>0.99</v>
      </c>
      <c r="K13" s="65">
        <f t="shared" si="5"/>
        <v>2277.3229999999999</v>
      </c>
      <c r="L13" s="66"/>
      <c r="M13" s="60">
        <v>175337</v>
      </c>
      <c r="N13" s="61">
        <f t="shared" si="11"/>
        <v>111</v>
      </c>
      <c r="O13" s="60">
        <v>2624864</v>
      </c>
      <c r="P13" s="61">
        <f t="shared" si="12"/>
        <v>2446</v>
      </c>
      <c r="Q13" s="67">
        <f t="shared" si="0"/>
        <v>2557</v>
      </c>
      <c r="R13" s="68">
        <f t="shared" si="6"/>
        <v>1464.4893292120003</v>
      </c>
      <c r="S13" s="69"/>
      <c r="T13" s="70">
        <v>342105</v>
      </c>
      <c r="U13" s="61">
        <f t="shared" si="13"/>
        <v>162</v>
      </c>
      <c r="V13" s="71">
        <f t="shared" si="7"/>
        <v>462.51</v>
      </c>
      <c r="W13" s="72"/>
      <c r="X13" s="77">
        <f t="shared" si="1"/>
        <v>4204.3223292120001</v>
      </c>
      <c r="Y13" s="78">
        <v>84</v>
      </c>
      <c r="Z13" s="79">
        <f t="shared" si="8"/>
        <v>50.05145630014286</v>
      </c>
    </row>
    <row r="14" spans="1:27" x14ac:dyDescent="0.25">
      <c r="A14" s="10" t="s">
        <v>117</v>
      </c>
      <c r="B14" s="59">
        <f t="shared" si="9"/>
        <v>6</v>
      </c>
      <c r="C14" s="62">
        <v>6428986</v>
      </c>
      <c r="D14" s="61">
        <f t="shared" si="2"/>
        <v>3142</v>
      </c>
      <c r="E14" s="62">
        <v>6377857</v>
      </c>
      <c r="F14" s="61">
        <f t="shared" si="10"/>
        <v>3122</v>
      </c>
      <c r="G14" s="63">
        <v>6021685</v>
      </c>
      <c r="H14" s="61">
        <f t="shared" si="3"/>
        <v>2959</v>
      </c>
      <c r="I14" s="60">
        <f t="shared" si="4"/>
        <v>9223</v>
      </c>
      <c r="J14" s="64">
        <v>0.99</v>
      </c>
      <c r="K14" s="65">
        <f t="shared" si="5"/>
        <v>2314.973</v>
      </c>
      <c r="L14" s="66"/>
      <c r="M14" s="60">
        <v>175459</v>
      </c>
      <c r="N14" s="61">
        <f t="shared" si="11"/>
        <v>122</v>
      </c>
      <c r="O14" s="60">
        <v>2626898</v>
      </c>
      <c r="P14" s="61">
        <f t="shared" si="12"/>
        <v>2034</v>
      </c>
      <c r="Q14" s="67">
        <f t="shared" si="0"/>
        <v>2156</v>
      </c>
      <c r="R14" s="68">
        <f t="shared" si="6"/>
        <v>1238.5028532240001</v>
      </c>
      <c r="S14" s="69"/>
      <c r="T14" s="70">
        <v>342319</v>
      </c>
      <c r="U14" s="61">
        <f t="shared" si="13"/>
        <v>214</v>
      </c>
      <c r="V14" s="71">
        <f t="shared" si="7"/>
        <v>610.97</v>
      </c>
      <c r="W14" s="72"/>
      <c r="X14" s="77">
        <f t="shared" si="1"/>
        <v>4164.4458532240005</v>
      </c>
      <c r="Y14" s="78">
        <v>93</v>
      </c>
      <c r="Z14" s="79">
        <f t="shared" si="8"/>
        <v>44.778987669075278</v>
      </c>
    </row>
    <row r="15" spans="1:27" x14ac:dyDescent="0.25">
      <c r="A15" s="10" t="s">
        <v>118</v>
      </c>
      <c r="B15" s="59">
        <f t="shared" si="9"/>
        <v>7</v>
      </c>
      <c r="C15" s="62">
        <v>6432168</v>
      </c>
      <c r="D15" s="61">
        <f t="shared" si="2"/>
        <v>3182</v>
      </c>
      <c r="E15" s="62">
        <v>6381009</v>
      </c>
      <c r="F15" s="61">
        <f t="shared" si="10"/>
        <v>3152</v>
      </c>
      <c r="G15" s="63">
        <v>6024684</v>
      </c>
      <c r="H15" s="61">
        <f t="shared" si="3"/>
        <v>2999</v>
      </c>
      <c r="I15" s="60">
        <f t="shared" si="4"/>
        <v>9333</v>
      </c>
      <c r="J15" s="64">
        <v>0.99</v>
      </c>
      <c r="K15" s="65">
        <f t="shared" si="5"/>
        <v>2342.5830000000001</v>
      </c>
      <c r="L15" s="66"/>
      <c r="M15" s="60">
        <v>175573</v>
      </c>
      <c r="N15" s="61">
        <f t="shared" si="11"/>
        <v>114</v>
      </c>
      <c r="O15" s="60">
        <v>2629212</v>
      </c>
      <c r="P15" s="61">
        <f t="shared" si="12"/>
        <v>2314</v>
      </c>
      <c r="Q15" s="67">
        <f t="shared" si="0"/>
        <v>2428</v>
      </c>
      <c r="R15" s="68">
        <f t="shared" si="6"/>
        <v>1391.7206364880003</v>
      </c>
      <c r="S15" s="69"/>
      <c r="T15" s="70">
        <v>342538</v>
      </c>
      <c r="U15" s="61">
        <f t="shared" si="13"/>
        <v>219</v>
      </c>
      <c r="V15" s="71">
        <f t="shared" si="7"/>
        <v>625.245</v>
      </c>
      <c r="W15" s="72"/>
      <c r="X15" s="77">
        <f t="shared" si="1"/>
        <v>4359.5486364880007</v>
      </c>
      <c r="Y15" s="78">
        <v>83</v>
      </c>
      <c r="Z15" s="79">
        <f t="shared" si="8"/>
        <v>52.524682367325312</v>
      </c>
    </row>
    <row r="16" spans="1:27" x14ac:dyDescent="0.25">
      <c r="A16" s="10" t="s">
        <v>119</v>
      </c>
      <c r="B16" s="59">
        <f t="shared" si="9"/>
        <v>8</v>
      </c>
      <c r="C16" s="62">
        <v>6435207</v>
      </c>
      <c r="D16" s="61">
        <f t="shared" si="2"/>
        <v>3039</v>
      </c>
      <c r="E16" s="62">
        <v>6384013</v>
      </c>
      <c r="F16" s="61">
        <f t="shared" si="10"/>
        <v>3004</v>
      </c>
      <c r="G16" s="63">
        <v>6027566</v>
      </c>
      <c r="H16" s="61">
        <f t="shared" si="3"/>
        <v>2882</v>
      </c>
      <c r="I16" s="60">
        <f t="shared" si="4"/>
        <v>8925</v>
      </c>
      <c r="J16" s="64">
        <v>0.99</v>
      </c>
      <c r="K16" s="65">
        <f t="shared" si="5"/>
        <v>2240.1750000000002</v>
      </c>
      <c r="L16" s="66"/>
      <c r="M16" s="60">
        <v>175686</v>
      </c>
      <c r="N16" s="61">
        <f t="shared" si="11"/>
        <v>113</v>
      </c>
      <c r="O16" s="60">
        <v>2631270</v>
      </c>
      <c r="P16" s="61">
        <f t="shared" si="12"/>
        <v>2058</v>
      </c>
      <c r="Q16" s="67">
        <f t="shared" si="0"/>
        <v>2171</v>
      </c>
      <c r="R16" s="68">
        <f t="shared" si="6"/>
        <v>1245.8432673960001</v>
      </c>
      <c r="S16" s="69"/>
      <c r="T16" s="70">
        <v>342726</v>
      </c>
      <c r="U16" s="61">
        <f t="shared" si="13"/>
        <v>188</v>
      </c>
      <c r="V16" s="71">
        <f t="shared" si="7"/>
        <v>536.74</v>
      </c>
      <c r="W16" s="72"/>
      <c r="X16" s="77">
        <f t="shared" si="1"/>
        <v>4022.7582673960005</v>
      </c>
      <c r="Y16" s="78">
        <v>77</v>
      </c>
      <c r="Z16" s="79">
        <f t="shared" si="8"/>
        <v>52.24361386228572</v>
      </c>
    </row>
    <row r="17" spans="1:26" x14ac:dyDescent="0.25">
      <c r="A17" s="10" t="s">
        <v>120</v>
      </c>
      <c r="B17" s="59">
        <v>9</v>
      </c>
      <c r="C17" s="62">
        <v>6438206</v>
      </c>
      <c r="D17" s="61">
        <f t="shared" si="2"/>
        <v>2999</v>
      </c>
      <c r="E17" s="62">
        <v>6387016</v>
      </c>
      <c r="F17" s="61">
        <f t="shared" si="10"/>
        <v>3003</v>
      </c>
      <c r="G17" s="63">
        <v>6030408</v>
      </c>
      <c r="H17" s="61">
        <f t="shared" si="3"/>
        <v>2842</v>
      </c>
      <c r="I17" s="60">
        <f t="shared" si="4"/>
        <v>8844</v>
      </c>
      <c r="J17" s="64">
        <v>0.99</v>
      </c>
      <c r="K17" s="65">
        <f t="shared" si="5"/>
        <v>2219.8440000000001</v>
      </c>
      <c r="L17" s="66"/>
      <c r="M17" s="60">
        <v>175789</v>
      </c>
      <c r="N17" s="61">
        <f t="shared" si="11"/>
        <v>103</v>
      </c>
      <c r="O17" s="60">
        <v>2633454</v>
      </c>
      <c r="P17" s="61">
        <f t="shared" si="12"/>
        <v>2184</v>
      </c>
      <c r="Q17" s="67">
        <f t="shared" si="0"/>
        <v>2287</v>
      </c>
      <c r="R17" s="68">
        <f t="shared" si="6"/>
        <v>1310.332408476</v>
      </c>
      <c r="S17" s="69"/>
      <c r="T17" s="70">
        <v>342895</v>
      </c>
      <c r="U17" s="61">
        <f t="shared" si="13"/>
        <v>169</v>
      </c>
      <c r="V17" s="71">
        <f t="shared" si="7"/>
        <v>482.495</v>
      </c>
      <c r="W17" s="72"/>
      <c r="X17" s="77">
        <f t="shared" si="1"/>
        <v>4012.6714084759997</v>
      </c>
      <c r="Y17" s="78">
        <v>88</v>
      </c>
      <c r="Z17" s="79">
        <f t="shared" si="8"/>
        <v>45.598538732681817</v>
      </c>
    </row>
    <row r="18" spans="1:26" x14ac:dyDescent="0.25">
      <c r="A18" s="10" t="s">
        <v>121</v>
      </c>
      <c r="B18" s="80">
        <f t="shared" si="9"/>
        <v>10</v>
      </c>
      <c r="C18" s="62">
        <v>6441291</v>
      </c>
      <c r="D18" s="61">
        <f t="shared" si="2"/>
        <v>3085</v>
      </c>
      <c r="E18" s="62">
        <v>6390085</v>
      </c>
      <c r="F18" s="61">
        <f t="shared" si="10"/>
        <v>3069</v>
      </c>
      <c r="G18" s="63">
        <v>6033306</v>
      </c>
      <c r="H18" s="61">
        <f t="shared" si="3"/>
        <v>2898</v>
      </c>
      <c r="I18" s="60">
        <f t="shared" si="4"/>
        <v>9052</v>
      </c>
      <c r="J18" s="64">
        <v>0.99</v>
      </c>
      <c r="K18" s="65">
        <f t="shared" si="5"/>
        <v>2272.0520000000001</v>
      </c>
      <c r="L18" s="81"/>
      <c r="M18" s="60">
        <v>175914</v>
      </c>
      <c r="N18" s="61">
        <f t="shared" si="11"/>
        <v>125</v>
      </c>
      <c r="O18" s="60">
        <v>2635655</v>
      </c>
      <c r="P18" s="61">
        <f t="shared" si="12"/>
        <v>2201</v>
      </c>
      <c r="Q18" s="67">
        <f t="shared" si="0"/>
        <v>2326</v>
      </c>
      <c r="R18" s="68">
        <f t="shared" si="6"/>
        <v>1335.3006485000001</v>
      </c>
      <c r="S18" s="82"/>
      <c r="T18" s="70">
        <v>343114</v>
      </c>
      <c r="U18" s="61">
        <f t="shared" si="13"/>
        <v>219</v>
      </c>
      <c r="V18" s="71">
        <f t="shared" si="7"/>
        <v>625.245</v>
      </c>
      <c r="W18" s="72"/>
      <c r="X18" s="77">
        <f t="shared" si="1"/>
        <v>4232.5976485000001</v>
      </c>
      <c r="Y18" s="78">
        <v>86</v>
      </c>
      <c r="Z18" s="83">
        <f t="shared" si="8"/>
        <v>49.21625172674419</v>
      </c>
    </row>
    <row r="19" spans="1:26" x14ac:dyDescent="0.25">
      <c r="A19" s="10" t="s">
        <v>96</v>
      </c>
      <c r="B19" s="84">
        <f t="shared" si="9"/>
        <v>11</v>
      </c>
      <c r="C19" s="62">
        <v>6444497</v>
      </c>
      <c r="D19" s="61">
        <f t="shared" si="2"/>
        <v>3206</v>
      </c>
      <c r="E19" s="62">
        <v>6393282</v>
      </c>
      <c r="F19" s="61">
        <f t="shared" si="10"/>
        <v>3197</v>
      </c>
      <c r="G19" s="63">
        <v>6036326</v>
      </c>
      <c r="H19" s="61">
        <f t="shared" si="3"/>
        <v>3020</v>
      </c>
      <c r="I19" s="60">
        <f t="shared" si="4"/>
        <v>9423</v>
      </c>
      <c r="J19" s="64">
        <v>0.99</v>
      </c>
      <c r="K19" s="65">
        <f t="shared" si="5"/>
        <v>2365.1730000000002</v>
      </c>
      <c r="L19" s="66"/>
      <c r="M19" s="60">
        <v>176030</v>
      </c>
      <c r="N19" s="61">
        <f t="shared" si="11"/>
        <v>116</v>
      </c>
      <c r="O19" s="60">
        <v>2637818</v>
      </c>
      <c r="P19" s="61">
        <f t="shared" si="12"/>
        <v>2163</v>
      </c>
      <c r="Q19" s="67">
        <f t="shared" si="0"/>
        <v>2279</v>
      </c>
      <c r="R19" s="68">
        <f t="shared" si="6"/>
        <v>1307.4801186720001</v>
      </c>
      <c r="S19" s="69"/>
      <c r="T19" s="70">
        <v>343361</v>
      </c>
      <c r="U19" s="61">
        <f t="shared" si="13"/>
        <v>247</v>
      </c>
      <c r="V19" s="71">
        <f t="shared" si="7"/>
        <v>705.18499999999995</v>
      </c>
      <c r="W19" s="72"/>
      <c r="X19" s="77">
        <f t="shared" si="1"/>
        <v>4377.8381186719998</v>
      </c>
      <c r="Y19" s="78">
        <v>103</v>
      </c>
      <c r="Z19" s="75">
        <f t="shared" si="8"/>
        <v>42.503282705553396</v>
      </c>
    </row>
    <row r="20" spans="1:26" x14ac:dyDescent="0.25">
      <c r="A20" s="10" t="s">
        <v>116</v>
      </c>
      <c r="B20" s="59">
        <f t="shared" si="9"/>
        <v>12</v>
      </c>
      <c r="C20" s="62">
        <v>6447835</v>
      </c>
      <c r="D20" s="61">
        <f t="shared" si="2"/>
        <v>3338</v>
      </c>
      <c r="E20" s="62">
        <v>6396602</v>
      </c>
      <c r="F20" s="61">
        <f t="shared" si="10"/>
        <v>3320</v>
      </c>
      <c r="G20" s="63">
        <v>6039470</v>
      </c>
      <c r="H20" s="61">
        <f t="shared" si="3"/>
        <v>3144</v>
      </c>
      <c r="I20" s="60">
        <f t="shared" si="4"/>
        <v>9802</v>
      </c>
      <c r="J20" s="64">
        <v>0.99</v>
      </c>
      <c r="K20" s="65">
        <f t="shared" si="5"/>
        <v>2460.3020000000001</v>
      </c>
      <c r="L20" s="66"/>
      <c r="M20" s="60">
        <v>176159</v>
      </c>
      <c r="N20" s="61">
        <f t="shared" si="11"/>
        <v>129</v>
      </c>
      <c r="O20" s="60">
        <v>2640088</v>
      </c>
      <c r="P20" s="61">
        <f t="shared" si="12"/>
        <v>2270</v>
      </c>
      <c r="Q20" s="67">
        <f t="shared" si="0"/>
        <v>2399</v>
      </c>
      <c r="R20" s="68">
        <f t="shared" si="6"/>
        <v>1377.2181648679998</v>
      </c>
      <c r="S20" s="69"/>
      <c r="T20" s="70">
        <v>343571</v>
      </c>
      <c r="U20" s="61">
        <f t="shared" si="13"/>
        <v>210</v>
      </c>
      <c r="V20" s="71">
        <f t="shared" si="7"/>
        <v>599.54999999999995</v>
      </c>
      <c r="W20" s="72"/>
      <c r="X20" s="77">
        <f t="shared" si="1"/>
        <v>4437.0701648679997</v>
      </c>
      <c r="Y20" s="78">
        <v>98</v>
      </c>
      <c r="Z20" s="79">
        <f t="shared" si="8"/>
        <v>45.276226172122449</v>
      </c>
    </row>
    <row r="21" spans="1:26" x14ac:dyDescent="0.25">
      <c r="A21" s="10" t="s">
        <v>117</v>
      </c>
      <c r="B21" s="59">
        <f t="shared" si="9"/>
        <v>13</v>
      </c>
      <c r="C21" s="62">
        <v>6451024</v>
      </c>
      <c r="D21" s="61">
        <f t="shared" si="2"/>
        <v>3189</v>
      </c>
      <c r="E21" s="62">
        <v>6399774</v>
      </c>
      <c r="F21" s="61">
        <f t="shared" si="10"/>
        <v>3172</v>
      </c>
      <c r="G21" s="63">
        <v>6042485</v>
      </c>
      <c r="H21" s="61">
        <f t="shared" si="3"/>
        <v>3015</v>
      </c>
      <c r="I21" s="60">
        <f t="shared" si="4"/>
        <v>9376</v>
      </c>
      <c r="J21" s="64">
        <v>0.99</v>
      </c>
      <c r="K21" s="65">
        <f t="shared" si="5"/>
        <v>2353.3760000000002</v>
      </c>
      <c r="L21" s="66"/>
      <c r="M21" s="60">
        <v>176283</v>
      </c>
      <c r="N21" s="61">
        <f t="shared" si="11"/>
        <v>124</v>
      </c>
      <c r="O21" s="60">
        <v>2642506</v>
      </c>
      <c r="P21" s="61">
        <f t="shared" si="12"/>
        <v>2418</v>
      </c>
      <c r="Q21" s="67">
        <f t="shared" si="0"/>
        <v>2542</v>
      </c>
      <c r="R21" s="68">
        <f t="shared" si="6"/>
        <v>1457.6672554080001</v>
      </c>
      <c r="S21" s="69"/>
      <c r="T21" s="70">
        <v>343780</v>
      </c>
      <c r="U21" s="61">
        <f t="shared" si="13"/>
        <v>209</v>
      </c>
      <c r="V21" s="71">
        <f t="shared" si="7"/>
        <v>596.69500000000005</v>
      </c>
      <c r="W21" s="72"/>
      <c r="X21" s="77">
        <f t="shared" si="1"/>
        <v>4407.7382554080004</v>
      </c>
      <c r="Y21" s="78">
        <v>129</v>
      </c>
      <c r="Z21" s="79">
        <f t="shared" si="8"/>
        <v>34.168513607813956</v>
      </c>
    </row>
    <row r="22" spans="1:26" x14ac:dyDescent="0.25">
      <c r="A22" s="10" t="s">
        <v>118</v>
      </c>
      <c r="B22" s="59">
        <f t="shared" si="9"/>
        <v>14</v>
      </c>
      <c r="C22" s="62">
        <v>6454242</v>
      </c>
      <c r="D22" s="61">
        <f t="shared" si="2"/>
        <v>3218</v>
      </c>
      <c r="E22" s="62">
        <v>6402936</v>
      </c>
      <c r="F22" s="61">
        <f t="shared" si="10"/>
        <v>3162</v>
      </c>
      <c r="G22" s="63">
        <v>6045489</v>
      </c>
      <c r="H22" s="61">
        <f t="shared" si="3"/>
        <v>3004</v>
      </c>
      <c r="I22" s="60">
        <f t="shared" si="4"/>
        <v>9384</v>
      </c>
      <c r="J22" s="64">
        <v>0.99</v>
      </c>
      <c r="K22" s="65">
        <f t="shared" si="5"/>
        <v>2355.384</v>
      </c>
      <c r="L22" s="66"/>
      <c r="M22" s="60">
        <v>176402</v>
      </c>
      <c r="N22" s="61">
        <f t="shared" si="11"/>
        <v>119</v>
      </c>
      <c r="O22" s="60">
        <v>2644623</v>
      </c>
      <c r="P22" s="61">
        <f t="shared" si="12"/>
        <v>2117</v>
      </c>
      <c r="Q22" s="67">
        <f t="shared" si="0"/>
        <v>2236</v>
      </c>
      <c r="R22" s="68">
        <f t="shared" si="6"/>
        <v>1283.4830579479999</v>
      </c>
      <c r="S22" s="69"/>
      <c r="T22" s="70">
        <v>343972</v>
      </c>
      <c r="U22" s="61">
        <f t="shared" si="13"/>
        <v>192</v>
      </c>
      <c r="V22" s="71">
        <f t="shared" si="7"/>
        <v>548.16</v>
      </c>
      <c r="W22" s="72"/>
      <c r="X22" s="77">
        <f t="shared" si="1"/>
        <v>4187.0270579480002</v>
      </c>
      <c r="Y22" s="78">
        <v>112</v>
      </c>
      <c r="Z22" s="79">
        <f t="shared" si="8"/>
        <v>37.384170160250001</v>
      </c>
    </row>
    <row r="23" spans="1:26" x14ac:dyDescent="0.25">
      <c r="A23" s="10" t="s">
        <v>119</v>
      </c>
      <c r="B23" s="59">
        <f t="shared" si="9"/>
        <v>15</v>
      </c>
      <c r="C23" s="62">
        <v>6457414</v>
      </c>
      <c r="D23" s="61">
        <f t="shared" si="2"/>
        <v>3172</v>
      </c>
      <c r="E23" s="62">
        <v>6406089</v>
      </c>
      <c r="F23" s="61">
        <f t="shared" si="10"/>
        <v>3153</v>
      </c>
      <c r="G23" s="63">
        <v>6048466</v>
      </c>
      <c r="H23" s="61">
        <f t="shared" si="3"/>
        <v>2977</v>
      </c>
      <c r="I23" s="60">
        <f t="shared" si="4"/>
        <v>9302</v>
      </c>
      <c r="J23" s="64">
        <v>0.99</v>
      </c>
      <c r="K23" s="65">
        <f t="shared" si="5"/>
        <v>2334.8020000000001</v>
      </c>
      <c r="L23" s="66"/>
      <c r="M23" s="60">
        <v>176520</v>
      </c>
      <c r="N23" s="61">
        <f t="shared" si="11"/>
        <v>118</v>
      </c>
      <c r="O23" s="60">
        <v>2646446</v>
      </c>
      <c r="P23" s="61">
        <f t="shared" si="12"/>
        <v>1823</v>
      </c>
      <c r="Q23" s="67">
        <f t="shared" si="0"/>
        <v>1941</v>
      </c>
      <c r="R23" s="68">
        <f t="shared" si="6"/>
        <v>1116.0554328560002</v>
      </c>
      <c r="S23" s="69"/>
      <c r="T23" s="70">
        <v>344147</v>
      </c>
      <c r="U23" s="61">
        <f t="shared" si="13"/>
        <v>175</v>
      </c>
      <c r="V23" s="71">
        <f t="shared" si="7"/>
        <v>499.625</v>
      </c>
      <c r="W23" s="72"/>
      <c r="X23" s="77">
        <f t="shared" si="1"/>
        <v>3950.4824328560003</v>
      </c>
      <c r="Y23" s="78">
        <v>150</v>
      </c>
      <c r="Z23" s="79">
        <f t="shared" si="8"/>
        <v>26.336549552373334</v>
      </c>
    </row>
    <row r="24" spans="1:26" x14ac:dyDescent="0.25">
      <c r="A24" s="10" t="s">
        <v>120</v>
      </c>
      <c r="B24" s="59">
        <f t="shared" si="9"/>
        <v>16</v>
      </c>
      <c r="C24" s="62">
        <v>6460584</v>
      </c>
      <c r="D24" s="61">
        <f t="shared" si="2"/>
        <v>3170</v>
      </c>
      <c r="E24" s="62">
        <v>6409270</v>
      </c>
      <c r="F24" s="61">
        <f t="shared" si="10"/>
        <v>3181</v>
      </c>
      <c r="G24" s="63">
        <v>6051452</v>
      </c>
      <c r="H24" s="61">
        <f t="shared" si="3"/>
        <v>2986</v>
      </c>
      <c r="I24" s="60">
        <f t="shared" si="4"/>
        <v>9337</v>
      </c>
      <c r="J24" s="64">
        <v>0.99</v>
      </c>
      <c r="K24" s="65">
        <f t="shared" si="5"/>
        <v>2343.587</v>
      </c>
      <c r="L24" s="66"/>
      <c r="M24" s="60">
        <v>176652</v>
      </c>
      <c r="N24" s="61">
        <f t="shared" si="11"/>
        <v>132</v>
      </c>
      <c r="O24" s="60">
        <v>2648508</v>
      </c>
      <c r="P24" s="61">
        <f t="shared" si="12"/>
        <v>2062</v>
      </c>
      <c r="Q24" s="67">
        <f t="shared" si="0"/>
        <v>2194</v>
      </c>
      <c r="R24" s="68">
        <f t="shared" si="6"/>
        <v>1261.3489601439999</v>
      </c>
      <c r="S24" s="69"/>
      <c r="T24" s="70">
        <v>344481</v>
      </c>
      <c r="U24" s="61">
        <f t="shared" si="13"/>
        <v>334</v>
      </c>
      <c r="V24" s="71">
        <f t="shared" si="7"/>
        <v>953.57</v>
      </c>
      <c r="W24" s="72"/>
      <c r="X24" s="77">
        <f t="shared" si="1"/>
        <v>4558.5059601439998</v>
      </c>
      <c r="Y24" s="78">
        <v>158</v>
      </c>
      <c r="Z24" s="79">
        <f t="shared" si="8"/>
        <v>28.851303545215188</v>
      </c>
    </row>
    <row r="25" spans="1:26" x14ac:dyDescent="0.25">
      <c r="A25" s="10" t="s">
        <v>121</v>
      </c>
      <c r="B25" s="59">
        <f t="shared" si="9"/>
        <v>17</v>
      </c>
      <c r="C25" s="62">
        <v>6463677</v>
      </c>
      <c r="D25" s="61">
        <f t="shared" si="2"/>
        <v>3093</v>
      </c>
      <c r="E25" s="62">
        <v>6412368</v>
      </c>
      <c r="F25" s="61">
        <f t="shared" si="10"/>
        <v>3098</v>
      </c>
      <c r="G25" s="63">
        <v>6054361</v>
      </c>
      <c r="H25" s="61">
        <f t="shared" si="3"/>
        <v>2909</v>
      </c>
      <c r="I25" s="60">
        <f t="shared" si="4"/>
        <v>9100</v>
      </c>
      <c r="J25" s="64">
        <v>0.99</v>
      </c>
      <c r="K25" s="65">
        <f t="shared" si="5"/>
        <v>2284.1</v>
      </c>
      <c r="L25" s="66"/>
      <c r="M25" s="60">
        <v>176769</v>
      </c>
      <c r="N25" s="61">
        <f t="shared" si="11"/>
        <v>117</v>
      </c>
      <c r="O25" s="60">
        <v>2650608</v>
      </c>
      <c r="P25" s="61">
        <f t="shared" si="12"/>
        <v>2100</v>
      </c>
      <c r="Q25" s="67">
        <f t="shared" si="0"/>
        <v>2217</v>
      </c>
      <c r="R25" s="68">
        <f t="shared" si="6"/>
        <v>1272.4487597640002</v>
      </c>
      <c r="S25" s="69"/>
      <c r="T25" s="70">
        <v>344816</v>
      </c>
      <c r="U25" s="61">
        <f t="shared" si="13"/>
        <v>335</v>
      </c>
      <c r="V25" s="71">
        <f t="shared" si="7"/>
        <v>956.42499999999995</v>
      </c>
      <c r="W25" s="72"/>
      <c r="X25" s="77">
        <f t="shared" si="1"/>
        <v>4512.9737597640005</v>
      </c>
      <c r="Y25" s="78">
        <v>202</v>
      </c>
      <c r="Z25" s="79">
        <f t="shared" si="8"/>
        <v>22.341454256257428</v>
      </c>
    </row>
    <row r="26" spans="1:26" x14ac:dyDescent="0.25">
      <c r="A26" s="10" t="s">
        <v>96</v>
      </c>
      <c r="B26" s="59">
        <f t="shared" si="9"/>
        <v>18</v>
      </c>
      <c r="C26" s="62">
        <v>6466913</v>
      </c>
      <c r="D26" s="61">
        <f t="shared" si="2"/>
        <v>3236</v>
      </c>
      <c r="E26" s="62">
        <v>6415638</v>
      </c>
      <c r="F26" s="61">
        <f t="shared" si="10"/>
        <v>3270</v>
      </c>
      <c r="G26" s="63">
        <v>6057402</v>
      </c>
      <c r="H26" s="61">
        <f t="shared" si="3"/>
        <v>3041</v>
      </c>
      <c r="I26" s="60">
        <f t="shared" si="4"/>
        <v>9547</v>
      </c>
      <c r="J26" s="64">
        <v>0.99</v>
      </c>
      <c r="K26" s="65">
        <f t="shared" si="5"/>
        <v>2396.297</v>
      </c>
      <c r="L26" s="66"/>
      <c r="M26" s="60">
        <v>176896</v>
      </c>
      <c r="N26" s="61">
        <f t="shared" si="11"/>
        <v>127</v>
      </c>
      <c r="O26" s="60">
        <v>2652516</v>
      </c>
      <c r="P26" s="61">
        <f t="shared" si="12"/>
        <v>1908</v>
      </c>
      <c r="Q26" s="67">
        <f t="shared" si="0"/>
        <v>2035</v>
      </c>
      <c r="R26" s="68">
        <f t="shared" si="6"/>
        <v>1170.5302266839999</v>
      </c>
      <c r="S26" s="69"/>
      <c r="T26" s="70">
        <v>345082</v>
      </c>
      <c r="U26" s="61">
        <f t="shared" si="13"/>
        <v>266</v>
      </c>
      <c r="V26" s="71">
        <f t="shared" si="7"/>
        <v>759.43</v>
      </c>
      <c r="W26" s="72"/>
      <c r="X26" s="77">
        <f t="shared" si="1"/>
        <v>4326.2572266839998</v>
      </c>
      <c r="Y26" s="78">
        <v>175</v>
      </c>
      <c r="Z26" s="79">
        <f t="shared" si="8"/>
        <v>24.721469866765712</v>
      </c>
    </row>
    <row r="27" spans="1:26" x14ac:dyDescent="0.25">
      <c r="A27" s="10" t="s">
        <v>116</v>
      </c>
      <c r="B27" s="59">
        <f t="shared" si="9"/>
        <v>19</v>
      </c>
      <c r="C27" s="62">
        <v>6470164</v>
      </c>
      <c r="D27" s="61">
        <f t="shared" si="2"/>
        <v>3251</v>
      </c>
      <c r="E27" s="62">
        <v>6418875</v>
      </c>
      <c r="F27" s="61">
        <f t="shared" si="10"/>
        <v>3237</v>
      </c>
      <c r="G27" s="63">
        <v>6060497</v>
      </c>
      <c r="H27" s="61">
        <f t="shared" si="3"/>
        <v>3095</v>
      </c>
      <c r="I27" s="60">
        <f t="shared" si="4"/>
        <v>9583</v>
      </c>
      <c r="J27" s="64">
        <v>0.99</v>
      </c>
      <c r="K27" s="65">
        <f t="shared" si="5"/>
        <v>2405.3330000000001</v>
      </c>
      <c r="L27" s="85"/>
      <c r="M27" s="60">
        <v>177056</v>
      </c>
      <c r="N27" s="61">
        <f t="shared" si="11"/>
        <v>160</v>
      </c>
      <c r="O27" s="60">
        <v>2654417</v>
      </c>
      <c r="P27" s="61">
        <f t="shared" si="12"/>
        <v>1901</v>
      </c>
      <c r="Q27" s="67">
        <f t="shared" si="0"/>
        <v>2061</v>
      </c>
      <c r="R27" s="68">
        <f t="shared" si="6"/>
        <v>1189.5514467200001</v>
      </c>
      <c r="S27" s="69"/>
      <c r="T27" s="70">
        <v>345300</v>
      </c>
      <c r="U27" s="61">
        <f t="shared" si="13"/>
        <v>218</v>
      </c>
      <c r="V27" s="71">
        <f t="shared" si="7"/>
        <v>622.39</v>
      </c>
      <c r="W27" s="72"/>
      <c r="X27" s="77">
        <f t="shared" si="1"/>
        <v>4217.27444672</v>
      </c>
      <c r="Y27" s="78">
        <v>148</v>
      </c>
      <c r="Z27" s="79">
        <f t="shared" si="8"/>
        <v>28.495097612972973</v>
      </c>
    </row>
    <row r="28" spans="1:26" x14ac:dyDescent="0.25">
      <c r="A28" s="10" t="s">
        <v>117</v>
      </c>
      <c r="B28" s="80">
        <f t="shared" si="9"/>
        <v>20</v>
      </c>
      <c r="C28" s="62">
        <v>6473309</v>
      </c>
      <c r="D28" s="61">
        <f t="shared" si="2"/>
        <v>3145</v>
      </c>
      <c r="E28" s="62">
        <v>6421894</v>
      </c>
      <c r="F28" s="61">
        <f t="shared" si="10"/>
        <v>3019</v>
      </c>
      <c r="G28" s="63">
        <v>6063337</v>
      </c>
      <c r="H28" s="61">
        <f t="shared" si="3"/>
        <v>2840</v>
      </c>
      <c r="I28" s="60">
        <f t="shared" si="4"/>
        <v>9004</v>
      </c>
      <c r="J28" s="64">
        <v>0.99</v>
      </c>
      <c r="K28" s="65">
        <f t="shared" si="5"/>
        <v>2260.0039999999999</v>
      </c>
      <c r="L28" s="86"/>
      <c r="M28" s="60">
        <v>177203</v>
      </c>
      <c r="N28" s="61">
        <f t="shared" si="11"/>
        <v>147</v>
      </c>
      <c r="O28" s="60">
        <v>2656431</v>
      </c>
      <c r="P28" s="61">
        <f t="shared" si="12"/>
        <v>2014</v>
      </c>
      <c r="Q28" s="67">
        <f t="shared" si="0"/>
        <v>2161</v>
      </c>
      <c r="R28" s="68">
        <f t="shared" si="6"/>
        <v>1244.578040524</v>
      </c>
      <c r="S28" s="76"/>
      <c r="T28" s="70">
        <v>345502</v>
      </c>
      <c r="U28" s="61">
        <f t="shared" si="13"/>
        <v>202</v>
      </c>
      <c r="V28" s="71">
        <f t="shared" si="7"/>
        <v>576.71</v>
      </c>
      <c r="W28" s="72"/>
      <c r="X28" s="87">
        <f t="shared" si="1"/>
        <v>4081.2920405240002</v>
      </c>
      <c r="Y28" s="78">
        <v>159</v>
      </c>
      <c r="Z28" s="83">
        <f t="shared" si="8"/>
        <v>25.668503399522013</v>
      </c>
    </row>
    <row r="29" spans="1:26" x14ac:dyDescent="0.25">
      <c r="A29" s="10" t="s">
        <v>118</v>
      </c>
      <c r="B29" s="84">
        <f t="shared" si="9"/>
        <v>21</v>
      </c>
      <c r="C29" s="62">
        <v>6476343</v>
      </c>
      <c r="D29" s="61">
        <f t="shared" si="2"/>
        <v>3034</v>
      </c>
      <c r="E29" s="62">
        <v>6424979</v>
      </c>
      <c r="F29" s="61">
        <f t="shared" si="10"/>
        <v>3085</v>
      </c>
      <c r="G29" s="63">
        <v>6066312</v>
      </c>
      <c r="H29" s="61">
        <f t="shared" si="3"/>
        <v>2975</v>
      </c>
      <c r="I29" s="60">
        <f t="shared" si="4"/>
        <v>9094</v>
      </c>
      <c r="J29" s="64">
        <v>0.99</v>
      </c>
      <c r="K29" s="65">
        <f t="shared" si="5"/>
        <v>2282.5940000000001</v>
      </c>
      <c r="L29" s="66"/>
      <c r="M29" s="60">
        <v>177322</v>
      </c>
      <c r="N29" s="61">
        <f t="shared" si="11"/>
        <v>119</v>
      </c>
      <c r="O29" s="60">
        <v>2658543</v>
      </c>
      <c r="P29" s="61">
        <f t="shared" si="12"/>
        <v>2112</v>
      </c>
      <c r="Q29" s="67">
        <f t="shared" si="0"/>
        <v>2231</v>
      </c>
      <c r="R29" s="68">
        <f t="shared" si="6"/>
        <v>1280.6474979480001</v>
      </c>
      <c r="S29" s="69"/>
      <c r="T29" s="70">
        <v>345720</v>
      </c>
      <c r="U29" s="61">
        <f t="shared" si="13"/>
        <v>218</v>
      </c>
      <c r="V29" s="71">
        <f t="shared" si="7"/>
        <v>622.39</v>
      </c>
      <c r="W29" s="72"/>
      <c r="X29" s="73">
        <f t="shared" si="1"/>
        <v>4185.6314979480003</v>
      </c>
      <c r="Y29" s="78">
        <v>170</v>
      </c>
      <c r="Z29" s="75">
        <f t="shared" si="8"/>
        <v>24.621361752635295</v>
      </c>
    </row>
    <row r="30" spans="1:26" x14ac:dyDescent="0.25">
      <c r="A30" s="10" t="s">
        <v>119</v>
      </c>
      <c r="B30" s="59">
        <f t="shared" si="9"/>
        <v>22</v>
      </c>
      <c r="C30" s="62">
        <v>6479635</v>
      </c>
      <c r="D30" s="61">
        <f t="shared" si="2"/>
        <v>3292</v>
      </c>
      <c r="E30" s="62">
        <v>6428231</v>
      </c>
      <c r="F30" s="61">
        <f t="shared" si="10"/>
        <v>3252</v>
      </c>
      <c r="G30" s="63">
        <v>6069390</v>
      </c>
      <c r="H30" s="61">
        <f t="shared" si="3"/>
        <v>3078</v>
      </c>
      <c r="I30" s="60">
        <f t="shared" si="4"/>
        <v>9622</v>
      </c>
      <c r="J30" s="64">
        <v>0.99</v>
      </c>
      <c r="K30" s="65">
        <f t="shared" si="5"/>
        <v>2415.1219999999998</v>
      </c>
      <c r="L30" s="66"/>
      <c r="M30" s="60">
        <v>177456</v>
      </c>
      <c r="N30" s="61">
        <f t="shared" si="11"/>
        <v>134</v>
      </c>
      <c r="O30" s="60">
        <v>2660932</v>
      </c>
      <c r="P30" s="61">
        <f t="shared" si="12"/>
        <v>2389</v>
      </c>
      <c r="Q30" s="67">
        <f t="shared" si="0"/>
        <v>2523</v>
      </c>
      <c r="R30" s="68">
        <f t="shared" si="6"/>
        <v>1448.1879783280001</v>
      </c>
      <c r="S30" s="69"/>
      <c r="T30" s="70">
        <v>345963</v>
      </c>
      <c r="U30" s="61">
        <f t="shared" si="13"/>
        <v>243</v>
      </c>
      <c r="V30" s="71">
        <f t="shared" si="7"/>
        <v>693.76499999999999</v>
      </c>
      <c r="W30" s="72"/>
      <c r="X30" s="77">
        <f t="shared" si="1"/>
        <v>4557.0749783279998</v>
      </c>
      <c r="Y30" s="78">
        <v>171</v>
      </c>
      <c r="Z30" s="79">
        <f t="shared" si="8"/>
        <v>26.64956127677193</v>
      </c>
    </row>
    <row r="31" spans="1:26" x14ac:dyDescent="0.25">
      <c r="A31" s="10" t="s">
        <v>120</v>
      </c>
      <c r="B31" s="59">
        <f t="shared" si="9"/>
        <v>23</v>
      </c>
      <c r="C31" s="62">
        <v>6482957</v>
      </c>
      <c r="D31" s="61">
        <f t="shared" si="2"/>
        <v>3322</v>
      </c>
      <c r="E31" s="62">
        <v>6431514</v>
      </c>
      <c r="F31" s="61">
        <f t="shared" si="10"/>
        <v>3283</v>
      </c>
      <c r="G31" s="63">
        <v>6072513</v>
      </c>
      <c r="H31" s="61">
        <f t="shared" si="3"/>
        <v>3123</v>
      </c>
      <c r="I31" s="60">
        <f t="shared" si="4"/>
        <v>9728</v>
      </c>
      <c r="J31" s="64">
        <v>0.99</v>
      </c>
      <c r="K31" s="65">
        <f t="shared" si="5"/>
        <v>2441.7280000000001</v>
      </c>
      <c r="L31" s="66"/>
      <c r="M31" s="60">
        <v>177567</v>
      </c>
      <c r="N31" s="61">
        <f t="shared" si="11"/>
        <v>111</v>
      </c>
      <c r="O31" s="60">
        <v>2663308</v>
      </c>
      <c r="P31" s="61">
        <f t="shared" si="12"/>
        <v>2376</v>
      </c>
      <c r="Q31" s="67">
        <f t="shared" si="0"/>
        <v>2487</v>
      </c>
      <c r="R31" s="68">
        <f t="shared" si="6"/>
        <v>1424.791489212</v>
      </c>
      <c r="S31" s="69"/>
      <c r="T31" s="70">
        <v>346170</v>
      </c>
      <c r="U31" s="61">
        <f t="shared" si="13"/>
        <v>207</v>
      </c>
      <c r="V31" s="71">
        <f t="shared" si="7"/>
        <v>590.98500000000001</v>
      </c>
      <c r="W31" s="72"/>
      <c r="X31" s="88">
        <f t="shared" si="1"/>
        <v>4457.5044892119995</v>
      </c>
      <c r="Y31" s="78">
        <v>155</v>
      </c>
      <c r="Z31" s="79">
        <f t="shared" si="8"/>
        <v>28.758093478787092</v>
      </c>
    </row>
    <row r="32" spans="1:26" x14ac:dyDescent="0.25">
      <c r="A32" s="10" t="s">
        <v>121</v>
      </c>
      <c r="B32" s="59">
        <f t="shared" si="9"/>
        <v>24</v>
      </c>
      <c r="C32" s="62">
        <v>6486442</v>
      </c>
      <c r="D32" s="61">
        <f t="shared" si="2"/>
        <v>3485</v>
      </c>
      <c r="E32" s="62">
        <v>6434978</v>
      </c>
      <c r="F32" s="61">
        <f t="shared" si="10"/>
        <v>3464</v>
      </c>
      <c r="G32" s="63">
        <v>6075795</v>
      </c>
      <c r="H32" s="61">
        <f t="shared" si="3"/>
        <v>3282</v>
      </c>
      <c r="I32" s="60">
        <f t="shared" si="4"/>
        <v>10231</v>
      </c>
      <c r="J32" s="64">
        <v>0.99</v>
      </c>
      <c r="K32" s="65">
        <f t="shared" si="5"/>
        <v>2567.9810000000002</v>
      </c>
      <c r="L32" s="66"/>
      <c r="M32" s="60">
        <v>177688</v>
      </c>
      <c r="N32" s="61">
        <f t="shared" si="11"/>
        <v>121</v>
      </c>
      <c r="O32" s="60">
        <v>2665890</v>
      </c>
      <c r="P32" s="61">
        <f t="shared" si="12"/>
        <v>2582</v>
      </c>
      <c r="Q32" s="67">
        <f t="shared" si="0"/>
        <v>2703</v>
      </c>
      <c r="R32" s="68">
        <f t="shared" si="6"/>
        <v>1548.5835321320001</v>
      </c>
      <c r="S32" s="69"/>
      <c r="T32" s="70">
        <v>346458</v>
      </c>
      <c r="U32" s="61">
        <f t="shared" si="13"/>
        <v>288</v>
      </c>
      <c r="V32" s="71">
        <f t="shared" si="7"/>
        <v>822.24</v>
      </c>
      <c r="W32" s="72"/>
      <c r="X32" s="88">
        <f t="shared" si="1"/>
        <v>4938.8045321320005</v>
      </c>
      <c r="Y32" s="78">
        <v>151</v>
      </c>
      <c r="Z32" s="79">
        <f t="shared" si="8"/>
        <v>32.707314782331132</v>
      </c>
    </row>
    <row r="33" spans="1:26" x14ac:dyDescent="0.25">
      <c r="A33" s="10" t="s">
        <v>96</v>
      </c>
      <c r="B33" s="59">
        <f t="shared" si="9"/>
        <v>25</v>
      </c>
      <c r="C33" s="62">
        <v>6489857</v>
      </c>
      <c r="D33" s="61">
        <f t="shared" si="2"/>
        <v>3415</v>
      </c>
      <c r="E33" s="62">
        <v>6438381</v>
      </c>
      <c r="F33" s="61">
        <f t="shared" si="10"/>
        <v>3403</v>
      </c>
      <c r="G33" s="63">
        <v>6079011</v>
      </c>
      <c r="H33" s="61">
        <f t="shared" si="3"/>
        <v>3216</v>
      </c>
      <c r="I33" s="60">
        <f t="shared" si="4"/>
        <v>10034</v>
      </c>
      <c r="J33" s="64">
        <v>0.99</v>
      </c>
      <c r="K33" s="65">
        <f t="shared" si="5"/>
        <v>2518.5340000000001</v>
      </c>
      <c r="L33" s="66"/>
      <c r="M33" s="60">
        <v>177812</v>
      </c>
      <c r="N33" s="61">
        <f t="shared" si="11"/>
        <v>124</v>
      </c>
      <c r="O33" s="60">
        <v>2668341</v>
      </c>
      <c r="P33" s="61">
        <f t="shared" si="12"/>
        <v>2451</v>
      </c>
      <c r="Q33" s="67">
        <f t="shared" si="0"/>
        <v>2575</v>
      </c>
      <c r="R33" s="68">
        <f t="shared" si="6"/>
        <v>1476.3819514079998</v>
      </c>
      <c r="S33" s="69"/>
      <c r="T33" s="70">
        <v>346764</v>
      </c>
      <c r="U33" s="61">
        <f t="shared" si="13"/>
        <v>306</v>
      </c>
      <c r="V33" s="71">
        <f t="shared" si="7"/>
        <v>873.63</v>
      </c>
      <c r="W33" s="72"/>
      <c r="X33" s="88">
        <f t="shared" si="1"/>
        <v>4868.5459514080003</v>
      </c>
      <c r="Y33" s="78">
        <v>175</v>
      </c>
      <c r="Z33" s="79">
        <f t="shared" si="8"/>
        <v>27.820262579474289</v>
      </c>
    </row>
    <row r="34" spans="1:26" x14ac:dyDescent="0.25">
      <c r="A34" s="10" t="s">
        <v>116</v>
      </c>
      <c r="B34" s="59">
        <f t="shared" si="9"/>
        <v>26</v>
      </c>
      <c r="C34" s="62">
        <v>6493273</v>
      </c>
      <c r="D34" s="61">
        <f t="shared" si="2"/>
        <v>3416</v>
      </c>
      <c r="E34" s="62">
        <v>6441782</v>
      </c>
      <c r="F34" s="61">
        <f t="shared" si="10"/>
        <v>3401</v>
      </c>
      <c r="G34" s="63">
        <v>6082202</v>
      </c>
      <c r="H34" s="61">
        <f t="shared" si="3"/>
        <v>3191</v>
      </c>
      <c r="I34" s="60">
        <f t="shared" si="4"/>
        <v>10008</v>
      </c>
      <c r="J34" s="64">
        <v>0.99</v>
      </c>
      <c r="K34" s="65">
        <f t="shared" si="5"/>
        <v>2512.0079999999998</v>
      </c>
      <c r="L34" s="66"/>
      <c r="M34" s="60">
        <v>177946</v>
      </c>
      <c r="N34" s="61">
        <f t="shared" si="11"/>
        <v>134</v>
      </c>
      <c r="O34" s="60">
        <v>2670709</v>
      </c>
      <c r="P34" s="61">
        <f t="shared" si="12"/>
        <v>2368</v>
      </c>
      <c r="Q34" s="67">
        <f t="shared" si="0"/>
        <v>2502</v>
      </c>
      <c r="R34" s="68">
        <f t="shared" si="6"/>
        <v>1436.2786263280004</v>
      </c>
      <c r="S34" s="69"/>
      <c r="T34" s="70">
        <v>347017</v>
      </c>
      <c r="U34" s="61">
        <f t="shared" si="13"/>
        <v>253</v>
      </c>
      <c r="V34" s="71">
        <f t="shared" si="7"/>
        <v>722.31499999999994</v>
      </c>
      <c r="W34" s="72"/>
      <c r="X34" s="88">
        <f t="shared" si="1"/>
        <v>4670.6016263279998</v>
      </c>
      <c r="Y34" s="78">
        <v>167</v>
      </c>
      <c r="Z34" s="79">
        <f t="shared" si="8"/>
        <v>27.967674409149701</v>
      </c>
    </row>
    <row r="35" spans="1:26" x14ac:dyDescent="0.25">
      <c r="A35" s="10" t="s">
        <v>117</v>
      </c>
      <c r="B35" s="59">
        <f t="shared" si="9"/>
        <v>27</v>
      </c>
      <c r="C35" s="62">
        <v>6496462</v>
      </c>
      <c r="D35" s="61">
        <f t="shared" si="2"/>
        <v>3189</v>
      </c>
      <c r="E35" s="62">
        <v>6444960</v>
      </c>
      <c r="F35" s="61">
        <f t="shared" si="10"/>
        <v>3178</v>
      </c>
      <c r="G35" s="63">
        <v>6085195</v>
      </c>
      <c r="H35" s="61">
        <f t="shared" si="3"/>
        <v>2993</v>
      </c>
      <c r="I35" s="60">
        <f t="shared" si="4"/>
        <v>9360</v>
      </c>
      <c r="J35" s="64">
        <v>0.99</v>
      </c>
      <c r="K35" s="65">
        <f t="shared" si="5"/>
        <v>2349.36</v>
      </c>
      <c r="L35" s="66"/>
      <c r="M35" s="60">
        <v>178088</v>
      </c>
      <c r="N35" s="61">
        <f t="shared" si="11"/>
        <v>142</v>
      </c>
      <c r="O35" s="60">
        <v>2672717</v>
      </c>
      <c r="P35" s="61">
        <f t="shared" si="12"/>
        <v>2008</v>
      </c>
      <c r="Q35" s="67">
        <f t="shared" si="0"/>
        <v>2150</v>
      </c>
      <c r="R35" s="68">
        <f t="shared" si="6"/>
        <v>1237.6918830640002</v>
      </c>
      <c r="S35" s="69"/>
      <c r="T35" s="70">
        <v>347367</v>
      </c>
      <c r="U35" s="61">
        <f t="shared" si="13"/>
        <v>350</v>
      </c>
      <c r="V35" s="71">
        <f t="shared" si="7"/>
        <v>999.25</v>
      </c>
      <c r="W35" s="72"/>
      <c r="X35" s="88">
        <f t="shared" si="1"/>
        <v>4586.3018830640003</v>
      </c>
      <c r="Y35" s="78">
        <v>156</v>
      </c>
      <c r="Z35" s="79">
        <f t="shared" si="8"/>
        <v>29.399371045282052</v>
      </c>
    </row>
    <row r="36" spans="1:26" x14ac:dyDescent="0.25">
      <c r="A36" s="10" t="s">
        <v>118</v>
      </c>
      <c r="B36" s="59">
        <f t="shared" si="9"/>
        <v>28</v>
      </c>
      <c r="C36" s="62">
        <v>6499727</v>
      </c>
      <c r="D36" s="61">
        <f t="shared" si="2"/>
        <v>3265</v>
      </c>
      <c r="E36" s="62">
        <v>6448229</v>
      </c>
      <c r="F36" s="61">
        <f t="shared" si="10"/>
        <v>3269</v>
      </c>
      <c r="G36" s="63">
        <v>6088266</v>
      </c>
      <c r="H36" s="61">
        <f t="shared" si="3"/>
        <v>3071</v>
      </c>
      <c r="I36" s="60">
        <f t="shared" si="4"/>
        <v>9605</v>
      </c>
      <c r="J36" s="64">
        <v>0.99</v>
      </c>
      <c r="K36" s="65">
        <f t="shared" si="5"/>
        <v>2410.855</v>
      </c>
      <c r="L36" s="66"/>
      <c r="M36" s="60">
        <v>178217</v>
      </c>
      <c r="N36" s="61">
        <f t="shared" si="11"/>
        <v>129</v>
      </c>
      <c r="O36" s="60">
        <v>2674683</v>
      </c>
      <c r="P36" s="61">
        <f t="shared" si="12"/>
        <v>1966</v>
      </c>
      <c r="Q36" s="67">
        <f t="shared" si="0"/>
        <v>2095</v>
      </c>
      <c r="R36" s="68">
        <f t="shared" si="6"/>
        <v>1204.8161168679999</v>
      </c>
      <c r="S36" s="69"/>
      <c r="T36" s="70">
        <v>347575</v>
      </c>
      <c r="U36" s="61">
        <f t="shared" si="13"/>
        <v>208</v>
      </c>
      <c r="V36" s="71">
        <f t="shared" si="7"/>
        <v>593.84</v>
      </c>
      <c r="W36" s="72"/>
      <c r="X36" s="88">
        <f t="shared" si="1"/>
        <v>4209.5111168679996</v>
      </c>
      <c r="Y36" s="78">
        <v>139</v>
      </c>
      <c r="Z36" s="79">
        <f t="shared" si="8"/>
        <v>30.284252639338128</v>
      </c>
    </row>
    <row r="37" spans="1:26" x14ac:dyDescent="0.25">
      <c r="A37" s="10" t="s">
        <v>119</v>
      </c>
      <c r="B37" s="59">
        <f t="shared" si="9"/>
        <v>29</v>
      </c>
      <c r="C37" s="62">
        <v>6502983</v>
      </c>
      <c r="D37" s="61">
        <f t="shared" si="2"/>
        <v>3256</v>
      </c>
      <c r="E37" s="62">
        <v>6451484</v>
      </c>
      <c r="F37" s="61">
        <f t="shared" si="10"/>
        <v>3255</v>
      </c>
      <c r="G37" s="63">
        <v>6091342</v>
      </c>
      <c r="H37" s="61">
        <f t="shared" si="3"/>
        <v>3076</v>
      </c>
      <c r="I37" s="60">
        <f t="shared" si="4"/>
        <v>9587</v>
      </c>
      <c r="J37" s="64">
        <v>0.99</v>
      </c>
      <c r="K37" s="65">
        <f t="shared" si="5"/>
        <v>2406.337</v>
      </c>
      <c r="L37" s="66"/>
      <c r="M37" s="60">
        <v>178332</v>
      </c>
      <c r="N37" s="61">
        <f t="shared" si="11"/>
        <v>115</v>
      </c>
      <c r="O37" s="60">
        <v>2676486</v>
      </c>
      <c r="P37" s="61">
        <f t="shared" si="12"/>
        <v>1803</v>
      </c>
      <c r="Q37" s="67">
        <f t="shared" si="0"/>
        <v>1918</v>
      </c>
      <c r="R37" s="68">
        <f t="shared" si="6"/>
        <v>1102.6231015799999</v>
      </c>
      <c r="S37" s="69"/>
      <c r="T37" s="70">
        <v>347780</v>
      </c>
      <c r="U37" s="61">
        <f t="shared" si="13"/>
        <v>205</v>
      </c>
      <c r="V37" s="71">
        <f t="shared" si="7"/>
        <v>585.27499999999998</v>
      </c>
      <c r="W37" s="72"/>
      <c r="X37" s="88">
        <f t="shared" si="1"/>
        <v>4094.23510158</v>
      </c>
      <c r="Y37" s="101">
        <v>150</v>
      </c>
      <c r="Z37" s="79">
        <f t="shared" si="8"/>
        <v>27.294900677200001</v>
      </c>
    </row>
    <row r="38" spans="1:26" x14ac:dyDescent="0.25">
      <c r="A38" s="10" t="s">
        <v>120</v>
      </c>
      <c r="B38" s="59">
        <f t="shared" si="9"/>
        <v>30</v>
      </c>
      <c r="C38" s="62">
        <v>6506237</v>
      </c>
      <c r="D38" s="61">
        <f t="shared" si="2"/>
        <v>3254</v>
      </c>
      <c r="E38" s="62">
        <v>6454731</v>
      </c>
      <c r="F38" s="61">
        <f t="shared" si="10"/>
        <v>3247</v>
      </c>
      <c r="G38" s="63">
        <v>6094414</v>
      </c>
      <c r="H38" s="61">
        <f t="shared" si="3"/>
        <v>3072</v>
      </c>
      <c r="I38" s="60">
        <f t="shared" si="4"/>
        <v>9573</v>
      </c>
      <c r="J38" s="64">
        <v>0.99</v>
      </c>
      <c r="K38" s="65">
        <f t="shared" si="5"/>
        <v>2402.8229999999999</v>
      </c>
      <c r="L38" s="66"/>
      <c r="M38" s="60">
        <v>178439</v>
      </c>
      <c r="N38" s="61">
        <f t="shared" si="11"/>
        <v>107</v>
      </c>
      <c r="O38" s="60">
        <v>2678192</v>
      </c>
      <c r="P38" s="61">
        <f t="shared" si="12"/>
        <v>1706</v>
      </c>
      <c r="Q38" s="67">
        <f t="shared" si="0"/>
        <v>1813</v>
      </c>
      <c r="R38" s="68">
        <f t="shared" si="6"/>
        <v>1042.0396608440001</v>
      </c>
      <c r="S38" s="69"/>
      <c r="T38" s="70">
        <v>347993</v>
      </c>
      <c r="U38" s="61">
        <f t="shared" si="13"/>
        <v>213</v>
      </c>
      <c r="V38" s="71">
        <f t="shared" si="7"/>
        <v>608.11500000000001</v>
      </c>
      <c r="W38" s="72"/>
      <c r="X38" s="88">
        <f t="shared" si="1"/>
        <v>4052.9776608439997</v>
      </c>
      <c r="Y38" s="101">
        <v>147</v>
      </c>
      <c r="Z38" s="79">
        <f t="shared" si="8"/>
        <v>27.571276604380952</v>
      </c>
    </row>
    <row r="39" spans="1:26" x14ac:dyDescent="0.25">
      <c r="A39" s="10" t="s">
        <v>121</v>
      </c>
      <c r="B39" s="59">
        <f t="shared" si="9"/>
        <v>31</v>
      </c>
      <c r="C39" s="62">
        <v>6509609</v>
      </c>
      <c r="D39" s="61">
        <f t="shared" si="2"/>
        <v>3372</v>
      </c>
      <c r="E39" s="62">
        <v>6458092</v>
      </c>
      <c r="F39" s="61">
        <f t="shared" si="10"/>
        <v>3361</v>
      </c>
      <c r="G39" s="63">
        <v>6097579</v>
      </c>
      <c r="H39" s="61">
        <f t="shared" si="3"/>
        <v>3165</v>
      </c>
      <c r="I39" s="60">
        <f t="shared" si="4"/>
        <v>9898</v>
      </c>
      <c r="J39" s="64">
        <v>0.99</v>
      </c>
      <c r="K39" s="65">
        <f t="shared" si="5"/>
        <v>2484.3980000000001</v>
      </c>
      <c r="L39" s="66"/>
      <c r="M39" s="60">
        <v>178555</v>
      </c>
      <c r="N39" s="61">
        <f t="shared" si="11"/>
        <v>116</v>
      </c>
      <c r="O39" s="60">
        <v>2679844</v>
      </c>
      <c r="P39" s="61">
        <f t="shared" si="12"/>
        <v>1652</v>
      </c>
      <c r="Q39" s="67">
        <f t="shared" si="0"/>
        <v>1768</v>
      </c>
      <c r="R39" s="68">
        <f t="shared" si="6"/>
        <v>1017.6858866720002</v>
      </c>
      <c r="S39" s="69"/>
      <c r="T39" s="70">
        <v>348217</v>
      </c>
      <c r="U39" s="61">
        <f t="shared" si="13"/>
        <v>224</v>
      </c>
      <c r="V39" s="71">
        <f t="shared" si="7"/>
        <v>639.52</v>
      </c>
      <c r="W39" s="72"/>
      <c r="X39" s="88">
        <f t="shared" si="1"/>
        <v>4141.603886672001</v>
      </c>
      <c r="Y39" s="101">
        <v>160</v>
      </c>
      <c r="Z39" s="79">
        <f t="shared" si="8"/>
        <v>25.885024291700006</v>
      </c>
    </row>
    <row r="40" spans="1:26" x14ac:dyDescent="0.25">
      <c r="A40" s="10"/>
      <c r="B40" s="89"/>
      <c r="C40" s="90">
        <f>SUMIF(D9:D36,"&gt;0")</f>
        <v>89288</v>
      </c>
      <c r="D40" s="91"/>
      <c r="E40" s="140">
        <f>SUMIF(F9:F36,"&gt;0")</f>
        <v>88796</v>
      </c>
      <c r="F40" s="141"/>
      <c r="G40" s="142">
        <f>SUMIF(H9:H36,"&gt;0")</f>
        <v>84167</v>
      </c>
      <c r="H40" s="141"/>
      <c r="I40" s="92">
        <f>SUMIF(I9:I36,"&gt;0")</f>
        <v>262251</v>
      </c>
      <c r="J40" s="93"/>
      <c r="K40" s="94">
        <f>SUMIF(K9:K36,"&gt;0")</f>
        <v>65825.001000000004</v>
      </c>
      <c r="L40" s="92"/>
      <c r="M40" s="142">
        <f>SUMIF(N9:N36,"&gt;0")</f>
        <v>3473</v>
      </c>
      <c r="N40" s="141"/>
      <c r="O40" s="142">
        <f>SUMIF(P9:P36,"&gt;0")</f>
        <v>60777</v>
      </c>
      <c r="P40" s="141"/>
      <c r="Q40" s="93">
        <f>SUMIF(Q9:Q36,"&gt;0")</f>
        <v>64250</v>
      </c>
      <c r="R40" s="94">
        <f>SUMIF(R9:R36,"&gt;0")</f>
        <v>36886.995024516007</v>
      </c>
      <c r="S40" s="95"/>
      <c r="T40" s="143">
        <f>SUMIF(U9:U36,"&gt;0")</f>
        <v>6437</v>
      </c>
      <c r="U40" s="144"/>
      <c r="V40" s="96">
        <f>SUMIF(V9:V36,"&gt;0")</f>
        <v>18377.634999999995</v>
      </c>
      <c r="W40" s="97"/>
      <c r="X40" s="98">
        <f>SUMIF(X9:X36,"&gt;0")</f>
        <v>121089.63102451601</v>
      </c>
      <c r="Y40" s="99">
        <f>SUM(Y9:Y39)</f>
        <v>4338</v>
      </c>
      <c r="Z40" s="100">
        <f>(SUMIF(Z9:Z36,"&gt;0")/31)</f>
        <v>30.739233537687841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2022-04-05T09:41:49Z</dcterms:modified>
</cp:coreProperties>
</file>