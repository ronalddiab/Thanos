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8BEA6DCF-5348-455A-9E2E-745B53A1F30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N3" i="4" s="1"/>
  <c r="L4" i="4"/>
  <c r="N4" i="4" s="1"/>
  <c r="L5" i="4"/>
  <c r="N5" i="4" s="1"/>
  <c r="L6" i="4"/>
  <c r="N6" i="4" s="1"/>
  <c r="L7" i="4"/>
  <c r="L8" i="4"/>
  <c r="L9" i="4"/>
  <c r="N9" i="4" s="1"/>
  <c r="L10" i="4"/>
  <c r="N10" i="4" s="1"/>
  <c r="L11" i="4"/>
  <c r="N11" i="4" s="1"/>
  <c r="L12" i="4"/>
  <c r="N12" i="4" s="1"/>
  <c r="L13" i="4"/>
  <c r="L14" i="4"/>
  <c r="L15" i="4"/>
  <c r="N15" i="4" s="1"/>
  <c r="L16" i="4"/>
  <c r="N16" i="4" s="1"/>
  <c r="L17" i="4"/>
  <c r="N17" i="4" s="1"/>
  <c r="L18" i="4"/>
  <c r="N18" i="4" s="1"/>
  <c r="L19" i="4"/>
  <c r="L20" i="4"/>
  <c r="L21" i="4"/>
  <c r="N21" i="4" s="1"/>
  <c r="L22" i="4"/>
  <c r="N22" i="4" s="1"/>
  <c r="L23" i="4"/>
  <c r="N23" i="4" s="1"/>
  <c r="L24" i="4"/>
  <c r="N24" i="4" s="1"/>
  <c r="L25" i="4"/>
  <c r="L26" i="4"/>
  <c r="L27" i="4"/>
  <c r="N27" i="4" s="1"/>
  <c r="L28" i="4"/>
  <c r="N28" i="4" s="1"/>
  <c r="L29" i="4"/>
  <c r="N29" i="4" s="1"/>
  <c r="L30" i="4"/>
  <c r="N30" i="4" s="1"/>
  <c r="L31" i="4"/>
  <c r="L32" i="4"/>
  <c r="L2" i="4"/>
  <c r="O2" i="4"/>
  <c r="N2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7" i="4"/>
  <c r="N8" i="4"/>
  <c r="N13" i="4"/>
  <c r="N14" i="4"/>
  <c r="N19" i="4"/>
  <c r="N20" i="4"/>
  <c r="N25" i="4"/>
  <c r="N26" i="4"/>
  <c r="N31" i="4"/>
  <c r="N32" i="4"/>
  <c r="D7" i="2" l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C8" i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2" i="4" l="1"/>
  <c r="G32" i="4"/>
  <c r="E36" i="2"/>
  <c r="F36" i="2"/>
  <c r="G35" i="2"/>
  <c r="E37" i="1"/>
  <c r="F37" i="1"/>
  <c r="H36" i="1"/>
  <c r="I36" i="1"/>
  <c r="J36" i="1" s="1"/>
  <c r="K36" i="1" s="1"/>
  <c r="G36" i="1"/>
  <c r="E32" i="4" s="1"/>
  <c r="L36" i="1" l="1"/>
  <c r="J32" i="4" s="1"/>
  <c r="G31" i="4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40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 l="1"/>
  <c r="J30" i="4" s="1"/>
  <c r="C37" i="1"/>
  <c r="G6" i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s="1"/>
  <c r="J2" i="4" l="1"/>
</calcChain>
</file>

<file path=xl/sharedStrings.xml><?xml version="1.0" encoding="utf-8"?>
<sst xmlns="http://schemas.openxmlformats.org/spreadsheetml/2006/main" count="117" uniqueCount="46">
  <si>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</si>
  <si>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</si>
  <si>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</si>
  <si>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</si>
  <si>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</si>
  <si>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</si>
  <si>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</si>
  <si>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</si>
  <si>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</si>
  <si>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</si>
  <si>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</si>
  <si>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</si>
  <si>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</si>
  <si>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</si>
  <si>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</si>
  <si>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</si>
  <si>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</si>
  <si>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</si>
  <si>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</si>
  <si>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</si>
  <si>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</si>
  <si>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</si>
  <si>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</si>
  <si>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</si>
  <si>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</si>
  <si>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</si>
  <si>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</si>
  <si>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</si>
  <si>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</si>
  <si>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</si>
  <si>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</si>
  <si>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</si>
  <si>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</si>
  <si>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</si>
  <si>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</si>
  <si>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</si>
  <si>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</si>
  <si>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1035.79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</si>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</sst>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9" zoomScale="90" zoomScaleNormal="90" workbookViewId="0">
      <selection activeCell="L36" sqref="L36"/>
    </sheetView>
  </sheetViews>
  <sheetFormatPr defaultColWidth="11.5703125" defaultRowHeight="15" x14ac:dyDescent="0.25"/>
  <cols>
    <col min="1" max="1" width="25.4257812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40</v>
      </c>
      <c r="I1" s="50" t="s">
        <v>41</v>
      </c>
      <c r="J1" s="51" t="s">
        <v>27</v>
      </c>
      <c r="K1" s="54" t="s">
        <v>42</v>
      </c>
      <c r="L1" s="54" t="s">
        <v>29</v>
      </c>
      <c r="M1" s="54" t="s">
        <v>43</v>
      </c>
      <c r="N1" s="54" t="s">
        <v>36</v>
      </c>
      <c r="O1" s="50" t="s">
        <v>44</v>
      </c>
    </row>
    <row r="2" spans="1:15" x14ac:dyDescent="0.25">
      <c r="A2" s="48" t="s">
        <v>45</v>
      </c>
      <c r="B2" s="45">
        <v>1</v>
      </c>
      <c r="C2" s="45">
        <v>8</v>
      </c>
      <c r="D2" s="45">
        <f>Water!D5</f>
        <v>2019</v>
      </c>
      <c r="E2" s="43">
        <f>Electricity!G6</f>
        <v>26400.000000001455</v>
      </c>
      <c r="F2" s="43">
        <f>Electricity!E6</f>
        <v>4840.0000000001455</v>
      </c>
      <c r="G2" s="43">
        <f>Electricity!F6</f>
        <v>21560.00000000131</v>
      </c>
      <c r="H2" s="47">
        <v>1553.67</v>
      </c>
      <c r="I2" s="57" t="s">
        <v>28</v>
      </c>
      <c r="J2" s="106">
        <f>Electricity!L6</f>
        <v>30567607.91040162</v>
      </c>
      <c r="K2" s="43">
        <f>J2/E2</f>
        <v>1157.8639359999975</v>
      </c>
      <c r="L2" s="43">
        <f>Water!G5</f>
        <v>351</v>
      </c>
      <c r="M2" s="58">
        <v>12550</v>
      </c>
      <c r="N2" s="106">
        <f>M2*L2</f>
        <v>4405050</v>
      </c>
      <c r="O2" s="43">
        <f>Electricity!C6</f>
        <v>165</v>
      </c>
    </row>
    <row r="3" spans="1:15" x14ac:dyDescent="0.25">
      <c r="A3" s="48" t="s">
        <v>45</v>
      </c>
      <c r="B3" s="45">
        <v>2</v>
      </c>
      <c r="C3" s="45">
        <v>8</v>
      </c>
      <c r="D3" s="45">
        <f>D2</f>
        <v>2019</v>
      </c>
      <c r="E3" s="43">
        <f>Electricity!G7</f>
        <v>25920.000000001892</v>
      </c>
      <c r="F3" s="43">
        <f>Electricity!E7</f>
        <v>6000</v>
      </c>
      <c r="G3" s="43">
        <f>Electricity!F7</f>
        <v>19920.000000001892</v>
      </c>
      <c r="H3" s="47">
        <v>1553.67</v>
      </c>
      <c r="I3" s="57" t="s">
        <v>28</v>
      </c>
      <c r="J3" s="106">
        <f>Electricity!L7</f>
        <v>30673671.782402005</v>
      </c>
      <c r="K3" s="43">
        <f t="shared" ref="K3:K32" si="0">J3/E3</f>
        <v>1183.3978311111021</v>
      </c>
      <c r="L3" s="43">
        <f>Water!G6</f>
        <v>259</v>
      </c>
      <c r="M3" s="58">
        <v>12550</v>
      </c>
      <c r="N3" s="106">
        <f t="shared" ref="N3:N32" si="1">M3*L3</f>
        <v>3250450</v>
      </c>
      <c r="O3" s="43">
        <f>O2</f>
        <v>165</v>
      </c>
    </row>
    <row r="4" spans="1:15" x14ac:dyDescent="0.25">
      <c r="A4" s="48" t="s">
        <v>45</v>
      </c>
      <c r="B4" s="45">
        <v>3</v>
      </c>
      <c r="C4" s="45">
        <v>8</v>
      </c>
      <c r="D4" s="45">
        <f t="shared" ref="D4:D32" si="2">D3</f>
        <v>2019</v>
      </c>
      <c r="E4" s="43">
        <f>Electricity!G8</f>
        <v>22399.999999997817</v>
      </c>
      <c r="F4" s="43">
        <f>Electricity!E8</f>
        <v>2840.0000000001455</v>
      </c>
      <c r="G4" s="43">
        <f>Electricity!F8</f>
        <v>19559.999999997672</v>
      </c>
      <c r="H4" s="47">
        <v>1553.67</v>
      </c>
      <c r="I4" s="57" t="s">
        <v>28</v>
      </c>
      <c r="J4" s="106">
        <f>Electricity!L8</f>
        <v>25264414.310397759</v>
      </c>
      <c r="K4" s="43">
        <f t="shared" si="0"/>
        <v>1127.8756388571528</v>
      </c>
      <c r="L4" s="43">
        <f>Water!G7</f>
        <v>316</v>
      </c>
      <c r="M4" s="58">
        <v>12550</v>
      </c>
      <c r="N4" s="106">
        <f t="shared" si="1"/>
        <v>3965800</v>
      </c>
      <c r="O4" s="43">
        <f t="shared" ref="N4:O32" si="3">O3</f>
        <v>165</v>
      </c>
    </row>
    <row r="5" spans="1:15" x14ac:dyDescent="0.25">
      <c r="A5" s="48" t="s">
        <v>45</v>
      </c>
      <c r="B5" s="45">
        <v>4</v>
      </c>
      <c r="C5" s="45">
        <v>8</v>
      </c>
      <c r="D5" s="45">
        <f t="shared" si="2"/>
        <v>2019</v>
      </c>
      <c r="E5" s="43">
        <f>Electricity!G9</f>
        <v>14640.000000000327</v>
      </c>
      <c r="F5" s="43">
        <f>Electricity!E9</f>
        <v>2640.0000000003274</v>
      </c>
      <c r="G5" s="43">
        <f>Electricity!F9</f>
        <v>12000</v>
      </c>
      <c r="H5" s="47">
        <v>1553.67</v>
      </c>
      <c r="I5" s="57" t="s">
        <v>28</v>
      </c>
      <c r="J5" s="106">
        <f>Electricity!L9</f>
        <v>16927793.971200522</v>
      </c>
      <c r="K5" s="43">
        <f t="shared" si="0"/>
        <v>1156.2700800000098</v>
      </c>
      <c r="L5" s="43">
        <f>Water!G8</f>
        <v>760</v>
      </c>
      <c r="M5" s="58">
        <v>12550</v>
      </c>
      <c r="N5" s="106">
        <f t="shared" si="1"/>
        <v>9538000</v>
      </c>
      <c r="O5" s="43">
        <f t="shared" si="3"/>
        <v>165</v>
      </c>
    </row>
    <row r="6" spans="1:15" x14ac:dyDescent="0.25">
      <c r="A6" s="48" t="s">
        <v>45</v>
      </c>
      <c r="B6" s="45">
        <v>5</v>
      </c>
      <c r="C6" s="45">
        <v>8</v>
      </c>
      <c r="D6" s="45">
        <f t="shared" si="2"/>
        <v>2019</v>
      </c>
      <c r="E6" s="43">
        <f>Electricity!G10</f>
        <v>29639.999999999418</v>
      </c>
      <c r="F6" s="43">
        <f>Electricity!E10</f>
        <v>2799.9999999992724</v>
      </c>
      <c r="G6" s="43">
        <f>Electricity!F10</f>
        <v>26840.000000000146</v>
      </c>
      <c r="H6" s="47">
        <v>1553.67</v>
      </c>
      <c r="I6" s="57" t="s">
        <v>28</v>
      </c>
      <c r="J6" s="106">
        <f>Electricity!L10</f>
        <v>32922225.868798997</v>
      </c>
      <c r="K6" s="43">
        <f t="shared" si="0"/>
        <v>1110.7363653441175</v>
      </c>
      <c r="L6" s="43">
        <f>Water!G9</f>
        <v>298</v>
      </c>
      <c r="M6" s="58">
        <v>12550</v>
      </c>
      <c r="N6" s="106">
        <f t="shared" si="1"/>
        <v>3739900</v>
      </c>
      <c r="O6" s="43">
        <f t="shared" si="3"/>
        <v>165</v>
      </c>
    </row>
    <row r="7" spans="1:15" x14ac:dyDescent="0.25">
      <c r="A7" s="48" t="s">
        <v>45</v>
      </c>
      <c r="B7" s="45">
        <v>6</v>
      </c>
      <c r="C7" s="45">
        <v>8</v>
      </c>
      <c r="D7" s="45">
        <f t="shared" si="2"/>
        <v>2019</v>
      </c>
      <c r="E7" s="43">
        <f>Electricity!G11</f>
        <v>23000.000000000909</v>
      </c>
      <c r="F7" s="43">
        <f>Electricity!E11</f>
        <v>4640.0000000003274</v>
      </c>
      <c r="G7" s="43">
        <f>Electricity!F11</f>
        <v>18360.000000000582</v>
      </c>
      <c r="H7" s="47">
        <v>1553.67</v>
      </c>
      <c r="I7" s="57" t="s">
        <v>28</v>
      </c>
      <c r="J7" s="106">
        <f>Electricity!L11</f>
        <v>26855372.39040114</v>
      </c>
      <c r="K7" s="43">
        <f t="shared" si="0"/>
        <v>1167.6248865391337</v>
      </c>
      <c r="L7" s="43">
        <f>Water!G10</f>
        <v>269</v>
      </c>
      <c r="M7" s="58">
        <v>12550</v>
      </c>
      <c r="N7" s="106">
        <f t="shared" si="1"/>
        <v>3375950</v>
      </c>
      <c r="O7" s="43">
        <f t="shared" si="3"/>
        <v>165</v>
      </c>
    </row>
    <row r="8" spans="1:15" x14ac:dyDescent="0.25">
      <c r="A8" s="48" t="s">
        <v>45</v>
      </c>
      <c r="B8" s="45">
        <v>7</v>
      </c>
      <c r="C8" s="45">
        <v>8</v>
      </c>
      <c r="D8" s="45">
        <f t="shared" si="2"/>
        <v>2019</v>
      </c>
      <c r="E8" s="43">
        <f>Electricity!G12</f>
        <v>26919.999999998254</v>
      </c>
      <c r="F8" s="43">
        <f>Electricity!E12</f>
        <v>4319.999999999709</v>
      </c>
      <c r="G8" s="43">
        <f>Electricity!F12</f>
        <v>22599.999999998545</v>
      </c>
      <c r="H8" s="47">
        <v>1553.67</v>
      </c>
      <c r="I8" s="57" t="s">
        <v>28</v>
      </c>
      <c r="J8" s="106">
        <f>Electricity!L12</f>
        <v>30843373.977597993</v>
      </c>
      <c r="K8" s="43">
        <f t="shared" si="0"/>
        <v>1145.741975393759</v>
      </c>
      <c r="L8" s="43">
        <f>Water!G11</f>
        <v>326</v>
      </c>
      <c r="M8" s="58">
        <v>12550</v>
      </c>
      <c r="N8" s="106">
        <f t="shared" si="1"/>
        <v>4091300</v>
      </c>
      <c r="O8" s="43">
        <f t="shared" si="3"/>
        <v>165</v>
      </c>
    </row>
    <row r="9" spans="1:15" x14ac:dyDescent="0.25">
      <c r="A9" s="48" t="s">
        <v>45</v>
      </c>
      <c r="B9" s="45">
        <v>8</v>
      </c>
      <c r="C9" s="45">
        <v>8</v>
      </c>
      <c r="D9" s="45">
        <f t="shared" si="2"/>
        <v>2019</v>
      </c>
      <c r="E9" s="43">
        <f>Electricity!G13</f>
        <v>29040.000000001783</v>
      </c>
      <c r="F9" s="43">
        <f>Electricity!E13</f>
        <v>4480.0000000004729</v>
      </c>
      <c r="G9" s="43">
        <f>Electricity!F13</f>
        <v>24560.00000000131</v>
      </c>
      <c r="H9" s="47">
        <v>1553.67</v>
      </c>
      <c r="I9" s="57" t="s">
        <v>28</v>
      </c>
      <c r="J9" s="106">
        <f>Electricity!L13</f>
        <v>33176779.161602143</v>
      </c>
      <c r="K9" s="43">
        <f t="shared" si="0"/>
        <v>1142.451073057855</v>
      </c>
      <c r="L9" s="43">
        <f>Water!G12</f>
        <v>382</v>
      </c>
      <c r="M9" s="58">
        <v>12550</v>
      </c>
      <c r="N9" s="106">
        <f t="shared" si="1"/>
        <v>4794100</v>
      </c>
      <c r="O9" s="43">
        <f t="shared" si="3"/>
        <v>165</v>
      </c>
    </row>
    <row r="10" spans="1:15" x14ac:dyDescent="0.25">
      <c r="A10" s="48" t="s">
        <v>45</v>
      </c>
      <c r="B10" s="45">
        <v>9</v>
      </c>
      <c r="C10" s="45">
        <v>8</v>
      </c>
      <c r="D10" s="45">
        <f t="shared" si="2"/>
        <v>2019</v>
      </c>
      <c r="E10" s="43">
        <f>Electricity!G14</f>
        <v>27399.999999999636</v>
      </c>
      <c r="F10" s="43">
        <f>Electricity!E14</f>
        <v>1399.9999999996362</v>
      </c>
      <c r="G10" s="43">
        <f>Electricity!F14</f>
        <v>26000</v>
      </c>
      <c r="H10" s="47">
        <v>1553.67</v>
      </c>
      <c r="I10" s="57" t="s">
        <v>28</v>
      </c>
      <c r="J10" s="106">
        <f>Electricity!L14</f>
        <v>29803948.03199942</v>
      </c>
      <c r="K10" s="43">
        <f t="shared" si="0"/>
        <v>1087.7353296350298</v>
      </c>
      <c r="L10" s="43">
        <f>Water!G13</f>
        <v>453</v>
      </c>
      <c r="M10" s="58">
        <v>12550</v>
      </c>
      <c r="N10" s="106">
        <f t="shared" si="1"/>
        <v>5685150</v>
      </c>
      <c r="O10" s="43">
        <f t="shared" si="3"/>
        <v>165</v>
      </c>
    </row>
    <row r="11" spans="1:15" x14ac:dyDescent="0.25">
      <c r="A11" s="48" t="s">
        <v>45</v>
      </c>
      <c r="B11" s="45">
        <v>10</v>
      </c>
      <c r="C11" s="45">
        <v>8</v>
      </c>
      <c r="D11" s="45">
        <f t="shared" si="2"/>
        <v>2019</v>
      </c>
      <c r="E11" s="43">
        <f>Electricity!G15</f>
        <v>21240.000000001601</v>
      </c>
      <c r="F11" s="43">
        <f>Electricity!E15</f>
        <v>6840.0000000001455</v>
      </c>
      <c r="G11" s="43">
        <f>Electricity!F15</f>
        <v>14400.000000001455</v>
      </c>
      <c r="H11" s="47">
        <v>1553.67</v>
      </c>
      <c r="I11" s="57" t="s">
        <v>28</v>
      </c>
      <c r="J11" s="106">
        <f>Electricity!L15</f>
        <v>26155350.835201774</v>
      </c>
      <c r="K11" s="43">
        <f t="shared" si="0"/>
        <v>1231.4195308474484</v>
      </c>
      <c r="L11" s="43">
        <f>Water!G14</f>
        <v>347</v>
      </c>
      <c r="M11" s="58">
        <v>12550</v>
      </c>
      <c r="N11" s="106">
        <f t="shared" si="1"/>
        <v>4354850</v>
      </c>
      <c r="O11" s="43">
        <f t="shared" si="3"/>
        <v>165</v>
      </c>
    </row>
    <row r="12" spans="1:15" x14ac:dyDescent="0.25">
      <c r="A12" s="48" t="s">
        <v>45</v>
      </c>
      <c r="B12" s="45">
        <v>11</v>
      </c>
      <c r="C12" s="45">
        <v>8</v>
      </c>
      <c r="D12" s="45">
        <f t="shared" si="2"/>
        <v>2019</v>
      </c>
      <c r="E12" s="43">
        <f>Electricity!G16</f>
        <v>24319.999999998799</v>
      </c>
      <c r="F12" s="43">
        <f>Electricity!E16</f>
        <v>5880.0000000001091</v>
      </c>
      <c r="G12" s="43">
        <f>Electricity!F16</f>
        <v>18439.99999999869</v>
      </c>
      <c r="H12" s="47">
        <v>1553.67</v>
      </c>
      <c r="I12" s="57" t="s">
        <v>28</v>
      </c>
      <c r="J12" s="106">
        <f>Electricity!L16</f>
        <v>28913011.507198785</v>
      </c>
      <c r="K12" s="43">
        <f t="shared" si="0"/>
        <v>1188.8573810526402</v>
      </c>
      <c r="L12" s="43">
        <f>Water!G15</f>
        <v>227</v>
      </c>
      <c r="M12" s="58">
        <v>12550</v>
      </c>
      <c r="N12" s="106">
        <f t="shared" si="1"/>
        <v>2848850</v>
      </c>
      <c r="O12" s="43">
        <f t="shared" si="3"/>
        <v>165</v>
      </c>
    </row>
    <row r="13" spans="1:15" x14ac:dyDescent="0.25">
      <c r="A13" s="48" t="s">
        <v>45</v>
      </c>
      <c r="B13" s="45">
        <v>12</v>
      </c>
      <c r="C13" s="45">
        <v>8</v>
      </c>
      <c r="D13" s="45">
        <f t="shared" si="2"/>
        <v>2019</v>
      </c>
      <c r="E13" s="43">
        <f>Electricity!G17</f>
        <v>25599.999999998545</v>
      </c>
      <c r="F13" s="43">
        <f>Electricity!E17</f>
        <v>4319.999999999709</v>
      </c>
      <c r="G13" s="43">
        <f>Electricity!F17</f>
        <v>21279.999999998836</v>
      </c>
      <c r="H13" s="47">
        <v>1553.67</v>
      </c>
      <c r="I13" s="57" t="s">
        <v>28</v>
      </c>
      <c r="J13" s="106">
        <f>Electricity!L17</f>
        <v>29443330.867198303</v>
      </c>
      <c r="K13" s="43">
        <f t="shared" si="0"/>
        <v>1150.1301119999991</v>
      </c>
      <c r="L13" s="43">
        <f>Water!G16</f>
        <v>389</v>
      </c>
      <c r="M13" s="58">
        <v>12550</v>
      </c>
      <c r="N13" s="106">
        <f t="shared" si="1"/>
        <v>4881950</v>
      </c>
      <c r="O13" s="43">
        <f t="shared" si="3"/>
        <v>165</v>
      </c>
    </row>
    <row r="14" spans="1:15" x14ac:dyDescent="0.25">
      <c r="A14" s="48" t="s">
        <v>45</v>
      </c>
      <c r="B14" s="45">
        <v>13</v>
      </c>
      <c r="C14" s="45">
        <v>8</v>
      </c>
      <c r="D14" s="45">
        <f t="shared" si="2"/>
        <v>2019</v>
      </c>
      <c r="E14" s="43">
        <f>Electricity!G18</f>
        <v>27080.000000002656</v>
      </c>
      <c r="F14" s="43">
        <f>Electricity!E18</f>
        <v>6320.0000000006185</v>
      </c>
      <c r="G14" s="43">
        <f>Electricity!F18</f>
        <v>20760.000000002037</v>
      </c>
      <c r="H14" s="47">
        <v>1553.67</v>
      </c>
      <c r="I14" s="57" t="s">
        <v>28</v>
      </c>
      <c r="J14" s="106">
        <f>Electricity!L18</f>
        <v>32073714.892803147</v>
      </c>
      <c r="K14" s="43">
        <f t="shared" si="0"/>
        <v>1184.4060152437223</v>
      </c>
      <c r="L14" s="43">
        <f>Water!G17</f>
        <v>391</v>
      </c>
      <c r="M14" s="58">
        <v>12550</v>
      </c>
      <c r="N14" s="106">
        <f t="shared" si="1"/>
        <v>4907050</v>
      </c>
      <c r="O14" s="43">
        <f t="shared" si="3"/>
        <v>165</v>
      </c>
    </row>
    <row r="15" spans="1:15" x14ac:dyDescent="0.25">
      <c r="A15" s="48" t="s">
        <v>45</v>
      </c>
      <c r="B15" s="45">
        <v>14</v>
      </c>
      <c r="C15" s="45">
        <v>8</v>
      </c>
      <c r="D15" s="45">
        <f t="shared" si="2"/>
        <v>2019</v>
      </c>
      <c r="E15" s="43">
        <f>Electricity!G19</f>
        <v>26599.999999997635</v>
      </c>
      <c r="F15" s="43">
        <f>Electricity!E19</f>
        <v>5039.9999999999636</v>
      </c>
      <c r="G15" s="43">
        <f>Electricity!F19</f>
        <v>21559.999999997672</v>
      </c>
      <c r="H15" s="47">
        <v>1553.67</v>
      </c>
      <c r="I15" s="57" t="s">
        <v>28</v>
      </c>
      <c r="J15" s="106">
        <f>Electricity!L19</f>
        <v>30885799.52639747</v>
      </c>
      <c r="K15" s="43">
        <f t="shared" si="0"/>
        <v>1161.1202829473766</v>
      </c>
      <c r="L15" s="43">
        <f>Water!G18</f>
        <v>242</v>
      </c>
      <c r="M15" s="58">
        <v>12550</v>
      </c>
      <c r="N15" s="106">
        <f t="shared" si="1"/>
        <v>3037100</v>
      </c>
      <c r="O15" s="43">
        <f t="shared" si="3"/>
        <v>165</v>
      </c>
    </row>
    <row r="16" spans="1:15" x14ac:dyDescent="0.25">
      <c r="A16" s="48" t="s">
        <v>45</v>
      </c>
      <c r="B16" s="45">
        <v>15</v>
      </c>
      <c r="C16" s="45">
        <v>8</v>
      </c>
      <c r="D16" s="45">
        <f t="shared" si="2"/>
        <v>2019</v>
      </c>
      <c r="E16" s="43">
        <f>Electricity!G20</f>
        <v>26560.0000000004</v>
      </c>
      <c r="F16" s="43">
        <f>Electricity!E20</f>
        <v>5199.9999999998181</v>
      </c>
      <c r="G16" s="43">
        <f>Electricity!F20</f>
        <v>21360.000000000582</v>
      </c>
      <c r="H16" s="47">
        <v>1553.67</v>
      </c>
      <c r="I16" s="57" t="s">
        <v>28</v>
      </c>
      <c r="J16" s="106">
        <f>Electricity!L20</f>
        <v>30928225.075200327</v>
      </c>
      <c r="K16" s="43">
        <f t="shared" si="0"/>
        <v>1164.4663055421634</v>
      </c>
      <c r="L16" s="43">
        <f>Water!G19</f>
        <v>422</v>
      </c>
      <c r="M16" s="58">
        <v>12550</v>
      </c>
      <c r="N16" s="106">
        <f t="shared" si="1"/>
        <v>5296100</v>
      </c>
      <c r="O16" s="43">
        <f t="shared" si="3"/>
        <v>165</v>
      </c>
    </row>
    <row r="17" spans="1:15" x14ac:dyDescent="0.25">
      <c r="A17" s="48" t="s">
        <v>45</v>
      </c>
      <c r="B17" s="45">
        <v>16</v>
      </c>
      <c r="C17" s="45">
        <v>8</v>
      </c>
      <c r="D17" s="45">
        <f t="shared" si="2"/>
        <v>2019</v>
      </c>
      <c r="E17" s="43">
        <f>Electricity!G21</f>
        <v>26639.999999999418</v>
      </c>
      <c r="F17" s="43">
        <f>Electricity!E21</f>
        <v>4840.0000000001455</v>
      </c>
      <c r="G17" s="43">
        <f>Electricity!F21</f>
        <v>21799.999999999272</v>
      </c>
      <c r="H17" s="47">
        <v>1553.67</v>
      </c>
      <c r="I17" s="57" t="s">
        <v>28</v>
      </c>
      <c r="J17" s="106">
        <f>Electricity!L21</f>
        <v>30822161.203199461</v>
      </c>
      <c r="K17" s="43">
        <f t="shared" si="0"/>
        <v>1156.9880331531583</v>
      </c>
      <c r="L17" s="43">
        <f>Water!G20</f>
        <v>358</v>
      </c>
      <c r="M17" s="58">
        <v>12550</v>
      </c>
      <c r="N17" s="106">
        <f t="shared" si="1"/>
        <v>4492900</v>
      </c>
      <c r="O17" s="43">
        <f t="shared" si="3"/>
        <v>165</v>
      </c>
    </row>
    <row r="18" spans="1:15" x14ac:dyDescent="0.25">
      <c r="A18" s="48" t="s">
        <v>45</v>
      </c>
      <c r="B18" s="45">
        <v>17</v>
      </c>
      <c r="C18" s="45">
        <v>8</v>
      </c>
      <c r="D18" s="45">
        <f t="shared" si="2"/>
        <v>2019</v>
      </c>
      <c r="E18" s="43">
        <f>Electricity!G22</f>
        <v>26320.000000001528</v>
      </c>
      <c r="F18" s="43">
        <f>Electricity!E22</f>
        <v>5079.9999999999272</v>
      </c>
      <c r="G18" s="43">
        <f>Electricity!F22</f>
        <v>21240.000000001601</v>
      </c>
      <c r="H18" s="47">
        <v>1553.67</v>
      </c>
      <c r="I18" s="57" t="s">
        <v>28</v>
      </c>
      <c r="J18" s="106">
        <f>Electricity!L22</f>
        <v>30610033.459201582</v>
      </c>
      <c r="K18" s="43">
        <f t="shared" si="0"/>
        <v>1162.9951922188375</v>
      </c>
      <c r="L18" s="43">
        <f>Water!G21</f>
        <v>248</v>
      </c>
      <c r="M18" s="58">
        <v>12550</v>
      </c>
      <c r="N18" s="106">
        <f t="shared" si="1"/>
        <v>3112400</v>
      </c>
      <c r="O18" s="43">
        <f t="shared" si="3"/>
        <v>165</v>
      </c>
    </row>
    <row r="19" spans="1:15" x14ac:dyDescent="0.25">
      <c r="A19" s="48" t="s">
        <v>45</v>
      </c>
      <c r="B19" s="45">
        <v>18</v>
      </c>
      <c r="C19" s="45">
        <v>8</v>
      </c>
      <c r="D19" s="45">
        <f t="shared" si="2"/>
        <v>2019</v>
      </c>
      <c r="E19" s="43">
        <f>Electricity!G23</f>
        <v>24159.999999998945</v>
      </c>
      <c r="F19" s="43">
        <f>Electricity!E23</f>
        <v>3199.9999999998181</v>
      </c>
      <c r="G19" s="43">
        <f>Electricity!F23</f>
        <v>20959.999999999127</v>
      </c>
      <c r="H19" s="47">
        <v>1553.67</v>
      </c>
      <c r="I19" s="57" t="s">
        <v>28</v>
      </c>
      <c r="J19" s="106">
        <f>Electricity!L23</f>
        <v>27322053.427198783</v>
      </c>
      <c r="K19" s="43">
        <f t="shared" si="0"/>
        <v>1130.8796948344361</v>
      </c>
      <c r="L19" s="43">
        <f>Water!G22</f>
        <v>241</v>
      </c>
      <c r="M19" s="58">
        <v>12550</v>
      </c>
      <c r="N19" s="106">
        <f t="shared" si="1"/>
        <v>3024550</v>
      </c>
      <c r="O19" s="43">
        <f t="shared" si="3"/>
        <v>165</v>
      </c>
    </row>
    <row r="20" spans="1:15" x14ac:dyDescent="0.25">
      <c r="A20" s="48" t="s">
        <v>45</v>
      </c>
      <c r="B20" s="45">
        <v>19</v>
      </c>
      <c r="C20" s="45">
        <v>8</v>
      </c>
      <c r="D20" s="45">
        <f t="shared" si="2"/>
        <v>2019</v>
      </c>
      <c r="E20" s="43">
        <f>Electricity!G24</f>
        <v>27720.000000001164</v>
      </c>
      <c r="F20" s="43">
        <f>Electricity!E24</f>
        <v>6479.9999999995634</v>
      </c>
      <c r="G20" s="43">
        <f>Electricity!F24</f>
        <v>21240.000000001601</v>
      </c>
      <c r="H20" s="47">
        <v>1553.67</v>
      </c>
      <c r="I20" s="57" t="s">
        <v>28</v>
      </c>
      <c r="J20" s="106">
        <f>Electricity!L24</f>
        <v>32837374.771201003</v>
      </c>
      <c r="K20" s="43">
        <f t="shared" si="0"/>
        <v>1184.609479480506</v>
      </c>
      <c r="L20" s="43">
        <f>Water!G23</f>
        <v>425</v>
      </c>
      <c r="M20" s="58">
        <v>12550</v>
      </c>
      <c r="N20" s="106">
        <f t="shared" si="1"/>
        <v>5333750</v>
      </c>
      <c r="O20" s="43">
        <f t="shared" si="3"/>
        <v>165</v>
      </c>
    </row>
    <row r="21" spans="1:15" x14ac:dyDescent="0.25">
      <c r="A21" s="48" t="s">
        <v>45</v>
      </c>
      <c r="B21" s="45">
        <v>20</v>
      </c>
      <c r="C21" s="45">
        <v>8</v>
      </c>
      <c r="D21" s="45">
        <f t="shared" si="2"/>
        <v>2019</v>
      </c>
      <c r="E21" s="43">
        <f>Electricity!G25</f>
        <v>26560.0000000004</v>
      </c>
      <c r="F21" s="43">
        <f>Electricity!E25</f>
        <v>5400.0000000005457</v>
      </c>
      <c r="G21" s="43">
        <f>Electricity!F25</f>
        <v>21159.999999999854</v>
      </c>
      <c r="H21" s="47">
        <v>1553.67</v>
      </c>
      <c r="I21" s="57" t="s">
        <v>28</v>
      </c>
      <c r="J21" s="106">
        <f>Electricity!L25</f>
        <v>31034288.947200716</v>
      </c>
      <c r="K21" s="43">
        <f t="shared" si="0"/>
        <v>1168.4596742168767</v>
      </c>
      <c r="L21" s="43">
        <f>Water!G24</f>
        <v>361</v>
      </c>
      <c r="M21" s="58">
        <v>12550</v>
      </c>
      <c r="N21" s="106">
        <f t="shared" si="1"/>
        <v>4530550</v>
      </c>
      <c r="O21" s="43">
        <f t="shared" si="3"/>
        <v>165</v>
      </c>
    </row>
    <row r="22" spans="1:15" x14ac:dyDescent="0.25">
      <c r="A22" s="48" t="s">
        <v>45</v>
      </c>
      <c r="B22" s="45">
        <v>21</v>
      </c>
      <c r="C22" s="45">
        <v>8</v>
      </c>
      <c r="D22" s="45">
        <f t="shared" si="2"/>
        <v>2019</v>
      </c>
      <c r="E22" s="43">
        <f>Electricity!G26</f>
        <v>26000</v>
      </c>
      <c r="F22" s="43">
        <f>Electricity!E26</f>
        <v>4639.9999999994179</v>
      </c>
      <c r="G22" s="43">
        <f>Electricity!F26</f>
        <v>21360.000000000582</v>
      </c>
      <c r="H22" s="47">
        <v>1553.67</v>
      </c>
      <c r="I22" s="57" t="s">
        <v>28</v>
      </c>
      <c r="J22" s="106">
        <f>Electricity!L26</f>
        <v>30037288.550399687</v>
      </c>
      <c r="K22" s="43">
        <f t="shared" si="0"/>
        <v>1155.2803288615264</v>
      </c>
      <c r="L22" s="43">
        <f>Water!G25</f>
        <v>250</v>
      </c>
      <c r="M22" s="58">
        <v>12550</v>
      </c>
      <c r="N22" s="106">
        <f t="shared" si="1"/>
        <v>3137500</v>
      </c>
      <c r="O22" s="43">
        <f t="shared" si="3"/>
        <v>165</v>
      </c>
    </row>
    <row r="23" spans="1:15" x14ac:dyDescent="0.25">
      <c r="A23" s="48" t="s">
        <v>45</v>
      </c>
      <c r="B23" s="45">
        <v>22</v>
      </c>
      <c r="C23" s="45">
        <v>8</v>
      </c>
      <c r="D23" s="45">
        <f t="shared" si="2"/>
        <v>2019</v>
      </c>
      <c r="E23" s="43">
        <f>Electricity!G27</f>
        <v>26239.999999999782</v>
      </c>
      <c r="F23" s="43">
        <f>Electricity!E27</f>
        <v>4760.0000000002183</v>
      </c>
      <c r="G23" s="43">
        <f>Electricity!F27</f>
        <v>21479.999999999563</v>
      </c>
      <c r="H23" s="47">
        <v>1553.67</v>
      </c>
      <c r="I23" s="57" t="s">
        <v>28</v>
      </c>
      <c r="J23" s="106">
        <f>Electricity!L27</f>
        <v>30355480.166399885</v>
      </c>
      <c r="K23" s="43">
        <f t="shared" si="0"/>
        <v>1156.839945365859</v>
      </c>
      <c r="L23" s="43">
        <f>Water!G26</f>
        <v>400</v>
      </c>
      <c r="M23" s="58">
        <v>12550</v>
      </c>
      <c r="N23" s="106">
        <f t="shared" si="1"/>
        <v>5020000</v>
      </c>
      <c r="O23" s="43">
        <f t="shared" si="3"/>
        <v>165</v>
      </c>
    </row>
    <row r="24" spans="1:15" x14ac:dyDescent="0.25">
      <c r="A24" s="48" t="s">
        <v>45</v>
      </c>
      <c r="B24" s="45">
        <v>23</v>
      </c>
      <c r="C24" s="45">
        <v>8</v>
      </c>
      <c r="D24" s="45">
        <f t="shared" si="2"/>
        <v>2019</v>
      </c>
      <c r="E24" s="43">
        <f>Electricity!G28</f>
        <v>27399.999999998727</v>
      </c>
      <c r="F24" s="43">
        <f>Electricity!E28</f>
        <v>5279.9999999997453</v>
      </c>
      <c r="G24" s="43">
        <f>Electricity!F28</f>
        <v>22119.999999998981</v>
      </c>
      <c r="H24" s="47">
        <v>1553.67</v>
      </c>
      <c r="I24" s="57" t="s">
        <v>28</v>
      </c>
      <c r="J24" s="106">
        <f>Electricity!L28</f>
        <v>31861587.14879851</v>
      </c>
      <c r="K24" s="43">
        <f t="shared" si="0"/>
        <v>1162.831647766423</v>
      </c>
      <c r="L24" s="43">
        <f>Water!G27</f>
        <v>303</v>
      </c>
      <c r="M24" s="58">
        <v>12550</v>
      </c>
      <c r="N24" s="106">
        <f t="shared" si="1"/>
        <v>3802650</v>
      </c>
      <c r="O24" s="43">
        <f t="shared" si="3"/>
        <v>165</v>
      </c>
    </row>
    <row r="25" spans="1:15" x14ac:dyDescent="0.25">
      <c r="A25" s="48" t="s">
        <v>45</v>
      </c>
      <c r="B25" s="45">
        <v>24</v>
      </c>
      <c r="C25" s="45">
        <v>8</v>
      </c>
      <c r="D25" s="45">
        <f t="shared" si="2"/>
        <v>2019</v>
      </c>
      <c r="E25" s="43">
        <f>Electricity!G29</f>
        <v>26559.999999999491</v>
      </c>
      <c r="F25" s="43">
        <f>Electricity!E29</f>
        <v>4760.0000000002183</v>
      </c>
      <c r="G25" s="43">
        <f>Electricity!F29</f>
        <v>21799.999999999272</v>
      </c>
      <c r="H25" s="47">
        <v>1553.67</v>
      </c>
      <c r="I25" s="57" t="s">
        <v>28</v>
      </c>
      <c r="J25" s="106">
        <f>Electricity!L29</f>
        <v>30694884.556799576</v>
      </c>
      <c r="K25" s="43">
        <f t="shared" si="0"/>
        <v>1155.6808944578374</v>
      </c>
      <c r="L25" s="43">
        <f>Water!G28</f>
        <v>427</v>
      </c>
      <c r="M25" s="58">
        <v>12550</v>
      </c>
      <c r="N25" s="106">
        <f t="shared" si="1"/>
        <v>5358850</v>
      </c>
      <c r="O25" s="43">
        <f t="shared" si="3"/>
        <v>165</v>
      </c>
    </row>
    <row r="26" spans="1:15" x14ac:dyDescent="0.25">
      <c r="A26" s="48" t="s">
        <v>45</v>
      </c>
      <c r="B26" s="45">
        <v>25</v>
      </c>
      <c r="C26" s="45">
        <v>8</v>
      </c>
      <c r="D26" s="45">
        <f t="shared" si="2"/>
        <v>2019</v>
      </c>
      <c r="E26" s="43">
        <f>Electricity!G30</f>
        <v>28319.999999999709</v>
      </c>
      <c r="F26" s="43">
        <f>Electricity!E30</f>
        <v>5840.0000000001455</v>
      </c>
      <c r="G26" s="43">
        <f>Electricity!F30</f>
        <v>22479.999999999563</v>
      </c>
      <c r="H26" s="47">
        <v>1553.67</v>
      </c>
      <c r="I26" s="57" t="s">
        <v>28</v>
      </c>
      <c r="J26" s="106">
        <f>Electricity!L30</f>
        <v>33134353.612799767</v>
      </c>
      <c r="K26" s="43">
        <f t="shared" si="0"/>
        <v>1169.9983620339021</v>
      </c>
      <c r="L26" s="43">
        <f>Water!G29</f>
        <v>383</v>
      </c>
      <c r="M26" s="58">
        <v>12550</v>
      </c>
      <c r="N26" s="106">
        <f t="shared" si="1"/>
        <v>4806650</v>
      </c>
      <c r="O26" s="43">
        <f t="shared" si="3"/>
        <v>165</v>
      </c>
    </row>
    <row r="27" spans="1:15" x14ac:dyDescent="0.25">
      <c r="A27" s="48" t="s">
        <v>45</v>
      </c>
      <c r="B27" s="45">
        <v>26</v>
      </c>
      <c r="C27" s="45">
        <v>8</v>
      </c>
      <c r="D27" s="45">
        <f t="shared" si="2"/>
        <v>2019</v>
      </c>
      <c r="E27" s="43">
        <f>Electricity!G31</f>
        <v>25319.999999999709</v>
      </c>
      <c r="F27" s="43">
        <f>Electricity!E31</f>
        <v>4319.999999999709</v>
      </c>
      <c r="G27" s="43">
        <f>Electricity!F31</f>
        <v>21000</v>
      </c>
      <c r="H27" s="47">
        <v>1553.67</v>
      </c>
      <c r="I27" s="57" t="s">
        <v>28</v>
      </c>
      <c r="J27" s="106">
        <f>Electricity!L31</f>
        <v>29146352.025599536</v>
      </c>
      <c r="K27" s="43">
        <f t="shared" si="0"/>
        <v>1151.1197482464404</v>
      </c>
      <c r="L27" s="43">
        <f>Water!G30</f>
        <v>323</v>
      </c>
      <c r="M27" s="58">
        <v>12550</v>
      </c>
      <c r="N27" s="106">
        <f t="shared" si="1"/>
        <v>4053650</v>
      </c>
      <c r="O27" s="43">
        <f t="shared" si="3"/>
        <v>165</v>
      </c>
    </row>
    <row r="28" spans="1:15" x14ac:dyDescent="0.25">
      <c r="A28" s="48" t="s">
        <v>45</v>
      </c>
      <c r="B28" s="45">
        <v>27</v>
      </c>
      <c r="C28" s="45">
        <v>8</v>
      </c>
      <c r="D28" s="45">
        <f t="shared" si="2"/>
        <v>2019</v>
      </c>
      <c r="E28" s="43">
        <f>Electricity!G32</f>
        <v>27800.00000000291</v>
      </c>
      <c r="F28" s="43">
        <f>Electricity!E32</f>
        <v>6000</v>
      </c>
      <c r="G28" s="43">
        <f>Electricity!F32</f>
        <v>21800.00000000291</v>
      </c>
      <c r="H28" s="47">
        <v>1553.67</v>
      </c>
      <c r="I28" s="57" t="s">
        <v>28</v>
      </c>
      <c r="J28" s="106">
        <f>Electricity!L32</f>
        <v>32667672.576003086</v>
      </c>
      <c r="K28" s="43">
        <f t="shared" si="0"/>
        <v>1175.0961358273262</v>
      </c>
      <c r="L28" s="43">
        <f>Water!G31</f>
        <v>252</v>
      </c>
      <c r="M28" s="58">
        <v>12550</v>
      </c>
      <c r="N28" s="106">
        <f t="shared" si="1"/>
        <v>3162600</v>
      </c>
      <c r="O28" s="43">
        <f t="shared" si="3"/>
        <v>165</v>
      </c>
    </row>
    <row r="29" spans="1:15" x14ac:dyDescent="0.25">
      <c r="A29" s="48" t="s">
        <v>45</v>
      </c>
      <c r="B29" s="45">
        <v>28</v>
      </c>
      <c r="C29" s="45">
        <v>8</v>
      </c>
      <c r="D29" s="45">
        <f t="shared" si="2"/>
        <v>2019</v>
      </c>
      <c r="E29" s="43">
        <f>Electricity!G33</f>
        <v>26519.999999999527</v>
      </c>
      <c r="F29" s="43">
        <f>Electricity!E33</f>
        <v>4240.0000000006912</v>
      </c>
      <c r="G29" s="43">
        <f>Electricity!F33</f>
        <v>22279.999999998836</v>
      </c>
      <c r="H29" s="47">
        <v>1553.67</v>
      </c>
      <c r="I29" s="57" t="s">
        <v>28</v>
      </c>
      <c r="J29" s="106">
        <f>Electricity!L33</f>
        <v>30376692.940799866</v>
      </c>
      <c r="K29" s="43">
        <f t="shared" si="0"/>
        <v>1145.4258273303321</v>
      </c>
      <c r="L29" s="43">
        <f>Water!G32</f>
        <v>440</v>
      </c>
      <c r="M29" s="58">
        <v>12550</v>
      </c>
      <c r="N29" s="106">
        <f t="shared" si="1"/>
        <v>5522000</v>
      </c>
      <c r="O29" s="43">
        <f t="shared" si="3"/>
        <v>165</v>
      </c>
    </row>
    <row r="30" spans="1:15" s="43" customFormat="1" x14ac:dyDescent="0.25">
      <c r="A30" s="48" t="s">
        <v>45</v>
      </c>
      <c r="B30" s="45">
        <v>29</v>
      </c>
      <c r="C30" s="45">
        <v>8</v>
      </c>
      <c r="D30" s="45">
        <f t="shared" si="2"/>
        <v>2019</v>
      </c>
      <c r="E30" s="43">
        <f>Electricity!G34</f>
        <v>26279.999999998836</v>
      </c>
      <c r="F30" s="43">
        <f>Electricity!E34</f>
        <v>6000</v>
      </c>
      <c r="G30" s="43">
        <f>Electricity!F34</f>
        <v>20279.999999998836</v>
      </c>
      <c r="H30" s="47">
        <v>1553.67</v>
      </c>
      <c r="I30" s="57" t="s">
        <v>28</v>
      </c>
      <c r="J30" s="106">
        <f>Electricity!L34</f>
        <v>31055501.721598767</v>
      </c>
      <c r="K30" s="43">
        <f t="shared" si="0"/>
        <v>1181.7161994520602</v>
      </c>
      <c r="L30" s="43">
        <f>Water!G33</f>
        <v>327</v>
      </c>
      <c r="M30" s="58">
        <v>12550</v>
      </c>
      <c r="N30" s="106">
        <f t="shared" si="1"/>
        <v>4103850</v>
      </c>
      <c r="O30" s="43">
        <f t="shared" si="3"/>
        <v>165</v>
      </c>
    </row>
    <row r="31" spans="1:15" s="43" customFormat="1" x14ac:dyDescent="0.25">
      <c r="A31" s="48" t="s">
        <v>45</v>
      </c>
      <c r="B31" s="45">
        <v>30</v>
      </c>
      <c r="C31" s="45">
        <v>8</v>
      </c>
      <c r="D31" s="45">
        <f t="shared" si="2"/>
        <v>2019</v>
      </c>
      <c r="E31" s="43">
        <f>Electricity!G35</f>
        <v>27240.000000000691</v>
      </c>
      <c r="F31" s="43">
        <f>Electricity!E35</f>
        <v>5359.9999999996726</v>
      </c>
      <c r="G31" s="43">
        <f>Electricity!F35</f>
        <v>21880.000000001019</v>
      </c>
      <c r="H31" s="47">
        <v>1553.67</v>
      </c>
      <c r="I31" s="57" t="s">
        <v>28</v>
      </c>
      <c r="J31" s="106">
        <f>Electricity!L35</f>
        <v>31734310.502400558</v>
      </c>
      <c r="K31" s="43">
        <f t="shared" si="0"/>
        <v>1164.9893723347927</v>
      </c>
      <c r="L31" s="43">
        <f>Water!G34</f>
        <v>342</v>
      </c>
      <c r="M31" s="58">
        <v>12550</v>
      </c>
      <c r="N31" s="106">
        <f t="shared" si="1"/>
        <v>4292100</v>
      </c>
      <c r="O31" s="43">
        <f t="shared" si="3"/>
        <v>165</v>
      </c>
    </row>
    <row r="32" spans="1:15" s="43" customFormat="1" x14ac:dyDescent="0.25">
      <c r="A32" s="48" t="s">
        <v>45</v>
      </c>
      <c r="B32" s="45">
        <v>31</v>
      </c>
      <c r="C32" s="45">
        <v>8</v>
      </c>
      <c r="D32" s="45">
        <f t="shared" si="2"/>
        <v>2019</v>
      </c>
      <c r="E32" s="43">
        <f>Electricity!G36</f>
        <v>24400.000000000546</v>
      </c>
      <c r="F32" s="43">
        <f>Electricity!E36</f>
        <v>3199.9999999998181</v>
      </c>
      <c r="G32" s="43">
        <f>Electricity!F36</f>
        <v>21200.000000000728</v>
      </c>
      <c r="H32" s="47">
        <v>1554.67</v>
      </c>
      <c r="I32" s="57" t="s">
        <v>37</v>
      </c>
      <c r="J32" s="106">
        <f>Electricity!L36</f>
        <v>27576606.720000479</v>
      </c>
      <c r="K32" s="43">
        <f t="shared" si="0"/>
        <v>1130.1887999999944</v>
      </c>
      <c r="L32" s="43">
        <f>Water!G35</f>
        <v>408</v>
      </c>
      <c r="M32" s="58">
        <v>12550</v>
      </c>
      <c r="N32" s="106">
        <f t="shared" si="1"/>
        <v>5120400</v>
      </c>
      <c r="O32" s="43">
        <f t="shared" si="3"/>
        <v>165</v>
      </c>
    </row>
    <row r="33" spans="1:13" s="43" customFormat="1" x14ac:dyDescent="0.25">
      <c r="A33" s="44"/>
      <c r="B33" s="46"/>
      <c r="C33" s="46"/>
      <c r="D33" s="45"/>
      <c r="I33" s="47"/>
      <c r="K33" s="47"/>
      <c r="L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38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39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43678</v>
      </c>
      <c r="C6" s="59">
        <v>165</v>
      </c>
      <c r="D6" s="87">
        <v>1035.78</v>
      </c>
      <c r="E6" s="115">
        <v>4840.0000000001455</v>
      </c>
      <c r="F6" s="115">
        <v>21560.00000000131</v>
      </c>
      <c r="G6" s="80">
        <f>F6+E6</f>
        <v>26400.000000001455</v>
      </c>
      <c r="H6" s="81">
        <f t="shared" ref="H6:H33" si="0">E6*1.5*D6</f>
        <v>7519762.8000002261</v>
      </c>
      <c r="I6" s="81">
        <f t="shared" ref="I6:I33" si="1">F6*D6</f>
        <v>22331416.800001357</v>
      </c>
      <c r="J6" s="81">
        <f t="shared" ref="J6:J30" si="2">I6+H6</f>
        <v>29851179.600001581</v>
      </c>
      <c r="K6" s="81">
        <f>J6*0.024</f>
        <v>716428.31040003791</v>
      </c>
      <c r="L6" s="104">
        <f>J6+K6</f>
        <v>30567607.91040162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43679</v>
      </c>
      <c r="C7" s="59">
        <f>C6</f>
        <v>165</v>
      </c>
      <c r="D7" s="87">
        <v>1035.78</v>
      </c>
      <c r="E7" s="115">
        <v>6000</v>
      </c>
      <c r="F7" s="115">
        <v>19920.000000001892</v>
      </c>
      <c r="G7" s="80">
        <f t="shared" ref="G7:G33" si="3">F7+E7</f>
        <v>25920.000000001892</v>
      </c>
      <c r="H7" s="81">
        <f t="shared" si="0"/>
        <v>9322020</v>
      </c>
      <c r="I7" s="81">
        <f t="shared" si="1"/>
        <v>20632737.600001957</v>
      </c>
      <c r="J7" s="81">
        <f t="shared" si="2"/>
        <v>29954757.600001957</v>
      </c>
      <c r="K7" s="81">
        <f t="shared" ref="K7:K36" si="4">J7*0.024</f>
        <v>718914.18240004696</v>
      </c>
      <c r="L7" s="104">
        <f>J7+K7</f>
        <v>30673671.782402005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43680</v>
      </c>
      <c r="C8" s="59">
        <f t="shared" ref="C8:C36" si="5">C7</f>
        <v>165</v>
      </c>
      <c r="D8" s="87">
        <v>1035.78</v>
      </c>
      <c r="E8" s="115">
        <v>2840.0000000001455</v>
      </c>
      <c r="F8" s="115">
        <v>19559.999999997672</v>
      </c>
      <c r="G8" s="80">
        <f t="shared" si="3"/>
        <v>22399.999999997817</v>
      </c>
      <c r="H8" s="81">
        <f t="shared" si="0"/>
        <v>4412422.8000002261</v>
      </c>
      <c r="I8" s="81">
        <f t="shared" si="1"/>
        <v>20259856.799997587</v>
      </c>
      <c r="J8" s="81">
        <f t="shared" si="2"/>
        <v>24672279.599997811</v>
      </c>
      <c r="K8" s="81">
        <f t="shared" si="4"/>
        <v>592134.71039994748</v>
      </c>
      <c r="L8" s="104">
        <f t="shared" ref="L8:L30" si="6">J8+K8</f>
        <v>25264414.310397759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43681</v>
      </c>
      <c r="C9" s="59">
        <f t="shared" si="5"/>
        <v>165</v>
      </c>
      <c r="D9" s="87">
        <v>1035.78</v>
      </c>
      <c r="E9" s="115">
        <v>2640.0000000003274</v>
      </c>
      <c r="F9" s="115">
        <v>12000</v>
      </c>
      <c r="G9" s="80">
        <f t="shared" si="3"/>
        <v>14640.000000000327</v>
      </c>
      <c r="H9" s="81">
        <f t="shared" si="0"/>
        <v>4101688.8000005088</v>
      </c>
      <c r="I9" s="81">
        <f t="shared" si="1"/>
        <v>12429360</v>
      </c>
      <c r="J9" s="81">
        <f t="shared" si="2"/>
        <v>16531048.800000509</v>
      </c>
      <c r="K9" s="81">
        <f t="shared" si="4"/>
        <v>396745.17120001221</v>
      </c>
      <c r="L9" s="104">
        <f t="shared" si="6"/>
        <v>16927793.971200522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43682</v>
      </c>
      <c r="C10" s="59">
        <f t="shared" si="5"/>
        <v>165</v>
      </c>
      <c r="D10" s="87">
        <v>1035.78</v>
      </c>
      <c r="E10" s="115">
        <v>2799.9999999992724</v>
      </c>
      <c r="F10" s="115">
        <v>26840.000000000146</v>
      </c>
      <c r="G10" s="80">
        <f t="shared" si="3"/>
        <v>29639.999999999418</v>
      </c>
      <c r="H10" s="81">
        <f t="shared" si="0"/>
        <v>4350275.9999988694</v>
      </c>
      <c r="I10" s="81">
        <f t="shared" si="1"/>
        <v>27800335.200000148</v>
      </c>
      <c r="J10" s="81">
        <f t="shared" si="2"/>
        <v>32150611.19999902</v>
      </c>
      <c r="K10" s="81">
        <f t="shared" si="4"/>
        <v>771614.66879997647</v>
      </c>
      <c r="L10" s="104">
        <f t="shared" si="6"/>
        <v>32922225.868798997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43683</v>
      </c>
      <c r="C11" s="59">
        <f t="shared" si="5"/>
        <v>165</v>
      </c>
      <c r="D11" s="87">
        <v>1035.78</v>
      </c>
      <c r="E11" s="115">
        <v>4640.0000000003274</v>
      </c>
      <c r="F11" s="115">
        <v>18360.000000000582</v>
      </c>
      <c r="G11" s="80">
        <f t="shared" si="3"/>
        <v>23000.000000000909</v>
      </c>
      <c r="H11" s="81">
        <f t="shared" si="0"/>
        <v>7209028.8000005083</v>
      </c>
      <c r="I11" s="81">
        <f t="shared" si="1"/>
        <v>19016920.800000604</v>
      </c>
      <c r="J11" s="81">
        <f t="shared" si="2"/>
        <v>26225949.600001112</v>
      </c>
      <c r="K11" s="81">
        <f t="shared" si="4"/>
        <v>629422.79040002672</v>
      </c>
      <c r="L11" s="104">
        <f t="shared" si="6"/>
        <v>26855372.39040114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43684</v>
      </c>
      <c r="C12" s="59">
        <f t="shared" si="5"/>
        <v>165</v>
      </c>
      <c r="D12" s="87">
        <v>1035.78</v>
      </c>
      <c r="E12" s="115">
        <v>4319.999999999709</v>
      </c>
      <c r="F12" s="115">
        <v>22599.999999998545</v>
      </c>
      <c r="G12" s="80">
        <f t="shared" si="3"/>
        <v>26919.999999998254</v>
      </c>
      <c r="H12" s="81">
        <f t="shared" si="0"/>
        <v>6711854.3999995477</v>
      </c>
      <c r="I12" s="81">
        <f t="shared" si="1"/>
        <v>23408627.999998491</v>
      </c>
      <c r="J12" s="81">
        <f t="shared" si="2"/>
        <v>30120482.399998039</v>
      </c>
      <c r="K12" s="81">
        <f t="shared" si="4"/>
        <v>722891.57759995293</v>
      </c>
      <c r="L12" s="104">
        <f t="shared" si="6"/>
        <v>30843373.977597993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43685</v>
      </c>
      <c r="C13" s="59">
        <f t="shared" si="5"/>
        <v>165</v>
      </c>
      <c r="D13" s="87">
        <v>1035.78</v>
      </c>
      <c r="E13" s="115">
        <v>4480.0000000004729</v>
      </c>
      <c r="F13" s="115">
        <v>24560.00000000131</v>
      </c>
      <c r="G13" s="80">
        <f t="shared" si="3"/>
        <v>29040.000000001783</v>
      </c>
      <c r="H13" s="81">
        <f t="shared" si="0"/>
        <v>6960441.6000007344</v>
      </c>
      <c r="I13" s="81">
        <f t="shared" si="1"/>
        <v>25438756.800001357</v>
      </c>
      <c r="J13" s="81">
        <f t="shared" si="2"/>
        <v>32399198.400002092</v>
      </c>
      <c r="K13" s="81">
        <f t="shared" si="4"/>
        <v>777580.76160005026</v>
      </c>
      <c r="L13" s="104">
        <f t="shared" si="6"/>
        <v>33176779.161602143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43686</v>
      </c>
      <c r="C14" s="59">
        <f t="shared" si="5"/>
        <v>165</v>
      </c>
      <c r="D14" s="87">
        <v>1035.78</v>
      </c>
      <c r="E14" s="115">
        <v>1399.9999999996362</v>
      </c>
      <c r="F14" s="115">
        <v>26000</v>
      </c>
      <c r="G14" s="80">
        <f t="shared" si="3"/>
        <v>27399.999999999636</v>
      </c>
      <c r="H14" s="81">
        <f t="shared" si="0"/>
        <v>2175137.9999994347</v>
      </c>
      <c r="I14" s="81">
        <f t="shared" si="1"/>
        <v>26930280</v>
      </c>
      <c r="J14" s="81">
        <f t="shared" si="2"/>
        <v>29105417.999999434</v>
      </c>
      <c r="K14" s="81">
        <f t="shared" si="4"/>
        <v>698530.03199998639</v>
      </c>
      <c r="L14" s="104">
        <f t="shared" si="6"/>
        <v>29803948.03199942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43687</v>
      </c>
      <c r="C15" s="59">
        <f t="shared" si="5"/>
        <v>165</v>
      </c>
      <c r="D15" s="87">
        <v>1035.78</v>
      </c>
      <c r="E15" s="115">
        <v>6840.0000000001455</v>
      </c>
      <c r="F15" s="115">
        <v>14400.000000001455</v>
      </c>
      <c r="G15" s="80">
        <f t="shared" si="3"/>
        <v>21240.000000001601</v>
      </c>
      <c r="H15" s="81">
        <f t="shared" si="0"/>
        <v>10627102.800000226</v>
      </c>
      <c r="I15" s="81">
        <f t="shared" si="1"/>
        <v>14915232.000001507</v>
      </c>
      <c r="J15" s="81">
        <f t="shared" si="2"/>
        <v>25542334.800001733</v>
      </c>
      <c r="K15" s="81">
        <f t="shared" si="4"/>
        <v>613016.0352000416</v>
      </c>
      <c r="L15" s="104">
        <f t="shared" si="6"/>
        <v>26155350.835201774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43688</v>
      </c>
      <c r="C16" s="59">
        <f t="shared" si="5"/>
        <v>165</v>
      </c>
      <c r="D16" s="87">
        <v>1035.78</v>
      </c>
      <c r="E16" s="115">
        <v>5880.0000000001091</v>
      </c>
      <c r="F16" s="115">
        <v>18439.99999999869</v>
      </c>
      <c r="G16" s="80">
        <f t="shared" si="3"/>
        <v>24319.999999998799</v>
      </c>
      <c r="H16" s="81">
        <f t="shared" si="0"/>
        <v>9135579.6000001691</v>
      </c>
      <c r="I16" s="81">
        <f t="shared" si="1"/>
        <v>19099783.199998643</v>
      </c>
      <c r="J16" s="81">
        <f t="shared" si="2"/>
        <v>28235362.799998812</v>
      </c>
      <c r="K16" s="81">
        <f t="shared" si="4"/>
        <v>677648.70719997154</v>
      </c>
      <c r="L16" s="104">
        <f t="shared" si="6"/>
        <v>28913011.507198785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43689</v>
      </c>
      <c r="C17" s="59">
        <f t="shared" si="5"/>
        <v>165</v>
      </c>
      <c r="D17" s="87">
        <v>1035.78</v>
      </c>
      <c r="E17" s="115">
        <v>4319.999999999709</v>
      </c>
      <c r="F17" s="115">
        <v>21279.999999998836</v>
      </c>
      <c r="G17" s="80">
        <f t="shared" si="3"/>
        <v>25599.999999998545</v>
      </c>
      <c r="H17" s="81">
        <f t="shared" si="0"/>
        <v>6711854.3999995477</v>
      </c>
      <c r="I17" s="81">
        <f t="shared" si="1"/>
        <v>22041398.399998795</v>
      </c>
      <c r="J17" s="81">
        <f t="shared" si="2"/>
        <v>28753252.799998343</v>
      </c>
      <c r="K17" s="81">
        <f t="shared" si="4"/>
        <v>690078.06719996023</v>
      </c>
      <c r="L17" s="104">
        <f t="shared" si="6"/>
        <v>29443330.867198303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43690</v>
      </c>
      <c r="C18" s="59">
        <f t="shared" si="5"/>
        <v>165</v>
      </c>
      <c r="D18" s="87">
        <v>1035.78</v>
      </c>
      <c r="E18" s="115">
        <v>6320.0000000006185</v>
      </c>
      <c r="F18" s="115">
        <v>20760.000000002037</v>
      </c>
      <c r="G18" s="80">
        <f t="shared" si="3"/>
        <v>27080.000000002656</v>
      </c>
      <c r="H18" s="81">
        <f t="shared" si="0"/>
        <v>9819194.4000009615</v>
      </c>
      <c r="I18" s="81">
        <f t="shared" si="1"/>
        <v>21502792.800002109</v>
      </c>
      <c r="J18" s="81">
        <f t="shared" si="2"/>
        <v>31321987.200003073</v>
      </c>
      <c r="K18" s="81">
        <f t="shared" si="4"/>
        <v>751727.69280007377</v>
      </c>
      <c r="L18" s="104">
        <f t="shared" si="6"/>
        <v>32073714.892803147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43691</v>
      </c>
      <c r="C19" s="59">
        <f t="shared" si="5"/>
        <v>165</v>
      </c>
      <c r="D19" s="87">
        <v>1035.78</v>
      </c>
      <c r="E19" s="115">
        <v>5039.9999999999636</v>
      </c>
      <c r="F19" s="115">
        <v>21559.999999997672</v>
      </c>
      <c r="G19" s="80">
        <f t="shared" si="3"/>
        <v>26599.999999997635</v>
      </c>
      <c r="H19" s="81">
        <f t="shared" si="0"/>
        <v>7830496.799999943</v>
      </c>
      <c r="I19" s="81">
        <f t="shared" si="1"/>
        <v>22331416.799997587</v>
      </c>
      <c r="J19" s="81">
        <f t="shared" si="2"/>
        <v>30161913.599997528</v>
      </c>
      <c r="K19" s="81">
        <f t="shared" si="4"/>
        <v>723885.92639994074</v>
      </c>
      <c r="L19" s="104">
        <f t="shared" si="6"/>
        <v>30885799.52639747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43692</v>
      </c>
      <c r="C20" s="59">
        <f t="shared" si="5"/>
        <v>165</v>
      </c>
      <c r="D20" s="87">
        <v>1035.78</v>
      </c>
      <c r="E20" s="115">
        <v>5199.9999999998181</v>
      </c>
      <c r="F20" s="115">
        <v>21360.000000000582</v>
      </c>
      <c r="G20" s="80">
        <f t="shared" si="3"/>
        <v>26560.0000000004</v>
      </c>
      <c r="H20" s="81">
        <f t="shared" si="0"/>
        <v>8079083.9999997169</v>
      </c>
      <c r="I20" s="81">
        <f t="shared" si="1"/>
        <v>22124260.800000601</v>
      </c>
      <c r="J20" s="81">
        <f t="shared" si="2"/>
        <v>30203344.800000317</v>
      </c>
      <c r="K20" s="81">
        <f t="shared" si="4"/>
        <v>724880.2752000076</v>
      </c>
      <c r="L20" s="104">
        <f t="shared" si="6"/>
        <v>30928225.075200327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43693</v>
      </c>
      <c r="C21" s="59">
        <f t="shared" si="5"/>
        <v>165</v>
      </c>
      <c r="D21" s="87">
        <v>1035.78</v>
      </c>
      <c r="E21" s="115">
        <v>4840.0000000001455</v>
      </c>
      <c r="F21" s="115">
        <v>21799.999999999272</v>
      </c>
      <c r="G21" s="80">
        <f t="shared" si="3"/>
        <v>26639.999999999418</v>
      </c>
      <c r="H21" s="81">
        <f t="shared" si="0"/>
        <v>7519762.8000002261</v>
      </c>
      <c r="I21" s="81">
        <f t="shared" si="1"/>
        <v>22580003.999999247</v>
      </c>
      <c r="J21" s="81">
        <f t="shared" si="2"/>
        <v>30099766.799999475</v>
      </c>
      <c r="K21" s="81">
        <f t="shared" si="4"/>
        <v>722394.40319998737</v>
      </c>
      <c r="L21" s="104">
        <f t="shared" si="6"/>
        <v>30822161.203199461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43694</v>
      </c>
      <c r="C22" s="59">
        <f t="shared" si="5"/>
        <v>165</v>
      </c>
      <c r="D22" s="87">
        <v>1035.78</v>
      </c>
      <c r="E22" s="115">
        <v>5079.9999999999272</v>
      </c>
      <c r="F22" s="115">
        <v>21240.000000001601</v>
      </c>
      <c r="G22" s="80">
        <f t="shared" si="3"/>
        <v>26320.000000001528</v>
      </c>
      <c r="H22" s="81">
        <f t="shared" si="0"/>
        <v>7892643.5999998869</v>
      </c>
      <c r="I22" s="81">
        <f t="shared" si="1"/>
        <v>21999967.200001657</v>
      </c>
      <c r="J22" s="81">
        <f t="shared" si="2"/>
        <v>29892610.800001543</v>
      </c>
      <c r="K22" s="81">
        <f t="shared" si="4"/>
        <v>717422.65920003701</v>
      </c>
      <c r="L22" s="104">
        <f t="shared" si="6"/>
        <v>30610033.459201582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43695</v>
      </c>
      <c r="C23" s="59">
        <f t="shared" si="5"/>
        <v>165</v>
      </c>
      <c r="D23" s="87">
        <v>1035.78</v>
      </c>
      <c r="E23" s="115">
        <v>3199.9999999998181</v>
      </c>
      <c r="F23" s="115">
        <v>20959.999999999127</v>
      </c>
      <c r="G23" s="80">
        <f t="shared" si="3"/>
        <v>24159.999999998945</v>
      </c>
      <c r="H23" s="81">
        <f t="shared" si="0"/>
        <v>4971743.9999997169</v>
      </c>
      <c r="I23" s="81">
        <f t="shared" si="1"/>
        <v>21709948.799999095</v>
      </c>
      <c r="J23" s="81">
        <f t="shared" si="2"/>
        <v>26681692.799998812</v>
      </c>
      <c r="K23" s="81">
        <f t="shared" si="4"/>
        <v>640360.62719997147</v>
      </c>
      <c r="L23" s="104">
        <f t="shared" si="6"/>
        <v>27322053.427198783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43696</v>
      </c>
      <c r="C24" s="59">
        <f t="shared" si="5"/>
        <v>165</v>
      </c>
      <c r="D24" s="87">
        <v>1035.78</v>
      </c>
      <c r="E24" s="115">
        <v>6479.9999999995634</v>
      </c>
      <c r="F24" s="115">
        <v>21240.000000001601</v>
      </c>
      <c r="G24" s="80">
        <f t="shared" si="3"/>
        <v>27720.000000001164</v>
      </c>
      <c r="H24" s="81">
        <f t="shared" si="0"/>
        <v>10067781.599999322</v>
      </c>
      <c r="I24" s="81">
        <f t="shared" si="1"/>
        <v>21999967.200001657</v>
      </c>
      <c r="J24" s="81">
        <f t="shared" si="2"/>
        <v>32067748.80000098</v>
      </c>
      <c r="K24" s="81">
        <f t="shared" si="4"/>
        <v>769625.97120002354</v>
      </c>
      <c r="L24" s="104">
        <f t="shared" si="6"/>
        <v>32837374.771201003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43697</v>
      </c>
      <c r="C25" s="59">
        <f t="shared" si="5"/>
        <v>165</v>
      </c>
      <c r="D25" s="87">
        <v>1035.78</v>
      </c>
      <c r="E25" s="115">
        <v>5400.0000000005457</v>
      </c>
      <c r="F25" s="115">
        <v>21159.999999999854</v>
      </c>
      <c r="G25" s="80">
        <f t="shared" si="3"/>
        <v>26560.0000000004</v>
      </c>
      <c r="H25" s="81">
        <f t="shared" si="0"/>
        <v>8389818.0000008475</v>
      </c>
      <c r="I25" s="81">
        <f t="shared" si="1"/>
        <v>21917104.799999848</v>
      </c>
      <c r="J25" s="81">
        <f t="shared" si="2"/>
        <v>30306922.800000697</v>
      </c>
      <c r="K25" s="81">
        <f t="shared" si="4"/>
        <v>727366.14720001677</v>
      </c>
      <c r="L25" s="104">
        <f t="shared" si="6"/>
        <v>31034288.947200716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43698</v>
      </c>
      <c r="C26" s="59">
        <f t="shared" si="5"/>
        <v>165</v>
      </c>
      <c r="D26" s="87">
        <v>1035.78</v>
      </c>
      <c r="E26" s="115">
        <v>4639.9999999994179</v>
      </c>
      <c r="F26" s="115">
        <v>21360.000000000582</v>
      </c>
      <c r="G26" s="80">
        <f t="shared" si="3"/>
        <v>26000</v>
      </c>
      <c r="H26" s="81">
        <f t="shared" si="0"/>
        <v>7209028.7999990955</v>
      </c>
      <c r="I26" s="81">
        <f t="shared" si="1"/>
        <v>22124260.800000601</v>
      </c>
      <c r="J26" s="81">
        <f t="shared" si="2"/>
        <v>29333289.599999696</v>
      </c>
      <c r="K26" s="81">
        <f t="shared" si="4"/>
        <v>703998.95039999275</v>
      </c>
      <c r="L26" s="104">
        <f>J26+K26</f>
        <v>30037288.550399687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43699</v>
      </c>
      <c r="C27" s="59">
        <f t="shared" si="5"/>
        <v>165</v>
      </c>
      <c r="D27" s="87">
        <v>1035.78</v>
      </c>
      <c r="E27" s="115">
        <v>4760.0000000002183</v>
      </c>
      <c r="F27" s="115">
        <v>21479.999999999563</v>
      </c>
      <c r="G27" s="80">
        <f t="shared" si="3"/>
        <v>26239.999999999782</v>
      </c>
      <c r="H27" s="81">
        <f t="shared" si="0"/>
        <v>7395469.2000003392</v>
      </c>
      <c r="I27" s="81">
        <f t="shared" si="1"/>
        <v>22248554.399999548</v>
      </c>
      <c r="J27" s="81">
        <f t="shared" si="2"/>
        <v>29644023.599999886</v>
      </c>
      <c r="K27" s="81">
        <f t="shared" si="4"/>
        <v>711456.56639999733</v>
      </c>
      <c r="L27" s="104">
        <f t="shared" si="6"/>
        <v>30355480.166399885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43700</v>
      </c>
      <c r="C28" s="59">
        <f t="shared" si="5"/>
        <v>165</v>
      </c>
      <c r="D28" s="87">
        <v>1035.78</v>
      </c>
      <c r="E28" s="115">
        <v>5279.9999999997453</v>
      </c>
      <c r="F28" s="115">
        <v>22119.999999998981</v>
      </c>
      <c r="G28" s="80">
        <f t="shared" si="3"/>
        <v>27399.999999998727</v>
      </c>
      <c r="H28" s="81">
        <f t="shared" si="0"/>
        <v>8203377.5999996038</v>
      </c>
      <c r="I28" s="81">
        <f t="shared" si="1"/>
        <v>22911453.599998944</v>
      </c>
      <c r="J28" s="81">
        <f t="shared" si="2"/>
        <v>31114831.199998546</v>
      </c>
      <c r="K28" s="81">
        <f t="shared" si="4"/>
        <v>746755.94879996509</v>
      </c>
      <c r="L28" s="104">
        <f t="shared" si="6"/>
        <v>31861587.14879851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43701</v>
      </c>
      <c r="C29" s="59">
        <f t="shared" si="5"/>
        <v>165</v>
      </c>
      <c r="D29" s="87">
        <v>1035.78</v>
      </c>
      <c r="E29" s="115">
        <v>4760.0000000002183</v>
      </c>
      <c r="F29" s="115">
        <v>21799.999999999272</v>
      </c>
      <c r="G29" s="80">
        <f t="shared" si="3"/>
        <v>26559.999999999491</v>
      </c>
      <c r="H29" s="81">
        <f t="shared" si="0"/>
        <v>7395469.2000003392</v>
      </c>
      <c r="I29" s="81">
        <f t="shared" si="1"/>
        <v>22580003.999999247</v>
      </c>
      <c r="J29" s="81">
        <f t="shared" si="2"/>
        <v>29975473.199999586</v>
      </c>
      <c r="K29" s="81">
        <f t="shared" si="4"/>
        <v>719411.35679999006</v>
      </c>
      <c r="L29" s="104">
        <f t="shared" si="6"/>
        <v>30694884.556799576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43702</v>
      </c>
      <c r="C30" s="59">
        <f t="shared" si="5"/>
        <v>165</v>
      </c>
      <c r="D30" s="87">
        <v>1035.78</v>
      </c>
      <c r="E30" s="115">
        <v>5840.0000000001455</v>
      </c>
      <c r="F30" s="115">
        <v>22479.999999999563</v>
      </c>
      <c r="G30" s="80">
        <f t="shared" si="3"/>
        <v>28319.999999999709</v>
      </c>
      <c r="H30" s="81">
        <f t="shared" si="0"/>
        <v>9073432.8000002261</v>
      </c>
      <c r="I30" s="81">
        <f t="shared" si="1"/>
        <v>23284334.399999548</v>
      </c>
      <c r="J30" s="81">
        <f t="shared" si="2"/>
        <v>32357767.199999772</v>
      </c>
      <c r="K30" s="81">
        <f t="shared" si="4"/>
        <v>776586.41279999458</v>
      </c>
      <c r="L30" s="104">
        <f t="shared" si="6"/>
        <v>33134353.612799767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43703</v>
      </c>
      <c r="C31" s="59">
        <f t="shared" si="5"/>
        <v>165</v>
      </c>
      <c r="D31" s="87">
        <v>1035.78</v>
      </c>
      <c r="E31" s="115">
        <v>4319.999999999709</v>
      </c>
      <c r="F31" s="115">
        <v>21000</v>
      </c>
      <c r="G31" s="80">
        <f t="shared" si="3"/>
        <v>25319.999999999709</v>
      </c>
      <c r="H31" s="81">
        <f t="shared" si="0"/>
        <v>6711854.3999995477</v>
      </c>
      <c r="I31" s="81">
        <f t="shared" si="1"/>
        <v>21751380</v>
      </c>
      <c r="J31" s="81">
        <f t="shared" ref="J31:J33" si="7">I31+H31</f>
        <v>28463234.399999548</v>
      </c>
      <c r="K31" s="81">
        <f t="shared" si="4"/>
        <v>683117.6255999892</v>
      </c>
      <c r="L31" s="104">
        <f t="shared" ref="L31:L33" si="8">J31+K31</f>
        <v>29146352.025599536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43704</v>
      </c>
      <c r="C32" s="59">
        <f t="shared" si="5"/>
        <v>165</v>
      </c>
      <c r="D32" s="87">
        <v>1035.78</v>
      </c>
      <c r="E32" s="115">
        <v>6000</v>
      </c>
      <c r="F32" s="115">
        <v>21800.00000000291</v>
      </c>
      <c r="G32" s="80">
        <f t="shared" si="3"/>
        <v>27800.00000000291</v>
      </c>
      <c r="H32" s="81">
        <f t="shared" si="0"/>
        <v>9322020</v>
      </c>
      <c r="I32" s="81">
        <f t="shared" si="1"/>
        <v>22580004.000003014</v>
      </c>
      <c r="J32" s="81">
        <f t="shared" si="7"/>
        <v>31902024.000003014</v>
      </c>
      <c r="K32" s="81">
        <f t="shared" si="4"/>
        <v>765648.57600007229</v>
      </c>
      <c r="L32" s="104">
        <f t="shared" si="8"/>
        <v>32667672.576003086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43705</v>
      </c>
      <c r="C33" s="59">
        <f t="shared" si="5"/>
        <v>165</v>
      </c>
      <c r="D33" s="87">
        <v>1035.78</v>
      </c>
      <c r="E33" s="115">
        <v>4240.0000000006912</v>
      </c>
      <c r="F33" s="115">
        <v>22279.999999998836</v>
      </c>
      <c r="G33" s="80">
        <f t="shared" si="3"/>
        <v>26519.999999999527</v>
      </c>
      <c r="H33" s="81">
        <f t="shared" si="0"/>
        <v>6587560.8000010736</v>
      </c>
      <c r="I33" s="81">
        <f t="shared" si="1"/>
        <v>23077178.399998795</v>
      </c>
      <c r="J33" s="81">
        <f t="shared" si="7"/>
        <v>29664739.199999869</v>
      </c>
      <c r="K33" s="81">
        <f t="shared" si="4"/>
        <v>711953.74079999689</v>
      </c>
      <c r="L33" s="104">
        <f t="shared" si="8"/>
        <v>30376692.940799866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43706</v>
      </c>
      <c r="C34" s="59">
        <f t="shared" si="5"/>
        <v>165</v>
      </c>
      <c r="D34" s="87">
        <v>1035.78</v>
      </c>
      <c r="E34" s="115">
        <v>6000</v>
      </c>
      <c r="F34" s="115">
        <v>20279.999999998836</v>
      </c>
      <c r="G34" s="80">
        <f t="shared" ref="G34" si="9">F34+E34</f>
        <v>26279.999999998836</v>
      </c>
      <c r="H34" s="81">
        <f t="shared" ref="H34" si="10">E34*1.5*D34</f>
        <v>9322020</v>
      </c>
      <c r="I34" s="81">
        <f t="shared" ref="I34" si="11">F34*D34</f>
        <v>21005618.399998795</v>
      </c>
      <c r="J34" s="81">
        <f t="shared" ref="J34" si="12">I34+H34</f>
        <v>30327638.399998795</v>
      </c>
      <c r="K34" s="81">
        <f t="shared" si="4"/>
        <v>727863.32159997115</v>
      </c>
      <c r="L34" s="104">
        <f t="shared" ref="L34" si="13">J34+K34</f>
        <v>31055501.721598767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43707</v>
      </c>
      <c r="C35" s="59">
        <f t="shared" si="5"/>
        <v>165</v>
      </c>
      <c r="D35" s="87">
        <v>1035.78</v>
      </c>
      <c r="E35" s="115">
        <v>5359.9999999996726</v>
      </c>
      <c r="F35" s="115">
        <v>21880.000000001019</v>
      </c>
      <c r="G35" s="80">
        <f t="shared" ref="G35:G36" si="14">F35+E35</f>
        <v>27240.000000000691</v>
      </c>
      <c r="H35" s="81">
        <f t="shared" ref="H35" si="15">E35*1.5*D35</f>
        <v>8327671.1999994908</v>
      </c>
      <c r="I35" s="81">
        <f t="shared" ref="I35" si="16">F35*D35</f>
        <v>22662866.400001053</v>
      </c>
      <c r="J35" s="81">
        <f t="shared" ref="J35" si="17">I35+H35</f>
        <v>30990537.600000545</v>
      </c>
      <c r="K35" s="81">
        <f t="shared" si="4"/>
        <v>743772.90240001306</v>
      </c>
      <c r="L35" s="104">
        <f t="shared" ref="L35" si="18">J35+K35</f>
        <v>31734310.502400558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43708</v>
      </c>
      <c r="C36" s="59">
        <f t="shared" si="5"/>
        <v>165</v>
      </c>
      <c r="D36" s="87">
        <v>1035.78</v>
      </c>
      <c r="E36" s="115">
        <v>3199.9999999998181</v>
      </c>
      <c r="F36" s="115">
        <v>21200.000000000728</v>
      </c>
      <c r="G36" s="80">
        <f t="shared" si="14"/>
        <v>24400.000000000546</v>
      </c>
      <c r="H36" s="81">
        <f t="shared" ref="H36" si="19">E36*1.5*D36</f>
        <v>4971743.9999997169</v>
      </c>
      <c r="I36" s="81">
        <f t="shared" ref="I36" si="20">F36*D36</f>
        <v>21958536.000000753</v>
      </c>
      <c r="J36" s="81">
        <f t="shared" ref="J36" si="21">I36+H36</f>
        <v>26930280.000000469</v>
      </c>
      <c r="K36" s="81">
        <f t="shared" si="4"/>
        <v>646326.72000001126</v>
      </c>
      <c r="L36" s="104">
        <f t="shared" ref="L36" si="22">J36+K36</f>
        <v>27576606.720000479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4620</v>
      </c>
      <c r="D37" s="88"/>
      <c r="E37" s="82">
        <f t="shared" ref="E37:G37" si="23">SUM(E6:E35)</f>
        <v>143760.00000000023</v>
      </c>
      <c r="F37" s="82">
        <f t="shared" si="23"/>
        <v>632080.00000000175</v>
      </c>
      <c r="G37" s="82">
        <f t="shared" si="23"/>
        <v>775840.00000000198</v>
      </c>
      <c r="H37" s="82">
        <f>SUM(H6:H35)</f>
        <v>223355599.20000032</v>
      </c>
      <c r="I37" s="82">
        <f>SUM(I6:I35)</f>
        <v>654695822.40000165</v>
      </c>
      <c r="J37" s="82">
        <f>SUM(J6:J35)</f>
        <v>878051421.60000205</v>
      </c>
      <c r="K37" s="82">
        <f>SUM(K6:K35)</f>
        <v>21073234.118400048</v>
      </c>
      <c r="L37" s="82">
        <f>SUM(L6:L36)</f>
        <v>926701262.4384023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F5" sqref="F5:F35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8</v>
      </c>
      <c r="D5" s="78">
        <v>2019</v>
      </c>
      <c r="E5" s="113">
        <v>64</v>
      </c>
      <c r="F5" s="108">
        <v>287</v>
      </c>
      <c r="G5" s="56">
        <f>E5+F5</f>
        <v>351</v>
      </c>
    </row>
    <row r="6" spans="1:43" ht="15.75" x14ac:dyDescent="0.25">
      <c r="B6" s="78">
        <v>2</v>
      </c>
      <c r="C6" s="78">
        <v>8</v>
      </c>
      <c r="D6" s="78">
        <f>D5</f>
        <v>2019</v>
      </c>
      <c r="E6" s="113">
        <v>46</v>
      </c>
      <c r="F6" s="108">
        <v>213</v>
      </c>
      <c r="G6" s="56">
        <f t="shared" ref="G6:G35" si="0">E6+F6</f>
        <v>259</v>
      </c>
    </row>
    <row r="7" spans="1:43" ht="15.75" x14ac:dyDescent="0.25">
      <c r="B7" s="78">
        <v>3</v>
      </c>
      <c r="C7" s="78">
        <v>8</v>
      </c>
      <c r="D7" s="78">
        <f t="shared" ref="D7:D35" si="1">D6</f>
        <v>2019</v>
      </c>
      <c r="E7" s="113">
        <v>57</v>
      </c>
      <c r="F7" s="108">
        <v>259</v>
      </c>
      <c r="G7" s="56">
        <f t="shared" si="0"/>
        <v>316</v>
      </c>
    </row>
    <row r="8" spans="1:43" ht="15.75" x14ac:dyDescent="0.25">
      <c r="B8" s="78">
        <v>4</v>
      </c>
      <c r="C8" s="78">
        <v>8</v>
      </c>
      <c r="D8" s="78">
        <f t="shared" si="1"/>
        <v>2019</v>
      </c>
      <c r="E8" s="113">
        <v>141</v>
      </c>
      <c r="F8" s="108">
        <v>619</v>
      </c>
      <c r="G8" s="56">
        <f t="shared" si="0"/>
        <v>760</v>
      </c>
    </row>
    <row r="9" spans="1:43" ht="15.75" x14ac:dyDescent="0.25">
      <c r="B9" s="78">
        <v>5</v>
      </c>
      <c r="C9" s="78">
        <v>8</v>
      </c>
      <c r="D9" s="78">
        <f t="shared" si="1"/>
        <v>2019</v>
      </c>
      <c r="E9" s="114">
        <v>61</v>
      </c>
      <c r="F9" s="109">
        <v>237</v>
      </c>
      <c r="G9" s="56">
        <f t="shared" si="0"/>
        <v>298</v>
      </c>
    </row>
    <row r="10" spans="1:43" ht="15.75" x14ac:dyDescent="0.25">
      <c r="B10" s="78">
        <v>6</v>
      </c>
      <c r="C10" s="78">
        <v>8</v>
      </c>
      <c r="D10" s="78">
        <f t="shared" si="1"/>
        <v>2019</v>
      </c>
      <c r="E10" s="113">
        <v>49</v>
      </c>
      <c r="F10" s="108">
        <v>220</v>
      </c>
      <c r="G10" s="56">
        <f t="shared" si="0"/>
        <v>269</v>
      </c>
    </row>
    <row r="11" spans="1:43" ht="15.75" x14ac:dyDescent="0.25">
      <c r="B11" s="78">
        <v>7</v>
      </c>
      <c r="C11" s="78">
        <v>8</v>
      </c>
      <c r="D11" s="78">
        <f t="shared" si="1"/>
        <v>2019</v>
      </c>
      <c r="E11" s="113">
        <v>58</v>
      </c>
      <c r="F11" s="108">
        <v>268</v>
      </c>
      <c r="G11" s="56">
        <f t="shared" si="0"/>
        <v>326</v>
      </c>
    </row>
    <row r="12" spans="1:43" ht="15.75" x14ac:dyDescent="0.25">
      <c r="B12" s="78">
        <v>8</v>
      </c>
      <c r="C12" s="78">
        <v>8</v>
      </c>
      <c r="D12" s="78">
        <f t="shared" si="1"/>
        <v>2019</v>
      </c>
      <c r="E12" s="113">
        <v>68</v>
      </c>
      <c r="F12" s="108">
        <v>314</v>
      </c>
      <c r="G12" s="56">
        <f t="shared" si="0"/>
        <v>382</v>
      </c>
    </row>
    <row r="13" spans="1:43" ht="15.75" x14ac:dyDescent="0.25">
      <c r="B13" s="78">
        <v>9</v>
      </c>
      <c r="C13" s="78">
        <v>8</v>
      </c>
      <c r="D13" s="78">
        <f t="shared" si="1"/>
        <v>2019</v>
      </c>
      <c r="E13" s="113">
        <v>82</v>
      </c>
      <c r="F13" s="108">
        <v>371</v>
      </c>
      <c r="G13" s="56">
        <f t="shared" si="0"/>
        <v>453</v>
      </c>
    </row>
    <row r="14" spans="1:43" ht="15.75" x14ac:dyDescent="0.25">
      <c r="B14" s="78">
        <v>10</v>
      </c>
      <c r="C14" s="78">
        <v>8</v>
      </c>
      <c r="D14" s="78">
        <f t="shared" si="1"/>
        <v>2019</v>
      </c>
      <c r="E14" s="113">
        <v>62</v>
      </c>
      <c r="F14" s="108">
        <v>285</v>
      </c>
      <c r="G14" s="56">
        <f t="shared" si="0"/>
        <v>347</v>
      </c>
    </row>
    <row r="15" spans="1:43" ht="15.75" x14ac:dyDescent="0.25">
      <c r="B15" s="78">
        <v>11</v>
      </c>
      <c r="C15" s="78">
        <v>8</v>
      </c>
      <c r="D15" s="78">
        <f t="shared" si="1"/>
        <v>2019</v>
      </c>
      <c r="E15" s="113">
        <v>40</v>
      </c>
      <c r="F15" s="109">
        <v>187</v>
      </c>
      <c r="G15" s="56">
        <f t="shared" si="0"/>
        <v>227</v>
      </c>
    </row>
    <row r="16" spans="1:43" ht="15.75" x14ac:dyDescent="0.25">
      <c r="B16" s="78">
        <v>12</v>
      </c>
      <c r="C16" s="78">
        <v>8</v>
      </c>
      <c r="D16" s="78">
        <f t="shared" si="1"/>
        <v>2019</v>
      </c>
      <c r="E16" s="114">
        <v>70</v>
      </c>
      <c r="F16" s="109">
        <v>319</v>
      </c>
      <c r="G16" s="56">
        <f t="shared" si="0"/>
        <v>389</v>
      </c>
    </row>
    <row r="17" spans="2:7" ht="15.75" x14ac:dyDescent="0.25">
      <c r="B17" s="78">
        <v>13</v>
      </c>
      <c r="C17" s="78">
        <v>8</v>
      </c>
      <c r="D17" s="78">
        <f t="shared" si="1"/>
        <v>2019</v>
      </c>
      <c r="E17" s="113">
        <v>71</v>
      </c>
      <c r="F17" s="109">
        <v>320</v>
      </c>
      <c r="G17" s="56">
        <f t="shared" si="0"/>
        <v>391</v>
      </c>
    </row>
    <row r="18" spans="2:7" ht="15.75" x14ac:dyDescent="0.25">
      <c r="B18" s="78">
        <v>14</v>
      </c>
      <c r="C18" s="78">
        <v>8</v>
      </c>
      <c r="D18" s="78">
        <f t="shared" si="1"/>
        <v>2019</v>
      </c>
      <c r="E18" s="113">
        <v>42</v>
      </c>
      <c r="F18" s="108">
        <v>200</v>
      </c>
      <c r="G18" s="56">
        <f t="shared" si="0"/>
        <v>242</v>
      </c>
    </row>
    <row r="19" spans="2:7" ht="15.75" x14ac:dyDescent="0.25">
      <c r="B19" s="78">
        <v>15</v>
      </c>
      <c r="C19" s="78">
        <v>8</v>
      </c>
      <c r="D19" s="78">
        <f t="shared" si="1"/>
        <v>2019</v>
      </c>
      <c r="E19" s="113">
        <v>74</v>
      </c>
      <c r="F19" s="108">
        <v>348</v>
      </c>
      <c r="G19" s="56">
        <f t="shared" si="0"/>
        <v>422</v>
      </c>
    </row>
    <row r="20" spans="2:7" ht="15.75" x14ac:dyDescent="0.25">
      <c r="B20" s="78">
        <v>16</v>
      </c>
      <c r="C20" s="78">
        <v>8</v>
      </c>
      <c r="D20" s="78">
        <f t="shared" si="1"/>
        <v>2019</v>
      </c>
      <c r="E20" s="113">
        <v>63</v>
      </c>
      <c r="F20" s="108">
        <v>295</v>
      </c>
      <c r="G20" s="56">
        <f t="shared" si="0"/>
        <v>358</v>
      </c>
    </row>
    <row r="21" spans="2:7" ht="15.75" x14ac:dyDescent="0.25">
      <c r="B21" s="78">
        <v>17</v>
      </c>
      <c r="C21" s="78">
        <v>8</v>
      </c>
      <c r="D21" s="78">
        <f t="shared" si="1"/>
        <v>2019</v>
      </c>
      <c r="E21" s="113">
        <v>43</v>
      </c>
      <c r="F21" s="108">
        <v>205</v>
      </c>
      <c r="G21" s="56">
        <f t="shared" si="0"/>
        <v>248</v>
      </c>
    </row>
    <row r="22" spans="2:7" ht="15.75" x14ac:dyDescent="0.25">
      <c r="B22" s="78">
        <v>18</v>
      </c>
      <c r="C22" s="78">
        <v>8</v>
      </c>
      <c r="D22" s="78">
        <f t="shared" si="1"/>
        <v>2019</v>
      </c>
      <c r="E22" s="113">
        <v>42</v>
      </c>
      <c r="F22" s="108">
        <v>199</v>
      </c>
      <c r="G22" s="56">
        <f t="shared" si="0"/>
        <v>241</v>
      </c>
    </row>
    <row r="23" spans="2:7" ht="15.75" x14ac:dyDescent="0.25">
      <c r="B23" s="78">
        <v>19</v>
      </c>
      <c r="C23" s="78">
        <v>8</v>
      </c>
      <c r="D23" s="78">
        <f t="shared" si="1"/>
        <v>2019</v>
      </c>
      <c r="E23" s="114">
        <v>75</v>
      </c>
      <c r="F23" s="109">
        <v>350</v>
      </c>
      <c r="G23" s="56">
        <f t="shared" si="0"/>
        <v>425</v>
      </c>
    </row>
    <row r="24" spans="2:7" ht="15.75" x14ac:dyDescent="0.25">
      <c r="B24" s="78">
        <v>20</v>
      </c>
      <c r="C24" s="78">
        <v>8</v>
      </c>
      <c r="D24" s="78">
        <f t="shared" si="1"/>
        <v>2019</v>
      </c>
      <c r="E24" s="113">
        <v>65</v>
      </c>
      <c r="F24" s="108">
        <v>296</v>
      </c>
      <c r="G24" s="56">
        <f t="shared" si="0"/>
        <v>361</v>
      </c>
    </row>
    <row r="25" spans="2:7" ht="15.75" x14ac:dyDescent="0.25">
      <c r="B25" s="78">
        <v>21</v>
      </c>
      <c r="C25" s="78">
        <v>8</v>
      </c>
      <c r="D25" s="78">
        <f t="shared" si="1"/>
        <v>2019</v>
      </c>
      <c r="E25" s="113">
        <v>43</v>
      </c>
      <c r="F25" s="108">
        <v>207</v>
      </c>
      <c r="G25" s="56">
        <f t="shared" si="0"/>
        <v>250</v>
      </c>
    </row>
    <row r="26" spans="2:7" ht="15.75" x14ac:dyDescent="0.25">
      <c r="B26" s="78">
        <v>22</v>
      </c>
      <c r="C26" s="78">
        <v>8</v>
      </c>
      <c r="D26" s="78">
        <f t="shared" si="1"/>
        <v>2019</v>
      </c>
      <c r="E26" s="113">
        <v>71</v>
      </c>
      <c r="F26" s="108">
        <v>329</v>
      </c>
      <c r="G26" s="56">
        <f t="shared" si="0"/>
        <v>400</v>
      </c>
    </row>
    <row r="27" spans="2:7" ht="15.75" x14ac:dyDescent="0.25">
      <c r="B27" s="78">
        <v>23</v>
      </c>
      <c r="C27" s="78">
        <v>8</v>
      </c>
      <c r="D27" s="78">
        <f t="shared" si="1"/>
        <v>2019</v>
      </c>
      <c r="E27" s="113">
        <v>76</v>
      </c>
      <c r="F27" s="108">
        <v>227</v>
      </c>
      <c r="G27" s="56">
        <f t="shared" si="0"/>
        <v>303</v>
      </c>
    </row>
    <row r="28" spans="2:7" ht="15.75" x14ac:dyDescent="0.25">
      <c r="B28" s="78">
        <v>24</v>
      </c>
      <c r="C28" s="78">
        <v>8</v>
      </c>
      <c r="D28" s="78">
        <f t="shared" si="1"/>
        <v>2019</v>
      </c>
      <c r="E28" s="113">
        <v>82</v>
      </c>
      <c r="F28" s="108">
        <v>345</v>
      </c>
      <c r="G28" s="56">
        <f t="shared" si="0"/>
        <v>427</v>
      </c>
    </row>
    <row r="29" spans="2:7" ht="15.75" x14ac:dyDescent="0.25">
      <c r="B29" s="78">
        <v>25</v>
      </c>
      <c r="C29" s="78">
        <v>8</v>
      </c>
      <c r="D29" s="78">
        <f t="shared" si="1"/>
        <v>2019</v>
      </c>
      <c r="E29" s="113">
        <v>75</v>
      </c>
      <c r="F29" s="108">
        <v>308</v>
      </c>
      <c r="G29" s="56">
        <f t="shared" si="0"/>
        <v>383</v>
      </c>
    </row>
    <row r="30" spans="2:7" ht="15.75" x14ac:dyDescent="0.25">
      <c r="B30" s="78">
        <v>26</v>
      </c>
      <c r="C30" s="78">
        <v>8</v>
      </c>
      <c r="D30" s="78">
        <f t="shared" si="1"/>
        <v>2019</v>
      </c>
      <c r="E30" s="114">
        <v>65</v>
      </c>
      <c r="F30" s="109">
        <v>258</v>
      </c>
      <c r="G30" s="56">
        <f t="shared" si="0"/>
        <v>323</v>
      </c>
    </row>
    <row r="31" spans="2:7" ht="15.75" x14ac:dyDescent="0.25">
      <c r="B31" s="78">
        <v>27</v>
      </c>
      <c r="C31" s="78">
        <v>8</v>
      </c>
      <c r="D31" s="78">
        <f t="shared" si="1"/>
        <v>2019</v>
      </c>
      <c r="E31" s="113">
        <v>50</v>
      </c>
      <c r="F31" s="108">
        <v>202</v>
      </c>
      <c r="G31" s="56">
        <f t="shared" si="0"/>
        <v>252</v>
      </c>
    </row>
    <row r="32" spans="2:7" ht="15.75" x14ac:dyDescent="0.25">
      <c r="B32" s="78">
        <v>28</v>
      </c>
      <c r="C32" s="78">
        <v>8</v>
      </c>
      <c r="D32" s="78">
        <f t="shared" si="1"/>
        <v>2019</v>
      </c>
      <c r="E32" s="113">
        <v>87</v>
      </c>
      <c r="F32" s="108">
        <v>353</v>
      </c>
      <c r="G32" s="56">
        <f t="shared" si="0"/>
        <v>440</v>
      </c>
    </row>
    <row r="33" spans="2:9" ht="15.75" x14ac:dyDescent="0.25">
      <c r="B33" s="78">
        <v>29</v>
      </c>
      <c r="C33" s="78">
        <v>8</v>
      </c>
      <c r="D33" s="78">
        <f t="shared" si="1"/>
        <v>2019</v>
      </c>
      <c r="E33" s="113">
        <v>64</v>
      </c>
      <c r="F33" s="108">
        <v>263</v>
      </c>
      <c r="G33" s="56">
        <f t="shared" si="0"/>
        <v>327</v>
      </c>
    </row>
    <row r="34" spans="2:9" ht="15.75" x14ac:dyDescent="0.25">
      <c r="B34" s="78">
        <v>30</v>
      </c>
      <c r="C34" s="78">
        <v>8</v>
      </c>
      <c r="D34" s="78">
        <f t="shared" si="1"/>
        <v>2019</v>
      </c>
      <c r="E34" s="113">
        <v>67</v>
      </c>
      <c r="F34" s="108">
        <v>275</v>
      </c>
      <c r="G34" s="56">
        <f t="shared" si="0"/>
        <v>342</v>
      </c>
    </row>
    <row r="35" spans="2:9" ht="15.75" x14ac:dyDescent="0.25">
      <c r="B35" s="78">
        <v>31</v>
      </c>
      <c r="C35" s="78">
        <v>8</v>
      </c>
      <c r="D35" s="78">
        <f t="shared" si="1"/>
        <v>2019</v>
      </c>
      <c r="E35" s="113">
        <v>78</v>
      </c>
      <c r="F35" s="108">
        <v>330</v>
      </c>
      <c r="G35" s="56">
        <f t="shared" si="0"/>
        <v>408</v>
      </c>
    </row>
    <row r="36" spans="2:9" ht="21" x14ac:dyDescent="0.35">
      <c r="B36" s="64"/>
      <c r="C36" s="64"/>
      <c r="D36" s="64"/>
      <c r="E36" s="14">
        <f>SUM(E5:E35)</f>
        <v>2031</v>
      </c>
      <c r="F36" s="14">
        <f>SUM(F5:F35)</f>
        <v>8889</v>
      </c>
      <c r="G36" s="14">
        <f>SUM(G5:G35)</f>
        <v>10920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10920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137046000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2023-03-10T09:03:15Z</dcterms:modified>
</cp:coreProperties>
</file>