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<sst xmlns="http://schemas.openxmlformats.org/spreadsheetml/2006/main" count="606" uniqueCount="76">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</sst>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04" workbookViewId="0">
      <selection activeCell="P126" sqref="P12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2"/>
      <c r="G141" s="4" t="str">
        <f>'Gas Water'!M144</f>
        <v/>
      </c>
      <c r="H141" s="132"/>
      <c r="I141" s="2" t="str">
        <f>'Gas Water'!L144</f>
        <v/>
      </c>
      <c r="J141" s="132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2"/>
      <c r="G142" s="4" t="str">
        <f>'Gas Water'!M145</f>
        <v/>
      </c>
      <c r="H142" s="132"/>
      <c r="I142" s="2" t="str">
        <f>'Gas Water'!L145</f>
        <v/>
      </c>
      <c r="J142" s="132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2"/>
      <c r="G143" s="4" t="str">
        <f>'Gas Water'!M146</f>
        <v/>
      </c>
      <c r="H143" s="132"/>
      <c r="I143" s="2" t="str">
        <f>'Gas Water'!L146</f>
        <v/>
      </c>
      <c r="J143" s="132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2"/>
      <c r="G144" s="4" t="str">
        <f>'Gas Water'!M147</f>
        <v/>
      </c>
      <c r="H144" s="132"/>
      <c r="I144" s="2" t="str">
        <f>'Gas Water'!L147</f>
        <v/>
      </c>
      <c r="J144" s="132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2"/>
      <c r="G145" s="4" t="str">
        <f>'Gas Water'!M148</f>
        <v/>
      </c>
      <c r="H145" s="132"/>
      <c r="I145" s="2" t="str">
        <f>'Gas Water'!L148</f>
        <v/>
      </c>
      <c r="J145" s="132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2"/>
      <c r="G146" s="4" t="str">
        <f>'Gas Water'!M149</f>
        <v/>
      </c>
      <c r="H146" s="132"/>
      <c r="I146" s="2" t="str">
        <f>'Gas Water'!L149</f>
        <v/>
      </c>
      <c r="J146" s="132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2"/>
      <c r="G147" s="4" t="str">
        <f>'Gas Water'!M150</f>
        <v/>
      </c>
      <c r="H147" s="132"/>
      <c r="I147" s="2" t="str">
        <f>'Gas Water'!L150</f>
        <v/>
      </c>
      <c r="J147" s="132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2"/>
      <c r="G148" s="4" t="str">
        <f>'Gas Water'!M151</f>
        <v/>
      </c>
      <c r="H148" s="132"/>
      <c r="I148" s="2" t="str">
        <f>'Gas Water'!L151</f>
        <v/>
      </c>
      <c r="J148" s="132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2"/>
      <c r="G149" s="4" t="str">
        <f>'Gas Water'!M152</f>
        <v/>
      </c>
      <c r="H149" s="132"/>
      <c r="I149" s="2" t="str">
        <f>'Gas Water'!L152</f>
        <v/>
      </c>
      <c r="J149" s="132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2"/>
      <c r="G150" s="4" t="str">
        <f>'Gas Water'!M153</f>
        <v/>
      </c>
      <c r="H150" s="132"/>
      <c r="I150" s="2" t="str">
        <f>'Gas Water'!L153</f>
        <v/>
      </c>
      <c r="J150" s="132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2"/>
      <c r="G151" s="4" t="str">
        <f>'Gas Water'!M154</f>
        <v/>
      </c>
      <c r="H151" s="132"/>
      <c r="I151" s="2" t="str">
        <f>'Gas Water'!L154</f>
        <v/>
      </c>
      <c r="J151" s="132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2"/>
      <c r="G152" s="4" t="str">
        <f>'Gas Water'!M155</f>
        <v/>
      </c>
      <c r="H152" s="132"/>
      <c r="I152" s="2" t="str">
        <f>'Gas Water'!L155</f>
        <v/>
      </c>
      <c r="J152" s="132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2"/>
      <c r="G153" s="4" t="str">
        <f>'Gas Water'!M156</f>
        <v/>
      </c>
      <c r="H153" s="132"/>
      <c r="I153" s="2" t="str">
        <f>'Gas Water'!L156</f>
        <v/>
      </c>
      <c r="J153" s="132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2"/>
      <c r="G154" s="4" t="str">
        <f>'Gas Water'!M157</f>
        <v/>
      </c>
      <c r="H154" s="132"/>
      <c r="I154" s="2" t="str">
        <f>'Gas Water'!L157</f>
        <v/>
      </c>
      <c r="J154" s="132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2"/>
      <c r="G155" s="4" t="str">
        <f>'Gas Water'!M158</f>
        <v/>
      </c>
      <c r="H155" s="132"/>
      <c r="I155" s="2" t="str">
        <f>'Gas Water'!L158</f>
        <v/>
      </c>
      <c r="J155" s="132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2"/>
      <c r="G156" s="4" t="str">
        <f>'Gas Water'!M159</f>
        <v/>
      </c>
      <c r="H156" s="132"/>
      <c r="I156" s="2" t="str">
        <f>'Gas Water'!L159</f>
        <v/>
      </c>
      <c r="J156" s="132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2"/>
      <c r="G157" s="4" t="str">
        <f>'Gas Water'!M160</f>
        <v/>
      </c>
      <c r="H157" s="132"/>
      <c r="I157" s="2" t="str">
        <f>'Gas Water'!L160</f>
        <v/>
      </c>
      <c r="J157" s="132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2"/>
      <c r="G158" s="4" t="str">
        <f>'Gas Water'!M161</f>
        <v/>
      </c>
      <c r="H158" s="132"/>
      <c r="I158" s="2" t="str">
        <f>'Gas Water'!L161</f>
        <v/>
      </c>
      <c r="J158" s="132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2"/>
      <c r="G159" s="4" t="str">
        <f>'Gas Water'!M162</f>
        <v/>
      </c>
      <c r="H159" s="132"/>
      <c r="I159" s="2" t="str">
        <f>'Gas Water'!L162</f>
        <v/>
      </c>
      <c r="J159" s="132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2"/>
      <c r="G160" s="4" t="str">
        <f>'Gas Water'!M163</f>
        <v/>
      </c>
      <c r="H160" s="132"/>
      <c r="I160" s="2" t="str">
        <f>'Gas Water'!L163</f>
        <v/>
      </c>
      <c r="J160" s="132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2"/>
      <c r="G161" s="4" t="str">
        <f>'Gas Water'!M164</f>
        <v/>
      </c>
      <c r="H161" s="132"/>
      <c r="I161" s="2" t="str">
        <f>'Gas Water'!L164</f>
        <v/>
      </c>
      <c r="J161" s="132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03" workbookViewId="0">
      <selection activeCell="Q130" sqref="Q130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7"/>
      <c r="C1" s="167"/>
      <c r="D1" s="167"/>
      <c r="E1" s="167"/>
      <c r="F1" s="167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64" t="s">
        <v>25</v>
      </c>
      <c r="O25" s="164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65"/>
      <c r="O26" s="165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66"/>
      <c r="O27" s="166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64" t="s">
        <v>27</v>
      </c>
      <c r="O29" s="164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66"/>
      <c r="O30" s="166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64" t="s">
        <v>25</v>
      </c>
      <c r="O53" s="164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65"/>
      <c r="O54" s="165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66"/>
      <c r="O55" s="166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64" t="s">
        <v>27</v>
      </c>
      <c r="O57" s="164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66"/>
      <c r="O58" s="166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64" t="s">
        <v>29</v>
      </c>
      <c r="O60" s="164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66"/>
      <c r="O61" s="166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64" t="s">
        <v>25</v>
      </c>
      <c r="O84" s="164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65"/>
      <c r="O85" s="165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66"/>
      <c r="O86" s="166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64" t="s">
        <v>27</v>
      </c>
      <c r="O88" s="164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66"/>
      <c r="O89" s="166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64" t="s">
        <v>29</v>
      </c>
      <c r="O91" s="164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66"/>
      <c r="O92" s="166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64" t="s">
        <v>25</v>
      </c>
      <c r="O114" s="164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65"/>
      <c r="O115" s="165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66"/>
      <c r="O116" s="166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64" t="s">
        <v>27</v>
      </c>
      <c r="O118" s="164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66"/>
      <c r="O119" s="166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39"/>
      <c r="D144" s="22"/>
      <c r="E144" s="23"/>
      <c r="F144" s="24"/>
      <c r="G144" s="25"/>
      <c r="H144" s="26" t="str">
        <f t="shared" si="88"/>
        <v/>
      </c>
      <c r="I144" s="26" t="str">
        <f t="shared" si="88"/>
        <v/>
      </c>
      <c r="J144" s="26" t="str">
        <f t="shared" si="88"/>
        <v/>
      </c>
      <c r="K144" s="26" t="str">
        <f t="shared" si="88"/>
        <v/>
      </c>
      <c r="L144" s="27" t="str">
        <f t="shared" si="86"/>
        <v/>
      </c>
      <c r="M144" s="28" t="str">
        <f t="shared" si="89"/>
        <v/>
      </c>
      <c r="Q144" s="19">
        <f t="shared" si="90"/>
        <v>1</v>
      </c>
    </row>
    <row r="145" spans="2:18" ht="12.95" customHeight="1" x14ac:dyDescent="0.2">
      <c r="B145" s="21">
        <v>44337</v>
      </c>
      <c r="C145" s="39"/>
      <c r="D145" s="22"/>
      <c r="E145" s="23"/>
      <c r="F145" s="24"/>
      <c r="G145" s="25"/>
      <c r="H145" s="26" t="str">
        <f t="shared" si="88"/>
        <v/>
      </c>
      <c r="I145" s="26" t="str">
        <f t="shared" si="88"/>
        <v/>
      </c>
      <c r="J145" s="26" t="str">
        <f t="shared" si="88"/>
        <v/>
      </c>
      <c r="K145" s="26" t="str">
        <f>IF(F145="","",+(F145-F144))</f>
        <v/>
      </c>
      <c r="L145" s="27" t="str">
        <f t="shared" ref="L145:L154" si="91">IF(G145="","",+(G145-G144))</f>
        <v/>
      </c>
      <c r="M145" s="28" t="str">
        <f t="shared" si="89"/>
        <v/>
      </c>
      <c r="N145" s="164" t="s">
        <v>25</v>
      </c>
      <c r="O145" s="164" t="s">
        <v>26</v>
      </c>
      <c r="Q145" s="19">
        <f t="shared" si="90"/>
        <v>1</v>
      </c>
    </row>
    <row r="146" spans="2:18" ht="12.95" customHeight="1" x14ac:dyDescent="0.2">
      <c r="B146" s="21">
        <v>44338</v>
      </c>
      <c r="C146" s="39"/>
      <c r="D146" s="22"/>
      <c r="E146" s="23"/>
      <c r="F146" s="24"/>
      <c r="G146" s="25"/>
      <c r="H146" s="26" t="str">
        <f t="shared" si="88"/>
        <v/>
      </c>
      <c r="I146" s="26" t="str">
        <f t="shared" si="88"/>
        <v/>
      </c>
      <c r="J146" s="26" t="str">
        <f t="shared" si="88"/>
        <v/>
      </c>
      <c r="K146" s="26" t="str">
        <f>IF(F146="","",+(F146-F145))</f>
        <v/>
      </c>
      <c r="L146" s="27" t="str">
        <f t="shared" si="91"/>
        <v/>
      </c>
      <c r="M146" s="28" t="str">
        <f t="shared" si="89"/>
        <v/>
      </c>
      <c r="N146" s="165"/>
      <c r="O146" s="165"/>
      <c r="Q146" s="19">
        <f t="shared" si="90"/>
        <v>1</v>
      </c>
    </row>
    <row r="147" spans="2:18" ht="12.95" customHeight="1" thickBot="1" x14ac:dyDescent="0.25">
      <c r="B147" s="21">
        <v>44339</v>
      </c>
      <c r="C147" s="39"/>
      <c r="D147" s="22"/>
      <c r="E147" s="23"/>
      <c r="F147" s="24"/>
      <c r="G147" s="25"/>
      <c r="H147" s="26" t="str">
        <f t="shared" si="88"/>
        <v/>
      </c>
      <c r="I147" s="26" t="str">
        <f t="shared" si="88"/>
        <v/>
      </c>
      <c r="J147" s="26" t="str">
        <f t="shared" si="88"/>
        <v/>
      </c>
      <c r="K147" s="26" t="str">
        <f t="shared" si="88"/>
        <v/>
      </c>
      <c r="L147" s="27" t="str">
        <f t="shared" si="91"/>
        <v/>
      </c>
      <c r="M147" s="28" t="str">
        <f>IF(H147="","",+(H147+I147+J147+K147))</f>
        <v/>
      </c>
      <c r="N147" s="166"/>
      <c r="O147" s="166"/>
      <c r="Q147" s="19">
        <f>IF(L147="",1,0)</f>
        <v>1</v>
      </c>
    </row>
    <row r="148" spans="2:18" ht="12.95" customHeight="1" thickBot="1" x14ac:dyDescent="0.25">
      <c r="B148" s="21">
        <v>44340</v>
      </c>
      <c r="C148" s="39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5694</v>
      </c>
      <c r="O148" s="30">
        <f>SUM(M12:M155)</f>
        <v>399670</v>
      </c>
      <c r="Q148" s="19">
        <f>IF(L148="",1,0)</f>
        <v>1</v>
      </c>
    </row>
    <row r="149" spans="2:18" ht="12.95" customHeight="1" x14ac:dyDescent="0.2">
      <c r="B149" s="21">
        <v>44341</v>
      </c>
      <c r="C149" s="39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64" t="s">
        <v>27</v>
      </c>
      <c r="O149" s="164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39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66"/>
      <c r="O150" s="166"/>
      <c r="Q150" s="19">
        <f>IF(L150="",1,0)</f>
        <v>1</v>
      </c>
    </row>
    <row r="151" spans="2:18" ht="12.95" customHeight="1" thickBot="1" x14ac:dyDescent="0.25">
      <c r="B151" s="21">
        <v>44343</v>
      </c>
      <c r="C151" s="39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>
        <f>AVERAGE(L125:L155)</f>
        <v>299.68421052631578</v>
      </c>
      <c r="O151" s="30">
        <f>AVERAGE(M125:M155)</f>
        <v>2199.1052631578946</v>
      </c>
      <c r="Q151" s="19">
        <f>IF(L151="",1,0)</f>
        <v>1</v>
      </c>
    </row>
    <row r="152" spans="2:18" ht="12.95" customHeight="1" x14ac:dyDescent="0.2">
      <c r="B152" s="21">
        <v>44344</v>
      </c>
      <c r="C152" s="39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39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39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 x14ac:dyDescent="0.2">
      <c r="B155" s="21">
        <v>44347</v>
      </c>
      <c r="C155" s="32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39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 x14ac:dyDescent="0.2">
      <c r="B161" s="21">
        <v>44353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 x14ac:dyDescent="0.2">
      <c r="B162" s="21">
        <v>44354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 x14ac:dyDescent="0.2">
      <c r="B163" s="21">
        <v>44355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 x14ac:dyDescent="0.2">
      <c r="B164" s="21">
        <v>44356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64" t="s">
        <v>25</v>
      </c>
      <c r="O175" s="164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65"/>
      <c r="O176" s="165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66"/>
      <c r="O177" s="166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64" t="s">
        <v>27</v>
      </c>
      <c r="O179" s="164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66"/>
      <c r="O180" s="166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64" t="s">
        <v>25</v>
      </c>
      <c r="O206" s="164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65"/>
      <c r="O207" s="165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66"/>
      <c r="O208" s="166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64" t="s">
        <v>27</v>
      </c>
      <c r="O210" s="164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66"/>
      <c r="O211" s="166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64" t="s">
        <v>25</v>
      </c>
      <c r="O237" s="164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65"/>
      <c r="O238" s="165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66"/>
      <c r="O239" s="166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64" t="s">
        <v>27</v>
      </c>
      <c r="O241" s="164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66"/>
      <c r="O242" s="166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64" t="s">
        <v>25</v>
      </c>
      <c r="O267" s="164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65"/>
      <c r="O268" s="165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66"/>
      <c r="O269" s="166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64" t="s">
        <v>27</v>
      </c>
      <c r="O271" s="164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66"/>
      <c r="O272" s="166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64" t="s">
        <v>25</v>
      </c>
      <c r="O298" s="164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65"/>
      <c r="O299" s="165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66"/>
      <c r="O300" s="166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64" t="s">
        <v>27</v>
      </c>
      <c r="O302" s="164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66"/>
      <c r="O303" s="166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64" t="s">
        <v>25</v>
      </c>
      <c r="O328" s="164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65"/>
      <c r="O329" s="165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66"/>
      <c r="O330" s="166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64" t="s">
        <v>27</v>
      </c>
      <c r="O332" s="164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66"/>
      <c r="O333" s="166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64" t="s">
        <v>25</v>
      </c>
      <c r="O359" s="164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65"/>
      <c r="O360" s="165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66"/>
      <c r="O361" s="166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64" t="s">
        <v>27</v>
      </c>
      <c r="O363" s="164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66"/>
      <c r="O364" s="166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09" workbookViewId="0">
      <selection activeCell="J145" sqref="J145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8" t="s">
        <v>50</v>
      </c>
      <c r="Q21" s="169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70"/>
      <c r="Q22" s="171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8" t="s">
        <v>62</v>
      </c>
      <c r="Q49" s="169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70"/>
      <c r="Q50" s="171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8" t="s">
        <v>65</v>
      </c>
      <c r="Q81" s="169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70"/>
      <c r="Q82" s="171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8" t="s">
        <v>66</v>
      </c>
      <c r="Q111" s="169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70"/>
      <c r="Q112" s="171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8" t="s">
        <v>67</v>
      </c>
      <c r="Q142" s="169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/>
      <c r="E143" s="137"/>
      <c r="F143" s="138"/>
      <c r="G143" s="56"/>
      <c r="H143" s="56">
        <v>4140</v>
      </c>
      <c r="I143" s="56" t="str">
        <f t="shared" si="65"/>
        <v/>
      </c>
      <c r="J143" s="56" t="str">
        <f t="shared" si="66"/>
        <v/>
      </c>
      <c r="K143" s="57" t="str">
        <f t="shared" si="72"/>
        <v/>
      </c>
      <c r="L143" s="56" t="str">
        <f t="shared" si="73"/>
        <v/>
      </c>
      <c r="M143" s="57" t="str">
        <f t="shared" si="74"/>
        <v/>
      </c>
      <c r="N143" s="58">
        <v>66068309</v>
      </c>
      <c r="O143" s="58">
        <f t="shared" si="70"/>
        <v>0</v>
      </c>
      <c r="P143" s="170"/>
      <c r="Q143" s="171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/>
      <c r="E144" s="137"/>
      <c r="F144" s="138"/>
      <c r="G144" s="56"/>
      <c r="H144" s="56">
        <v>4140</v>
      </c>
      <c r="I144" s="56" t="str">
        <f t="shared" ref="I144:J159" si="75">IF(D144="","",+(E144-E143)*4140)</f>
        <v/>
      </c>
      <c r="J144" s="56" t="str">
        <f t="shared" si="75"/>
        <v/>
      </c>
      <c r="K144" s="57" t="str">
        <f t="shared" si="72"/>
        <v/>
      </c>
      <c r="L144" s="56" t="str">
        <f t="shared" si="73"/>
        <v/>
      </c>
      <c r="M144" s="57" t="str">
        <f t="shared" si="74"/>
        <v/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/>
      <c r="E145" s="137"/>
      <c r="F145" s="138"/>
      <c r="G145" s="56"/>
      <c r="H145" s="56">
        <v>4140</v>
      </c>
      <c r="I145" s="56" t="str">
        <f t="shared" si="75"/>
        <v/>
      </c>
      <c r="J145" s="56" t="str">
        <f t="shared" si="75"/>
        <v/>
      </c>
      <c r="K145" s="57" t="str">
        <f t="shared" si="72"/>
        <v/>
      </c>
      <c r="L145" s="56" t="str">
        <f t="shared" si="73"/>
        <v/>
      </c>
      <c r="M145" s="57" t="str">
        <f t="shared" si="74"/>
        <v/>
      </c>
      <c r="N145" s="58">
        <v>66068309</v>
      </c>
      <c r="O145" s="58">
        <f t="shared" si="70"/>
        <v>0</v>
      </c>
      <c r="P145" s="66">
        <f>IF(J124="",0,+SUM(J124:J154)/SUM(I124:I154))</f>
        <v>1.8691754997510156E-2</v>
      </c>
      <c r="Q145" s="66">
        <f>IF(L124="",0,+SUM(L124:L154)/SUM(I124:I154))</f>
        <v>1.8691754997510156E-2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/>
      <c r="E146" s="137"/>
      <c r="F146" s="138"/>
      <c r="G146" s="56"/>
      <c r="H146" s="56">
        <v>4140</v>
      </c>
      <c r="I146" s="56" t="str">
        <f t="shared" si="75"/>
        <v/>
      </c>
      <c r="J146" s="56" t="str">
        <f t="shared" si="75"/>
        <v/>
      </c>
      <c r="K146" s="57" t="str">
        <f t="shared" si="72"/>
        <v/>
      </c>
      <c r="L146" s="56" t="str">
        <f t="shared" si="73"/>
        <v/>
      </c>
      <c r="M146" s="57" t="str">
        <f t="shared" si="74"/>
        <v/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/>
      <c r="E147" s="137"/>
      <c r="F147" s="138"/>
      <c r="G147" s="56"/>
      <c r="H147" s="56">
        <v>4140</v>
      </c>
      <c r="I147" s="56" t="str">
        <f t="shared" si="75"/>
        <v/>
      </c>
      <c r="J147" s="56" t="str">
        <f t="shared" si="75"/>
        <v/>
      </c>
      <c r="K147" s="57" t="str">
        <f t="shared" si="72"/>
        <v/>
      </c>
      <c r="L147" s="56" t="str">
        <f t="shared" si="73"/>
        <v/>
      </c>
      <c r="M147" s="57" t="str">
        <f t="shared" si="74"/>
        <v/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/>
      <c r="E148" s="137"/>
      <c r="F148" s="138"/>
      <c r="G148" s="56"/>
      <c r="H148" s="56">
        <v>4140</v>
      </c>
      <c r="I148" s="56" t="str">
        <f t="shared" si="75"/>
        <v/>
      </c>
      <c r="J148" s="56" t="str">
        <f t="shared" si="75"/>
        <v/>
      </c>
      <c r="K148" s="57" t="str">
        <f t="shared" si="72"/>
        <v/>
      </c>
      <c r="L148" s="56" t="str">
        <f t="shared" si="73"/>
        <v/>
      </c>
      <c r="M148" s="57" t="str">
        <f t="shared" si="74"/>
        <v/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/>
      <c r="E149" s="137"/>
      <c r="F149" s="138"/>
      <c r="G149" s="56"/>
      <c r="H149" s="56">
        <v>4140</v>
      </c>
      <c r="I149" s="56" t="str">
        <f t="shared" si="75"/>
        <v/>
      </c>
      <c r="J149" s="56" t="str">
        <f t="shared" si="75"/>
        <v/>
      </c>
      <c r="K149" s="57" t="str">
        <f t="shared" si="72"/>
        <v/>
      </c>
      <c r="L149" s="56" t="str">
        <f t="shared" si="73"/>
        <v/>
      </c>
      <c r="M149" s="57" t="str">
        <f t="shared" si="74"/>
        <v/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/>
      <c r="E150" s="137"/>
      <c r="F150" s="138"/>
      <c r="G150" s="56"/>
      <c r="H150" s="56">
        <v>4140</v>
      </c>
      <c r="I150" s="56" t="str">
        <f t="shared" si="75"/>
        <v/>
      </c>
      <c r="J150" s="56" t="str">
        <f t="shared" si="75"/>
        <v/>
      </c>
      <c r="K150" s="57" t="str">
        <f t="shared" si="72"/>
        <v/>
      </c>
      <c r="L150" s="56" t="str">
        <f t="shared" si="73"/>
        <v/>
      </c>
      <c r="M150" s="57" t="str">
        <f t="shared" si="74"/>
        <v/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/>
      <c r="E151" s="137"/>
      <c r="F151" s="138"/>
      <c r="G151" s="56"/>
      <c r="H151" s="56">
        <v>4140</v>
      </c>
      <c r="I151" s="56" t="str">
        <f t="shared" si="75"/>
        <v/>
      </c>
      <c r="J151" s="56" t="str">
        <f t="shared" si="75"/>
        <v/>
      </c>
      <c r="K151" s="57" t="str">
        <f t="shared" si="72"/>
        <v/>
      </c>
      <c r="L151" s="56" t="str">
        <f t="shared" si="73"/>
        <v/>
      </c>
      <c r="M151" s="57" t="str">
        <f t="shared" si="74"/>
        <v/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/>
      <c r="E152" s="137"/>
      <c r="F152" s="138"/>
      <c r="G152" s="56"/>
      <c r="H152" s="56">
        <v>4140</v>
      </c>
      <c r="I152" s="56" t="str">
        <f t="shared" si="75"/>
        <v/>
      </c>
      <c r="J152" s="56" t="str">
        <f t="shared" si="75"/>
        <v/>
      </c>
      <c r="K152" s="57" t="str">
        <f t="shared" si="72"/>
        <v/>
      </c>
      <c r="L152" s="56" t="str">
        <f t="shared" si="73"/>
        <v/>
      </c>
      <c r="M152" s="57" t="str">
        <f t="shared" si="74"/>
        <v/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/>
      <c r="E153" s="137"/>
      <c r="F153" s="138"/>
      <c r="G153" s="56"/>
      <c r="H153" s="56">
        <v>4140</v>
      </c>
      <c r="I153" s="56" t="str">
        <f t="shared" si="75"/>
        <v/>
      </c>
      <c r="J153" s="56" t="str">
        <f t="shared" si="75"/>
        <v/>
      </c>
      <c r="K153" s="57" t="str">
        <f t="shared" si="72"/>
        <v/>
      </c>
      <c r="L153" s="56" t="str">
        <f t="shared" si="73"/>
        <v/>
      </c>
      <c r="M153" s="57" t="str">
        <f t="shared" si="74"/>
        <v/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/>
      <c r="E154" s="137"/>
      <c r="F154" s="138"/>
      <c r="G154" s="81"/>
      <c r="H154" s="56">
        <v>4140</v>
      </c>
      <c r="I154" s="56" t="str">
        <f t="shared" si="75"/>
        <v/>
      </c>
      <c r="J154" s="56" t="str">
        <f t="shared" si="75"/>
        <v/>
      </c>
      <c r="K154" s="57" t="str">
        <f t="shared" si="72"/>
        <v/>
      </c>
      <c r="L154" s="56" t="str">
        <f t="shared" si="73"/>
        <v/>
      </c>
      <c r="M154" s="57" t="str">
        <f t="shared" si="74"/>
        <v/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/>
      <c r="E155" s="137"/>
      <c r="F155" s="138"/>
      <c r="G155" s="56"/>
      <c r="H155" s="56">
        <v>4140</v>
      </c>
      <c r="I155" s="56" t="str">
        <f t="shared" si="75"/>
        <v/>
      </c>
      <c r="J155" s="56" t="str">
        <f t="shared" si="75"/>
        <v/>
      </c>
      <c r="K155" s="57" t="str">
        <f t="shared" si="72"/>
        <v/>
      </c>
      <c r="L155" s="56" t="str">
        <f t="shared" si="73"/>
        <v/>
      </c>
      <c r="M155" s="57" t="str">
        <f t="shared" si="74"/>
        <v/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/>
      <c r="E156" s="137"/>
      <c r="F156" s="138"/>
      <c r="G156" s="56"/>
      <c r="H156" s="56">
        <v>4140</v>
      </c>
      <c r="I156" s="56" t="str">
        <f t="shared" si="75"/>
        <v/>
      </c>
      <c r="J156" s="56" t="str">
        <f t="shared" si="75"/>
        <v/>
      </c>
      <c r="K156" s="57" t="str">
        <f t="shared" si="72"/>
        <v/>
      </c>
      <c r="L156" s="56" t="str">
        <f t="shared" si="73"/>
        <v/>
      </c>
      <c r="M156" s="57" t="str">
        <f t="shared" si="74"/>
        <v/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/>
      <c r="E157" s="137"/>
      <c r="F157" s="138"/>
      <c r="G157" s="56"/>
      <c r="H157" s="56">
        <v>4140</v>
      </c>
      <c r="I157" s="56" t="str">
        <f t="shared" si="75"/>
        <v/>
      </c>
      <c r="J157" s="56" t="str">
        <f t="shared" si="75"/>
        <v/>
      </c>
      <c r="K157" s="57" t="str">
        <f t="shared" si="72"/>
        <v/>
      </c>
      <c r="L157" s="56" t="str">
        <f t="shared" si="73"/>
        <v/>
      </c>
      <c r="M157" s="57" t="str">
        <f t="shared" si="74"/>
        <v/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/>
      <c r="E158" s="137"/>
      <c r="F158" s="138"/>
      <c r="G158" s="56"/>
      <c r="H158" s="56">
        <v>4140</v>
      </c>
      <c r="I158" s="56" t="str">
        <f t="shared" si="75"/>
        <v/>
      </c>
      <c r="J158" s="56" t="str">
        <f t="shared" si="75"/>
        <v/>
      </c>
      <c r="K158" s="57" t="str">
        <f t="shared" si="72"/>
        <v/>
      </c>
      <c r="L158" s="56" t="str">
        <f t="shared" si="73"/>
        <v/>
      </c>
      <c r="M158" s="57" t="str">
        <f t="shared" si="74"/>
        <v/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/>
      <c r="E159" s="137"/>
      <c r="F159" s="138"/>
      <c r="G159" s="56"/>
      <c r="H159" s="56">
        <v>4140</v>
      </c>
      <c r="I159" s="56" t="str">
        <f t="shared" si="75"/>
        <v/>
      </c>
      <c r="J159" s="56" t="str">
        <f t="shared" si="75"/>
        <v/>
      </c>
      <c r="K159" s="57" t="str">
        <f t="shared" si="72"/>
        <v/>
      </c>
      <c r="L159" s="56" t="str">
        <f t="shared" si="73"/>
        <v/>
      </c>
      <c r="M159" s="57" t="str">
        <f t="shared" si="74"/>
        <v/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/>
      <c r="E160" s="137"/>
      <c r="F160" s="138"/>
      <c r="G160" s="56"/>
      <c r="H160" s="56">
        <v>4140</v>
      </c>
      <c r="I160" s="56" t="str">
        <f t="shared" ref="I160:I235" si="76">IF(D160="","",+(E160-E159)*4140)</f>
        <v/>
      </c>
      <c r="J160" s="56" t="str">
        <f t="shared" ref="J160:J235" si="77">IF(E160="","",+(F160-F159)*4140)</f>
        <v/>
      </c>
      <c r="K160" s="57" t="str">
        <f t="shared" si="72"/>
        <v/>
      </c>
      <c r="L160" s="56" t="str">
        <f t="shared" si="73"/>
        <v/>
      </c>
      <c r="M160" s="57" t="str">
        <f t="shared" si="74"/>
        <v/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/>
      <c r="E161" s="137"/>
      <c r="F161" s="138"/>
      <c r="G161" s="56"/>
      <c r="H161" s="56">
        <v>4140</v>
      </c>
      <c r="I161" s="56" t="str">
        <f t="shared" si="76"/>
        <v/>
      </c>
      <c r="J161" s="56" t="str">
        <f t="shared" si="77"/>
        <v/>
      </c>
      <c r="K161" s="57" t="str">
        <f t="shared" si="72"/>
        <v/>
      </c>
      <c r="L161" s="56" t="str">
        <f t="shared" si="73"/>
        <v/>
      </c>
      <c r="M161" s="57" t="str">
        <f t="shared" si="74"/>
        <v/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/>
      <c r="E162" s="137"/>
      <c r="F162" s="138"/>
      <c r="G162" s="56"/>
      <c r="H162" s="56">
        <v>4140</v>
      </c>
      <c r="I162" s="56" t="str">
        <f t="shared" si="76"/>
        <v/>
      </c>
      <c r="J162" s="56" t="str">
        <f t="shared" si="77"/>
        <v/>
      </c>
      <c r="K162" s="57" t="str">
        <f t="shared" si="72"/>
        <v/>
      </c>
      <c r="L162" s="56" t="str">
        <f t="shared" si="73"/>
        <v/>
      </c>
      <c r="M162" s="57" t="str">
        <f t="shared" si="74"/>
        <v/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/>
      <c r="E163" s="137"/>
      <c r="F163" s="138"/>
      <c r="G163" s="56"/>
      <c r="H163" s="56">
        <v>4140</v>
      </c>
      <c r="I163" s="56" t="str">
        <f t="shared" si="76"/>
        <v/>
      </c>
      <c r="J163" s="56" t="str">
        <f t="shared" si="77"/>
        <v/>
      </c>
      <c r="K163" s="57" t="str">
        <f t="shared" si="72"/>
        <v/>
      </c>
      <c r="L163" s="56" t="str">
        <f t="shared" si="73"/>
        <v/>
      </c>
      <c r="M163" s="57" t="str">
        <f t="shared" si="74"/>
        <v/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8" t="s">
        <v>68</v>
      </c>
      <c r="Q172" s="169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70"/>
      <c r="Q173" s="171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0</v>
      </c>
      <c r="Q175" s="66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>
        <f>IF(J155="",0,+(+(LOOKUP(9.99999999999999E+307,E155:E184)-E154))/(+(LOOKUP(9.99999999999999E+307,D155:D184)-D154)))</f>
        <v>0</v>
      </c>
      <c r="Q176" s="67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72" t="s">
        <v>69</v>
      </c>
      <c r="Q203" s="173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70"/>
      <c r="Q204" s="171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72" t="s">
        <v>70</v>
      </c>
      <c r="Q234" s="173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70"/>
      <c r="Q235" s="171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8" t="s">
        <v>71</v>
      </c>
      <c r="Q264" s="169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70"/>
      <c r="Q265" s="171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8" t="s">
        <v>73</v>
      </c>
      <c r="Q295" s="169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70"/>
      <c r="Q296" s="171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8" t="s">
        <v>74</v>
      </c>
      <c r="Q325" s="169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70"/>
      <c r="Q326" s="171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8" t="s">
        <v>75</v>
      </c>
      <c r="Q356" s="169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70"/>
      <c r="Q357" s="171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elements/1.1/"/>
    <ds:schemaRef ds:uri="http://schemas.microsoft.com/office/2006/metadata/properties"/>
    <ds:schemaRef ds:uri="d07fdfd0-8ece-48a6-a46c-61dc91b6cdb1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2022-05-20T06:05:42Z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