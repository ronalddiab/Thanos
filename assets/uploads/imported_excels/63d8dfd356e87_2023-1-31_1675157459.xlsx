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8DD4B116-652F-475D-A061-21D97391050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C33" i="4" l="1"/>
  <c r="L33" i="4" s="1"/>
  <c r="D33" i="4"/>
  <c r="E33" i="4"/>
  <c r="F33" i="4"/>
  <c r="G33" i="4"/>
  <c r="H33" i="4"/>
  <c r="I33" i="4"/>
  <c r="J33" i="4"/>
  <c r="K33" i="4"/>
  <c r="B33" i="4"/>
  <c r="A33" i="4"/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D28" i="8" s="1"/>
  <c r="B29" i="8"/>
  <c r="Z29" i="8" s="1"/>
  <c r="B30" i="8"/>
  <c r="Z30" i="8" s="1"/>
  <c r="B31" i="8"/>
  <c r="B32" i="8"/>
  <c r="B33" i="8"/>
  <c r="D33" i="8" s="1"/>
  <c r="O17" i="2"/>
  <c r="O18" i="2"/>
  <c r="O19" i="2"/>
  <c r="O20" i="2"/>
  <c r="O21" i="2"/>
  <c r="C18" i="8"/>
  <c r="F18" i="8" s="1"/>
  <c r="C19" i="8"/>
  <c r="C20" i="8"/>
  <c r="C21" i="8"/>
  <c r="C22" i="8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H32" i="4" s="1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G30" i="3" s="1"/>
  <c r="I29" i="2"/>
  <c r="J30" i="2"/>
  <c r="J31" i="2"/>
  <c r="I30" i="2"/>
  <c r="I31" i="2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 s="1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6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G24" i="8"/>
  <c r="G25" i="8"/>
  <c r="C25" i="8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O23" i="8"/>
  <c r="C23" i="8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F10" i="2"/>
  <c r="D11" i="4" s="1"/>
  <c r="F16" i="2"/>
  <c r="D17" i="4" s="1"/>
  <c r="F17" i="2"/>
  <c r="D18" i="4" s="1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M16" i="3" s="1"/>
  <c r="B17" i="3"/>
  <c r="D17" i="3" s="1"/>
  <c r="B18" i="3"/>
  <c r="B19" i="3"/>
  <c r="C19" i="3" s="1"/>
  <c r="B20" i="3"/>
  <c r="X19" i="2"/>
  <c r="B21" i="3"/>
  <c r="B22" i="3"/>
  <c r="B23" i="3"/>
  <c r="M23" i="3" s="1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M8" i="2"/>
  <c r="L8" i="2"/>
  <c r="K8" i="2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H12" i="3" s="1"/>
  <c r="L12" i="2"/>
  <c r="M12" i="2"/>
  <c r="L13" i="2"/>
  <c r="H14" i="3" s="1"/>
  <c r="M13" i="2"/>
  <c r="L14" i="2"/>
  <c r="M14" i="2"/>
  <c r="L15" i="2"/>
  <c r="M15" i="2"/>
  <c r="H16" i="3" s="1"/>
  <c r="L16" i="2"/>
  <c r="M16" i="2"/>
  <c r="L17" i="2"/>
  <c r="G18" i="4" s="1"/>
  <c r="M17" i="2"/>
  <c r="M18" i="2"/>
  <c r="M19" i="2"/>
  <c r="L20" i="2"/>
  <c r="M20" i="2"/>
  <c r="H21" i="3" s="1"/>
  <c r="L22" i="2"/>
  <c r="H23" i="3" s="1"/>
  <c r="L23" i="2"/>
  <c r="H24" i="3" s="1"/>
  <c r="L24" i="2"/>
  <c r="L25" i="2"/>
  <c r="L26" i="2"/>
  <c r="M26" i="2"/>
  <c r="L27" i="2"/>
  <c r="M27" i="2"/>
  <c r="G28" i="4" s="1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E24" i="2"/>
  <c r="C25" i="4" s="1"/>
  <c r="X4" i="2"/>
  <c r="K5" i="4" s="1"/>
  <c r="X9" i="2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 s="1"/>
  <c r="X18" i="2"/>
  <c r="L19" i="3" s="1"/>
  <c r="K19" i="4"/>
  <c r="X20" i="2"/>
  <c r="K21" i="4" s="1"/>
  <c r="X22" i="2"/>
  <c r="X23" i="2"/>
  <c r="K24" i="4" s="1"/>
  <c r="X24" i="2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F21" i="3" s="1"/>
  <c r="G22" i="2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N22" i="2"/>
  <c r="N23" i="2"/>
  <c r="N24" i="2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J12" i="4" s="1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J17" i="4" s="1"/>
  <c r="V17" i="2"/>
  <c r="V18" i="2"/>
  <c r="V19" i="2"/>
  <c r="V20" i="2"/>
  <c r="V22" i="2"/>
  <c r="V23" i="2"/>
  <c r="V24" i="2"/>
  <c r="V26" i="2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C30" i="3"/>
  <c r="C29" i="3"/>
  <c r="L29" i="3"/>
  <c r="D29" i="3"/>
  <c r="C25" i="3"/>
  <c r="C24" i="3"/>
  <c r="C7" i="3"/>
  <c r="L21" i="3"/>
  <c r="C22" i="3"/>
  <c r="D23" i="3"/>
  <c r="J14" i="8"/>
  <c r="C11" i="3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V11" i="8"/>
  <c r="E14" i="3"/>
  <c r="D17" i="8"/>
  <c r="C28" i="3"/>
  <c r="D3" i="3"/>
  <c r="G16" i="4"/>
  <c r="K10" i="4"/>
  <c r="F3" i="3"/>
  <c r="C3" i="4"/>
  <c r="I29" i="3"/>
  <c r="G23" i="4"/>
  <c r="D11" i="3"/>
  <c r="L22" i="3"/>
  <c r="M25" i="3"/>
  <c r="M22" i="3"/>
  <c r="F14" i="3"/>
  <c r="M10" i="3"/>
  <c r="H30" i="2"/>
  <c r="E3" i="3"/>
  <c r="D6" i="3"/>
  <c r="M13" i="3"/>
  <c r="G13" i="4"/>
  <c r="H29" i="2"/>
  <c r="M30" i="3"/>
  <c r="M28" i="3"/>
  <c r="D5" i="3"/>
  <c r="G6" i="4"/>
  <c r="G20" i="4"/>
  <c r="H29" i="4"/>
  <c r="M31" i="3"/>
  <c r="H6" i="3"/>
  <c r="M32" i="3"/>
  <c r="F32" i="4"/>
  <c r="L7" i="3"/>
  <c r="M3" i="3"/>
  <c r="M33" i="3" s="1"/>
  <c r="M12" i="3"/>
  <c r="M17" i="3"/>
  <c r="M14" i="3"/>
  <c r="E13" i="3"/>
  <c r="M19" i="3"/>
  <c r="E21" i="3"/>
  <c r="M6" i="3"/>
  <c r="K7" i="3"/>
  <c r="M4" i="3"/>
  <c r="L18" i="3"/>
  <c r="M5" i="3"/>
  <c r="G9" i="4"/>
  <c r="G26" i="4"/>
  <c r="M29" i="3"/>
  <c r="M21" i="3"/>
  <c r="C33" i="3"/>
  <c r="M11" i="3"/>
  <c r="M7" i="3"/>
  <c r="M24" i="3"/>
  <c r="L12" i="3"/>
  <c r="Z31" i="8" l="1"/>
  <c r="I32" i="4"/>
  <c r="G31" i="3"/>
  <c r="E32" i="3"/>
  <c r="N31" i="8"/>
  <c r="D30" i="3"/>
  <c r="F31" i="3"/>
  <c r="F30" i="3"/>
  <c r="K29" i="3"/>
  <c r="J29" i="4"/>
  <c r="F23" i="3"/>
  <c r="L10" i="3"/>
  <c r="H28" i="3"/>
  <c r="H8" i="2"/>
  <c r="D13" i="3"/>
  <c r="F27" i="4"/>
  <c r="J22" i="4"/>
  <c r="M8" i="3"/>
  <c r="E10" i="3"/>
  <c r="F25" i="3"/>
  <c r="I6" i="3"/>
  <c r="C23" i="3"/>
  <c r="J13" i="4"/>
  <c r="L25" i="3"/>
  <c r="D24" i="3"/>
  <c r="H9" i="4"/>
  <c r="L20" i="3"/>
  <c r="K12" i="3"/>
  <c r="H25" i="3"/>
  <c r="L23" i="3"/>
  <c r="H13" i="3"/>
  <c r="G32" i="3"/>
  <c r="I8" i="3"/>
  <c r="X14" i="8"/>
  <c r="L28" i="3"/>
  <c r="J27" i="4"/>
  <c r="I26" i="4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G19" i="4"/>
  <c r="I15" i="4"/>
  <c r="J25" i="3"/>
  <c r="K28" i="3"/>
  <c r="J16" i="4"/>
  <c r="L16" i="4" s="1"/>
  <c r="J5" i="3"/>
  <c r="X33" i="2"/>
  <c r="H8" i="4"/>
  <c r="H26" i="2"/>
  <c r="F13" i="4"/>
  <c r="F4" i="4"/>
  <c r="I14" i="4"/>
  <c r="H10" i="3"/>
  <c r="I24" i="4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4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D31" i="3"/>
  <c r="T33" i="2"/>
  <c r="L32" i="3"/>
  <c r="U33" i="2"/>
  <c r="I31" i="4"/>
  <c r="H31" i="2"/>
  <c r="N33" i="2"/>
  <c r="K31" i="3"/>
  <c r="I31" i="3"/>
  <c r="H31" i="4"/>
  <c r="H32" i="8"/>
  <c r="Y31" i="8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C34" i="4" l="1"/>
  <c r="C36" i="4" s="1"/>
  <c r="L9" i="4"/>
  <c r="L27" i="4"/>
  <c r="L26" i="4"/>
  <c r="L24" i="4"/>
  <c r="L22" i="4"/>
  <c r="L20" i="4"/>
  <c r="L18" i="4"/>
  <c r="L17" i="4"/>
  <c r="L14" i="4"/>
  <c r="L15" i="4"/>
  <c r="K34" i="4"/>
  <c r="K36" i="4" s="1"/>
  <c r="L13" i="4"/>
  <c r="L12" i="4"/>
  <c r="L11" i="4"/>
  <c r="L10" i="4"/>
  <c r="L8" i="4"/>
  <c r="G34" i="4"/>
  <c r="G36" i="4" s="1"/>
  <c r="L29" i="4"/>
  <c r="L19" i="4"/>
  <c r="L6" i="4"/>
  <c r="L4" i="4"/>
  <c r="E34" i="4"/>
  <c r="E36" i="4" s="1"/>
  <c r="H34" i="4"/>
  <c r="H36" i="4" s="1"/>
  <c r="L35" i="8"/>
  <c r="L32" i="4"/>
  <c r="L28" i="4"/>
  <c r="F34" i="4"/>
  <c r="F36" i="4" s="1"/>
  <c r="L7" i="4"/>
  <c r="L5" i="4"/>
  <c r="L23" i="4"/>
  <c r="D34" i="4"/>
  <c r="D36" i="4" s="1"/>
  <c r="L3" i="4"/>
  <c r="L21" i="4"/>
  <c r="L25" i="4"/>
  <c r="J34" i="4"/>
  <c r="J36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4" i="4"/>
  <c r="I36" i="4" s="1"/>
  <c r="J33" i="3"/>
  <c r="L31" i="4"/>
  <c r="I33" i="3"/>
  <c r="Y35" i="8"/>
  <c r="Z35" i="8" s="1"/>
  <c r="L30" i="4"/>
  <c r="L34" i="4" l="1"/>
  <c r="L36" i="4" s="1"/>
  <c r="M36" i="4" s="1"/>
  <c r="N33" i="3"/>
  <c r="M34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<sst xmlns="http://schemas.openxmlformats.org/spreadsheetml/2006/main" count="236" uniqueCount="130">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</sst>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15679.999999999951</c:v>
                </c:pt>
                <c:pt idx="1">
                  <c:v>73399.999999999927</c:v>
                </c:pt>
                <c:pt idx="2">
                  <c:v>7769.9999999999818</c:v>
                </c:pt>
                <c:pt idx="3">
                  <c:v>46939.999999999993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1123</c:v>
                </c:pt>
                <c:pt idx="1">
                  <c:v>9.3063727521339193E-2</c:v>
                </c:pt>
                <c:pt idx="2" formatCode="_(* #,##0.00_);_(* \(#,##0.00\);_(* &quot;-&quot;??_);_(@_)">
                  <c:v>5331</c:v>
                </c:pt>
                <c:pt idx="3">
                  <c:v>0.4417833761498301</c:v>
                </c:pt>
                <c:pt idx="4" formatCode="0.00">
                  <c:v>353</c:v>
                </c:pt>
                <c:pt idx="5">
                  <c:v>2.9253335543217039E-2</c:v>
                </c:pt>
                <c:pt idx="6" formatCode="0.00">
                  <c:v>175</c:v>
                </c:pt>
                <c:pt idx="7">
                  <c:v>1.450236181320958E-2</c:v>
                </c:pt>
                <c:pt idx="8" formatCode="0.00">
                  <c:v>148</c:v>
                </c:pt>
                <c:pt idx="9">
                  <c:v>1.2264854562028674E-2</c:v>
                </c:pt>
                <c:pt idx="10" formatCode="0.00">
                  <c:v>158</c:v>
                </c:pt>
                <c:pt idx="11">
                  <c:v>1.3093560951354935E-2</c:v>
                </c:pt>
                <c:pt idx="12" formatCode="0.00">
                  <c:v>920</c:v>
                </c:pt>
                <c:pt idx="13">
                  <c:v>7.6240987818016082E-2</c:v>
                </c:pt>
                <c:pt idx="14" formatCode="_(* #,##0.00_);_(* \(#,##0.00\);_(* &quot;-&quot;??_);_(@_)">
                  <c:v>2553</c:v>
                </c:pt>
                <c:pt idx="15">
                  <c:v>0.21156874119499461</c:v>
                </c:pt>
                <c:pt idx="16" formatCode="0.00">
                  <c:v>954</c:v>
                </c:pt>
                <c:pt idx="17">
                  <c:v>7.9058589541725371E-2</c:v>
                </c:pt>
                <c:pt idx="18" formatCode="0.00">
                  <c:v>204</c:v>
                </c:pt>
                <c:pt idx="19">
                  <c:v>1.6905610342255739E-2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12067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4" zoomScale="115" zoomScaleNormal="115" workbookViewId="0">
      <selection activeCell="O31" sqref="O31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>
        <v>80.2</v>
      </c>
      <c r="N15" s="58">
        <v>171</v>
      </c>
      <c r="O15" s="58">
        <v>382</v>
      </c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20149.999999998618</v>
      </c>
      <c r="F16" s="90"/>
      <c r="G16" s="84">
        <v>5592</v>
      </c>
      <c r="H16" s="116"/>
      <c r="I16" s="52">
        <v>400</v>
      </c>
      <c r="J16" s="118"/>
      <c r="K16" s="81"/>
      <c r="L16" s="119"/>
      <c r="M16" s="58">
        <v>76</v>
      </c>
      <c r="N16" s="58">
        <v>154</v>
      </c>
      <c r="O16" s="58">
        <v>395</v>
      </c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23719.999999999036</v>
      </c>
      <c r="F17" s="90"/>
      <c r="G17" s="84">
        <v>6122</v>
      </c>
      <c r="H17" s="116"/>
      <c r="I17" s="52">
        <v>453</v>
      </c>
      <c r="J17" s="118"/>
      <c r="K17" s="81"/>
      <c r="L17" s="119"/>
      <c r="M17" s="58">
        <v>71.900000000000006</v>
      </c>
      <c r="N17" s="58">
        <v>142</v>
      </c>
      <c r="O17" s="58">
        <v>483</v>
      </c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18270.000000000891</v>
      </c>
      <c r="F18" s="90"/>
      <c r="G18" s="84">
        <v>5609</v>
      </c>
      <c r="H18" s="116"/>
      <c r="I18" s="52">
        <v>345</v>
      </c>
      <c r="J18" s="118"/>
      <c r="K18" s="81"/>
      <c r="L18" s="119"/>
      <c r="M18" s="58">
        <v>30.2</v>
      </c>
      <c r="N18" s="58">
        <v>74</v>
      </c>
      <c r="O18" s="58">
        <v>191</v>
      </c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19860.000000001182</v>
      </c>
      <c r="F19" s="90"/>
      <c r="G19" s="84">
        <v>5766</v>
      </c>
      <c r="H19" s="116"/>
      <c r="I19" s="52">
        <v>366</v>
      </c>
      <c r="J19" s="118"/>
      <c r="K19" s="81"/>
      <c r="L19" s="119"/>
      <c r="M19" s="58">
        <v>28.1</v>
      </c>
      <c r="N19" s="58">
        <v>68</v>
      </c>
      <c r="O19" s="58">
        <v>188</v>
      </c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20600.000000000236</v>
      </c>
      <c r="F20" s="90"/>
      <c r="G20" s="84">
        <v>5380</v>
      </c>
      <c r="H20" s="116"/>
      <c r="I20" s="52">
        <v>391</v>
      </c>
      <c r="J20" s="118"/>
      <c r="K20" s="81"/>
      <c r="L20" s="119"/>
      <c r="M20" s="58">
        <v>27.1</v>
      </c>
      <c r="N20" s="58">
        <v>73</v>
      </c>
      <c r="O20" s="58">
        <v>158</v>
      </c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16619.999999998527</v>
      </c>
      <c r="F21" s="90"/>
      <c r="G21" s="84">
        <v>4966</v>
      </c>
      <c r="H21" s="116"/>
      <c r="I21" s="52">
        <v>395</v>
      </c>
      <c r="J21" s="118"/>
      <c r="K21" s="81"/>
      <c r="L21" s="119"/>
      <c r="M21" s="58">
        <v>29.2</v>
      </c>
      <c r="N21" s="58">
        <v>75</v>
      </c>
      <c r="O21" s="58">
        <v>204</v>
      </c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19099.999999999887</v>
      </c>
      <c r="F22" s="90"/>
      <c r="G22" s="84">
        <v>4669</v>
      </c>
      <c r="H22" s="116"/>
      <c r="I22" s="52">
        <v>380</v>
      </c>
      <c r="J22" s="118"/>
      <c r="K22" s="81"/>
      <c r="L22" s="119"/>
      <c r="M22" s="58">
        <v>33.299999999999997</v>
      </c>
      <c r="N22" s="58">
        <v>84</v>
      </c>
      <c r="O22" s="58">
        <v>195</v>
      </c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19250.000000000186</v>
      </c>
      <c r="F23" s="90"/>
      <c r="G23" s="84">
        <v>5418</v>
      </c>
      <c r="H23" s="116"/>
      <c r="I23" s="52">
        <v>368</v>
      </c>
      <c r="J23" s="118"/>
      <c r="K23" s="81"/>
      <c r="L23" s="119"/>
      <c r="M23" s="58">
        <v>37.5</v>
      </c>
      <c r="N23" s="58">
        <v>91</v>
      </c>
      <c r="O23" s="58">
        <v>244</v>
      </c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18670.000000000178</v>
      </c>
      <c r="F24" s="90"/>
      <c r="G24" s="84">
        <v>5117</v>
      </c>
      <c r="H24" s="116"/>
      <c r="I24" s="52">
        <v>327</v>
      </c>
      <c r="J24" s="118"/>
      <c r="K24" s="81"/>
      <c r="L24" s="119"/>
      <c r="M24" s="58">
        <v>36.5</v>
      </c>
      <c r="N24" s="58">
        <v>91</v>
      </c>
      <c r="O24" s="58">
        <v>239</v>
      </c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16040.000000000822</v>
      </c>
      <c r="F25" s="90"/>
      <c r="G25" s="84">
        <v>4484</v>
      </c>
      <c r="H25" s="116"/>
      <c r="I25" s="52">
        <v>349</v>
      </c>
      <c r="J25" s="118"/>
      <c r="K25" s="81"/>
      <c r="L25" s="119"/>
      <c r="M25" s="58">
        <v>35.4</v>
      </c>
      <c r="N25" s="58">
        <v>80</v>
      </c>
      <c r="O25" s="58">
        <v>204</v>
      </c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16599.999999999192</v>
      </c>
      <c r="F26" s="90"/>
      <c r="G26" s="84">
        <v>4522</v>
      </c>
      <c r="H26" s="116"/>
      <c r="I26" s="52">
        <v>251</v>
      </c>
      <c r="J26" s="118"/>
      <c r="K26" s="81"/>
      <c r="L26" s="119"/>
      <c r="M26" s="58">
        <v>37.5</v>
      </c>
      <c r="N26" s="58">
        <v>91</v>
      </c>
      <c r="O26" s="58">
        <v>225</v>
      </c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19100.000000000437</v>
      </c>
      <c r="F27" s="90"/>
      <c r="G27" s="84">
        <v>5079</v>
      </c>
      <c r="H27" s="116"/>
      <c r="I27" s="52">
        <v>298</v>
      </c>
      <c r="J27" s="118"/>
      <c r="K27" s="81"/>
      <c r="L27" s="119"/>
      <c r="M27" s="58">
        <v>50</v>
      </c>
      <c r="N27" s="58">
        <v>104</v>
      </c>
      <c r="O27" s="58">
        <v>266</v>
      </c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18580.000000000113</v>
      </c>
      <c r="F28" s="90"/>
      <c r="G28" s="84">
        <v>5118</v>
      </c>
      <c r="H28" s="116"/>
      <c r="I28" s="52">
        <v>299</v>
      </c>
      <c r="J28" s="118"/>
      <c r="K28" s="81"/>
      <c r="L28" s="119"/>
      <c r="M28" s="58">
        <v>46.9</v>
      </c>
      <c r="N28" s="58">
        <v>99</v>
      </c>
      <c r="O28" s="58">
        <v>305</v>
      </c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17689.999999999472</v>
      </c>
      <c r="F29" s="90"/>
      <c r="G29" s="84">
        <v>4964</v>
      </c>
      <c r="H29" s="116"/>
      <c r="I29" s="52">
        <v>286</v>
      </c>
      <c r="J29" s="118"/>
      <c r="K29" s="81"/>
      <c r="L29" s="119"/>
      <c r="M29" s="58">
        <v>38.5</v>
      </c>
      <c r="N29" s="58">
        <v>78</v>
      </c>
      <c r="O29" s="58">
        <v>236</v>
      </c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16210.000000001117</v>
      </c>
      <c r="F30" s="90"/>
      <c r="G30" s="84">
        <v>4425</v>
      </c>
      <c r="H30" s="116"/>
      <c r="I30" s="52">
        <v>272</v>
      </c>
      <c r="J30" s="118"/>
      <c r="K30" s="81"/>
      <c r="L30" s="119"/>
      <c r="M30" s="58">
        <v>45.8</v>
      </c>
      <c r="N30" s="58">
        <v>98</v>
      </c>
      <c r="O30" s="58">
        <v>245</v>
      </c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16210.000000001117</v>
      </c>
      <c r="F31" s="90"/>
      <c r="G31" s="84">
        <v>4864</v>
      </c>
      <c r="H31" s="116"/>
      <c r="I31" s="52">
        <v>243</v>
      </c>
      <c r="J31" s="118"/>
      <c r="K31" s="81"/>
      <c r="L31" s="119"/>
      <c r="M31" s="58">
        <v>29.2</v>
      </c>
      <c r="N31" s="58">
        <v>75</v>
      </c>
      <c r="O31" s="58">
        <v>210</v>
      </c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587930.00000000268</v>
      </c>
      <c r="F33" s="113">
        <v>0</v>
      </c>
      <c r="G33" s="80">
        <f>SUM(G2:G32)</f>
        <v>163158</v>
      </c>
      <c r="H33" s="113">
        <v>0</v>
      </c>
      <c r="I33" s="80">
        <f>SUM(I2:I32)</f>
        <v>11920</v>
      </c>
      <c r="J33" s="113">
        <v>0</v>
      </c>
      <c r="K33" s="79">
        <f>SUM(K2:K31)</f>
        <v>0</v>
      </c>
      <c r="L33" s="120">
        <v>0</v>
      </c>
      <c r="M33" s="80">
        <f>SUM(M2:M32)</f>
        <v>1752.1000000000001</v>
      </c>
      <c r="N33" s="80">
        <f>SUM(N2:N32)</f>
        <v>4212</v>
      </c>
      <c r="O33" s="80">
        <f>SUM(O2:O32)</f>
        <v>11385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K24" sqref="K24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570.00000000005002</v>
      </c>
      <c r="F16" s="2">
        <f>('Kwh Reading'!F19-'Kwh Reading'!F18)*1000000</f>
        <v>2600.0000000001578</v>
      </c>
      <c r="G16" s="2">
        <f>('Kwh Reading'!C19-'Kwh Reading'!C18)*1000</f>
        <v>269.99999999998181</v>
      </c>
      <c r="H16" s="2">
        <f t="shared" si="0"/>
        <v>1599.9999999999659</v>
      </c>
      <c r="I16" s="2">
        <f>('Kwh Reading'!J19-'Kwh Reading'!J18)*1000</f>
        <v>730.00000000001819</v>
      </c>
      <c r="J16" s="2">
        <f>('Kwh Reading'!K19-'Kwh Reading'!K18)*1000</f>
        <v>439.99999999994088</v>
      </c>
      <c r="K16" s="2">
        <f>('Kwh Reading'!L19-'Kwh Reading'!L18)*1000</f>
        <v>430.00000000000682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279.99999999997272</v>
      </c>
      <c r="O16" s="2">
        <f>('Kwh Reading'!B19-'Kwh Reading'!B18)*1000000</f>
        <v>1100.000000000101</v>
      </c>
      <c r="P16" s="2">
        <f>('Kwh Reading'!M19-'Kwh Reading'!M18)*1000</f>
        <v>470.00000000002728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600.00000000015598</v>
      </c>
      <c r="T16" s="2">
        <f>('Kwh Reading'!Q19-'Kwh Reading'!Q18)*1000</f>
        <v>409.99999999996817</v>
      </c>
      <c r="U16" s="2">
        <f>('Kwh Reading'!N19-'Kwh Reading'!N18)*1000</f>
        <v>460.00000000003638</v>
      </c>
      <c r="V16" s="26">
        <f>'Kwh Reading'!E19-'Kwh Reading'!E18</f>
        <v>2827.4599999990314</v>
      </c>
      <c r="W16" s="26">
        <f>'Kwh Reading'!D19-'Kwh Reading'!D18</f>
        <v>1626.9499999999825</v>
      </c>
      <c r="X16" s="21">
        <f>('Kwh Reading'!O19-'Kwh Reading'!O18)*1000</f>
        <v>259.99999999999091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559.99999999994543</v>
      </c>
      <c r="F17" s="2">
        <f>('Kwh Reading'!F20-'Kwh Reading'!F19)*1000000</f>
        <v>2699.9999999999245</v>
      </c>
      <c r="G17" s="2">
        <f>('Kwh Reading'!C20-'Kwh Reading'!C19)*1000</f>
        <v>280.00000000002956</v>
      </c>
      <c r="H17" s="2">
        <f t="shared" si="0"/>
        <v>1870.0000000000045</v>
      </c>
      <c r="I17" s="2">
        <f>('Kwh Reading'!J20-'Kwh Reading'!J19)*1000</f>
        <v>919.99999999995907</v>
      </c>
      <c r="J17" s="2">
        <f>('Kwh Reading'!K20-'Kwh Reading'!K19)*1000</f>
        <v>470.00000000002728</v>
      </c>
      <c r="K17" s="2">
        <f>('Kwh Reading'!L20-'Kwh Reading'!L19)*1000</f>
        <v>480.00000000001819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329.99999999998408</v>
      </c>
      <c r="O17" s="2">
        <f>('Kwh Reading'!B20-'Kwh Reading'!B19)*1000000</f>
        <v>1199.9999999998679</v>
      </c>
      <c r="P17" s="2">
        <f>('Kwh Reading'!M20-'Kwh Reading'!M19)*1000</f>
        <v>560.00000000005912</v>
      </c>
      <c r="Q17" s="2">
        <f>('Kwh Reading'!H20-'Kwh Reading'!H19)*1000000</f>
        <v>700.00000000014495</v>
      </c>
      <c r="R17" s="2">
        <f>('Kwh Reading'!P20-'Kwh Reading'!P19)*1000000</f>
        <v>599.99999999993395</v>
      </c>
      <c r="S17" s="2">
        <f>('Kwh Reading'!G20-'Kwh Reading'!G19)*1000000</f>
        <v>599.99999999993395</v>
      </c>
      <c r="T17" s="2">
        <f>('Kwh Reading'!Q20-'Kwh Reading'!Q19)*1000</f>
        <v>460.00000000003638</v>
      </c>
      <c r="U17" s="2">
        <f>('Kwh Reading'!N20-'Kwh Reading'!N19)*1000</f>
        <v>519.99999999998181</v>
      </c>
      <c r="V17" s="26">
        <f>'Kwh Reading'!E20-'Kwh Reading'!E19</f>
        <v>2943.0400000009686</v>
      </c>
      <c r="W17" s="26">
        <f>'Kwh Reading'!D20-'Kwh Reading'!D19</f>
        <v>1847.390000000014</v>
      </c>
      <c r="X17" s="21">
        <f>('Kwh Reading'!O20-'Kwh Reading'!O19)*1000</f>
        <v>250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590.00000000003183</v>
      </c>
      <c r="F18" s="2">
        <f>('Kwh Reading'!F21-'Kwh Reading'!F20)*1000000</f>
        <v>2400.0000000001796</v>
      </c>
      <c r="G18" s="2">
        <f>('Kwh Reading'!C21-'Kwh Reading'!C20)*1000</f>
        <v>269.99999999998181</v>
      </c>
      <c r="H18" s="2">
        <f t="shared" si="0"/>
        <v>1609.9999999999568</v>
      </c>
      <c r="I18" s="2">
        <f>('Kwh Reading'!J21-'Kwh Reading'!J20)*1000</f>
        <v>689.99999999994088</v>
      </c>
      <c r="J18" s="2">
        <f>('Kwh Reading'!K21-'Kwh Reading'!K20)*1000</f>
        <v>460.00000000003638</v>
      </c>
      <c r="K18" s="21">
        <f>('Kwh Reading'!L21-'Kwh Reading'!L20)*1000</f>
        <v>459.99999999997954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300.00000000001137</v>
      </c>
      <c r="O18" s="2">
        <f>('Kwh Reading'!B21-'Kwh Reading'!B20)*1000000</f>
        <v>1200.0000000000898</v>
      </c>
      <c r="P18" s="2">
        <f>('Kwh Reading'!M21-'Kwh Reading'!M20)*1000</f>
        <v>429.99999999994998</v>
      </c>
      <c r="Q18" s="2">
        <f>('Kwh Reading'!H21-'Kwh Reading'!H20)*1000000</f>
        <v>499.99999999994492</v>
      </c>
      <c r="R18" s="2">
        <f>('Kwh Reading'!P21-'Kwh Reading'!P20)*1000000</f>
        <v>499.99999999994492</v>
      </c>
      <c r="S18" s="2">
        <f>('Kwh Reading'!G21-'Kwh Reading'!G20)*1000000</f>
        <v>499.99999999994492</v>
      </c>
      <c r="T18" s="2">
        <f>('Kwh Reading'!Q21-'Kwh Reading'!Q20)*1000</f>
        <v>389.99999999998636</v>
      </c>
      <c r="U18" s="2">
        <f>('Kwh Reading'!N21-'Kwh Reading'!N20)*1000</f>
        <v>399.99999999997726</v>
      </c>
      <c r="V18" s="26">
        <f>'Kwh Reading'!E21-'Kwh Reading'!E20</f>
        <v>2974.6399999987334</v>
      </c>
      <c r="W18" s="26">
        <f>'Kwh Reading'!D21-'Kwh Reading'!D20</f>
        <v>1636.7200000000012</v>
      </c>
      <c r="X18" s="21">
        <f>('Kwh Reading'!O21-'Kwh Reading'!O20)*1000</f>
        <v>220.00000000002728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549.99999999995453</v>
      </c>
      <c r="F19" s="2">
        <f>('Kwh Reading'!F22-'Kwh Reading'!F21)*1000000</f>
        <v>2699.9999999999245</v>
      </c>
      <c r="G19" s="2">
        <f>('Kwh Reading'!C22-'Kwh Reading'!C21)*1000</f>
        <v>270.00000000003865</v>
      </c>
      <c r="H19" s="2">
        <f t="shared" si="0"/>
        <v>1170.0000000000728</v>
      </c>
      <c r="I19" s="2">
        <f>('Kwh Reading'!J22-'Kwh Reading'!J21)*1000</f>
        <v>460.00000000003638</v>
      </c>
      <c r="J19" s="2">
        <f>('Kwh Reading'!K22-'Kwh Reading'!K21)*1000</f>
        <v>379.99999999999545</v>
      </c>
      <c r="K19" s="2">
        <f>('Kwh Reading'!L22-'Kwh Reading'!L21)*1000</f>
        <v>330.00000000004093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310.00000000000227</v>
      </c>
      <c r="O19" s="2">
        <f>('Kwh Reading'!B22-'Kwh Reading'!B21)*1000000</f>
        <v>1199.9999999998679</v>
      </c>
      <c r="P19" s="2">
        <f>('Kwh Reading'!M22-'Kwh Reading'!M21)*1000</f>
        <v>490.00000000000909</v>
      </c>
      <c r="Q19" s="2">
        <f>('Kwh Reading'!H22-'Kwh Reading'!H21)*1000000</f>
        <v>699.99999999992292</v>
      </c>
      <c r="R19" s="2">
        <f>('Kwh Reading'!P22-'Kwh Reading'!P21)*1000000</f>
        <v>500.00000000016701</v>
      </c>
      <c r="S19" s="2">
        <f>('Kwh Reading'!G22-'Kwh Reading'!G21)*1000000</f>
        <v>600.00000000015598</v>
      </c>
      <c r="T19" s="2">
        <f>('Kwh Reading'!Q22-'Kwh Reading'!Q21)*1000</f>
        <v>399.99999999997726</v>
      </c>
      <c r="U19" s="2">
        <f>('Kwh Reading'!N22-'Kwh Reading'!N21)*1000</f>
        <v>450.00000000004547</v>
      </c>
      <c r="V19" s="26">
        <f>'Kwh Reading'!E22-'Kwh Reading'!E21</f>
        <v>2984.7000000011176</v>
      </c>
      <c r="W19" s="26">
        <f>'Kwh Reading'!D22-'Kwh Reading'!D21</f>
        <v>1700.9499999999825</v>
      </c>
      <c r="X19" s="21">
        <f>('Kwh Reading'!O22-'Kwh Reading'!O21)*1000</f>
        <v>229.99999999996135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440.00000000005457</v>
      </c>
      <c r="F20" s="2">
        <f>('Kwh Reading'!F23-'Kwh Reading'!F22)*1000000</f>
        <v>2499.9999999999468</v>
      </c>
      <c r="G20" s="2">
        <f>('Kwh Reading'!C23-'Kwh Reading'!C22)*1000</f>
        <v>269.99999999998181</v>
      </c>
      <c r="H20" s="2">
        <f t="shared" si="0"/>
        <v>1060.0000000000023</v>
      </c>
      <c r="I20" s="2">
        <f>('Kwh Reading'!J23-'Kwh Reading'!J22)*1000</f>
        <v>440.00000000005457</v>
      </c>
      <c r="J20" s="2">
        <f>('Kwh Reading'!K23-'Kwh Reading'!K22)*1000</f>
        <v>299.99999999995453</v>
      </c>
      <c r="K20" s="2">
        <f>('Kwh Reading'!L23-'Kwh Reading'!L22)*1000</f>
        <v>319.99999999999318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300.00000000001137</v>
      </c>
      <c r="O20" s="2">
        <f>('Kwh Reading'!B23-'Kwh Reading'!B22)*1000000</f>
        <v>1200.0000000000898</v>
      </c>
      <c r="P20" s="21">
        <f>('Kwh Reading'!M23-'Kwh Reading'!M22)*1000</f>
        <v>450.00000000004547</v>
      </c>
      <c r="Q20" s="2">
        <f>('Kwh Reading'!H23-'Kwh Reading'!H22)*1000000</f>
        <v>599.99999999993395</v>
      </c>
      <c r="R20" s="2">
        <f>('Kwh Reading'!P23-'Kwh Reading'!P22)*1000000</f>
        <v>499.99999999994492</v>
      </c>
      <c r="S20" s="2">
        <f>('Kwh Reading'!G23-'Kwh Reading'!G22)*1000000</f>
        <v>499.99999999994492</v>
      </c>
      <c r="T20" s="2">
        <f>('Kwh Reading'!Q23-'Kwh Reading'!Q22)*1000</f>
        <v>379.99999999999545</v>
      </c>
      <c r="U20" s="2">
        <f>('Kwh Reading'!N23-'Kwh Reading'!N22)*1000</f>
        <v>399.99999999997726</v>
      </c>
      <c r="V20" s="26">
        <f>'Kwh Reading'!E23-'Kwh Reading'!E22</f>
        <v>2789.359999999404</v>
      </c>
      <c r="W20" s="26">
        <f>'Kwh Reading'!D23-'Kwh Reading'!D22</f>
        <v>1772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450.00000000004547</v>
      </c>
      <c r="F21" s="2">
        <f>('Kwh Reading'!F24-'Kwh Reading'!F23)*1000000</f>
        <v>2499.9999999999468</v>
      </c>
      <c r="G21" s="2">
        <f>('Kwh Reading'!C24-'Kwh Reading'!C23)*1000</f>
        <v>230.00000000001819</v>
      </c>
      <c r="H21" s="2">
        <f t="shared" si="0"/>
        <v>979.9999999999045</v>
      </c>
      <c r="I21" s="2">
        <f>('Kwh Reading'!J24-'Kwh Reading'!J23)*1000</f>
        <v>439.99999999994088</v>
      </c>
      <c r="J21" s="2">
        <f>('Kwh Reading'!K24-'Kwh Reading'!K23)*1000</f>
        <v>269.99999999998181</v>
      </c>
      <c r="K21" s="2">
        <f>('Kwh Reading'!L24-'Kwh Reading'!L23)*1000</f>
        <v>269.99999999998181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290.00000000002046</v>
      </c>
      <c r="O21" s="2">
        <f>('Kwh Reading'!B24-'Kwh Reading'!B23)*1000000</f>
        <v>1100.000000000101</v>
      </c>
      <c r="P21" s="2">
        <f>('Kwh Reading'!M24-'Kwh Reading'!M23)*1000</f>
        <v>419.99999999995907</v>
      </c>
      <c r="Q21" s="2">
        <f>('Kwh Reading'!H24-'Kwh Reading'!H23)*1000000</f>
        <v>500.00000000016701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340.00000000003183</v>
      </c>
      <c r="V21" s="26">
        <f>'Kwh Reading'!E24-'Kwh Reading'!E23</f>
        <v>2407.8100000005215</v>
      </c>
      <c r="W21" s="110">
        <f>'Kwh Reading'!D24-'Kwh Reading'!D23</f>
        <v>1323.75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500</v>
      </c>
      <c r="F22" s="2">
        <f>('Kwh Reading'!F25-'Kwh Reading'!F24)*1000000</f>
        <v>2499.9999999999468</v>
      </c>
      <c r="G22" s="2">
        <f>('Kwh Reading'!C25-'Kwh Reading'!C24)*1000</f>
        <v>259.99999999999091</v>
      </c>
      <c r="H22" s="2">
        <f t="shared" si="0"/>
        <v>1180.0000000000068</v>
      </c>
      <c r="I22" s="2">
        <f>('Kwh Reading'!J25-'Kwh Reading'!J24)*1000</f>
        <v>519.99999999998181</v>
      </c>
      <c r="J22" s="2">
        <f>('Kwh Reading'!K25-'Kwh Reading'!K24)*1000</f>
        <v>350.00000000002274</v>
      </c>
      <c r="K22" s="2">
        <f>('Kwh Reading'!L25-'Kwh Reading'!L24)*1000</f>
        <v>310.00000000000227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259.99999999999091</v>
      </c>
      <c r="O22" s="2">
        <f>('Kwh Reading'!B25-'Kwh Reading'!B24)*1000000</f>
        <v>999.99999999988984</v>
      </c>
      <c r="P22" s="2">
        <f>('Kwh Reading'!M25-'Kwh Reading'!M24)*1000</f>
        <v>340.00000000003183</v>
      </c>
      <c r="Q22" s="2">
        <f>('Kwh Reading'!H25-'Kwh Reading'!H24)*1000000</f>
        <v>499.99999999994492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299.99999999995453</v>
      </c>
      <c r="U22" s="2">
        <f>('Kwh Reading'!N25-'Kwh Reading'!N24)*1000</f>
        <v>309.99999999994543</v>
      </c>
      <c r="V22" s="2">
        <f>'Kwh Reading'!E25-'Kwh Reading'!E24</f>
        <v>1892.859999999404</v>
      </c>
      <c r="W22" s="2">
        <f>'Kwh Reading'!D25-'Kwh Reading'!D24</f>
        <v>1274.8300000000163</v>
      </c>
      <c r="X22" s="21">
        <f>('Kwh Reading'!O25-'Kwh Reading'!O24)*1000</f>
        <v>240.00000000000909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489.99999999989541</v>
      </c>
      <c r="F23" s="2">
        <f>('Kwh Reading'!F26-'Kwh Reading'!F25)*1000000</f>
        <v>2400.0000000001796</v>
      </c>
      <c r="G23" s="2">
        <f>('Kwh Reading'!C26-'Kwh Reading'!C25)*1000</f>
        <v>269.99999999998181</v>
      </c>
      <c r="H23" s="2">
        <f t="shared" si="0"/>
        <v>1110.0000000000136</v>
      </c>
      <c r="I23" s="2">
        <f>('Kwh Reading'!J26-'Kwh Reading'!J25)*1000</f>
        <v>580.00000000004093</v>
      </c>
      <c r="J23" s="2">
        <f>('Kwh Reading'!K26-'Kwh Reading'!K25)*1000</f>
        <v>269.99999999998181</v>
      </c>
      <c r="K23" s="2">
        <f>('Kwh Reading'!L26-'Kwh Reading'!L25)*1000</f>
        <v>259.99999999999091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300.00000000001137</v>
      </c>
      <c r="O23" s="2">
        <f>('Kwh Reading'!B26-'Kwh Reading'!B25)*1000000</f>
        <v>1100.000000000101</v>
      </c>
      <c r="P23" s="2">
        <f>('Kwh Reading'!M26-'Kwh Reading'!M25)*1000</f>
        <v>449.99999999993179</v>
      </c>
      <c r="Q23" s="2">
        <f>('Kwh Reading'!H26-'Kwh Reading'!H25)*1000000</f>
        <v>699.99999999992292</v>
      </c>
      <c r="R23" s="2">
        <f>('Kwh Reading'!P26-'Kwh Reading'!P25)*1000000</f>
        <v>499.99999999994492</v>
      </c>
      <c r="S23" s="2">
        <f>('Kwh Reading'!G26-'Kwh Reading'!G25)*1000000</f>
        <v>600.00000000015598</v>
      </c>
      <c r="T23" s="2">
        <f>('Kwh Reading'!Q26-'Kwh Reading'!Q25)*1000</f>
        <v>340.00000000003183</v>
      </c>
      <c r="U23" s="2">
        <f>('Kwh Reading'!N26-'Kwh Reading'!N25)*1000</f>
        <v>399.99999999997726</v>
      </c>
      <c r="V23" s="2">
        <f>'Kwh Reading'!E26-'Kwh Reading'!E25</f>
        <v>2692.1300000008196</v>
      </c>
      <c r="W23" s="2">
        <f>'Kwh Reading'!D26-'Kwh Reading'!D25</f>
        <v>1806.9100000000035</v>
      </c>
      <c r="X23" s="21">
        <f>('Kwh Reading'!O26-'Kwh Reading'!O25)*1000</f>
        <v>189.99999999999773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490.00000000000909</v>
      </c>
      <c r="F24" s="2">
        <f>('Kwh Reading'!F27-'Kwh Reading'!F26)*1000000</f>
        <v>2499.9999999999468</v>
      </c>
      <c r="G24" s="2">
        <f>('Kwh Reading'!C27-'Kwh Reading'!C26)*1000</f>
        <v>250</v>
      </c>
      <c r="H24" s="2">
        <f t="shared" si="0"/>
        <v>1160.000000000025</v>
      </c>
      <c r="I24" s="2">
        <f>('Kwh Reading'!J27-'Kwh Reading'!J26)*1000</f>
        <v>509.99999999999091</v>
      </c>
      <c r="J24" s="2">
        <f>('Kwh Reading'!K27-'Kwh Reading'!K26)*1000</f>
        <v>350.00000000002274</v>
      </c>
      <c r="K24" s="2">
        <f>('Kwh Reading'!L27-'Kwh Reading'!L26)*1000</f>
        <v>300.00000000001137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279.99999999997272</v>
      </c>
      <c r="O24" s="2">
        <f>('Kwh Reading'!B27-'Kwh Reading'!B26)*1000000</f>
        <v>1099.9999999998788</v>
      </c>
      <c r="P24" s="2">
        <f>('Kwh Reading'!M27-'Kwh Reading'!M26)*1000</f>
        <v>399.99999999997726</v>
      </c>
      <c r="Q24" s="2">
        <f>('Kwh Reading'!H27-'Kwh Reading'!H26)*1000000</f>
        <v>600.00000000015598</v>
      </c>
      <c r="R24" s="2">
        <f>('Kwh Reading'!P27-'Kwh Reading'!P26)*1000000</f>
        <v>400.00000000017798</v>
      </c>
      <c r="S24" s="2">
        <f>('Kwh Reading'!G27-'Kwh Reading'!G26)*1000000</f>
        <v>399.99999999995595</v>
      </c>
      <c r="T24" s="2">
        <f>('Kwh Reading'!Q27-'Kwh Reading'!Q26)*1000</f>
        <v>310.00000000005912</v>
      </c>
      <c r="U24" s="2">
        <f>('Kwh Reading'!N27-'Kwh Reading'!N26)*1000</f>
        <v>360.00000000001364</v>
      </c>
      <c r="V24" s="2">
        <f>'Kwh Reading'!E27-'Kwh Reading'!E26</f>
        <v>2371.1399999987334</v>
      </c>
      <c r="W24" s="2">
        <f>'Kwh Reading'!D27-'Kwh Reading'!D26</f>
        <v>1648.0899999999965</v>
      </c>
      <c r="X24" s="21">
        <f>('Kwh Reading'!O27-'Kwh Reading'!O26)*1000</f>
        <v>220.00000000002728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509.99999999999091</v>
      </c>
      <c r="F25" s="21">
        <f>('Kwh Reading'!F28-'Kwh Reading'!F27)*1000000</f>
        <v>2400.0000000001796</v>
      </c>
      <c r="G25" s="21">
        <f>('Kwh Reading'!C28-'Kwh Reading'!C27)*1000</f>
        <v>259.99999999999091</v>
      </c>
      <c r="H25" s="2">
        <f t="shared" si="0"/>
        <v>1199.9999999999886</v>
      </c>
      <c r="I25" s="21">
        <f>('Kwh Reading'!J28-'Kwh Reading'!J27)*1000</f>
        <v>610.00000000001364</v>
      </c>
      <c r="J25" s="21">
        <f>('Kwh Reading'!K28-'Kwh Reading'!K27)*1000</f>
        <v>299.99999999995453</v>
      </c>
      <c r="K25" s="21">
        <f>('Kwh Reading'!L28-'Kwh Reading'!L27)*1000</f>
        <v>290.00000000002046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220.00000000002728</v>
      </c>
      <c r="O25" s="2">
        <f>('Kwh Reading'!B28-'Kwh Reading'!B27)*1000000</f>
        <v>900.0000000001229</v>
      </c>
      <c r="P25" s="21">
        <f>('Kwh Reading'!M28-'Kwh Reading'!M27)*1000</f>
        <v>330.00000000004093</v>
      </c>
      <c r="Q25" s="2">
        <f>('Kwh Reading'!H28-'Kwh Reading'!H27)*1000000</f>
        <v>399.99999999995595</v>
      </c>
      <c r="R25" s="2">
        <f>('Kwh Reading'!P28-'Kwh Reading'!P27)*1000000</f>
        <v>399.99999999995595</v>
      </c>
      <c r="S25" s="21">
        <f>('Kwh Reading'!G28-'Kwh Reading'!G27)*1000000</f>
        <v>499.99999999994492</v>
      </c>
      <c r="T25" s="21">
        <f>('Kwh Reading'!Q28-'Kwh Reading'!Q27)*1000</f>
        <v>250</v>
      </c>
      <c r="U25" s="21">
        <f>('Kwh Reading'!N28-'Kwh Reading'!N27)*1000</f>
        <v>269.99999999998181</v>
      </c>
      <c r="V25" s="21">
        <f>'Kwh Reading'!E28-'Kwh Reading'!E27</f>
        <v>2086.0300000011921</v>
      </c>
      <c r="W25" s="21">
        <f>'Kwh Reading'!D28-'Kwh Reading'!D27</f>
        <v>1184.859999999986</v>
      </c>
      <c r="X25" s="21">
        <f>('Kwh Reading'!O28-'Kwh Reading'!O27)*1000</f>
        <v>199.99999999998863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450.00000000004547</v>
      </c>
      <c r="F26" s="21">
        <f>('Kwh Reading'!F29-'Kwh Reading'!F28)*1000000</f>
        <v>2299.9999999999686</v>
      </c>
      <c r="G26" s="21">
        <f>('Kwh Reading'!C29-'Kwh Reading'!C28)*1000</f>
        <v>250</v>
      </c>
      <c r="H26" s="2">
        <f t="shared" si="0"/>
        <v>1140.0000000001</v>
      </c>
      <c r="I26" s="21">
        <f>('Kwh Reading'!J29-'Kwh Reading'!J28)*1000</f>
        <v>570.00000000005002</v>
      </c>
      <c r="J26" s="21">
        <f>('Kwh Reading'!K29-'Kwh Reading'!K28)*1000</f>
        <v>290.00000000007731</v>
      </c>
      <c r="K26" s="21">
        <f>('Kwh Reading'!L29-'Kwh Reading'!L28)*1000</f>
        <v>279.99999999997272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229.99999999996135</v>
      </c>
      <c r="O26" s="2">
        <f>('Kwh Reading'!B29-'Kwh Reading'!B28)*1000000</f>
        <v>999.99999999988984</v>
      </c>
      <c r="P26" s="21">
        <f>('Kwh Reading'!M29-'Kwh Reading'!M28)*1000</f>
        <v>350.00000000002274</v>
      </c>
      <c r="Q26" s="2">
        <f>('Kwh Reading'!H29-'Kwh Reading'!H28)*1000000</f>
        <v>499.99999999994492</v>
      </c>
      <c r="R26" s="2">
        <f>('Kwh Reading'!P29-'Kwh Reading'!P28)*1000000</f>
        <v>299.99999999996697</v>
      </c>
      <c r="S26" s="21">
        <f>('Kwh Reading'!G29-'Kwh Reading'!G28)*1000000</f>
        <v>399.99999999995595</v>
      </c>
      <c r="T26" s="21">
        <f>('Kwh Reading'!Q29-'Kwh Reading'!Q28)*1000</f>
        <v>240.00000000000909</v>
      </c>
      <c r="U26" s="21">
        <f>('Kwh Reading'!N29-'Kwh Reading'!N28)*1000</f>
        <v>280.0000000000864</v>
      </c>
      <c r="V26" s="21">
        <f>'Kwh Reading'!E29-'Kwh Reading'!E28</f>
        <v>2097.6899999994785</v>
      </c>
      <c r="W26" s="21">
        <f>'Kwh Reading'!D29-'Kwh Reading'!D28</f>
        <v>1289.3099999999977</v>
      </c>
      <c r="X26" s="21">
        <f>('Kwh Reading'!O29-'Kwh Reading'!O28)*1000</f>
        <v>229.99999999996135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500</v>
      </c>
      <c r="F27" s="2">
        <f>('Kwh Reading'!F30-'Kwh Reading'!F29)*1000000</f>
        <v>2499.9999999999468</v>
      </c>
      <c r="G27" s="2">
        <f>('Kwh Reading'!C30-'Kwh Reading'!C29)*1000</f>
        <v>269.99999999998181</v>
      </c>
      <c r="H27" s="2">
        <f t="shared" si="0"/>
        <v>1219.9999999998568</v>
      </c>
      <c r="I27" s="2">
        <f>('Kwh Reading'!J30-'Kwh Reading'!J29)*1000</f>
        <v>569.99999999993634</v>
      </c>
      <c r="J27" s="2">
        <f>('Kwh Reading'!K30-'Kwh Reading'!K29)*1000</f>
        <v>319.99999999993634</v>
      </c>
      <c r="K27" s="2">
        <f>('Kwh Reading'!L30-'Kwh Reading'!L29)*1000</f>
        <v>329.99999999998408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270.00000000003865</v>
      </c>
      <c r="O27" s="2">
        <f>('Kwh Reading'!B30-'Kwh Reading'!B29)*1000000</f>
        <v>1000.0000000001119</v>
      </c>
      <c r="P27" s="2">
        <f>('Kwh Reading'!M30-'Kwh Reading'!M29)*1000</f>
        <v>439.99999999994088</v>
      </c>
      <c r="Q27" s="2">
        <f>('Kwh Reading'!H30-'Kwh Reading'!H29)*1000000</f>
        <v>599.99999999993395</v>
      </c>
      <c r="R27" s="2">
        <f>('Kwh Reading'!P30-'Kwh Reading'!P29)*1000000</f>
        <v>399.99999999995595</v>
      </c>
      <c r="S27" s="2">
        <f>('Kwh Reading'!G30-'Kwh Reading'!G29)*1000000</f>
        <v>400.00000000017798</v>
      </c>
      <c r="T27" s="2">
        <f>('Kwh Reading'!Q30-'Kwh Reading'!Q29)*1000</f>
        <v>339.99999999991815</v>
      </c>
      <c r="U27" s="2">
        <f>('Kwh Reading'!N30-'Kwh Reading'!N29)*1000</f>
        <v>379.99999999999545</v>
      </c>
      <c r="V27" s="2">
        <f>'Kwh Reading'!E30-'Kwh Reading'!E29</f>
        <v>2573.1999999992549</v>
      </c>
      <c r="W27" s="2">
        <f>'Kwh Reading'!D30-'Kwh Reading'!D29</f>
        <v>1669.0200000000186</v>
      </c>
      <c r="X27" s="21">
        <f>('Kwh Reading'!O30-'Kwh Reading'!O29)*1000</f>
        <v>230.00000000001819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409.99999999996817</v>
      </c>
      <c r="F28" s="2">
        <f>('Kwh Reading'!F31-'Kwh Reading'!F30)*1000000</f>
        <v>2499.9999999999468</v>
      </c>
      <c r="G28" s="2">
        <f>('Kwh Reading'!C31-'Kwh Reading'!C30)*1000</f>
        <v>220.00000000002728</v>
      </c>
      <c r="H28" s="2">
        <f t="shared" si="0"/>
        <v>1150.0000000000341</v>
      </c>
      <c r="I28" s="2">
        <f>('Kwh Reading'!J31-'Kwh Reading'!J30)*1000</f>
        <v>509.99999999999091</v>
      </c>
      <c r="J28" s="2">
        <f>('Kwh Reading'!K31-'Kwh Reading'!K30)*1000</f>
        <v>350.00000000002274</v>
      </c>
      <c r="K28" s="2">
        <f>('Kwh Reading'!L31-'Kwh Reading'!L30)*1000</f>
        <v>290.00000000002046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279.99999999997272</v>
      </c>
      <c r="O28" s="2">
        <f>('Kwh Reading'!B31-'Kwh Reading'!B30)*1000000</f>
        <v>999.99999999988984</v>
      </c>
      <c r="P28" s="2">
        <f>('Kwh Reading'!M31-'Kwh Reading'!M30)*1000</f>
        <v>460.00000000003638</v>
      </c>
      <c r="Q28" s="2">
        <f>('Kwh Reading'!H31-'Kwh Reading'!H30)*1000000</f>
        <v>500.00000000016701</v>
      </c>
      <c r="R28" s="2">
        <f>('Kwh Reading'!P31-'Kwh Reading'!P30)*1000000</f>
        <v>399.99999999995595</v>
      </c>
      <c r="S28" s="2">
        <f>('Kwh Reading'!G31-'Kwh Reading'!G30)*1000000</f>
        <v>399.99999999995595</v>
      </c>
      <c r="T28" s="2">
        <f>('Kwh Reading'!Q31-'Kwh Reading'!Q30)*1000</f>
        <v>310.00000000005912</v>
      </c>
      <c r="U28" s="2">
        <f>('Kwh Reading'!N31-'Kwh Reading'!N30)*1000</f>
        <v>339.99999999991815</v>
      </c>
      <c r="V28" s="2">
        <f>'Kwh Reading'!E31-'Kwh Reading'!E30</f>
        <v>2445.2400000002235</v>
      </c>
      <c r="W28" s="2">
        <f>'Kwh Reading'!D31-'Kwh Reading'!D30</f>
        <v>1569.9799999999814</v>
      </c>
      <c r="X28" s="21">
        <f>('Kwh Reading'!O31-'Kwh Reading'!O30)*1000</f>
        <v>259.99999999999091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350.00000000002274</v>
      </c>
      <c r="F29" s="2">
        <f>('Kwh Reading'!F32-'Kwh Reading'!F31)*1000000</f>
        <v>2499.9999999999468</v>
      </c>
      <c r="G29" s="2">
        <f>('Kwh Reading'!C32-'Kwh Reading'!C31)*1000</f>
        <v>259.99999999999091</v>
      </c>
      <c r="H29" s="2">
        <f t="shared" si="0"/>
        <v>1280.0000000000296</v>
      </c>
      <c r="I29" s="2">
        <f>('Kwh Reading'!J32-'Kwh Reading'!J31)*1000</f>
        <v>590.00000000003183</v>
      </c>
      <c r="J29" s="2">
        <f>('Kwh Reading'!K32-'Kwh Reading'!K31)*1000</f>
        <v>360.00000000001364</v>
      </c>
      <c r="K29" s="2">
        <f>('Kwh Reading'!L32-'Kwh Reading'!L31)*1000</f>
        <v>329.99999999998408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310.00000000000227</v>
      </c>
      <c r="O29" s="2">
        <f>('Kwh Reading'!B32-'Kwh Reading'!B31)*1000000</f>
        <v>1100.000000000101</v>
      </c>
      <c r="P29" s="2">
        <f>('Kwh Reading'!M32-'Kwh Reading'!M31)*1000</f>
        <v>419.99999999995907</v>
      </c>
      <c r="Q29" s="2">
        <f>('Kwh Reading'!H32-'Kwh Reading'!H31)*1000000</f>
        <v>599.99999999993395</v>
      </c>
      <c r="R29" s="2">
        <f>('Kwh Reading'!P32-'Kwh Reading'!P31)*1000000</f>
        <v>400.00000000017798</v>
      </c>
      <c r="S29" s="2">
        <f>('Kwh Reading'!G32-'Kwh Reading'!G31)*1000000</f>
        <v>499.99999999994492</v>
      </c>
      <c r="T29" s="2">
        <f>('Kwh Reading'!Q32-'Kwh Reading'!Q31)*1000</f>
        <v>289.99999999996362</v>
      </c>
      <c r="U29" s="2">
        <f>('Kwh Reading'!N32-'Kwh Reading'!N31)*1000</f>
        <v>320.00000000005002</v>
      </c>
      <c r="V29" s="2">
        <f>'Kwh Reading'!E32-'Kwh Reading'!E31</f>
        <v>2181.7200000006706</v>
      </c>
      <c r="W29" s="2">
        <f>'Kwh Reading'!D32-'Kwh Reading'!D31</f>
        <v>1448.8000000000175</v>
      </c>
      <c r="X29" s="21">
        <f>('Kwh Reading'!O32-'Kwh Reading'!O31)*1000</f>
        <v>250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509.99999999999091</v>
      </c>
      <c r="F30" s="2">
        <f>('Kwh Reading'!F33-'Kwh Reading'!F32)*1000000</f>
        <v>2400.0000000001796</v>
      </c>
      <c r="G30" s="2">
        <f>('Kwh Reading'!C33-'Kwh Reading'!C32)*1000</f>
        <v>240.00000000000909</v>
      </c>
      <c r="H30" s="2">
        <f t="shared" si="0"/>
        <v>930.00000000000682</v>
      </c>
      <c r="I30" s="2">
        <f>('Kwh Reading'!J33-'Kwh Reading'!J32)*1000</f>
        <v>389.99999999998636</v>
      </c>
      <c r="J30" s="2">
        <f>('Kwh Reading'!K33-'Kwh Reading'!K32)*1000</f>
        <v>259.99999999999091</v>
      </c>
      <c r="K30" s="2">
        <f>('Kwh Reading'!L33-'Kwh Reading'!L32)*1000</f>
        <v>280.00000000002956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230.00000000001819</v>
      </c>
      <c r="O30" s="2">
        <f>('Kwh Reading'!B33-'Kwh Reading'!B32)*1000000</f>
        <v>899.99999999990087</v>
      </c>
      <c r="P30" s="2">
        <f>('Kwh Reading'!M33-'Kwh Reading'!M32)*1000</f>
        <v>360.00000000001364</v>
      </c>
      <c r="Q30" s="2">
        <f>('Kwh Reading'!H33-'Kwh Reading'!H32)*1000000</f>
        <v>499.99999999994492</v>
      </c>
      <c r="R30" s="2">
        <f>('Kwh Reading'!P33-'Kwh Reading'!P32)*1000000</f>
        <v>299.99999999996697</v>
      </c>
      <c r="S30" s="2">
        <f>('Kwh Reading'!G33-'Kwh Reading'!G32)*1000000</f>
        <v>399.99999999995595</v>
      </c>
      <c r="T30" s="2">
        <f>('Kwh Reading'!Q33-'Kwh Reading'!Q32)*1000</f>
        <v>250</v>
      </c>
      <c r="U30" s="2">
        <f>('Kwh Reading'!N33-'Kwh Reading'!N32)*1000</f>
        <v>309.99999999994543</v>
      </c>
      <c r="V30" s="2">
        <f>'Kwh Reading'!E33-'Kwh Reading'!E32</f>
        <v>1995.660000000149</v>
      </c>
      <c r="W30" s="2">
        <f>'Kwh Reading'!D33-'Kwh Reading'!D32</f>
        <v>1098.1600000000035</v>
      </c>
      <c r="X30" s="21">
        <f>('Kwh Reading'!O33-'Kwh Reading'!O32)*1000</f>
        <v>240.00000000000909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500</v>
      </c>
      <c r="F31" s="2">
        <f>('Kwh Reading'!F34-'Kwh Reading'!F33)*1000000</f>
        <v>2399.9999999997358</v>
      </c>
      <c r="G31" s="2">
        <f>('Kwh Reading'!C34-'Kwh Reading'!C33)*1000</f>
        <v>250</v>
      </c>
      <c r="H31" s="2">
        <f t="shared" si="0"/>
        <v>1329.9999999999841</v>
      </c>
      <c r="I31" s="2">
        <f>('Kwh Reading'!J34-'Kwh Reading'!J33)*1000</f>
        <v>659.99999999996817</v>
      </c>
      <c r="J31" s="2">
        <f>('Kwh Reading'!K34-'Kwh Reading'!K33)*1000</f>
        <v>370.00000000000455</v>
      </c>
      <c r="K31" s="2">
        <f>('Kwh Reading'!L34-'Kwh Reading'!L33)*1000</f>
        <v>300.00000000001137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259.99999999999091</v>
      </c>
      <c r="O31" s="2">
        <f>('Kwh Reading'!B34-'Kwh Reading'!B33)*1000000</f>
        <v>1100.000000000101</v>
      </c>
      <c r="P31" s="2">
        <f>('Kwh Reading'!M34-'Kwh Reading'!M33)*1000</f>
        <v>410.00000000008185</v>
      </c>
      <c r="Q31" s="2">
        <f>('Kwh Reading'!H34-'Kwh Reading'!H33)*1000000</f>
        <v>599.99999999993395</v>
      </c>
      <c r="R31" s="2">
        <f>('Kwh Reading'!P34-'Kwh Reading'!P33)*1000000</f>
        <v>399.99999999995595</v>
      </c>
      <c r="S31" s="2">
        <f>('Kwh Reading'!G34-'Kwh Reading'!G33)*1000000</f>
        <v>499.99999999994492</v>
      </c>
      <c r="T31" s="2">
        <f>('Kwh Reading'!Q34-'Kwh Reading'!Q33)*1000</f>
        <v>269.99999999998181</v>
      </c>
      <c r="U31" s="2">
        <f>('Kwh Reading'!N34-'Kwh Reading'!N33)*1000</f>
        <v>350.00000000002274</v>
      </c>
      <c r="V31" s="2">
        <f>'Kwh Reading'!E34-'Kwh Reading'!E33</f>
        <v>2284.5399999991059</v>
      </c>
      <c r="W31" s="2">
        <f>'Kwh Reading'!D34-'Kwh Reading'!D33</f>
        <v>1534.3299999999872</v>
      </c>
      <c r="X31" s="21">
        <f>('Kwh Reading'!O34-'Kwh Reading'!O33)*1000</f>
        <v>230.00000000001819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15679.999999999951</v>
      </c>
      <c r="F33" s="60">
        <f>SUM(F2:F31)</f>
        <v>73399.999999999927</v>
      </c>
      <c r="G33" s="60">
        <f>SUM(G2:G31)</f>
        <v>7769.9999999999818</v>
      </c>
      <c r="H33" s="60"/>
      <c r="I33" s="60">
        <f>SUM(I2:I31)</f>
        <v>21730.000000000022</v>
      </c>
      <c r="J33" s="60">
        <f t="shared" ref="J33:X33" si="2">SUM(J2:J31)</f>
        <v>12659.999999999971</v>
      </c>
      <c r="K33" s="60">
        <f t="shared" si="2"/>
        <v>12550.000000000009</v>
      </c>
      <c r="L33" s="60">
        <f t="shared" si="2"/>
        <v>0</v>
      </c>
      <c r="M33" s="60">
        <f t="shared" si="2"/>
        <v>0</v>
      </c>
      <c r="N33" s="60">
        <f t="shared" si="2"/>
        <v>8850.00000000002</v>
      </c>
      <c r="O33" s="60">
        <f t="shared" si="2"/>
        <v>32300.000000000007</v>
      </c>
      <c r="P33" s="60">
        <f t="shared" si="2"/>
        <v>13540.000000000078</v>
      </c>
      <c r="Q33" s="60">
        <f t="shared" si="2"/>
        <v>18799.999999999935</v>
      </c>
      <c r="R33" s="60">
        <f t="shared" si="2"/>
        <v>14000.000000000018</v>
      </c>
      <c r="S33" s="60">
        <f t="shared" si="2"/>
        <v>15199.999999999885</v>
      </c>
      <c r="T33" s="60">
        <f t="shared" si="2"/>
        <v>10399.999999999978</v>
      </c>
      <c r="U33" s="60">
        <f t="shared" si="2"/>
        <v>11269.999999999982</v>
      </c>
      <c r="V33" s="60">
        <f t="shared" si="2"/>
        <v>76571.089999999851</v>
      </c>
      <c r="W33" s="60">
        <f t="shared" si="2"/>
        <v>47045.72</v>
      </c>
      <c r="X33" s="60">
        <f t="shared" si="2"/>
        <v>7360.0000000000164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11" activePane="bottomLeft" state="frozen"/>
      <selection pane="bottomLeft" activeCell="U34" sqref="U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61"/>
      <c r="V1" s="61"/>
    </row>
    <row r="2" spans="1:25" s="12" customFormat="1" ht="33" customHeight="1" x14ac:dyDescent="0.25">
      <c r="A2" s="22" t="s">
        <v>2</v>
      </c>
      <c r="B2" s="137" t="s">
        <v>113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119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2" customFormat="1" ht="45" customHeight="1" x14ac:dyDescent="0.25">
      <c r="A3" s="23"/>
      <c r="B3" s="138"/>
      <c r="C3" s="138"/>
      <c r="D3" s="138"/>
      <c r="E3" s="138"/>
      <c r="F3" s="138"/>
      <c r="G3" s="133"/>
      <c r="H3" s="134"/>
      <c r="I3" s="138"/>
      <c r="J3" s="13" t="s">
        <v>26</v>
      </c>
      <c r="K3" s="13" t="s">
        <v>27</v>
      </c>
      <c r="L3" s="13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1.6181000000000001</v>
      </c>
      <c r="C19" s="85">
        <v>372.15</v>
      </c>
      <c r="D19" s="85">
        <v>158509.9</v>
      </c>
      <c r="E19" s="85">
        <v>9682176.4399999995</v>
      </c>
      <c r="F19" s="85">
        <v>3.8487</v>
      </c>
      <c r="G19" s="85">
        <v>1.1891</v>
      </c>
      <c r="H19" s="85">
        <v>1.1193</v>
      </c>
      <c r="I19" s="85">
        <v>404.7</v>
      </c>
      <c r="J19" s="85">
        <v>582.20000000000005</v>
      </c>
      <c r="K19" s="85">
        <v>532.91</v>
      </c>
      <c r="L19" s="85">
        <v>371.33</v>
      </c>
      <c r="M19" s="85">
        <v>895.02</v>
      </c>
      <c r="N19" s="85">
        <v>808.34</v>
      </c>
      <c r="O19" s="85">
        <v>272.83</v>
      </c>
      <c r="P19" s="85">
        <v>1.0842000000000001</v>
      </c>
      <c r="Q19" s="85">
        <v>785.52</v>
      </c>
      <c r="R19" s="85">
        <v>0</v>
      </c>
      <c r="S19" s="85">
        <v>0</v>
      </c>
      <c r="T19" s="85">
        <v>694.6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1.6193</v>
      </c>
      <c r="C20" s="85">
        <v>372.43</v>
      </c>
      <c r="D20" s="85">
        <v>160357.29</v>
      </c>
      <c r="E20" s="85">
        <v>9685119.4800000004</v>
      </c>
      <c r="F20" s="85">
        <v>3.8513999999999999</v>
      </c>
      <c r="G20" s="85">
        <v>1.1897</v>
      </c>
      <c r="H20" s="85">
        <v>1.1200000000000001</v>
      </c>
      <c r="I20" s="85">
        <v>405.03</v>
      </c>
      <c r="J20" s="85">
        <v>583.12</v>
      </c>
      <c r="K20" s="85">
        <v>533.38</v>
      </c>
      <c r="L20" s="85">
        <v>371.81</v>
      </c>
      <c r="M20" s="85">
        <v>895.58</v>
      </c>
      <c r="N20" s="85">
        <v>808.86</v>
      </c>
      <c r="O20" s="85">
        <v>273.08</v>
      </c>
      <c r="P20" s="85">
        <v>1.0848</v>
      </c>
      <c r="Q20" s="85">
        <v>785.98</v>
      </c>
      <c r="R20" s="85">
        <v>0</v>
      </c>
      <c r="S20" s="85">
        <v>0</v>
      </c>
      <c r="T20" s="85">
        <v>695.16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1.6205000000000001</v>
      </c>
      <c r="C21" s="85">
        <v>372.7</v>
      </c>
      <c r="D21" s="85">
        <v>161994.01</v>
      </c>
      <c r="E21" s="85">
        <v>9688094.1199999992</v>
      </c>
      <c r="F21" s="85">
        <v>3.8538000000000001</v>
      </c>
      <c r="G21" s="85">
        <v>1.1901999999999999</v>
      </c>
      <c r="H21" s="85">
        <v>1.1205000000000001</v>
      </c>
      <c r="I21" s="85">
        <v>405.33</v>
      </c>
      <c r="J21" s="85">
        <v>583.80999999999995</v>
      </c>
      <c r="K21" s="85">
        <v>533.84</v>
      </c>
      <c r="L21" s="85">
        <v>372.27</v>
      </c>
      <c r="M21" s="85">
        <v>896.01</v>
      </c>
      <c r="N21" s="85">
        <v>809.26</v>
      </c>
      <c r="O21" s="85">
        <v>273.3</v>
      </c>
      <c r="P21" s="85">
        <v>1.0852999999999999</v>
      </c>
      <c r="Q21" s="85">
        <v>786.37</v>
      </c>
      <c r="R21" s="85">
        <v>0</v>
      </c>
      <c r="S21" s="85">
        <v>0</v>
      </c>
      <c r="T21" s="85">
        <v>695.75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1.6216999999999999</v>
      </c>
      <c r="C22" s="85">
        <v>372.97</v>
      </c>
      <c r="D22" s="85">
        <v>163694.96</v>
      </c>
      <c r="E22" s="85">
        <v>9691078.8200000003</v>
      </c>
      <c r="F22" s="85">
        <v>3.8565</v>
      </c>
      <c r="G22" s="85">
        <v>1.1908000000000001</v>
      </c>
      <c r="H22" s="85">
        <v>1.1212</v>
      </c>
      <c r="I22" s="85">
        <v>405.64</v>
      </c>
      <c r="J22" s="85">
        <v>584.27</v>
      </c>
      <c r="K22" s="85">
        <v>534.22</v>
      </c>
      <c r="L22" s="85">
        <v>372.6</v>
      </c>
      <c r="M22" s="85">
        <v>896.5</v>
      </c>
      <c r="N22" s="85">
        <v>809.71</v>
      </c>
      <c r="O22" s="85">
        <v>273.52999999999997</v>
      </c>
      <c r="P22" s="85">
        <v>1.0858000000000001</v>
      </c>
      <c r="Q22" s="85">
        <v>786.77</v>
      </c>
      <c r="R22" s="85">
        <v>0</v>
      </c>
      <c r="S22" s="85">
        <v>0</v>
      </c>
      <c r="T22" s="85">
        <v>696.3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1.6229</v>
      </c>
      <c r="C23" s="85">
        <v>373.24</v>
      </c>
      <c r="D23" s="85">
        <v>165466.96</v>
      </c>
      <c r="E23" s="85">
        <v>9693868.1799999997</v>
      </c>
      <c r="F23" s="85">
        <v>3.859</v>
      </c>
      <c r="G23" s="85">
        <v>1.1913</v>
      </c>
      <c r="H23" s="85">
        <v>1.1217999999999999</v>
      </c>
      <c r="I23" s="85">
        <v>405.94</v>
      </c>
      <c r="J23" s="85">
        <v>584.71</v>
      </c>
      <c r="K23" s="85">
        <v>534.52</v>
      </c>
      <c r="L23" s="85">
        <v>372.92</v>
      </c>
      <c r="M23" s="85">
        <v>896.95</v>
      </c>
      <c r="N23" s="85">
        <v>810.11</v>
      </c>
      <c r="O23" s="85">
        <v>273.75</v>
      </c>
      <c r="P23" s="85">
        <v>1.0863</v>
      </c>
      <c r="Q23" s="85">
        <v>787.15</v>
      </c>
      <c r="R23" s="85">
        <v>0</v>
      </c>
      <c r="S23" s="85">
        <v>0</v>
      </c>
      <c r="T23" s="85">
        <v>696.74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1.6240000000000001</v>
      </c>
      <c r="C24" s="85">
        <v>373.47</v>
      </c>
      <c r="D24" s="85">
        <v>166790.71</v>
      </c>
      <c r="E24" s="85">
        <v>9696275.9900000002</v>
      </c>
      <c r="F24" s="85">
        <v>3.8614999999999999</v>
      </c>
      <c r="G24" s="85">
        <v>1.1918</v>
      </c>
      <c r="H24" s="85">
        <v>1.1223000000000001</v>
      </c>
      <c r="I24" s="85">
        <v>406.23</v>
      </c>
      <c r="J24" s="85">
        <v>585.15</v>
      </c>
      <c r="K24" s="85">
        <v>534.79</v>
      </c>
      <c r="L24" s="85">
        <v>373.19</v>
      </c>
      <c r="M24" s="85">
        <v>897.37</v>
      </c>
      <c r="N24" s="85">
        <v>810.45</v>
      </c>
      <c r="O24" s="85">
        <v>273.95</v>
      </c>
      <c r="P24" s="85">
        <v>1.0867</v>
      </c>
      <c r="Q24" s="85">
        <v>787.5</v>
      </c>
      <c r="R24" s="85">
        <v>0</v>
      </c>
      <c r="S24" s="85">
        <v>0</v>
      </c>
      <c r="T24" s="85">
        <v>697.19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1.625</v>
      </c>
      <c r="C25" s="85">
        <v>373.73</v>
      </c>
      <c r="D25" s="85">
        <v>168065.54</v>
      </c>
      <c r="E25" s="85">
        <v>9698168.8499999996</v>
      </c>
      <c r="F25" s="85">
        <v>3.8639999999999999</v>
      </c>
      <c r="G25" s="85">
        <v>1.1922999999999999</v>
      </c>
      <c r="H25" s="85">
        <v>1.1228</v>
      </c>
      <c r="I25" s="85">
        <v>406.49</v>
      </c>
      <c r="J25" s="85">
        <v>585.66999999999996</v>
      </c>
      <c r="K25" s="85">
        <v>535.14</v>
      </c>
      <c r="L25" s="85">
        <v>373.5</v>
      </c>
      <c r="M25" s="85">
        <v>897.71</v>
      </c>
      <c r="N25" s="85">
        <v>810.76</v>
      </c>
      <c r="O25" s="85">
        <v>274.19</v>
      </c>
      <c r="P25" s="85">
        <v>1.0871</v>
      </c>
      <c r="Q25" s="85">
        <v>787.8</v>
      </c>
      <c r="R25" s="85">
        <v>0</v>
      </c>
      <c r="S25" s="85">
        <v>0</v>
      </c>
      <c r="T25" s="85">
        <v>697.69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1.6261000000000001</v>
      </c>
      <c r="C26" s="85">
        <v>374</v>
      </c>
      <c r="D26" s="85">
        <v>169872.45</v>
      </c>
      <c r="E26" s="85">
        <v>9700860.9800000004</v>
      </c>
      <c r="F26" s="85">
        <v>3.8664000000000001</v>
      </c>
      <c r="G26" s="85">
        <v>1.1929000000000001</v>
      </c>
      <c r="H26" s="85">
        <v>1.1234999999999999</v>
      </c>
      <c r="I26" s="85">
        <v>406.79</v>
      </c>
      <c r="J26" s="85">
        <v>586.25</v>
      </c>
      <c r="K26" s="85">
        <v>535.41</v>
      </c>
      <c r="L26" s="85">
        <v>373.76</v>
      </c>
      <c r="M26" s="85">
        <v>898.16</v>
      </c>
      <c r="N26" s="85">
        <v>811.16</v>
      </c>
      <c r="O26" s="85">
        <v>274.38</v>
      </c>
      <c r="P26" s="85">
        <v>1.0875999999999999</v>
      </c>
      <c r="Q26" s="85">
        <v>788.14</v>
      </c>
      <c r="R26" s="85">
        <v>0</v>
      </c>
      <c r="S26" s="85">
        <v>0</v>
      </c>
      <c r="T26" s="85">
        <v>698.18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1.6272</v>
      </c>
      <c r="C27" s="85">
        <v>374.25</v>
      </c>
      <c r="D27" s="85">
        <v>171520.54</v>
      </c>
      <c r="E27" s="85">
        <v>9703232.1199999992</v>
      </c>
      <c r="F27" s="85">
        <v>3.8689</v>
      </c>
      <c r="G27" s="85">
        <v>1.1933</v>
      </c>
      <c r="H27" s="85">
        <v>1.1241000000000001</v>
      </c>
      <c r="I27" s="85">
        <v>407.07</v>
      </c>
      <c r="J27" s="85">
        <v>586.76</v>
      </c>
      <c r="K27" s="85">
        <v>535.76</v>
      </c>
      <c r="L27" s="85">
        <v>374.06</v>
      </c>
      <c r="M27" s="85">
        <v>898.56</v>
      </c>
      <c r="N27" s="85">
        <v>811.52</v>
      </c>
      <c r="O27" s="85">
        <v>274.60000000000002</v>
      </c>
      <c r="P27" s="85">
        <v>1.0880000000000001</v>
      </c>
      <c r="Q27" s="85">
        <v>788.45</v>
      </c>
      <c r="R27" s="85">
        <v>0</v>
      </c>
      <c r="S27" s="85">
        <v>0</v>
      </c>
      <c r="T27" s="85">
        <v>698.67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1.6281000000000001</v>
      </c>
      <c r="C28" s="85">
        <v>374.51</v>
      </c>
      <c r="D28" s="85">
        <v>172705.4</v>
      </c>
      <c r="E28" s="85">
        <v>9705318.1500000004</v>
      </c>
      <c r="F28" s="85">
        <v>3.8713000000000002</v>
      </c>
      <c r="G28" s="85">
        <v>1.1938</v>
      </c>
      <c r="H28" s="85">
        <v>1.1245000000000001</v>
      </c>
      <c r="I28" s="85">
        <v>407.29</v>
      </c>
      <c r="J28" s="85">
        <v>587.37</v>
      </c>
      <c r="K28" s="85">
        <v>536.05999999999995</v>
      </c>
      <c r="L28" s="85">
        <v>374.35</v>
      </c>
      <c r="M28" s="85">
        <v>898.89</v>
      </c>
      <c r="N28" s="85">
        <v>811.79</v>
      </c>
      <c r="O28" s="85">
        <v>274.8</v>
      </c>
      <c r="P28" s="85">
        <v>1.0884</v>
      </c>
      <c r="Q28" s="85">
        <v>788.7</v>
      </c>
      <c r="R28" s="85">
        <v>0</v>
      </c>
      <c r="S28" s="85">
        <v>0</v>
      </c>
      <c r="T28" s="85">
        <v>699.18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1.6291</v>
      </c>
      <c r="C29" s="85">
        <v>374.76</v>
      </c>
      <c r="D29" s="85">
        <v>173994.71</v>
      </c>
      <c r="E29" s="85">
        <v>9707415.8399999999</v>
      </c>
      <c r="F29" s="85">
        <v>3.8736000000000002</v>
      </c>
      <c r="G29" s="85">
        <v>1.1941999999999999</v>
      </c>
      <c r="H29" s="85">
        <v>1.125</v>
      </c>
      <c r="I29" s="85">
        <v>407.52</v>
      </c>
      <c r="J29" s="85">
        <v>587.94000000000005</v>
      </c>
      <c r="K29" s="85">
        <v>536.35</v>
      </c>
      <c r="L29" s="85">
        <v>374.63</v>
      </c>
      <c r="M29" s="85">
        <v>899.24</v>
      </c>
      <c r="N29" s="85">
        <v>812.07</v>
      </c>
      <c r="O29" s="85">
        <v>275.02999999999997</v>
      </c>
      <c r="P29" s="85">
        <v>1.0887</v>
      </c>
      <c r="Q29" s="85">
        <v>788.94</v>
      </c>
      <c r="R29" s="85">
        <v>0</v>
      </c>
      <c r="S29" s="85">
        <v>0</v>
      </c>
      <c r="T29" s="85">
        <v>699.63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1.6301000000000001</v>
      </c>
      <c r="C30" s="85">
        <v>375.03</v>
      </c>
      <c r="D30" s="85">
        <v>175663.73</v>
      </c>
      <c r="E30" s="85">
        <v>9709989.0399999991</v>
      </c>
      <c r="F30" s="85">
        <v>3.8761000000000001</v>
      </c>
      <c r="G30" s="85">
        <v>1.1946000000000001</v>
      </c>
      <c r="H30" s="85">
        <v>1.1255999999999999</v>
      </c>
      <c r="I30" s="85">
        <v>407.79</v>
      </c>
      <c r="J30" s="85">
        <v>588.51</v>
      </c>
      <c r="K30" s="85">
        <v>536.66999999999996</v>
      </c>
      <c r="L30" s="85">
        <v>374.96</v>
      </c>
      <c r="M30" s="85">
        <v>899.68</v>
      </c>
      <c r="N30" s="85">
        <v>812.45</v>
      </c>
      <c r="O30" s="85">
        <v>275.26</v>
      </c>
      <c r="P30" s="85">
        <v>1.0891</v>
      </c>
      <c r="Q30" s="85">
        <v>789.28</v>
      </c>
      <c r="R30" s="85">
        <v>0</v>
      </c>
      <c r="S30" s="85">
        <v>0</v>
      </c>
      <c r="T30" s="85">
        <v>700.13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1.6311</v>
      </c>
      <c r="C31" s="85">
        <v>375.25</v>
      </c>
      <c r="D31" s="85">
        <v>177233.71</v>
      </c>
      <c r="E31" s="85">
        <v>9712434.2799999993</v>
      </c>
      <c r="F31" s="85">
        <v>3.8786</v>
      </c>
      <c r="G31" s="85">
        <v>1.1950000000000001</v>
      </c>
      <c r="H31" s="85">
        <v>1.1261000000000001</v>
      </c>
      <c r="I31" s="85">
        <v>408.07</v>
      </c>
      <c r="J31" s="85">
        <v>589.02</v>
      </c>
      <c r="K31" s="85">
        <v>537.02</v>
      </c>
      <c r="L31" s="85">
        <v>375.25</v>
      </c>
      <c r="M31" s="85">
        <v>900.14</v>
      </c>
      <c r="N31" s="85">
        <v>812.79</v>
      </c>
      <c r="O31" s="85">
        <v>275.52</v>
      </c>
      <c r="P31" s="85">
        <v>1.0894999999999999</v>
      </c>
      <c r="Q31" s="85">
        <v>789.59</v>
      </c>
      <c r="R31" s="85">
        <v>0</v>
      </c>
      <c r="S31" s="85">
        <v>0</v>
      </c>
      <c r="T31" s="85">
        <v>700.54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1.6322000000000001</v>
      </c>
      <c r="C32" s="85">
        <v>375.51</v>
      </c>
      <c r="D32" s="85">
        <v>178682.51</v>
      </c>
      <c r="E32" s="85">
        <v>9714616</v>
      </c>
      <c r="F32" s="85">
        <v>3.8811</v>
      </c>
      <c r="G32" s="85">
        <v>1.1955</v>
      </c>
      <c r="H32" s="85">
        <v>1.1267</v>
      </c>
      <c r="I32" s="85">
        <v>408.38</v>
      </c>
      <c r="J32" s="85">
        <v>589.61</v>
      </c>
      <c r="K32" s="85">
        <v>537.38</v>
      </c>
      <c r="L32" s="85">
        <v>375.58</v>
      </c>
      <c r="M32" s="85">
        <v>900.56</v>
      </c>
      <c r="N32" s="85">
        <v>813.11</v>
      </c>
      <c r="O32" s="85">
        <v>275.77</v>
      </c>
      <c r="P32" s="85">
        <v>1.0899000000000001</v>
      </c>
      <c r="Q32" s="85">
        <v>789.88</v>
      </c>
      <c r="R32" s="85">
        <v>0</v>
      </c>
      <c r="S32" s="85">
        <v>0</v>
      </c>
      <c r="T32" s="85">
        <v>700.89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1.6331</v>
      </c>
      <c r="C33" s="85">
        <v>375.75</v>
      </c>
      <c r="D33" s="85">
        <v>179780.67</v>
      </c>
      <c r="E33" s="85">
        <v>9716611.6600000001</v>
      </c>
      <c r="F33" s="85">
        <v>3.8835000000000002</v>
      </c>
      <c r="G33" s="85">
        <v>1.1959</v>
      </c>
      <c r="H33" s="85">
        <v>1.1272</v>
      </c>
      <c r="I33" s="85">
        <v>408.61</v>
      </c>
      <c r="J33" s="85">
        <v>590</v>
      </c>
      <c r="K33" s="85">
        <v>537.64</v>
      </c>
      <c r="L33" s="85">
        <v>375.86</v>
      </c>
      <c r="M33" s="85">
        <v>900.92</v>
      </c>
      <c r="N33" s="85">
        <v>813.42</v>
      </c>
      <c r="O33" s="85">
        <v>276.01</v>
      </c>
      <c r="P33" s="85">
        <v>1.0902000000000001</v>
      </c>
      <c r="Q33" s="85">
        <v>790.13</v>
      </c>
      <c r="R33" s="85">
        <v>0</v>
      </c>
      <c r="S33" s="85">
        <v>0</v>
      </c>
      <c r="T33" s="85">
        <v>701.4</v>
      </c>
      <c r="V33" s="83"/>
      <c r="W33" s="83"/>
      <c r="X33" s="83"/>
    </row>
    <row r="34" spans="1:24" ht="21" customHeight="1" x14ac:dyDescent="0.25">
      <c r="A34" s="6">
        <v>44957</v>
      </c>
      <c r="B34" s="85">
        <v>1.6342000000000001</v>
      </c>
      <c r="C34" s="85">
        <v>376</v>
      </c>
      <c r="D34" s="85">
        <v>181315</v>
      </c>
      <c r="E34" s="85">
        <v>9718896.1999999993</v>
      </c>
      <c r="F34" s="85">
        <v>3.8858999999999999</v>
      </c>
      <c r="G34" s="85">
        <v>1.1963999999999999</v>
      </c>
      <c r="H34" s="85">
        <v>1.1277999999999999</v>
      </c>
      <c r="I34" s="85">
        <v>408.87</v>
      </c>
      <c r="J34" s="85">
        <v>590.66</v>
      </c>
      <c r="K34" s="85">
        <v>538.01</v>
      </c>
      <c r="L34" s="85">
        <v>376.16</v>
      </c>
      <c r="M34" s="85">
        <v>901.33</v>
      </c>
      <c r="N34" s="85">
        <v>813.77</v>
      </c>
      <c r="O34" s="85">
        <v>276.24</v>
      </c>
      <c r="P34" s="85">
        <v>1.0906</v>
      </c>
      <c r="Q34" s="85">
        <v>790.4</v>
      </c>
      <c r="R34" s="85">
        <v>0</v>
      </c>
      <c r="S34" s="85">
        <v>0</v>
      </c>
      <c r="T34" s="85">
        <v>701.9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20149.999999998618</v>
      </c>
      <c r="C17" s="1">
        <f>Submeters!E16</f>
        <v>570.00000000005002</v>
      </c>
      <c r="D17" s="1">
        <f>Submeters!F16</f>
        <v>2600.0000000001578</v>
      </c>
      <c r="E17" s="1">
        <f>Submeters!G16</f>
        <v>269.99999999998181</v>
      </c>
      <c r="F17" s="1">
        <f>(Submeters!I16+Submeters!J16+Submeters!K16)</f>
        <v>1599.9999999999659</v>
      </c>
      <c r="G17" s="1">
        <f>(Submeters!L16+Submeters!M16)</f>
        <v>0</v>
      </c>
      <c r="H17" s="1">
        <f>(Submeters!N16+Submeters!O16)</f>
        <v>1380.0000000000737</v>
      </c>
      <c r="I17" s="1">
        <f>(Submeters!P16+Submeters!Q16+Submeters!R16+Submeters!S16+Submeters!T16+Submeters!U16)</f>
        <v>3040.0000000000668</v>
      </c>
      <c r="J17" s="1">
        <f>(Submeters!V16+Submeters!W16)</f>
        <v>4454.409999999014</v>
      </c>
      <c r="K17" s="1">
        <f>Submeters!X16</f>
        <v>259.99999999999091</v>
      </c>
      <c r="L17" s="24">
        <f t="shared" si="0"/>
        <v>5975.5899999993162</v>
      </c>
    </row>
    <row r="18" spans="1:12" x14ac:dyDescent="0.25">
      <c r="A18" s="10">
        <f>'Kwh Reading'!A19</f>
        <v>44942</v>
      </c>
      <c r="B18" s="65">
        <f>TOTAL!E17</f>
        <v>23719.999999999036</v>
      </c>
      <c r="C18" s="1">
        <f>Submeters!E17</f>
        <v>559.99999999994543</v>
      </c>
      <c r="D18" s="1">
        <f>Submeters!F17</f>
        <v>2699.9999999999245</v>
      </c>
      <c r="E18" s="1">
        <f>Submeters!G17</f>
        <v>280.00000000002956</v>
      </c>
      <c r="F18" s="1">
        <f>(Submeters!I17+Submeters!J17+Submeters!K17)</f>
        <v>1870.0000000000045</v>
      </c>
      <c r="G18" s="1">
        <f>(Submeters!L17+Submeters!M17)</f>
        <v>0</v>
      </c>
      <c r="H18" s="1">
        <f>(Submeters!N17+Submeters!O17)</f>
        <v>1529.999999999852</v>
      </c>
      <c r="I18" s="1">
        <f>(Submeters!P17+Submeters!Q17+Submeters!R17+Submeters!S17+Submeters!T17+Submeters!U17)</f>
        <v>3440.0000000000905</v>
      </c>
      <c r="J18" s="1">
        <f>(Submeters!V17+Submeters!W17)</f>
        <v>4790.4300000009825</v>
      </c>
      <c r="K18" s="1">
        <f>Submeters!X17</f>
        <v>250</v>
      </c>
      <c r="L18" s="24">
        <f t="shared" si="0"/>
        <v>8299.5699999982098</v>
      </c>
    </row>
    <row r="19" spans="1:12" x14ac:dyDescent="0.25">
      <c r="A19" s="10">
        <f>'Kwh Reading'!A20</f>
        <v>44943</v>
      </c>
      <c r="B19" s="65">
        <f>TOTAL!E18</f>
        <v>18270.000000000891</v>
      </c>
      <c r="C19" s="1">
        <f>Submeters!E18</f>
        <v>590.00000000003183</v>
      </c>
      <c r="D19" s="1">
        <f>Submeters!F18</f>
        <v>2400.0000000001796</v>
      </c>
      <c r="E19" s="1">
        <f>Submeters!G18</f>
        <v>269.99999999998181</v>
      </c>
      <c r="F19" s="1">
        <f>(Submeters!I18+Submeters!J18+Submeters!K18)</f>
        <v>1609.9999999999568</v>
      </c>
      <c r="G19" s="1">
        <f>(Submeters!L18+Submeters!M18)</f>
        <v>0</v>
      </c>
      <c r="H19" s="1">
        <f>(Submeters!N18+Submeters!O18)</f>
        <v>1500.0000000001012</v>
      </c>
      <c r="I19" s="1">
        <f>(Submeters!P18+Submeters!Q18+Submeters!R18+Submeters!S18+Submeters!T18+Submeters!U18)</f>
        <v>2719.9999999997485</v>
      </c>
      <c r="J19" s="1">
        <f>(Submeters!V18+Submeters!W18)</f>
        <v>4611.3599999987346</v>
      </c>
      <c r="K19" s="1">
        <f>Submeters!X18</f>
        <v>220.00000000002728</v>
      </c>
      <c r="L19" s="24">
        <f t="shared" si="0"/>
        <v>4348.6400000021276</v>
      </c>
    </row>
    <row r="20" spans="1:12" x14ac:dyDescent="0.25">
      <c r="A20" s="10">
        <f>'Kwh Reading'!A21</f>
        <v>44944</v>
      </c>
      <c r="B20" s="65">
        <f>TOTAL!E19</f>
        <v>19860.000000001182</v>
      </c>
      <c r="C20" s="1">
        <f>Submeters!E19</f>
        <v>549.99999999995453</v>
      </c>
      <c r="D20" s="1">
        <f>Submeters!F19</f>
        <v>2699.9999999999245</v>
      </c>
      <c r="E20" s="1">
        <f>Submeters!G19</f>
        <v>270.00000000003865</v>
      </c>
      <c r="F20" s="1">
        <f>(Submeters!I19+Submeters!J19+Submeters!K19)</f>
        <v>1170.0000000000728</v>
      </c>
      <c r="G20" s="1">
        <f>(Submeters!L19+Submeters!M19)</f>
        <v>0</v>
      </c>
      <c r="H20" s="1">
        <f>(Submeters!N19+Submeters!O19)</f>
        <v>1509.9999999998702</v>
      </c>
      <c r="I20" s="1">
        <f>(Submeters!P19+Submeters!Q19+Submeters!R19+Submeters!S19+Submeters!T19+Submeters!U19)</f>
        <v>3140.0000000002779</v>
      </c>
      <c r="J20" s="1">
        <f>(Submeters!V19+Submeters!W19)</f>
        <v>4685.6500000011001</v>
      </c>
      <c r="K20" s="1">
        <f>Submeters!X19</f>
        <v>229.99999999996135</v>
      </c>
      <c r="L20" s="24">
        <f t="shared" si="0"/>
        <v>5604.349999999984</v>
      </c>
    </row>
    <row r="21" spans="1:12" x14ac:dyDescent="0.25">
      <c r="A21" s="10">
        <f>'Kwh Reading'!A22</f>
        <v>44945</v>
      </c>
      <c r="B21" s="65">
        <f>TOTAL!E20</f>
        <v>20600.000000000236</v>
      </c>
      <c r="C21" s="1">
        <f>Submeters!E20</f>
        <v>440.00000000005457</v>
      </c>
      <c r="D21" s="1">
        <f>Submeters!F20</f>
        <v>2499.9999999999468</v>
      </c>
      <c r="E21" s="1">
        <f>Submeters!G20</f>
        <v>269.99999999998181</v>
      </c>
      <c r="F21" s="1">
        <f>(Submeters!I20+Submeters!J20+Submeters!K20)</f>
        <v>1060.0000000000023</v>
      </c>
      <c r="G21" s="1">
        <f>(Submeters!L20+Submeters!M20)</f>
        <v>0</v>
      </c>
      <c r="H21" s="1">
        <f>(Submeters!N20+Submeters!O20)</f>
        <v>1500.0000000001012</v>
      </c>
      <c r="I21" s="1">
        <f>(Submeters!P20+Submeters!Q20+Submeters!R20+Submeters!S20+Submeters!T20+Submeters!U20)</f>
        <v>2829.9999999998422</v>
      </c>
      <c r="J21" s="1">
        <f>(Submeters!V20+Submeters!W20)</f>
        <v>4561.359999999404</v>
      </c>
      <c r="K21" s="1">
        <f>Submeters!X20</f>
        <v>220.00000000002728</v>
      </c>
      <c r="L21" s="24">
        <f t="shared" si="0"/>
        <v>7218.640000000878</v>
      </c>
    </row>
    <row r="22" spans="1:12" x14ac:dyDescent="0.25">
      <c r="A22" s="10">
        <f>'Kwh Reading'!A23</f>
        <v>44946</v>
      </c>
      <c r="B22" s="65">
        <f>TOTAL!E21</f>
        <v>16619.999999998527</v>
      </c>
      <c r="C22" s="1">
        <f>Submeters!E21</f>
        <v>450.00000000004547</v>
      </c>
      <c r="D22" s="1">
        <f>Submeters!F21</f>
        <v>2499.9999999999468</v>
      </c>
      <c r="E22" s="1">
        <f>Submeters!G21</f>
        <v>230.00000000001819</v>
      </c>
      <c r="F22" s="1">
        <f>(Submeters!I21+Submeters!J21+Submeters!K21)</f>
        <v>979.9999999999045</v>
      </c>
      <c r="G22" s="1">
        <f>(Submeters!L21+Submeters!M21)</f>
        <v>0</v>
      </c>
      <c r="H22" s="1">
        <f>(Submeters!N21+Submeters!O21)</f>
        <v>1390.0000000001214</v>
      </c>
      <c r="I22" s="1">
        <f>(Submeters!P21+Submeters!Q21+Submeters!R21+Submeters!S21+Submeters!T21+Submeters!U21)</f>
        <v>2510.0000000000819</v>
      </c>
      <c r="J22" s="1">
        <f>(Submeters!V21+Submeters!W21)</f>
        <v>3731.5600000005215</v>
      </c>
      <c r="K22" s="1">
        <f>Submeters!X21</f>
        <v>199.99999999998863</v>
      </c>
      <c r="L22" s="24">
        <f t="shared" si="0"/>
        <v>4628.4399999978959</v>
      </c>
    </row>
    <row r="23" spans="1:12" x14ac:dyDescent="0.25">
      <c r="A23" s="10">
        <f>'Kwh Reading'!A24</f>
        <v>44947</v>
      </c>
      <c r="B23" s="65">
        <f>TOTAL!E22</f>
        <v>19099.999999999887</v>
      </c>
      <c r="C23" s="1">
        <f>Submeters!E22</f>
        <v>500</v>
      </c>
      <c r="D23" s="1">
        <f>Submeters!F22</f>
        <v>2499.9999999999468</v>
      </c>
      <c r="E23" s="1">
        <f>Submeters!G22</f>
        <v>259.99999999999091</v>
      </c>
      <c r="F23" s="1">
        <f>(Submeters!I22+Submeters!J22+Submeters!K22)</f>
        <v>1180.0000000000068</v>
      </c>
      <c r="G23" s="1">
        <f>(Submeters!L22+Submeters!M22)</f>
        <v>0</v>
      </c>
      <c r="H23" s="1">
        <f>(Submeters!N22+Submeters!O22)</f>
        <v>1259.9999999998809</v>
      </c>
      <c r="I23" s="1">
        <f>(Submeters!P22+Submeters!Q22+Submeters!R22+Submeters!S22+Submeters!T22+Submeters!U22)</f>
        <v>2349.9999999997776</v>
      </c>
      <c r="J23" s="1">
        <f>(Submeters!V22+Submeters!W22)</f>
        <v>3167.6899999994203</v>
      </c>
      <c r="K23" s="1">
        <f>Submeters!X22</f>
        <v>240.00000000000909</v>
      </c>
      <c r="L23" s="24">
        <f t="shared" si="0"/>
        <v>7642.3100000008544</v>
      </c>
    </row>
    <row r="24" spans="1:12" x14ac:dyDescent="0.25">
      <c r="A24" s="10">
        <f>'Kwh Reading'!A25</f>
        <v>44948</v>
      </c>
      <c r="B24" s="65">
        <f>TOTAL!E23</f>
        <v>19250.000000000186</v>
      </c>
      <c r="C24" s="1">
        <f>Submeters!E23</f>
        <v>489.99999999989541</v>
      </c>
      <c r="D24" s="1">
        <f>Submeters!F23</f>
        <v>2400.0000000001796</v>
      </c>
      <c r="E24" s="1">
        <f>Submeters!G23</f>
        <v>269.99999999998181</v>
      </c>
      <c r="F24" s="1">
        <f>(Submeters!I23+Submeters!J23+Submeters!K23)</f>
        <v>1110.0000000000136</v>
      </c>
      <c r="G24" s="1">
        <f>(Submeters!L23+Submeters!M23)</f>
        <v>0</v>
      </c>
      <c r="H24" s="1">
        <f>(Submeters!N23+Submeters!O23)</f>
        <v>1400.0000000001123</v>
      </c>
      <c r="I24" s="1">
        <f>(Submeters!P23+Submeters!Q23+Submeters!R23+Submeters!S23+Submeters!T23+Submeters!U23)</f>
        <v>2989.9999999999645</v>
      </c>
      <c r="J24" s="1">
        <f>(Submeters!V23+Submeters!W23)</f>
        <v>4499.0400000008231</v>
      </c>
      <c r="K24" s="1">
        <f>Submeters!X23</f>
        <v>189.99999999999773</v>
      </c>
      <c r="L24" s="24">
        <f t="shared" si="0"/>
        <v>5900.9599999992188</v>
      </c>
    </row>
    <row r="25" spans="1:12" x14ac:dyDescent="0.25">
      <c r="A25" s="10">
        <f>'Kwh Reading'!A26</f>
        <v>44949</v>
      </c>
      <c r="B25" s="65">
        <f>TOTAL!E24</f>
        <v>18670.000000000178</v>
      </c>
      <c r="C25" s="1">
        <f>Submeters!E24</f>
        <v>490.00000000000909</v>
      </c>
      <c r="D25" s="1">
        <f>Submeters!F24</f>
        <v>2499.9999999999468</v>
      </c>
      <c r="E25" s="1">
        <f>Submeters!G24</f>
        <v>250</v>
      </c>
      <c r="F25" s="1">
        <f>(Submeters!I24+Submeters!J24+Submeters!K24)</f>
        <v>1160.000000000025</v>
      </c>
      <c r="G25" s="1">
        <f>(Submeters!L24+Submeters!M24)</f>
        <v>0</v>
      </c>
      <c r="H25" s="1">
        <f>(Submeters!N24+Submeters!O24)</f>
        <v>1379.9999999998515</v>
      </c>
      <c r="I25" s="1">
        <f>(Submeters!P24+Submeters!Q24+Submeters!R24+Submeters!S24+Submeters!T24+Submeters!U24)</f>
        <v>2470.0000000003402</v>
      </c>
      <c r="J25" s="1">
        <f>(Submeters!V24+Submeters!W24)</f>
        <v>4019.2299999987299</v>
      </c>
      <c r="K25" s="1">
        <f>Submeters!X24</f>
        <v>220.00000000002728</v>
      </c>
      <c r="L25" s="24">
        <f t="shared" si="0"/>
        <v>6180.7700000012464</v>
      </c>
    </row>
    <row r="26" spans="1:12" x14ac:dyDescent="0.25">
      <c r="A26" s="10">
        <f>'Kwh Reading'!A27</f>
        <v>44950</v>
      </c>
      <c r="B26" s="65">
        <f>TOTAL!E25</f>
        <v>16040.000000000822</v>
      </c>
      <c r="C26" s="1">
        <f>Submeters!E25</f>
        <v>509.99999999999091</v>
      </c>
      <c r="D26" s="1">
        <f>Submeters!F25</f>
        <v>2400.0000000001796</v>
      </c>
      <c r="E26" s="1">
        <f>Submeters!G25</f>
        <v>259.99999999999091</v>
      </c>
      <c r="F26" s="1">
        <f>(Submeters!I25+Submeters!J25+Submeters!K25)</f>
        <v>1199.9999999999886</v>
      </c>
      <c r="G26" s="1">
        <f>(Submeters!L25+Submeters!M25)</f>
        <v>0</v>
      </c>
      <c r="H26" s="1">
        <f>(Submeters!N25+Submeters!O25)</f>
        <v>1120.0000000001501</v>
      </c>
      <c r="I26" s="1">
        <f>(Submeters!P25+Submeters!Q25+Submeters!R25+Submeters!S25+Submeters!T25+Submeters!U25)</f>
        <v>2149.9999999998795</v>
      </c>
      <c r="J26" s="1">
        <f>(Submeters!V25+Submeters!W25)</f>
        <v>3270.8900000011781</v>
      </c>
      <c r="K26" s="1">
        <f>Submeters!X25</f>
        <v>199.99999999998863</v>
      </c>
      <c r="L26" s="24">
        <f t="shared" si="0"/>
        <v>4929.1099999994731</v>
      </c>
    </row>
    <row r="27" spans="1:12" x14ac:dyDescent="0.25">
      <c r="A27" s="10">
        <f>'Kwh Reading'!A28</f>
        <v>44951</v>
      </c>
      <c r="B27" s="65">
        <f>TOTAL!E26</f>
        <v>16599.999999999192</v>
      </c>
      <c r="C27" s="1">
        <f>Submeters!E26</f>
        <v>450.00000000004547</v>
      </c>
      <c r="D27" s="1">
        <f>Submeters!F26</f>
        <v>2299.9999999999686</v>
      </c>
      <c r="E27" s="1">
        <f>Submeters!G26</f>
        <v>250</v>
      </c>
      <c r="F27" s="1">
        <f>(Submeters!I26+Submeters!J26+Submeters!K26)</f>
        <v>1140.0000000001</v>
      </c>
      <c r="G27" s="1">
        <f>(Submeters!L26+Submeters!M26)</f>
        <v>0</v>
      </c>
      <c r="H27" s="1">
        <f>(Submeters!N26+Submeters!O26)</f>
        <v>1229.9999999998513</v>
      </c>
      <c r="I27" s="1">
        <f>(Submeters!P26+Submeters!Q26+Submeters!R26+Submeters!S26+Submeters!T26+Submeters!U26)</f>
        <v>2069.9999999999864</v>
      </c>
      <c r="J27" s="1">
        <f>(Submeters!V26+Submeters!W26)</f>
        <v>3386.9999999994761</v>
      </c>
      <c r="K27" s="1">
        <f>Submeters!X26</f>
        <v>229.99999999996135</v>
      </c>
      <c r="L27" s="24">
        <f t="shared" si="0"/>
        <v>5542.9999999998017</v>
      </c>
    </row>
    <row r="28" spans="1:12" x14ac:dyDescent="0.25">
      <c r="A28" s="10">
        <f>'Kwh Reading'!A29</f>
        <v>44952</v>
      </c>
      <c r="B28" s="65">
        <f>TOTAL!E27</f>
        <v>19100.000000000437</v>
      </c>
      <c r="C28" s="1">
        <f>Submeters!E27</f>
        <v>500</v>
      </c>
      <c r="D28" s="1">
        <f>Submeters!F27</f>
        <v>2499.9999999999468</v>
      </c>
      <c r="E28" s="1">
        <f>Submeters!G27</f>
        <v>269.99999999998181</v>
      </c>
      <c r="F28" s="1">
        <f>(Submeters!I27+Submeters!J27+Submeters!K27)</f>
        <v>1219.9999999998568</v>
      </c>
      <c r="G28" s="1">
        <f>(Submeters!L27+Submeters!M27)</f>
        <v>0</v>
      </c>
      <c r="H28" s="1">
        <f>(Submeters!N27+Submeters!O27)</f>
        <v>1270.0000000001505</v>
      </c>
      <c r="I28" s="1">
        <f>(Submeters!P27+Submeters!Q27+Submeters!R27+Submeters!S27+Submeters!T27+Submeters!U27)</f>
        <v>2559.9999999999227</v>
      </c>
      <c r="J28" s="1">
        <f>(Submeters!V27+Submeters!W27)</f>
        <v>4242.2199999992736</v>
      </c>
      <c r="K28" s="1">
        <f>Submeters!X27</f>
        <v>230.00000000001819</v>
      </c>
      <c r="L28" s="24">
        <f t="shared" si="0"/>
        <v>6307.7800000012867</v>
      </c>
    </row>
    <row r="29" spans="1:12" x14ac:dyDescent="0.25">
      <c r="A29" s="10">
        <f>'Kwh Reading'!A30</f>
        <v>44953</v>
      </c>
      <c r="B29" s="65">
        <f>TOTAL!E28</f>
        <v>18580.000000000113</v>
      </c>
      <c r="C29" s="1">
        <f>Submeters!E28</f>
        <v>409.99999999996817</v>
      </c>
      <c r="D29" s="1">
        <f>Submeters!F28</f>
        <v>2499.9999999999468</v>
      </c>
      <c r="E29" s="1">
        <f>Submeters!G28</f>
        <v>220.00000000002728</v>
      </c>
      <c r="F29" s="1">
        <f>(Submeters!I28+Submeters!J28+Submeters!K28)</f>
        <v>1150.0000000000341</v>
      </c>
      <c r="G29" s="1">
        <f>(Submeters!L28+Submeters!M28)</f>
        <v>0</v>
      </c>
      <c r="H29" s="1">
        <f>(Submeters!N28+Submeters!O28)</f>
        <v>1279.9999999998627</v>
      </c>
      <c r="I29" s="1">
        <f>(Submeters!P28+Submeters!Q28+Submeters!R28+Submeters!S28+Submeters!T28+Submeters!U28)</f>
        <v>2410.0000000000928</v>
      </c>
      <c r="J29" s="1">
        <f>(Submeters!V28+Submeters!W28)</f>
        <v>4015.2200000002049</v>
      </c>
      <c r="K29" s="1">
        <f>Submeters!X28</f>
        <v>259.99999999999091</v>
      </c>
      <c r="L29" s="24">
        <f t="shared" si="0"/>
        <v>6334.7799999999843</v>
      </c>
    </row>
    <row r="30" spans="1:12" x14ac:dyDescent="0.25">
      <c r="A30" s="10">
        <f>'Kwh Reading'!A31</f>
        <v>44954</v>
      </c>
      <c r="B30" s="65">
        <f>TOTAL!E29</f>
        <v>17689.999999999472</v>
      </c>
      <c r="C30" s="1">
        <f>Submeters!E29</f>
        <v>350.00000000002274</v>
      </c>
      <c r="D30" s="1">
        <f>Submeters!F29</f>
        <v>2499.9999999999468</v>
      </c>
      <c r="E30" s="1">
        <f>Submeters!G29</f>
        <v>259.99999999999091</v>
      </c>
      <c r="F30" s="1">
        <f>(Submeters!I29+Submeters!J29+Submeters!K29)</f>
        <v>1280.0000000000296</v>
      </c>
      <c r="G30" s="1">
        <f>(Submeters!L29+Submeters!M29)</f>
        <v>0</v>
      </c>
      <c r="H30" s="1">
        <f>(Submeters!N29+Submeters!O29)</f>
        <v>1410.0000000001032</v>
      </c>
      <c r="I30" s="1">
        <f>(Submeters!P29+Submeters!Q29+Submeters!R29+Submeters!S29+Submeters!T29+Submeters!U29)</f>
        <v>2530.0000000000296</v>
      </c>
      <c r="J30" s="1">
        <f>(Submeters!V29+Submeters!W29)</f>
        <v>3630.520000000688</v>
      </c>
      <c r="K30" s="1">
        <f>Submeters!X29</f>
        <v>250</v>
      </c>
      <c r="L30" s="24">
        <f t="shared" si="0"/>
        <v>5479.4799999986626</v>
      </c>
    </row>
    <row r="31" spans="1:12" x14ac:dyDescent="0.25">
      <c r="A31" s="10">
        <f>'Kwh Reading'!A32</f>
        <v>44955</v>
      </c>
      <c r="B31" s="65">
        <f>TOTAL!E30</f>
        <v>16210.000000001117</v>
      </c>
      <c r="C31" s="1">
        <f>Submeters!E30</f>
        <v>509.99999999999091</v>
      </c>
      <c r="D31" s="1">
        <f>Submeters!F30</f>
        <v>2400.0000000001796</v>
      </c>
      <c r="E31" s="1">
        <f>Submeters!G30</f>
        <v>240.00000000000909</v>
      </c>
      <c r="F31" s="1">
        <f>(Submeters!I30+Submeters!J30+Submeters!K30)</f>
        <v>930.00000000000682</v>
      </c>
      <c r="G31" s="1">
        <f>(Submeters!L30+Submeters!M30)</f>
        <v>0</v>
      </c>
      <c r="H31" s="1">
        <f>(Submeters!N30+Submeters!O30)</f>
        <v>1129.9999999999191</v>
      </c>
      <c r="I31" s="1">
        <f>(Submeters!P30+Submeters!Q30+Submeters!R30+Submeters!S30+Submeters!T30+Submeters!U30)</f>
        <v>2119.9999999998272</v>
      </c>
      <c r="J31" s="1">
        <f>(Submeters!V30+Submeters!W30)</f>
        <v>3093.8200000001525</v>
      </c>
      <c r="K31" s="1">
        <f>Submeters!X30</f>
        <v>240.00000000000909</v>
      </c>
      <c r="L31" s="24">
        <f t="shared" si="0"/>
        <v>5546.1800000010226</v>
      </c>
    </row>
    <row r="32" spans="1:12" x14ac:dyDescent="0.25">
      <c r="A32" s="10">
        <f>'Kwh Reading'!A33</f>
        <v>44956</v>
      </c>
      <c r="B32" s="65">
        <f>TOTAL!E31</f>
        <v>16210.000000001117</v>
      </c>
      <c r="C32" s="1">
        <f>Submeters!E31</f>
        <v>500</v>
      </c>
      <c r="D32" s="1">
        <f>Submeters!F31</f>
        <v>2399.9999999997358</v>
      </c>
      <c r="E32" s="1">
        <f>Submeters!G31</f>
        <v>250</v>
      </c>
      <c r="F32" s="1">
        <f>(Submeters!I31+Submeters!J31+Submeters!K31)</f>
        <v>1329.9999999999841</v>
      </c>
      <c r="G32" s="1">
        <f>(Submeters!L31+Submeters!M31)</f>
        <v>0</v>
      </c>
      <c r="H32" s="1">
        <f>(Submeters!N31+Submeters!O31)</f>
        <v>1360.0000000000919</v>
      </c>
      <c r="I32" s="1">
        <f>(Submeters!P31+Submeters!Q31+Submeters!R31+Submeters!S31+Submeters!T31+Submeters!U31)</f>
        <v>2529.9999999999213</v>
      </c>
      <c r="J32" s="1">
        <f>(Submeters!V31+Submeters!W31)</f>
        <v>3818.8699999990931</v>
      </c>
      <c r="K32" s="1">
        <f>Submeters!X31</f>
        <v>230.00000000001819</v>
      </c>
      <c r="L32" s="24">
        <f t="shared" si="0"/>
        <v>3791.1300000022729</v>
      </c>
    </row>
    <row r="33" spans="1:13" x14ac:dyDescent="0.25">
      <c r="A33" s="10">
        <f>'Kwh Reading'!A34</f>
        <v>44957</v>
      </c>
      <c r="B33" s="65">
        <f>TOTAL!E32</f>
        <v>0</v>
      </c>
      <c r="C33" s="1">
        <f>Submeters!E32</f>
        <v>0</v>
      </c>
      <c r="D33" s="1">
        <f>Submeters!F32</f>
        <v>0</v>
      </c>
      <c r="E33" s="1">
        <f>Submeters!G32</f>
        <v>0</v>
      </c>
      <c r="F33" s="1">
        <f>(Submeters!I32+Submeters!J32+Submeters!K32)</f>
        <v>0</v>
      </c>
      <c r="G33" s="1">
        <f>(Submeters!L32+Submeters!M32)</f>
        <v>0</v>
      </c>
      <c r="H33" s="1">
        <f>(Submeters!N32+Submeters!O32)</f>
        <v>0</v>
      </c>
      <c r="I33" s="1">
        <f>(Submeters!P32+Submeters!Q32+Submeters!R32+Submeters!S32+Submeters!T32+Submeters!U32)</f>
        <v>0</v>
      </c>
      <c r="J33" s="1">
        <f>(Submeters!V32+Submeters!W32)</f>
        <v>0</v>
      </c>
      <c r="K33" s="1">
        <f>Submeters!X32</f>
        <v>0</v>
      </c>
      <c r="L33" s="24">
        <f t="shared" ref="L33" si="1">B33-C33-D33-E33-F33-G33-H33-I33-J33-K33</f>
        <v>0</v>
      </c>
    </row>
    <row r="34" spans="1:13" ht="15.75" x14ac:dyDescent="0.25">
      <c r="A34" s="67" t="s">
        <v>108</v>
      </c>
      <c r="B34" s="60">
        <f>SUM(B3:B32)</f>
        <v>587930.00000000268</v>
      </c>
      <c r="C34" s="60">
        <f>SUM(C3:C32)</f>
        <v>15679.999999999951</v>
      </c>
      <c r="D34" s="60">
        <f t="shared" ref="D34:L34" si="2">SUM(D3:D32)</f>
        <v>73399.999999999927</v>
      </c>
      <c r="E34" s="60">
        <f t="shared" si="2"/>
        <v>7769.9999999999818</v>
      </c>
      <c r="F34" s="60">
        <f t="shared" si="2"/>
        <v>46939.999999999993</v>
      </c>
      <c r="G34" s="60">
        <f t="shared" si="2"/>
        <v>0</v>
      </c>
      <c r="H34" s="60">
        <f t="shared" si="2"/>
        <v>41150.000000000022</v>
      </c>
      <c r="I34" s="60">
        <f t="shared" si="2"/>
        <v>83209.99999999984</v>
      </c>
      <c r="J34" s="60">
        <f t="shared" si="2"/>
        <v>123616.80999999985</v>
      </c>
      <c r="K34" s="60">
        <f t="shared" si="2"/>
        <v>7360.0000000000164</v>
      </c>
      <c r="L34" s="60">
        <f t="shared" si="2"/>
        <v>188803.19000000297</v>
      </c>
      <c r="M34" s="66">
        <f>C34+D34+E34+F34+G34+H34+I34+J34+K34+L34</f>
        <v>587930.00000000256</v>
      </c>
    </row>
    <row r="36" spans="1:13" ht="15.75" x14ac:dyDescent="0.25">
      <c r="A36" s="67" t="s">
        <v>52</v>
      </c>
      <c r="B36" s="91">
        <f>TOTAL!F2</f>
        <v>0</v>
      </c>
      <c r="C36" s="60">
        <f>C34*B36</f>
        <v>0</v>
      </c>
      <c r="D36" s="60">
        <f>D34*B36</f>
        <v>0</v>
      </c>
      <c r="E36" s="60">
        <f>E34*B36</f>
        <v>0</v>
      </c>
      <c r="F36" s="60">
        <f>F34*B36</f>
        <v>0</v>
      </c>
      <c r="G36" s="60">
        <f>G34*B36</f>
        <v>0</v>
      </c>
      <c r="H36" s="60">
        <f>H34*B36</f>
        <v>0</v>
      </c>
      <c r="I36" s="60">
        <f>I34*B36</f>
        <v>0</v>
      </c>
      <c r="J36" s="60">
        <f>J34*B36</f>
        <v>0</v>
      </c>
      <c r="K36" s="60">
        <f>K34*B36</f>
        <v>0</v>
      </c>
      <c r="L36" s="60">
        <f>L34*B36</f>
        <v>0</v>
      </c>
      <c r="M36" s="66">
        <f>C36+D36+E36+F36+G36+H36+I36+J36+K36+L36</f>
        <v>0</v>
      </c>
    </row>
    <row r="37" spans="1:13" x14ac:dyDescent="0.25">
      <c r="J37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3" sqref="Q33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33145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1024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1024</v>
      </c>
      <c r="L17" s="25">
        <v>19644</v>
      </c>
      <c r="M17" s="25">
        <v>28844</v>
      </c>
      <c r="N17" s="25">
        <v>9144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29244</v>
      </c>
      <c r="C18" s="25">
        <v>45328</v>
      </c>
      <c r="D18" s="25">
        <v>304594</v>
      </c>
      <c r="E18" s="25">
        <v>287744</v>
      </c>
      <c r="F18" s="25">
        <v>26764</v>
      </c>
      <c r="G18" s="25">
        <v>125262</v>
      </c>
      <c r="H18" s="45">
        <v>1323</v>
      </c>
      <c r="I18" s="109">
        <v>80609</v>
      </c>
      <c r="J18" s="25">
        <v>24177</v>
      </c>
      <c r="K18" s="25">
        <v>1024</v>
      </c>
      <c r="L18" s="25">
        <v>19647</v>
      </c>
      <c r="M18" s="25">
        <v>28852</v>
      </c>
      <c r="N18" s="25">
        <v>9148</v>
      </c>
      <c r="O18" s="25">
        <v>2515</v>
      </c>
      <c r="P18" s="25">
        <v>33206</v>
      </c>
      <c r="Q18" s="25">
        <v>2446</v>
      </c>
      <c r="R18" s="25">
        <v>1097</v>
      </c>
      <c r="U18" s="82"/>
    </row>
    <row r="19" spans="1:21" x14ac:dyDescent="0.25">
      <c r="A19" s="44">
        <v>44943</v>
      </c>
      <c r="B19" s="25">
        <v>29452</v>
      </c>
      <c r="C19" s="25">
        <v>45578</v>
      </c>
      <c r="D19" s="25">
        <v>304819</v>
      </c>
      <c r="E19" s="25">
        <v>287832</v>
      </c>
      <c r="F19" s="25">
        <v>26794</v>
      </c>
      <c r="G19" s="25">
        <v>125307</v>
      </c>
      <c r="H19" s="45">
        <v>1361</v>
      </c>
      <c r="I19" s="109">
        <v>80628</v>
      </c>
      <c r="J19" s="25">
        <v>24185</v>
      </c>
      <c r="K19" s="25">
        <v>1024</v>
      </c>
      <c r="L19" s="25">
        <v>19650</v>
      </c>
      <c r="M19" s="25">
        <v>28859</v>
      </c>
      <c r="N19" s="25">
        <v>9150</v>
      </c>
      <c r="O19" s="25">
        <v>2518</v>
      </c>
      <c r="P19" s="25">
        <v>33218</v>
      </c>
      <c r="Q19" s="25">
        <v>2450</v>
      </c>
      <c r="R19" s="25">
        <v>1100</v>
      </c>
    </row>
    <row r="20" spans="1:21" x14ac:dyDescent="0.25">
      <c r="A20" s="44">
        <v>44944</v>
      </c>
      <c r="B20" s="25">
        <v>29604</v>
      </c>
      <c r="C20" s="25">
        <v>45771</v>
      </c>
      <c r="D20" s="25">
        <v>304973</v>
      </c>
      <c r="E20" s="25">
        <v>287911</v>
      </c>
      <c r="F20" s="25">
        <v>26832</v>
      </c>
      <c r="G20" s="25">
        <v>125332</v>
      </c>
      <c r="H20" s="45">
        <v>1390</v>
      </c>
      <c r="I20" s="109">
        <v>80643</v>
      </c>
      <c r="J20" s="25">
        <v>24190</v>
      </c>
      <c r="K20" s="25">
        <v>1024</v>
      </c>
      <c r="L20" s="25">
        <v>19654</v>
      </c>
      <c r="M20" s="25">
        <v>28867</v>
      </c>
      <c r="N20" s="25">
        <v>9151</v>
      </c>
      <c r="O20" s="25">
        <v>2519</v>
      </c>
      <c r="P20" s="25">
        <v>33229</v>
      </c>
      <c r="Q20" s="25">
        <v>2457</v>
      </c>
      <c r="R20" s="25">
        <v>1106</v>
      </c>
    </row>
    <row r="21" spans="1:21" x14ac:dyDescent="0.25">
      <c r="A21" s="44">
        <v>44945</v>
      </c>
      <c r="B21" s="25">
        <v>29741</v>
      </c>
      <c r="C21" s="25">
        <v>45999</v>
      </c>
      <c r="D21" s="25">
        <v>305155</v>
      </c>
      <c r="E21" s="25">
        <v>287996</v>
      </c>
      <c r="F21" s="25">
        <v>26867</v>
      </c>
      <c r="G21" s="25">
        <v>125355</v>
      </c>
      <c r="H21" s="45">
        <v>1421</v>
      </c>
      <c r="I21" s="109">
        <v>80646</v>
      </c>
      <c r="J21" s="25">
        <v>24197</v>
      </c>
      <c r="K21" s="25">
        <v>1024</v>
      </c>
      <c r="L21" s="25">
        <v>19657</v>
      </c>
      <c r="M21" s="25">
        <v>28874</v>
      </c>
      <c r="N21" s="25">
        <v>9154</v>
      </c>
      <c r="O21" s="25">
        <v>2522</v>
      </c>
      <c r="P21" s="25">
        <v>33229</v>
      </c>
      <c r="Q21" s="25">
        <v>2466</v>
      </c>
      <c r="R21" s="25">
        <v>1109</v>
      </c>
    </row>
    <row r="22" spans="1:21" x14ac:dyDescent="0.25">
      <c r="A22" s="44">
        <v>44946</v>
      </c>
      <c r="B22" s="25">
        <v>29894</v>
      </c>
      <c r="C22" s="25">
        <v>46238</v>
      </c>
      <c r="D22" s="25">
        <v>305339</v>
      </c>
      <c r="E22" s="25">
        <v>288076</v>
      </c>
      <c r="F22" s="25">
        <v>26897</v>
      </c>
      <c r="G22" s="25">
        <v>125377</v>
      </c>
      <c r="H22" s="45">
        <v>1457</v>
      </c>
      <c r="I22" s="109">
        <v>80679</v>
      </c>
      <c r="J22" s="25">
        <v>24203</v>
      </c>
      <c r="K22" s="25">
        <v>1024</v>
      </c>
      <c r="L22" s="25">
        <v>19660</v>
      </c>
      <c r="M22" s="25">
        <v>28880</v>
      </c>
      <c r="N22" s="25">
        <v>9155</v>
      </c>
      <c r="O22" s="25">
        <v>2524</v>
      </c>
      <c r="P22" s="25">
        <v>33235</v>
      </c>
      <c r="Q22" s="25">
        <v>2467</v>
      </c>
      <c r="R22" s="25">
        <v>1113</v>
      </c>
    </row>
    <row r="23" spans="1:21" x14ac:dyDescent="0.25">
      <c r="A23" s="44">
        <v>44947</v>
      </c>
      <c r="B23" s="25">
        <v>30033</v>
      </c>
      <c r="C23" s="25">
        <v>46485</v>
      </c>
      <c r="D23" s="25">
        <v>305509</v>
      </c>
      <c r="E23" s="25">
        <v>288158</v>
      </c>
      <c r="F23" s="25">
        <v>26933</v>
      </c>
      <c r="G23" s="25">
        <v>125399</v>
      </c>
      <c r="H23" s="45">
        <v>1509</v>
      </c>
      <c r="I23" s="109">
        <v>80706</v>
      </c>
      <c r="J23" s="25">
        <v>24209</v>
      </c>
      <c r="K23" s="25">
        <v>1024</v>
      </c>
      <c r="L23" s="25">
        <v>19663</v>
      </c>
      <c r="M23" s="25">
        <v>28888</v>
      </c>
      <c r="N23" s="25">
        <v>9157</v>
      </c>
      <c r="O23" s="25">
        <v>2526</v>
      </c>
      <c r="P23" s="25">
        <v>33239</v>
      </c>
      <c r="Q23" s="25">
        <v>2470</v>
      </c>
      <c r="R23" s="25">
        <v>1117</v>
      </c>
      <c r="S23" s="8" t="s">
        <v>114</v>
      </c>
    </row>
    <row r="24" spans="1:21" x14ac:dyDescent="0.25">
      <c r="A24" s="44">
        <v>44948</v>
      </c>
      <c r="B24" s="25">
        <v>30210</v>
      </c>
      <c r="C24" s="25">
        <v>46691</v>
      </c>
      <c r="D24" s="25">
        <v>305701</v>
      </c>
      <c r="E24" s="25">
        <v>288241</v>
      </c>
      <c r="F24" s="25">
        <v>26967</v>
      </c>
      <c r="G24" s="25">
        <v>125424</v>
      </c>
      <c r="H24" s="45">
        <v>1538</v>
      </c>
      <c r="I24" s="109">
        <v>80717</v>
      </c>
      <c r="J24" s="25">
        <v>24215</v>
      </c>
      <c r="K24" s="25">
        <v>1024</v>
      </c>
      <c r="L24" s="25">
        <v>19667</v>
      </c>
      <c r="M24" s="25">
        <v>28896</v>
      </c>
      <c r="N24" s="25">
        <v>9159</v>
      </c>
      <c r="O24" s="25">
        <v>2528</v>
      </c>
      <c r="P24" s="25">
        <v>33282</v>
      </c>
      <c r="Q24" s="25">
        <v>2470</v>
      </c>
      <c r="R24" s="25">
        <v>1118</v>
      </c>
      <c r="S24" s="8" t="s">
        <v>116</v>
      </c>
    </row>
    <row r="25" spans="1:21" x14ac:dyDescent="0.25">
      <c r="A25" s="44">
        <v>44949</v>
      </c>
      <c r="B25" s="25">
        <v>30369</v>
      </c>
      <c r="C25" s="25">
        <v>46897</v>
      </c>
      <c r="D25" s="25">
        <v>305869</v>
      </c>
      <c r="E25" s="25">
        <v>288326</v>
      </c>
      <c r="F25" s="25">
        <v>27002</v>
      </c>
      <c r="G25" s="25">
        <v>125447</v>
      </c>
      <c r="H25" s="45">
        <v>1569</v>
      </c>
      <c r="I25" s="109">
        <v>80737</v>
      </c>
      <c r="J25" s="25">
        <v>24221</v>
      </c>
      <c r="K25" s="25">
        <v>1024</v>
      </c>
      <c r="L25" s="25">
        <v>19670</v>
      </c>
      <c r="M25" s="25">
        <v>28902</v>
      </c>
      <c r="N25" s="25">
        <v>9163</v>
      </c>
      <c r="O25" s="25">
        <v>2530</v>
      </c>
      <c r="P25" s="25">
        <v>33298</v>
      </c>
      <c r="Q25" s="25">
        <v>2483</v>
      </c>
      <c r="R25" s="25">
        <v>1122</v>
      </c>
    </row>
    <row r="26" spans="1:21" x14ac:dyDescent="0.25">
      <c r="A26" s="44">
        <v>44950</v>
      </c>
      <c r="B26" s="25">
        <v>30486</v>
      </c>
      <c r="C26" s="25">
        <v>47108</v>
      </c>
      <c r="D26" s="25">
        <v>306017</v>
      </c>
      <c r="E26" s="25">
        <v>288404</v>
      </c>
      <c r="F26" s="25">
        <v>27033</v>
      </c>
      <c r="G26" s="25">
        <v>125471</v>
      </c>
      <c r="H26" s="45">
        <v>1603</v>
      </c>
      <c r="I26" s="109">
        <v>80742</v>
      </c>
      <c r="J26" s="25">
        <v>24228</v>
      </c>
      <c r="K26" s="25">
        <v>1024</v>
      </c>
      <c r="L26" s="25">
        <v>19674</v>
      </c>
      <c r="M26" s="25">
        <v>28909</v>
      </c>
      <c r="N26" s="25">
        <v>9167</v>
      </c>
      <c r="O26" s="25">
        <v>2533</v>
      </c>
      <c r="P26" s="25">
        <v>33298</v>
      </c>
      <c r="Q26" s="25">
        <v>2491</v>
      </c>
      <c r="R26" s="25">
        <v>1127</v>
      </c>
    </row>
    <row r="27" spans="1:21" x14ac:dyDescent="0.25">
      <c r="A27" s="44">
        <v>44951</v>
      </c>
      <c r="B27" s="25">
        <v>30634</v>
      </c>
      <c r="C27" s="25">
        <v>47299</v>
      </c>
      <c r="D27" s="25">
        <v>306168</v>
      </c>
      <c r="E27" s="25">
        <v>288487</v>
      </c>
      <c r="F27" s="25">
        <v>27067</v>
      </c>
      <c r="G27" s="25">
        <v>125497</v>
      </c>
      <c r="H27" s="45">
        <v>1626</v>
      </c>
      <c r="I27" s="109">
        <v>80768</v>
      </c>
      <c r="J27" s="25">
        <v>24234</v>
      </c>
      <c r="K27" s="25">
        <v>1024</v>
      </c>
      <c r="L27" s="25">
        <v>19676</v>
      </c>
      <c r="M27" s="25">
        <v>28917</v>
      </c>
      <c r="N27" s="25">
        <v>9171</v>
      </c>
      <c r="O27" s="25">
        <v>2535</v>
      </c>
      <c r="P27" s="25">
        <v>33315</v>
      </c>
      <c r="Q27" s="25">
        <v>2500</v>
      </c>
      <c r="R27" s="25">
        <v>1131</v>
      </c>
    </row>
    <row r="28" spans="1:21" x14ac:dyDescent="0.25">
      <c r="A28" s="44">
        <v>44952</v>
      </c>
      <c r="B28" s="25">
        <v>30720</v>
      </c>
      <c r="C28" s="25">
        <v>47457</v>
      </c>
      <c r="D28" s="25">
        <v>306256</v>
      </c>
      <c r="E28" s="25">
        <v>288557</v>
      </c>
      <c r="F28" s="25">
        <v>27098</v>
      </c>
      <c r="G28" s="25">
        <v>125519</v>
      </c>
      <c r="H28" s="45">
        <v>1643</v>
      </c>
      <c r="I28" s="109">
        <v>80779</v>
      </c>
      <c r="J28" s="25">
        <v>24246</v>
      </c>
      <c r="K28" s="25">
        <v>1024</v>
      </c>
      <c r="L28" s="25">
        <v>19680</v>
      </c>
      <c r="M28" s="25">
        <v>28924</v>
      </c>
      <c r="N28" s="25">
        <v>9173</v>
      </c>
      <c r="O28" s="25">
        <v>2536</v>
      </c>
      <c r="P28" s="25">
        <v>33315</v>
      </c>
      <c r="Q28" s="25">
        <v>2500</v>
      </c>
      <c r="R28" s="25">
        <v>1135</v>
      </c>
    </row>
    <row r="29" spans="1:21" x14ac:dyDescent="0.25">
      <c r="A29" s="44">
        <v>44953</v>
      </c>
      <c r="B29" s="25">
        <v>30834</v>
      </c>
      <c r="C29" s="25">
        <v>47656</v>
      </c>
      <c r="D29" s="25">
        <v>306386</v>
      </c>
      <c r="E29" s="25">
        <v>288634</v>
      </c>
      <c r="F29" s="25">
        <v>27129</v>
      </c>
      <c r="G29" s="25">
        <v>125543</v>
      </c>
      <c r="H29" s="45">
        <v>1666</v>
      </c>
      <c r="I29" s="109">
        <v>80791</v>
      </c>
      <c r="J29" s="25">
        <v>24247</v>
      </c>
      <c r="K29" s="25">
        <v>1024</v>
      </c>
      <c r="L29" s="25">
        <v>19682</v>
      </c>
      <c r="M29" s="25">
        <v>28931</v>
      </c>
      <c r="N29" s="25">
        <v>9174</v>
      </c>
      <c r="O29" s="25">
        <v>2538</v>
      </c>
      <c r="P29" s="25">
        <v>33329</v>
      </c>
      <c r="Q29" s="25">
        <v>2504</v>
      </c>
      <c r="R29" s="25">
        <v>1139</v>
      </c>
    </row>
    <row r="30" spans="1:21" x14ac:dyDescent="0.25">
      <c r="A30" s="44">
        <v>44954</v>
      </c>
      <c r="B30" s="25">
        <v>30944</v>
      </c>
      <c r="C30" s="25">
        <v>47852</v>
      </c>
      <c r="D30" s="25">
        <v>306499</v>
      </c>
      <c r="E30" s="25">
        <v>288702</v>
      </c>
      <c r="F30" s="25">
        <v>27156</v>
      </c>
      <c r="G30" s="25">
        <v>125565</v>
      </c>
      <c r="H30" s="45">
        <v>1696</v>
      </c>
      <c r="I30" s="109">
        <v>80824</v>
      </c>
      <c r="J30" s="25">
        <v>24253</v>
      </c>
      <c r="K30" s="25">
        <v>1024</v>
      </c>
      <c r="L30" s="25">
        <v>19685</v>
      </c>
      <c r="M30" s="25">
        <v>28936</v>
      </c>
      <c r="N30" s="25">
        <v>9178</v>
      </c>
      <c r="O30" s="25">
        <v>2540</v>
      </c>
      <c r="P30" s="25">
        <v>33330</v>
      </c>
      <c r="Q30" s="25">
        <v>2505</v>
      </c>
      <c r="R30" s="25">
        <v>1143</v>
      </c>
    </row>
    <row r="31" spans="1:21" x14ac:dyDescent="0.25">
      <c r="A31" s="44">
        <v>44955</v>
      </c>
      <c r="B31" s="25">
        <v>31045</v>
      </c>
      <c r="C31" s="25">
        <v>48037</v>
      </c>
      <c r="D31" s="25">
        <v>306612</v>
      </c>
      <c r="E31" s="25">
        <v>288777</v>
      </c>
      <c r="F31" s="25">
        <v>27190</v>
      </c>
      <c r="G31" s="25">
        <v>125590</v>
      </c>
      <c r="H31" s="45">
        <v>1724</v>
      </c>
      <c r="I31" s="109">
        <v>80828</v>
      </c>
      <c r="J31" s="25">
        <v>24260</v>
      </c>
      <c r="K31" s="25">
        <v>1024</v>
      </c>
      <c r="L31" s="25">
        <v>19688</v>
      </c>
      <c r="M31" s="25">
        <v>28944</v>
      </c>
      <c r="N31" s="25">
        <v>9179</v>
      </c>
      <c r="O31" s="25">
        <v>2542</v>
      </c>
      <c r="P31" s="25">
        <v>33355</v>
      </c>
      <c r="Q31" s="25">
        <v>2512</v>
      </c>
      <c r="R31" s="25">
        <v>1146</v>
      </c>
    </row>
    <row r="32" spans="1:21" x14ac:dyDescent="0.25">
      <c r="A32" s="44">
        <v>44956</v>
      </c>
      <c r="B32" s="25">
        <v>31140</v>
      </c>
      <c r="C32" s="25">
        <v>48212</v>
      </c>
      <c r="D32" s="25">
        <v>306715</v>
      </c>
      <c r="E32" s="25">
        <v>288846</v>
      </c>
      <c r="F32" s="25">
        <v>27218</v>
      </c>
      <c r="G32" s="25">
        <v>125612</v>
      </c>
      <c r="H32" s="45">
        <v>1746</v>
      </c>
      <c r="I32" s="109">
        <v>80850</v>
      </c>
      <c r="J32" s="25">
        <v>24266</v>
      </c>
      <c r="K32" s="25">
        <v>1024</v>
      </c>
      <c r="L32" s="25">
        <v>19691</v>
      </c>
      <c r="M32" s="25">
        <v>28950</v>
      </c>
      <c r="N32" s="25">
        <v>9180</v>
      </c>
      <c r="O32" s="25">
        <v>2544</v>
      </c>
      <c r="P32" s="25">
        <v>33370</v>
      </c>
      <c r="Q32" s="25">
        <v>2516</v>
      </c>
      <c r="R32" s="25">
        <v>1150</v>
      </c>
    </row>
    <row r="33" spans="1:18" x14ac:dyDescent="0.25">
      <c r="A33" s="44">
        <v>44957</v>
      </c>
      <c r="B33" s="25">
        <v>31236</v>
      </c>
      <c r="C33" s="25">
        <v>48385</v>
      </c>
      <c r="D33" s="25">
        <v>306826</v>
      </c>
      <c r="E33" s="25">
        <v>288917</v>
      </c>
      <c r="F33" s="25">
        <v>27224</v>
      </c>
      <c r="G33" s="25">
        <v>125640</v>
      </c>
      <c r="H33" s="45">
        <v>1763</v>
      </c>
      <c r="I33" s="109">
        <v>80854</v>
      </c>
      <c r="J33" s="25">
        <v>24272</v>
      </c>
      <c r="K33" s="25">
        <v>0</v>
      </c>
      <c r="L33" s="25">
        <v>19694</v>
      </c>
      <c r="M33" s="25">
        <v>28957</v>
      </c>
      <c r="N33" s="25">
        <v>9183</v>
      </c>
      <c r="O33" s="25">
        <v>2548</v>
      </c>
      <c r="P33" s="25">
        <v>33370</v>
      </c>
      <c r="Q33" s="25">
        <v>2523</v>
      </c>
      <c r="R33" s="25">
        <v>1152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90" zoomScaleNormal="90" workbookViewId="0">
      <pane ySplit="3" topLeftCell="A7" activePane="bottomLeft" state="frozen"/>
      <selection activeCell="C25" sqref="C25"/>
      <selection pane="bottomLeft" activeCell="Y33" sqref="Y33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46" t="s">
        <v>30</v>
      </c>
      <c r="B2" s="147" t="s">
        <v>97</v>
      </c>
      <c r="C2" s="147" t="s">
        <v>98</v>
      </c>
      <c r="D2" s="147"/>
      <c r="E2" s="148" t="s">
        <v>86</v>
      </c>
      <c r="F2" s="149"/>
      <c r="G2" s="150" t="s">
        <v>101</v>
      </c>
      <c r="H2" s="149"/>
      <c r="I2" s="150" t="s">
        <v>99</v>
      </c>
      <c r="J2" s="149"/>
      <c r="K2" s="150" t="s">
        <v>100</v>
      </c>
      <c r="L2" s="149"/>
      <c r="M2" s="150" t="s">
        <v>96</v>
      </c>
      <c r="N2" s="149"/>
      <c r="O2" s="150" t="s">
        <v>95</v>
      </c>
      <c r="P2" s="149"/>
      <c r="Q2" s="150" t="s">
        <v>102</v>
      </c>
      <c r="R2" s="149"/>
      <c r="S2" s="150" t="s">
        <v>103</v>
      </c>
      <c r="T2" s="149"/>
      <c r="U2" s="150" t="s">
        <v>104</v>
      </c>
      <c r="V2" s="149"/>
      <c r="W2" s="150" t="s">
        <v>88</v>
      </c>
      <c r="X2" s="151"/>
      <c r="Y2" s="152" t="s">
        <v>41</v>
      </c>
      <c r="Z2" s="152"/>
    </row>
    <row r="3" spans="1:26" ht="30" x14ac:dyDescent="0.35">
      <c r="A3" s="146"/>
      <c r="B3" s="147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6</v>
      </c>
      <c r="J11" s="55">
        <f t="shared" si="5"/>
        <v>1.2396694214876033E-2</v>
      </c>
      <c r="K11" s="71">
        <f>('Water Reading'!I11-'Water Reading'!I10)-('Water Reading'!P11-'Water Reading'!P10)</f>
        <v>-1</v>
      </c>
      <c r="L11" s="55">
        <f t="shared" si="6"/>
        <v>-2.0661157024793389E-3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15</v>
      </c>
      <c r="J12" s="55">
        <f t="shared" si="5"/>
        <v>3.5046728971962614E-2</v>
      </c>
      <c r="K12" s="71">
        <f>('Water Reading'!I12-'Water Reading'!I11)-('Water Reading'!P12-'Water Reading'!P11)</f>
        <v>16</v>
      </c>
      <c r="L12" s="55">
        <f t="shared" si="6"/>
        <v>3.7383177570093455E-2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400</v>
      </c>
      <c r="C18" s="53">
        <f>('Water Reading'!B18-'Water Reading'!B17)+('Water Reading'!C18-'Water Reading'!C17)</f>
        <v>402</v>
      </c>
      <c r="D18" s="54">
        <f t="shared" si="2"/>
        <v>1.0049999999999999</v>
      </c>
      <c r="E18" s="68">
        <f>'Water Reading'!H18-'Water Reading'!H17</f>
        <v>31</v>
      </c>
      <c r="F18" s="69">
        <f t="shared" si="3"/>
        <v>7.7114427860696513E-2</v>
      </c>
      <c r="G18" s="73">
        <f>('Water Reading'!D18-'Water Reading'!D17)-('Water Reading'!R18-'Water Reading'!R17)-('Water Reading'!Q18-'Water Reading'!Q17)</f>
        <v>186</v>
      </c>
      <c r="H18" s="69">
        <f t="shared" si="4"/>
        <v>0.46268656716417911</v>
      </c>
      <c r="I18" s="70">
        <f>'Water Reading'!P18-'Water Reading'!P17</f>
        <v>6</v>
      </c>
      <c r="J18" s="55">
        <f t="shared" si="5"/>
        <v>1.4925373134328358E-2</v>
      </c>
      <c r="K18" s="71">
        <f>('Water Reading'!I18-'Water Reading'!I17)-('Water Reading'!P18-'Water Reading'!P17)</f>
        <v>6</v>
      </c>
      <c r="L18" s="55">
        <f t="shared" si="6"/>
        <v>1.4925373134328358E-2</v>
      </c>
      <c r="M18" s="70">
        <f>'Water Reading'!R18-'Water Reading'!R17</f>
        <v>7</v>
      </c>
      <c r="N18" s="72">
        <f t="shared" si="7"/>
        <v>1.7412935323383085E-2</v>
      </c>
      <c r="O18" s="70">
        <f>'Water Reading'!Q18-'Water Reading'!Q17</f>
        <v>6</v>
      </c>
      <c r="P18" s="77">
        <f t="shared" si="8"/>
        <v>1.4925373134328358E-2</v>
      </c>
      <c r="Q18" s="71">
        <f>'Water Reading'!F18-'Water Reading'!F17</f>
        <v>36</v>
      </c>
      <c r="R18" s="78">
        <f t="shared" si="9"/>
        <v>8.9552238805970144E-2</v>
      </c>
      <c r="S18" s="70">
        <f>'Water Reading'!E18-'Water Reading'!E17</f>
        <v>84</v>
      </c>
      <c r="T18" s="78">
        <f t="shared" si="10"/>
        <v>0.20895522388059701</v>
      </c>
      <c r="U18" s="70">
        <f>'Water Reading'!G18-'Water Reading'!G17</f>
        <v>31</v>
      </c>
      <c r="V18" s="78">
        <f t="shared" si="11"/>
        <v>7.7114427860696513E-2</v>
      </c>
      <c r="W18" s="71">
        <f>'Water Reading'!J18-'Water Reading'!J17</f>
        <v>7</v>
      </c>
      <c r="X18" s="78">
        <f t="shared" si="12"/>
        <v>1.7412935323383085E-2</v>
      </c>
      <c r="Y18" s="53">
        <f t="shared" si="0"/>
        <v>400</v>
      </c>
      <c r="Z18" s="54">
        <f t="shared" si="1"/>
        <v>1</v>
      </c>
    </row>
    <row r="19" spans="1:26" x14ac:dyDescent="0.25">
      <c r="A19" s="6">
        <f>'Water Reading'!A18</f>
        <v>44942</v>
      </c>
      <c r="B19" s="52">
        <f>TOTAL!I17</f>
        <v>453</v>
      </c>
      <c r="C19" s="53">
        <f>('Water Reading'!B19-'Water Reading'!B18)+('Water Reading'!C19-'Water Reading'!C18)</f>
        <v>458</v>
      </c>
      <c r="D19" s="54">
        <f t="shared" si="2"/>
        <v>1.011037527593819</v>
      </c>
      <c r="E19" s="68">
        <f>'Water Reading'!H19-'Water Reading'!H18</f>
        <v>38</v>
      </c>
      <c r="F19" s="69">
        <f t="shared" si="3"/>
        <v>8.296943231441048E-2</v>
      </c>
      <c r="G19" s="73">
        <f>('Water Reading'!D19-'Water Reading'!D18)-('Water Reading'!R19-'Water Reading'!R18)-('Water Reading'!Q19-'Water Reading'!Q18)</f>
        <v>218</v>
      </c>
      <c r="H19" s="69">
        <f t="shared" si="4"/>
        <v>0.4759825327510917</v>
      </c>
      <c r="I19" s="70">
        <f>'Water Reading'!P19-'Water Reading'!P18</f>
        <v>12</v>
      </c>
      <c r="J19" s="55">
        <f t="shared" si="5"/>
        <v>2.6200873362445413E-2</v>
      </c>
      <c r="K19" s="71">
        <f>('Water Reading'!I19-'Water Reading'!I18)-('Water Reading'!P19-'Water Reading'!P18)</f>
        <v>7</v>
      </c>
      <c r="L19" s="55">
        <f t="shared" si="6"/>
        <v>1.5283842794759825E-2</v>
      </c>
      <c r="M19" s="70">
        <f>'Water Reading'!R19-'Water Reading'!R18</f>
        <v>3</v>
      </c>
      <c r="N19" s="72">
        <f t="shared" si="7"/>
        <v>6.5502183406113534E-3</v>
      </c>
      <c r="O19" s="70">
        <f>'Water Reading'!Q19-'Water Reading'!Q18</f>
        <v>4</v>
      </c>
      <c r="P19" s="77">
        <f t="shared" si="8"/>
        <v>8.7336244541484712E-3</v>
      </c>
      <c r="Q19" s="71">
        <f>'Water Reading'!F19-'Water Reading'!F18</f>
        <v>30</v>
      </c>
      <c r="R19" s="78">
        <f t="shared" si="9"/>
        <v>6.5502183406113537E-2</v>
      </c>
      <c r="S19" s="70">
        <f>'Water Reading'!E19-'Water Reading'!E18</f>
        <v>88</v>
      </c>
      <c r="T19" s="78">
        <f t="shared" si="10"/>
        <v>0.19213973799126638</v>
      </c>
      <c r="U19" s="70">
        <f>'Water Reading'!G19-'Water Reading'!G18</f>
        <v>45</v>
      </c>
      <c r="V19" s="78">
        <f t="shared" si="11"/>
        <v>9.8253275109170299E-2</v>
      </c>
      <c r="W19" s="71">
        <f>'Water Reading'!J19-'Water Reading'!J18</f>
        <v>8</v>
      </c>
      <c r="X19" s="78">
        <f t="shared" si="12"/>
        <v>1.7467248908296942E-2</v>
      </c>
      <c r="Y19" s="53">
        <f t="shared" si="0"/>
        <v>453</v>
      </c>
      <c r="Z19" s="54">
        <f t="shared" si="1"/>
        <v>1</v>
      </c>
    </row>
    <row r="20" spans="1:26" x14ac:dyDescent="0.25">
      <c r="A20" s="6">
        <f>'Water Reading'!A19</f>
        <v>44943</v>
      </c>
      <c r="B20" s="52">
        <f>TOTAL!I18</f>
        <v>345</v>
      </c>
      <c r="C20" s="53">
        <f>('Water Reading'!B20-'Water Reading'!B19)+('Water Reading'!C20-'Water Reading'!C19)</f>
        <v>345</v>
      </c>
      <c r="D20" s="54">
        <f t="shared" si="2"/>
        <v>1</v>
      </c>
      <c r="E20" s="68">
        <f>'Water Reading'!H20-'Water Reading'!H19</f>
        <v>29</v>
      </c>
      <c r="F20" s="69">
        <f t="shared" si="3"/>
        <v>8.4057971014492749E-2</v>
      </c>
      <c r="G20" s="73">
        <f>('Water Reading'!D20-'Water Reading'!D19)-('Water Reading'!R20-'Water Reading'!R19)-('Water Reading'!Q20-'Water Reading'!Q19)</f>
        <v>141</v>
      </c>
      <c r="H20" s="69">
        <f t="shared" si="4"/>
        <v>0.40869565217391307</v>
      </c>
      <c r="I20" s="70">
        <f>'Water Reading'!P20-'Water Reading'!P19</f>
        <v>11</v>
      </c>
      <c r="J20" s="55">
        <f t="shared" si="5"/>
        <v>3.1884057971014491E-2</v>
      </c>
      <c r="K20" s="71">
        <f>('Water Reading'!I20-'Water Reading'!I19)-('Water Reading'!P20-'Water Reading'!P19)</f>
        <v>4</v>
      </c>
      <c r="L20" s="55">
        <f t="shared" si="6"/>
        <v>1.1594202898550725E-2</v>
      </c>
      <c r="M20" s="70">
        <f>'Water Reading'!R20-'Water Reading'!R19</f>
        <v>6</v>
      </c>
      <c r="N20" s="72">
        <f t="shared" si="7"/>
        <v>1.7391304347826087E-2</v>
      </c>
      <c r="O20" s="70">
        <f>'Water Reading'!Q20-'Water Reading'!Q19</f>
        <v>7</v>
      </c>
      <c r="P20" s="77">
        <f t="shared" si="8"/>
        <v>2.0289855072463767E-2</v>
      </c>
      <c r="Q20" s="71">
        <f>'Water Reading'!F20-'Water Reading'!F19</f>
        <v>38</v>
      </c>
      <c r="R20" s="78">
        <f t="shared" si="9"/>
        <v>0.11014492753623188</v>
      </c>
      <c r="S20" s="70">
        <f>'Water Reading'!E20-'Water Reading'!E19</f>
        <v>79</v>
      </c>
      <c r="T20" s="78">
        <f t="shared" si="10"/>
        <v>0.22898550724637681</v>
      </c>
      <c r="U20" s="70">
        <f>'Water Reading'!G20-'Water Reading'!G19</f>
        <v>25</v>
      </c>
      <c r="V20" s="78">
        <f t="shared" si="11"/>
        <v>7.2463768115942032E-2</v>
      </c>
      <c r="W20" s="94">
        <f>'Water Reading'!J20-'Water Reading'!J19</f>
        <v>5</v>
      </c>
      <c r="X20" s="78">
        <f t="shared" si="12"/>
        <v>1.4492753623188406E-2</v>
      </c>
      <c r="Y20" s="53">
        <f t="shared" si="0"/>
        <v>345</v>
      </c>
      <c r="Z20" s="54">
        <f t="shared" si="1"/>
        <v>1</v>
      </c>
    </row>
    <row r="21" spans="1:26" x14ac:dyDescent="0.25">
      <c r="A21" s="6">
        <f>'Water Reading'!A20</f>
        <v>44944</v>
      </c>
      <c r="B21" s="52">
        <f>TOTAL!I19</f>
        <v>366</v>
      </c>
      <c r="C21" s="53">
        <f>('Water Reading'!B21-'Water Reading'!B20)+('Water Reading'!C21-'Water Reading'!C20)</f>
        <v>365</v>
      </c>
      <c r="D21" s="54">
        <f t="shared" si="2"/>
        <v>0.99726775956284153</v>
      </c>
      <c r="E21" s="68">
        <f>'Water Reading'!H21-'Water Reading'!H20</f>
        <v>31</v>
      </c>
      <c r="F21" s="69">
        <f t="shared" si="3"/>
        <v>8.4931506849315067E-2</v>
      </c>
      <c r="G21" s="73">
        <f>('Water Reading'!D21-'Water Reading'!D20)-('Water Reading'!R21-'Water Reading'!R20)-('Water Reading'!Q21-'Water Reading'!Q20)</f>
        <v>170</v>
      </c>
      <c r="H21" s="69">
        <f t="shared" si="4"/>
        <v>0.46575342465753422</v>
      </c>
      <c r="I21" s="70">
        <f>'Water Reading'!P21-'Water Reading'!P20</f>
        <v>0</v>
      </c>
      <c r="J21" s="55">
        <f t="shared" si="5"/>
        <v>0</v>
      </c>
      <c r="K21" s="71">
        <f>('Water Reading'!I21-'Water Reading'!I20)-('Water Reading'!P21-'Water Reading'!P20)</f>
        <v>3</v>
      </c>
      <c r="L21" s="55">
        <f t="shared" si="6"/>
        <v>8.21917808219178E-3</v>
      </c>
      <c r="M21" s="70">
        <f>'Water Reading'!R21-'Water Reading'!R20</f>
        <v>3</v>
      </c>
      <c r="N21" s="72">
        <f t="shared" si="7"/>
        <v>8.21917808219178E-3</v>
      </c>
      <c r="O21" s="70">
        <f>'Water Reading'!Q21-'Water Reading'!Q20</f>
        <v>9</v>
      </c>
      <c r="P21" s="77">
        <f t="shared" si="8"/>
        <v>2.4657534246575342E-2</v>
      </c>
      <c r="Q21" s="71">
        <f>'Water Reading'!F21-'Water Reading'!F20</f>
        <v>35</v>
      </c>
      <c r="R21" s="78">
        <f t="shared" si="9"/>
        <v>9.5890410958904104E-2</v>
      </c>
      <c r="S21" s="70">
        <f>'Water Reading'!E21-'Water Reading'!E20</f>
        <v>85</v>
      </c>
      <c r="T21" s="78">
        <f t="shared" si="10"/>
        <v>0.23287671232876711</v>
      </c>
      <c r="U21" s="70">
        <f>'Water Reading'!G21-'Water Reading'!G20</f>
        <v>23</v>
      </c>
      <c r="V21" s="78">
        <f t="shared" si="11"/>
        <v>6.3013698630136991E-2</v>
      </c>
      <c r="W21" s="71">
        <f>'Water Reading'!J21-'Water Reading'!J20</f>
        <v>7</v>
      </c>
      <c r="X21" s="78">
        <f t="shared" si="12"/>
        <v>1.9178082191780823E-2</v>
      </c>
      <c r="Y21" s="53">
        <f t="shared" si="0"/>
        <v>366</v>
      </c>
      <c r="Z21" s="54">
        <f t="shared" si="1"/>
        <v>1</v>
      </c>
    </row>
    <row r="22" spans="1:26" x14ac:dyDescent="0.25">
      <c r="A22" s="6">
        <f>'Water Reading'!A21</f>
        <v>44945</v>
      </c>
      <c r="B22" s="52">
        <f>TOTAL!I20</f>
        <v>391</v>
      </c>
      <c r="C22" s="53">
        <f>('Water Reading'!B22-'Water Reading'!B21)+('Water Reading'!C22-'Water Reading'!C21)</f>
        <v>392</v>
      </c>
      <c r="D22" s="54">
        <f t="shared" si="2"/>
        <v>1.0025575447570332</v>
      </c>
      <c r="E22" s="68">
        <f>'Water Reading'!H22-'Water Reading'!H21</f>
        <v>36</v>
      </c>
      <c r="F22" s="69">
        <f t="shared" si="3"/>
        <v>9.1836734693877556E-2</v>
      </c>
      <c r="G22" s="73">
        <f>('Water Reading'!D22-'Water Reading'!D21)-('Water Reading'!R22-'Water Reading'!R21)-('Water Reading'!Q22-'Water Reading'!Q21)</f>
        <v>179</v>
      </c>
      <c r="H22" s="69">
        <f t="shared" si="4"/>
        <v>0.45663265306122447</v>
      </c>
      <c r="I22" s="99">
        <f>'Water Reading'!P22-'Water Reading'!P21</f>
        <v>6</v>
      </c>
      <c r="J22" s="55">
        <f t="shared" si="5"/>
        <v>1.5306122448979591E-2</v>
      </c>
      <c r="K22" s="71">
        <f>('Water Reading'!I22-'Water Reading'!I21)-('Water Reading'!P22-'Water Reading'!P21)</f>
        <v>27</v>
      </c>
      <c r="L22" s="55">
        <f t="shared" si="6"/>
        <v>6.8877551020408156E-2</v>
      </c>
      <c r="M22" s="70">
        <f>'Water Reading'!R22-'Water Reading'!R21</f>
        <v>4</v>
      </c>
      <c r="N22" s="72">
        <f t="shared" si="7"/>
        <v>1.020408163265306E-2</v>
      </c>
      <c r="O22" s="70">
        <f>'Water Reading'!Q22-'Water Reading'!Q21</f>
        <v>1</v>
      </c>
      <c r="P22" s="77">
        <f t="shared" si="8"/>
        <v>2.5510204081632651E-3</v>
      </c>
      <c r="Q22" s="71">
        <f>'Water Reading'!F22-'Water Reading'!F21</f>
        <v>30</v>
      </c>
      <c r="R22" s="78">
        <f t="shared" si="9"/>
        <v>7.6530612244897961E-2</v>
      </c>
      <c r="S22" s="70">
        <f>'Water Reading'!E22-'Water Reading'!E21</f>
        <v>80</v>
      </c>
      <c r="T22" s="78">
        <f t="shared" si="10"/>
        <v>0.20408163265306123</v>
      </c>
      <c r="U22" s="70">
        <f>'Water Reading'!G22-'Water Reading'!G21</f>
        <v>22</v>
      </c>
      <c r="V22" s="78">
        <f t="shared" si="11"/>
        <v>5.6122448979591837E-2</v>
      </c>
      <c r="W22" s="71">
        <f>'Water Reading'!J22-'Water Reading'!J21</f>
        <v>6</v>
      </c>
      <c r="X22" s="78">
        <f t="shared" si="12"/>
        <v>1.5306122448979591E-2</v>
      </c>
      <c r="Y22" s="53">
        <f t="shared" si="0"/>
        <v>391</v>
      </c>
      <c r="Z22" s="54">
        <f t="shared" si="1"/>
        <v>1</v>
      </c>
    </row>
    <row r="23" spans="1:26" x14ac:dyDescent="0.25">
      <c r="A23" s="6">
        <f>'Water Reading'!A22</f>
        <v>44946</v>
      </c>
      <c r="B23" s="52">
        <f>TOTAL!I21</f>
        <v>395</v>
      </c>
      <c r="C23" s="53">
        <f>('Water Reading'!B23-'Water Reading'!B22)+('Water Reading'!C23-'Water Reading'!C22)</f>
        <v>386</v>
      </c>
      <c r="D23" s="54">
        <f t="shared" si="2"/>
        <v>0.97721518987341771</v>
      </c>
      <c r="E23" s="68">
        <f>'Water Reading'!H23-'Water Reading'!H22</f>
        <v>52</v>
      </c>
      <c r="F23" s="69">
        <f t="shared" si="3"/>
        <v>0.13471502590673576</v>
      </c>
      <c r="G23" s="73">
        <f>('Water Reading'!D23-'Water Reading'!D22)-('Water Reading'!R23-'Water Reading'!R22)-('Water Reading'!Q23-'Water Reading'!Q22)</f>
        <v>163</v>
      </c>
      <c r="H23" s="69">
        <f t="shared" si="4"/>
        <v>0.42227979274611399</v>
      </c>
      <c r="I23" s="99">
        <f>'Water Reading'!P23-'Water Reading'!P22</f>
        <v>4</v>
      </c>
      <c r="J23" s="55">
        <f t="shared" si="5"/>
        <v>1.0362694300518135E-2</v>
      </c>
      <c r="K23" s="71">
        <f>('Water Reading'!I23-'Water Reading'!I22)-('Water Reading'!P23-'Water Reading'!P22)</f>
        <v>23</v>
      </c>
      <c r="L23" s="55">
        <f t="shared" si="6"/>
        <v>5.9585492227979271E-2</v>
      </c>
      <c r="M23" s="70">
        <f>'Water Reading'!R23-'Water Reading'!R22</f>
        <v>4</v>
      </c>
      <c r="N23" s="72">
        <f t="shared" si="7"/>
        <v>1.0362694300518135E-2</v>
      </c>
      <c r="O23" s="99">
        <f>'Water Reading'!Q23-'Water Reading'!Q22</f>
        <v>3</v>
      </c>
      <c r="P23" s="77">
        <f t="shared" si="8"/>
        <v>7.7720207253886009E-3</v>
      </c>
      <c r="Q23" s="71">
        <f>'Water Reading'!F23-'Water Reading'!F22</f>
        <v>36</v>
      </c>
      <c r="R23" s="78">
        <f t="shared" si="9"/>
        <v>9.3264248704663211E-2</v>
      </c>
      <c r="S23" s="70">
        <f>'Water Reading'!E23-'Water Reading'!E22</f>
        <v>82</v>
      </c>
      <c r="T23" s="78">
        <f t="shared" si="10"/>
        <v>0.21243523316062177</v>
      </c>
      <c r="U23" s="70">
        <f>'Water Reading'!G23-'Water Reading'!G22</f>
        <v>22</v>
      </c>
      <c r="V23" s="78">
        <f t="shared" si="11"/>
        <v>5.6994818652849742E-2</v>
      </c>
      <c r="W23" s="71">
        <f>'Water Reading'!J23-'Water Reading'!J22</f>
        <v>6</v>
      </c>
      <c r="X23" s="78">
        <f t="shared" si="12"/>
        <v>1.5544041450777202E-2</v>
      </c>
      <c r="Y23" s="53">
        <f t="shared" si="0"/>
        <v>395</v>
      </c>
      <c r="Z23" s="54">
        <f t="shared" si="1"/>
        <v>1</v>
      </c>
    </row>
    <row r="24" spans="1:26" x14ac:dyDescent="0.25">
      <c r="A24" s="6">
        <f>'Water Reading'!A23</f>
        <v>44947</v>
      </c>
      <c r="B24" s="52">
        <f>TOTAL!I22</f>
        <v>380</v>
      </c>
      <c r="C24" s="53">
        <f>('Water Reading'!B24-'Water Reading'!B23)+('Water Reading'!C24-'Water Reading'!C23)</f>
        <v>383</v>
      </c>
      <c r="D24" s="54">
        <f t="shared" si="2"/>
        <v>1.0078947368421052</v>
      </c>
      <c r="E24" s="68">
        <f>'Water Reading'!H24-'Water Reading'!H23</f>
        <v>29</v>
      </c>
      <c r="F24" s="69">
        <f t="shared" si="3"/>
        <v>7.5718015665796348E-2</v>
      </c>
      <c r="G24" s="73">
        <f>('Water Reading'!D24-'Water Reading'!D23)-('Water Reading'!R24-'Water Reading'!R23)-('Water Reading'!Q24-'Water Reading'!Q23)</f>
        <v>191</v>
      </c>
      <c r="H24" s="69">
        <f t="shared" si="4"/>
        <v>0.49869451697127937</v>
      </c>
      <c r="I24" s="70">
        <f>'Water Reading'!P24-'Water Reading'!P23</f>
        <v>43</v>
      </c>
      <c r="J24" s="55">
        <f t="shared" si="5"/>
        <v>0.1122715404699739</v>
      </c>
      <c r="K24" s="71">
        <f>('Water Reading'!I24-'Water Reading'!I23)-('Water Reading'!P24-'Water Reading'!P23)</f>
        <v>-32</v>
      </c>
      <c r="L24" s="55">
        <f t="shared" si="6"/>
        <v>-8.3550913838120106E-2</v>
      </c>
      <c r="M24" s="70">
        <f>'Water Reading'!R24-'Water Reading'!R23</f>
        <v>1</v>
      </c>
      <c r="N24" s="72">
        <f t="shared" si="7"/>
        <v>2.6109660574412533E-3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34</v>
      </c>
      <c r="R24" s="78">
        <f t="shared" si="9"/>
        <v>8.877284595300261E-2</v>
      </c>
      <c r="S24" s="70">
        <f>'Water Reading'!E24-'Water Reading'!E23</f>
        <v>83</v>
      </c>
      <c r="T24" s="78">
        <f t="shared" si="10"/>
        <v>0.21671018276762402</v>
      </c>
      <c r="U24" s="70">
        <f>'Water Reading'!G24-'Water Reading'!G23</f>
        <v>25</v>
      </c>
      <c r="V24" s="78">
        <f t="shared" si="11"/>
        <v>6.5274151436031339E-2</v>
      </c>
      <c r="W24" s="71">
        <f>'Water Reading'!J24-'Water Reading'!J23</f>
        <v>6</v>
      </c>
      <c r="X24" s="78">
        <f t="shared" si="12"/>
        <v>1.5665796344647518E-2</v>
      </c>
      <c r="Y24" s="53">
        <f t="shared" si="0"/>
        <v>380</v>
      </c>
      <c r="Z24" s="54">
        <f t="shared" si="1"/>
        <v>1</v>
      </c>
    </row>
    <row r="25" spans="1:26" x14ac:dyDescent="0.25">
      <c r="A25" s="6">
        <f>'Water Reading'!A24</f>
        <v>44948</v>
      </c>
      <c r="B25" s="52">
        <f>TOTAL!I23</f>
        <v>368</v>
      </c>
      <c r="C25" s="53">
        <f>('Water Reading'!B25-'Water Reading'!B24)+('Water Reading'!C25-'Water Reading'!C24)</f>
        <v>365</v>
      </c>
      <c r="D25" s="54">
        <f t="shared" si="2"/>
        <v>0.99184782608695654</v>
      </c>
      <c r="E25" s="68">
        <f>'Water Reading'!H25-'Water Reading'!H24</f>
        <v>31</v>
      </c>
      <c r="F25" s="69">
        <f t="shared" si="3"/>
        <v>8.4931506849315067E-2</v>
      </c>
      <c r="G25" s="73">
        <f>('Water Reading'!D25-'Water Reading'!D24)-('Water Reading'!R25-'Water Reading'!R24)-('Water Reading'!Q25-'Water Reading'!Q24)</f>
        <v>151</v>
      </c>
      <c r="H25" s="69">
        <f t="shared" si="4"/>
        <v>0.41369863013698632</v>
      </c>
      <c r="I25" s="70">
        <f>'Water Reading'!P25-'Water Reading'!P24</f>
        <v>16</v>
      </c>
      <c r="J25" s="55">
        <f t="shared" si="5"/>
        <v>4.3835616438356165E-2</v>
      </c>
      <c r="K25" s="71">
        <f>('Water Reading'!I25-'Water Reading'!I24)-('Water Reading'!P25-'Water Reading'!P24)</f>
        <v>4</v>
      </c>
      <c r="L25" s="55">
        <f t="shared" si="6"/>
        <v>1.0958904109589041E-2</v>
      </c>
      <c r="M25" s="70">
        <f>'Water Reading'!R25-'Water Reading'!R24</f>
        <v>4</v>
      </c>
      <c r="N25" s="72">
        <f t="shared" si="7"/>
        <v>1.0958904109589041E-2</v>
      </c>
      <c r="O25" s="70">
        <f>'Water Reading'!Q25-'Water Reading'!Q24</f>
        <v>13</v>
      </c>
      <c r="P25" s="77">
        <f t="shared" si="8"/>
        <v>3.5616438356164383E-2</v>
      </c>
      <c r="Q25" s="71">
        <f>'Water Reading'!F25-'Water Reading'!F24</f>
        <v>35</v>
      </c>
      <c r="R25" s="78">
        <f t="shared" si="9"/>
        <v>9.5890410958904104E-2</v>
      </c>
      <c r="S25" s="70">
        <f>'Water Reading'!E25-'Water Reading'!E24</f>
        <v>85</v>
      </c>
      <c r="T25" s="78">
        <f t="shared" si="10"/>
        <v>0.23287671232876711</v>
      </c>
      <c r="U25" s="70">
        <f>'Water Reading'!G25-'Water Reading'!G24</f>
        <v>23</v>
      </c>
      <c r="V25" s="78">
        <f t="shared" si="11"/>
        <v>6.3013698630136991E-2</v>
      </c>
      <c r="W25" s="94">
        <f>'Water Reading'!J25-'Water Reading'!J24</f>
        <v>6</v>
      </c>
      <c r="X25" s="78">
        <f t="shared" si="12"/>
        <v>1.643835616438356E-2</v>
      </c>
      <c r="Y25" s="53">
        <f t="shared" si="0"/>
        <v>368</v>
      </c>
      <c r="Z25" s="54">
        <f t="shared" si="1"/>
        <v>1</v>
      </c>
    </row>
    <row r="26" spans="1:26" x14ac:dyDescent="0.25">
      <c r="A26" s="6">
        <f>'Water Reading'!A25</f>
        <v>44949</v>
      </c>
      <c r="B26" s="52">
        <f>TOTAL!I24</f>
        <v>327</v>
      </c>
      <c r="C26" s="53">
        <f>('Water Reading'!B26-'Water Reading'!B25)+('Water Reading'!C26-'Water Reading'!C25)</f>
        <v>328</v>
      </c>
      <c r="D26" s="54">
        <f t="shared" si="2"/>
        <v>1.0030581039755351</v>
      </c>
      <c r="E26" s="68">
        <f>'Water Reading'!H26-'Water Reading'!H25</f>
        <v>34</v>
      </c>
      <c r="F26" s="69">
        <f t="shared" si="3"/>
        <v>0.10365853658536585</v>
      </c>
      <c r="G26" s="73">
        <f>('Water Reading'!D26-'Water Reading'!D25)-('Water Reading'!R26-'Water Reading'!R25)-('Water Reading'!Q26-'Water Reading'!Q25)</f>
        <v>135</v>
      </c>
      <c r="H26" s="69">
        <f t="shared" si="4"/>
        <v>0.41158536585365851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5</v>
      </c>
      <c r="L26" s="55">
        <f t="shared" si="6"/>
        <v>1.524390243902439E-2</v>
      </c>
      <c r="M26" s="70">
        <f>'Water Reading'!R26-'Water Reading'!R25</f>
        <v>5</v>
      </c>
      <c r="N26" s="72">
        <f t="shared" si="7"/>
        <v>1.524390243902439E-2</v>
      </c>
      <c r="O26" s="70">
        <f>'Water Reading'!Q26-'Water Reading'!Q25</f>
        <v>8</v>
      </c>
      <c r="P26" s="77">
        <f t="shared" si="8"/>
        <v>2.4390243902439025E-2</v>
      </c>
      <c r="Q26" s="71">
        <f>'Water Reading'!F26-'Water Reading'!F25</f>
        <v>31</v>
      </c>
      <c r="R26" s="78">
        <f t="shared" si="9"/>
        <v>9.451219512195122E-2</v>
      </c>
      <c r="S26" s="70">
        <f>'Water Reading'!E26-'Water Reading'!E25</f>
        <v>78</v>
      </c>
      <c r="T26" s="78">
        <f t="shared" si="10"/>
        <v>0.23780487804878048</v>
      </c>
      <c r="U26" s="70">
        <f>'Water Reading'!G26-'Water Reading'!G25</f>
        <v>24</v>
      </c>
      <c r="V26" s="78">
        <f t="shared" si="11"/>
        <v>7.3170731707317069E-2</v>
      </c>
      <c r="W26" s="71">
        <f>'Water Reading'!J26-'Water Reading'!J25</f>
        <v>7</v>
      </c>
      <c r="X26" s="78">
        <f t="shared" si="12"/>
        <v>2.1341463414634148E-2</v>
      </c>
      <c r="Y26" s="53">
        <f t="shared" si="0"/>
        <v>327</v>
      </c>
      <c r="Z26" s="54">
        <f t="shared" si="1"/>
        <v>1</v>
      </c>
    </row>
    <row r="27" spans="1:26" x14ac:dyDescent="0.25">
      <c r="A27" s="6">
        <f>'Water Reading'!A26</f>
        <v>44950</v>
      </c>
      <c r="B27" s="52">
        <f>TOTAL!I25</f>
        <v>349</v>
      </c>
      <c r="C27" s="53">
        <f>('Water Reading'!B27-'Water Reading'!B26)+('Water Reading'!C27-'Water Reading'!C26)</f>
        <v>339</v>
      </c>
      <c r="D27" s="54">
        <f t="shared" si="2"/>
        <v>0.97134670487106012</v>
      </c>
      <c r="E27" s="68">
        <f>'Water Reading'!H27-'Water Reading'!H26</f>
        <v>23</v>
      </c>
      <c r="F27" s="69">
        <f t="shared" si="3"/>
        <v>6.7846607669616518E-2</v>
      </c>
      <c r="G27" s="73">
        <f>('Water Reading'!D27-'Water Reading'!D26)-('Water Reading'!R27-'Water Reading'!R26)-('Water Reading'!Q27-'Water Reading'!Q26)</f>
        <v>138</v>
      </c>
      <c r="H27" s="69">
        <f t="shared" si="4"/>
        <v>0.40707964601769914</v>
      </c>
      <c r="I27" s="70">
        <f>'Water Reading'!P27-'Water Reading'!P26</f>
        <v>17</v>
      </c>
      <c r="J27" s="55">
        <f t="shared" si="5"/>
        <v>5.0147492625368731E-2</v>
      </c>
      <c r="K27" s="71">
        <f>('Water Reading'!I27-'Water Reading'!I26)-('Water Reading'!P27-'Water Reading'!P26)</f>
        <v>9</v>
      </c>
      <c r="L27" s="55">
        <f t="shared" si="6"/>
        <v>2.6548672566371681E-2</v>
      </c>
      <c r="M27" s="70">
        <f>'Water Reading'!R27-'Water Reading'!R26</f>
        <v>4</v>
      </c>
      <c r="N27" s="72">
        <f t="shared" si="7"/>
        <v>1.1799410029498525E-2</v>
      </c>
      <c r="O27" s="70">
        <f>'Water Reading'!Q27-'Water Reading'!Q26</f>
        <v>9</v>
      </c>
      <c r="P27" s="77">
        <f t="shared" si="8"/>
        <v>2.6548672566371681E-2</v>
      </c>
      <c r="Q27" s="71">
        <f>'Water Reading'!F27-'Water Reading'!F26</f>
        <v>34</v>
      </c>
      <c r="R27" s="78">
        <f t="shared" si="9"/>
        <v>0.10029498525073746</v>
      </c>
      <c r="S27" s="70">
        <f>'Water Reading'!E27-'Water Reading'!E26</f>
        <v>83</v>
      </c>
      <c r="T27" s="78">
        <f t="shared" si="10"/>
        <v>0.24483775811209441</v>
      </c>
      <c r="U27" s="70">
        <f>'Water Reading'!G27-'Water Reading'!G26</f>
        <v>26</v>
      </c>
      <c r="V27" s="78">
        <f t="shared" si="11"/>
        <v>7.6696165191740412E-2</v>
      </c>
      <c r="W27" s="71">
        <f>'Water Reading'!J27-'Water Reading'!J26</f>
        <v>6</v>
      </c>
      <c r="X27" s="78">
        <f t="shared" si="12"/>
        <v>1.7699115044247787E-2</v>
      </c>
      <c r="Y27" s="53">
        <f t="shared" si="0"/>
        <v>349</v>
      </c>
      <c r="Z27" s="54">
        <f t="shared" si="1"/>
        <v>1</v>
      </c>
    </row>
    <row r="28" spans="1:26" x14ac:dyDescent="0.25">
      <c r="A28" s="6">
        <f>'Water Reading'!A27</f>
        <v>44951</v>
      </c>
      <c r="B28" s="52">
        <f>TOTAL!I26</f>
        <v>251</v>
      </c>
      <c r="C28" s="53">
        <f>('Water Reading'!B28-'Water Reading'!B27)+('Water Reading'!C28-'Water Reading'!C27)</f>
        <v>244</v>
      </c>
      <c r="D28" s="54">
        <f t="shared" si="2"/>
        <v>0.97211155378486058</v>
      </c>
      <c r="E28" s="68">
        <f>'Water Reading'!H28-'Water Reading'!H27</f>
        <v>17</v>
      </c>
      <c r="F28" s="69">
        <f t="shared" si="3"/>
        <v>6.9672131147540978E-2</v>
      </c>
      <c r="G28" s="73">
        <f>('Water Reading'!D28-'Water Reading'!D27)-('Water Reading'!R28-'Water Reading'!R27)-('Water Reading'!Q28-'Water Reading'!Q27)</f>
        <v>84</v>
      </c>
      <c r="H28" s="69">
        <f t="shared" si="4"/>
        <v>0.34426229508196721</v>
      </c>
      <c r="I28" s="70">
        <f>'Water Reading'!P28-'Water Reading'!P27</f>
        <v>0</v>
      </c>
      <c r="J28" s="55">
        <f t="shared" si="5"/>
        <v>0</v>
      </c>
      <c r="K28" s="94">
        <f>('Water Reading'!I28-'Water Reading'!I27)-('Water Reading'!P28-'Water Reading'!P27)</f>
        <v>11</v>
      </c>
      <c r="L28" s="100">
        <f t="shared" si="6"/>
        <v>4.5081967213114756E-2</v>
      </c>
      <c r="M28" s="70">
        <f>'Water Reading'!R28-'Water Reading'!R27</f>
        <v>4</v>
      </c>
      <c r="N28" s="72">
        <f t="shared" si="7"/>
        <v>1.6393442622950821E-2</v>
      </c>
      <c r="O28" s="70">
        <f>'Water Reading'!Q28-'Water Reading'!Q27</f>
        <v>0</v>
      </c>
      <c r="P28" s="77">
        <f t="shared" si="8"/>
        <v>0</v>
      </c>
      <c r="Q28" s="94">
        <f>'Water Reading'!F28-'Water Reading'!F27</f>
        <v>31</v>
      </c>
      <c r="R28" s="78">
        <f t="shared" si="9"/>
        <v>0.12704918032786885</v>
      </c>
      <c r="S28" s="70">
        <f>'Water Reading'!E28-'Water Reading'!E27</f>
        <v>70</v>
      </c>
      <c r="T28" s="78">
        <f t="shared" si="10"/>
        <v>0.28688524590163933</v>
      </c>
      <c r="U28" s="70">
        <f>'Water Reading'!G28-'Water Reading'!G27</f>
        <v>22</v>
      </c>
      <c r="V28" s="78">
        <f t="shared" si="11"/>
        <v>9.0163934426229511E-2</v>
      </c>
      <c r="W28" s="71">
        <f>'Water Reading'!J28-'Water Reading'!J27</f>
        <v>12</v>
      </c>
      <c r="X28" s="78">
        <f t="shared" si="12"/>
        <v>4.9180327868852458E-2</v>
      </c>
      <c r="Y28" s="53">
        <f t="shared" si="0"/>
        <v>251</v>
      </c>
      <c r="Z28" s="54">
        <f t="shared" si="1"/>
        <v>1</v>
      </c>
    </row>
    <row r="29" spans="1:26" x14ac:dyDescent="0.25">
      <c r="A29" s="6">
        <f>'Water Reading'!A28</f>
        <v>44952</v>
      </c>
      <c r="B29" s="52">
        <f>TOTAL!I27</f>
        <v>298</v>
      </c>
      <c r="C29" s="53">
        <f>('Water Reading'!B29-'Water Reading'!B28)+('Water Reading'!C29-'Water Reading'!C28)</f>
        <v>313</v>
      </c>
      <c r="D29" s="54">
        <f t="shared" si="2"/>
        <v>1.0503355704697988</v>
      </c>
      <c r="E29" s="68">
        <f>'Water Reading'!H29-'Water Reading'!H28</f>
        <v>23</v>
      </c>
      <c r="F29" s="69">
        <f t="shared" si="3"/>
        <v>7.3482428115015971E-2</v>
      </c>
      <c r="G29" s="73">
        <f>('Water Reading'!D29-'Water Reading'!D28)-('Water Reading'!R29-'Water Reading'!R28)-('Water Reading'!Q29-'Water Reading'!Q28)</f>
        <v>122</v>
      </c>
      <c r="H29" s="69">
        <f t="shared" si="4"/>
        <v>0.38977635782747605</v>
      </c>
      <c r="I29" s="70">
        <f>'Water Reading'!P29-'Water Reading'!P28</f>
        <v>14</v>
      </c>
      <c r="J29" s="55">
        <f t="shared" si="5"/>
        <v>4.472843450479233E-2</v>
      </c>
      <c r="K29" s="71">
        <f>('Water Reading'!I29-'Water Reading'!I28)-('Water Reading'!P29-'Water Reading'!P28)</f>
        <v>-2</v>
      </c>
      <c r="L29" s="55">
        <f t="shared" si="6"/>
        <v>-6.3897763578274758E-3</v>
      </c>
      <c r="M29" s="70">
        <f>'Water Reading'!R29-'Water Reading'!R28</f>
        <v>4</v>
      </c>
      <c r="N29" s="72">
        <f t="shared" si="7"/>
        <v>1.2779552715654952E-2</v>
      </c>
      <c r="O29" s="70">
        <f>'Water Reading'!Q29-'Water Reading'!Q28</f>
        <v>4</v>
      </c>
      <c r="P29" s="77">
        <f t="shared" si="8"/>
        <v>1.2779552715654952E-2</v>
      </c>
      <c r="Q29" s="71">
        <f>'Water Reading'!F29-'Water Reading'!F28</f>
        <v>31</v>
      </c>
      <c r="R29" s="78">
        <f t="shared" si="9"/>
        <v>9.9041533546325874E-2</v>
      </c>
      <c r="S29" s="70">
        <f>'Water Reading'!E29-'Water Reading'!E28</f>
        <v>77</v>
      </c>
      <c r="T29" s="78">
        <f t="shared" si="10"/>
        <v>0.24600638977635783</v>
      </c>
      <c r="U29" s="70">
        <f>'Water Reading'!G29-'Water Reading'!G28</f>
        <v>24</v>
      </c>
      <c r="V29" s="78">
        <f t="shared" si="11"/>
        <v>7.6677316293929709E-2</v>
      </c>
      <c r="W29" s="71">
        <f>'Water Reading'!J29-'Water Reading'!J28</f>
        <v>1</v>
      </c>
      <c r="X29" s="78">
        <f t="shared" si="12"/>
        <v>3.1948881789137379E-3</v>
      </c>
      <c r="Y29" s="53">
        <f t="shared" si="0"/>
        <v>298</v>
      </c>
      <c r="Z29" s="54">
        <f t="shared" si="1"/>
        <v>1</v>
      </c>
    </row>
    <row r="30" spans="1:26" x14ac:dyDescent="0.25">
      <c r="A30" s="6">
        <f>'Water Reading'!A29</f>
        <v>44953</v>
      </c>
      <c r="B30" s="52">
        <f>TOTAL!I28</f>
        <v>299</v>
      </c>
      <c r="C30" s="53">
        <f>('Water Reading'!B30-'Water Reading'!B29)+('Water Reading'!C30-'Water Reading'!C29)</f>
        <v>306</v>
      </c>
      <c r="D30" s="54">
        <f t="shared" si="2"/>
        <v>1.0234113712374582</v>
      </c>
      <c r="E30" s="68">
        <f>'Water Reading'!H30-'Water Reading'!H29</f>
        <v>30</v>
      </c>
      <c r="F30" s="69">
        <f t="shared" si="3"/>
        <v>9.8039215686274508E-2</v>
      </c>
      <c r="G30" s="73">
        <f>('Water Reading'!D30-'Water Reading'!D29)-('Water Reading'!R30-'Water Reading'!R29)-('Water Reading'!Q30-'Water Reading'!Q29)</f>
        <v>108</v>
      </c>
      <c r="H30" s="69">
        <f t="shared" si="4"/>
        <v>0.35294117647058826</v>
      </c>
      <c r="I30" s="70">
        <f>'Water Reading'!P30-'Water Reading'!P29</f>
        <v>1</v>
      </c>
      <c r="J30" s="55">
        <f t="shared" si="5"/>
        <v>3.2679738562091504E-3</v>
      </c>
      <c r="K30" s="71">
        <f>('Water Reading'!I30-'Water Reading'!I29)-('Water Reading'!P30-'Water Reading'!P29)</f>
        <v>32</v>
      </c>
      <c r="L30" s="55">
        <f t="shared" si="6"/>
        <v>0.10457516339869281</v>
      </c>
      <c r="M30" s="70">
        <f>'Water Reading'!R30-'Water Reading'!R29</f>
        <v>4</v>
      </c>
      <c r="N30" s="72">
        <f t="shared" si="7"/>
        <v>1.3071895424836602E-2</v>
      </c>
      <c r="O30" s="70">
        <f>'Water Reading'!Q30-'Water Reading'!Q29</f>
        <v>1</v>
      </c>
      <c r="P30" s="77">
        <f t="shared" si="8"/>
        <v>3.2679738562091504E-3</v>
      </c>
      <c r="Q30" s="71">
        <f>'Water Reading'!F30-'Water Reading'!F29</f>
        <v>27</v>
      </c>
      <c r="R30" s="78">
        <f t="shared" si="9"/>
        <v>8.8235294117647065E-2</v>
      </c>
      <c r="S30" s="70">
        <f>'Water Reading'!E30-'Water Reading'!E29</f>
        <v>68</v>
      </c>
      <c r="T30" s="78">
        <f t="shared" si="10"/>
        <v>0.22222222222222221</v>
      </c>
      <c r="U30" s="70">
        <f>'Water Reading'!G30-'Water Reading'!G29</f>
        <v>22</v>
      </c>
      <c r="V30" s="78">
        <f t="shared" si="11"/>
        <v>7.1895424836601302E-2</v>
      </c>
      <c r="W30" s="71">
        <f>'Water Reading'!J30-'Water Reading'!J29</f>
        <v>6</v>
      </c>
      <c r="X30" s="78">
        <f t="shared" si="12"/>
        <v>1.9607843137254902E-2</v>
      </c>
      <c r="Y30" s="53">
        <f t="shared" si="0"/>
        <v>299</v>
      </c>
      <c r="Z30" s="54">
        <f t="shared" si="1"/>
        <v>1</v>
      </c>
    </row>
    <row r="31" spans="1:26" x14ac:dyDescent="0.25">
      <c r="A31" s="6">
        <f>'Water Reading'!A30</f>
        <v>44954</v>
      </c>
      <c r="B31" s="52">
        <f>TOTAL!I29</f>
        <v>286</v>
      </c>
      <c r="C31" s="53">
        <f>('Water Reading'!B31-'Water Reading'!B30)+('Water Reading'!C31-'Water Reading'!C30)</f>
        <v>286</v>
      </c>
      <c r="D31" s="54">
        <f t="shared" si="2"/>
        <v>1</v>
      </c>
      <c r="E31" s="68">
        <f>'Water Reading'!H31-'Water Reading'!H30</f>
        <v>28</v>
      </c>
      <c r="F31" s="69">
        <f t="shared" si="3"/>
        <v>9.7902097902097904E-2</v>
      </c>
      <c r="G31" s="73">
        <f>('Water Reading'!D31-'Water Reading'!D30)-('Water Reading'!R31-'Water Reading'!R30)-('Water Reading'!Q31-'Water Reading'!Q30)</f>
        <v>103</v>
      </c>
      <c r="H31" s="69">
        <f t="shared" si="4"/>
        <v>0.36013986013986016</v>
      </c>
      <c r="I31" s="70">
        <f>'Water Reading'!P31-'Water Reading'!P30</f>
        <v>25</v>
      </c>
      <c r="J31" s="55">
        <f t="shared" si="5"/>
        <v>8.7412587412587409E-2</v>
      </c>
      <c r="K31" s="71">
        <f>('Water Reading'!I31-'Water Reading'!I30)-('Water Reading'!P31-'Water Reading'!P30)</f>
        <v>-21</v>
      </c>
      <c r="L31" s="55">
        <f t="shared" si="6"/>
        <v>-7.3426573426573424E-2</v>
      </c>
      <c r="M31" s="70">
        <f>'Water Reading'!R31-'Water Reading'!R30</f>
        <v>3</v>
      </c>
      <c r="N31" s="72">
        <f t="shared" si="7"/>
        <v>1.048951048951049E-2</v>
      </c>
      <c r="O31" s="70">
        <f>'Water Reading'!Q31-'Water Reading'!Q30</f>
        <v>7</v>
      </c>
      <c r="P31" s="77">
        <f t="shared" si="8"/>
        <v>2.4475524475524476E-2</v>
      </c>
      <c r="Q31" s="71">
        <f>'Water Reading'!F31-'Water Reading'!F30</f>
        <v>34</v>
      </c>
      <c r="R31" s="78">
        <f t="shared" si="9"/>
        <v>0.11888111888111888</v>
      </c>
      <c r="S31" s="70">
        <f>'Water Reading'!E31-'Water Reading'!E30</f>
        <v>75</v>
      </c>
      <c r="T31" s="78">
        <f t="shared" si="10"/>
        <v>0.26223776223776224</v>
      </c>
      <c r="U31" s="70">
        <f>'Water Reading'!G31-'Water Reading'!G30</f>
        <v>25</v>
      </c>
      <c r="V31" s="78">
        <f t="shared" si="11"/>
        <v>8.7412587412587409E-2</v>
      </c>
      <c r="W31" s="71">
        <f>'Water Reading'!J31-'Water Reading'!J30</f>
        <v>7</v>
      </c>
      <c r="X31" s="78">
        <f t="shared" si="12"/>
        <v>2.4475524475524476E-2</v>
      </c>
      <c r="Y31" s="53">
        <f t="shared" si="0"/>
        <v>286</v>
      </c>
      <c r="Z31" s="54">
        <f t="shared" si="1"/>
        <v>1</v>
      </c>
    </row>
    <row r="32" spans="1:26" x14ac:dyDescent="0.25">
      <c r="A32" s="6">
        <f>'Water Reading'!A31</f>
        <v>44955</v>
      </c>
      <c r="B32" s="52">
        <f>TOTAL!I30</f>
        <v>272</v>
      </c>
      <c r="C32" s="53">
        <f>('Water Reading'!B32-'Water Reading'!B31)+('Water Reading'!C32-'Water Reading'!C31)</f>
        <v>270</v>
      </c>
      <c r="D32" s="54">
        <f t="shared" si="2"/>
        <v>0.99264705882352944</v>
      </c>
      <c r="E32" s="68">
        <f>'Water Reading'!H32-'Water Reading'!H31</f>
        <v>22</v>
      </c>
      <c r="F32" s="69">
        <f t="shared" si="3"/>
        <v>8.1481481481481488E-2</v>
      </c>
      <c r="G32" s="73">
        <f>('Water Reading'!D32-'Water Reading'!D31)-('Water Reading'!R32-'Water Reading'!R31)-('Water Reading'!Q32-'Water Reading'!Q31)</f>
        <v>95</v>
      </c>
      <c r="H32" s="69">
        <f t="shared" si="4"/>
        <v>0.35185185185185186</v>
      </c>
      <c r="I32" s="70">
        <f>'Water Reading'!P32-'Water Reading'!P31</f>
        <v>15</v>
      </c>
      <c r="J32" s="55">
        <f t="shared" si="5"/>
        <v>5.5555555555555552E-2</v>
      </c>
      <c r="K32" s="71">
        <f>('Water Reading'!I32-'Water Reading'!I31)-('Water Reading'!P32-'Water Reading'!P31)</f>
        <v>7</v>
      </c>
      <c r="L32" s="55">
        <f t="shared" si="6"/>
        <v>2.5925925925925925E-2</v>
      </c>
      <c r="M32" s="70">
        <f>'Water Reading'!R32-'Water Reading'!R31</f>
        <v>4</v>
      </c>
      <c r="N32" s="72">
        <f t="shared" si="7"/>
        <v>1.4814814814814815E-2</v>
      </c>
      <c r="O32" s="70">
        <f>'Water Reading'!Q32-'Water Reading'!Q31</f>
        <v>4</v>
      </c>
      <c r="P32" s="77">
        <f t="shared" si="8"/>
        <v>1.4814814814814815E-2</v>
      </c>
      <c r="Q32" s="71">
        <f>'Water Reading'!F32-'Water Reading'!F31</f>
        <v>28</v>
      </c>
      <c r="R32" s="78">
        <f t="shared" si="9"/>
        <v>0.1037037037037037</v>
      </c>
      <c r="S32" s="70">
        <f>'Water Reading'!E32-'Water Reading'!E31</f>
        <v>69</v>
      </c>
      <c r="T32" s="78">
        <f t="shared" si="10"/>
        <v>0.25555555555555554</v>
      </c>
      <c r="U32" s="70">
        <f>'Water Reading'!G32-'Water Reading'!G31</f>
        <v>22</v>
      </c>
      <c r="V32" s="78">
        <f t="shared" si="11"/>
        <v>8.1481481481481488E-2</v>
      </c>
      <c r="W32" s="71">
        <f>'Water Reading'!J32-'Water Reading'!J31</f>
        <v>6</v>
      </c>
      <c r="X32" s="78">
        <f t="shared" si="12"/>
        <v>2.2222222222222223E-2</v>
      </c>
      <c r="Y32" s="53">
        <f t="shared" si="0"/>
        <v>272</v>
      </c>
      <c r="Z32" s="54">
        <f t="shared" si="1"/>
        <v>1</v>
      </c>
    </row>
    <row r="33" spans="1:26" x14ac:dyDescent="0.25">
      <c r="A33" s="6">
        <f>'Water Reading'!A32</f>
        <v>44956</v>
      </c>
      <c r="B33" s="52">
        <f>TOTAL!I31</f>
        <v>243</v>
      </c>
      <c r="C33" s="53">
        <f>('Water Reading'!B33-'Water Reading'!B32)+('Water Reading'!C33-'Water Reading'!C32)</f>
        <v>269</v>
      </c>
      <c r="D33" s="54">
        <f t="shared" si="2"/>
        <v>1.1069958847736625</v>
      </c>
      <c r="E33" s="68">
        <f>'Water Reading'!H33-'Water Reading'!H32</f>
        <v>17</v>
      </c>
      <c r="F33" s="69">
        <f t="shared" si="3"/>
        <v>6.3197026022304828E-2</v>
      </c>
      <c r="G33" s="73">
        <f>('Water Reading'!D33-'Water Reading'!D32)-('Water Reading'!R33-'Water Reading'!R32)-('Water Reading'!Q33-'Water Reading'!Q32)</f>
        <v>102</v>
      </c>
      <c r="H33" s="69">
        <f t="shared" si="4"/>
        <v>0.379182156133829</v>
      </c>
      <c r="I33" s="70">
        <f>'Water Reading'!P33-'Water Reading'!P32</f>
        <v>0</v>
      </c>
      <c r="J33" s="55">
        <f t="shared" si="5"/>
        <v>0</v>
      </c>
      <c r="K33" s="71">
        <f>('Water Reading'!I33-'Water Reading'!I32)-('Water Reading'!P33-'Water Reading'!P32)</f>
        <v>4</v>
      </c>
      <c r="L33" s="55">
        <f t="shared" si="6"/>
        <v>1.4869888475836431E-2</v>
      </c>
      <c r="M33" s="70">
        <f>'Water Reading'!R33-'Water Reading'!R32</f>
        <v>2</v>
      </c>
      <c r="N33" s="72">
        <f t="shared" si="7"/>
        <v>7.4349442379182153E-3</v>
      </c>
      <c r="O33" s="70">
        <f>'Water Reading'!Q33-'Water Reading'!Q32</f>
        <v>7</v>
      </c>
      <c r="P33" s="77">
        <f t="shared" si="8"/>
        <v>2.6022304832713755E-2</v>
      </c>
      <c r="Q33" s="71">
        <f>'Water Reading'!F33-'Water Reading'!F32</f>
        <v>6</v>
      </c>
      <c r="R33" s="78">
        <f t="shared" si="9"/>
        <v>2.2304832713754646E-2</v>
      </c>
      <c r="S33" s="70">
        <f>'Water Reading'!E33-'Water Reading'!E32</f>
        <v>71</v>
      </c>
      <c r="T33" s="78">
        <f t="shared" si="10"/>
        <v>0.26394052044609667</v>
      </c>
      <c r="U33" s="70">
        <f>'Water Reading'!G33-'Water Reading'!G32</f>
        <v>28</v>
      </c>
      <c r="V33" s="78">
        <f t="shared" si="11"/>
        <v>0.10408921933085502</v>
      </c>
      <c r="W33" s="71">
        <f>'Water Reading'!J33-'Water Reading'!J32</f>
        <v>6</v>
      </c>
      <c r="X33" s="78">
        <f t="shared" si="12"/>
        <v>2.2304832713754646E-2</v>
      </c>
      <c r="Y33" s="53">
        <f t="shared" si="0"/>
        <v>243</v>
      </c>
      <c r="Z33" s="54">
        <f t="shared" si="1"/>
        <v>1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si="1"/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12067</v>
      </c>
      <c r="D35" s="75" t="e">
        <f>C35/B35</f>
        <v>#VALUE!</v>
      </c>
      <c r="E35" s="5">
        <f>SUM(E4:E33)</f>
        <v>1123</v>
      </c>
      <c r="F35" s="74">
        <f>E35/C35</f>
        <v>9.3063727521339193E-2</v>
      </c>
      <c r="G35" s="60">
        <f>SUM(G4:G33)</f>
        <v>5331</v>
      </c>
      <c r="H35" s="74">
        <f>G35/C35</f>
        <v>0.4417833761498301</v>
      </c>
      <c r="I35" s="5">
        <f>SUM(I4:I33)</f>
        <v>353</v>
      </c>
      <c r="J35" s="74">
        <f>I35/C35</f>
        <v>2.9253335543217039E-2</v>
      </c>
      <c r="K35" s="5">
        <f>SUM(K4:K33)</f>
        <v>175</v>
      </c>
      <c r="L35" s="74">
        <f>K35/C35</f>
        <v>1.450236181320958E-2</v>
      </c>
      <c r="M35" s="5">
        <f>SUM(M4:M33)</f>
        <v>148</v>
      </c>
      <c r="N35" s="74">
        <f>M35/C35</f>
        <v>1.2264854562028674E-2</v>
      </c>
      <c r="O35" s="5">
        <f>SUM(O4:O33)</f>
        <v>158</v>
      </c>
      <c r="P35" s="74">
        <f>O35/C35</f>
        <v>1.3093560951354935E-2</v>
      </c>
      <c r="Q35" s="5">
        <f>SUM(Q4:Q33)</f>
        <v>920</v>
      </c>
      <c r="R35" s="74">
        <f>Q35/C35</f>
        <v>7.6240987818016082E-2</v>
      </c>
      <c r="S35" s="60">
        <f>SUM(S4:S33)</f>
        <v>2553</v>
      </c>
      <c r="T35" s="74">
        <f>S35/C35</f>
        <v>0.21156874119499461</v>
      </c>
      <c r="U35" s="5">
        <f>SUM(U4:U33)</f>
        <v>954</v>
      </c>
      <c r="V35" s="74">
        <f>U35/C35</f>
        <v>7.9058589541725371E-2</v>
      </c>
      <c r="W35" s="5">
        <f>SUM(W4:W33)</f>
        <v>204</v>
      </c>
      <c r="X35" s="74">
        <f>W35/C35</f>
        <v>1.6905610342255739E-2</v>
      </c>
      <c r="Y35" s="60">
        <f>SUM(Y4:Y33)</f>
        <v>11919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2023-01-31T09:28:53Z</dcterms:modified>
  <cp:category/>
  <cp:contentStatus/>
</cp:coreProperties>
</file>