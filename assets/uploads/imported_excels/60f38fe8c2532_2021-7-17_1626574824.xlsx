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760" tabRatio="935" activeTab="1"/>
  </bookViews>
  <sheets>
    <sheet name="TOTAL" sheetId="17" r:id="rId1"/>
    <sheet name="Maldives at LG Daily" sheetId="22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Diesel consumption" sheetId="9" r:id="rId9"/>
    <sheet name="SOLAR METER READING" sheetId="11" r:id="rId10"/>
    <sheet name="FEEDER Consumption " sheetId="12" r:id="rId11"/>
    <sheet name="WATER" sheetId="19" r:id="rId12"/>
    <sheet name="Gas-2" sheetId="21" r:id="rId13"/>
    <sheet name="KWH Summary" sheetId="15" r:id="rId14"/>
    <sheet name="Focus Data" sheetId="2" r:id="rId15"/>
    <sheet name="Sheet1" sheetId="23" r:id="rId16"/>
  </sheets>
  <definedNames>
    <definedName name="_xlnm.Print_Area" localSheetId="2">'Finance Only'!$A$1:$F$39</definedName>
    <definedName name="_xlnm.Print_Area" localSheetId="12">'Gas-2'!$A$1:$E$37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C20" i="19" l="1"/>
  <c r="BP8" i="19" l="1"/>
  <c r="BO8" i="19"/>
  <c r="E32" i="17" l="1"/>
  <c r="G32" i="17"/>
  <c r="I32" i="17"/>
  <c r="K32" i="17"/>
  <c r="L32" i="17"/>
  <c r="C14" i="12"/>
  <c r="BW31" i="19" l="1"/>
  <c r="H16" i="1" l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CI8" i="19" l="1"/>
  <c r="CI9" i="19"/>
  <c r="CI10" i="19"/>
  <c r="CI11" i="19"/>
  <c r="CI12" i="19"/>
  <c r="CI13" i="19"/>
  <c r="CI14" i="19"/>
  <c r="CI15" i="19"/>
  <c r="CI16" i="19"/>
  <c r="CI17" i="19"/>
  <c r="CI18" i="19"/>
  <c r="CI19" i="19"/>
  <c r="CF8" i="19"/>
  <c r="CF9" i="19"/>
  <c r="CF10" i="19"/>
  <c r="CF11" i="19"/>
  <c r="CF12" i="19"/>
  <c r="CF13" i="19"/>
  <c r="CF14" i="19"/>
  <c r="CF15" i="19"/>
  <c r="CF16" i="19"/>
  <c r="CF17" i="19"/>
  <c r="CF18" i="19"/>
  <c r="CF19" i="19"/>
  <c r="CF20" i="19"/>
  <c r="CF21" i="19"/>
  <c r="CC8" i="19"/>
  <c r="CC9" i="19"/>
  <c r="CC10" i="19"/>
  <c r="CC11" i="19"/>
  <c r="CC12" i="19"/>
  <c r="CC13" i="19"/>
  <c r="CC14" i="19"/>
  <c r="CC15" i="19"/>
  <c r="CC16" i="19"/>
  <c r="CC17" i="19"/>
  <c r="CC18" i="19"/>
  <c r="CC19" i="19"/>
  <c r="BZ8" i="19"/>
  <c r="BZ9" i="19"/>
  <c r="BZ10" i="19"/>
  <c r="BZ11" i="19"/>
  <c r="BZ12" i="19"/>
  <c r="BZ13" i="19"/>
  <c r="BZ14" i="19"/>
  <c r="BZ15" i="19"/>
  <c r="BZ16" i="19"/>
  <c r="BZ17" i="19"/>
  <c r="BZ18" i="19"/>
  <c r="BW8" i="19"/>
  <c r="BW9" i="19"/>
  <c r="BW10" i="19"/>
  <c r="BW11" i="19"/>
  <c r="BW12" i="19"/>
  <c r="BW13" i="19"/>
  <c r="BW14" i="19"/>
  <c r="BW15" i="19"/>
  <c r="BT8" i="19"/>
  <c r="BT9" i="19"/>
  <c r="BT10" i="19"/>
  <c r="BT11" i="19"/>
  <c r="BT12" i="19"/>
  <c r="BT13" i="19"/>
  <c r="BT14" i="19"/>
  <c r="BT15" i="19"/>
  <c r="BQ9" i="19"/>
  <c r="BQ10" i="19"/>
  <c r="BQ11" i="19"/>
  <c r="BQ12" i="19"/>
  <c r="BQ13" i="19"/>
  <c r="BQ14" i="19"/>
  <c r="BQ15" i="19"/>
  <c r="BN9" i="19"/>
  <c r="BN10" i="19"/>
  <c r="BN11" i="19"/>
  <c r="BN12" i="19"/>
  <c r="BN13" i="19"/>
  <c r="BN14" i="19"/>
  <c r="BN15" i="19"/>
  <c r="BN16" i="19"/>
  <c r="BK8" i="19"/>
  <c r="BK9" i="19"/>
  <c r="BK10" i="19"/>
  <c r="BK11" i="19"/>
  <c r="BK12" i="19"/>
  <c r="BK13" i="19"/>
  <c r="BK14" i="19"/>
  <c r="BK15" i="19"/>
  <c r="BK16" i="19"/>
  <c r="BK17" i="19"/>
  <c r="BK18" i="19"/>
  <c r="BH8" i="19"/>
  <c r="BH9" i="19"/>
  <c r="BH10" i="19"/>
  <c r="BH11" i="19"/>
  <c r="BH12" i="19"/>
  <c r="BH13" i="19"/>
  <c r="BH14" i="19"/>
  <c r="BH15" i="19"/>
  <c r="BH16" i="19"/>
  <c r="BE8" i="19"/>
  <c r="BE9" i="19"/>
  <c r="BE10" i="19"/>
  <c r="BE11" i="19"/>
  <c r="BE12" i="19"/>
  <c r="BE13" i="19"/>
  <c r="BE14" i="19"/>
  <c r="BE15" i="19"/>
  <c r="BE16" i="19"/>
  <c r="AY8" i="19"/>
  <c r="AY9" i="19"/>
  <c r="AY10" i="19"/>
  <c r="AY11" i="19"/>
  <c r="AY12" i="19"/>
  <c r="AY13" i="19"/>
  <c r="AY14" i="19"/>
  <c r="AY15" i="19"/>
  <c r="AV8" i="19"/>
  <c r="AV9" i="19"/>
  <c r="AV10" i="19"/>
  <c r="AV11" i="19"/>
  <c r="AV12" i="19"/>
  <c r="AV13" i="19"/>
  <c r="AV14" i="19"/>
  <c r="AV15" i="19"/>
  <c r="AS8" i="19"/>
  <c r="AS9" i="19"/>
  <c r="AS10" i="19"/>
  <c r="AS11" i="19"/>
  <c r="AS12" i="19"/>
  <c r="AS13" i="19"/>
  <c r="AS14" i="19"/>
  <c r="AS15" i="19"/>
  <c r="AP9" i="19"/>
  <c r="AP10" i="19"/>
  <c r="AP11" i="19"/>
  <c r="AP12" i="19"/>
  <c r="AP13" i="19"/>
  <c r="AP14" i="19"/>
  <c r="AP15" i="19"/>
  <c r="AM9" i="19"/>
  <c r="AM10" i="19"/>
  <c r="AM11" i="19"/>
  <c r="AM12" i="19"/>
  <c r="AM13" i="19"/>
  <c r="AM14" i="19"/>
  <c r="AM15" i="19"/>
  <c r="AJ9" i="19"/>
  <c r="AJ10" i="19"/>
  <c r="AJ11" i="19"/>
  <c r="AJ12" i="19"/>
  <c r="AJ13" i="19"/>
  <c r="AJ14" i="19"/>
  <c r="AJ15" i="19"/>
  <c r="AG8" i="19"/>
  <c r="AG9" i="19"/>
  <c r="AG10" i="19"/>
  <c r="AG11" i="19"/>
  <c r="AG12" i="19"/>
  <c r="AG13" i="19"/>
  <c r="AG14" i="19"/>
  <c r="AG15" i="19"/>
  <c r="AG7" i="19"/>
  <c r="AD9" i="19"/>
  <c r="AD10" i="19"/>
  <c r="AD11" i="19"/>
  <c r="AD12" i="19"/>
  <c r="AD13" i="19"/>
  <c r="AD14" i="19"/>
  <c r="AD15" i="19"/>
  <c r="AA12" i="19"/>
  <c r="AA13" i="19"/>
  <c r="B35" i="12" l="1"/>
  <c r="Q12" i="19" l="1"/>
  <c r="Q13" i="19"/>
  <c r="Q14" i="19"/>
  <c r="Q15" i="19"/>
  <c r="Q16" i="19"/>
  <c r="L12" i="19"/>
  <c r="L13" i="19"/>
  <c r="L14" i="19"/>
  <c r="L15" i="19"/>
  <c r="L16" i="19"/>
  <c r="B12" i="19"/>
  <c r="B13" i="19"/>
  <c r="B14" i="19"/>
  <c r="B15" i="19"/>
  <c r="G12" i="19"/>
  <c r="G13" i="19"/>
  <c r="G14" i="19"/>
  <c r="G15" i="19"/>
  <c r="G10" i="19"/>
  <c r="G11" i="19"/>
  <c r="G16" i="19"/>
  <c r="C35" i="22" l="1"/>
  <c r="C4" i="22" s="1"/>
  <c r="G35" i="22"/>
  <c r="BT35" i="19" l="1"/>
  <c r="C35" i="12"/>
  <c r="E35" i="12" s="1"/>
  <c r="H35" i="12"/>
  <c r="J35" i="12" s="1"/>
  <c r="M35" i="12"/>
  <c r="O35" i="12" s="1"/>
  <c r="R35" i="12"/>
  <c r="T35" i="12" s="1"/>
  <c r="W35" i="12"/>
  <c r="Y35" i="12" s="1"/>
  <c r="AB35" i="12"/>
  <c r="AD35" i="12"/>
  <c r="AG35" i="12"/>
  <c r="AI35" i="12" s="1"/>
  <c r="AL35" i="12"/>
  <c r="AN35" i="12" s="1"/>
  <c r="AQ35" i="12"/>
  <c r="AS35" i="12" s="1"/>
  <c r="AV35" i="12"/>
  <c r="AX35" i="12" s="1"/>
  <c r="BA35" i="12"/>
  <c r="BC35" i="12" s="1"/>
  <c r="BF35" i="12"/>
  <c r="BH35" i="12" s="1"/>
  <c r="BK35" i="12"/>
  <c r="BM35" i="12" s="1"/>
  <c r="BP35" i="12"/>
  <c r="BR35" i="12" s="1"/>
  <c r="BU35" i="12"/>
  <c r="BW35" i="12"/>
  <c r="BZ35" i="12"/>
  <c r="CB35" i="12" s="1"/>
  <c r="CE35" i="12"/>
  <c r="CG35" i="12" s="1"/>
  <c r="CJ35" i="12"/>
  <c r="CL35" i="12" s="1"/>
  <c r="CO35" i="12"/>
  <c r="CQ35" i="12" s="1"/>
  <c r="CT35" i="12"/>
  <c r="CV35" i="12"/>
  <c r="CY35" i="12"/>
  <c r="DA35" i="12" s="1"/>
  <c r="DD35" i="12"/>
  <c r="DF35" i="12" s="1"/>
  <c r="DI35" i="12"/>
  <c r="DK35" i="12" s="1"/>
  <c r="DN35" i="12"/>
  <c r="DP35" i="12" s="1"/>
  <c r="DS35" i="12"/>
  <c r="DU35" i="12" s="1"/>
  <c r="DX35" i="12"/>
  <c r="DZ35" i="12" s="1"/>
  <c r="EC35" i="12"/>
  <c r="EE35" i="12" s="1"/>
  <c r="EH35" i="12"/>
  <c r="EJ35" i="12" s="1"/>
  <c r="EM35" i="12"/>
  <c r="EO35" i="12" s="1"/>
  <c r="ER35" i="12"/>
  <c r="ET35" i="12"/>
  <c r="B38" i="11"/>
  <c r="B39" i="11"/>
  <c r="D39" i="11" s="1"/>
  <c r="F35" i="9"/>
  <c r="H35" i="9" s="1"/>
  <c r="B35" i="9"/>
  <c r="D35" i="9" s="1"/>
  <c r="H5" i="9" l="1"/>
  <c r="D10" i="7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 s="1"/>
  <c r="F31" i="9"/>
  <c r="H31" i="9" s="1"/>
  <c r="F32" i="9"/>
  <c r="H32" i="9" s="1"/>
  <c r="F33" i="9"/>
  <c r="H33" i="9" s="1"/>
  <c r="F34" i="9"/>
  <c r="H34" i="9" s="1"/>
  <c r="F6" i="9"/>
  <c r="H6" i="9" s="1"/>
  <c r="C6" i="22" l="1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D35" i="22" s="1"/>
  <c r="D4" i="22" s="1"/>
  <c r="C5" i="22"/>
  <c r="B40" i="7" l="1"/>
  <c r="D40" i="7" s="1"/>
  <c r="B40" i="6"/>
  <c r="D40" i="6" s="1"/>
  <c r="B40" i="5"/>
  <c r="D40" i="5" s="1"/>
  <c r="B40" i="4"/>
  <c r="D40" i="4" s="1"/>
  <c r="B40" i="3"/>
  <c r="D40" i="3" s="1"/>
  <c r="AP16" i="19" l="1"/>
  <c r="AP17" i="19"/>
  <c r="AP18" i="19"/>
  <c r="AP19" i="19"/>
  <c r="AS16" i="19"/>
  <c r="AS17" i="19"/>
  <c r="AS18" i="19"/>
  <c r="AS19" i="19"/>
  <c r="AS20" i="19"/>
  <c r="AS21" i="19"/>
  <c r="AV16" i="19"/>
  <c r="AV17" i="19"/>
  <c r="AV18" i="19"/>
  <c r="BA12" i="19"/>
  <c r="BA13" i="19"/>
  <c r="BA14" i="19"/>
  <c r="BA15" i="19"/>
  <c r="AY16" i="19"/>
  <c r="BA16" i="19" s="1"/>
  <c r="AY17" i="19"/>
  <c r="BA17" i="19" s="1"/>
  <c r="AY18" i="19"/>
  <c r="BA18" i="19" s="1"/>
  <c r="AY19" i="19"/>
  <c r="BB13" i="19"/>
  <c r="BB14" i="19"/>
  <c r="BB15" i="19"/>
  <c r="BB16" i="19"/>
  <c r="BB17" i="19"/>
  <c r="BE17" i="19"/>
  <c r="BE18" i="19"/>
  <c r="BH17" i="19"/>
  <c r="BQ16" i="19"/>
  <c r="BT16" i="19"/>
  <c r="BW16" i="19"/>
  <c r="BW17" i="19"/>
  <c r="BW18" i="19"/>
  <c r="AM16" i="19"/>
  <c r="AM17" i="19"/>
  <c r="AM18" i="19"/>
  <c r="AM19" i="19"/>
  <c r="AJ16" i="19"/>
  <c r="AJ17" i="19"/>
  <c r="AJ18" i="19"/>
  <c r="AJ19" i="19"/>
  <c r="AD16" i="19"/>
  <c r="AF6" i="19"/>
  <c r="AD17" i="19"/>
  <c r="AA14" i="19"/>
  <c r="K31" i="17"/>
  <c r="L31" i="17"/>
  <c r="CI20" i="19" l="1"/>
  <c r="CI21" i="19"/>
  <c r="CI22" i="19"/>
  <c r="CI23" i="19"/>
  <c r="CI24" i="19"/>
  <c r="CI25" i="19"/>
  <c r="CI26" i="19"/>
  <c r="CI27" i="19"/>
  <c r="CI28" i="19"/>
  <c r="CI29" i="19"/>
  <c r="CI30" i="19"/>
  <c r="CI31" i="19"/>
  <c r="CI32" i="19"/>
  <c r="CI33" i="19"/>
  <c r="CI34" i="19"/>
  <c r="CI35" i="19"/>
  <c r="CI36" i="19"/>
  <c r="CI7" i="19"/>
  <c r="CF22" i="19"/>
  <c r="CF23" i="19"/>
  <c r="CF24" i="19"/>
  <c r="CF25" i="19"/>
  <c r="CF26" i="19"/>
  <c r="CF27" i="19"/>
  <c r="CF28" i="19"/>
  <c r="CF29" i="19"/>
  <c r="CF30" i="19"/>
  <c r="CF31" i="19"/>
  <c r="CF32" i="19"/>
  <c r="CF33" i="19"/>
  <c r="CF34" i="19"/>
  <c r="CF35" i="19"/>
  <c r="CF36" i="19"/>
  <c r="CF7" i="19"/>
  <c r="CC21" i="19"/>
  <c r="CC22" i="19"/>
  <c r="CC23" i="19"/>
  <c r="CC24" i="19"/>
  <c r="CC25" i="19"/>
  <c r="CC26" i="19"/>
  <c r="CC27" i="19"/>
  <c r="CC28" i="19"/>
  <c r="CC29" i="19"/>
  <c r="CC30" i="19"/>
  <c r="CC31" i="19"/>
  <c r="CC32" i="19"/>
  <c r="CC33" i="19"/>
  <c r="CC34" i="19"/>
  <c r="CC35" i="19"/>
  <c r="CC36" i="19"/>
  <c r="CC7" i="19"/>
  <c r="BZ19" i="19"/>
  <c r="BZ20" i="19"/>
  <c r="BZ21" i="19"/>
  <c r="BZ22" i="19"/>
  <c r="BZ23" i="19"/>
  <c r="BZ24" i="19"/>
  <c r="BZ25" i="19"/>
  <c r="BZ26" i="19"/>
  <c r="BZ27" i="19"/>
  <c r="BZ28" i="19"/>
  <c r="BZ29" i="19"/>
  <c r="BZ30" i="19"/>
  <c r="BZ31" i="19"/>
  <c r="BZ32" i="19"/>
  <c r="BZ33" i="19"/>
  <c r="BZ34" i="19"/>
  <c r="BZ35" i="19"/>
  <c r="BZ36" i="19"/>
  <c r="BZ7" i="19"/>
  <c r="BW19" i="19"/>
  <c r="BW20" i="19"/>
  <c r="BW21" i="19"/>
  <c r="BW22" i="19"/>
  <c r="BW23" i="19"/>
  <c r="BW24" i="19"/>
  <c r="BW25" i="19"/>
  <c r="BW26" i="19"/>
  <c r="BW27" i="19"/>
  <c r="BW28" i="19"/>
  <c r="BW29" i="19"/>
  <c r="BW30" i="19"/>
  <c r="BW32" i="19"/>
  <c r="BW33" i="19"/>
  <c r="BW34" i="19"/>
  <c r="BW35" i="19"/>
  <c r="BY35" i="19" s="1"/>
  <c r="BW36" i="19"/>
  <c r="BW7" i="19"/>
  <c r="BT17" i="19"/>
  <c r="BT18" i="19"/>
  <c r="BT19" i="19"/>
  <c r="BT20" i="19"/>
  <c r="BT21" i="19"/>
  <c r="BT22" i="19"/>
  <c r="BT23" i="19"/>
  <c r="BT24" i="19"/>
  <c r="BT25" i="19"/>
  <c r="BT26" i="19"/>
  <c r="BT27" i="19"/>
  <c r="BT28" i="19"/>
  <c r="BT29" i="19"/>
  <c r="BT30" i="19"/>
  <c r="BT31" i="19"/>
  <c r="BT32" i="19"/>
  <c r="BT33" i="19"/>
  <c r="BT34" i="19"/>
  <c r="BT36" i="19"/>
  <c r="BT7" i="19"/>
  <c r="BQ8" i="19"/>
  <c r="BQ17" i="19"/>
  <c r="BQ18" i="19"/>
  <c r="BQ19" i="19"/>
  <c r="BQ20" i="19"/>
  <c r="BQ21" i="19"/>
  <c r="BQ22" i="19"/>
  <c r="BQ23" i="19"/>
  <c r="BQ24" i="19"/>
  <c r="BQ25" i="19"/>
  <c r="BQ26" i="19"/>
  <c r="BQ27" i="19"/>
  <c r="BQ28" i="19"/>
  <c r="BQ29" i="19"/>
  <c r="BQ30" i="19"/>
  <c r="BQ31" i="19"/>
  <c r="BQ32" i="19"/>
  <c r="BQ33" i="19"/>
  <c r="BQ34" i="19"/>
  <c r="BQ35" i="19"/>
  <c r="BS35" i="19" s="1"/>
  <c r="BQ36" i="19"/>
  <c r="BQ7" i="19"/>
  <c r="BN8" i="19"/>
  <c r="BN17" i="19"/>
  <c r="BN18" i="19"/>
  <c r="BN19" i="19"/>
  <c r="BN20" i="19"/>
  <c r="BN21" i="19"/>
  <c r="BN22" i="19"/>
  <c r="BN23" i="19"/>
  <c r="BN24" i="19"/>
  <c r="BN25" i="19"/>
  <c r="BN26" i="19"/>
  <c r="BN27" i="19"/>
  <c r="BN28" i="19"/>
  <c r="BN29" i="19"/>
  <c r="BN30" i="19"/>
  <c r="BN31" i="19"/>
  <c r="BN32" i="19"/>
  <c r="BN33" i="19"/>
  <c r="BN34" i="19"/>
  <c r="BN35" i="19"/>
  <c r="BP35" i="19" s="1"/>
  <c r="BN36" i="19"/>
  <c r="BN7" i="19"/>
  <c r="BK19" i="19"/>
  <c r="BK20" i="19"/>
  <c r="BK21" i="19"/>
  <c r="BK22" i="19"/>
  <c r="BK23" i="19"/>
  <c r="BK24" i="19"/>
  <c r="BK25" i="19"/>
  <c r="BK26" i="19"/>
  <c r="BK27" i="19"/>
  <c r="BK28" i="19"/>
  <c r="BK29" i="19"/>
  <c r="BK30" i="19"/>
  <c r="BK31" i="19"/>
  <c r="BK32" i="19"/>
  <c r="BK33" i="19"/>
  <c r="BK34" i="19"/>
  <c r="BK35" i="19"/>
  <c r="BM35" i="19" s="1"/>
  <c r="BK36" i="19"/>
  <c r="BK7" i="19"/>
  <c r="BH18" i="19"/>
  <c r="BH19" i="19"/>
  <c r="BH20" i="19"/>
  <c r="BH21" i="19"/>
  <c r="BH22" i="19"/>
  <c r="BH23" i="19"/>
  <c r="BH24" i="19"/>
  <c r="BH25" i="19"/>
  <c r="BH26" i="19"/>
  <c r="BH27" i="19"/>
  <c r="BH28" i="19"/>
  <c r="BH29" i="19"/>
  <c r="BH30" i="19"/>
  <c r="BH31" i="19"/>
  <c r="BH32" i="19"/>
  <c r="BH33" i="19"/>
  <c r="BH34" i="19"/>
  <c r="BH35" i="19"/>
  <c r="BJ35" i="19" s="1"/>
  <c r="BH36" i="19"/>
  <c r="BH7" i="19"/>
  <c r="BE19" i="19"/>
  <c r="BE20" i="19"/>
  <c r="BE21" i="19"/>
  <c r="BE22" i="19"/>
  <c r="BE23" i="19"/>
  <c r="BE24" i="19"/>
  <c r="BE25" i="19"/>
  <c r="BE26" i="19"/>
  <c r="BE27" i="19"/>
  <c r="BE28" i="19"/>
  <c r="BE29" i="19"/>
  <c r="BE30" i="19"/>
  <c r="BE31" i="19"/>
  <c r="BE32" i="19"/>
  <c r="BE33" i="19"/>
  <c r="BE34" i="19"/>
  <c r="BE35" i="19"/>
  <c r="BG35" i="19" s="1"/>
  <c r="BE36" i="19"/>
  <c r="BE7" i="19"/>
  <c r="BB8" i="19"/>
  <c r="BB9" i="19"/>
  <c r="BB10" i="19"/>
  <c r="BB11" i="19"/>
  <c r="BB18" i="19"/>
  <c r="BB19" i="19"/>
  <c r="BB20" i="19"/>
  <c r="BB21" i="19"/>
  <c r="BB22" i="19"/>
  <c r="BB23" i="19"/>
  <c r="BB24" i="19"/>
  <c r="BB25" i="19"/>
  <c r="BB26" i="19"/>
  <c r="BB27" i="19"/>
  <c r="BB28" i="19"/>
  <c r="BB29" i="19"/>
  <c r="BB30" i="19"/>
  <c r="BB31" i="19"/>
  <c r="BB32" i="19"/>
  <c r="BB33" i="19"/>
  <c r="BB34" i="19"/>
  <c r="BB35" i="19"/>
  <c r="BD35" i="19" s="1"/>
  <c r="BB36" i="19"/>
  <c r="BB7" i="19"/>
  <c r="BA11" i="19"/>
  <c r="AY20" i="19"/>
  <c r="AY21" i="19"/>
  <c r="AY22" i="19"/>
  <c r="AY23" i="19"/>
  <c r="AY24" i="19"/>
  <c r="AY25" i="19"/>
  <c r="AY26" i="19"/>
  <c r="AY27" i="19"/>
  <c r="AY28" i="19"/>
  <c r="AY29" i="19"/>
  <c r="AY30" i="19"/>
  <c r="AY31" i="19"/>
  <c r="AY32" i="19"/>
  <c r="AY33" i="19"/>
  <c r="AY34" i="19"/>
  <c r="AY35" i="19"/>
  <c r="BA35" i="19" s="1"/>
  <c r="AY36" i="19"/>
  <c r="AY7" i="19"/>
  <c r="AV19" i="19"/>
  <c r="AV20" i="19"/>
  <c r="AV21" i="19"/>
  <c r="AV22" i="19"/>
  <c r="AV23" i="19"/>
  <c r="AV24" i="19"/>
  <c r="AV25" i="19"/>
  <c r="AV26" i="19"/>
  <c r="AV27" i="19"/>
  <c r="AV28" i="19"/>
  <c r="AV29" i="19"/>
  <c r="AV30" i="19"/>
  <c r="AV31" i="19"/>
  <c r="AV32" i="19"/>
  <c r="AV33" i="19"/>
  <c r="AV34" i="19"/>
  <c r="AV35" i="19"/>
  <c r="AX35" i="19" s="1"/>
  <c r="AV36" i="19"/>
  <c r="AV7" i="19"/>
  <c r="AS22" i="19"/>
  <c r="AS23" i="19"/>
  <c r="AS24" i="19"/>
  <c r="AS25" i="19"/>
  <c r="AS26" i="19"/>
  <c r="AS27" i="19"/>
  <c r="AS28" i="19"/>
  <c r="AS29" i="19"/>
  <c r="AS30" i="19"/>
  <c r="AS31" i="19"/>
  <c r="AS32" i="19"/>
  <c r="AS33" i="19"/>
  <c r="AS34" i="19"/>
  <c r="AS35" i="19"/>
  <c r="AU35" i="19" s="1"/>
  <c r="AS36" i="19"/>
  <c r="AS7" i="19"/>
  <c r="AP8" i="19"/>
  <c r="AP20" i="19"/>
  <c r="AP21" i="19"/>
  <c r="AP22" i="19"/>
  <c r="AP23" i="19"/>
  <c r="AP24" i="19"/>
  <c r="AP25" i="19"/>
  <c r="AP26" i="19"/>
  <c r="AP27" i="19"/>
  <c r="AP28" i="19"/>
  <c r="AP29" i="19"/>
  <c r="AP30" i="19"/>
  <c r="AP31" i="19"/>
  <c r="AP32" i="19"/>
  <c r="AP33" i="19"/>
  <c r="AP34" i="19"/>
  <c r="AR34" i="19" s="1"/>
  <c r="AP35" i="19"/>
  <c r="AR35" i="19" s="1"/>
  <c r="AP36" i="19"/>
  <c r="AP7" i="19"/>
  <c r="AM8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O35" i="19" s="1"/>
  <c r="AM36" i="19"/>
  <c r="AM7" i="19"/>
  <c r="AJ8" i="19"/>
  <c r="AJ20" i="19"/>
  <c r="AJ21" i="19"/>
  <c r="AJ22" i="19"/>
  <c r="AJ23" i="19"/>
  <c r="AJ24" i="19"/>
  <c r="AJ25" i="19"/>
  <c r="AJ26" i="19"/>
  <c r="AJ27" i="19"/>
  <c r="AJ28" i="19"/>
  <c r="AJ29" i="19"/>
  <c r="AJ30" i="19"/>
  <c r="AJ31" i="19"/>
  <c r="AJ32" i="19"/>
  <c r="AJ33" i="19"/>
  <c r="AJ34" i="19"/>
  <c r="AJ35" i="19"/>
  <c r="AL35" i="19" s="1"/>
  <c r="AJ36" i="19"/>
  <c r="AJ7" i="19"/>
  <c r="AG16" i="19"/>
  <c r="AG17" i="19"/>
  <c r="AG18" i="19"/>
  <c r="AG19" i="19"/>
  <c r="AG20" i="19"/>
  <c r="AG21" i="19"/>
  <c r="AG22" i="19"/>
  <c r="AG23" i="19"/>
  <c r="AG24" i="19"/>
  <c r="AG25" i="19"/>
  <c r="AG26" i="19"/>
  <c r="AG27" i="19"/>
  <c r="AG28" i="19"/>
  <c r="AG29" i="19"/>
  <c r="AG30" i="19"/>
  <c r="AG31" i="19"/>
  <c r="AG32" i="19"/>
  <c r="AG33" i="19"/>
  <c r="AI33" i="19" s="1"/>
  <c r="AG34" i="19"/>
  <c r="AI34" i="19" s="1"/>
  <c r="AG35" i="19"/>
  <c r="AI35" i="19" s="1"/>
  <c r="AG36" i="19"/>
  <c r="AD8" i="19"/>
  <c r="AD18" i="19"/>
  <c r="AD19" i="19"/>
  <c r="AD20" i="19"/>
  <c r="AD21" i="19"/>
  <c r="AD22" i="19"/>
  <c r="AD23" i="19"/>
  <c r="AD24" i="19"/>
  <c r="AD25" i="19"/>
  <c r="AD26" i="19"/>
  <c r="AD27" i="19"/>
  <c r="AD28" i="19"/>
  <c r="AD29" i="19"/>
  <c r="AD30" i="19"/>
  <c r="AD31" i="19"/>
  <c r="AD32" i="19"/>
  <c r="AD33" i="19"/>
  <c r="AD34" i="19"/>
  <c r="AD35" i="19"/>
  <c r="AD36" i="19"/>
  <c r="AA11" i="19"/>
  <c r="AA15" i="19"/>
  <c r="AA16" i="19"/>
  <c r="AA17" i="19"/>
  <c r="AA18" i="19"/>
  <c r="AA19" i="19"/>
  <c r="AA20" i="19"/>
  <c r="AA21" i="19"/>
  <c r="AA22" i="19"/>
  <c r="AA23" i="19"/>
  <c r="AA24" i="19"/>
  <c r="AA25" i="19"/>
  <c r="AA26" i="19"/>
  <c r="AA27" i="19"/>
  <c r="AA28" i="19"/>
  <c r="AA29" i="19"/>
  <c r="AA30" i="19"/>
  <c r="AA31" i="19"/>
  <c r="AA32" i="19"/>
  <c r="AA33" i="19"/>
  <c r="AA34" i="19"/>
  <c r="AA35" i="19"/>
  <c r="AA36" i="19"/>
  <c r="AA8" i="19"/>
  <c r="AA9" i="19"/>
  <c r="AA10" i="19"/>
  <c r="AD7" i="19"/>
  <c r="AA7" i="19"/>
  <c r="CK6" i="19" l="1"/>
  <c r="CK7" i="19"/>
  <c r="CK8" i="19"/>
  <c r="CK9" i="19"/>
  <c r="CK10" i="19"/>
  <c r="CK11" i="19"/>
  <c r="CK12" i="19"/>
  <c r="CK13" i="19"/>
  <c r="CK14" i="19"/>
  <c r="CK15" i="19"/>
  <c r="CK16" i="19"/>
  <c r="CK17" i="19"/>
  <c r="CK18" i="19"/>
  <c r="CK19" i="19"/>
  <c r="CK20" i="19"/>
  <c r="CK21" i="19"/>
  <c r="CK22" i="19"/>
  <c r="CK23" i="19"/>
  <c r="CK24" i="19"/>
  <c r="CK25" i="19"/>
  <c r="CK26" i="19"/>
  <c r="CK27" i="19"/>
  <c r="CK28" i="19"/>
  <c r="CK29" i="19"/>
  <c r="CK30" i="19"/>
  <c r="CK31" i="19"/>
  <c r="CK32" i="19"/>
  <c r="CK33" i="19"/>
  <c r="CK34" i="19"/>
  <c r="CK36" i="19"/>
  <c r="CB6" i="19"/>
  <c r="CE6" i="19"/>
  <c r="CH6" i="19"/>
  <c r="CB7" i="19"/>
  <c r="CE7" i="19"/>
  <c r="CH7" i="19"/>
  <c r="CB8" i="19"/>
  <c r="CE8" i="19"/>
  <c r="CH8" i="19"/>
  <c r="CB9" i="19"/>
  <c r="CE9" i="19"/>
  <c r="CH9" i="19"/>
  <c r="CB10" i="19"/>
  <c r="CE10" i="19"/>
  <c r="CH10" i="19"/>
  <c r="CB11" i="19"/>
  <c r="CE11" i="19"/>
  <c r="CH11" i="19"/>
  <c r="CB12" i="19"/>
  <c r="CE12" i="19"/>
  <c r="CH12" i="19"/>
  <c r="CB13" i="19"/>
  <c r="CE13" i="19"/>
  <c r="CH13" i="19"/>
  <c r="CB14" i="19"/>
  <c r="CE14" i="19"/>
  <c r="CH14" i="19"/>
  <c r="CB15" i="19"/>
  <c r="CE15" i="19"/>
  <c r="CH15" i="19"/>
  <c r="CB16" i="19"/>
  <c r="CE16" i="19"/>
  <c r="CH16" i="19"/>
  <c r="CB17" i="19"/>
  <c r="CE17" i="19"/>
  <c r="CH17" i="19"/>
  <c r="CB18" i="19"/>
  <c r="CE18" i="19"/>
  <c r="CH18" i="19"/>
  <c r="CB19" i="19"/>
  <c r="CE19" i="19"/>
  <c r="CH19" i="19"/>
  <c r="CB20" i="19"/>
  <c r="CE20" i="19"/>
  <c r="CH20" i="19"/>
  <c r="CB21" i="19"/>
  <c r="CE21" i="19"/>
  <c r="CH21" i="19"/>
  <c r="CB22" i="19"/>
  <c r="CE22" i="19"/>
  <c r="CH22" i="19"/>
  <c r="CB23" i="19"/>
  <c r="CE23" i="19"/>
  <c r="CH23" i="19"/>
  <c r="CB24" i="19"/>
  <c r="CE24" i="19"/>
  <c r="CH24" i="19"/>
  <c r="CB25" i="19"/>
  <c r="CE25" i="19"/>
  <c r="CH25" i="19"/>
  <c r="CB26" i="19"/>
  <c r="CE26" i="19"/>
  <c r="CH26" i="19"/>
  <c r="CB27" i="19"/>
  <c r="CE27" i="19"/>
  <c r="CH27" i="19"/>
  <c r="CB28" i="19"/>
  <c r="CE28" i="19"/>
  <c r="CH28" i="19"/>
  <c r="CB29" i="19"/>
  <c r="CE29" i="19"/>
  <c r="CH29" i="19"/>
  <c r="CB30" i="19"/>
  <c r="CE30" i="19"/>
  <c r="CH30" i="19"/>
  <c r="CB31" i="19"/>
  <c r="CE31" i="19"/>
  <c r="CH31" i="19"/>
  <c r="CB32" i="19"/>
  <c r="CE32" i="19"/>
  <c r="CH32" i="19"/>
  <c r="CB33" i="19"/>
  <c r="CE33" i="19"/>
  <c r="CH33" i="19"/>
  <c r="CB34" i="19"/>
  <c r="CE34" i="19"/>
  <c r="CH34" i="19"/>
  <c r="CB36" i="19"/>
  <c r="CE36" i="19"/>
  <c r="CH36" i="19"/>
  <c r="AL6" i="19"/>
  <c r="AO6" i="19"/>
  <c r="AR6" i="19"/>
  <c r="AU6" i="19"/>
  <c r="AX6" i="19"/>
  <c r="BA6" i="19"/>
  <c r="BD6" i="19"/>
  <c r="BG6" i="19"/>
  <c r="BJ6" i="19"/>
  <c r="BM6" i="19"/>
  <c r="BP6" i="19"/>
  <c r="BS6" i="19"/>
  <c r="BV6" i="19"/>
  <c r="BY6" i="19"/>
  <c r="AL7" i="19"/>
  <c r="AO7" i="19"/>
  <c r="AR7" i="19"/>
  <c r="AU7" i="19"/>
  <c r="AX7" i="19"/>
  <c r="BA7" i="19"/>
  <c r="BD7" i="19"/>
  <c r="BG7" i="19"/>
  <c r="BJ7" i="19"/>
  <c r="BM7" i="19"/>
  <c r="BP7" i="19"/>
  <c r="BS7" i="19"/>
  <c r="BV7" i="19"/>
  <c r="BY7" i="19"/>
  <c r="AL8" i="19"/>
  <c r="AO8" i="19"/>
  <c r="AR8" i="19"/>
  <c r="AU8" i="19"/>
  <c r="AX8" i="19"/>
  <c r="BA8" i="19"/>
  <c r="BD8" i="19"/>
  <c r="BG8" i="19"/>
  <c r="BJ8" i="19"/>
  <c r="BM8" i="19"/>
  <c r="BS8" i="19"/>
  <c r="BV8" i="19"/>
  <c r="BY8" i="19"/>
  <c r="AL9" i="19"/>
  <c r="AO9" i="19"/>
  <c r="AR9" i="19"/>
  <c r="AU9" i="19"/>
  <c r="AX9" i="19"/>
  <c r="BA9" i="19"/>
  <c r="BD9" i="19"/>
  <c r="BG9" i="19"/>
  <c r="BJ9" i="19"/>
  <c r="BM9" i="19"/>
  <c r="BP9" i="19"/>
  <c r="BS9" i="19"/>
  <c r="BV9" i="19"/>
  <c r="BY9" i="19"/>
  <c r="AL10" i="19"/>
  <c r="AO10" i="19"/>
  <c r="AR10" i="19"/>
  <c r="AU10" i="19"/>
  <c r="AX10" i="19"/>
  <c r="BA10" i="19"/>
  <c r="BD10" i="19"/>
  <c r="BG10" i="19"/>
  <c r="BJ10" i="19"/>
  <c r="BM10" i="19"/>
  <c r="BP10" i="19"/>
  <c r="BS10" i="19"/>
  <c r="BV10" i="19"/>
  <c r="BY10" i="19"/>
  <c r="AL11" i="19"/>
  <c r="AO11" i="19"/>
  <c r="AR11" i="19"/>
  <c r="AU11" i="19"/>
  <c r="AX11" i="19"/>
  <c r="BD11" i="19"/>
  <c r="BG11" i="19"/>
  <c r="BJ11" i="19"/>
  <c r="BM11" i="19"/>
  <c r="BP11" i="19"/>
  <c r="BS11" i="19"/>
  <c r="BV11" i="19"/>
  <c r="BY11" i="19"/>
  <c r="AL12" i="19"/>
  <c r="AO12" i="19"/>
  <c r="AR12" i="19"/>
  <c r="AU12" i="19"/>
  <c r="AX12" i="19"/>
  <c r="BD12" i="19"/>
  <c r="BG12" i="19"/>
  <c r="BJ12" i="19"/>
  <c r="BM12" i="19"/>
  <c r="BP12" i="19"/>
  <c r="BS12" i="19"/>
  <c r="BV12" i="19"/>
  <c r="BY12" i="19"/>
  <c r="AL13" i="19"/>
  <c r="AO13" i="19"/>
  <c r="AR13" i="19"/>
  <c r="AU13" i="19"/>
  <c r="AX13" i="19"/>
  <c r="BD13" i="19"/>
  <c r="BG13" i="19"/>
  <c r="BJ13" i="19"/>
  <c r="BM13" i="19"/>
  <c r="BP13" i="19"/>
  <c r="BS13" i="19"/>
  <c r="BV13" i="19"/>
  <c r="BY13" i="19"/>
  <c r="AL14" i="19"/>
  <c r="AO14" i="19"/>
  <c r="AR14" i="19"/>
  <c r="AU14" i="19"/>
  <c r="AX14" i="19"/>
  <c r="BD14" i="19"/>
  <c r="BG14" i="19"/>
  <c r="BJ14" i="19"/>
  <c r="BM14" i="19"/>
  <c r="BP14" i="19"/>
  <c r="BS14" i="19"/>
  <c r="BV14" i="19"/>
  <c r="BY14" i="19"/>
  <c r="AL15" i="19"/>
  <c r="AO15" i="19"/>
  <c r="AR15" i="19"/>
  <c r="AU15" i="19"/>
  <c r="AX15" i="19"/>
  <c r="BD15" i="19"/>
  <c r="BG15" i="19"/>
  <c r="BJ15" i="19"/>
  <c r="BM15" i="19"/>
  <c r="BP15" i="19"/>
  <c r="BS15" i="19"/>
  <c r="BV15" i="19"/>
  <c r="BY15" i="19"/>
  <c r="AL16" i="19"/>
  <c r="AO16" i="19"/>
  <c r="AR16" i="19"/>
  <c r="AU16" i="19"/>
  <c r="AX16" i="19"/>
  <c r="BD16" i="19"/>
  <c r="BG16" i="19"/>
  <c r="BJ16" i="19"/>
  <c r="BM16" i="19"/>
  <c r="BP16" i="19"/>
  <c r="BS16" i="19"/>
  <c r="BV16" i="19"/>
  <c r="BY16" i="19"/>
  <c r="AL17" i="19"/>
  <c r="AO17" i="19"/>
  <c r="AR17" i="19"/>
  <c r="AU17" i="19"/>
  <c r="AX17" i="19"/>
  <c r="BD17" i="19"/>
  <c r="BG17" i="19"/>
  <c r="BJ17" i="19"/>
  <c r="BM17" i="19"/>
  <c r="BP17" i="19"/>
  <c r="BS17" i="19"/>
  <c r="BV17" i="19"/>
  <c r="BY17" i="19"/>
  <c r="AL18" i="19"/>
  <c r="AO18" i="19"/>
  <c r="AR18" i="19"/>
  <c r="AU18" i="19"/>
  <c r="AX18" i="19"/>
  <c r="BD18" i="19"/>
  <c r="BG18" i="19"/>
  <c r="BJ18" i="19"/>
  <c r="BM18" i="19"/>
  <c r="BP18" i="19"/>
  <c r="BS18" i="19"/>
  <c r="BV18" i="19"/>
  <c r="BY18" i="19"/>
  <c r="AL19" i="19"/>
  <c r="AO19" i="19"/>
  <c r="AR19" i="19"/>
  <c r="AU19" i="19"/>
  <c r="AX19" i="19"/>
  <c r="BA19" i="19"/>
  <c r="BD19" i="19"/>
  <c r="BG19" i="19"/>
  <c r="BJ19" i="19"/>
  <c r="BM19" i="19"/>
  <c r="BP19" i="19"/>
  <c r="BS19" i="19"/>
  <c r="BV19" i="19"/>
  <c r="BY19" i="19"/>
  <c r="AL20" i="19"/>
  <c r="AO20" i="19"/>
  <c r="AR20" i="19"/>
  <c r="AU20" i="19"/>
  <c r="AX20" i="19"/>
  <c r="BA20" i="19"/>
  <c r="BD20" i="19"/>
  <c r="BG20" i="19"/>
  <c r="BJ20" i="19"/>
  <c r="BM20" i="19"/>
  <c r="BP20" i="19"/>
  <c r="BS20" i="19"/>
  <c r="BV20" i="19"/>
  <c r="BY20" i="19"/>
  <c r="AL21" i="19"/>
  <c r="AO21" i="19"/>
  <c r="AR21" i="19"/>
  <c r="AU21" i="19"/>
  <c r="AX21" i="19"/>
  <c r="BA21" i="19"/>
  <c r="BD21" i="19"/>
  <c r="BG21" i="19"/>
  <c r="BJ21" i="19"/>
  <c r="BM21" i="19"/>
  <c r="BP21" i="19"/>
  <c r="BS21" i="19"/>
  <c r="BV21" i="19"/>
  <c r="BY21" i="19"/>
  <c r="AL22" i="19"/>
  <c r="AO22" i="19"/>
  <c r="AR22" i="19"/>
  <c r="AU22" i="19"/>
  <c r="AX22" i="19"/>
  <c r="BA22" i="19"/>
  <c r="BD22" i="19"/>
  <c r="BG22" i="19"/>
  <c r="BJ22" i="19"/>
  <c r="BM22" i="19"/>
  <c r="BP22" i="19"/>
  <c r="BS22" i="19"/>
  <c r="BV22" i="19"/>
  <c r="BY22" i="19"/>
  <c r="AL23" i="19"/>
  <c r="AO23" i="19"/>
  <c r="AR23" i="19"/>
  <c r="AU23" i="19"/>
  <c r="AX23" i="19"/>
  <c r="BA23" i="19"/>
  <c r="BD23" i="19"/>
  <c r="BG23" i="19"/>
  <c r="BJ23" i="19"/>
  <c r="BM23" i="19"/>
  <c r="BP23" i="19"/>
  <c r="BS23" i="19"/>
  <c r="BV23" i="19"/>
  <c r="BY23" i="19"/>
  <c r="AL24" i="19"/>
  <c r="AO24" i="19"/>
  <c r="AR24" i="19"/>
  <c r="AU24" i="19"/>
  <c r="AX24" i="19"/>
  <c r="BA24" i="19"/>
  <c r="BD24" i="19"/>
  <c r="BG24" i="19"/>
  <c r="BJ24" i="19"/>
  <c r="BM24" i="19"/>
  <c r="BP24" i="19"/>
  <c r="BS24" i="19"/>
  <c r="BV24" i="19"/>
  <c r="BY24" i="19"/>
  <c r="AL25" i="19"/>
  <c r="AO25" i="19"/>
  <c r="AR25" i="19"/>
  <c r="AU25" i="19"/>
  <c r="AX25" i="19"/>
  <c r="BA25" i="19"/>
  <c r="BD25" i="19"/>
  <c r="BG25" i="19"/>
  <c r="BJ25" i="19"/>
  <c r="BM25" i="19"/>
  <c r="BP25" i="19"/>
  <c r="BS25" i="19"/>
  <c r="BV25" i="19"/>
  <c r="BY25" i="19"/>
  <c r="AL26" i="19"/>
  <c r="AO26" i="19"/>
  <c r="AR26" i="19"/>
  <c r="AU26" i="19"/>
  <c r="AX26" i="19"/>
  <c r="BA26" i="19"/>
  <c r="BD26" i="19"/>
  <c r="BG26" i="19"/>
  <c r="BJ26" i="19"/>
  <c r="BM26" i="19"/>
  <c r="BP26" i="19"/>
  <c r="BS26" i="19"/>
  <c r="BV26" i="19"/>
  <c r="BY26" i="19"/>
  <c r="AL27" i="19"/>
  <c r="AO27" i="19"/>
  <c r="AR27" i="19"/>
  <c r="AU27" i="19"/>
  <c r="AX27" i="19"/>
  <c r="BA27" i="19"/>
  <c r="BD27" i="19"/>
  <c r="BG27" i="19"/>
  <c r="BJ27" i="19"/>
  <c r="BM27" i="19"/>
  <c r="BP27" i="19"/>
  <c r="BS27" i="19"/>
  <c r="BV27" i="19"/>
  <c r="BY27" i="19"/>
  <c r="AL28" i="19"/>
  <c r="AO28" i="19"/>
  <c r="AR28" i="19"/>
  <c r="AU28" i="19"/>
  <c r="AX28" i="19"/>
  <c r="BA28" i="19"/>
  <c r="BD28" i="19"/>
  <c r="BG28" i="19"/>
  <c r="BJ28" i="19"/>
  <c r="BM28" i="19"/>
  <c r="BP28" i="19"/>
  <c r="BS28" i="19"/>
  <c r="BV28" i="19"/>
  <c r="BY28" i="19"/>
  <c r="AL29" i="19"/>
  <c r="AO29" i="19"/>
  <c r="AR29" i="19"/>
  <c r="AU29" i="19"/>
  <c r="AX29" i="19"/>
  <c r="BA29" i="19"/>
  <c r="BD29" i="19"/>
  <c r="BG29" i="19"/>
  <c r="BJ29" i="19"/>
  <c r="BM29" i="19"/>
  <c r="BP29" i="19"/>
  <c r="BS29" i="19"/>
  <c r="BV29" i="19"/>
  <c r="BY29" i="19"/>
  <c r="AL30" i="19"/>
  <c r="AO30" i="19"/>
  <c r="AR30" i="19"/>
  <c r="AU30" i="19"/>
  <c r="AX30" i="19"/>
  <c r="BA30" i="19"/>
  <c r="BD30" i="19"/>
  <c r="BG30" i="19"/>
  <c r="BJ30" i="19"/>
  <c r="BM30" i="19"/>
  <c r="BP30" i="19"/>
  <c r="BS30" i="19"/>
  <c r="BV30" i="19"/>
  <c r="BY30" i="19"/>
  <c r="AL31" i="19"/>
  <c r="AO31" i="19"/>
  <c r="AR31" i="19"/>
  <c r="AU31" i="19"/>
  <c r="AX31" i="19"/>
  <c r="BA31" i="19"/>
  <c r="BD31" i="19"/>
  <c r="BG31" i="19"/>
  <c r="BJ31" i="19"/>
  <c r="BM31" i="19"/>
  <c r="BP31" i="19"/>
  <c r="BS31" i="19"/>
  <c r="BV31" i="19"/>
  <c r="BY31" i="19"/>
  <c r="AL32" i="19"/>
  <c r="AO32" i="19"/>
  <c r="AR32" i="19"/>
  <c r="AU32" i="19"/>
  <c r="AX32" i="19"/>
  <c r="BA32" i="19"/>
  <c r="BD32" i="19"/>
  <c r="BG32" i="19"/>
  <c r="BJ32" i="19"/>
  <c r="BM32" i="19"/>
  <c r="BP32" i="19"/>
  <c r="BS32" i="19"/>
  <c r="BV32" i="19"/>
  <c r="BY32" i="19"/>
  <c r="AL33" i="19"/>
  <c r="AO33" i="19"/>
  <c r="AR33" i="19"/>
  <c r="AU33" i="19"/>
  <c r="AX33" i="19"/>
  <c r="BA33" i="19"/>
  <c r="BD33" i="19"/>
  <c r="BG33" i="19"/>
  <c r="BJ33" i="19"/>
  <c r="BM33" i="19"/>
  <c r="BP33" i="19"/>
  <c r="BS33" i="19"/>
  <c r="BV33" i="19"/>
  <c r="BY33" i="19"/>
  <c r="AL34" i="19"/>
  <c r="AO34" i="19"/>
  <c r="AU34" i="19"/>
  <c r="AX34" i="19"/>
  <c r="BA34" i="19"/>
  <c r="BD34" i="19"/>
  <c r="BG34" i="19"/>
  <c r="BJ34" i="19"/>
  <c r="BM34" i="19"/>
  <c r="BP34" i="19"/>
  <c r="BS34" i="19"/>
  <c r="BV34" i="19"/>
  <c r="BY34" i="19"/>
  <c r="BV35" i="19"/>
  <c r="AL36" i="19"/>
  <c r="AO36" i="19"/>
  <c r="AR36" i="19"/>
  <c r="AU36" i="19"/>
  <c r="AX36" i="19"/>
  <c r="BA36" i="19"/>
  <c r="BD36" i="19"/>
  <c r="BG36" i="19"/>
  <c r="BJ36" i="19"/>
  <c r="BM36" i="19"/>
  <c r="BP36" i="19"/>
  <c r="BS36" i="19"/>
  <c r="BV36" i="19"/>
  <c r="BY36" i="19"/>
  <c r="AI6" i="19"/>
  <c r="AI7" i="19"/>
  <c r="AI8" i="19"/>
  <c r="AI9" i="19"/>
  <c r="AI10" i="19"/>
  <c r="AI11" i="19"/>
  <c r="AI12" i="19"/>
  <c r="AI13" i="19"/>
  <c r="AI14" i="19"/>
  <c r="AI15" i="19"/>
  <c r="AI16" i="19"/>
  <c r="AI17" i="19"/>
  <c r="AI18" i="19"/>
  <c r="AI19" i="19"/>
  <c r="AI20" i="19"/>
  <c r="AI21" i="19"/>
  <c r="AI22" i="19"/>
  <c r="AI23" i="19"/>
  <c r="AI24" i="19"/>
  <c r="AI25" i="19"/>
  <c r="AI26" i="19"/>
  <c r="AI27" i="19"/>
  <c r="AI28" i="19"/>
  <c r="AI29" i="19"/>
  <c r="AI30" i="19"/>
  <c r="AI31" i="19"/>
  <c r="AI32" i="19"/>
  <c r="AI36" i="19"/>
  <c r="AF7" i="19"/>
  <c r="AF8" i="19"/>
  <c r="AF9" i="19"/>
  <c r="AF10" i="19"/>
  <c r="AF11" i="19"/>
  <c r="AF12" i="19"/>
  <c r="AF13" i="19"/>
  <c r="AF14" i="19"/>
  <c r="AF15" i="19"/>
  <c r="AF16" i="19"/>
  <c r="AF17" i="19"/>
  <c r="AF18" i="19"/>
  <c r="AF19" i="19"/>
  <c r="AF20" i="19"/>
  <c r="AF21" i="19"/>
  <c r="AF22" i="19"/>
  <c r="AF23" i="19"/>
  <c r="AF24" i="19"/>
  <c r="AF25" i="19"/>
  <c r="AF26" i="19"/>
  <c r="AF27" i="19"/>
  <c r="AF28" i="19"/>
  <c r="AF29" i="19"/>
  <c r="AF30" i="19"/>
  <c r="AF31" i="19"/>
  <c r="AF32" i="19"/>
  <c r="AF33" i="19"/>
  <c r="AF34" i="19"/>
  <c r="AF36" i="19"/>
  <c r="AC7" i="19"/>
  <c r="AC8" i="19"/>
  <c r="AC9" i="19"/>
  <c r="AC10" i="19"/>
  <c r="AC11" i="19"/>
  <c r="AC12" i="19"/>
  <c r="AC13" i="19"/>
  <c r="AC14" i="19"/>
  <c r="AC15" i="19"/>
  <c r="AC16" i="19"/>
  <c r="AC17" i="19"/>
  <c r="AC18" i="19"/>
  <c r="AC19" i="19"/>
  <c r="AC20" i="19"/>
  <c r="AC21" i="19"/>
  <c r="AC22" i="19"/>
  <c r="AC23" i="19"/>
  <c r="AC24" i="19"/>
  <c r="AC25" i="19"/>
  <c r="AC26" i="19"/>
  <c r="AC27" i="19"/>
  <c r="AC28" i="19"/>
  <c r="AC29" i="19"/>
  <c r="AC30" i="19"/>
  <c r="AC31" i="19"/>
  <c r="AC32" i="19"/>
  <c r="AC33" i="19"/>
  <c r="AC34" i="19"/>
  <c r="AC36" i="19"/>
  <c r="AC6" i="19"/>
  <c r="S6" i="19"/>
  <c r="H9" i="1" l="1"/>
  <c r="H10" i="1"/>
  <c r="H11" i="1"/>
  <c r="H12" i="1"/>
  <c r="H13" i="1"/>
  <c r="H14" i="1"/>
  <c r="H15" i="1"/>
  <c r="H8" i="1"/>
  <c r="W18" i="19" l="1"/>
  <c r="G20" i="1" s="1"/>
  <c r="B17" i="12" s="1"/>
  <c r="W19" i="19"/>
  <c r="G21" i="1" s="1"/>
  <c r="B18" i="12" s="1"/>
  <c r="W20" i="19"/>
  <c r="G22" i="1" s="1"/>
  <c r="B19" i="12" s="1"/>
  <c r="W21" i="19"/>
  <c r="G23" i="1" s="1"/>
  <c r="B20" i="12" s="1"/>
  <c r="W22" i="19"/>
  <c r="G24" i="1" s="1"/>
  <c r="B21" i="12" s="1"/>
  <c r="W23" i="19"/>
  <c r="G25" i="1" s="1"/>
  <c r="B22" i="12" s="1"/>
  <c r="W24" i="19"/>
  <c r="G26" i="1" s="1"/>
  <c r="B23" i="12" s="1"/>
  <c r="W25" i="19"/>
  <c r="G27" i="1" s="1"/>
  <c r="B24" i="12" s="1"/>
  <c r="W26" i="19"/>
  <c r="G28" i="1" s="1"/>
  <c r="B25" i="12" s="1"/>
  <c r="W27" i="19"/>
  <c r="G29" i="1" s="1"/>
  <c r="B26" i="12" s="1"/>
  <c r="W28" i="19"/>
  <c r="G30" i="1" s="1"/>
  <c r="B27" i="12" s="1"/>
  <c r="W29" i="19"/>
  <c r="G31" i="1" s="1"/>
  <c r="B28" i="12" s="1"/>
  <c r="W30" i="19"/>
  <c r="G32" i="1" s="1"/>
  <c r="B29" i="12" s="1"/>
  <c r="W31" i="19"/>
  <c r="G33" i="1" s="1"/>
  <c r="B30" i="12" s="1"/>
  <c r="W32" i="19"/>
  <c r="G34" i="1" s="1"/>
  <c r="B31" i="12" s="1"/>
  <c r="W33" i="19"/>
  <c r="G35" i="1" s="1"/>
  <c r="B32" i="12" s="1"/>
  <c r="W34" i="19"/>
  <c r="G36" i="1" s="1"/>
  <c r="B33" i="12" s="1"/>
  <c r="W35" i="19"/>
  <c r="G37" i="1" s="1"/>
  <c r="B34" i="12" s="1"/>
  <c r="W36" i="19"/>
  <c r="W7" i="19"/>
  <c r="G9" i="1" s="1"/>
  <c r="B6" i="12" s="1"/>
  <c r="W8" i="19"/>
  <c r="G10" i="1" s="1"/>
  <c r="B7" i="12" s="1"/>
  <c r="W9" i="19"/>
  <c r="G11" i="1" s="1"/>
  <c r="B8" i="12" s="1"/>
  <c r="W10" i="19"/>
  <c r="G12" i="1" s="1"/>
  <c r="B9" i="12" s="1"/>
  <c r="W11" i="19"/>
  <c r="G13" i="1" s="1"/>
  <c r="B10" i="12" s="1"/>
  <c r="W12" i="19"/>
  <c r="G14" i="1" s="1"/>
  <c r="B11" i="12" s="1"/>
  <c r="W13" i="19"/>
  <c r="G15" i="1" s="1"/>
  <c r="B12" i="12" s="1"/>
  <c r="W14" i="19"/>
  <c r="G16" i="1" s="1"/>
  <c r="B13" i="12" s="1"/>
  <c r="W15" i="19"/>
  <c r="G17" i="1" s="1"/>
  <c r="B14" i="12" s="1"/>
  <c r="W16" i="19"/>
  <c r="G18" i="1" s="1"/>
  <c r="B15" i="12" s="1"/>
  <c r="W17" i="19"/>
  <c r="G19" i="1" s="1"/>
  <c r="B16" i="12" s="1"/>
  <c r="W6" i="19"/>
  <c r="G8" i="1" l="1"/>
  <c r="B5" i="12" s="1"/>
  <c r="H6" i="21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G39" i="1" l="1"/>
  <c r="K30" i="17"/>
  <c r="L30" i="17"/>
  <c r="B41" i="6"/>
  <c r="B41" i="5"/>
  <c r="B41" i="4"/>
  <c r="E37" i="21"/>
  <c r="W37" i="19"/>
  <c r="W38" i="19" s="1"/>
  <c r="ER22" i="12"/>
  <c r="ET22" i="12" s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9" i="2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2" i="17"/>
  <c r="G34" i="22"/>
  <c r="H35" i="22" s="1"/>
  <c r="G33" i="22"/>
  <c r="G32" i="22"/>
  <c r="G31" i="22"/>
  <c r="G30" i="22"/>
  <c r="G29" i="22"/>
  <c r="G28" i="22"/>
  <c r="F29" i="21"/>
  <c r="G29" i="21" s="1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E4" i="22"/>
  <c r="H36" i="21"/>
  <c r="F36" i="21"/>
  <c r="G36" i="21" s="1"/>
  <c r="H35" i="21"/>
  <c r="F35" i="21"/>
  <c r="G35" i="21" s="1"/>
  <c r="E38" i="2" s="1"/>
  <c r="H34" i="21"/>
  <c r="F34" i="21"/>
  <c r="G34" i="21" s="1"/>
  <c r="H33" i="21"/>
  <c r="F33" i="21"/>
  <c r="G33" i="21" s="1"/>
  <c r="E35" i="1" s="1"/>
  <c r="H32" i="21"/>
  <c r="F32" i="21"/>
  <c r="G32" i="21" s="1"/>
  <c r="E35" i="2" s="1"/>
  <c r="H31" i="21"/>
  <c r="F31" i="21"/>
  <c r="G31" i="21" s="1"/>
  <c r="E30" i="22" s="1"/>
  <c r="H30" i="21"/>
  <c r="F30" i="21"/>
  <c r="G30" i="21" s="1"/>
  <c r="H29" i="21"/>
  <c r="H28" i="21"/>
  <c r="F28" i="21"/>
  <c r="G28" i="21" s="1"/>
  <c r="H27" i="21"/>
  <c r="F27" i="21"/>
  <c r="G27" i="21" s="1"/>
  <c r="H26" i="21"/>
  <c r="F26" i="21"/>
  <c r="G26" i="21" s="1"/>
  <c r="H25" i="21"/>
  <c r="F25" i="21"/>
  <c r="G25" i="21" s="1"/>
  <c r="H24" i="21"/>
  <c r="F24" i="21"/>
  <c r="G24" i="21" s="1"/>
  <c r="H23" i="21"/>
  <c r="F23" i="21"/>
  <c r="G23" i="21" s="1"/>
  <c r="H22" i="21"/>
  <c r="F22" i="21"/>
  <c r="G22" i="21" s="1"/>
  <c r="E21" i="22" s="1"/>
  <c r="H21" i="21"/>
  <c r="F21" i="21"/>
  <c r="G21" i="21" s="1"/>
  <c r="E20" i="22" s="1"/>
  <c r="H20" i="21"/>
  <c r="F20" i="21"/>
  <c r="G20" i="21" s="1"/>
  <c r="H19" i="21"/>
  <c r="F19" i="21"/>
  <c r="G19" i="21" s="1"/>
  <c r="E22" i="2" s="1"/>
  <c r="H18" i="21"/>
  <c r="F18" i="21"/>
  <c r="G18" i="21" s="1"/>
  <c r="H17" i="21"/>
  <c r="F17" i="21"/>
  <c r="G17" i="21" s="1"/>
  <c r="H16" i="21"/>
  <c r="F16" i="21"/>
  <c r="G16" i="21" s="1"/>
  <c r="H15" i="21"/>
  <c r="F15" i="21"/>
  <c r="G15" i="21" s="1"/>
  <c r="E17" i="1" s="1"/>
  <c r="H14" i="21"/>
  <c r="F14" i="21"/>
  <c r="G14" i="21" s="1"/>
  <c r="H13" i="21"/>
  <c r="F13" i="21"/>
  <c r="G13" i="21" s="1"/>
  <c r="H12" i="21"/>
  <c r="F12" i="21"/>
  <c r="G12" i="21" s="1"/>
  <c r="E15" i="2" s="1"/>
  <c r="H11" i="21"/>
  <c r="F11" i="21"/>
  <c r="G11" i="21" s="1"/>
  <c r="H10" i="21"/>
  <c r="F10" i="21"/>
  <c r="G10" i="21" s="1"/>
  <c r="H9" i="21"/>
  <c r="F9" i="21"/>
  <c r="G9" i="21" s="1"/>
  <c r="H8" i="21"/>
  <c r="F8" i="21"/>
  <c r="G8" i="21" s="1"/>
  <c r="H7" i="21"/>
  <c r="F7" i="21"/>
  <c r="G7" i="21" s="1"/>
  <c r="F6" i="21"/>
  <c r="G6" i="21" s="1"/>
  <c r="Q36" i="19"/>
  <c r="S36" i="19" s="1"/>
  <c r="L36" i="19"/>
  <c r="N36" i="19" s="1"/>
  <c r="G36" i="19"/>
  <c r="I36" i="19" s="1"/>
  <c r="B36" i="19"/>
  <c r="D36" i="19" s="1"/>
  <c r="Q35" i="19"/>
  <c r="S35" i="19" s="1"/>
  <c r="L35" i="19"/>
  <c r="N35" i="19" s="1"/>
  <c r="G35" i="19"/>
  <c r="I35" i="19" s="1"/>
  <c r="B35" i="19"/>
  <c r="D35" i="19" s="1"/>
  <c r="Q34" i="19"/>
  <c r="S34" i="19" s="1"/>
  <c r="L34" i="19"/>
  <c r="N34" i="19" s="1"/>
  <c r="G34" i="19"/>
  <c r="I34" i="19" s="1"/>
  <c r="B34" i="19"/>
  <c r="D34" i="19" s="1"/>
  <c r="Q33" i="19"/>
  <c r="S33" i="19" s="1"/>
  <c r="L33" i="19"/>
  <c r="N33" i="19" s="1"/>
  <c r="G33" i="19"/>
  <c r="I33" i="19" s="1"/>
  <c r="B33" i="19"/>
  <c r="D33" i="19" s="1"/>
  <c r="Q32" i="19"/>
  <c r="S32" i="19" s="1"/>
  <c r="L32" i="19"/>
  <c r="N32" i="19" s="1"/>
  <c r="G32" i="19"/>
  <c r="I32" i="19" s="1"/>
  <c r="B32" i="19"/>
  <c r="D32" i="19" s="1"/>
  <c r="Q31" i="19"/>
  <c r="S31" i="19" s="1"/>
  <c r="L31" i="19"/>
  <c r="N31" i="19" s="1"/>
  <c r="G31" i="19"/>
  <c r="I31" i="19" s="1"/>
  <c r="B31" i="19"/>
  <c r="D31" i="19" s="1"/>
  <c r="Q30" i="19"/>
  <c r="S30" i="19" s="1"/>
  <c r="L30" i="19"/>
  <c r="N30" i="19" s="1"/>
  <c r="G30" i="19"/>
  <c r="I30" i="19" s="1"/>
  <c r="B30" i="19"/>
  <c r="D30" i="19" s="1"/>
  <c r="Q29" i="19"/>
  <c r="S29" i="19" s="1"/>
  <c r="L29" i="19"/>
  <c r="N29" i="19" s="1"/>
  <c r="G29" i="19"/>
  <c r="I29" i="19" s="1"/>
  <c r="B29" i="19"/>
  <c r="D29" i="19" s="1"/>
  <c r="Q28" i="19"/>
  <c r="S28" i="19" s="1"/>
  <c r="L28" i="19"/>
  <c r="N28" i="19" s="1"/>
  <c r="G28" i="19"/>
  <c r="I28" i="19" s="1"/>
  <c r="B28" i="19"/>
  <c r="D28" i="19" s="1"/>
  <c r="Q27" i="19"/>
  <c r="S27" i="19" s="1"/>
  <c r="L27" i="19"/>
  <c r="N27" i="19" s="1"/>
  <c r="G27" i="19"/>
  <c r="I27" i="19" s="1"/>
  <c r="B27" i="19"/>
  <c r="D27" i="19" s="1"/>
  <c r="Q26" i="19"/>
  <c r="S26" i="19" s="1"/>
  <c r="L26" i="19"/>
  <c r="N26" i="19" s="1"/>
  <c r="G26" i="19"/>
  <c r="I26" i="19" s="1"/>
  <c r="B26" i="19"/>
  <c r="D26" i="19" s="1"/>
  <c r="Q25" i="19"/>
  <c r="S25" i="19" s="1"/>
  <c r="L25" i="19"/>
  <c r="N25" i="19" s="1"/>
  <c r="G25" i="19"/>
  <c r="I25" i="19" s="1"/>
  <c r="B25" i="19"/>
  <c r="D25" i="19" s="1"/>
  <c r="Q24" i="19"/>
  <c r="S24" i="19" s="1"/>
  <c r="L24" i="19"/>
  <c r="N24" i="19" s="1"/>
  <c r="G24" i="19"/>
  <c r="I24" i="19" s="1"/>
  <c r="B24" i="19"/>
  <c r="D24" i="19" s="1"/>
  <c r="Q23" i="19"/>
  <c r="S23" i="19" s="1"/>
  <c r="L23" i="19"/>
  <c r="N23" i="19" s="1"/>
  <c r="G23" i="19"/>
  <c r="I23" i="19" s="1"/>
  <c r="B23" i="19"/>
  <c r="D23" i="19" s="1"/>
  <c r="Q22" i="19"/>
  <c r="S22" i="19" s="1"/>
  <c r="L22" i="19"/>
  <c r="N22" i="19" s="1"/>
  <c r="G22" i="19"/>
  <c r="I22" i="19" s="1"/>
  <c r="B22" i="19"/>
  <c r="D22" i="19" s="1"/>
  <c r="Q21" i="19"/>
  <c r="S21" i="19" s="1"/>
  <c r="L21" i="19"/>
  <c r="N21" i="19" s="1"/>
  <c r="G21" i="19"/>
  <c r="I21" i="19" s="1"/>
  <c r="B21" i="19"/>
  <c r="D21" i="19" s="1"/>
  <c r="Q20" i="19"/>
  <c r="S20" i="19" s="1"/>
  <c r="L20" i="19"/>
  <c r="N20" i="19" s="1"/>
  <c r="G20" i="19"/>
  <c r="I20" i="19" s="1"/>
  <c r="B20" i="19"/>
  <c r="D20" i="19" s="1"/>
  <c r="Q19" i="19"/>
  <c r="S19" i="19" s="1"/>
  <c r="L19" i="19"/>
  <c r="N19" i="19" s="1"/>
  <c r="G19" i="19"/>
  <c r="I19" i="19" s="1"/>
  <c r="B19" i="19"/>
  <c r="D19" i="19" s="1"/>
  <c r="Q18" i="19"/>
  <c r="S18" i="19" s="1"/>
  <c r="L18" i="19"/>
  <c r="N18" i="19" s="1"/>
  <c r="G18" i="19"/>
  <c r="I18" i="19" s="1"/>
  <c r="B18" i="19"/>
  <c r="D18" i="19" s="1"/>
  <c r="Q17" i="19"/>
  <c r="S17" i="19" s="1"/>
  <c r="L17" i="19"/>
  <c r="N17" i="19" s="1"/>
  <c r="G17" i="19"/>
  <c r="I17" i="19" s="1"/>
  <c r="B17" i="19"/>
  <c r="D17" i="19" s="1"/>
  <c r="S16" i="19"/>
  <c r="N16" i="19"/>
  <c r="I16" i="19"/>
  <c r="B16" i="19"/>
  <c r="D16" i="19" s="1"/>
  <c r="S15" i="19"/>
  <c r="N15" i="19"/>
  <c r="I15" i="19"/>
  <c r="D15" i="19"/>
  <c r="S14" i="19"/>
  <c r="N14" i="19"/>
  <c r="I14" i="19"/>
  <c r="D14" i="19"/>
  <c r="S13" i="19"/>
  <c r="N13" i="19"/>
  <c r="I13" i="19"/>
  <c r="D13" i="19"/>
  <c r="S12" i="19"/>
  <c r="N12" i="19"/>
  <c r="I12" i="19"/>
  <c r="D12" i="19"/>
  <c r="Q11" i="19"/>
  <c r="S11" i="19" s="1"/>
  <c r="L11" i="19"/>
  <c r="N11" i="19" s="1"/>
  <c r="I11" i="19"/>
  <c r="B11" i="19"/>
  <c r="D11" i="19" s="1"/>
  <c r="Q10" i="19"/>
  <c r="S10" i="19" s="1"/>
  <c r="L10" i="19"/>
  <c r="N10" i="19" s="1"/>
  <c r="I10" i="19"/>
  <c r="B10" i="19"/>
  <c r="D10" i="19" s="1"/>
  <c r="Q9" i="19"/>
  <c r="S9" i="19" s="1"/>
  <c r="L9" i="19"/>
  <c r="N9" i="19" s="1"/>
  <c r="G9" i="19"/>
  <c r="I9" i="19" s="1"/>
  <c r="B9" i="19"/>
  <c r="D9" i="19" s="1"/>
  <c r="Q8" i="19"/>
  <c r="S8" i="19" s="1"/>
  <c r="L8" i="19"/>
  <c r="N8" i="19" s="1"/>
  <c r="G8" i="19"/>
  <c r="I8" i="19" s="1"/>
  <c r="B8" i="19"/>
  <c r="D8" i="19" s="1"/>
  <c r="Q7" i="19"/>
  <c r="S7" i="19" s="1"/>
  <c r="L7" i="19"/>
  <c r="N7" i="19" s="1"/>
  <c r="G7" i="19"/>
  <c r="I7" i="19" s="1"/>
  <c r="B7" i="19"/>
  <c r="D7" i="19" s="1"/>
  <c r="N6" i="19"/>
  <c r="I6" i="19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EM23" i="12"/>
  <c r="EO23" i="12" s="1"/>
  <c r="ER34" i="12"/>
  <c r="ET34" i="12" s="1"/>
  <c r="EU35" i="12" s="1"/>
  <c r="ER33" i="12"/>
  <c r="ET33" i="12" s="1"/>
  <c r="ER32" i="12"/>
  <c r="ET32" i="12" s="1"/>
  <c r="ER31" i="12"/>
  <c r="ET31" i="12" s="1"/>
  <c r="ER30" i="12"/>
  <c r="ET30" i="12" s="1"/>
  <c r="ER29" i="12"/>
  <c r="ET29" i="12" s="1"/>
  <c r="ER28" i="12"/>
  <c r="ET28" i="12" s="1"/>
  <c r="ER27" i="12"/>
  <c r="ET27" i="12" s="1"/>
  <c r="ER26" i="12"/>
  <c r="ET26" i="12" s="1"/>
  <c r="ER25" i="12"/>
  <c r="ET25" i="12" s="1"/>
  <c r="ER24" i="12"/>
  <c r="ET24" i="12" s="1"/>
  <c r="ER23" i="12"/>
  <c r="ET23" i="12" s="1"/>
  <c r="ER21" i="12"/>
  <c r="ET21" i="12" s="1"/>
  <c r="ER20" i="12"/>
  <c r="ET20" i="12" s="1"/>
  <c r="ER19" i="12"/>
  <c r="ET19" i="12" s="1"/>
  <c r="ER18" i="12"/>
  <c r="ET18" i="12" s="1"/>
  <c r="ER17" i="12"/>
  <c r="ET17" i="12" s="1"/>
  <c r="ER16" i="12"/>
  <c r="ET16" i="12" s="1"/>
  <c r="ER15" i="12"/>
  <c r="ET15" i="12" s="1"/>
  <c r="ER14" i="12"/>
  <c r="ET14" i="12" s="1"/>
  <c r="ER13" i="12"/>
  <c r="ET13" i="12" s="1"/>
  <c r="ER12" i="12"/>
  <c r="ET12" i="12" s="1"/>
  <c r="ER11" i="12"/>
  <c r="ET11" i="12" s="1"/>
  <c r="ER10" i="12"/>
  <c r="ET10" i="12" s="1"/>
  <c r="ER9" i="12"/>
  <c r="ET9" i="12" s="1"/>
  <c r="ER8" i="12"/>
  <c r="ET8" i="12" s="1"/>
  <c r="ER7" i="12"/>
  <c r="ET7" i="12" s="1"/>
  <c r="ER6" i="12"/>
  <c r="ET6" i="12" s="1"/>
  <c r="ET5" i="12"/>
  <c r="EM34" i="12"/>
  <c r="EO34" i="12" s="1"/>
  <c r="EP35" i="12" s="1"/>
  <c r="EM33" i="12"/>
  <c r="EO33" i="12" s="1"/>
  <c r="EM32" i="12"/>
  <c r="EO32" i="12" s="1"/>
  <c r="EM31" i="12"/>
  <c r="EO31" i="12" s="1"/>
  <c r="EM30" i="12"/>
  <c r="EO30" i="12" s="1"/>
  <c r="EM29" i="12"/>
  <c r="EO29" i="12" s="1"/>
  <c r="EM28" i="12"/>
  <c r="EO28" i="12" s="1"/>
  <c r="EM27" i="12"/>
  <c r="EO27" i="12" s="1"/>
  <c r="EM26" i="12"/>
  <c r="EO26" i="12" s="1"/>
  <c r="EM25" i="12"/>
  <c r="EO25" i="12" s="1"/>
  <c r="EM24" i="12"/>
  <c r="EO24" i="12" s="1"/>
  <c r="EM22" i="12"/>
  <c r="EO22" i="12" s="1"/>
  <c r="EM21" i="12"/>
  <c r="EO21" i="12" s="1"/>
  <c r="EM20" i="12"/>
  <c r="EO20" i="12" s="1"/>
  <c r="EM19" i="12"/>
  <c r="EO19" i="12" s="1"/>
  <c r="EM18" i="12"/>
  <c r="EO18" i="12" s="1"/>
  <c r="EM17" i="12"/>
  <c r="EO17" i="12" s="1"/>
  <c r="EM16" i="12"/>
  <c r="EO16" i="12" s="1"/>
  <c r="EM15" i="12"/>
  <c r="EO15" i="12" s="1"/>
  <c r="EM14" i="12"/>
  <c r="EO14" i="12" s="1"/>
  <c r="EM13" i="12"/>
  <c r="EO13" i="12" s="1"/>
  <c r="EM12" i="12"/>
  <c r="EO12" i="12" s="1"/>
  <c r="EM11" i="12"/>
  <c r="EO11" i="12" s="1"/>
  <c r="EM10" i="12"/>
  <c r="EO10" i="12" s="1"/>
  <c r="EM9" i="12"/>
  <c r="EO9" i="12" s="1"/>
  <c r="EM8" i="12"/>
  <c r="EO8" i="12" s="1"/>
  <c r="EM7" i="12"/>
  <c r="EO7" i="12" s="1"/>
  <c r="EM6" i="12"/>
  <c r="EO6" i="12" s="1"/>
  <c r="EO5" i="12"/>
  <c r="EH34" i="12"/>
  <c r="EJ34" i="12" s="1"/>
  <c r="EK35" i="12" s="1"/>
  <c r="EH33" i="12"/>
  <c r="EJ33" i="12" s="1"/>
  <c r="EH32" i="12"/>
  <c r="EJ32" i="12" s="1"/>
  <c r="EH31" i="12"/>
  <c r="EJ31" i="12" s="1"/>
  <c r="EH30" i="12"/>
  <c r="EJ30" i="12" s="1"/>
  <c r="EH29" i="12"/>
  <c r="EJ29" i="12" s="1"/>
  <c r="EH28" i="12"/>
  <c r="EJ28" i="12" s="1"/>
  <c r="EH27" i="12"/>
  <c r="EJ27" i="12" s="1"/>
  <c r="EH26" i="12"/>
  <c r="EJ26" i="12" s="1"/>
  <c r="EH25" i="12"/>
  <c r="EJ25" i="12" s="1"/>
  <c r="EH24" i="12"/>
  <c r="EJ24" i="12" s="1"/>
  <c r="EH23" i="12"/>
  <c r="EJ23" i="12" s="1"/>
  <c r="EH22" i="12"/>
  <c r="EJ22" i="12" s="1"/>
  <c r="EH21" i="12"/>
  <c r="EJ21" i="12" s="1"/>
  <c r="EH20" i="12"/>
  <c r="EJ20" i="12" s="1"/>
  <c r="EH19" i="12"/>
  <c r="EJ19" i="12" s="1"/>
  <c r="EH18" i="12"/>
  <c r="EJ18" i="12" s="1"/>
  <c r="EH17" i="12"/>
  <c r="EJ17" i="12" s="1"/>
  <c r="EH16" i="12"/>
  <c r="EJ16" i="12" s="1"/>
  <c r="EH15" i="12"/>
  <c r="EJ15" i="12" s="1"/>
  <c r="EH14" i="12"/>
  <c r="EJ14" i="12" s="1"/>
  <c r="EH13" i="12"/>
  <c r="EJ13" i="12" s="1"/>
  <c r="EH12" i="12"/>
  <c r="EJ12" i="12" s="1"/>
  <c r="EH11" i="12"/>
  <c r="EJ11" i="12" s="1"/>
  <c r="EH10" i="12"/>
  <c r="EJ10" i="12" s="1"/>
  <c r="EH9" i="12"/>
  <c r="EJ9" i="12" s="1"/>
  <c r="EH8" i="12"/>
  <c r="EJ8" i="12" s="1"/>
  <c r="EH7" i="12"/>
  <c r="EJ7" i="12" s="1"/>
  <c r="EH6" i="12"/>
  <c r="EJ6" i="12" s="1"/>
  <c r="EJ5" i="12"/>
  <c r="EC34" i="12"/>
  <c r="EE34" i="12" s="1"/>
  <c r="EF35" i="12" s="1"/>
  <c r="EC33" i="12"/>
  <c r="EE33" i="12" s="1"/>
  <c r="EC32" i="12"/>
  <c r="EE32" i="12" s="1"/>
  <c r="EC31" i="12"/>
  <c r="EE31" i="12" s="1"/>
  <c r="EC30" i="12"/>
  <c r="EE30" i="12" s="1"/>
  <c r="EC29" i="12"/>
  <c r="EE29" i="12" s="1"/>
  <c r="EC28" i="12"/>
  <c r="EE28" i="12" s="1"/>
  <c r="EC27" i="12"/>
  <c r="EE27" i="12" s="1"/>
  <c r="EC26" i="12"/>
  <c r="EE26" i="12" s="1"/>
  <c r="EC25" i="12"/>
  <c r="EE25" i="12" s="1"/>
  <c r="EC24" i="12"/>
  <c r="EE24" i="12" s="1"/>
  <c r="EC23" i="12"/>
  <c r="EE23" i="12" s="1"/>
  <c r="EC22" i="12"/>
  <c r="EE22" i="12" s="1"/>
  <c r="EC21" i="12"/>
  <c r="EE21" i="12" s="1"/>
  <c r="EC20" i="12"/>
  <c r="EE20" i="12" s="1"/>
  <c r="EC19" i="12"/>
  <c r="EE19" i="12" s="1"/>
  <c r="EC18" i="12"/>
  <c r="EE18" i="12" s="1"/>
  <c r="EC17" i="12"/>
  <c r="EE17" i="12" s="1"/>
  <c r="EC16" i="12"/>
  <c r="EE16" i="12" s="1"/>
  <c r="EC15" i="12"/>
  <c r="EE15" i="12" s="1"/>
  <c r="EC14" i="12"/>
  <c r="EE14" i="12" s="1"/>
  <c r="EC13" i="12"/>
  <c r="EE13" i="12" s="1"/>
  <c r="EC12" i="12"/>
  <c r="EE12" i="12" s="1"/>
  <c r="EC11" i="12"/>
  <c r="EE11" i="12" s="1"/>
  <c r="EC10" i="12"/>
  <c r="EE10" i="12" s="1"/>
  <c r="EC9" i="12"/>
  <c r="EE9" i="12" s="1"/>
  <c r="EC8" i="12"/>
  <c r="EE8" i="12" s="1"/>
  <c r="EC7" i="12"/>
  <c r="EE7" i="12" s="1"/>
  <c r="EC6" i="12"/>
  <c r="EE6" i="12" s="1"/>
  <c r="EE5" i="12"/>
  <c r="DX34" i="12"/>
  <c r="DZ34" i="12" s="1"/>
  <c r="EA35" i="12" s="1"/>
  <c r="DX33" i="12"/>
  <c r="DZ33" i="12" s="1"/>
  <c r="DX32" i="12"/>
  <c r="DZ32" i="12" s="1"/>
  <c r="DX31" i="12"/>
  <c r="DZ31" i="12" s="1"/>
  <c r="DX30" i="12"/>
  <c r="DZ30" i="12" s="1"/>
  <c r="DX29" i="12"/>
  <c r="DZ29" i="12" s="1"/>
  <c r="DX28" i="12"/>
  <c r="DZ28" i="12" s="1"/>
  <c r="DX27" i="12"/>
  <c r="DZ27" i="12" s="1"/>
  <c r="DX26" i="12"/>
  <c r="DZ26" i="12" s="1"/>
  <c r="DX25" i="12"/>
  <c r="DZ25" i="12" s="1"/>
  <c r="DX24" i="12"/>
  <c r="DZ24" i="12" s="1"/>
  <c r="DX23" i="12"/>
  <c r="DZ23" i="12" s="1"/>
  <c r="DX22" i="12"/>
  <c r="DZ22" i="12" s="1"/>
  <c r="DX21" i="12"/>
  <c r="DZ21" i="12" s="1"/>
  <c r="DX20" i="12"/>
  <c r="DZ20" i="12" s="1"/>
  <c r="DX19" i="12"/>
  <c r="DZ19" i="12" s="1"/>
  <c r="DX18" i="12"/>
  <c r="DZ18" i="12" s="1"/>
  <c r="DX17" i="12"/>
  <c r="DZ17" i="12" s="1"/>
  <c r="DX16" i="12"/>
  <c r="DZ16" i="12" s="1"/>
  <c r="DX15" i="12"/>
  <c r="DZ15" i="12" s="1"/>
  <c r="DX14" i="12"/>
  <c r="DZ14" i="12" s="1"/>
  <c r="DX13" i="12"/>
  <c r="DZ13" i="12" s="1"/>
  <c r="DX12" i="12"/>
  <c r="DZ12" i="12" s="1"/>
  <c r="DX11" i="12"/>
  <c r="DZ11" i="12" s="1"/>
  <c r="DX10" i="12"/>
  <c r="DZ10" i="12" s="1"/>
  <c r="DX9" i="12"/>
  <c r="DZ9" i="12" s="1"/>
  <c r="DX8" i="12"/>
  <c r="DZ8" i="12" s="1"/>
  <c r="DX7" i="12"/>
  <c r="DZ7" i="12" s="1"/>
  <c r="DX6" i="12"/>
  <c r="DZ6" i="12" s="1"/>
  <c r="DZ5" i="12"/>
  <c r="DS34" i="12"/>
  <c r="DU34" i="12" s="1"/>
  <c r="DV35" i="12" s="1"/>
  <c r="DS33" i="12"/>
  <c r="DU33" i="12" s="1"/>
  <c r="DS32" i="12"/>
  <c r="DU32" i="12" s="1"/>
  <c r="DS31" i="12"/>
  <c r="DU31" i="12" s="1"/>
  <c r="DS30" i="12"/>
  <c r="DU30" i="12" s="1"/>
  <c r="DS29" i="12"/>
  <c r="DU29" i="12" s="1"/>
  <c r="DS28" i="12"/>
  <c r="DU28" i="12" s="1"/>
  <c r="DS27" i="12"/>
  <c r="DU27" i="12" s="1"/>
  <c r="DS26" i="12"/>
  <c r="DU26" i="12" s="1"/>
  <c r="DS25" i="12"/>
  <c r="DU25" i="12" s="1"/>
  <c r="DS24" i="12"/>
  <c r="DU24" i="12" s="1"/>
  <c r="DS23" i="12"/>
  <c r="DU23" i="12" s="1"/>
  <c r="DS22" i="12"/>
  <c r="DU22" i="12" s="1"/>
  <c r="DS21" i="12"/>
  <c r="DU21" i="12" s="1"/>
  <c r="DS20" i="12"/>
  <c r="DU20" i="12" s="1"/>
  <c r="DS19" i="12"/>
  <c r="DU19" i="12" s="1"/>
  <c r="DS18" i="12"/>
  <c r="DU18" i="12" s="1"/>
  <c r="DS17" i="12"/>
  <c r="DU17" i="12" s="1"/>
  <c r="DS16" i="12"/>
  <c r="DU16" i="12" s="1"/>
  <c r="DS15" i="12"/>
  <c r="DU15" i="12" s="1"/>
  <c r="DS14" i="12"/>
  <c r="DU14" i="12" s="1"/>
  <c r="DS13" i="12"/>
  <c r="DU13" i="12" s="1"/>
  <c r="DS12" i="12"/>
  <c r="DU12" i="12" s="1"/>
  <c r="DS11" i="12"/>
  <c r="DU11" i="12" s="1"/>
  <c r="DS10" i="12"/>
  <c r="DU10" i="12" s="1"/>
  <c r="DS9" i="12"/>
  <c r="DU9" i="12" s="1"/>
  <c r="DS8" i="12"/>
  <c r="DU8" i="12" s="1"/>
  <c r="DS7" i="12"/>
  <c r="DU7" i="12" s="1"/>
  <c r="DS6" i="12"/>
  <c r="DU6" i="12" s="1"/>
  <c r="DU5" i="12"/>
  <c r="DN34" i="12"/>
  <c r="DP34" i="12" s="1"/>
  <c r="DQ35" i="12" s="1"/>
  <c r="DN33" i="12"/>
  <c r="DP33" i="12" s="1"/>
  <c r="DN32" i="12"/>
  <c r="DP32" i="12" s="1"/>
  <c r="DN31" i="12"/>
  <c r="DP31" i="12" s="1"/>
  <c r="DN30" i="12"/>
  <c r="DP30" i="12" s="1"/>
  <c r="DN29" i="12"/>
  <c r="DP29" i="12" s="1"/>
  <c r="DN28" i="12"/>
  <c r="DP28" i="12" s="1"/>
  <c r="DN27" i="12"/>
  <c r="DP27" i="12" s="1"/>
  <c r="DN26" i="12"/>
  <c r="DP26" i="12" s="1"/>
  <c r="DN25" i="12"/>
  <c r="DP25" i="12" s="1"/>
  <c r="DN24" i="12"/>
  <c r="DP24" i="12" s="1"/>
  <c r="DN23" i="12"/>
  <c r="DP23" i="12" s="1"/>
  <c r="DN22" i="12"/>
  <c r="DP22" i="12" s="1"/>
  <c r="DN21" i="12"/>
  <c r="DP21" i="12" s="1"/>
  <c r="DN20" i="12"/>
  <c r="DP20" i="12" s="1"/>
  <c r="DN19" i="12"/>
  <c r="DP19" i="12" s="1"/>
  <c r="DN18" i="12"/>
  <c r="DP18" i="12" s="1"/>
  <c r="DN17" i="12"/>
  <c r="DP17" i="12" s="1"/>
  <c r="DN16" i="12"/>
  <c r="DP16" i="12" s="1"/>
  <c r="DN15" i="12"/>
  <c r="DP15" i="12" s="1"/>
  <c r="DN14" i="12"/>
  <c r="DP14" i="12" s="1"/>
  <c r="DN13" i="12"/>
  <c r="DP13" i="12" s="1"/>
  <c r="DN12" i="12"/>
  <c r="DP12" i="12" s="1"/>
  <c r="DN11" i="12"/>
  <c r="DP11" i="12" s="1"/>
  <c r="DN10" i="12"/>
  <c r="DP10" i="12" s="1"/>
  <c r="DN9" i="12"/>
  <c r="DP9" i="12" s="1"/>
  <c r="DN8" i="12"/>
  <c r="DP8" i="12" s="1"/>
  <c r="DN7" i="12"/>
  <c r="DP7" i="12" s="1"/>
  <c r="DN6" i="12"/>
  <c r="DP6" i="12" s="1"/>
  <c r="DP5" i="12"/>
  <c r="DI34" i="12"/>
  <c r="DK34" i="12" s="1"/>
  <c r="DL35" i="12" s="1"/>
  <c r="CT34" i="12"/>
  <c r="CV34" i="12" s="1"/>
  <c r="CW35" i="12" s="1"/>
  <c r="CO34" i="12"/>
  <c r="CQ34" i="12" s="1"/>
  <c r="CR35" i="12" s="1"/>
  <c r="CJ34" i="12"/>
  <c r="CL34" i="12" s="1"/>
  <c r="CM35" i="12" s="1"/>
  <c r="BZ34" i="12"/>
  <c r="CB34" i="12" s="1"/>
  <c r="CC35" i="12" s="1"/>
  <c r="BU34" i="12"/>
  <c r="BW34" i="12" s="1"/>
  <c r="BX35" i="12" s="1"/>
  <c r="BP34" i="12"/>
  <c r="BR34" i="12" s="1"/>
  <c r="BS35" i="12" s="1"/>
  <c r="CE34" i="12"/>
  <c r="CG34" i="12" s="1"/>
  <c r="CH35" i="12" s="1"/>
  <c r="BF34" i="12"/>
  <c r="BH34" i="12" s="1"/>
  <c r="BI35" i="12" s="1"/>
  <c r="BK34" i="12"/>
  <c r="BM34" i="12" s="1"/>
  <c r="BN35" i="12" s="1"/>
  <c r="BA34" i="12"/>
  <c r="BC34" i="12" s="1"/>
  <c r="BD35" i="12" s="1"/>
  <c r="AV34" i="12"/>
  <c r="AX34" i="12" s="1"/>
  <c r="AY35" i="12" s="1"/>
  <c r="AQ34" i="12"/>
  <c r="AS34" i="12" s="1"/>
  <c r="AT35" i="12" s="1"/>
  <c r="AL34" i="12"/>
  <c r="AN34" i="12" s="1"/>
  <c r="AO35" i="12" s="1"/>
  <c r="AG34" i="12"/>
  <c r="AI34" i="12" s="1"/>
  <c r="AJ35" i="12" s="1"/>
  <c r="AB34" i="12"/>
  <c r="AD34" i="12" s="1"/>
  <c r="AE35" i="12" s="1"/>
  <c r="W34" i="12"/>
  <c r="Y34" i="12" s="1"/>
  <c r="Z35" i="12" s="1"/>
  <c r="B34" i="9"/>
  <c r="D34" i="9" s="1"/>
  <c r="C37" i="1" s="1"/>
  <c r="G35" i="15"/>
  <c r="F35" i="15"/>
  <c r="D35" i="15"/>
  <c r="C35" i="15"/>
  <c r="D38" i="11"/>
  <c r="BW5" i="12"/>
  <c r="AS5" i="12"/>
  <c r="B39" i="4"/>
  <c r="D39" i="4" s="1"/>
  <c r="D34" i="15" s="1"/>
  <c r="B38" i="6"/>
  <c r="D38" i="6" s="1"/>
  <c r="F33" i="15" s="1"/>
  <c r="B39" i="6"/>
  <c r="D39" i="6" s="1"/>
  <c r="F34" i="15" s="1"/>
  <c r="D10" i="4"/>
  <c r="B11" i="4"/>
  <c r="D11" i="4" s="1"/>
  <c r="B12" i="4"/>
  <c r="D12" i="4" s="1"/>
  <c r="D7" i="15" s="1"/>
  <c r="B13" i="4"/>
  <c r="D13" i="4" s="1"/>
  <c r="D8" i="15" s="1"/>
  <c r="B14" i="4"/>
  <c r="D14" i="4" s="1"/>
  <c r="D9" i="15" s="1"/>
  <c r="B15" i="4"/>
  <c r="D15" i="4" s="1"/>
  <c r="D10" i="15" s="1"/>
  <c r="B16" i="4"/>
  <c r="D16" i="4" s="1"/>
  <c r="B17" i="4"/>
  <c r="D17" i="4" s="1"/>
  <c r="D12" i="15" s="1"/>
  <c r="B18" i="4"/>
  <c r="D18" i="4" s="1"/>
  <c r="D13" i="15" s="1"/>
  <c r="B19" i="4"/>
  <c r="D19" i="4" s="1"/>
  <c r="D14" i="15" s="1"/>
  <c r="B20" i="4"/>
  <c r="B21" i="4"/>
  <c r="D21" i="4" s="1"/>
  <c r="D16" i="15" s="1"/>
  <c r="B22" i="4"/>
  <c r="D22" i="4" s="1"/>
  <c r="D17" i="15" s="1"/>
  <c r="B23" i="4"/>
  <c r="D23" i="4" s="1"/>
  <c r="D18" i="15" s="1"/>
  <c r="B24" i="4"/>
  <c r="D24" i="4" s="1"/>
  <c r="D19" i="15" s="1"/>
  <c r="B25" i="4"/>
  <c r="D25" i="4" s="1"/>
  <c r="D20" i="15" s="1"/>
  <c r="B26" i="4"/>
  <c r="D26" i="4" s="1"/>
  <c r="D21" i="15" s="1"/>
  <c r="B27" i="4"/>
  <c r="D27" i="4" s="1"/>
  <c r="D22" i="15" s="1"/>
  <c r="B28" i="4"/>
  <c r="D28" i="4" s="1"/>
  <c r="D23" i="15" s="1"/>
  <c r="B29" i="4"/>
  <c r="D29" i="4" s="1"/>
  <c r="D24" i="15" s="1"/>
  <c r="B30" i="4"/>
  <c r="D30" i="4" s="1"/>
  <c r="D25" i="15" s="1"/>
  <c r="B31" i="4"/>
  <c r="D31" i="4" s="1"/>
  <c r="D26" i="15" s="1"/>
  <c r="B32" i="4"/>
  <c r="D32" i="4" s="1"/>
  <c r="D27" i="15" s="1"/>
  <c r="B33" i="4"/>
  <c r="D33" i="4" s="1"/>
  <c r="D28" i="15" s="1"/>
  <c r="B34" i="4"/>
  <c r="B35" i="4"/>
  <c r="D35" i="4" s="1"/>
  <c r="D30" i="15" s="1"/>
  <c r="B36" i="4"/>
  <c r="D36" i="4" s="1"/>
  <c r="D31" i="15" s="1"/>
  <c r="B37" i="4"/>
  <c r="D37" i="4" s="1"/>
  <c r="D32" i="15" s="1"/>
  <c r="B38" i="4"/>
  <c r="D38" i="4" s="1"/>
  <c r="D33" i="15" s="1"/>
  <c r="B12" i="5"/>
  <c r="D12" i="5" s="1"/>
  <c r="E7" i="15" s="1"/>
  <c r="B13" i="5"/>
  <c r="D13" i="5" s="1"/>
  <c r="E8" i="15" s="1"/>
  <c r="B14" i="5"/>
  <c r="D14" i="5" s="1"/>
  <c r="E9" i="15" s="1"/>
  <c r="AB7" i="12"/>
  <c r="AD7" i="12" s="1"/>
  <c r="AB8" i="12"/>
  <c r="AD8" i="12" s="1"/>
  <c r="AB9" i="12"/>
  <c r="AD9" i="12" s="1"/>
  <c r="AB10" i="12"/>
  <c r="AD10" i="12" s="1"/>
  <c r="AB11" i="12"/>
  <c r="AD11" i="12" s="1"/>
  <c r="AB12" i="12"/>
  <c r="AD12" i="12" s="1"/>
  <c r="AB13" i="12"/>
  <c r="AD13" i="12" s="1"/>
  <c r="AB14" i="12"/>
  <c r="AD14" i="12" s="1"/>
  <c r="AB15" i="12"/>
  <c r="AD15" i="12" s="1"/>
  <c r="AB16" i="12"/>
  <c r="AD16" i="12" s="1"/>
  <c r="AB17" i="12"/>
  <c r="AD17" i="12" s="1"/>
  <c r="AB18" i="12"/>
  <c r="AD18" i="12" s="1"/>
  <c r="AB19" i="12"/>
  <c r="AD19" i="12" s="1"/>
  <c r="AB20" i="12"/>
  <c r="AD20" i="12" s="1"/>
  <c r="AB21" i="12"/>
  <c r="AD21" i="12" s="1"/>
  <c r="AB22" i="12"/>
  <c r="AD22" i="12" s="1"/>
  <c r="AB23" i="12"/>
  <c r="AD23" i="12" s="1"/>
  <c r="AB24" i="12"/>
  <c r="AD24" i="12" s="1"/>
  <c r="AB25" i="12"/>
  <c r="AD25" i="12" s="1"/>
  <c r="AB26" i="12"/>
  <c r="AD26" i="12" s="1"/>
  <c r="AB27" i="12"/>
  <c r="AD27" i="12" s="1"/>
  <c r="AB28" i="12"/>
  <c r="AD28" i="12" s="1"/>
  <c r="AB29" i="12"/>
  <c r="AD29" i="12" s="1"/>
  <c r="AB30" i="12"/>
  <c r="AD30" i="12" s="1"/>
  <c r="AB31" i="12"/>
  <c r="AD31" i="12" s="1"/>
  <c r="AB32" i="12"/>
  <c r="AD32" i="12" s="1"/>
  <c r="AB33" i="12"/>
  <c r="AD33" i="12" s="1"/>
  <c r="AB6" i="12"/>
  <c r="AD6" i="12" s="1"/>
  <c r="B10" i="11"/>
  <c r="D10" i="11" s="1"/>
  <c r="B11" i="11"/>
  <c r="D11" i="11" s="1"/>
  <c r="D11" i="2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D24" i="2" s="1"/>
  <c r="B25" i="11"/>
  <c r="D25" i="11" s="1"/>
  <c r="D24" i="1" s="1"/>
  <c r="B26" i="11"/>
  <c r="D26" i="11" s="1"/>
  <c r="B27" i="11"/>
  <c r="D27" i="11" s="1"/>
  <c r="B28" i="11"/>
  <c r="D28" i="11" s="1"/>
  <c r="D27" i="1" s="1"/>
  <c r="B29" i="11"/>
  <c r="D29" i="11" s="1"/>
  <c r="D29" i="2" s="1"/>
  <c r="B30" i="11"/>
  <c r="D30" i="11" s="1"/>
  <c r="B31" i="11"/>
  <c r="D31" i="11" s="1"/>
  <c r="D31" i="2" s="1"/>
  <c r="B32" i="11"/>
  <c r="D32" i="11" s="1"/>
  <c r="B33" i="11"/>
  <c r="D33" i="11" s="1"/>
  <c r="D32" i="1" s="1"/>
  <c r="B34" i="11"/>
  <c r="D34" i="11" s="1"/>
  <c r="B35" i="11"/>
  <c r="D35" i="11" s="1"/>
  <c r="D34" i="1" s="1"/>
  <c r="B36" i="11"/>
  <c r="D36" i="11" s="1"/>
  <c r="D35" i="1" s="1"/>
  <c r="B37" i="11"/>
  <c r="D37" i="11" s="1"/>
  <c r="D37" i="2" s="1"/>
  <c r="E5" i="12"/>
  <c r="J5" i="12"/>
  <c r="O5" i="12"/>
  <c r="T5" i="12"/>
  <c r="Y5" i="12"/>
  <c r="AD5" i="12"/>
  <c r="AI5" i="12"/>
  <c r="AN5" i="12"/>
  <c r="AX5" i="12"/>
  <c r="BC5" i="12"/>
  <c r="BM5" i="12"/>
  <c r="BH5" i="12"/>
  <c r="CG5" i="12"/>
  <c r="BR5" i="12"/>
  <c r="CB5" i="12"/>
  <c r="CL5" i="12"/>
  <c r="CQ5" i="12"/>
  <c r="CV5" i="12"/>
  <c r="DA5" i="12"/>
  <c r="DF5" i="12"/>
  <c r="DK5" i="12"/>
  <c r="C6" i="12"/>
  <c r="E6" i="12" s="1"/>
  <c r="H6" i="12"/>
  <c r="J6" i="12" s="1"/>
  <c r="M6" i="12"/>
  <c r="O6" i="12" s="1"/>
  <c r="R6" i="12"/>
  <c r="T6" i="12" s="1"/>
  <c r="W6" i="12"/>
  <c r="Y6" i="12" s="1"/>
  <c r="AG6" i="12"/>
  <c r="AI6" i="12" s="1"/>
  <c r="AL6" i="12"/>
  <c r="AN6" i="12" s="1"/>
  <c r="AQ6" i="12"/>
  <c r="AS6" i="12" s="1"/>
  <c r="AV6" i="12"/>
  <c r="AX6" i="12" s="1"/>
  <c r="BA6" i="12"/>
  <c r="BC6" i="12" s="1"/>
  <c r="BK6" i="12"/>
  <c r="BM6" i="12" s="1"/>
  <c r="BF6" i="12"/>
  <c r="BH6" i="12" s="1"/>
  <c r="CE6" i="12"/>
  <c r="CG6" i="12" s="1"/>
  <c r="BP6" i="12"/>
  <c r="BR6" i="12" s="1"/>
  <c r="BU6" i="12"/>
  <c r="BW6" i="12" s="1"/>
  <c r="BZ6" i="12"/>
  <c r="CB6" i="12" s="1"/>
  <c r="CJ6" i="12"/>
  <c r="CL6" i="12" s="1"/>
  <c r="CO6" i="12"/>
  <c r="CQ6" i="12" s="1"/>
  <c r="CT6" i="12"/>
  <c r="CV6" i="12" s="1"/>
  <c r="CY6" i="12"/>
  <c r="DA6" i="12" s="1"/>
  <c r="DD6" i="12"/>
  <c r="DF6" i="12" s="1"/>
  <c r="DI6" i="12"/>
  <c r="DK6" i="12" s="1"/>
  <c r="C7" i="12"/>
  <c r="E7" i="12" s="1"/>
  <c r="H7" i="12"/>
  <c r="J7" i="12" s="1"/>
  <c r="M7" i="12"/>
  <c r="O7" i="12" s="1"/>
  <c r="R7" i="12"/>
  <c r="T7" i="12" s="1"/>
  <c r="W7" i="12"/>
  <c r="Y7" i="12" s="1"/>
  <c r="AG7" i="12"/>
  <c r="AI7" i="12" s="1"/>
  <c r="AL7" i="12"/>
  <c r="AN7" i="12" s="1"/>
  <c r="AQ7" i="12"/>
  <c r="AS7" i="12" s="1"/>
  <c r="AV7" i="12"/>
  <c r="AX7" i="12" s="1"/>
  <c r="BA7" i="12"/>
  <c r="BC7" i="12" s="1"/>
  <c r="BK7" i="12"/>
  <c r="BM7" i="12" s="1"/>
  <c r="BF7" i="12"/>
  <c r="BH7" i="12" s="1"/>
  <c r="CE7" i="12"/>
  <c r="CG7" i="12" s="1"/>
  <c r="BP7" i="12"/>
  <c r="BR7" i="12" s="1"/>
  <c r="BU7" i="12"/>
  <c r="BW7" i="12" s="1"/>
  <c r="BZ7" i="12"/>
  <c r="CB7" i="12" s="1"/>
  <c r="CJ7" i="12"/>
  <c r="CL7" i="12" s="1"/>
  <c r="CO7" i="12"/>
  <c r="CQ7" i="12" s="1"/>
  <c r="CT7" i="12"/>
  <c r="CV7" i="12" s="1"/>
  <c r="CY7" i="12"/>
  <c r="DA7" i="12" s="1"/>
  <c r="DD7" i="12"/>
  <c r="DF7" i="12" s="1"/>
  <c r="DI7" i="12"/>
  <c r="DK7" i="12" s="1"/>
  <c r="C8" i="12"/>
  <c r="E8" i="12" s="1"/>
  <c r="H8" i="12"/>
  <c r="J8" i="12" s="1"/>
  <c r="M8" i="12"/>
  <c r="O8" i="12" s="1"/>
  <c r="R8" i="12"/>
  <c r="T8" i="12" s="1"/>
  <c r="W8" i="12"/>
  <c r="Y8" i="12" s="1"/>
  <c r="AG8" i="12"/>
  <c r="AI8" i="12" s="1"/>
  <c r="AL8" i="12"/>
  <c r="AN8" i="12" s="1"/>
  <c r="AQ8" i="12"/>
  <c r="AS8" i="12" s="1"/>
  <c r="AV8" i="12"/>
  <c r="AX8" i="12" s="1"/>
  <c r="BA8" i="12"/>
  <c r="BC8" i="12" s="1"/>
  <c r="BK8" i="12"/>
  <c r="BM8" i="12" s="1"/>
  <c r="BF8" i="12"/>
  <c r="BH8" i="12" s="1"/>
  <c r="CE8" i="12"/>
  <c r="CG8" i="12" s="1"/>
  <c r="BP8" i="12"/>
  <c r="BR8" i="12" s="1"/>
  <c r="BU8" i="12"/>
  <c r="BW8" i="12" s="1"/>
  <c r="BZ8" i="12"/>
  <c r="CB8" i="12" s="1"/>
  <c r="CJ8" i="12"/>
  <c r="CL8" i="12" s="1"/>
  <c r="CO8" i="12"/>
  <c r="CQ8" i="12" s="1"/>
  <c r="CT8" i="12"/>
  <c r="CV8" i="12" s="1"/>
  <c r="CY8" i="12"/>
  <c r="DA8" i="12" s="1"/>
  <c r="DD8" i="12"/>
  <c r="DF8" i="12" s="1"/>
  <c r="DI8" i="12"/>
  <c r="DK8" i="12" s="1"/>
  <c r="C9" i="12"/>
  <c r="E9" i="12" s="1"/>
  <c r="H9" i="12"/>
  <c r="J9" i="12" s="1"/>
  <c r="M9" i="12"/>
  <c r="O9" i="12" s="1"/>
  <c r="R9" i="12"/>
  <c r="T9" i="12" s="1"/>
  <c r="W9" i="12"/>
  <c r="Y9" i="12" s="1"/>
  <c r="AG9" i="12"/>
  <c r="AI9" i="12" s="1"/>
  <c r="AL9" i="12"/>
  <c r="AN9" i="12" s="1"/>
  <c r="AQ9" i="12"/>
  <c r="AS9" i="12" s="1"/>
  <c r="AV9" i="12"/>
  <c r="AX9" i="12" s="1"/>
  <c r="BA9" i="12"/>
  <c r="BC9" i="12" s="1"/>
  <c r="BK9" i="12"/>
  <c r="BM9" i="12" s="1"/>
  <c r="BF9" i="12"/>
  <c r="BH9" i="12" s="1"/>
  <c r="CE9" i="12"/>
  <c r="CG9" i="12" s="1"/>
  <c r="BP9" i="12"/>
  <c r="BR9" i="12" s="1"/>
  <c r="BU9" i="12"/>
  <c r="BW9" i="12" s="1"/>
  <c r="BZ9" i="12"/>
  <c r="CB9" i="12" s="1"/>
  <c r="CJ9" i="12"/>
  <c r="CL9" i="12" s="1"/>
  <c r="CO9" i="12"/>
  <c r="CQ9" i="12" s="1"/>
  <c r="CT9" i="12"/>
  <c r="CV9" i="12" s="1"/>
  <c r="CY9" i="12"/>
  <c r="DA9" i="12" s="1"/>
  <c r="DD9" i="12"/>
  <c r="DF9" i="12" s="1"/>
  <c r="DI9" i="12"/>
  <c r="DK9" i="12" s="1"/>
  <c r="C10" i="12"/>
  <c r="E10" i="12" s="1"/>
  <c r="H10" i="12"/>
  <c r="J10" i="12" s="1"/>
  <c r="M10" i="12"/>
  <c r="O10" i="12" s="1"/>
  <c r="R10" i="12"/>
  <c r="T10" i="12" s="1"/>
  <c r="W10" i="12"/>
  <c r="Y10" i="12" s="1"/>
  <c r="AG10" i="12"/>
  <c r="AI10" i="12" s="1"/>
  <c r="AL10" i="12"/>
  <c r="AN10" i="12" s="1"/>
  <c r="AQ10" i="12"/>
  <c r="AS10" i="12" s="1"/>
  <c r="AV10" i="12"/>
  <c r="AX10" i="12" s="1"/>
  <c r="BA10" i="12"/>
  <c r="BC10" i="12" s="1"/>
  <c r="BK10" i="12"/>
  <c r="BM10" i="12" s="1"/>
  <c r="BF10" i="12"/>
  <c r="BH10" i="12" s="1"/>
  <c r="CE10" i="12"/>
  <c r="CG10" i="12" s="1"/>
  <c r="BP10" i="12"/>
  <c r="BR10" i="12" s="1"/>
  <c r="BU10" i="12"/>
  <c r="BW10" i="12" s="1"/>
  <c r="BZ10" i="12"/>
  <c r="CB10" i="12" s="1"/>
  <c r="CJ10" i="12"/>
  <c r="CL10" i="12" s="1"/>
  <c r="CO10" i="12"/>
  <c r="CQ10" i="12" s="1"/>
  <c r="CT10" i="12"/>
  <c r="CV10" i="12" s="1"/>
  <c r="CY10" i="12"/>
  <c r="DA10" i="12" s="1"/>
  <c r="DD10" i="12"/>
  <c r="DF10" i="12" s="1"/>
  <c r="DI10" i="12"/>
  <c r="DK10" i="12" s="1"/>
  <c r="C11" i="12"/>
  <c r="E11" i="12" s="1"/>
  <c r="H11" i="12"/>
  <c r="J11" i="12" s="1"/>
  <c r="M11" i="12"/>
  <c r="O11" i="12" s="1"/>
  <c r="R11" i="12"/>
  <c r="T11" i="12" s="1"/>
  <c r="W11" i="12"/>
  <c r="Y11" i="12" s="1"/>
  <c r="AG11" i="12"/>
  <c r="AI11" i="12" s="1"/>
  <c r="AL11" i="12"/>
  <c r="AN11" i="12" s="1"/>
  <c r="AQ11" i="12"/>
  <c r="AS11" i="12" s="1"/>
  <c r="AV11" i="12"/>
  <c r="AX11" i="12" s="1"/>
  <c r="BA11" i="12"/>
  <c r="BC11" i="12" s="1"/>
  <c r="BK11" i="12"/>
  <c r="BM11" i="12" s="1"/>
  <c r="BF11" i="12"/>
  <c r="BH11" i="12" s="1"/>
  <c r="CE11" i="12"/>
  <c r="CG11" i="12" s="1"/>
  <c r="BP11" i="12"/>
  <c r="BR11" i="12" s="1"/>
  <c r="BU11" i="12"/>
  <c r="BW11" i="12" s="1"/>
  <c r="BZ11" i="12"/>
  <c r="CB11" i="12" s="1"/>
  <c r="CJ11" i="12"/>
  <c r="CL11" i="12" s="1"/>
  <c r="CO11" i="12"/>
  <c r="CQ11" i="12" s="1"/>
  <c r="CT11" i="12"/>
  <c r="CV11" i="12" s="1"/>
  <c r="CY11" i="12"/>
  <c r="DA11" i="12" s="1"/>
  <c r="DD11" i="12"/>
  <c r="DF11" i="12" s="1"/>
  <c r="DI11" i="12"/>
  <c r="DK11" i="12" s="1"/>
  <c r="C12" i="12"/>
  <c r="E12" i="12" s="1"/>
  <c r="H12" i="12"/>
  <c r="J12" i="12" s="1"/>
  <c r="M12" i="12"/>
  <c r="O12" i="12" s="1"/>
  <c r="R12" i="12"/>
  <c r="T12" i="12" s="1"/>
  <c r="W12" i="12"/>
  <c r="Y12" i="12" s="1"/>
  <c r="AG12" i="12"/>
  <c r="AI12" i="12" s="1"/>
  <c r="AL12" i="12"/>
  <c r="AN12" i="12" s="1"/>
  <c r="AQ12" i="12"/>
  <c r="AS12" i="12" s="1"/>
  <c r="AV12" i="12"/>
  <c r="AX12" i="12" s="1"/>
  <c r="BA12" i="12"/>
  <c r="BC12" i="12" s="1"/>
  <c r="BK12" i="12"/>
  <c r="BM12" i="12" s="1"/>
  <c r="BF12" i="12"/>
  <c r="BH12" i="12" s="1"/>
  <c r="CE12" i="12"/>
  <c r="CG12" i="12" s="1"/>
  <c r="BP12" i="12"/>
  <c r="BR12" i="12" s="1"/>
  <c r="BU12" i="12"/>
  <c r="BW12" i="12" s="1"/>
  <c r="BZ12" i="12"/>
  <c r="CB12" i="12" s="1"/>
  <c r="CJ12" i="12"/>
  <c r="CL12" i="12" s="1"/>
  <c r="CO12" i="12"/>
  <c r="CQ12" i="12" s="1"/>
  <c r="CT12" i="12"/>
  <c r="CV12" i="12" s="1"/>
  <c r="CY12" i="12"/>
  <c r="DA12" i="12" s="1"/>
  <c r="DD12" i="12"/>
  <c r="DF12" i="12" s="1"/>
  <c r="DI12" i="12"/>
  <c r="DK12" i="12" s="1"/>
  <c r="C13" i="12"/>
  <c r="E13" i="12" s="1"/>
  <c r="H13" i="12"/>
  <c r="J13" i="12" s="1"/>
  <c r="M13" i="12"/>
  <c r="O13" i="12" s="1"/>
  <c r="R13" i="12"/>
  <c r="T13" i="12" s="1"/>
  <c r="W13" i="12"/>
  <c r="Y13" i="12" s="1"/>
  <c r="AG13" i="12"/>
  <c r="AI13" i="12" s="1"/>
  <c r="AL13" i="12"/>
  <c r="AN13" i="12" s="1"/>
  <c r="AQ13" i="12"/>
  <c r="AS13" i="12" s="1"/>
  <c r="AV13" i="12"/>
  <c r="AX13" i="12" s="1"/>
  <c r="BA13" i="12"/>
  <c r="BC13" i="12" s="1"/>
  <c r="BK13" i="12"/>
  <c r="BM13" i="12" s="1"/>
  <c r="BF13" i="12"/>
  <c r="BH13" i="12" s="1"/>
  <c r="CE13" i="12"/>
  <c r="CG13" i="12" s="1"/>
  <c r="BP13" i="12"/>
  <c r="BR13" i="12" s="1"/>
  <c r="BU13" i="12"/>
  <c r="BW13" i="12" s="1"/>
  <c r="BZ13" i="12"/>
  <c r="CB13" i="12" s="1"/>
  <c r="CJ13" i="12"/>
  <c r="CL13" i="12" s="1"/>
  <c r="CO13" i="12"/>
  <c r="CQ13" i="12" s="1"/>
  <c r="CT13" i="12"/>
  <c r="CV13" i="12" s="1"/>
  <c r="CY13" i="12"/>
  <c r="DA13" i="12" s="1"/>
  <c r="DD13" i="12"/>
  <c r="DF13" i="12" s="1"/>
  <c r="DI13" i="12"/>
  <c r="DK13" i="12" s="1"/>
  <c r="E14" i="12"/>
  <c r="H14" i="12"/>
  <c r="J14" i="12" s="1"/>
  <c r="M14" i="12"/>
  <c r="O14" i="12" s="1"/>
  <c r="R14" i="12"/>
  <c r="T14" i="12" s="1"/>
  <c r="W14" i="12"/>
  <c r="Y14" i="12" s="1"/>
  <c r="AG14" i="12"/>
  <c r="AI14" i="12" s="1"/>
  <c r="AL14" i="12"/>
  <c r="AN14" i="12" s="1"/>
  <c r="AQ14" i="12"/>
  <c r="AS14" i="12" s="1"/>
  <c r="AV14" i="12"/>
  <c r="AX14" i="12" s="1"/>
  <c r="BA14" i="12"/>
  <c r="BC14" i="12" s="1"/>
  <c r="BK14" i="12"/>
  <c r="BM14" i="12" s="1"/>
  <c r="BF14" i="12"/>
  <c r="BH14" i="12" s="1"/>
  <c r="CE14" i="12"/>
  <c r="CG14" i="12" s="1"/>
  <c r="BP14" i="12"/>
  <c r="BR14" i="12" s="1"/>
  <c r="BU14" i="12"/>
  <c r="BW14" i="12" s="1"/>
  <c r="BZ14" i="12"/>
  <c r="CB14" i="12" s="1"/>
  <c r="CJ14" i="12"/>
  <c r="CL14" i="12" s="1"/>
  <c r="CO14" i="12"/>
  <c r="CQ14" i="12" s="1"/>
  <c r="CT14" i="12"/>
  <c r="CV14" i="12" s="1"/>
  <c r="CY14" i="12"/>
  <c r="DA14" i="12" s="1"/>
  <c r="DD14" i="12"/>
  <c r="DF14" i="12" s="1"/>
  <c r="DI14" i="12"/>
  <c r="DK14" i="12" s="1"/>
  <c r="C15" i="12"/>
  <c r="E15" i="12" s="1"/>
  <c r="H15" i="12"/>
  <c r="J15" i="12" s="1"/>
  <c r="M15" i="12"/>
  <c r="O15" i="12" s="1"/>
  <c r="R15" i="12"/>
  <c r="T15" i="12" s="1"/>
  <c r="W15" i="12"/>
  <c r="Y15" i="12" s="1"/>
  <c r="AG15" i="12"/>
  <c r="AI15" i="12" s="1"/>
  <c r="AL15" i="12"/>
  <c r="AN15" i="12" s="1"/>
  <c r="AQ15" i="12"/>
  <c r="AS15" i="12" s="1"/>
  <c r="AV15" i="12"/>
  <c r="AX15" i="12" s="1"/>
  <c r="BA15" i="12"/>
  <c r="BC15" i="12" s="1"/>
  <c r="BK15" i="12"/>
  <c r="BM15" i="12" s="1"/>
  <c r="BF15" i="12"/>
  <c r="BH15" i="12" s="1"/>
  <c r="CE15" i="12"/>
  <c r="CG15" i="12" s="1"/>
  <c r="BP15" i="12"/>
  <c r="BR15" i="12" s="1"/>
  <c r="BU15" i="12"/>
  <c r="BW15" i="12" s="1"/>
  <c r="BZ15" i="12"/>
  <c r="CB15" i="12" s="1"/>
  <c r="CJ15" i="12"/>
  <c r="CL15" i="12" s="1"/>
  <c r="CO15" i="12"/>
  <c r="CQ15" i="12" s="1"/>
  <c r="CT15" i="12"/>
  <c r="CV15" i="12" s="1"/>
  <c r="CY15" i="12"/>
  <c r="DA15" i="12" s="1"/>
  <c r="DD15" i="12"/>
  <c r="DF15" i="12" s="1"/>
  <c r="DI15" i="12"/>
  <c r="DK15" i="12" s="1"/>
  <c r="C16" i="12"/>
  <c r="E16" i="12" s="1"/>
  <c r="H16" i="12"/>
  <c r="J16" i="12" s="1"/>
  <c r="M16" i="12"/>
  <c r="O16" i="12" s="1"/>
  <c r="R16" i="12"/>
  <c r="T16" i="12" s="1"/>
  <c r="W16" i="12"/>
  <c r="Y16" i="12" s="1"/>
  <c r="AG16" i="12"/>
  <c r="AI16" i="12" s="1"/>
  <c r="AL16" i="12"/>
  <c r="AN16" i="12" s="1"/>
  <c r="AQ16" i="12"/>
  <c r="AS16" i="12" s="1"/>
  <c r="AV16" i="12"/>
  <c r="AX16" i="12" s="1"/>
  <c r="BA16" i="12"/>
  <c r="BC16" i="12" s="1"/>
  <c r="BK16" i="12"/>
  <c r="BM16" i="12" s="1"/>
  <c r="BF16" i="12"/>
  <c r="BH16" i="12" s="1"/>
  <c r="CE16" i="12"/>
  <c r="CG16" i="12" s="1"/>
  <c r="BP16" i="12"/>
  <c r="BR16" i="12" s="1"/>
  <c r="BU16" i="12"/>
  <c r="BW16" i="12" s="1"/>
  <c r="BZ16" i="12"/>
  <c r="CB16" i="12" s="1"/>
  <c r="CJ16" i="12"/>
  <c r="CL16" i="12" s="1"/>
  <c r="CO16" i="12"/>
  <c r="CQ16" i="12" s="1"/>
  <c r="CT16" i="12"/>
  <c r="CV16" i="12" s="1"/>
  <c r="CY16" i="12"/>
  <c r="DA16" i="12" s="1"/>
  <c r="DD16" i="12"/>
  <c r="DF16" i="12" s="1"/>
  <c r="DI16" i="12"/>
  <c r="DK16" i="12" s="1"/>
  <c r="C17" i="12"/>
  <c r="E17" i="12" s="1"/>
  <c r="H17" i="12"/>
  <c r="J17" i="12" s="1"/>
  <c r="M17" i="12"/>
  <c r="O17" i="12" s="1"/>
  <c r="R17" i="12"/>
  <c r="T17" i="12" s="1"/>
  <c r="W17" i="12"/>
  <c r="Y17" i="12" s="1"/>
  <c r="AG17" i="12"/>
  <c r="AI17" i="12" s="1"/>
  <c r="AL17" i="12"/>
  <c r="AN17" i="12" s="1"/>
  <c r="AQ17" i="12"/>
  <c r="AS17" i="12" s="1"/>
  <c r="AV17" i="12"/>
  <c r="AX17" i="12" s="1"/>
  <c r="BA17" i="12"/>
  <c r="BC17" i="12" s="1"/>
  <c r="BK17" i="12"/>
  <c r="BM17" i="12" s="1"/>
  <c r="BF17" i="12"/>
  <c r="BH17" i="12" s="1"/>
  <c r="CE17" i="12"/>
  <c r="CG17" i="12" s="1"/>
  <c r="BP17" i="12"/>
  <c r="BR17" i="12" s="1"/>
  <c r="BU17" i="12"/>
  <c r="BW17" i="12" s="1"/>
  <c r="BZ17" i="12"/>
  <c r="CB17" i="12" s="1"/>
  <c r="CJ17" i="12"/>
  <c r="CL17" i="12" s="1"/>
  <c r="CO17" i="12"/>
  <c r="CQ17" i="12" s="1"/>
  <c r="CT17" i="12"/>
  <c r="CV17" i="12" s="1"/>
  <c r="CY17" i="12"/>
  <c r="DA17" i="12" s="1"/>
  <c r="DD17" i="12"/>
  <c r="DF17" i="12" s="1"/>
  <c r="DI17" i="12"/>
  <c r="DK17" i="12" s="1"/>
  <c r="C18" i="12"/>
  <c r="E18" i="12" s="1"/>
  <c r="H18" i="12"/>
  <c r="J18" i="12" s="1"/>
  <c r="M18" i="12"/>
  <c r="O18" i="12" s="1"/>
  <c r="R18" i="12"/>
  <c r="T18" i="12" s="1"/>
  <c r="W18" i="12"/>
  <c r="Y18" i="12" s="1"/>
  <c r="AG18" i="12"/>
  <c r="AI18" i="12" s="1"/>
  <c r="AL18" i="12"/>
  <c r="AN18" i="12" s="1"/>
  <c r="AQ18" i="12"/>
  <c r="AS18" i="12" s="1"/>
  <c r="AV18" i="12"/>
  <c r="AX18" i="12" s="1"/>
  <c r="BA18" i="12"/>
  <c r="BC18" i="12" s="1"/>
  <c r="BK18" i="12"/>
  <c r="BM18" i="12" s="1"/>
  <c r="BF18" i="12"/>
  <c r="BH18" i="12" s="1"/>
  <c r="CE18" i="12"/>
  <c r="CG18" i="12" s="1"/>
  <c r="BP18" i="12"/>
  <c r="BR18" i="12" s="1"/>
  <c r="BU18" i="12"/>
  <c r="BW18" i="12" s="1"/>
  <c r="BZ18" i="12"/>
  <c r="CB18" i="12" s="1"/>
  <c r="CJ18" i="12"/>
  <c r="CL18" i="12" s="1"/>
  <c r="CO18" i="12"/>
  <c r="CQ18" i="12" s="1"/>
  <c r="CT18" i="12"/>
  <c r="CV18" i="12" s="1"/>
  <c r="CY18" i="12"/>
  <c r="DA18" i="12" s="1"/>
  <c r="DD18" i="12"/>
  <c r="DF18" i="12" s="1"/>
  <c r="DI18" i="12"/>
  <c r="DK18" i="12" s="1"/>
  <c r="C19" i="12"/>
  <c r="E19" i="12" s="1"/>
  <c r="H19" i="12"/>
  <c r="J19" i="12" s="1"/>
  <c r="M19" i="12"/>
  <c r="O19" i="12" s="1"/>
  <c r="R19" i="12"/>
  <c r="T19" i="12" s="1"/>
  <c r="W19" i="12"/>
  <c r="Y19" i="12" s="1"/>
  <c r="AG19" i="12"/>
  <c r="AI19" i="12" s="1"/>
  <c r="AL19" i="12"/>
  <c r="AN19" i="12" s="1"/>
  <c r="AQ19" i="12"/>
  <c r="AS19" i="12" s="1"/>
  <c r="AV19" i="12"/>
  <c r="AX19" i="12" s="1"/>
  <c r="BA19" i="12"/>
  <c r="BC19" i="12" s="1"/>
  <c r="BK19" i="12"/>
  <c r="BM19" i="12" s="1"/>
  <c r="BF19" i="12"/>
  <c r="BH19" i="12" s="1"/>
  <c r="CE19" i="12"/>
  <c r="CG19" i="12" s="1"/>
  <c r="BP19" i="12"/>
  <c r="BR19" i="12" s="1"/>
  <c r="BU19" i="12"/>
  <c r="BW19" i="12" s="1"/>
  <c r="BZ19" i="12"/>
  <c r="CB19" i="12" s="1"/>
  <c r="CJ19" i="12"/>
  <c r="CL19" i="12" s="1"/>
  <c r="CO19" i="12"/>
  <c r="CQ19" i="12" s="1"/>
  <c r="CT19" i="12"/>
  <c r="CV19" i="12" s="1"/>
  <c r="CY19" i="12"/>
  <c r="DA19" i="12" s="1"/>
  <c r="DD19" i="12"/>
  <c r="DF19" i="12" s="1"/>
  <c r="DI19" i="12"/>
  <c r="DK19" i="12" s="1"/>
  <c r="C20" i="12"/>
  <c r="E20" i="12" s="1"/>
  <c r="H20" i="12"/>
  <c r="J20" i="12" s="1"/>
  <c r="M20" i="12"/>
  <c r="O20" i="12" s="1"/>
  <c r="R20" i="12"/>
  <c r="T20" i="12" s="1"/>
  <c r="W20" i="12"/>
  <c r="Y20" i="12" s="1"/>
  <c r="AG20" i="12"/>
  <c r="AI20" i="12" s="1"/>
  <c r="AL20" i="12"/>
  <c r="AN20" i="12" s="1"/>
  <c r="AQ20" i="12"/>
  <c r="AS20" i="12" s="1"/>
  <c r="AV20" i="12"/>
  <c r="AX20" i="12" s="1"/>
  <c r="BA20" i="12"/>
  <c r="BC20" i="12" s="1"/>
  <c r="BK20" i="12"/>
  <c r="BM20" i="12" s="1"/>
  <c r="BF20" i="12"/>
  <c r="BH20" i="12" s="1"/>
  <c r="CE20" i="12"/>
  <c r="CG20" i="12" s="1"/>
  <c r="BP20" i="12"/>
  <c r="BR20" i="12" s="1"/>
  <c r="BU20" i="12"/>
  <c r="BW20" i="12" s="1"/>
  <c r="BZ20" i="12"/>
  <c r="CB20" i="12" s="1"/>
  <c r="CJ20" i="12"/>
  <c r="CL20" i="12" s="1"/>
  <c r="CO20" i="12"/>
  <c r="CQ20" i="12" s="1"/>
  <c r="CT20" i="12"/>
  <c r="CV20" i="12" s="1"/>
  <c r="CY20" i="12"/>
  <c r="DA20" i="12" s="1"/>
  <c r="DD20" i="12"/>
  <c r="DF20" i="12" s="1"/>
  <c r="DI20" i="12"/>
  <c r="DK20" i="12" s="1"/>
  <c r="C21" i="12"/>
  <c r="E21" i="12" s="1"/>
  <c r="H21" i="12"/>
  <c r="J21" i="12" s="1"/>
  <c r="M21" i="12"/>
  <c r="O21" i="12" s="1"/>
  <c r="R21" i="12"/>
  <c r="T21" i="12" s="1"/>
  <c r="W21" i="12"/>
  <c r="Y21" i="12" s="1"/>
  <c r="AG21" i="12"/>
  <c r="AI21" i="12" s="1"/>
  <c r="AL21" i="12"/>
  <c r="AN21" i="12" s="1"/>
  <c r="AQ21" i="12"/>
  <c r="AS21" i="12" s="1"/>
  <c r="AV21" i="12"/>
  <c r="AX21" i="12" s="1"/>
  <c r="BA21" i="12"/>
  <c r="BC21" i="12" s="1"/>
  <c r="BK21" i="12"/>
  <c r="BM21" i="12" s="1"/>
  <c r="BF21" i="12"/>
  <c r="BH21" i="12" s="1"/>
  <c r="CE21" i="12"/>
  <c r="CG21" i="12" s="1"/>
  <c r="BP21" i="12"/>
  <c r="BR21" i="12" s="1"/>
  <c r="BU21" i="12"/>
  <c r="BW21" i="12" s="1"/>
  <c r="BZ21" i="12"/>
  <c r="CB21" i="12" s="1"/>
  <c r="CJ21" i="12"/>
  <c r="CL21" i="12" s="1"/>
  <c r="CO21" i="12"/>
  <c r="CQ21" i="12" s="1"/>
  <c r="CT21" i="12"/>
  <c r="CV21" i="12" s="1"/>
  <c r="CY21" i="12"/>
  <c r="DA21" i="12" s="1"/>
  <c r="DD21" i="12"/>
  <c r="DF21" i="12" s="1"/>
  <c r="DI21" i="12"/>
  <c r="DK21" i="12" s="1"/>
  <c r="C22" i="12"/>
  <c r="E22" i="12" s="1"/>
  <c r="H22" i="12"/>
  <c r="J22" i="12" s="1"/>
  <c r="M22" i="12"/>
  <c r="O22" i="12" s="1"/>
  <c r="R22" i="12"/>
  <c r="T22" i="12" s="1"/>
  <c r="W22" i="12"/>
  <c r="Y22" i="12" s="1"/>
  <c r="AG22" i="12"/>
  <c r="AI22" i="12" s="1"/>
  <c r="AL22" i="12"/>
  <c r="AN22" i="12" s="1"/>
  <c r="AQ22" i="12"/>
  <c r="AS22" i="12" s="1"/>
  <c r="AV22" i="12"/>
  <c r="AX22" i="12" s="1"/>
  <c r="BA22" i="12"/>
  <c r="BC22" i="12" s="1"/>
  <c r="BK22" i="12"/>
  <c r="BM22" i="12" s="1"/>
  <c r="BF22" i="12"/>
  <c r="BH22" i="12" s="1"/>
  <c r="CE22" i="12"/>
  <c r="CG22" i="12" s="1"/>
  <c r="BP22" i="12"/>
  <c r="BR22" i="12" s="1"/>
  <c r="BU22" i="12"/>
  <c r="BW22" i="12" s="1"/>
  <c r="BZ22" i="12"/>
  <c r="CB22" i="12" s="1"/>
  <c r="CJ22" i="12"/>
  <c r="CL22" i="12" s="1"/>
  <c r="CO22" i="12"/>
  <c r="CQ22" i="12" s="1"/>
  <c r="CT22" i="12"/>
  <c r="CV22" i="12" s="1"/>
  <c r="CY22" i="12"/>
  <c r="DA22" i="12" s="1"/>
  <c r="DD22" i="12"/>
  <c r="DF22" i="12" s="1"/>
  <c r="DI22" i="12"/>
  <c r="DK22" i="12" s="1"/>
  <c r="C23" i="12"/>
  <c r="E23" i="12" s="1"/>
  <c r="H23" i="12"/>
  <c r="J23" i="12" s="1"/>
  <c r="M23" i="12"/>
  <c r="O23" i="12" s="1"/>
  <c r="R23" i="12"/>
  <c r="T23" i="12" s="1"/>
  <c r="W23" i="12"/>
  <c r="Y23" i="12" s="1"/>
  <c r="AG23" i="12"/>
  <c r="AI23" i="12" s="1"/>
  <c r="AL23" i="12"/>
  <c r="AN23" i="12" s="1"/>
  <c r="AQ23" i="12"/>
  <c r="AS23" i="12" s="1"/>
  <c r="AV23" i="12"/>
  <c r="AX23" i="12" s="1"/>
  <c r="BA23" i="12"/>
  <c r="BC23" i="12" s="1"/>
  <c r="BK23" i="12"/>
  <c r="BM23" i="12" s="1"/>
  <c r="BF23" i="12"/>
  <c r="BH23" i="12" s="1"/>
  <c r="CE23" i="12"/>
  <c r="CG23" i="12" s="1"/>
  <c r="BP23" i="12"/>
  <c r="BR23" i="12" s="1"/>
  <c r="BU23" i="12"/>
  <c r="BW23" i="12" s="1"/>
  <c r="BZ23" i="12"/>
  <c r="CB23" i="12" s="1"/>
  <c r="CJ23" i="12"/>
  <c r="CL23" i="12" s="1"/>
  <c r="CO23" i="12"/>
  <c r="CQ23" i="12" s="1"/>
  <c r="CT23" i="12"/>
  <c r="CV23" i="12" s="1"/>
  <c r="CY23" i="12"/>
  <c r="DA23" i="12" s="1"/>
  <c r="DD23" i="12"/>
  <c r="DF23" i="12" s="1"/>
  <c r="DI23" i="12"/>
  <c r="DK23" i="12" s="1"/>
  <c r="C24" i="12"/>
  <c r="E24" i="12" s="1"/>
  <c r="H24" i="12"/>
  <c r="J24" i="12" s="1"/>
  <c r="M24" i="12"/>
  <c r="O24" i="12" s="1"/>
  <c r="R24" i="12"/>
  <c r="T24" i="12" s="1"/>
  <c r="W24" i="12"/>
  <c r="Y24" i="12" s="1"/>
  <c r="AG24" i="12"/>
  <c r="AI24" i="12" s="1"/>
  <c r="AL24" i="12"/>
  <c r="AN24" i="12" s="1"/>
  <c r="AQ24" i="12"/>
  <c r="AS24" i="12" s="1"/>
  <c r="AV24" i="12"/>
  <c r="AX24" i="12" s="1"/>
  <c r="BA24" i="12"/>
  <c r="BC24" i="12" s="1"/>
  <c r="BK24" i="12"/>
  <c r="BM24" i="12" s="1"/>
  <c r="BF24" i="12"/>
  <c r="BH24" i="12" s="1"/>
  <c r="CE24" i="12"/>
  <c r="CG24" i="12" s="1"/>
  <c r="BP24" i="12"/>
  <c r="BR24" i="12" s="1"/>
  <c r="BU24" i="12"/>
  <c r="BW24" i="12" s="1"/>
  <c r="BZ24" i="12"/>
  <c r="CB24" i="12" s="1"/>
  <c r="CJ24" i="12"/>
  <c r="CL24" i="12" s="1"/>
  <c r="CO24" i="12"/>
  <c r="CQ24" i="12" s="1"/>
  <c r="CT24" i="12"/>
  <c r="CV24" i="12" s="1"/>
  <c r="CY24" i="12"/>
  <c r="DA24" i="12" s="1"/>
  <c r="DD24" i="12"/>
  <c r="DF24" i="12" s="1"/>
  <c r="DI24" i="12"/>
  <c r="DK24" i="12" s="1"/>
  <c r="C25" i="12"/>
  <c r="E25" i="12" s="1"/>
  <c r="H25" i="12"/>
  <c r="J25" i="12" s="1"/>
  <c r="M25" i="12"/>
  <c r="O25" i="12" s="1"/>
  <c r="R25" i="12"/>
  <c r="T25" i="12" s="1"/>
  <c r="W25" i="12"/>
  <c r="Y25" i="12" s="1"/>
  <c r="AG25" i="12"/>
  <c r="AI25" i="12" s="1"/>
  <c r="AL25" i="12"/>
  <c r="AN25" i="12" s="1"/>
  <c r="AQ25" i="12"/>
  <c r="AS25" i="12" s="1"/>
  <c r="AV25" i="12"/>
  <c r="AX25" i="12" s="1"/>
  <c r="BA25" i="12"/>
  <c r="BC25" i="12" s="1"/>
  <c r="BK25" i="12"/>
  <c r="BM25" i="12" s="1"/>
  <c r="BF25" i="12"/>
  <c r="BH25" i="12" s="1"/>
  <c r="CE25" i="12"/>
  <c r="CG25" i="12" s="1"/>
  <c r="BP25" i="12"/>
  <c r="BR25" i="12" s="1"/>
  <c r="BU25" i="12"/>
  <c r="BW25" i="12" s="1"/>
  <c r="BZ25" i="12"/>
  <c r="CB25" i="12" s="1"/>
  <c r="CJ25" i="12"/>
  <c r="CL25" i="12" s="1"/>
  <c r="CO25" i="12"/>
  <c r="CQ25" i="12" s="1"/>
  <c r="CT25" i="12"/>
  <c r="CV25" i="12" s="1"/>
  <c r="CY25" i="12"/>
  <c r="DA25" i="12" s="1"/>
  <c r="DD25" i="12"/>
  <c r="DF25" i="12" s="1"/>
  <c r="DI25" i="12"/>
  <c r="DK25" i="12" s="1"/>
  <c r="C26" i="12"/>
  <c r="E26" i="12" s="1"/>
  <c r="H26" i="12"/>
  <c r="J26" i="12" s="1"/>
  <c r="M26" i="12"/>
  <c r="O26" i="12" s="1"/>
  <c r="R26" i="12"/>
  <c r="T26" i="12" s="1"/>
  <c r="W26" i="12"/>
  <c r="Y26" i="12" s="1"/>
  <c r="AG26" i="12"/>
  <c r="AI26" i="12" s="1"/>
  <c r="AL26" i="12"/>
  <c r="AN26" i="12" s="1"/>
  <c r="AQ26" i="12"/>
  <c r="AS26" i="12" s="1"/>
  <c r="AV26" i="12"/>
  <c r="AX26" i="12" s="1"/>
  <c r="BA26" i="12"/>
  <c r="BC26" i="12" s="1"/>
  <c r="BK26" i="12"/>
  <c r="BM26" i="12" s="1"/>
  <c r="BF26" i="12"/>
  <c r="BH26" i="12" s="1"/>
  <c r="CE26" i="12"/>
  <c r="CG26" i="12" s="1"/>
  <c r="BP26" i="12"/>
  <c r="BR26" i="12" s="1"/>
  <c r="BU26" i="12"/>
  <c r="BW26" i="12" s="1"/>
  <c r="BZ26" i="12"/>
  <c r="CB26" i="12" s="1"/>
  <c r="CJ26" i="12"/>
  <c r="CL26" i="12" s="1"/>
  <c r="CO26" i="12"/>
  <c r="CQ26" i="12" s="1"/>
  <c r="CT26" i="12"/>
  <c r="CV26" i="12" s="1"/>
  <c r="CY26" i="12"/>
  <c r="DA26" i="12" s="1"/>
  <c r="DD26" i="12"/>
  <c r="DF26" i="12" s="1"/>
  <c r="DI26" i="12"/>
  <c r="DK26" i="12" s="1"/>
  <c r="C27" i="12"/>
  <c r="E27" i="12" s="1"/>
  <c r="H27" i="12"/>
  <c r="J27" i="12" s="1"/>
  <c r="M27" i="12"/>
  <c r="O27" i="12" s="1"/>
  <c r="R27" i="12"/>
  <c r="T27" i="12" s="1"/>
  <c r="W27" i="12"/>
  <c r="Y27" i="12" s="1"/>
  <c r="AG27" i="12"/>
  <c r="AI27" i="12" s="1"/>
  <c r="AL27" i="12"/>
  <c r="AN27" i="12" s="1"/>
  <c r="AQ27" i="12"/>
  <c r="AS27" i="12" s="1"/>
  <c r="AV27" i="12"/>
  <c r="AX27" i="12" s="1"/>
  <c r="BA27" i="12"/>
  <c r="BC27" i="12" s="1"/>
  <c r="BK27" i="12"/>
  <c r="BM27" i="12" s="1"/>
  <c r="BF27" i="12"/>
  <c r="BH27" i="12" s="1"/>
  <c r="CE27" i="12"/>
  <c r="CG27" i="12" s="1"/>
  <c r="BP27" i="12"/>
  <c r="BR27" i="12" s="1"/>
  <c r="BU27" i="12"/>
  <c r="BW27" i="12" s="1"/>
  <c r="BZ27" i="12"/>
  <c r="CB27" i="12" s="1"/>
  <c r="CJ27" i="12"/>
  <c r="CL27" i="12" s="1"/>
  <c r="CO27" i="12"/>
  <c r="CQ27" i="12" s="1"/>
  <c r="CT27" i="12"/>
  <c r="CV27" i="12" s="1"/>
  <c r="CY27" i="12"/>
  <c r="DA27" i="12" s="1"/>
  <c r="DD27" i="12"/>
  <c r="DF27" i="12" s="1"/>
  <c r="DI27" i="12"/>
  <c r="DK27" i="12" s="1"/>
  <c r="C28" i="12"/>
  <c r="E28" i="12" s="1"/>
  <c r="H28" i="12"/>
  <c r="J28" i="12" s="1"/>
  <c r="M28" i="12"/>
  <c r="O28" i="12" s="1"/>
  <c r="R28" i="12"/>
  <c r="T28" i="12" s="1"/>
  <c r="W28" i="12"/>
  <c r="Y28" i="12" s="1"/>
  <c r="AG28" i="12"/>
  <c r="AI28" i="12" s="1"/>
  <c r="AL28" i="12"/>
  <c r="AN28" i="12" s="1"/>
  <c r="AQ28" i="12"/>
  <c r="AS28" i="12" s="1"/>
  <c r="AV28" i="12"/>
  <c r="AX28" i="12" s="1"/>
  <c r="BA28" i="12"/>
  <c r="BC28" i="12" s="1"/>
  <c r="BK28" i="12"/>
  <c r="BM28" i="12" s="1"/>
  <c r="BF28" i="12"/>
  <c r="BH28" i="12" s="1"/>
  <c r="CE28" i="12"/>
  <c r="CG28" i="12" s="1"/>
  <c r="BP28" i="12"/>
  <c r="BR28" i="12" s="1"/>
  <c r="BU28" i="12"/>
  <c r="BW28" i="12" s="1"/>
  <c r="BZ28" i="12"/>
  <c r="CB28" i="12" s="1"/>
  <c r="CJ28" i="12"/>
  <c r="CL28" i="12" s="1"/>
  <c r="CO28" i="12"/>
  <c r="CQ28" i="12" s="1"/>
  <c r="CT28" i="12"/>
  <c r="CV28" i="12" s="1"/>
  <c r="CY28" i="12"/>
  <c r="DA28" i="12" s="1"/>
  <c r="DD28" i="12"/>
  <c r="DF28" i="12" s="1"/>
  <c r="DI28" i="12"/>
  <c r="DK28" i="12" s="1"/>
  <c r="C29" i="12"/>
  <c r="E29" i="12" s="1"/>
  <c r="H29" i="12"/>
  <c r="J29" i="12" s="1"/>
  <c r="M29" i="12"/>
  <c r="O29" i="12" s="1"/>
  <c r="R29" i="12"/>
  <c r="T29" i="12" s="1"/>
  <c r="W29" i="12"/>
  <c r="Y29" i="12" s="1"/>
  <c r="AG29" i="12"/>
  <c r="AI29" i="12" s="1"/>
  <c r="AL29" i="12"/>
  <c r="AN29" i="12" s="1"/>
  <c r="AQ29" i="12"/>
  <c r="AS29" i="12" s="1"/>
  <c r="AV29" i="12"/>
  <c r="AX29" i="12" s="1"/>
  <c r="BA29" i="12"/>
  <c r="BC29" i="12" s="1"/>
  <c r="BK29" i="12"/>
  <c r="BM29" i="12" s="1"/>
  <c r="BF29" i="12"/>
  <c r="BH29" i="12" s="1"/>
  <c r="CE29" i="12"/>
  <c r="CG29" i="12" s="1"/>
  <c r="BP29" i="12"/>
  <c r="BR29" i="12" s="1"/>
  <c r="BU29" i="12"/>
  <c r="BW29" i="12" s="1"/>
  <c r="BZ29" i="12"/>
  <c r="CB29" i="12" s="1"/>
  <c r="CJ29" i="12"/>
  <c r="CL29" i="12" s="1"/>
  <c r="CO29" i="12"/>
  <c r="CQ29" i="12" s="1"/>
  <c r="CT29" i="12"/>
  <c r="CV29" i="12" s="1"/>
  <c r="CY29" i="12"/>
  <c r="DA29" i="12" s="1"/>
  <c r="DD29" i="12"/>
  <c r="DF29" i="12" s="1"/>
  <c r="DI29" i="12"/>
  <c r="DK29" i="12" s="1"/>
  <c r="C30" i="12"/>
  <c r="E30" i="12" s="1"/>
  <c r="H30" i="12"/>
  <c r="J30" i="12" s="1"/>
  <c r="M30" i="12"/>
  <c r="O30" i="12" s="1"/>
  <c r="R30" i="12"/>
  <c r="T30" i="12" s="1"/>
  <c r="W30" i="12"/>
  <c r="Y30" i="12" s="1"/>
  <c r="AG30" i="12"/>
  <c r="AI30" i="12" s="1"/>
  <c r="AL30" i="12"/>
  <c r="AN30" i="12" s="1"/>
  <c r="AQ30" i="12"/>
  <c r="AS30" i="12" s="1"/>
  <c r="AV30" i="12"/>
  <c r="AX30" i="12" s="1"/>
  <c r="BA30" i="12"/>
  <c r="BC30" i="12" s="1"/>
  <c r="BK30" i="12"/>
  <c r="BM30" i="12" s="1"/>
  <c r="BF30" i="12"/>
  <c r="BH30" i="12" s="1"/>
  <c r="CE30" i="12"/>
  <c r="CG30" i="12" s="1"/>
  <c r="BP30" i="12"/>
  <c r="BR30" i="12" s="1"/>
  <c r="BU30" i="12"/>
  <c r="BW30" i="12" s="1"/>
  <c r="BZ30" i="12"/>
  <c r="CB30" i="12" s="1"/>
  <c r="CJ30" i="12"/>
  <c r="CL30" i="12" s="1"/>
  <c r="CO30" i="12"/>
  <c r="CQ30" i="12" s="1"/>
  <c r="CT30" i="12"/>
  <c r="CV30" i="12" s="1"/>
  <c r="CY30" i="12"/>
  <c r="DA30" i="12" s="1"/>
  <c r="DD30" i="12"/>
  <c r="DF30" i="12" s="1"/>
  <c r="DI30" i="12"/>
  <c r="DK30" i="12" s="1"/>
  <c r="C31" i="12"/>
  <c r="E31" i="12" s="1"/>
  <c r="H31" i="12"/>
  <c r="J31" i="12" s="1"/>
  <c r="M31" i="12"/>
  <c r="O31" i="12" s="1"/>
  <c r="R31" i="12"/>
  <c r="T31" i="12" s="1"/>
  <c r="W31" i="12"/>
  <c r="Y31" i="12" s="1"/>
  <c r="AG31" i="12"/>
  <c r="AI31" i="12" s="1"/>
  <c r="AL31" i="12"/>
  <c r="AN31" i="12" s="1"/>
  <c r="AQ31" i="12"/>
  <c r="AS31" i="12" s="1"/>
  <c r="AV31" i="12"/>
  <c r="AX31" i="12" s="1"/>
  <c r="BA31" i="12"/>
  <c r="BC31" i="12" s="1"/>
  <c r="BK31" i="12"/>
  <c r="BM31" i="12" s="1"/>
  <c r="BF31" i="12"/>
  <c r="BH31" i="12" s="1"/>
  <c r="CE31" i="12"/>
  <c r="CG31" i="12" s="1"/>
  <c r="BP31" i="12"/>
  <c r="BR31" i="12" s="1"/>
  <c r="BU31" i="12"/>
  <c r="BW31" i="12" s="1"/>
  <c r="BZ31" i="12"/>
  <c r="CB31" i="12" s="1"/>
  <c r="CJ31" i="12"/>
  <c r="CL31" i="12" s="1"/>
  <c r="CO31" i="12"/>
  <c r="CQ31" i="12" s="1"/>
  <c r="CT31" i="12"/>
  <c r="CV31" i="12" s="1"/>
  <c r="CY31" i="12"/>
  <c r="DA31" i="12" s="1"/>
  <c r="DD31" i="12"/>
  <c r="DF31" i="12" s="1"/>
  <c r="DI31" i="12"/>
  <c r="DK31" i="12" s="1"/>
  <c r="C32" i="12"/>
  <c r="E32" i="12" s="1"/>
  <c r="H32" i="12"/>
  <c r="J32" i="12" s="1"/>
  <c r="M32" i="12"/>
  <c r="O32" i="12" s="1"/>
  <c r="R32" i="12"/>
  <c r="T32" i="12" s="1"/>
  <c r="W32" i="12"/>
  <c r="Y32" i="12" s="1"/>
  <c r="AG32" i="12"/>
  <c r="AI32" i="12" s="1"/>
  <c r="AL32" i="12"/>
  <c r="AN32" i="12" s="1"/>
  <c r="AQ32" i="12"/>
  <c r="AS32" i="12" s="1"/>
  <c r="AV32" i="12"/>
  <c r="AX32" i="12" s="1"/>
  <c r="BA32" i="12"/>
  <c r="BC32" i="12" s="1"/>
  <c r="BK32" i="12"/>
  <c r="BM32" i="12" s="1"/>
  <c r="BF32" i="12"/>
  <c r="BH32" i="12" s="1"/>
  <c r="CE32" i="12"/>
  <c r="CG32" i="12" s="1"/>
  <c r="BP32" i="12"/>
  <c r="BR32" i="12" s="1"/>
  <c r="BU32" i="12"/>
  <c r="BW32" i="12" s="1"/>
  <c r="BZ32" i="12"/>
  <c r="CB32" i="12" s="1"/>
  <c r="CJ32" i="12"/>
  <c r="CL32" i="12" s="1"/>
  <c r="CO32" i="12"/>
  <c r="CQ32" i="12" s="1"/>
  <c r="CT32" i="12"/>
  <c r="CV32" i="12" s="1"/>
  <c r="CY32" i="12"/>
  <c r="DA32" i="12" s="1"/>
  <c r="DD32" i="12"/>
  <c r="DF32" i="12" s="1"/>
  <c r="DI32" i="12"/>
  <c r="DK32" i="12" s="1"/>
  <c r="C33" i="12"/>
  <c r="E33" i="12" s="1"/>
  <c r="H33" i="12"/>
  <c r="J33" i="12" s="1"/>
  <c r="M33" i="12"/>
  <c r="O33" i="12" s="1"/>
  <c r="R33" i="12"/>
  <c r="T33" i="12" s="1"/>
  <c r="W33" i="12"/>
  <c r="Y33" i="12" s="1"/>
  <c r="AG33" i="12"/>
  <c r="AI33" i="12" s="1"/>
  <c r="AL33" i="12"/>
  <c r="AN33" i="12" s="1"/>
  <c r="AQ33" i="12"/>
  <c r="AS33" i="12" s="1"/>
  <c r="AV33" i="12"/>
  <c r="AX33" i="12" s="1"/>
  <c r="BA33" i="12"/>
  <c r="BC33" i="12" s="1"/>
  <c r="BK33" i="12"/>
  <c r="BM33" i="12" s="1"/>
  <c r="BF33" i="12"/>
  <c r="BH33" i="12" s="1"/>
  <c r="CE33" i="12"/>
  <c r="CG33" i="12" s="1"/>
  <c r="BP33" i="12"/>
  <c r="BR33" i="12" s="1"/>
  <c r="BU33" i="12"/>
  <c r="BW33" i="12" s="1"/>
  <c r="BZ33" i="12"/>
  <c r="CB33" i="12" s="1"/>
  <c r="CJ33" i="12"/>
  <c r="CL33" i="12" s="1"/>
  <c r="CO33" i="12"/>
  <c r="CQ33" i="12" s="1"/>
  <c r="CT33" i="12"/>
  <c r="CV33" i="12" s="1"/>
  <c r="CY33" i="12"/>
  <c r="DA33" i="12" s="1"/>
  <c r="DD33" i="12"/>
  <c r="DF33" i="12" s="1"/>
  <c r="DI33" i="12"/>
  <c r="DK33" i="12" s="1"/>
  <c r="C34" i="12"/>
  <c r="E34" i="12" s="1"/>
  <c r="F35" i="12" s="1"/>
  <c r="H34" i="12"/>
  <c r="J34" i="12" s="1"/>
  <c r="K35" i="12" s="1"/>
  <c r="M34" i="12"/>
  <c r="O34" i="12" s="1"/>
  <c r="P35" i="12" s="1"/>
  <c r="R34" i="12"/>
  <c r="T34" i="12" s="1"/>
  <c r="U35" i="12" s="1"/>
  <c r="CY34" i="12"/>
  <c r="DA34" i="12" s="1"/>
  <c r="DB35" i="12" s="1"/>
  <c r="DD34" i="12"/>
  <c r="DF34" i="12" s="1"/>
  <c r="DG35" i="12" s="1"/>
  <c r="B38" i="3"/>
  <c r="D38" i="3" s="1"/>
  <c r="C33" i="15" s="1"/>
  <c r="B39" i="3"/>
  <c r="D39" i="3" s="1"/>
  <c r="B39" i="7"/>
  <c r="D39" i="7" s="1"/>
  <c r="B38" i="7"/>
  <c r="D38" i="7" s="1"/>
  <c r="G33" i="15" s="1"/>
  <c r="B39" i="5"/>
  <c r="D39" i="5" s="1"/>
  <c r="E34" i="15" s="1"/>
  <c r="B38" i="5"/>
  <c r="B33" i="9"/>
  <c r="D33" i="9" s="1"/>
  <c r="L33" i="9" s="1"/>
  <c r="M33" i="9" s="1"/>
  <c r="B32" i="9"/>
  <c r="D32" i="9" s="1"/>
  <c r="L32" i="9" s="1"/>
  <c r="M32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L12" i="9" s="1"/>
  <c r="M12" i="9" s="1"/>
  <c r="B13" i="9"/>
  <c r="D13" i="9" s="1"/>
  <c r="B14" i="9"/>
  <c r="D14" i="9" s="1"/>
  <c r="B15" i="9"/>
  <c r="D15" i="9" s="1"/>
  <c r="C19" i="2" s="1"/>
  <c r="B16" i="9"/>
  <c r="D16" i="9" s="1"/>
  <c r="B17" i="9"/>
  <c r="D17" i="9" s="1"/>
  <c r="B18" i="9"/>
  <c r="D18" i="9" s="1"/>
  <c r="B19" i="9"/>
  <c r="D19" i="9" s="1"/>
  <c r="B20" i="9"/>
  <c r="D20" i="9" s="1"/>
  <c r="L20" i="9" s="1"/>
  <c r="M20" i="9" s="1"/>
  <c r="B21" i="9"/>
  <c r="D21" i="9" s="1"/>
  <c r="J21" i="9" s="1"/>
  <c r="B22" i="9"/>
  <c r="D22" i="9" s="1"/>
  <c r="B23" i="9"/>
  <c r="D23" i="9" s="1"/>
  <c r="B24" i="9"/>
  <c r="D24" i="9" s="1"/>
  <c r="B25" i="9"/>
  <c r="D25" i="9" s="1"/>
  <c r="L25" i="9" s="1"/>
  <c r="M25" i="9" s="1"/>
  <c r="B26" i="9"/>
  <c r="D26" i="9" s="1"/>
  <c r="L26" i="9" s="1"/>
  <c r="M26" i="9" s="1"/>
  <c r="B27" i="9"/>
  <c r="D27" i="9" s="1"/>
  <c r="B28" i="9"/>
  <c r="D28" i="9" s="1"/>
  <c r="B29" i="9"/>
  <c r="D29" i="9" s="1"/>
  <c r="L29" i="9" s="1"/>
  <c r="M29" i="9" s="1"/>
  <c r="B30" i="9"/>
  <c r="D30" i="9" s="1"/>
  <c r="C34" i="2" s="1"/>
  <c r="B31" i="9"/>
  <c r="D31" i="9" s="1"/>
  <c r="B6" i="9"/>
  <c r="D6" i="9" s="1"/>
  <c r="B12" i="7"/>
  <c r="D12" i="7" s="1"/>
  <c r="G7" i="15" s="1"/>
  <c r="B13" i="7"/>
  <c r="D13" i="7" s="1"/>
  <c r="G8" i="15" s="1"/>
  <c r="B14" i="7"/>
  <c r="D14" i="7" s="1"/>
  <c r="G9" i="15" s="1"/>
  <c r="B15" i="7"/>
  <c r="D15" i="7" s="1"/>
  <c r="G10" i="15" s="1"/>
  <c r="B16" i="7"/>
  <c r="D16" i="7" s="1"/>
  <c r="G11" i="15" s="1"/>
  <c r="B17" i="7"/>
  <c r="B18" i="7"/>
  <c r="D18" i="7" s="1"/>
  <c r="G13" i="15" s="1"/>
  <c r="B19" i="7"/>
  <c r="D19" i="7" s="1"/>
  <c r="G14" i="15" s="1"/>
  <c r="B20" i="7"/>
  <c r="D20" i="7" s="1"/>
  <c r="G15" i="15" s="1"/>
  <c r="B21" i="7"/>
  <c r="D21" i="7" s="1"/>
  <c r="G16" i="15" s="1"/>
  <c r="B22" i="7"/>
  <c r="D22" i="7" s="1"/>
  <c r="G17" i="15" s="1"/>
  <c r="B23" i="7"/>
  <c r="D23" i="7" s="1"/>
  <c r="G18" i="15" s="1"/>
  <c r="B24" i="7"/>
  <c r="D24" i="7" s="1"/>
  <c r="G19" i="15" s="1"/>
  <c r="B25" i="7"/>
  <c r="D25" i="7" s="1"/>
  <c r="G20" i="15" s="1"/>
  <c r="B26" i="7"/>
  <c r="D26" i="7" s="1"/>
  <c r="G21" i="15" s="1"/>
  <c r="B27" i="7"/>
  <c r="D27" i="7" s="1"/>
  <c r="G22" i="15" s="1"/>
  <c r="B28" i="7"/>
  <c r="D28" i="7" s="1"/>
  <c r="G23" i="15" s="1"/>
  <c r="B29" i="7"/>
  <c r="D29" i="7" s="1"/>
  <c r="G24" i="15" s="1"/>
  <c r="B30" i="7"/>
  <c r="D30" i="7" s="1"/>
  <c r="G25" i="15" s="1"/>
  <c r="B31" i="7"/>
  <c r="D31" i="7" s="1"/>
  <c r="G26" i="15" s="1"/>
  <c r="B32" i="7"/>
  <c r="D32" i="7" s="1"/>
  <c r="G27" i="15" s="1"/>
  <c r="B33" i="7"/>
  <c r="D33" i="7" s="1"/>
  <c r="G28" i="15" s="1"/>
  <c r="B34" i="7"/>
  <c r="D34" i="7" s="1"/>
  <c r="G29" i="15" s="1"/>
  <c r="B35" i="7"/>
  <c r="B36" i="7"/>
  <c r="D36" i="7" s="1"/>
  <c r="G31" i="15" s="1"/>
  <c r="B37" i="7"/>
  <c r="D37" i="7" s="1"/>
  <c r="G32" i="15" s="1"/>
  <c r="B11" i="7"/>
  <c r="D11" i="7" s="1"/>
  <c r="B12" i="6"/>
  <c r="D12" i="6" s="1"/>
  <c r="F7" i="15" s="1"/>
  <c r="B13" i="6"/>
  <c r="D13" i="6" s="1"/>
  <c r="F8" i="15" s="1"/>
  <c r="B14" i="6"/>
  <c r="D14" i="6" s="1"/>
  <c r="F9" i="15" s="1"/>
  <c r="B15" i="6"/>
  <c r="D15" i="6" s="1"/>
  <c r="F10" i="15" s="1"/>
  <c r="B16" i="6"/>
  <c r="D16" i="6" s="1"/>
  <c r="F11" i="15" s="1"/>
  <c r="B17" i="6"/>
  <c r="D17" i="6" s="1"/>
  <c r="F12" i="15" s="1"/>
  <c r="B18" i="6"/>
  <c r="D18" i="6" s="1"/>
  <c r="F13" i="15" s="1"/>
  <c r="B19" i="6"/>
  <c r="D19" i="6" s="1"/>
  <c r="F14" i="15" s="1"/>
  <c r="B20" i="6"/>
  <c r="D20" i="6" s="1"/>
  <c r="F15" i="15" s="1"/>
  <c r="B21" i="6"/>
  <c r="D21" i="6" s="1"/>
  <c r="F16" i="15" s="1"/>
  <c r="B22" i="6"/>
  <c r="D22" i="6" s="1"/>
  <c r="F17" i="15" s="1"/>
  <c r="B23" i="6"/>
  <c r="D23" i="6" s="1"/>
  <c r="F18" i="15" s="1"/>
  <c r="B24" i="6"/>
  <c r="D24" i="6" s="1"/>
  <c r="F19" i="15" s="1"/>
  <c r="B25" i="6"/>
  <c r="D25" i="6" s="1"/>
  <c r="B26" i="6"/>
  <c r="D26" i="6" s="1"/>
  <c r="F21" i="15" s="1"/>
  <c r="B27" i="6"/>
  <c r="D27" i="6" s="1"/>
  <c r="F22" i="15" s="1"/>
  <c r="B28" i="6"/>
  <c r="D28" i="6" s="1"/>
  <c r="F23" i="15" s="1"/>
  <c r="B29" i="6"/>
  <c r="D29" i="6" s="1"/>
  <c r="F24" i="15" s="1"/>
  <c r="B30" i="6"/>
  <c r="D30" i="6" s="1"/>
  <c r="F25" i="15" s="1"/>
  <c r="B31" i="6"/>
  <c r="D31" i="6" s="1"/>
  <c r="F26" i="15" s="1"/>
  <c r="B32" i="6"/>
  <c r="D32" i="6" s="1"/>
  <c r="F27" i="15" s="1"/>
  <c r="B33" i="6"/>
  <c r="D33" i="6" s="1"/>
  <c r="F28" i="15" s="1"/>
  <c r="B34" i="6"/>
  <c r="D34" i="6" s="1"/>
  <c r="F29" i="15" s="1"/>
  <c r="B35" i="6"/>
  <c r="D35" i="6" s="1"/>
  <c r="F30" i="15" s="1"/>
  <c r="B36" i="6"/>
  <c r="D36" i="6" s="1"/>
  <c r="F31" i="15" s="1"/>
  <c r="B37" i="6"/>
  <c r="D37" i="6" s="1"/>
  <c r="F32" i="15" s="1"/>
  <c r="B11" i="6"/>
  <c r="D11" i="6" s="1"/>
  <c r="F6" i="15" s="1"/>
  <c r="B15" i="5"/>
  <c r="D15" i="5" s="1"/>
  <c r="E10" i="15" s="1"/>
  <c r="B16" i="5"/>
  <c r="D16" i="5" s="1"/>
  <c r="E11" i="15" s="1"/>
  <c r="B17" i="5"/>
  <c r="D17" i="5" s="1"/>
  <c r="E12" i="15" s="1"/>
  <c r="B18" i="5"/>
  <c r="D18" i="5" s="1"/>
  <c r="E13" i="15" s="1"/>
  <c r="B19" i="5"/>
  <c r="D19" i="5" s="1"/>
  <c r="E14" i="15" s="1"/>
  <c r="B20" i="5"/>
  <c r="D20" i="5" s="1"/>
  <c r="E15" i="15" s="1"/>
  <c r="B21" i="5"/>
  <c r="D21" i="5" s="1"/>
  <c r="B22" i="5"/>
  <c r="D22" i="5" s="1"/>
  <c r="E17" i="15" s="1"/>
  <c r="B23" i="5"/>
  <c r="D23" i="5" s="1"/>
  <c r="E18" i="15" s="1"/>
  <c r="B24" i="5"/>
  <c r="D24" i="5" s="1"/>
  <c r="E19" i="15" s="1"/>
  <c r="B25" i="5"/>
  <c r="D25" i="5" s="1"/>
  <c r="E20" i="15" s="1"/>
  <c r="B26" i="5"/>
  <c r="D26" i="5" s="1"/>
  <c r="E21" i="15" s="1"/>
  <c r="B27" i="5"/>
  <c r="D27" i="5" s="1"/>
  <c r="E22" i="15" s="1"/>
  <c r="B28" i="5"/>
  <c r="D28" i="5" s="1"/>
  <c r="E23" i="15" s="1"/>
  <c r="B29" i="5"/>
  <c r="D29" i="5" s="1"/>
  <c r="E24" i="15" s="1"/>
  <c r="B30" i="5"/>
  <c r="D30" i="5" s="1"/>
  <c r="E25" i="15" s="1"/>
  <c r="B31" i="5"/>
  <c r="D31" i="5" s="1"/>
  <c r="E26" i="15" s="1"/>
  <c r="B32" i="5"/>
  <c r="D32" i="5" s="1"/>
  <c r="E27" i="15" s="1"/>
  <c r="B33" i="5"/>
  <c r="D33" i="5" s="1"/>
  <c r="E28" i="15" s="1"/>
  <c r="B34" i="5"/>
  <c r="D34" i="5" s="1"/>
  <c r="E29" i="15" s="1"/>
  <c r="B35" i="5"/>
  <c r="D35" i="5" s="1"/>
  <c r="E30" i="15" s="1"/>
  <c r="B36" i="5"/>
  <c r="D36" i="5" s="1"/>
  <c r="E31" i="15" s="1"/>
  <c r="B37" i="5"/>
  <c r="D37" i="5" s="1"/>
  <c r="E32" i="15" s="1"/>
  <c r="B11" i="5"/>
  <c r="D11" i="5" s="1"/>
  <c r="E6" i="15" s="1"/>
  <c r="D5" i="9"/>
  <c r="D9" i="11"/>
  <c r="D9" i="2" s="1"/>
  <c r="B11" i="3"/>
  <c r="D11" i="3" s="1"/>
  <c r="C6" i="15" s="1"/>
  <c r="B12" i="3"/>
  <c r="D12" i="3" s="1"/>
  <c r="B13" i="3"/>
  <c r="D13" i="3" s="1"/>
  <c r="C8" i="15" s="1"/>
  <c r="B14" i="3"/>
  <c r="D14" i="3" s="1"/>
  <c r="C9" i="15" s="1"/>
  <c r="B15" i="3"/>
  <c r="D15" i="3" s="1"/>
  <c r="B16" i="3"/>
  <c r="D16" i="3" s="1"/>
  <c r="C11" i="15" s="1"/>
  <c r="B17" i="3"/>
  <c r="D17" i="3" s="1"/>
  <c r="C12" i="15" s="1"/>
  <c r="B18" i="3"/>
  <c r="D18" i="3" s="1"/>
  <c r="B19" i="3"/>
  <c r="D19" i="3" s="1"/>
  <c r="B20" i="3"/>
  <c r="D20" i="3" s="1"/>
  <c r="C15" i="15" s="1"/>
  <c r="B21" i="3"/>
  <c r="D21" i="3" s="1"/>
  <c r="C16" i="15" s="1"/>
  <c r="B22" i="3"/>
  <c r="D22" i="3" s="1"/>
  <c r="C17" i="15" s="1"/>
  <c r="B23" i="3"/>
  <c r="D23" i="3" s="1"/>
  <c r="C18" i="15" s="1"/>
  <c r="B24" i="3"/>
  <c r="B25" i="3"/>
  <c r="D25" i="3" s="1"/>
  <c r="C20" i="15" s="1"/>
  <c r="B26" i="3"/>
  <c r="B27" i="3"/>
  <c r="D27" i="3" s="1"/>
  <c r="B28" i="3"/>
  <c r="D28" i="3" s="1"/>
  <c r="C23" i="15" s="1"/>
  <c r="B29" i="3"/>
  <c r="D29" i="3" s="1"/>
  <c r="B30" i="3"/>
  <c r="D30" i="3" s="1"/>
  <c r="B31" i="3"/>
  <c r="D31" i="3" s="1"/>
  <c r="D10" i="3"/>
  <c r="D10" i="5"/>
  <c r="D10" i="6"/>
  <c r="G5" i="15"/>
  <c r="B37" i="3"/>
  <c r="D37" i="3" s="1"/>
  <c r="B36" i="3"/>
  <c r="B35" i="3"/>
  <c r="B34" i="3"/>
  <c r="D34" i="3" s="1"/>
  <c r="C29" i="15" s="1"/>
  <c r="B33" i="3"/>
  <c r="D33" i="3" s="1"/>
  <c r="C28" i="15" s="1"/>
  <c r="B32" i="3"/>
  <c r="D32" i="3" s="1"/>
  <c r="D35" i="7"/>
  <c r="G30" i="15" s="1"/>
  <c r="D26" i="1"/>
  <c r="D27" i="2"/>
  <c r="B37" i="1" l="1"/>
  <c r="E35" i="22"/>
  <c r="L5" i="9"/>
  <c r="M5" i="9" s="1"/>
  <c r="D36" i="9"/>
  <c r="L36" i="9" s="1"/>
  <c r="M36" i="9" s="1"/>
  <c r="J5" i="9"/>
  <c r="G6" i="15"/>
  <c r="F5" i="15"/>
  <c r="D41" i="6"/>
  <c r="E5" i="15"/>
  <c r="C5" i="15"/>
  <c r="G34" i="15"/>
  <c r="D40" i="11"/>
  <c r="C28" i="1"/>
  <c r="DL30" i="12"/>
  <c r="CC8" i="12"/>
  <c r="CH33" i="12"/>
  <c r="Z8" i="12"/>
  <c r="BX7" i="12"/>
  <c r="DL6" i="12"/>
  <c r="BD6" i="12"/>
  <c r="AE23" i="12"/>
  <c r="AE7" i="12"/>
  <c r="BN34" i="12"/>
  <c r="DQ11" i="12"/>
  <c r="DQ23" i="12"/>
  <c r="DV17" i="12"/>
  <c r="DV29" i="12"/>
  <c r="EA15" i="12"/>
  <c r="EA27" i="12"/>
  <c r="EF9" i="12"/>
  <c r="EF29" i="12"/>
  <c r="EK11" i="12"/>
  <c r="EK23" i="12"/>
  <c r="EK31" i="12"/>
  <c r="EP9" i="12"/>
  <c r="EP17" i="12"/>
  <c r="EP26" i="12"/>
  <c r="EP30" i="12"/>
  <c r="EP34" i="12"/>
  <c r="EU8" i="12"/>
  <c r="EU12" i="12"/>
  <c r="EU16" i="12"/>
  <c r="EU20" i="12"/>
  <c r="EU25" i="12"/>
  <c r="EU29" i="12"/>
  <c r="EU33" i="12"/>
  <c r="DB33" i="12"/>
  <c r="AY33" i="12"/>
  <c r="Z33" i="12"/>
  <c r="CW32" i="12"/>
  <c r="BN32" i="12"/>
  <c r="AT32" i="12"/>
  <c r="U32" i="12"/>
  <c r="DL31" i="12"/>
  <c r="CR31" i="12"/>
  <c r="BS31" i="12"/>
  <c r="BD31" i="12"/>
  <c r="AO31" i="12"/>
  <c r="DG30" i="12"/>
  <c r="CM30" i="12"/>
  <c r="CH30" i="12"/>
  <c r="AJ30" i="12"/>
  <c r="DB29" i="12"/>
  <c r="CC29" i="12"/>
  <c r="BI29" i="12"/>
  <c r="AY29" i="12"/>
  <c r="Z29" i="12"/>
  <c r="CW28" i="12"/>
  <c r="BX28" i="12"/>
  <c r="BN28" i="12"/>
  <c r="AT28" i="12"/>
  <c r="U28" i="12"/>
  <c r="DL27" i="12"/>
  <c r="CR27" i="12"/>
  <c r="BS27" i="12"/>
  <c r="BD27" i="12"/>
  <c r="AO27" i="12"/>
  <c r="DG26" i="12"/>
  <c r="CM26" i="12"/>
  <c r="CH26" i="12"/>
  <c r="AJ26" i="12"/>
  <c r="DB25" i="12"/>
  <c r="CC25" i="12"/>
  <c r="BI25" i="12"/>
  <c r="AY25" i="12"/>
  <c r="Z25" i="12"/>
  <c r="CW24" i="12"/>
  <c r="BX24" i="12"/>
  <c r="BN24" i="12"/>
  <c r="AT24" i="12"/>
  <c r="U24" i="12"/>
  <c r="DL23" i="12"/>
  <c r="CR23" i="12"/>
  <c r="BS23" i="12"/>
  <c r="BD23" i="12"/>
  <c r="AO23" i="12"/>
  <c r="DG22" i="12"/>
  <c r="CM22" i="12"/>
  <c r="CH22" i="12"/>
  <c r="AJ22" i="12"/>
  <c r="DB21" i="12"/>
  <c r="CC21" i="12"/>
  <c r="BI21" i="12"/>
  <c r="AY21" i="12"/>
  <c r="Z21" i="12"/>
  <c r="CW20" i="12"/>
  <c r="BX20" i="12"/>
  <c r="BN20" i="12"/>
  <c r="AT20" i="12"/>
  <c r="U20" i="12"/>
  <c r="DL19" i="12"/>
  <c r="CR19" i="12"/>
  <c r="BS19" i="12"/>
  <c r="BD19" i="12"/>
  <c r="AO19" i="12"/>
  <c r="DG18" i="12"/>
  <c r="CM18" i="12"/>
  <c r="CH18" i="12"/>
  <c r="AJ18" i="12"/>
  <c r="DB17" i="12"/>
  <c r="CC17" i="12"/>
  <c r="BI17" i="12"/>
  <c r="AY17" i="12"/>
  <c r="Z17" i="12"/>
  <c r="CW16" i="12"/>
  <c r="BX16" i="12"/>
  <c r="BN16" i="12"/>
  <c r="AT16" i="12"/>
  <c r="U16" i="12"/>
  <c r="DL15" i="12"/>
  <c r="CR15" i="12"/>
  <c r="BS15" i="12"/>
  <c r="BD15" i="12"/>
  <c r="AO15" i="12"/>
  <c r="DG14" i="12"/>
  <c r="CM14" i="12"/>
  <c r="CH14" i="12"/>
  <c r="AJ14" i="12"/>
  <c r="DB13" i="12"/>
  <c r="CC13" i="12"/>
  <c r="BI13" i="12"/>
  <c r="AY13" i="12"/>
  <c r="Z13" i="12"/>
  <c r="CW12" i="12"/>
  <c r="BX12" i="12"/>
  <c r="BN12" i="12"/>
  <c r="AT12" i="12"/>
  <c r="U12" i="12"/>
  <c r="DL11" i="12"/>
  <c r="CR11" i="12"/>
  <c r="BS11" i="12"/>
  <c r="BD11" i="12"/>
  <c r="AO11" i="12"/>
  <c r="DG10" i="12"/>
  <c r="CM10" i="12"/>
  <c r="CH10" i="12"/>
  <c r="AJ10" i="12"/>
  <c r="DB9" i="12"/>
  <c r="CC9" i="12"/>
  <c r="BI9" i="12"/>
  <c r="AY9" i="12"/>
  <c r="Z9" i="12"/>
  <c r="CW8" i="12"/>
  <c r="BX8" i="12"/>
  <c r="BN8" i="12"/>
  <c r="AT8" i="12"/>
  <c r="U8" i="12"/>
  <c r="DL7" i="12"/>
  <c r="CR7" i="12"/>
  <c r="BS7" i="12"/>
  <c r="BD7" i="12"/>
  <c r="AO7" i="12"/>
  <c r="DG6" i="12"/>
  <c r="CM6" i="12"/>
  <c r="CH6" i="12"/>
  <c r="AJ6" i="12"/>
  <c r="AE6" i="12"/>
  <c r="AE30" i="12"/>
  <c r="AE26" i="12"/>
  <c r="AE22" i="12"/>
  <c r="AE18" i="12"/>
  <c r="AE14" i="12"/>
  <c r="AE10" i="12"/>
  <c r="AE34" i="12"/>
  <c r="AY34" i="12"/>
  <c r="BI34" i="12"/>
  <c r="CC34" i="12"/>
  <c r="DL34" i="12"/>
  <c r="DQ8" i="12"/>
  <c r="DQ12" i="12"/>
  <c r="DQ16" i="12"/>
  <c r="DQ20" i="12"/>
  <c r="DQ24" i="12"/>
  <c r="DQ28" i="12"/>
  <c r="DQ32" i="12"/>
  <c r="DV6" i="12"/>
  <c r="DV10" i="12"/>
  <c r="DV14" i="12"/>
  <c r="DV18" i="12"/>
  <c r="DV22" i="12"/>
  <c r="DV26" i="12"/>
  <c r="DV30" i="12"/>
  <c r="DV34" i="12"/>
  <c r="EA8" i="12"/>
  <c r="EA12" i="12"/>
  <c r="EA16" i="12"/>
  <c r="EA20" i="12"/>
  <c r="EA24" i="12"/>
  <c r="EA28" i="12"/>
  <c r="EA32" i="12"/>
  <c r="EF6" i="12"/>
  <c r="EF10" i="12"/>
  <c r="EF14" i="12"/>
  <c r="EF18" i="12"/>
  <c r="EF22" i="12"/>
  <c r="EF26" i="12"/>
  <c r="EF30" i="12"/>
  <c r="EF34" i="12"/>
  <c r="EK8" i="12"/>
  <c r="EK12" i="12"/>
  <c r="EK16" i="12"/>
  <c r="EK20" i="12"/>
  <c r="EK24" i="12"/>
  <c r="EK28" i="12"/>
  <c r="EK32" i="12"/>
  <c r="EP6" i="12"/>
  <c r="EP10" i="12"/>
  <c r="EP14" i="12"/>
  <c r="EP18" i="12"/>
  <c r="EP22" i="12"/>
  <c r="EP27" i="12"/>
  <c r="EP31" i="12"/>
  <c r="EU9" i="12"/>
  <c r="EU13" i="12"/>
  <c r="EU17" i="12"/>
  <c r="EU21" i="12"/>
  <c r="EU26" i="12"/>
  <c r="EU30" i="12"/>
  <c r="EU34" i="12"/>
  <c r="DG33" i="12"/>
  <c r="AJ33" i="12"/>
  <c r="DB32" i="12"/>
  <c r="BI32" i="12"/>
  <c r="AY32" i="12"/>
  <c r="BX31" i="12"/>
  <c r="AT31" i="12"/>
  <c r="CR30" i="12"/>
  <c r="BD30" i="12"/>
  <c r="CM29" i="12"/>
  <c r="CH29" i="12"/>
  <c r="AJ29" i="12"/>
  <c r="DB28" i="12"/>
  <c r="BI28" i="12"/>
  <c r="Z28" i="12"/>
  <c r="CW27" i="12"/>
  <c r="BN27" i="12"/>
  <c r="U27" i="12"/>
  <c r="CR26" i="12"/>
  <c r="BD26" i="12"/>
  <c r="CM25" i="12"/>
  <c r="AJ25" i="12"/>
  <c r="DB24" i="12"/>
  <c r="BI24" i="12"/>
  <c r="Z24" i="12"/>
  <c r="CW23" i="12"/>
  <c r="BN23" i="12"/>
  <c r="U23" i="12"/>
  <c r="CR22" i="12"/>
  <c r="AO22" i="12"/>
  <c r="DG21" i="12"/>
  <c r="CH21" i="12"/>
  <c r="AJ21" i="12"/>
  <c r="CC20" i="12"/>
  <c r="U19" i="12"/>
  <c r="AY8" i="12"/>
  <c r="CW7" i="12"/>
  <c r="AT7" i="12"/>
  <c r="CR6" i="12"/>
  <c r="AO6" i="12"/>
  <c r="AE27" i="12"/>
  <c r="AE15" i="12"/>
  <c r="Z34" i="12"/>
  <c r="BX34" i="12"/>
  <c r="DQ7" i="12"/>
  <c r="DQ19" i="12"/>
  <c r="DQ31" i="12"/>
  <c r="DV13" i="12"/>
  <c r="DV25" i="12"/>
  <c r="EA7" i="12"/>
  <c r="EA19" i="12"/>
  <c r="EA31" i="12"/>
  <c r="EF13" i="12"/>
  <c r="EF25" i="12"/>
  <c r="EK7" i="12"/>
  <c r="EK19" i="12"/>
  <c r="EP13" i="12"/>
  <c r="EU22" i="12"/>
  <c r="CC33" i="12"/>
  <c r="DB34" i="12"/>
  <c r="CW33" i="12"/>
  <c r="BX33" i="12"/>
  <c r="BN33" i="12"/>
  <c r="AT33" i="12"/>
  <c r="U33" i="12"/>
  <c r="DL32" i="12"/>
  <c r="CR32" i="12"/>
  <c r="BS32" i="12"/>
  <c r="BD32" i="12"/>
  <c r="AO32" i="12"/>
  <c r="DG31" i="12"/>
  <c r="CM31" i="12"/>
  <c r="CH31" i="12"/>
  <c r="AJ31" i="12"/>
  <c r="DB30" i="12"/>
  <c r="CC30" i="12"/>
  <c r="BI30" i="12"/>
  <c r="AY30" i="12"/>
  <c r="Z30" i="12"/>
  <c r="CW29" i="12"/>
  <c r="BX29" i="12"/>
  <c r="BN29" i="12"/>
  <c r="AT29" i="12"/>
  <c r="U29" i="12"/>
  <c r="DL28" i="12"/>
  <c r="CR28" i="12"/>
  <c r="BS28" i="12"/>
  <c r="BD28" i="12"/>
  <c r="AO28" i="12"/>
  <c r="DG27" i="12"/>
  <c r="CM27" i="12"/>
  <c r="CH27" i="12"/>
  <c r="AJ27" i="12"/>
  <c r="DB26" i="12"/>
  <c r="CC26" i="12"/>
  <c r="BI26" i="12"/>
  <c r="AY26" i="12"/>
  <c r="Z26" i="12"/>
  <c r="CW25" i="12"/>
  <c r="BX25" i="12"/>
  <c r="BN25" i="12"/>
  <c r="AT25" i="12"/>
  <c r="U25" i="12"/>
  <c r="DL24" i="12"/>
  <c r="CR24" i="12"/>
  <c r="BS24" i="12"/>
  <c r="BD24" i="12"/>
  <c r="AO24" i="12"/>
  <c r="DG23" i="12"/>
  <c r="CM23" i="12"/>
  <c r="CH23" i="12"/>
  <c r="AJ23" i="12"/>
  <c r="DB22" i="12"/>
  <c r="CC22" i="12"/>
  <c r="BI22" i="12"/>
  <c r="AY22" i="12"/>
  <c r="Z22" i="12"/>
  <c r="CW21" i="12"/>
  <c r="BX21" i="12"/>
  <c r="BN21" i="12"/>
  <c r="AT21" i="12"/>
  <c r="U21" i="12"/>
  <c r="DL20" i="12"/>
  <c r="CR20" i="12"/>
  <c r="BS20" i="12"/>
  <c r="BD20" i="12"/>
  <c r="AO20" i="12"/>
  <c r="P21" i="12"/>
  <c r="DG19" i="12"/>
  <c r="CM19" i="12"/>
  <c r="CH19" i="12"/>
  <c r="AJ19" i="12"/>
  <c r="DB18" i="12"/>
  <c r="CC18" i="12"/>
  <c r="BI18" i="12"/>
  <c r="AY18" i="12"/>
  <c r="Z18" i="12"/>
  <c r="CW17" i="12"/>
  <c r="BX17" i="12"/>
  <c r="BN17" i="12"/>
  <c r="AT17" i="12"/>
  <c r="U17" i="12"/>
  <c r="DL16" i="12"/>
  <c r="CR16" i="12"/>
  <c r="BS16" i="12"/>
  <c r="BD16" i="12"/>
  <c r="AO16" i="12"/>
  <c r="DG15" i="12"/>
  <c r="CM15" i="12"/>
  <c r="CH15" i="12"/>
  <c r="AJ15" i="12"/>
  <c r="DB14" i="12"/>
  <c r="CC14" i="12"/>
  <c r="BI14" i="12"/>
  <c r="AY14" i="12"/>
  <c r="Z14" i="12"/>
  <c r="CW13" i="12"/>
  <c r="BX13" i="12"/>
  <c r="BN13" i="12"/>
  <c r="AT13" i="12"/>
  <c r="U13" i="12"/>
  <c r="DL12" i="12"/>
  <c r="CR12" i="12"/>
  <c r="BS12" i="12"/>
  <c r="BD12" i="12"/>
  <c r="AO12" i="12"/>
  <c r="DG11" i="12"/>
  <c r="CM11" i="12"/>
  <c r="CH11" i="12"/>
  <c r="AJ11" i="12"/>
  <c r="DB10" i="12"/>
  <c r="CC10" i="12"/>
  <c r="BI10" i="12"/>
  <c r="AY10" i="12"/>
  <c r="Z10" i="12"/>
  <c r="CW9" i="12"/>
  <c r="BX9" i="12"/>
  <c r="BN9" i="12"/>
  <c r="AT9" i="12"/>
  <c r="U9" i="12"/>
  <c r="DL8" i="12"/>
  <c r="CR8" i="12"/>
  <c r="BS8" i="12"/>
  <c r="BD8" i="12"/>
  <c r="AO8" i="12"/>
  <c r="DG7" i="12"/>
  <c r="CM7" i="12"/>
  <c r="CH7" i="12"/>
  <c r="AJ7" i="12"/>
  <c r="DB6" i="12"/>
  <c r="CC6" i="12"/>
  <c r="BI6" i="12"/>
  <c r="AY6" i="12"/>
  <c r="Z6" i="12"/>
  <c r="F6" i="12"/>
  <c r="AE33" i="12"/>
  <c r="AE29" i="12"/>
  <c r="AE25" i="12"/>
  <c r="AE21" i="12"/>
  <c r="AE17" i="12"/>
  <c r="AE13" i="12"/>
  <c r="AE9" i="12"/>
  <c r="AJ34" i="12"/>
  <c r="CH34" i="12"/>
  <c r="CM34" i="12"/>
  <c r="DQ9" i="12"/>
  <c r="DQ13" i="12"/>
  <c r="DQ17" i="12"/>
  <c r="DQ21" i="12"/>
  <c r="DQ25" i="12"/>
  <c r="DQ29" i="12"/>
  <c r="DQ33" i="12"/>
  <c r="DV7" i="12"/>
  <c r="DV11" i="12"/>
  <c r="DV15" i="12"/>
  <c r="DV19" i="12"/>
  <c r="DV23" i="12"/>
  <c r="DV27" i="12"/>
  <c r="DV31" i="12"/>
  <c r="EA9" i="12"/>
  <c r="EA13" i="12"/>
  <c r="EA17" i="12"/>
  <c r="EA21" i="12"/>
  <c r="EA25" i="12"/>
  <c r="EA29" i="12"/>
  <c r="EA33" i="12"/>
  <c r="EF7" i="12"/>
  <c r="EF11" i="12"/>
  <c r="EF15" i="12"/>
  <c r="EF19" i="12"/>
  <c r="EF23" i="12"/>
  <c r="EF27" i="12"/>
  <c r="EF31" i="12"/>
  <c r="EK9" i="12"/>
  <c r="EK13" i="12"/>
  <c r="EK17" i="12"/>
  <c r="EK21" i="12"/>
  <c r="EK25" i="12"/>
  <c r="EK29" i="12"/>
  <c r="EK33" i="12"/>
  <c r="EP7" i="12"/>
  <c r="EP11" i="12"/>
  <c r="EP15" i="12"/>
  <c r="EP19" i="12"/>
  <c r="EP24" i="12"/>
  <c r="EP28" i="12"/>
  <c r="EP32" i="12"/>
  <c r="EU6" i="12"/>
  <c r="EU10" i="12"/>
  <c r="EU14" i="12"/>
  <c r="EU18" i="12"/>
  <c r="EU23" i="12"/>
  <c r="EU27" i="12"/>
  <c r="EU31" i="12"/>
  <c r="EP23" i="12"/>
  <c r="CM33" i="12"/>
  <c r="CC32" i="12"/>
  <c r="Z32" i="12"/>
  <c r="CW31" i="12"/>
  <c r="BN31" i="12"/>
  <c r="U31" i="12"/>
  <c r="BS30" i="12"/>
  <c r="AO30" i="12"/>
  <c r="DG29" i="12"/>
  <c r="CC28" i="12"/>
  <c r="AY28" i="12"/>
  <c r="BX27" i="12"/>
  <c r="AT27" i="12"/>
  <c r="DL26" i="12"/>
  <c r="BS26" i="12"/>
  <c r="AO26" i="12"/>
  <c r="DG25" i="12"/>
  <c r="CH25" i="12"/>
  <c r="CC24" i="12"/>
  <c r="AY24" i="12"/>
  <c r="BX23" i="12"/>
  <c r="AT23" i="12"/>
  <c r="DL22" i="12"/>
  <c r="BS22" i="12"/>
  <c r="BD22" i="12"/>
  <c r="CM21" i="12"/>
  <c r="DB20" i="12"/>
  <c r="BI20" i="12"/>
  <c r="AY20" i="12"/>
  <c r="Z20" i="12"/>
  <c r="CW19" i="12"/>
  <c r="BX19" i="12"/>
  <c r="BN19" i="12"/>
  <c r="AT19" i="12"/>
  <c r="DL18" i="12"/>
  <c r="CR18" i="12"/>
  <c r="BS18" i="12"/>
  <c r="BD18" i="12"/>
  <c r="AO18" i="12"/>
  <c r="DG17" i="12"/>
  <c r="CM17" i="12"/>
  <c r="CH17" i="12"/>
  <c r="AJ17" i="12"/>
  <c r="DB16" i="12"/>
  <c r="CC16" i="12"/>
  <c r="BI16" i="12"/>
  <c r="AY16" i="12"/>
  <c r="Z16" i="12"/>
  <c r="CW15" i="12"/>
  <c r="BX15" i="12"/>
  <c r="BN15" i="12"/>
  <c r="AT15" i="12"/>
  <c r="U15" i="12"/>
  <c r="DL14" i="12"/>
  <c r="CR14" i="12"/>
  <c r="BS14" i="12"/>
  <c r="BD14" i="12"/>
  <c r="AO14" i="12"/>
  <c r="DG13" i="12"/>
  <c r="CM13" i="12"/>
  <c r="CH13" i="12"/>
  <c r="AJ13" i="12"/>
  <c r="DB12" i="12"/>
  <c r="CC12" i="12"/>
  <c r="BI12" i="12"/>
  <c r="AY12" i="12"/>
  <c r="Z12" i="12"/>
  <c r="CW11" i="12"/>
  <c r="BX11" i="12"/>
  <c r="BN11" i="12"/>
  <c r="AT11" i="12"/>
  <c r="U11" i="12"/>
  <c r="DL10" i="12"/>
  <c r="CR10" i="12"/>
  <c r="BS10" i="12"/>
  <c r="BD10" i="12"/>
  <c r="AO10" i="12"/>
  <c r="DG9" i="12"/>
  <c r="CM9" i="12"/>
  <c r="CH9" i="12"/>
  <c r="AJ9" i="12"/>
  <c r="DB8" i="12"/>
  <c r="BI8" i="12"/>
  <c r="BN7" i="12"/>
  <c r="U7" i="12"/>
  <c r="BS6" i="12"/>
  <c r="AE31" i="12"/>
  <c r="AE19" i="12"/>
  <c r="AE11" i="12"/>
  <c r="AT34" i="12"/>
  <c r="CW34" i="12"/>
  <c r="DQ15" i="12"/>
  <c r="DQ27" i="12"/>
  <c r="DV9" i="12"/>
  <c r="DV21" i="12"/>
  <c r="DV33" i="12"/>
  <c r="EA11" i="12"/>
  <c r="EA23" i="12"/>
  <c r="EF17" i="12"/>
  <c r="EF21" i="12"/>
  <c r="EF33" i="12"/>
  <c r="EK15" i="12"/>
  <c r="EK27" i="12"/>
  <c r="EP21" i="12"/>
  <c r="DG34" i="12"/>
  <c r="BI33" i="12"/>
  <c r="BX32" i="12"/>
  <c r="U34" i="12"/>
  <c r="DL33" i="12"/>
  <c r="CR33" i="12"/>
  <c r="BS33" i="12"/>
  <c r="BD33" i="12"/>
  <c r="AO33" i="12"/>
  <c r="DG32" i="12"/>
  <c r="CM32" i="12"/>
  <c r="CH32" i="12"/>
  <c r="AJ32" i="12"/>
  <c r="DB31" i="12"/>
  <c r="CC31" i="12"/>
  <c r="BI31" i="12"/>
  <c r="AY31" i="12"/>
  <c r="Z31" i="12"/>
  <c r="CW30" i="12"/>
  <c r="BX30" i="12"/>
  <c r="BN30" i="12"/>
  <c r="AT30" i="12"/>
  <c r="U30" i="12"/>
  <c r="DL29" i="12"/>
  <c r="CR29" i="12"/>
  <c r="BS29" i="12"/>
  <c r="BD29" i="12"/>
  <c r="AO29" i="12"/>
  <c r="DG28" i="12"/>
  <c r="CM28" i="12"/>
  <c r="CH28" i="12"/>
  <c r="AJ28" i="12"/>
  <c r="DB27" i="12"/>
  <c r="CC27" i="12"/>
  <c r="BI27" i="12"/>
  <c r="AY27" i="12"/>
  <c r="Z27" i="12"/>
  <c r="CW26" i="12"/>
  <c r="BX26" i="12"/>
  <c r="BN26" i="12"/>
  <c r="AT26" i="12"/>
  <c r="U26" i="12"/>
  <c r="DL25" i="12"/>
  <c r="CR25" i="12"/>
  <c r="BS25" i="12"/>
  <c r="BD25" i="12"/>
  <c r="AO25" i="12"/>
  <c r="DG24" i="12"/>
  <c r="CM24" i="12"/>
  <c r="CH24" i="12"/>
  <c r="AJ24" i="12"/>
  <c r="DB23" i="12"/>
  <c r="CC23" i="12"/>
  <c r="BI23" i="12"/>
  <c r="AY23" i="12"/>
  <c r="Z23" i="12"/>
  <c r="CW22" i="12"/>
  <c r="BX22" i="12"/>
  <c r="BN22" i="12"/>
  <c r="AT22" i="12"/>
  <c r="U22" i="12"/>
  <c r="DL21" i="12"/>
  <c r="CR21" i="12"/>
  <c r="BS21" i="12"/>
  <c r="BD21" i="12"/>
  <c r="AO21" i="12"/>
  <c r="DG20" i="12"/>
  <c r="CM20" i="12"/>
  <c r="CH20" i="12"/>
  <c r="AJ20" i="12"/>
  <c r="DB19" i="12"/>
  <c r="CC19" i="12"/>
  <c r="BI19" i="12"/>
  <c r="AY19" i="12"/>
  <c r="Z19" i="12"/>
  <c r="CW18" i="12"/>
  <c r="BX18" i="12"/>
  <c r="BN18" i="12"/>
  <c r="AT18" i="12"/>
  <c r="U18" i="12"/>
  <c r="DL17" i="12"/>
  <c r="CR17" i="12"/>
  <c r="BS17" i="12"/>
  <c r="BD17" i="12"/>
  <c r="AO17" i="12"/>
  <c r="DG16" i="12"/>
  <c r="CM16" i="12"/>
  <c r="CH16" i="12"/>
  <c r="AJ16" i="12"/>
  <c r="DB15" i="12"/>
  <c r="CC15" i="12"/>
  <c r="BI15" i="12"/>
  <c r="AY15" i="12"/>
  <c r="Z15" i="12"/>
  <c r="CW14" i="12"/>
  <c r="BX14" i="12"/>
  <c r="BN14" i="12"/>
  <c r="AT14" i="12"/>
  <c r="U14" i="12"/>
  <c r="DL13" i="12"/>
  <c r="CR13" i="12"/>
  <c r="BS13" i="12"/>
  <c r="BD13" i="12"/>
  <c r="AO13" i="12"/>
  <c r="DG12" i="12"/>
  <c r="CM12" i="12"/>
  <c r="CH12" i="12"/>
  <c r="AJ12" i="12"/>
  <c r="DB11" i="12"/>
  <c r="CC11" i="12"/>
  <c r="BI11" i="12"/>
  <c r="AY11" i="12"/>
  <c r="Z11" i="12"/>
  <c r="CW10" i="12"/>
  <c r="BX10" i="12"/>
  <c r="BN10" i="12"/>
  <c r="AT10" i="12"/>
  <c r="U10" i="12"/>
  <c r="DL9" i="12"/>
  <c r="CR9" i="12"/>
  <c r="BS9" i="12"/>
  <c r="BD9" i="12"/>
  <c r="AO9" i="12"/>
  <c r="DG8" i="12"/>
  <c r="CM8" i="12"/>
  <c r="CH8" i="12"/>
  <c r="AJ8" i="12"/>
  <c r="DB7" i="12"/>
  <c r="CC7" i="12"/>
  <c r="BI7" i="12"/>
  <c r="AY7" i="12"/>
  <c r="Z7" i="12"/>
  <c r="CW6" i="12"/>
  <c r="BX6" i="12"/>
  <c r="BN6" i="12"/>
  <c r="AT6" i="12"/>
  <c r="U6" i="12"/>
  <c r="AE32" i="12"/>
  <c r="AE28" i="12"/>
  <c r="AE24" i="12"/>
  <c r="AE20" i="12"/>
  <c r="AE16" i="12"/>
  <c r="AE12" i="12"/>
  <c r="AE8" i="12"/>
  <c r="AO34" i="12"/>
  <c r="BD34" i="12"/>
  <c r="BS34" i="12"/>
  <c r="CR34" i="12"/>
  <c r="DQ6" i="12"/>
  <c r="DQ10" i="12"/>
  <c r="DQ14" i="12"/>
  <c r="DQ18" i="12"/>
  <c r="DQ22" i="12"/>
  <c r="DQ26" i="12"/>
  <c r="DQ30" i="12"/>
  <c r="DQ34" i="12"/>
  <c r="DV8" i="12"/>
  <c r="DV12" i="12"/>
  <c r="DV16" i="12"/>
  <c r="DV20" i="12"/>
  <c r="DV24" i="12"/>
  <c r="DV28" i="12"/>
  <c r="DV32" i="12"/>
  <c r="EA6" i="12"/>
  <c r="EA10" i="12"/>
  <c r="EA14" i="12"/>
  <c r="EA18" i="12"/>
  <c r="EA22" i="12"/>
  <c r="EA26" i="12"/>
  <c r="EA30" i="12"/>
  <c r="EA34" i="12"/>
  <c r="EF8" i="12"/>
  <c r="EF12" i="12"/>
  <c r="EF16" i="12"/>
  <c r="EF20" i="12"/>
  <c r="EF24" i="12"/>
  <c r="EF28" i="12"/>
  <c r="EF32" i="12"/>
  <c r="EK6" i="12"/>
  <c r="EK10" i="12"/>
  <c r="EK14" i="12"/>
  <c r="EK18" i="12"/>
  <c r="EK22" i="12"/>
  <c r="EK26" i="12"/>
  <c r="EK30" i="12"/>
  <c r="EK34" i="12"/>
  <c r="EP8" i="12"/>
  <c r="EP12" i="12"/>
  <c r="EP16" i="12"/>
  <c r="EP20" i="12"/>
  <c r="EP25" i="12"/>
  <c r="EP29" i="12"/>
  <c r="EP33" i="12"/>
  <c r="EU7" i="12"/>
  <c r="EU11" i="12"/>
  <c r="EU15" i="12"/>
  <c r="EU19" i="12"/>
  <c r="EU24" i="12"/>
  <c r="EU28" i="12"/>
  <c r="EU32" i="12"/>
  <c r="D37" i="19"/>
  <c r="D23" i="1"/>
  <c r="J20" i="9"/>
  <c r="F21" i="12"/>
  <c r="D35" i="2"/>
  <c r="H32" i="22"/>
  <c r="I29" i="17" s="1"/>
  <c r="P23" i="12"/>
  <c r="K22" i="12"/>
  <c r="F23" i="12"/>
  <c r="H25" i="22"/>
  <c r="I22" i="17" s="1"/>
  <c r="K11" i="12"/>
  <c r="K30" i="12"/>
  <c r="F12" i="12"/>
  <c r="P34" i="12"/>
  <c r="P33" i="12"/>
  <c r="K32" i="12"/>
  <c r="F31" i="12"/>
  <c r="P24" i="12"/>
  <c r="P16" i="12"/>
  <c r="K15" i="12"/>
  <c r="F14" i="12"/>
  <c r="P7" i="12"/>
  <c r="K6" i="12"/>
  <c r="K28" i="12"/>
  <c r="P31" i="12"/>
  <c r="F29" i="12"/>
  <c r="K34" i="12"/>
  <c r="K33" i="12"/>
  <c r="F32" i="12"/>
  <c r="P26" i="12"/>
  <c r="P25" i="12"/>
  <c r="K24" i="12"/>
  <c r="P17" i="12"/>
  <c r="K16" i="12"/>
  <c r="F15" i="12"/>
  <c r="P9" i="12"/>
  <c r="P8" i="12"/>
  <c r="K7" i="12"/>
  <c r="P12" i="12"/>
  <c r="P14" i="12"/>
  <c r="F34" i="12"/>
  <c r="F33" i="12"/>
  <c r="P27" i="12"/>
  <c r="K26" i="12"/>
  <c r="K25" i="12"/>
  <c r="F24" i="12"/>
  <c r="K17" i="12"/>
  <c r="F16" i="12"/>
  <c r="P10" i="12"/>
  <c r="K9" i="12"/>
  <c r="K8" i="12"/>
  <c r="F7" i="12"/>
  <c r="P29" i="12"/>
  <c r="K13" i="12"/>
  <c r="P28" i="12"/>
  <c r="K27" i="12"/>
  <c r="F26" i="12"/>
  <c r="F25" i="12"/>
  <c r="F17" i="12"/>
  <c r="P11" i="12"/>
  <c r="K10" i="12"/>
  <c r="F9" i="12"/>
  <c r="F8" i="12"/>
  <c r="F27" i="12"/>
  <c r="F10" i="12"/>
  <c r="P30" i="12"/>
  <c r="K29" i="12"/>
  <c r="F28" i="12"/>
  <c r="P13" i="12"/>
  <c r="K12" i="12"/>
  <c r="F11" i="12"/>
  <c r="P32" i="12"/>
  <c r="K31" i="12"/>
  <c r="F30" i="12"/>
  <c r="K23" i="12"/>
  <c r="P15" i="12"/>
  <c r="K14" i="12"/>
  <c r="F13" i="12"/>
  <c r="P6" i="12"/>
  <c r="P22" i="12"/>
  <c r="P18" i="12"/>
  <c r="P19" i="12"/>
  <c r="P20" i="12"/>
  <c r="K21" i="12"/>
  <c r="K20" i="12"/>
  <c r="K19" i="12"/>
  <c r="K18" i="12"/>
  <c r="F22" i="12"/>
  <c r="F18" i="12"/>
  <c r="F19" i="12"/>
  <c r="F20" i="12"/>
  <c r="D25" i="2"/>
  <c r="C29" i="1"/>
  <c r="C30" i="2"/>
  <c r="D39" i="2"/>
  <c r="J27" i="9"/>
  <c r="C31" i="2"/>
  <c r="C32" i="15"/>
  <c r="H32" i="15" s="1"/>
  <c r="B35" i="1"/>
  <c r="Q32" i="12" s="1"/>
  <c r="D34" i="22"/>
  <c r="E31" i="17" s="1"/>
  <c r="J15" i="9"/>
  <c r="C33" i="1"/>
  <c r="H20" i="22"/>
  <c r="I17" i="17" s="1"/>
  <c r="C35" i="1"/>
  <c r="D28" i="2"/>
  <c r="C36" i="2"/>
  <c r="C32" i="1"/>
  <c r="E36" i="2"/>
  <c r="J34" i="9"/>
  <c r="L34" i="9"/>
  <c r="M34" i="9" s="1"/>
  <c r="C38" i="2"/>
  <c r="H34" i="22"/>
  <c r="I31" i="17" s="1"/>
  <c r="D36" i="2"/>
  <c r="H33" i="22"/>
  <c r="I30" i="17" s="1"/>
  <c r="J32" i="9"/>
  <c r="J30" i="9"/>
  <c r="H31" i="22"/>
  <c r="I28" i="17" s="1"/>
  <c r="E29" i="22"/>
  <c r="F30" i="22" s="1"/>
  <c r="G27" i="17" s="1"/>
  <c r="E33" i="2"/>
  <c r="E32" i="1"/>
  <c r="E27" i="22"/>
  <c r="E31" i="2"/>
  <c r="D33" i="2"/>
  <c r="L30" i="9"/>
  <c r="M30" i="9" s="1"/>
  <c r="C33" i="2"/>
  <c r="J29" i="9"/>
  <c r="D35" i="3"/>
  <c r="B34" i="2" s="1"/>
  <c r="H34" i="2" s="1"/>
  <c r="H30" i="22"/>
  <c r="I27" i="17" s="1"/>
  <c r="H29" i="22"/>
  <c r="I26" i="17" s="1"/>
  <c r="H27" i="22"/>
  <c r="I24" i="17" s="1"/>
  <c r="H26" i="22"/>
  <c r="I23" i="17" s="1"/>
  <c r="D31" i="1"/>
  <c r="D32" i="2"/>
  <c r="D30" i="2"/>
  <c r="D29" i="1"/>
  <c r="J26" i="9"/>
  <c r="J25" i="9"/>
  <c r="C26" i="15"/>
  <c r="H26" i="15" s="1"/>
  <c r="B29" i="1"/>
  <c r="D28" i="1"/>
  <c r="H24" i="22"/>
  <c r="I21" i="17" s="1"/>
  <c r="H22" i="22"/>
  <c r="I19" i="17" s="1"/>
  <c r="H21" i="22"/>
  <c r="I18" i="17" s="1"/>
  <c r="C25" i="1"/>
  <c r="L22" i="9"/>
  <c r="M22" i="9" s="1"/>
  <c r="L21" i="9"/>
  <c r="M21" i="9" s="1"/>
  <c r="C25" i="2"/>
  <c r="C24" i="1"/>
  <c r="B27" i="2"/>
  <c r="I27" i="2" s="1"/>
  <c r="E23" i="1"/>
  <c r="E24" i="2"/>
  <c r="F21" i="22"/>
  <c r="G18" i="17" s="1"/>
  <c r="H19" i="22"/>
  <c r="I16" i="17" s="1"/>
  <c r="H18" i="22"/>
  <c r="I15" i="17" s="1"/>
  <c r="C25" i="15"/>
  <c r="H25" i="15" s="1"/>
  <c r="B29" i="2"/>
  <c r="I29" i="2" s="1"/>
  <c r="E26" i="22"/>
  <c r="E30" i="2"/>
  <c r="E29" i="1"/>
  <c r="C34" i="15"/>
  <c r="B38" i="2"/>
  <c r="D20" i="1"/>
  <c r="D21" i="2"/>
  <c r="E19" i="22"/>
  <c r="F20" i="22" s="1"/>
  <c r="G17" i="17" s="1"/>
  <c r="E23" i="2"/>
  <c r="E22" i="1"/>
  <c r="E28" i="22"/>
  <c r="E31" i="1"/>
  <c r="E32" i="2"/>
  <c r="L28" i="9"/>
  <c r="M28" i="9" s="1"/>
  <c r="C31" i="1"/>
  <c r="J28" i="9"/>
  <c r="C32" i="2"/>
  <c r="L24" i="9"/>
  <c r="M24" i="9" s="1"/>
  <c r="J24" i="9"/>
  <c r="C28" i="2"/>
  <c r="C27" i="1"/>
  <c r="D25" i="1"/>
  <c r="D26" i="2"/>
  <c r="C39" i="2"/>
  <c r="B30" i="1"/>
  <c r="C27" i="15"/>
  <c r="H27" i="15" s="1"/>
  <c r="B31" i="2"/>
  <c r="L31" i="9"/>
  <c r="M31" i="9" s="1"/>
  <c r="J31" i="9"/>
  <c r="C34" i="1"/>
  <c r="C35" i="2"/>
  <c r="D37" i="1"/>
  <c r="D38" i="2"/>
  <c r="E25" i="22"/>
  <c r="E29" i="2"/>
  <c r="E28" i="1"/>
  <c r="J22" i="9"/>
  <c r="B30" i="2"/>
  <c r="D30" i="1"/>
  <c r="D34" i="4"/>
  <c r="E30" i="1"/>
  <c r="E18" i="22"/>
  <c r="L27" i="9"/>
  <c r="M27" i="9" s="1"/>
  <c r="L15" i="9"/>
  <c r="M15" i="9" s="1"/>
  <c r="C26" i="2"/>
  <c r="D24" i="3"/>
  <c r="B22" i="1" s="1"/>
  <c r="D36" i="3"/>
  <c r="H23" i="22"/>
  <c r="I20" i="17" s="1"/>
  <c r="C30" i="1"/>
  <c r="H23" i="15"/>
  <c r="E21" i="1"/>
  <c r="E32" i="22"/>
  <c r="D10" i="1"/>
  <c r="D5" i="22"/>
  <c r="E2" i="17" s="1"/>
  <c r="H28" i="22"/>
  <c r="I25" i="17" s="1"/>
  <c r="B36" i="2"/>
  <c r="D36" i="1"/>
  <c r="C18" i="1"/>
  <c r="H28" i="15"/>
  <c r="V22" i="19"/>
  <c r="F25" i="2" s="1"/>
  <c r="V23" i="19"/>
  <c r="F26" i="2" s="1"/>
  <c r="V24" i="19"/>
  <c r="F26" i="1" s="1"/>
  <c r="V25" i="19"/>
  <c r="F28" i="2" s="1"/>
  <c r="V26" i="19"/>
  <c r="F29" i="2" s="1"/>
  <c r="V27" i="19"/>
  <c r="F30" i="2" s="1"/>
  <c r="V28" i="19"/>
  <c r="F31" i="2" s="1"/>
  <c r="V29" i="19"/>
  <c r="F32" i="2" s="1"/>
  <c r="V30" i="19"/>
  <c r="F32" i="1" s="1"/>
  <c r="V31" i="19"/>
  <c r="F34" i="2" s="1"/>
  <c r="V32" i="19"/>
  <c r="F35" i="2" s="1"/>
  <c r="V33" i="19"/>
  <c r="V34" i="19"/>
  <c r="F37" i="2" s="1"/>
  <c r="V35" i="19"/>
  <c r="F38" i="2" s="1"/>
  <c r="V36" i="19"/>
  <c r="C8" i="1"/>
  <c r="C9" i="2"/>
  <c r="D18" i="1"/>
  <c r="D19" i="2"/>
  <c r="H11" i="22"/>
  <c r="I8" i="17" s="1"/>
  <c r="H7" i="22"/>
  <c r="I4" i="17" s="1"/>
  <c r="H15" i="22"/>
  <c r="I12" i="17" s="1"/>
  <c r="I2" i="17"/>
  <c r="C26" i="1"/>
  <c r="J23" i="9"/>
  <c r="C27" i="2"/>
  <c r="L23" i="9"/>
  <c r="M23" i="9" s="1"/>
  <c r="D34" i="2"/>
  <c r="D33" i="1"/>
  <c r="F20" i="15"/>
  <c r="H20" i="15" s="1"/>
  <c r="B23" i="1"/>
  <c r="C24" i="15"/>
  <c r="H24" i="15" s="1"/>
  <c r="B27" i="1"/>
  <c r="B28" i="2"/>
  <c r="B26" i="2"/>
  <c r="B25" i="1"/>
  <c r="C22" i="15"/>
  <c r="H22" i="15" s="1"/>
  <c r="B28" i="1"/>
  <c r="C29" i="2"/>
  <c r="E28" i="2"/>
  <c r="E27" i="1"/>
  <c r="E24" i="22"/>
  <c r="E34" i="22"/>
  <c r="E37" i="1"/>
  <c r="D8" i="1"/>
  <c r="B24" i="2"/>
  <c r="I24" i="2" s="1"/>
  <c r="D26" i="3"/>
  <c r="H18" i="15"/>
  <c r="E26" i="2"/>
  <c r="E22" i="22"/>
  <c r="F22" i="22" s="1"/>
  <c r="G19" i="17" s="1"/>
  <c r="E25" i="1"/>
  <c r="E39" i="2"/>
  <c r="E34" i="1"/>
  <c r="E31" i="22"/>
  <c r="F31" i="22" s="1"/>
  <c r="G28" i="17" s="1"/>
  <c r="B21" i="1"/>
  <c r="B26" i="1"/>
  <c r="C36" i="1"/>
  <c r="J33" i="9"/>
  <c r="D38" i="5"/>
  <c r="E33" i="15" s="1"/>
  <c r="H33" i="15" s="1"/>
  <c r="E27" i="2"/>
  <c r="E26" i="1"/>
  <c r="E23" i="22"/>
  <c r="E37" i="2"/>
  <c r="E36" i="1"/>
  <c r="E33" i="22"/>
  <c r="E25" i="2"/>
  <c r="E24" i="1"/>
  <c r="B22" i="2"/>
  <c r="B32" i="2"/>
  <c r="B31" i="1"/>
  <c r="C37" i="2"/>
  <c r="C21" i="1"/>
  <c r="L18" i="9"/>
  <c r="M18" i="9" s="1"/>
  <c r="E34" i="2"/>
  <c r="E33" i="1"/>
  <c r="H12" i="22"/>
  <c r="I9" i="17" s="1"/>
  <c r="H37" i="21"/>
  <c r="V20" i="19"/>
  <c r="F23" i="2" s="1"/>
  <c r="V21" i="19"/>
  <c r="F23" i="1" s="1"/>
  <c r="H8" i="22"/>
  <c r="I5" i="17" s="1"/>
  <c r="H16" i="22"/>
  <c r="I13" i="17" s="1"/>
  <c r="V15" i="19"/>
  <c r="F18" i="2" s="1"/>
  <c r="H14" i="22"/>
  <c r="I11" i="17" s="1"/>
  <c r="H17" i="22"/>
  <c r="I14" i="17" s="1"/>
  <c r="V11" i="19"/>
  <c r="F13" i="1" s="1"/>
  <c r="S37" i="19"/>
  <c r="H9" i="22"/>
  <c r="I6" i="17" s="1"/>
  <c r="N37" i="19"/>
  <c r="V12" i="19"/>
  <c r="F15" i="2" s="1"/>
  <c r="V16" i="19"/>
  <c r="F19" i="2" s="1"/>
  <c r="V10" i="19"/>
  <c r="F13" i="2" s="1"/>
  <c r="V14" i="19"/>
  <c r="F16" i="1" s="1"/>
  <c r="V18" i="19"/>
  <c r="F20" i="1" s="1"/>
  <c r="V13" i="19"/>
  <c r="F16" i="2" s="1"/>
  <c r="V17" i="19"/>
  <c r="F20" i="2" s="1"/>
  <c r="V9" i="19"/>
  <c r="F11" i="1" s="1"/>
  <c r="H6" i="22"/>
  <c r="I3" i="17" s="1"/>
  <c r="V8" i="19"/>
  <c r="F11" i="2" s="1"/>
  <c r="V7" i="19"/>
  <c r="F9" i="1" s="1"/>
  <c r="I37" i="19"/>
  <c r="H13" i="22"/>
  <c r="I10" i="17" s="1"/>
  <c r="V19" i="19"/>
  <c r="F22" i="2" s="1"/>
  <c r="H10" i="22"/>
  <c r="I7" i="17" s="1"/>
  <c r="V6" i="19"/>
  <c r="ET36" i="12"/>
  <c r="EO36" i="12"/>
  <c r="EJ36" i="12"/>
  <c r="EE36" i="12"/>
  <c r="DZ36" i="12"/>
  <c r="DU36" i="12"/>
  <c r="DP36" i="12"/>
  <c r="DK36" i="12"/>
  <c r="DF36" i="12"/>
  <c r="DA36" i="12"/>
  <c r="CV36" i="12"/>
  <c r="CQ36" i="12"/>
  <c r="CL36" i="12"/>
  <c r="CB36" i="12"/>
  <c r="BW36" i="12"/>
  <c r="BR36" i="12"/>
  <c r="CG36" i="12"/>
  <c r="BH36" i="12"/>
  <c r="BM36" i="12"/>
  <c r="BC36" i="12"/>
  <c r="AX36" i="12"/>
  <c r="AS36" i="12"/>
  <c r="AN36" i="12"/>
  <c r="AI36" i="12"/>
  <c r="AD36" i="12"/>
  <c r="Y36" i="12"/>
  <c r="T36" i="12"/>
  <c r="O36" i="12"/>
  <c r="J36" i="12"/>
  <c r="E36" i="12"/>
  <c r="E11" i="22"/>
  <c r="E6" i="22"/>
  <c r="E10" i="2"/>
  <c r="E9" i="1"/>
  <c r="E9" i="22"/>
  <c r="E13" i="2"/>
  <c r="E12" i="1"/>
  <c r="E19" i="1"/>
  <c r="E20" i="2"/>
  <c r="E15" i="22"/>
  <c r="E19" i="2"/>
  <c r="E18" i="1"/>
  <c r="E12" i="22"/>
  <c r="E15" i="1"/>
  <c r="E16" i="2"/>
  <c r="E14" i="1"/>
  <c r="E18" i="2"/>
  <c r="F37" i="21"/>
  <c r="E11" i="2"/>
  <c r="E10" i="1"/>
  <c r="E7" i="22"/>
  <c r="E11" i="1"/>
  <c r="E8" i="22"/>
  <c r="E12" i="2"/>
  <c r="E17" i="22"/>
  <c r="E21" i="2"/>
  <c r="E20" i="1"/>
  <c r="E13" i="1"/>
  <c r="E10" i="22"/>
  <c r="E14" i="2"/>
  <c r="E17" i="2"/>
  <c r="E16" i="1"/>
  <c r="E13" i="22"/>
  <c r="E16" i="22"/>
  <c r="F16" i="22" s="1"/>
  <c r="G13" i="17" s="1"/>
  <c r="E14" i="22"/>
  <c r="E9" i="2"/>
  <c r="E8" i="1"/>
  <c r="G37" i="21"/>
  <c r="E5" i="22"/>
  <c r="D17" i="2"/>
  <c r="D16" i="1"/>
  <c r="D14" i="1"/>
  <c r="D15" i="2"/>
  <c r="D13" i="2"/>
  <c r="D12" i="1"/>
  <c r="D18" i="2"/>
  <c r="D17" i="1"/>
  <c r="D22" i="1"/>
  <c r="D23" i="2"/>
  <c r="D20" i="2"/>
  <c r="D19" i="1"/>
  <c r="D12" i="2"/>
  <c r="D11" i="1"/>
  <c r="D22" i="2"/>
  <c r="D21" i="1"/>
  <c r="D14" i="2"/>
  <c r="D13" i="1"/>
  <c r="D16" i="2"/>
  <c r="D15" i="1"/>
  <c r="D10" i="2"/>
  <c r="D9" i="1"/>
  <c r="J14" i="9"/>
  <c r="C17" i="1"/>
  <c r="C18" i="2"/>
  <c r="L14" i="9"/>
  <c r="M14" i="9" s="1"/>
  <c r="C17" i="2"/>
  <c r="C16" i="1"/>
  <c r="L13" i="9"/>
  <c r="M13" i="9" s="1"/>
  <c r="J13" i="9"/>
  <c r="C16" i="2"/>
  <c r="L10" i="9"/>
  <c r="M10" i="9" s="1"/>
  <c r="C14" i="2"/>
  <c r="J10" i="9"/>
  <c r="C13" i="1"/>
  <c r="C12" i="1"/>
  <c r="J9" i="9"/>
  <c r="L9" i="9"/>
  <c r="M9" i="9" s="1"/>
  <c r="C13" i="2"/>
  <c r="C20" i="1"/>
  <c r="C21" i="2"/>
  <c r="J17" i="9"/>
  <c r="L17" i="9"/>
  <c r="M17" i="9" s="1"/>
  <c r="C12" i="2"/>
  <c r="J8" i="9"/>
  <c r="L8" i="9"/>
  <c r="M8" i="9" s="1"/>
  <c r="C11" i="1"/>
  <c r="C23" i="2"/>
  <c r="L19" i="9"/>
  <c r="M19" i="9" s="1"/>
  <c r="J19" i="9"/>
  <c r="C22" i="1"/>
  <c r="J16" i="9"/>
  <c r="C19" i="1"/>
  <c r="C20" i="2"/>
  <c r="L16" i="9"/>
  <c r="M16" i="9" s="1"/>
  <c r="J11" i="9"/>
  <c r="C14" i="1"/>
  <c r="C15" i="2"/>
  <c r="L11" i="9"/>
  <c r="M11" i="9" s="1"/>
  <c r="C15" i="1"/>
  <c r="C23" i="1"/>
  <c r="C24" i="2"/>
  <c r="J12" i="9"/>
  <c r="J18" i="9"/>
  <c r="C22" i="2"/>
  <c r="C10" i="1"/>
  <c r="C11" i="2"/>
  <c r="L7" i="9"/>
  <c r="M7" i="9" s="1"/>
  <c r="J7" i="9"/>
  <c r="L6" i="9"/>
  <c r="M6" i="9" s="1"/>
  <c r="C9" i="1"/>
  <c r="J6" i="9"/>
  <c r="C10" i="2"/>
  <c r="D17" i="7"/>
  <c r="G12" i="15" s="1"/>
  <c r="G36" i="15" s="1"/>
  <c r="B9" i="2"/>
  <c r="I9" i="2" s="1"/>
  <c r="B19" i="1"/>
  <c r="E16" i="15"/>
  <c r="H16" i="15" s="1"/>
  <c r="B20" i="2"/>
  <c r="B11" i="1"/>
  <c r="B12" i="2"/>
  <c r="B15" i="2"/>
  <c r="D11" i="15"/>
  <c r="H11" i="15" s="1"/>
  <c r="B14" i="1"/>
  <c r="D20" i="4"/>
  <c r="D41" i="4" s="1"/>
  <c r="H9" i="15"/>
  <c r="H17" i="15"/>
  <c r="B20" i="1"/>
  <c r="H8" i="15"/>
  <c r="B10" i="2"/>
  <c r="D6" i="15"/>
  <c r="H6" i="15" s="1"/>
  <c r="B9" i="1"/>
  <c r="D5" i="15"/>
  <c r="B8" i="1"/>
  <c r="B21" i="2"/>
  <c r="B17" i="1"/>
  <c r="B18" i="2"/>
  <c r="C14" i="15"/>
  <c r="H14" i="15" s="1"/>
  <c r="C13" i="15"/>
  <c r="H13" i="15" s="1"/>
  <c r="B17" i="2"/>
  <c r="B16" i="1"/>
  <c r="B14" i="2"/>
  <c r="C10" i="15"/>
  <c r="H10" i="15" s="1"/>
  <c r="B13" i="1"/>
  <c r="B13" i="2"/>
  <c r="B12" i="1"/>
  <c r="C7" i="15"/>
  <c r="H7" i="15" s="1"/>
  <c r="B10" i="1"/>
  <c r="B11" i="2"/>
  <c r="H34" i="15" l="1"/>
  <c r="G13" i="12"/>
  <c r="Q16" i="12"/>
  <c r="L9" i="12"/>
  <c r="I12" i="1"/>
  <c r="L10" i="12"/>
  <c r="I13" i="1"/>
  <c r="Q14" i="12"/>
  <c r="I17" i="1"/>
  <c r="L11" i="12"/>
  <c r="I14" i="1"/>
  <c r="G8" i="12"/>
  <c r="I11" i="1"/>
  <c r="EL23" i="12"/>
  <c r="I26" i="1"/>
  <c r="DH22" i="12"/>
  <c r="L34" i="12"/>
  <c r="I38" i="1"/>
  <c r="L7" i="12"/>
  <c r="I10" i="1"/>
  <c r="L6" i="12"/>
  <c r="I9" i="1"/>
  <c r="G17" i="12"/>
  <c r="I20" i="1"/>
  <c r="L18" i="12"/>
  <c r="I21" i="1"/>
  <c r="BY20" i="12"/>
  <c r="I23" i="1"/>
  <c r="EB19" i="12"/>
  <c r="I22" i="1"/>
  <c r="D41" i="3"/>
  <c r="Q28" i="12"/>
  <c r="G27" i="12"/>
  <c r="I31" i="1"/>
  <c r="Q26" i="12"/>
  <c r="I30" i="1"/>
  <c r="L24" i="12"/>
  <c r="I27" i="1"/>
  <c r="Q25" i="12"/>
  <c r="I28" i="1"/>
  <c r="I29" i="1"/>
  <c r="F35" i="22"/>
  <c r="E39" i="1"/>
  <c r="D39" i="1"/>
  <c r="D40" i="1" s="1"/>
  <c r="C39" i="1"/>
  <c r="C40" i="1" s="1"/>
  <c r="D41" i="7"/>
  <c r="D41" i="5"/>
  <c r="EV11" i="12"/>
  <c r="DR6" i="12"/>
  <c r="AA7" i="12"/>
  <c r="CI8" i="12"/>
  <c r="CX10" i="12"/>
  <c r="V11" i="12"/>
  <c r="EG7" i="12"/>
  <c r="EB7" i="12"/>
  <c r="AZ8" i="12"/>
  <c r="AK6" i="12"/>
  <c r="CI10" i="12"/>
  <c r="EV8" i="12"/>
  <c r="EL6" i="12"/>
  <c r="BY6" i="12"/>
  <c r="DC7" i="12"/>
  <c r="BO10" i="12"/>
  <c r="AF11" i="12"/>
  <c r="DC8" i="12"/>
  <c r="CX11" i="12"/>
  <c r="DC10" i="12"/>
  <c r="AU7" i="12"/>
  <c r="EL8" i="12"/>
  <c r="EG10" i="12"/>
  <c r="CS11" i="12"/>
  <c r="DR11" i="12"/>
  <c r="AU6" i="12"/>
  <c r="V10" i="12"/>
  <c r="DW7" i="12"/>
  <c r="DW6" i="12"/>
  <c r="DR8" i="12"/>
  <c r="DM7" i="12"/>
  <c r="BE11" i="12"/>
  <c r="AA8" i="12"/>
  <c r="DH8" i="12"/>
  <c r="EQ11" i="12"/>
  <c r="BT7" i="12"/>
  <c r="BY8" i="12"/>
  <c r="DH10" i="12"/>
  <c r="DM6" i="12"/>
  <c r="BE9" i="12"/>
  <c r="CI9" i="12"/>
  <c r="BJ9" i="12"/>
  <c r="DC9" i="12"/>
  <c r="EQ8" i="12"/>
  <c r="EL10" i="12"/>
  <c r="DR10" i="12"/>
  <c r="V6" i="12"/>
  <c r="CX6" i="12"/>
  <c r="AZ7" i="12"/>
  <c r="CD7" i="12"/>
  <c r="AK8" i="12"/>
  <c r="BT9" i="12"/>
  <c r="DM9" i="12"/>
  <c r="BY10" i="12"/>
  <c r="BT6" i="12"/>
  <c r="BO7" i="12"/>
  <c r="DH9" i="12"/>
  <c r="BE10" i="12"/>
  <c r="CS10" i="12"/>
  <c r="BO11" i="12"/>
  <c r="DR9" i="12"/>
  <c r="AZ6" i="12"/>
  <c r="CD6" i="12"/>
  <c r="AK7" i="12"/>
  <c r="CN7" i="12"/>
  <c r="AP8" i="12"/>
  <c r="BT8" i="12"/>
  <c r="DM8" i="12"/>
  <c r="AU9" i="12"/>
  <c r="BY9" i="12"/>
  <c r="AA10" i="12"/>
  <c r="BJ10" i="12"/>
  <c r="CI11" i="12"/>
  <c r="DH11" i="12"/>
  <c r="CX7" i="12"/>
  <c r="AF6" i="12"/>
  <c r="V8" i="12"/>
  <c r="BO8" i="12"/>
  <c r="CX8" i="12"/>
  <c r="CN10" i="12"/>
  <c r="EG9" i="12"/>
  <c r="EV7" i="12"/>
  <c r="EB6" i="12"/>
  <c r="DW8" i="12"/>
  <c r="AF8" i="12"/>
  <c r="BO6" i="12"/>
  <c r="CN8" i="12"/>
  <c r="AP9" i="12"/>
  <c r="AU10" i="12"/>
  <c r="AA11" i="12"/>
  <c r="BJ11" i="12"/>
  <c r="DC11" i="12"/>
  <c r="V7" i="12"/>
  <c r="AK9" i="12"/>
  <c r="BT10" i="12"/>
  <c r="BY11" i="12"/>
  <c r="EV6" i="12"/>
  <c r="EG11" i="12"/>
  <c r="AF9" i="12"/>
  <c r="AA6" i="12"/>
  <c r="BJ6" i="12"/>
  <c r="DH7" i="12"/>
  <c r="BE8" i="12"/>
  <c r="EL7" i="12"/>
  <c r="DR7" i="12"/>
  <c r="CS6" i="12"/>
  <c r="EQ10" i="12"/>
  <c r="EG6" i="12"/>
  <c r="EB8" i="12"/>
  <c r="DW10" i="12"/>
  <c r="AF10" i="12"/>
  <c r="CI6" i="12"/>
  <c r="DH6" i="12"/>
  <c r="BE7" i="12"/>
  <c r="CS7" i="12"/>
  <c r="AZ9" i="12"/>
  <c r="CD9" i="12"/>
  <c r="AK10" i="12"/>
  <c r="AP11" i="12"/>
  <c r="BT11" i="12"/>
  <c r="DM11" i="12"/>
  <c r="EQ9" i="12"/>
  <c r="EL11" i="12"/>
  <c r="AF7" i="12"/>
  <c r="BE6" i="12"/>
  <c r="BY7" i="12"/>
  <c r="EG8" i="12"/>
  <c r="EB10" i="12"/>
  <c r="BJ7" i="12"/>
  <c r="CS9" i="12"/>
  <c r="AZ11" i="12"/>
  <c r="CD11" i="12"/>
  <c r="EB11" i="12"/>
  <c r="DW9" i="12"/>
  <c r="BJ8" i="12"/>
  <c r="CN9" i="12"/>
  <c r="AP10" i="12"/>
  <c r="DM10" i="12"/>
  <c r="AU11" i="12"/>
  <c r="EV10" i="12"/>
  <c r="EQ7" i="12"/>
  <c r="EL9" i="12"/>
  <c r="EB9" i="12"/>
  <c r="DW11" i="12"/>
  <c r="DC6" i="12"/>
  <c r="CI7" i="12"/>
  <c r="CS8" i="12"/>
  <c r="V9" i="12"/>
  <c r="BO9" i="12"/>
  <c r="CX9" i="12"/>
  <c r="AZ10" i="12"/>
  <c r="CD10" i="12"/>
  <c r="AK11" i="12"/>
  <c r="CN11" i="12"/>
  <c r="AP6" i="12"/>
  <c r="EV9" i="12"/>
  <c r="EQ6" i="12"/>
  <c r="CN6" i="12"/>
  <c r="AP7" i="12"/>
  <c r="AU8" i="12"/>
  <c r="AA9" i="12"/>
  <c r="CD8" i="12"/>
  <c r="Q7" i="12"/>
  <c r="AU34" i="12"/>
  <c r="AA34" i="12"/>
  <c r="EV34" i="12"/>
  <c r="AF34" i="12"/>
  <c r="CS34" i="12"/>
  <c r="EB34" i="12"/>
  <c r="DR34" i="12"/>
  <c r="BT34" i="12"/>
  <c r="AP34" i="12"/>
  <c r="DH34" i="12"/>
  <c r="CN34" i="12"/>
  <c r="AK34" i="12"/>
  <c r="DC34" i="12"/>
  <c r="DM34" i="12"/>
  <c r="BJ34" i="12"/>
  <c r="EL34" i="12"/>
  <c r="V34" i="12"/>
  <c r="CX34" i="12"/>
  <c r="BY34" i="12"/>
  <c r="DW34" i="12"/>
  <c r="AZ34" i="12"/>
  <c r="EQ34" i="12"/>
  <c r="BO34" i="12"/>
  <c r="BE34" i="12"/>
  <c r="CI34" i="12"/>
  <c r="EG34" i="12"/>
  <c r="CD34" i="12"/>
  <c r="EV32" i="12"/>
  <c r="EQ32" i="12"/>
  <c r="AP32" i="12"/>
  <c r="DM32" i="12"/>
  <c r="AU32" i="12"/>
  <c r="EG32" i="12"/>
  <c r="DW32" i="12"/>
  <c r="AF32" i="12"/>
  <c r="AA32" i="12"/>
  <c r="BJ32" i="12"/>
  <c r="V32" i="12"/>
  <c r="CN32" i="12"/>
  <c r="CI32" i="12"/>
  <c r="DH32" i="12"/>
  <c r="BE32" i="12"/>
  <c r="CS32" i="12"/>
  <c r="AZ32" i="12"/>
  <c r="DC32" i="12"/>
  <c r="BO32" i="12"/>
  <c r="BT32" i="12"/>
  <c r="AK32" i="12"/>
  <c r="BY32" i="12"/>
  <c r="CD32" i="12"/>
  <c r="EL32" i="12"/>
  <c r="EB32" i="12"/>
  <c r="DR32" i="12"/>
  <c r="CX32" i="12"/>
  <c r="DW28" i="12"/>
  <c r="AK28" i="12"/>
  <c r="AZ28" i="12"/>
  <c r="AP28" i="12"/>
  <c r="BT28" i="12"/>
  <c r="DM28" i="12"/>
  <c r="EB28" i="12"/>
  <c r="BY28" i="12"/>
  <c r="CN28" i="12"/>
  <c r="AA28" i="12"/>
  <c r="V28" i="12"/>
  <c r="CX28" i="12"/>
  <c r="EV28" i="12"/>
  <c r="EG28" i="12"/>
  <c r="CI28" i="12"/>
  <c r="DH28" i="12"/>
  <c r="CS28" i="12"/>
  <c r="DC28" i="12"/>
  <c r="EL28" i="12"/>
  <c r="DR28" i="12"/>
  <c r="BO28" i="12"/>
  <c r="AF28" i="12"/>
  <c r="CD28" i="12"/>
  <c r="EQ28" i="12"/>
  <c r="BE28" i="12"/>
  <c r="BJ28" i="12"/>
  <c r="AU28" i="12"/>
  <c r="AF27" i="12"/>
  <c r="DM27" i="12"/>
  <c r="AZ27" i="12"/>
  <c r="DR27" i="12"/>
  <c r="AU27" i="12"/>
  <c r="EV27" i="12"/>
  <c r="EG27" i="12"/>
  <c r="BO27" i="12"/>
  <c r="EB27" i="12"/>
  <c r="EL27" i="12"/>
  <c r="DH27" i="12"/>
  <c r="V27" i="12"/>
  <c r="CI27" i="12"/>
  <c r="AP27" i="12"/>
  <c r="AA27" i="12"/>
  <c r="BJ27" i="12"/>
  <c r="DC27" i="12"/>
  <c r="BY27" i="12"/>
  <c r="DW27" i="12"/>
  <c r="CX27" i="12"/>
  <c r="EQ27" i="12"/>
  <c r="BE27" i="12"/>
  <c r="CS27" i="12"/>
  <c r="CD27" i="12"/>
  <c r="AK27" i="12"/>
  <c r="CN27" i="12"/>
  <c r="BT27" i="12"/>
  <c r="BT26" i="12"/>
  <c r="AZ26" i="12"/>
  <c r="CD26" i="12"/>
  <c r="EV26" i="12"/>
  <c r="DW26" i="12"/>
  <c r="DR26" i="12"/>
  <c r="V26" i="12"/>
  <c r="BO26" i="12"/>
  <c r="CX26" i="12"/>
  <c r="BJ26" i="12"/>
  <c r="DC26" i="12"/>
  <c r="BE26" i="12"/>
  <c r="EG26" i="12"/>
  <c r="AF26" i="12"/>
  <c r="CI26" i="12"/>
  <c r="DH26" i="12"/>
  <c r="EB26" i="12"/>
  <c r="BY26" i="12"/>
  <c r="AP26" i="12"/>
  <c r="DM26" i="12"/>
  <c r="AA26" i="12"/>
  <c r="EL26" i="12"/>
  <c r="AU26" i="12"/>
  <c r="CS26" i="12"/>
  <c r="AK26" i="12"/>
  <c r="CN26" i="12"/>
  <c r="EQ26" i="12"/>
  <c r="EG25" i="12"/>
  <c r="DW25" i="12"/>
  <c r="DC25" i="12"/>
  <c r="BJ25" i="12"/>
  <c r="CI25" i="12"/>
  <c r="EQ25" i="12"/>
  <c r="DM25" i="12"/>
  <c r="EQ24" i="12"/>
  <c r="BJ24" i="12"/>
  <c r="AZ22" i="12"/>
  <c r="BY22" i="12"/>
  <c r="AP25" i="12"/>
  <c r="BT25" i="12"/>
  <c r="EL25" i="12"/>
  <c r="DR25" i="12"/>
  <c r="AF25" i="12"/>
  <c r="V25" i="12"/>
  <c r="BO25" i="12"/>
  <c r="CX25" i="12"/>
  <c r="CN25" i="12"/>
  <c r="BY24" i="12"/>
  <c r="CD25" i="12"/>
  <c r="AK24" i="12"/>
  <c r="CS25" i="12"/>
  <c r="EB25" i="12"/>
  <c r="CS24" i="12"/>
  <c r="AK25" i="12"/>
  <c r="AZ25" i="12"/>
  <c r="EG24" i="12"/>
  <c r="DW24" i="12"/>
  <c r="BE25" i="12"/>
  <c r="DH25" i="12"/>
  <c r="BE24" i="12"/>
  <c r="AU25" i="12"/>
  <c r="BY25" i="12"/>
  <c r="AA25" i="12"/>
  <c r="EV25" i="12"/>
  <c r="EV24" i="12"/>
  <c r="CI24" i="12"/>
  <c r="DH24" i="12"/>
  <c r="CD24" i="12"/>
  <c r="DC24" i="12"/>
  <c r="V24" i="12"/>
  <c r="BO24" i="12"/>
  <c r="AF24" i="12"/>
  <c r="AP24" i="12"/>
  <c r="BT24" i="12"/>
  <c r="DM24" i="12"/>
  <c r="AA24" i="12"/>
  <c r="EL24" i="12"/>
  <c r="EB24" i="12"/>
  <c r="DR24" i="12"/>
  <c r="CX24" i="12"/>
  <c r="CN24" i="12"/>
  <c r="AZ24" i="12"/>
  <c r="AU24" i="12"/>
  <c r="AA23" i="12"/>
  <c r="AU22" i="12"/>
  <c r="AZ23" i="12"/>
  <c r="CD23" i="12"/>
  <c r="DM22" i="12"/>
  <c r="DW23" i="12"/>
  <c r="DH23" i="12"/>
  <c r="V23" i="12"/>
  <c r="CX23" i="12"/>
  <c r="DW22" i="12"/>
  <c r="AF22" i="12"/>
  <c r="DM23" i="12"/>
  <c r="DR23" i="12"/>
  <c r="DC23" i="12"/>
  <c r="AU23" i="12"/>
  <c r="BO23" i="12"/>
  <c r="EB23" i="12"/>
  <c r="BY23" i="12"/>
  <c r="EQ23" i="12"/>
  <c r="AK23" i="12"/>
  <c r="CI23" i="12"/>
  <c r="BE23" i="12"/>
  <c r="EV23" i="12"/>
  <c r="AP23" i="12"/>
  <c r="BT23" i="12"/>
  <c r="AF23" i="12"/>
  <c r="EB22" i="12"/>
  <c r="BJ23" i="12"/>
  <c r="EG23" i="12"/>
  <c r="CN23" i="12"/>
  <c r="CS22" i="12"/>
  <c r="CS23" i="12"/>
  <c r="DR22" i="12"/>
  <c r="BE22" i="12"/>
  <c r="CD22" i="12"/>
  <c r="CN22" i="12"/>
  <c r="CX22" i="12"/>
  <c r="EV22" i="12"/>
  <c r="EQ22" i="12"/>
  <c r="CI22" i="12"/>
  <c r="EL22" i="12"/>
  <c r="V22" i="12"/>
  <c r="BO22" i="12"/>
  <c r="BT22" i="12"/>
  <c r="AA22" i="12"/>
  <c r="BJ22" i="12"/>
  <c r="DC22" i="12"/>
  <c r="AP22" i="12"/>
  <c r="EG22" i="12"/>
  <c r="AK22" i="12"/>
  <c r="AK20" i="12"/>
  <c r="AU20" i="12"/>
  <c r="DW20" i="12"/>
  <c r="BT20" i="12"/>
  <c r="EQ20" i="12"/>
  <c r="AP20" i="12"/>
  <c r="EB20" i="12"/>
  <c r="CI20" i="12"/>
  <c r="BJ20" i="12"/>
  <c r="CD20" i="12"/>
  <c r="AF20" i="12"/>
  <c r="DH20" i="12"/>
  <c r="CS20" i="12"/>
  <c r="DR20" i="12"/>
  <c r="V20" i="12"/>
  <c r="EG20" i="12"/>
  <c r="CN20" i="12"/>
  <c r="AZ20" i="12"/>
  <c r="DC20" i="12"/>
  <c r="BE20" i="12"/>
  <c r="EL20" i="12"/>
  <c r="BO20" i="12"/>
  <c r="CX20" i="12"/>
  <c r="EV20" i="12"/>
  <c r="AA20" i="12"/>
  <c r="DM20" i="12"/>
  <c r="EG19" i="12"/>
  <c r="AK19" i="12"/>
  <c r="CI19" i="12"/>
  <c r="DH19" i="12"/>
  <c r="DR19" i="12"/>
  <c r="V19" i="12"/>
  <c r="AP19" i="12"/>
  <c r="BT19" i="12"/>
  <c r="DM19" i="12"/>
  <c r="EV19" i="12"/>
  <c r="AA19" i="12"/>
  <c r="BJ19" i="12"/>
  <c r="DC19" i="12"/>
  <c r="BO19" i="12"/>
  <c r="CX19" i="12"/>
  <c r="DW19" i="12"/>
  <c r="CS19" i="12"/>
  <c r="CD19" i="12"/>
  <c r="BY19" i="12"/>
  <c r="CN19" i="12"/>
  <c r="EL19" i="12"/>
  <c r="BE19" i="12"/>
  <c r="AZ19" i="12"/>
  <c r="AF19" i="12"/>
  <c r="AU19" i="12"/>
  <c r="EQ19" i="12"/>
  <c r="AF18" i="12"/>
  <c r="DH18" i="12"/>
  <c r="EB18" i="12"/>
  <c r="DR18" i="12"/>
  <c r="BO18" i="12"/>
  <c r="CX18" i="12"/>
  <c r="DM18" i="12"/>
  <c r="AZ18" i="12"/>
  <c r="DW18" i="12"/>
  <c r="AK18" i="12"/>
  <c r="CI18" i="12"/>
  <c r="AU18" i="12"/>
  <c r="BE18" i="12"/>
  <c r="CS18" i="12"/>
  <c r="BJ18" i="12"/>
  <c r="DC18" i="12"/>
  <c r="EQ18" i="12"/>
  <c r="CN18" i="12"/>
  <c r="BY18" i="12"/>
  <c r="AP18" i="12"/>
  <c r="BT18" i="12"/>
  <c r="AA18" i="12"/>
  <c r="EL18" i="12"/>
  <c r="V18" i="12"/>
  <c r="EV18" i="12"/>
  <c r="CD18" i="12"/>
  <c r="EG18" i="12"/>
  <c r="AP17" i="12"/>
  <c r="BT17" i="12"/>
  <c r="AK17" i="12"/>
  <c r="CI17" i="12"/>
  <c r="AP16" i="12"/>
  <c r="AU17" i="12"/>
  <c r="AZ17" i="12"/>
  <c r="CD17" i="12"/>
  <c r="EQ17" i="12"/>
  <c r="AK16" i="12"/>
  <c r="CS17" i="12"/>
  <c r="DH17" i="12"/>
  <c r="EL17" i="12"/>
  <c r="DR17" i="12"/>
  <c r="AF17" i="12"/>
  <c r="DM16" i="12"/>
  <c r="BY17" i="12"/>
  <c r="AA17" i="12"/>
  <c r="BE17" i="12"/>
  <c r="EB17" i="12"/>
  <c r="EV17" i="12"/>
  <c r="BJ17" i="12"/>
  <c r="DC17" i="12"/>
  <c r="DM17" i="12"/>
  <c r="EG17" i="12"/>
  <c r="CN17" i="12"/>
  <c r="V17" i="12"/>
  <c r="BO17" i="12"/>
  <c r="CX17" i="12"/>
  <c r="DW17" i="12"/>
  <c r="CI16" i="12"/>
  <c r="DH16" i="12"/>
  <c r="AZ16" i="12"/>
  <c r="CD16" i="12"/>
  <c r="BE16" i="12"/>
  <c r="AU16" i="12"/>
  <c r="BY16" i="12"/>
  <c r="EV16" i="12"/>
  <c r="DR16" i="12"/>
  <c r="V16" i="12"/>
  <c r="DC16" i="12"/>
  <c r="CS16" i="12"/>
  <c r="EQ16" i="12"/>
  <c r="EG16" i="12"/>
  <c r="DW16" i="12"/>
  <c r="AF16" i="12"/>
  <c r="CN16" i="12"/>
  <c r="AA16" i="12"/>
  <c r="BJ16" i="12"/>
  <c r="BT16" i="12"/>
  <c r="EL16" i="12"/>
  <c r="EB16" i="12"/>
  <c r="BO16" i="12"/>
  <c r="CX16" i="12"/>
  <c r="AZ14" i="12"/>
  <c r="CN14" i="12"/>
  <c r="AP14" i="12"/>
  <c r="BT14" i="12"/>
  <c r="DR14" i="12"/>
  <c r="BY14" i="12"/>
  <c r="BE14" i="12"/>
  <c r="CS14" i="12"/>
  <c r="CD14" i="12"/>
  <c r="CI14" i="12"/>
  <c r="EB14" i="12"/>
  <c r="AU14" i="12"/>
  <c r="EG14" i="12"/>
  <c r="DH14" i="12"/>
  <c r="DM14" i="12"/>
  <c r="EV14" i="12"/>
  <c r="AA14" i="12"/>
  <c r="BJ14" i="12"/>
  <c r="DC14" i="12"/>
  <c r="DW14" i="12"/>
  <c r="AK14" i="12"/>
  <c r="EL14" i="12"/>
  <c r="V14" i="12"/>
  <c r="BO14" i="12"/>
  <c r="CX14" i="12"/>
  <c r="EQ14" i="12"/>
  <c r="AF14" i="12"/>
  <c r="V13" i="12"/>
  <c r="CX13" i="12"/>
  <c r="BE13" i="12"/>
  <c r="CS13" i="12"/>
  <c r="CN13" i="12"/>
  <c r="AF13" i="12"/>
  <c r="AU13" i="12"/>
  <c r="EQ13" i="12"/>
  <c r="EG13" i="12"/>
  <c r="EV13" i="12"/>
  <c r="AZ13" i="12"/>
  <c r="CD13" i="12"/>
  <c r="EL13" i="12"/>
  <c r="BY13" i="12"/>
  <c r="AA13" i="12"/>
  <c r="DC13" i="12"/>
  <c r="AP13" i="12"/>
  <c r="BT13" i="12"/>
  <c r="DM13" i="12"/>
  <c r="AK13" i="12"/>
  <c r="CI13" i="12"/>
  <c r="DH13" i="12"/>
  <c r="EB13" i="12"/>
  <c r="DR13" i="12"/>
  <c r="BO13" i="12"/>
  <c r="DW13" i="12"/>
  <c r="BJ13" i="12"/>
  <c r="D25" i="22"/>
  <c r="E22" i="17" s="1"/>
  <c r="D29" i="22"/>
  <c r="E26" i="17" s="1"/>
  <c r="D31" i="22"/>
  <c r="E28" i="17" s="1"/>
  <c r="B33" i="1"/>
  <c r="C30" i="15"/>
  <c r="H30" i="15" s="1"/>
  <c r="G32" i="12"/>
  <c r="L14" i="12"/>
  <c r="Q9" i="12"/>
  <c r="Q6" i="12"/>
  <c r="Q13" i="12"/>
  <c r="G9" i="12"/>
  <c r="L17" i="12"/>
  <c r="L13" i="12"/>
  <c r="Q8" i="12"/>
  <c r="L8" i="12"/>
  <c r="Q17" i="12"/>
  <c r="G14" i="12"/>
  <c r="Q34" i="12"/>
  <c r="L32" i="12"/>
  <c r="D30" i="22"/>
  <c r="E27" i="17" s="1"/>
  <c r="L28" i="12"/>
  <c r="D26" i="22"/>
  <c r="E23" i="17" s="1"/>
  <c r="G25" i="12"/>
  <c r="Q24" i="12"/>
  <c r="G24" i="12"/>
  <c r="Q27" i="12"/>
  <c r="G26" i="12"/>
  <c r="G10" i="12"/>
  <c r="Q18" i="12"/>
  <c r="G18" i="12"/>
  <c r="F29" i="22"/>
  <c r="G26" i="17" s="1"/>
  <c r="G28" i="12"/>
  <c r="Q11" i="12"/>
  <c r="L27" i="12"/>
  <c r="Q10" i="12"/>
  <c r="L25" i="12"/>
  <c r="G34" i="12"/>
  <c r="G6" i="12"/>
  <c r="G16" i="12"/>
  <c r="L16" i="12"/>
  <c r="F13" i="22"/>
  <c r="G10" i="17" s="1"/>
  <c r="G11" i="12"/>
  <c r="G7" i="12"/>
  <c r="L26" i="12"/>
  <c r="I26" i="2"/>
  <c r="Q23" i="12"/>
  <c r="L23" i="12"/>
  <c r="G23" i="12"/>
  <c r="Q22" i="12"/>
  <c r="L22" i="12"/>
  <c r="G22" i="12"/>
  <c r="L20" i="12"/>
  <c r="Q20" i="12"/>
  <c r="G20" i="12"/>
  <c r="Q19" i="12"/>
  <c r="L19" i="12"/>
  <c r="G19" i="12"/>
  <c r="H31" i="2"/>
  <c r="D6" i="22"/>
  <c r="E3" i="17" s="1"/>
  <c r="D7" i="22"/>
  <c r="E4" i="17" s="1"/>
  <c r="H27" i="2"/>
  <c r="I17" i="2"/>
  <c r="D8" i="22"/>
  <c r="E5" i="17" s="1"/>
  <c r="D28" i="22"/>
  <c r="E25" i="17" s="1"/>
  <c r="D11" i="22"/>
  <c r="E8" i="17" s="1"/>
  <c r="F27" i="22"/>
  <c r="G24" i="17" s="1"/>
  <c r="F25" i="1"/>
  <c r="H38" i="2"/>
  <c r="F33" i="22"/>
  <c r="G30" i="17" s="1"/>
  <c r="I38" i="2"/>
  <c r="I36" i="2"/>
  <c r="F37" i="1"/>
  <c r="H36" i="2"/>
  <c r="B34" i="1"/>
  <c r="I35" i="1" s="1"/>
  <c r="F36" i="1"/>
  <c r="F28" i="22"/>
  <c r="G25" i="17" s="1"/>
  <c r="I32" i="2"/>
  <c r="I34" i="2"/>
  <c r="F33" i="1"/>
  <c r="F33" i="2"/>
  <c r="F29" i="1"/>
  <c r="I31" i="2"/>
  <c r="H29" i="2"/>
  <c r="F27" i="1"/>
  <c r="F27" i="2"/>
  <c r="F24" i="1"/>
  <c r="H28" i="2"/>
  <c r="F36" i="15"/>
  <c r="H24" i="2"/>
  <c r="D19" i="22"/>
  <c r="E16" i="17" s="1"/>
  <c r="D18" i="22"/>
  <c r="E15" i="17" s="1"/>
  <c r="D20" i="22"/>
  <c r="E17" i="17" s="1"/>
  <c r="I22" i="2"/>
  <c r="H22" i="2"/>
  <c r="F22" i="1"/>
  <c r="D17" i="22"/>
  <c r="E14" i="17" s="1"/>
  <c r="D16" i="22"/>
  <c r="E13" i="17" s="1"/>
  <c r="B16" i="2"/>
  <c r="H16" i="2" s="1"/>
  <c r="C19" i="15"/>
  <c r="H19" i="15" s="1"/>
  <c r="B23" i="2"/>
  <c r="I23" i="2" s="1"/>
  <c r="D29" i="15"/>
  <c r="H29" i="15" s="1"/>
  <c r="B32" i="1"/>
  <c r="D15" i="22"/>
  <c r="E12" i="17" s="1"/>
  <c r="F34" i="1"/>
  <c r="F28" i="1"/>
  <c r="F39" i="2"/>
  <c r="F30" i="1"/>
  <c r="H30" i="2"/>
  <c r="I30" i="2"/>
  <c r="F36" i="2"/>
  <c r="F35" i="1"/>
  <c r="B33" i="2"/>
  <c r="F19" i="22"/>
  <c r="G16" i="17" s="1"/>
  <c r="F26" i="22"/>
  <c r="G23" i="17" s="1"/>
  <c r="F31" i="1"/>
  <c r="F24" i="2"/>
  <c r="D27" i="22"/>
  <c r="E24" i="17" s="1"/>
  <c r="H26" i="2"/>
  <c r="B35" i="2"/>
  <c r="C31" i="15"/>
  <c r="H31" i="15" s="1"/>
  <c r="H9" i="2"/>
  <c r="F14" i="1"/>
  <c r="F19" i="1"/>
  <c r="F18" i="1"/>
  <c r="F17" i="2"/>
  <c r="F17" i="1"/>
  <c r="F12" i="1"/>
  <c r="D10" i="22"/>
  <c r="E7" i="17" s="1"/>
  <c r="D32" i="22"/>
  <c r="E29" i="17" s="1"/>
  <c r="D33" i="22"/>
  <c r="E30" i="17" s="1"/>
  <c r="B36" i="1"/>
  <c r="I36" i="1" s="1"/>
  <c r="D21" i="22"/>
  <c r="E18" i="17" s="1"/>
  <c r="D22" i="22"/>
  <c r="E19" i="17" s="1"/>
  <c r="D23" i="22"/>
  <c r="E20" i="17" s="1"/>
  <c r="D24" i="22"/>
  <c r="E21" i="17" s="1"/>
  <c r="H10" i="2"/>
  <c r="F12" i="22"/>
  <c r="G9" i="17" s="1"/>
  <c r="F12" i="2"/>
  <c r="F14" i="2"/>
  <c r="F23" i="22"/>
  <c r="G20" i="17" s="1"/>
  <c r="H32" i="2"/>
  <c r="B37" i="2"/>
  <c r="B24" i="1"/>
  <c r="I24" i="1" s="1"/>
  <c r="B25" i="2"/>
  <c r="C21" i="15"/>
  <c r="H21" i="15" s="1"/>
  <c r="F34" i="22"/>
  <c r="G31" i="17" s="1"/>
  <c r="E35" i="15"/>
  <c r="H35" i="15" s="1"/>
  <c r="I28" i="2"/>
  <c r="F25" i="22"/>
  <c r="G22" i="17" s="1"/>
  <c r="F24" i="22"/>
  <c r="G21" i="17" s="1"/>
  <c r="F32" i="22"/>
  <c r="G29" i="17" s="1"/>
  <c r="H12" i="2"/>
  <c r="F21" i="2"/>
  <c r="F10" i="2"/>
  <c r="F21" i="1"/>
  <c r="F15" i="1"/>
  <c r="F10" i="1"/>
  <c r="F8" i="1"/>
  <c r="F9" i="2"/>
  <c r="F7" i="22"/>
  <c r="G4" i="17" s="1"/>
  <c r="F14" i="22"/>
  <c r="G11" i="17" s="1"/>
  <c r="F8" i="22"/>
  <c r="G5" i="17" s="1"/>
  <c r="E40" i="2"/>
  <c r="F9" i="22"/>
  <c r="G6" i="17" s="1"/>
  <c r="E40" i="1"/>
  <c r="F10" i="22"/>
  <c r="G7" i="17" s="1"/>
  <c r="F11" i="22"/>
  <c r="G8" i="17" s="1"/>
  <c r="F17" i="22"/>
  <c r="G14" i="17" s="1"/>
  <c r="F18" i="22"/>
  <c r="G15" i="17" s="1"/>
  <c r="F15" i="22"/>
  <c r="G12" i="17" s="1"/>
  <c r="F5" i="22"/>
  <c r="G2" i="17" s="1"/>
  <c r="F6" i="22"/>
  <c r="G3" i="17" s="1"/>
  <c r="D40" i="2"/>
  <c r="J36" i="9"/>
  <c r="H15" i="2"/>
  <c r="C40" i="2"/>
  <c r="H12" i="15"/>
  <c r="D14" i="22"/>
  <c r="E11" i="17" s="1"/>
  <c r="B15" i="1"/>
  <c r="I15" i="1" s="1"/>
  <c r="I15" i="2"/>
  <c r="I12" i="2"/>
  <c r="I10" i="2"/>
  <c r="I20" i="2"/>
  <c r="H20" i="2"/>
  <c r="D9" i="22"/>
  <c r="E6" i="17" s="1"/>
  <c r="D15" i="15"/>
  <c r="H15" i="15" s="1"/>
  <c r="B18" i="1"/>
  <c r="I18" i="1" s="1"/>
  <c r="B19" i="2"/>
  <c r="H17" i="2"/>
  <c r="H5" i="15"/>
  <c r="I21" i="2"/>
  <c r="H21" i="2"/>
  <c r="H18" i="2"/>
  <c r="I18" i="2"/>
  <c r="D12" i="22"/>
  <c r="E9" i="17" s="1"/>
  <c r="D13" i="22"/>
  <c r="E10" i="17" s="1"/>
  <c r="H14" i="2"/>
  <c r="I14" i="2"/>
  <c r="H13" i="2"/>
  <c r="I13" i="2"/>
  <c r="I11" i="2"/>
  <c r="H11" i="2"/>
  <c r="I37" i="1" l="1"/>
  <c r="I19" i="1"/>
  <c r="I25" i="1"/>
  <c r="I16" i="1"/>
  <c r="I34" i="1"/>
  <c r="I33" i="1"/>
  <c r="I32" i="1"/>
  <c r="F39" i="1"/>
  <c r="F40" i="1" s="1"/>
  <c r="B39" i="1"/>
  <c r="AK33" i="12"/>
  <c r="CD33" i="12"/>
  <c r="EB33" i="12"/>
  <c r="EG33" i="12"/>
  <c r="BT33" i="12"/>
  <c r="AP33" i="12"/>
  <c r="CI33" i="12"/>
  <c r="DC33" i="12"/>
  <c r="DH33" i="12"/>
  <c r="BY33" i="12"/>
  <c r="DR33" i="12"/>
  <c r="EL33" i="12"/>
  <c r="DW33" i="12"/>
  <c r="DM33" i="12"/>
  <c r="AA33" i="12"/>
  <c r="AU33" i="12"/>
  <c r="CN33" i="12"/>
  <c r="BE33" i="12"/>
  <c r="EV33" i="12"/>
  <c r="AZ33" i="12"/>
  <c r="CX33" i="12"/>
  <c r="BO33" i="12"/>
  <c r="V33" i="12"/>
  <c r="AF33" i="12"/>
  <c r="BJ33" i="12"/>
  <c r="CS33" i="12"/>
  <c r="EQ33" i="12"/>
  <c r="EL31" i="12"/>
  <c r="DM31" i="12"/>
  <c r="BT31" i="12"/>
  <c r="AP31" i="12"/>
  <c r="DH31" i="12"/>
  <c r="CI31" i="12"/>
  <c r="EG31" i="12"/>
  <c r="BO31" i="12"/>
  <c r="AF31" i="12"/>
  <c r="DR31" i="12"/>
  <c r="EV31" i="12"/>
  <c r="AZ31" i="12"/>
  <c r="EQ31" i="12"/>
  <c r="CS31" i="12"/>
  <c r="BE31" i="12"/>
  <c r="BY31" i="12"/>
  <c r="AK31" i="12"/>
  <c r="DW31" i="12"/>
  <c r="CX31" i="12"/>
  <c r="CD31" i="12"/>
  <c r="EB31" i="12"/>
  <c r="CN31" i="12"/>
  <c r="V31" i="12"/>
  <c r="DC31" i="12"/>
  <c r="BJ31" i="12"/>
  <c r="AA31" i="12"/>
  <c r="AU31" i="12"/>
  <c r="L30" i="12"/>
  <c r="DH30" i="12"/>
  <c r="EG30" i="12"/>
  <c r="CS30" i="12"/>
  <c r="DC30" i="12"/>
  <c r="BJ30" i="12"/>
  <c r="AA30" i="12"/>
  <c r="BO30" i="12"/>
  <c r="V30" i="12"/>
  <c r="EB30" i="12"/>
  <c r="DM30" i="12"/>
  <c r="AU30" i="12"/>
  <c r="CI30" i="12"/>
  <c r="AF30" i="12"/>
  <c r="BT30" i="12"/>
  <c r="CX30" i="12"/>
  <c r="EL30" i="12"/>
  <c r="AK30" i="12"/>
  <c r="EV30" i="12"/>
  <c r="BE30" i="12"/>
  <c r="CD30" i="12"/>
  <c r="AZ30" i="12"/>
  <c r="BY30" i="12"/>
  <c r="DR30" i="12"/>
  <c r="EQ30" i="12"/>
  <c r="CN30" i="12"/>
  <c r="DW30" i="12"/>
  <c r="AP30" i="12"/>
  <c r="DW29" i="12"/>
  <c r="DC29" i="12"/>
  <c r="AA29" i="12"/>
  <c r="AU29" i="12"/>
  <c r="AF29" i="12"/>
  <c r="DR29" i="12"/>
  <c r="EB29" i="12"/>
  <c r="EQ29" i="12"/>
  <c r="CD29" i="12"/>
  <c r="AZ29" i="12"/>
  <c r="CI29" i="12"/>
  <c r="CX29" i="12"/>
  <c r="V29" i="12"/>
  <c r="EL29" i="12"/>
  <c r="DH29" i="12"/>
  <c r="CS29" i="12"/>
  <c r="BE29" i="12"/>
  <c r="EG29" i="12"/>
  <c r="BO29" i="12"/>
  <c r="EV29" i="12"/>
  <c r="BJ29" i="12"/>
  <c r="CN29" i="12"/>
  <c r="AK29" i="12"/>
  <c r="BY29" i="12"/>
  <c r="DM29" i="12"/>
  <c r="BT29" i="12"/>
  <c r="AP29" i="12"/>
  <c r="CD21" i="12"/>
  <c r="AZ21" i="12"/>
  <c r="CI21" i="12"/>
  <c r="BY21" i="12"/>
  <c r="AU21" i="12"/>
  <c r="DR21" i="12"/>
  <c r="EB21" i="12"/>
  <c r="DW21" i="12"/>
  <c r="EQ21" i="12"/>
  <c r="CS21" i="12"/>
  <c r="BE21" i="12"/>
  <c r="DH21" i="12"/>
  <c r="AK21" i="12"/>
  <c r="CX21" i="12"/>
  <c r="V21" i="12"/>
  <c r="BJ21" i="12"/>
  <c r="EL21" i="12"/>
  <c r="EG21" i="12"/>
  <c r="DC21" i="12"/>
  <c r="AA21" i="12"/>
  <c r="EV21" i="12"/>
  <c r="BO21" i="12"/>
  <c r="AF21" i="12"/>
  <c r="CN21" i="12"/>
  <c r="DM21" i="12"/>
  <c r="BT21" i="12"/>
  <c r="AP21" i="12"/>
  <c r="EB15" i="12"/>
  <c r="DH15" i="12"/>
  <c r="CI15" i="12"/>
  <c r="AK15" i="12"/>
  <c r="BY15" i="12"/>
  <c r="EL15" i="12"/>
  <c r="AZ15" i="12"/>
  <c r="EV15" i="12"/>
  <c r="CS15" i="12"/>
  <c r="BE15" i="12"/>
  <c r="AF15" i="12"/>
  <c r="DW15" i="12"/>
  <c r="CX15" i="12"/>
  <c r="BO15" i="12"/>
  <c r="DR15" i="12"/>
  <c r="CD15" i="12"/>
  <c r="V15" i="12"/>
  <c r="DC15" i="12"/>
  <c r="AA15" i="12"/>
  <c r="DM15" i="12"/>
  <c r="BT15" i="12"/>
  <c r="AP15" i="12"/>
  <c r="CN15" i="12"/>
  <c r="EG15" i="12"/>
  <c r="EQ15" i="12"/>
  <c r="AU15" i="12"/>
  <c r="BJ15" i="12"/>
  <c r="BY12" i="12"/>
  <c r="EB12" i="12"/>
  <c r="CS12" i="12"/>
  <c r="CN12" i="12"/>
  <c r="DW12" i="12"/>
  <c r="AU12" i="12"/>
  <c r="CD12" i="12"/>
  <c r="AZ12" i="12"/>
  <c r="EQ12" i="12"/>
  <c r="EV12" i="12"/>
  <c r="BO12" i="12"/>
  <c r="DR12" i="12"/>
  <c r="EL12" i="12"/>
  <c r="DM12" i="12"/>
  <c r="BT12" i="12"/>
  <c r="AP12" i="12"/>
  <c r="DC12" i="12"/>
  <c r="AF12" i="12"/>
  <c r="CX12" i="12"/>
  <c r="V12" i="12"/>
  <c r="BE12" i="12"/>
  <c r="BJ12" i="12"/>
  <c r="AA12" i="12"/>
  <c r="DH12" i="12"/>
  <c r="CI12" i="12"/>
  <c r="AK12" i="12"/>
  <c r="EG12" i="12"/>
  <c r="Q30" i="12"/>
  <c r="G30" i="12"/>
  <c r="B39" i="2"/>
  <c r="B40" i="2" s="1"/>
  <c r="I40" i="2" s="1"/>
  <c r="G12" i="12"/>
  <c r="Q12" i="12"/>
  <c r="L12" i="12"/>
  <c r="Q15" i="12"/>
  <c r="G15" i="12"/>
  <c r="L15" i="12"/>
  <c r="Q33" i="12"/>
  <c r="L33" i="12"/>
  <c r="G33" i="12"/>
  <c r="L31" i="12"/>
  <c r="G31" i="12"/>
  <c r="Q31" i="12"/>
  <c r="I16" i="2"/>
  <c r="G29" i="12"/>
  <c r="L29" i="12"/>
  <c r="Q29" i="12"/>
  <c r="Q21" i="12"/>
  <c r="G21" i="12"/>
  <c r="L21" i="12"/>
  <c r="H23" i="2"/>
  <c r="C36" i="15"/>
  <c r="H35" i="2"/>
  <c r="I35" i="2"/>
  <c r="I33" i="2"/>
  <c r="H33" i="2"/>
  <c r="D36" i="15"/>
  <c r="E36" i="15"/>
  <c r="F40" i="2"/>
  <c r="I25" i="2"/>
  <c r="H25" i="2"/>
  <c r="H37" i="2"/>
  <c r="I37" i="2"/>
  <c r="H19" i="2"/>
  <c r="I19" i="2"/>
  <c r="B40" i="1" l="1"/>
  <c r="G35" i="12"/>
  <c r="L35" i="12"/>
  <c r="Q35" i="12"/>
  <c r="V35" i="12"/>
  <c r="AA35" i="12"/>
  <c r="AF35" i="12"/>
  <c r="AK35" i="12"/>
  <c r="AP35" i="12"/>
  <c r="AU35" i="12"/>
  <c r="AZ35" i="12"/>
  <c r="BE35" i="12"/>
  <c r="BJ35" i="12"/>
  <c r="BO35" i="12"/>
  <c r="BT35" i="12"/>
  <c r="BY35" i="12"/>
  <c r="CD35" i="12"/>
  <c r="CI35" i="12"/>
  <c r="CN35" i="12"/>
  <c r="CS35" i="12"/>
  <c r="CX35" i="12"/>
  <c r="DC35" i="12"/>
  <c r="DH35" i="12"/>
  <c r="DM35" i="12"/>
  <c r="DR35" i="12"/>
  <c r="DW35" i="12"/>
  <c r="EB35" i="12"/>
  <c r="EG35" i="12"/>
  <c r="EL35" i="12"/>
  <c r="EQ35" i="12"/>
  <c r="EV35" i="12"/>
</calcChain>
</file>

<file path=xl/comments1.xml><?xml version="1.0" encoding="utf-8"?>
<comments xmlns="http://schemas.openxmlformats.org/spreadsheetml/2006/main">
  <authors>
    <author>Ahmed Risan</author>
  </authors>
  <commentList>
    <comment ref="G4" authorId="0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>
  <authors>
    <author>Faisal Ibrahim</author>
  </authors>
  <commentList>
    <comment ref="G39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Occupancy of the Month
</t>
        </r>
      </text>
    </comment>
  </commentList>
</comments>
</file>

<file path=xl/comments3.xml><?xml version="1.0" encoding="utf-8"?>
<comments xmlns="http://schemas.openxmlformats.org/spreadsheetml/2006/main">
  <authors>
    <author>Faisal Ibrahim</author>
  </authors>
  <commentList>
    <comment ref="V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400 cubic meter</t>
        </r>
      </text>
    </comment>
    <comment ref="AC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31 CUBIC</t>
        </r>
      </text>
    </comment>
    <comment ref="AF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6 CUBIC METER</t>
        </r>
      </text>
    </comment>
    <comment ref="AI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L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13 CUBIC METER</t>
        </r>
      </text>
    </comment>
    <comment ref="AO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AR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AU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X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A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D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BG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1.6 CUBIC METER</t>
        </r>
      </text>
    </comment>
    <comment ref="BJ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BM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33</t>
        </r>
      </text>
    </comment>
    <comment ref="BP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</t>
        </r>
      </text>
    </comment>
    <comment ref="BS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BV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5</t>
        </r>
      </text>
    </comment>
    <comment ref="BY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4</t>
        </r>
      </text>
    </comment>
    <comment ref="CB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CE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20</t>
        </r>
      </text>
    </comment>
    <comment ref="CH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2.3</t>
        </r>
      </text>
    </comment>
    <comment ref="CK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</commentList>
</comments>
</file>

<file path=xl/sharedStrings.xml><?xml version="1.0" encoding="utf-8"?>
<sst xmlns="http://schemas.openxmlformats.org/spreadsheetml/2006/main" count="473" uniqueCount="174">
  <si>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</si>
  <si>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</si>
  <si>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</si>
  <si>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</si>
  <si>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</si>
  <si>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</si>
  <si>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</si>
  <si>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</si>
  <si>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</si>
  <si>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</si>
  <si>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</si>
  <si>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</si>
  <si>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</si>
  <si>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</si>
  <si>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</si>
  <si>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</si>
  <si>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</si>
  <si>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</si>
  <si>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</si>
  <si>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</si>
  <si>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</si>
  <si>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</si>
  <si>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</si>
  <si>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</si>
  <si>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</si>
  <si>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</si>
  <si>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</si>
  <si>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</si>
  <si>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</si>
  <si>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</si>
  <si>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</si>
  <si>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</si>
  <si>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</si>
  <si>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</si>
  <si>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</si>
  <si>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</si>
  <si>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</si>
  <si>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</si>
  <si>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</si>
  <si>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</si>
  <si>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</si>
  <si>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</si>
  <si>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</si>
  <si>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</si>
  <si>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solar meter reading</t>
  </si>
  <si>
    <t>POWER HOUSE FEEDER READING</t>
  </si>
  <si>
    <t>BLU FEEDER PANEL 1</t>
  </si>
  <si>
    <t>BLU FEEDER PANEL 2</t>
  </si>
  <si>
    <t>POWER HOUSE FEEDER PANEL NO:3</t>
  </si>
  <si>
    <t>Main Kitchen -7</t>
  </si>
  <si>
    <t>Main Kitchen -10</t>
  </si>
  <si>
    <t>Water treatment Plant</t>
  </si>
  <si>
    <t>Sewage treatment Plant</t>
  </si>
  <si>
    <t>Laundry-9</t>
  </si>
  <si>
    <t>Yesterday</t>
  </si>
  <si>
    <t>Today</t>
  </si>
  <si>
    <t xml:space="preserve">Consumption </t>
  </si>
  <si>
    <t xml:space="preserve">Total Kwh </t>
  </si>
  <si>
    <t>Month-Feb- 17</t>
  </si>
  <si>
    <t>Management block-5</t>
  </si>
  <si>
    <t>308-314</t>
  </si>
  <si>
    <t>315-320</t>
  </si>
  <si>
    <t>401-407</t>
  </si>
  <si>
    <t>408-414</t>
  </si>
  <si>
    <t>Boat meter Reading</t>
  </si>
  <si>
    <t>11.1 kwh</t>
  </si>
  <si>
    <t>1 liter diesel</t>
  </si>
  <si>
    <t>212.88 diesel</t>
  </si>
  <si>
    <t>2363 kwh</t>
  </si>
  <si>
    <t>In Barrels</t>
  </si>
  <si>
    <t>Carbon Emmision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</si>
  <si>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</si>
  <si>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</si>
  <si>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</si>
  <si>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</si>
  <si>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</si>
  <si>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</si>
  <si>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</si>
  <si>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SNR STAFF BLOCK</t>
  </si>
  <si>
    <t>RECEPTION</t>
  </si>
  <si>
    <t>DIVE CENTER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</si>
  <si>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</si>
  <si>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</si>
  <si>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</si>
  <si>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</si>
  <si>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</si>
  <si>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</si>
  <si>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</si>
  <si>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Laundry--8SSB</t>
  </si>
  <si>
    <t>SPA - 1</t>
  </si>
  <si>
    <t>SPA - 2</t>
  </si>
  <si>
    <t>BLU KITCHEN - 1</t>
  </si>
  <si>
    <t>BLU KITCHEN - 2</t>
  </si>
  <si>
    <t>AL BARAKATH</t>
  </si>
  <si>
    <t>STAFF KITCHEN</t>
  </si>
  <si>
    <t>MANAGR BLOCK GARDEN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</si>
  <si>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</si>
  <si>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</si>
  <si>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</si>
  <si>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</si>
  <si>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</si>
  <si>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</si>
  <si>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</si>
  <si>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</si>
  <si>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</si>
  <si>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</si>
  <si>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</si>
  <si>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</si>
  <si>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</si>
  <si>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</si>
  <si>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</si>
  <si>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TOTAL GUESTS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</si>
  <si>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</si>
  <si>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</si>
  <si>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</si>
  <si>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</si>
  <si>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</si>
  <si>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</si>
  <si>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</si>
  <si>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</si>
  <si>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</si>
  <si>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</si>
  <si>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</si>
  <si>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</si>
  <si>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</si>
  <si>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</si>
  <si>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</si>
  <si>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Total Production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</si>
  <si>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</si>
  <si>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</si>
  <si>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</si>
  <si>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</si>
  <si>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</si>
  <si>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</si>
  <si>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</si>
  <si>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</si>
  <si>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Weather Condition</t>
  </si>
  <si>
    <t>Weather</t>
  </si>
  <si>
    <t>Laundry</t>
  </si>
  <si>
    <t>Usage</t>
  </si>
  <si>
    <t>Staff Block - E0</t>
  </si>
  <si>
    <t>Staff Block - E1</t>
  </si>
  <si>
    <t>Staff Block - E2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</si>
  <si>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</si>
  <si>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</si>
  <si>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</si>
  <si>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</si>
  <si>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</si>
  <si>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</si>
  <si>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</si>
  <si>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</si>
  <si>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</si>
  <si>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</si>
  <si>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</si>
  <si>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Main Pool</t>
  </si>
  <si>
    <t>Dive Center</t>
  </si>
  <si>
    <t>Albarakthu</t>
  </si>
  <si>
    <t>Blu Resturant</t>
  </si>
  <si>
    <t>Main Jetty</t>
  </si>
  <si>
    <t>Landaa Estate</t>
  </si>
  <si>
    <t>Water Consumption by locations</t>
  </si>
  <si>
    <t xml:space="preserve">Date: </t>
  </si>
  <si>
    <t>Variance (Tdy vs Ystdy)</t>
  </si>
  <si>
    <t>%</t>
  </si>
  <si>
    <t>Avg</t>
  </si>
  <si>
    <t>Var(Tdy vs Ystdy)</t>
  </si>
  <si>
    <t>Var (Tdy vs Ystdy)</t>
  </si>
  <si>
    <t>Diesel Consumption - Powerhouse</t>
  </si>
  <si>
    <t>ConsumptionIn 24 hrs</t>
  </si>
  <si>
    <t>Consumption (Liters)</t>
  </si>
  <si>
    <t xml:space="preserve">Diesel Tank Jetty Meter </t>
  </si>
  <si>
    <t>BOAT DOCK FEEDER - 22</t>
  </si>
  <si>
    <t>Electricity Variance (Today vs Yesterday)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</si>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</sst>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</numFmts>
  <fonts count="3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14">
    <xf numFmtId="0" fontId="0" fillId="0" borderId="0"/>
    <xf numFmtId="43" fontId="4" fillId="0" borderId="0" applyFont="0" applyFill="0" applyBorder="0" applyAlignment="0" applyProtection="0"/>
    <xf numFmtId="0" fontId="2" fillId="0" borderId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392">
    <xf numFmtId="0" fontId="0" fillId="0" borderId="0" xfId="0"/>
    <xf numFmtId="0" fontId="3" fillId="0" borderId="0" xfId="0" applyFont="1"/>
    <xf numFmtId="43" fontId="0" fillId="0" borderId="0" xfId="0" applyNumberFormat="1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3" fillId="0" borderId="3" xfId="0" applyNumberFormat="1" applyFont="1" applyBorder="1"/>
    <xf numFmtId="166" fontId="0" fillId="0" borderId="0" xfId="0" applyNumberFormat="1"/>
    <xf numFmtId="17" fontId="3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5" borderId="8" xfId="0" applyFont="1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vertical="center" textRotation="90"/>
    </xf>
    <xf numFmtId="0" fontId="4" fillId="6" borderId="0" xfId="0" applyFont="1" applyFill="1"/>
    <xf numFmtId="0" fontId="0" fillId="6" borderId="0" xfId="0" applyFill="1"/>
    <xf numFmtId="0" fontId="4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3" fillId="5" borderId="5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5" borderId="0" xfId="0" applyFill="1"/>
    <xf numFmtId="0" fontId="4" fillId="5" borderId="2" xfId="0" applyFont="1" applyFill="1" applyBorder="1"/>
    <xf numFmtId="0" fontId="9" fillId="5" borderId="0" xfId="0" applyFont="1" applyFill="1" applyAlignment="1">
      <alignment vertical="center" indent="1"/>
    </xf>
    <xf numFmtId="0" fontId="7" fillId="5" borderId="0" xfId="0" applyFont="1" applyFill="1" applyAlignment="1">
      <alignment vertical="center" textRotation="90"/>
    </xf>
    <xf numFmtId="49" fontId="10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" fontId="3" fillId="0" borderId="0" xfId="0" applyNumberFormat="1" applyFont="1"/>
    <xf numFmtId="0" fontId="3" fillId="4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 textRotation="255"/>
    </xf>
    <xf numFmtId="0" fontId="3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5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4" fillId="5" borderId="10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7" fontId="3" fillId="0" borderId="19" xfId="0" applyNumberFormat="1" applyFont="1" applyBorder="1"/>
    <xf numFmtId="0" fontId="4" fillId="0" borderId="2" xfId="0" applyFont="1" applyBorder="1" applyAlignment="1">
      <alignment horizontal="center"/>
    </xf>
    <xf numFmtId="0" fontId="4" fillId="9" borderId="0" xfId="0" applyFont="1" applyFill="1"/>
    <xf numFmtId="0" fontId="4" fillId="0" borderId="0" xfId="0" applyFont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0" fontId="13" fillId="10" borderId="15" xfId="0" applyFont="1" applyFill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right" vertical="center" wrapText="1"/>
    </xf>
    <xf numFmtId="49" fontId="4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vertical="center" textRotation="255"/>
    </xf>
    <xf numFmtId="0" fontId="0" fillId="0" borderId="0" xfId="0" applyFill="1"/>
    <xf numFmtId="0" fontId="4" fillId="0" borderId="0" xfId="0" applyFont="1" applyFill="1"/>
    <xf numFmtId="49" fontId="10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4" fillId="0" borderId="0" xfId="0" applyFont="1" applyFill="1" applyBorder="1"/>
    <xf numFmtId="0" fontId="14" fillId="12" borderId="15" xfId="0" applyFont="1" applyFill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5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16" fillId="14" borderId="0" xfId="0" applyFont="1" applyFill="1" applyAlignment="1">
      <alignment horizontal="center"/>
    </xf>
    <xf numFmtId="0" fontId="17" fillId="14" borderId="0" xfId="0" applyFont="1" applyFill="1"/>
    <xf numFmtId="0" fontId="0" fillId="0" borderId="0" xfId="0" applyBorder="1"/>
    <xf numFmtId="0" fontId="17" fillId="14" borderId="22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0" applyNumberFormat="1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3" fillId="0" borderId="3" xfId="0" applyNumberFormat="1" applyFont="1" applyBorder="1" applyAlignment="1">
      <alignment vertical="center"/>
    </xf>
    <xf numFmtId="165" fontId="19" fillId="0" borderId="2" xfId="1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Border="1"/>
    <xf numFmtId="1" fontId="4" fillId="0" borderId="11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2" fontId="26" fillId="0" borderId="2" xfId="0" applyNumberFormat="1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0" fillId="0" borderId="2" xfId="0" applyNumberFormat="1" applyFont="1" applyBorder="1" applyAlignment="1">
      <alignment horizontal="center"/>
    </xf>
    <xf numFmtId="0" fontId="4" fillId="0" borderId="0" xfId="9"/>
    <xf numFmtId="0" fontId="3" fillId="0" borderId="0" xfId="9" applyFont="1"/>
    <xf numFmtId="0" fontId="6" fillId="23" borderId="0" xfId="9" applyFont="1" applyFill="1" applyAlignment="1">
      <alignment horizontal="center" vertical="center"/>
    </xf>
    <xf numFmtId="0" fontId="3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 wrapText="1"/>
    </xf>
    <xf numFmtId="0" fontId="5" fillId="11" borderId="2" xfId="9" applyFont="1" applyFill="1" applyBorder="1" applyAlignment="1">
      <alignment horizontal="center" vertical="center"/>
    </xf>
    <xf numFmtId="165" fontId="5" fillId="11" borderId="2" xfId="1" applyNumberFormat="1" applyFont="1" applyFill="1" applyBorder="1" applyAlignment="1">
      <alignment horizontal="center" vertical="center"/>
    </xf>
    <xf numFmtId="2" fontId="5" fillId="11" borderId="2" xfId="9" applyNumberFormat="1" applyFont="1" applyFill="1" applyBorder="1" applyAlignment="1">
      <alignment horizontal="center" vertical="center" wrapText="1"/>
    </xf>
    <xf numFmtId="0" fontId="4" fillId="5" borderId="32" xfId="9" applyFont="1" applyFill="1" applyBorder="1" applyAlignment="1">
      <alignment horizontal="center" vertical="center"/>
    </xf>
    <xf numFmtId="0" fontId="4" fillId="0" borderId="10" xfId="9" applyBorder="1" applyAlignment="1">
      <alignment horizontal="center"/>
    </xf>
    <xf numFmtId="0" fontId="4" fillId="13" borderId="4" xfId="9" applyFill="1" applyBorder="1"/>
    <xf numFmtId="0" fontId="4" fillId="13" borderId="0" xfId="9" applyFill="1" applyBorder="1"/>
    <xf numFmtId="0" fontId="4" fillId="5" borderId="10" xfId="9" applyFill="1" applyBorder="1" applyAlignment="1">
      <alignment horizontal="center" vertical="center"/>
    </xf>
    <xf numFmtId="2" fontId="4" fillId="5" borderId="10" xfId="9" applyNumberFormat="1" applyFont="1" applyFill="1" applyBorder="1" applyAlignment="1">
      <alignment horizontal="center" vertical="center"/>
    </xf>
    <xf numFmtId="0" fontId="4" fillId="0" borderId="10" xfId="9" applyBorder="1"/>
    <xf numFmtId="0" fontId="4" fillId="5" borderId="2" xfId="9" applyFill="1" applyBorder="1" applyAlignment="1">
      <alignment horizontal="center" vertical="center"/>
    </xf>
    <xf numFmtId="0" fontId="4" fillId="5" borderId="17" xfId="9" applyFont="1" applyFill="1" applyBorder="1" applyAlignment="1">
      <alignment horizontal="center" vertical="center"/>
    </xf>
    <xf numFmtId="0" fontId="4" fillId="0" borderId="2" xfId="9" applyBorder="1" applyAlignment="1">
      <alignment horizontal="center"/>
    </xf>
    <xf numFmtId="0" fontId="4" fillId="5" borderId="2" xfId="9" applyFont="1" applyFill="1" applyBorder="1" applyAlignment="1">
      <alignment horizontal="center" vertical="center"/>
    </xf>
    <xf numFmtId="0" fontId="4" fillId="0" borderId="2" xfId="9" applyBorder="1"/>
    <xf numFmtId="0" fontId="4" fillId="5" borderId="2" xfId="9" applyFill="1" applyBorder="1"/>
    <xf numFmtId="0" fontId="4" fillId="0" borderId="17" xfId="9" applyFont="1" applyFill="1" applyBorder="1" applyAlignment="1">
      <alignment horizontal="center" vertical="center"/>
    </xf>
    <xf numFmtId="0" fontId="4" fillId="13" borderId="10" xfId="9" applyFill="1" applyBorder="1"/>
    <xf numFmtId="0" fontId="4" fillId="0" borderId="0" xfId="9" applyAlignment="1">
      <alignment horizontal="center" vertical="center"/>
    </xf>
    <xf numFmtId="165" fontId="4" fillId="0" borderId="11" xfId="9" applyNumberFormat="1" applyBorder="1" applyAlignment="1">
      <alignment horizontal="center" vertical="center"/>
    </xf>
    <xf numFmtId="165" fontId="4" fillId="13" borderId="0" xfId="9" applyNumberFormat="1" applyFill="1" applyBorder="1" applyAlignment="1">
      <alignment horizontal="center" vertical="center"/>
    </xf>
    <xf numFmtId="0" fontId="4" fillId="0" borderId="0" xfId="9" applyFont="1"/>
    <xf numFmtId="0" fontId="4" fillId="13" borderId="0" xfId="9" applyFill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0" borderId="0" xfId="9" applyFont="1" applyFill="1" applyAlignment="1">
      <alignment horizontal="center" vertical="center"/>
    </xf>
    <xf numFmtId="0" fontId="3" fillId="24" borderId="0" xfId="9" applyFont="1" applyFill="1" applyAlignment="1">
      <alignment horizontal="center" vertical="center"/>
    </xf>
    <xf numFmtId="17" fontId="3" fillId="24" borderId="0" xfId="9" applyNumberFormat="1" applyFont="1" applyFill="1" applyAlignment="1">
      <alignment horizontal="center" vertical="center"/>
    </xf>
    <xf numFmtId="0" fontId="3" fillId="24" borderId="0" xfId="9" applyFont="1" applyFill="1" applyAlignment="1">
      <alignment vertical="center"/>
    </xf>
    <xf numFmtId="0" fontId="4" fillId="24" borderId="0" xfId="9" applyFill="1" applyAlignment="1">
      <alignment horizontal="center" vertical="center"/>
    </xf>
    <xf numFmtId="0" fontId="4" fillId="24" borderId="0" xfId="9" applyFill="1"/>
    <xf numFmtId="0" fontId="3" fillId="5" borderId="2" xfId="9" applyFont="1" applyFill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0" fontId="3" fillId="0" borderId="2" xfId="9" applyNumberFormat="1" applyFont="1" applyFill="1" applyBorder="1" applyAlignment="1">
      <alignment horizontal="center" vertical="center" wrapText="1"/>
    </xf>
    <xf numFmtId="0" fontId="3" fillId="0" borderId="2" xfId="9" applyFont="1" applyFill="1" applyBorder="1" applyAlignment="1">
      <alignment horizontal="center" vertical="center" wrapText="1"/>
    </xf>
    <xf numFmtId="0" fontId="4" fillId="0" borderId="2" xfId="9" applyFill="1" applyBorder="1" applyAlignment="1">
      <alignment horizontal="center" vertical="center" wrapText="1"/>
    </xf>
    <xf numFmtId="0" fontId="4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 vertical="center"/>
    </xf>
    <xf numFmtId="2" fontId="4" fillId="0" borderId="2" xfId="9" applyNumberFormat="1" applyFill="1" applyBorder="1" applyAlignment="1">
      <alignment horizontal="center" vertical="center"/>
    </xf>
    <xf numFmtId="0" fontId="4" fillId="0" borderId="2" xfId="9" applyBorder="1" applyAlignment="1">
      <alignment horizontal="center" vertical="center"/>
    </xf>
    <xf numFmtId="165" fontId="4" fillId="0" borderId="2" xfId="9" applyNumberFormat="1" applyBorder="1" applyAlignment="1">
      <alignment horizontal="center"/>
    </xf>
    <xf numFmtId="165" fontId="4" fillId="0" borderId="2" xfId="9" applyNumberFormat="1" applyFill="1" applyBorder="1" applyAlignment="1">
      <alignment horizontal="center" vertical="center"/>
    </xf>
    <xf numFmtId="0" fontId="4" fillId="0" borderId="0" xfId="9" applyAlignment="1">
      <alignment horizontal="center"/>
    </xf>
    <xf numFmtId="0" fontId="4" fillId="0" borderId="0" xfId="9" applyFill="1" applyAlignment="1">
      <alignment horizontal="center" vertical="center"/>
    </xf>
    <xf numFmtId="0" fontId="22" fillId="15" borderId="0" xfId="13" applyFont="1" applyFill="1" applyAlignment="1">
      <alignment horizontal="center"/>
    </xf>
    <xf numFmtId="1" fontId="23" fillId="15" borderId="0" xfId="13" applyNumberFormat="1" applyFont="1" applyFill="1" applyAlignment="1">
      <alignment horizontal="center"/>
    </xf>
    <xf numFmtId="0" fontId="1" fillId="0" borderId="0" xfId="13"/>
    <xf numFmtId="0" fontId="24" fillId="16" borderId="23" xfId="13" applyFont="1" applyFill="1" applyBorder="1" applyAlignment="1">
      <alignment horizontal="center" vertical="center" wrapText="1"/>
    </xf>
    <xf numFmtId="0" fontId="21" fillId="19" borderId="10" xfId="13" applyFont="1" applyFill="1" applyBorder="1" applyAlignment="1">
      <alignment horizontal="center" vertical="center"/>
    </xf>
    <xf numFmtId="0" fontId="21" fillId="20" borderId="29" xfId="13" applyFont="1" applyFill="1" applyBorder="1" applyAlignment="1">
      <alignment horizontal="center" vertical="center" wrapText="1"/>
    </xf>
    <xf numFmtId="1" fontId="21" fillId="20" borderId="10" xfId="13" applyNumberFormat="1" applyFont="1" applyFill="1" applyBorder="1" applyAlignment="1">
      <alignment horizontal="center" vertical="center" wrapText="1"/>
    </xf>
    <xf numFmtId="0" fontId="21" fillId="20" borderId="10" xfId="13" applyFont="1" applyFill="1" applyBorder="1" applyAlignment="1">
      <alignment horizontal="center" vertical="center" wrapText="1"/>
    </xf>
    <xf numFmtId="0" fontId="21" fillId="20" borderId="10" xfId="13" applyFont="1" applyFill="1" applyBorder="1" applyAlignment="1">
      <alignment horizontal="center" wrapText="1"/>
    </xf>
    <xf numFmtId="15" fontId="26" fillId="19" borderId="10" xfId="13" applyNumberFormat="1" applyFont="1" applyFill="1" applyBorder="1" applyAlignment="1">
      <alignment horizontal="center" vertical="center"/>
    </xf>
    <xf numFmtId="0" fontId="1" fillId="0" borderId="2" xfId="13" applyBorder="1" applyAlignment="1">
      <alignment horizontal="center"/>
    </xf>
    <xf numFmtId="1" fontId="26" fillId="0" borderId="0" xfId="13" applyNumberFormat="1" applyFont="1" applyAlignment="1">
      <alignment horizontal="center"/>
    </xf>
    <xf numFmtId="0" fontId="20" fillId="0" borderId="2" xfId="13" applyFont="1" applyBorder="1" applyAlignment="1">
      <alignment horizontal="center"/>
    </xf>
    <xf numFmtId="0" fontId="20" fillId="0" borderId="0" xfId="13" applyFont="1" applyAlignment="1">
      <alignment horizontal="center"/>
    </xf>
    <xf numFmtId="0" fontId="20" fillId="0" borderId="0" xfId="13" applyFont="1"/>
    <xf numFmtId="1" fontId="20" fillId="0" borderId="2" xfId="13" applyNumberFormat="1" applyFont="1" applyBorder="1" applyAlignment="1">
      <alignment horizontal="center" vertical="center"/>
    </xf>
    <xf numFmtId="15" fontId="21" fillId="19" borderId="10" xfId="13" applyNumberFormat="1" applyFont="1" applyFill="1" applyBorder="1" applyAlignment="1">
      <alignment horizontal="center" vertical="center"/>
    </xf>
    <xf numFmtId="1" fontId="27" fillId="0" borderId="2" xfId="13" applyNumberFormat="1" applyFont="1" applyBorder="1" applyAlignment="1">
      <alignment horizontal="center" vertical="center"/>
    </xf>
    <xf numFmtId="0" fontId="30" fillId="0" borderId="2" xfId="13" applyFont="1" applyBorder="1" applyAlignment="1">
      <alignment horizontal="center"/>
    </xf>
    <xf numFmtId="1" fontId="1" fillId="0" borderId="2" xfId="13" applyNumberFormat="1" applyBorder="1" applyAlignment="1">
      <alignment horizontal="center" vertical="center"/>
    </xf>
    <xf numFmtId="0" fontId="1" fillId="0" borderId="0" xfId="13" applyAlignment="1">
      <alignment horizontal="center"/>
    </xf>
    <xf numFmtId="1" fontId="21" fillId="0" borderId="0" xfId="13" applyNumberFormat="1" applyFont="1" applyAlignment="1">
      <alignment horizontal="center"/>
    </xf>
    <xf numFmtId="1" fontId="1" fillId="0" borderId="0" xfId="13" applyNumberFormat="1" applyAlignment="1">
      <alignment vertical="center"/>
    </xf>
    <xf numFmtId="1" fontId="21" fillId="21" borderId="2" xfId="13" applyNumberFormat="1" applyFont="1" applyFill="1" applyBorder="1" applyAlignment="1">
      <alignment horizontal="center" vertical="center" wrapText="1"/>
    </xf>
    <xf numFmtId="1" fontId="1" fillId="0" borderId="0" xfId="13" applyNumberFormat="1" applyAlignment="1">
      <alignment horizontal="center" vertical="center"/>
    </xf>
    <xf numFmtId="0" fontId="4" fillId="13" borderId="13" xfId="9" applyFill="1" applyBorder="1"/>
    <xf numFmtId="2" fontId="4" fillId="0" borderId="0" xfId="9" applyNumberFormat="1" applyFont="1"/>
    <xf numFmtId="0" fontId="4" fillId="5" borderId="10" xfId="9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/>
    </xf>
    <xf numFmtId="0" fontId="4" fillId="13" borderId="13" xfId="9" applyFont="1" applyFill="1" applyBorder="1"/>
    <xf numFmtId="0" fontId="4" fillId="13" borderId="0" xfId="9" applyFont="1" applyFill="1" applyBorder="1"/>
    <xf numFmtId="0" fontId="4" fillId="13" borderId="4" xfId="9" applyFont="1" applyFill="1" applyBorder="1"/>
    <xf numFmtId="0" fontId="4" fillId="5" borderId="2" xfId="9" applyFont="1" applyFill="1" applyBorder="1"/>
    <xf numFmtId="0" fontId="4" fillId="5" borderId="10" xfId="0" applyFont="1" applyFill="1" applyBorder="1" applyAlignment="1">
      <alignment horizontal="center" vertical="center"/>
    </xf>
    <xf numFmtId="0" fontId="4" fillId="0" borderId="2" xfId="0" applyFont="1" applyBorder="1"/>
    <xf numFmtId="0" fontId="4" fillId="5" borderId="1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5" fillId="23" borderId="2" xfId="9" applyFont="1" applyFill="1" applyBorder="1" applyAlignment="1">
      <alignment horizontal="center" vertical="center"/>
    </xf>
    <xf numFmtId="0" fontId="5" fillId="23" borderId="33" xfId="9" applyFont="1" applyFill="1" applyBorder="1" applyAlignment="1">
      <alignment horizontal="center" vertical="center"/>
    </xf>
    <xf numFmtId="0" fontId="5" fillId="23" borderId="34" xfId="9" applyFont="1" applyFill="1" applyBorder="1" applyAlignment="1">
      <alignment horizontal="center" vertical="center" wrapText="1"/>
    </xf>
    <xf numFmtId="0" fontId="4" fillId="0" borderId="34" xfId="9" applyBorder="1" applyAlignment="1">
      <alignment horizontal="center"/>
    </xf>
    <xf numFmtId="0" fontId="4" fillId="0" borderId="16" xfId="9" applyBorder="1" applyAlignment="1">
      <alignment horizontal="center"/>
    </xf>
    <xf numFmtId="0" fontId="4" fillId="5" borderId="33" xfId="9" applyFont="1" applyFill="1" applyBorder="1" applyAlignment="1">
      <alignment horizontal="center" vertical="center"/>
    </xf>
    <xf numFmtId="0" fontId="4" fillId="5" borderId="14" xfId="9" applyFont="1" applyFill="1" applyBorder="1" applyAlignment="1">
      <alignment horizontal="center" vertical="center"/>
    </xf>
    <xf numFmtId="17" fontId="28" fillId="23" borderId="0" xfId="9" applyNumberFormat="1" applyFont="1" applyFill="1" applyAlignment="1">
      <alignment horizontal="center" vertical="center"/>
    </xf>
    <xf numFmtId="14" fontId="3" fillId="23" borderId="0" xfId="9" applyNumberFormat="1" applyFont="1" applyFill="1" applyAlignment="1">
      <alignment horizontal="center" vertical="center"/>
    </xf>
    <xf numFmtId="0" fontId="4" fillId="23" borderId="0" xfId="9" applyFill="1" applyAlignment="1">
      <alignment horizontal="center" vertical="center"/>
    </xf>
    <xf numFmtId="0" fontId="4" fillId="0" borderId="15" xfId="9" applyBorder="1" applyAlignment="1">
      <alignment horizontal="center"/>
    </xf>
    <xf numFmtId="0" fontId="4" fillId="0" borderId="33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4" fillId="5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10" borderId="35" xfId="0" applyFont="1" applyFill="1" applyBorder="1" applyAlignment="1">
      <alignment horizontal="center" vertical="center"/>
    </xf>
    <xf numFmtId="0" fontId="4" fillId="10" borderId="35" xfId="0" applyFont="1" applyFill="1" applyBorder="1" applyAlignment="1">
      <alignment horizontal="center" vertical="center" wrapText="1"/>
    </xf>
    <xf numFmtId="0" fontId="4" fillId="11" borderId="35" xfId="0" applyFont="1" applyFill="1" applyBorder="1" applyAlignment="1">
      <alignment horizontal="center" vertical="center"/>
    </xf>
    <xf numFmtId="0" fontId="4" fillId="11" borderId="35" xfId="0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 vertical="center"/>
    </xf>
    <xf numFmtId="1" fontId="4" fillId="11" borderId="35" xfId="0" applyNumberFormat="1" applyFont="1" applyFill="1" applyBorder="1" applyAlignment="1">
      <alignment horizontal="center"/>
    </xf>
    <xf numFmtId="0" fontId="4" fillId="10" borderId="37" xfId="0" applyFont="1" applyFill="1" applyBorder="1" applyAlignment="1">
      <alignment horizontal="center" vertical="center"/>
    </xf>
    <xf numFmtId="0" fontId="4" fillId="10" borderId="37" xfId="0" applyFont="1" applyFill="1" applyBorder="1" applyAlignment="1">
      <alignment horizontal="center" vertical="center" wrapText="1"/>
    </xf>
    <xf numFmtId="0" fontId="4" fillId="11" borderId="37" xfId="0" applyFont="1" applyFill="1" applyBorder="1" applyAlignment="1">
      <alignment horizontal="center" vertical="center"/>
    </xf>
    <xf numFmtId="0" fontId="4" fillId="11" borderId="37" xfId="0" applyFont="1" applyFill="1" applyBorder="1" applyAlignment="1">
      <alignment horizontal="center"/>
    </xf>
    <xf numFmtId="1" fontId="4" fillId="11" borderId="37" xfId="0" applyNumberFormat="1" applyFont="1" applyFill="1" applyBorder="1" applyAlignment="1">
      <alignment horizontal="center"/>
    </xf>
    <xf numFmtId="0" fontId="12" fillId="11" borderId="37" xfId="0" applyFont="1" applyFill="1" applyBorder="1" applyAlignment="1">
      <alignment horizontal="center" vertical="center"/>
    </xf>
    <xf numFmtId="0" fontId="4" fillId="0" borderId="37" xfId="0" applyFont="1" applyFill="1" applyBorder="1" applyAlignment="1">
      <alignment horizontal="center" vertical="center"/>
    </xf>
    <xf numFmtId="0" fontId="13" fillId="10" borderId="27" xfId="0" applyFont="1" applyFill="1" applyBorder="1" applyAlignment="1">
      <alignment horizontal="center" vertical="center" wrapText="1"/>
    </xf>
    <xf numFmtId="0" fontId="4" fillId="11" borderId="38" xfId="0" applyFont="1" applyFill="1" applyBorder="1" applyAlignment="1">
      <alignment horizontal="center" vertical="center"/>
    </xf>
    <xf numFmtId="0" fontId="4" fillId="11" borderId="39" xfId="0" applyFont="1" applyFill="1" applyBorder="1" applyAlignment="1">
      <alignment horizontal="center" vertical="center"/>
    </xf>
    <xf numFmtId="0" fontId="4" fillId="11" borderId="45" xfId="0" applyFont="1" applyFill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4" fillId="10" borderId="35" xfId="0" applyFont="1" applyFill="1" applyBorder="1" applyAlignment="1">
      <alignment horizontal="center" vertical="center" wrapText="1"/>
    </xf>
    <xf numFmtId="0" fontId="34" fillId="10" borderId="42" xfId="0" applyFont="1" applyFill="1" applyBorder="1" applyAlignment="1">
      <alignment horizontal="center" vertical="center" wrapText="1"/>
    </xf>
    <xf numFmtId="0" fontId="34" fillId="10" borderId="37" xfId="0" applyFont="1" applyFill="1" applyBorder="1" applyAlignment="1">
      <alignment horizontal="center" vertical="center" wrapText="1"/>
    </xf>
    <xf numFmtId="2" fontId="34" fillId="10" borderId="43" xfId="0" applyNumberFormat="1" applyFont="1" applyFill="1" applyBorder="1" applyAlignment="1">
      <alignment horizontal="center" vertical="center" wrapText="1"/>
    </xf>
    <xf numFmtId="0" fontId="34" fillId="11" borderId="35" xfId="0" applyFont="1" applyFill="1" applyBorder="1" applyAlignment="1">
      <alignment horizontal="center"/>
    </xf>
    <xf numFmtId="0" fontId="34" fillId="11" borderId="40" xfId="0" applyFont="1" applyFill="1" applyBorder="1" applyAlignment="1">
      <alignment horizontal="center"/>
    </xf>
    <xf numFmtId="0" fontId="34" fillId="11" borderId="37" xfId="0" applyFont="1" applyFill="1" applyBorder="1" applyAlignment="1">
      <alignment horizontal="center"/>
    </xf>
    <xf numFmtId="2" fontId="34" fillId="11" borderId="41" xfId="0" applyNumberFormat="1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/>
    </xf>
    <xf numFmtId="0" fontId="13" fillId="10" borderId="14" xfId="0" applyFont="1" applyFill="1" applyBorder="1" applyAlignment="1">
      <alignment horizontal="center" vertical="center"/>
    </xf>
    <xf numFmtId="0" fontId="13" fillId="10" borderId="16" xfId="0" applyFont="1" applyFill="1" applyBorder="1" applyAlignment="1">
      <alignment horizontal="center" vertical="center" wrapText="1"/>
    </xf>
    <xf numFmtId="0" fontId="19" fillId="10" borderId="44" xfId="0" applyFont="1" applyFill="1" applyBorder="1" applyAlignment="1">
      <alignment horizontal="center" vertical="center"/>
    </xf>
    <xf numFmtId="0" fontId="4" fillId="10" borderId="36" xfId="0" applyFont="1" applyFill="1" applyBorder="1" applyAlignment="1">
      <alignment horizontal="center" vertical="center"/>
    </xf>
    <xf numFmtId="0" fontId="34" fillId="10" borderId="35" xfId="0" applyFont="1" applyFill="1" applyBorder="1" applyAlignment="1">
      <alignment horizontal="center" vertical="center"/>
    </xf>
    <xf numFmtId="0" fontId="34" fillId="10" borderId="40" xfId="0" applyFont="1" applyFill="1" applyBorder="1" applyAlignment="1">
      <alignment horizontal="center" vertical="center"/>
    </xf>
    <xf numFmtId="0" fontId="4" fillId="10" borderId="45" xfId="0" applyFont="1" applyFill="1" applyBorder="1" applyAlignment="1">
      <alignment horizontal="center" vertical="center"/>
    </xf>
    <xf numFmtId="0" fontId="34" fillId="10" borderId="37" xfId="0" applyFont="1" applyFill="1" applyBorder="1" applyAlignment="1">
      <alignment horizontal="center" vertical="center"/>
    </xf>
    <xf numFmtId="2" fontId="34" fillId="10" borderId="41" xfId="0" applyNumberFormat="1" applyFont="1" applyFill="1" applyBorder="1" applyAlignment="1">
      <alignment horizontal="center" vertical="center"/>
    </xf>
    <xf numFmtId="0" fontId="19" fillId="10" borderId="37" xfId="0" applyFont="1" applyFill="1" applyBorder="1" applyAlignment="1">
      <alignment horizontal="center" vertical="center"/>
    </xf>
    <xf numFmtId="0" fontId="4" fillId="11" borderId="47" xfId="0" applyFont="1" applyFill="1" applyBorder="1" applyAlignment="1">
      <alignment horizontal="center" vertical="center"/>
    </xf>
    <xf numFmtId="0" fontId="34" fillId="11" borderId="36" xfId="0" applyFont="1" applyFill="1" applyBorder="1" applyAlignment="1">
      <alignment horizontal="center"/>
    </xf>
    <xf numFmtId="0" fontId="34" fillId="11" borderId="48" xfId="0" applyFont="1" applyFill="1" applyBorder="1" applyAlignment="1">
      <alignment horizontal="center"/>
    </xf>
    <xf numFmtId="0" fontId="13" fillId="11" borderId="46" xfId="0" applyFont="1" applyFill="1" applyBorder="1" applyAlignment="1">
      <alignment horizontal="center" vertical="center"/>
    </xf>
    <xf numFmtId="0" fontId="13" fillId="11" borderId="46" xfId="0" applyFont="1" applyFill="1" applyBorder="1" applyAlignment="1">
      <alignment horizontal="center" vertical="center" wrapText="1"/>
    </xf>
    <xf numFmtId="0" fontId="14" fillId="12" borderId="1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5" borderId="0" xfId="0" applyFill="1"/>
    <xf numFmtId="17" fontId="3" fillId="25" borderId="32" xfId="0" applyNumberFormat="1" applyFont="1" applyFill="1" applyBorder="1"/>
    <xf numFmtId="0" fontId="0" fillId="25" borderId="2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5" borderId="2" xfId="0" applyFill="1" applyBorder="1"/>
    <xf numFmtId="0" fontId="0" fillId="25" borderId="2" xfId="0" applyFill="1" applyBorder="1" applyAlignment="1">
      <alignment horizontal="center"/>
    </xf>
    <xf numFmtId="0" fontId="4" fillId="25" borderId="2" xfId="0" applyFont="1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5" borderId="2" xfId="0" applyFill="1" applyBorder="1" applyAlignment="1">
      <alignment horizontal="center" vertical="center"/>
    </xf>
    <xf numFmtId="0" fontId="4" fillId="25" borderId="2" xfId="0" applyFont="1" applyFill="1" applyBorder="1" applyAlignment="1">
      <alignment horizontal="center" vertical="center" wrapText="1"/>
    </xf>
    <xf numFmtId="0" fontId="0" fillId="25" borderId="0" xfId="0" applyFill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4" fillId="25" borderId="10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43" fontId="3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3" fillId="10" borderId="28" xfId="0" applyFont="1" applyFill="1" applyBorder="1" applyAlignment="1">
      <alignment horizontal="center" vertical="center"/>
    </xf>
    <xf numFmtId="0" fontId="4" fillId="10" borderId="38" xfId="0" applyFont="1" applyFill="1" applyBorder="1" applyAlignment="1">
      <alignment horizontal="center" vertical="center"/>
    </xf>
    <xf numFmtId="0" fontId="4" fillId="10" borderId="39" xfId="0" applyFont="1" applyFill="1" applyBorder="1" applyAlignment="1">
      <alignment horizontal="center" vertical="center"/>
    </xf>
    <xf numFmtId="0" fontId="13" fillId="26" borderId="2" xfId="0" applyFont="1" applyFill="1" applyBorder="1" applyAlignment="1">
      <alignment horizontal="center"/>
    </xf>
    <xf numFmtId="0" fontId="4" fillId="26" borderId="2" xfId="0" applyFont="1" applyFill="1" applyBorder="1" applyAlignment="1">
      <alignment horizontal="center"/>
    </xf>
    <xf numFmtId="0" fontId="13" fillId="26" borderId="2" xfId="0" applyFont="1" applyFill="1" applyBorder="1" applyAlignment="1">
      <alignment horizontal="center" vertical="center"/>
    </xf>
    <xf numFmtId="0" fontId="13" fillId="26" borderId="2" xfId="0" applyFont="1" applyFill="1" applyBorder="1" applyAlignment="1">
      <alignment horizontal="center" vertical="center" wrapText="1"/>
    </xf>
    <xf numFmtId="2" fontId="4" fillId="26" borderId="2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4" fillId="26" borderId="2" xfId="0" applyNumberFormat="1" applyFont="1" applyFill="1" applyBorder="1" applyAlignment="1">
      <alignment horizontal="center"/>
    </xf>
    <xf numFmtId="0" fontId="22" fillId="15" borderId="2" xfId="13" applyFont="1" applyFill="1" applyBorder="1" applyAlignment="1">
      <alignment horizontal="center"/>
    </xf>
    <xf numFmtId="0" fontId="23" fillId="15" borderId="10" xfId="13" applyFont="1" applyFill="1" applyBorder="1" applyAlignment="1">
      <alignment horizontal="center"/>
    </xf>
    <xf numFmtId="0" fontId="25" fillId="17" borderId="24" xfId="13" applyFont="1" applyFill="1" applyBorder="1" applyAlignment="1">
      <alignment horizontal="center" vertical="center"/>
    </xf>
    <xf numFmtId="0" fontId="25" fillId="17" borderId="25" xfId="13" applyFont="1" applyFill="1" applyBorder="1" applyAlignment="1">
      <alignment horizontal="center" vertical="center"/>
    </xf>
    <xf numFmtId="0" fontId="25" fillId="17" borderId="26" xfId="13" applyFont="1" applyFill="1" applyBorder="1" applyAlignment="1">
      <alignment horizontal="center" vertical="center"/>
    </xf>
    <xf numFmtId="0" fontId="21" fillId="18" borderId="27" xfId="13" applyFont="1" applyFill="1" applyBorder="1" applyAlignment="1">
      <alignment horizontal="center" vertical="center" wrapText="1"/>
    </xf>
    <xf numFmtId="0" fontId="21" fillId="18" borderId="28" xfId="13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 textRotation="255"/>
    </xf>
    <xf numFmtId="0" fontId="3" fillId="0" borderId="0" xfId="0" applyFont="1" applyFill="1" applyAlignment="1">
      <alignment horizontal="center" vertical="center" textRotation="255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5" borderId="49" xfId="0" applyFont="1" applyFill="1" applyBorder="1" applyAlignment="1">
      <alignment horizontal="center"/>
    </xf>
    <xf numFmtId="0" fontId="3" fillId="25" borderId="19" xfId="0" applyFont="1" applyFill="1" applyBorder="1" applyAlignment="1">
      <alignment horizontal="center"/>
    </xf>
    <xf numFmtId="0" fontId="3" fillId="25" borderId="50" xfId="0" applyFont="1" applyFill="1" applyBorder="1" applyAlignment="1">
      <alignment horizontal="center"/>
    </xf>
    <xf numFmtId="0" fontId="3" fillId="25" borderId="32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5" borderId="29" xfId="0" applyFont="1" applyFill="1" applyBorder="1" applyAlignment="1">
      <alignment horizontal="center" vertical="center"/>
    </xf>
    <xf numFmtId="0" fontId="3" fillId="25" borderId="49" xfId="0" applyFont="1" applyFill="1" applyBorder="1" applyAlignment="1">
      <alignment horizontal="center" vertical="center"/>
    </xf>
    <xf numFmtId="0" fontId="3" fillId="25" borderId="19" xfId="0" applyFont="1" applyFill="1" applyBorder="1" applyAlignment="1">
      <alignment horizontal="center" vertical="center"/>
    </xf>
    <xf numFmtId="0" fontId="3" fillId="25" borderId="50" xfId="0" applyFont="1" applyFill="1" applyBorder="1" applyAlignment="1">
      <alignment horizontal="center" vertical="center"/>
    </xf>
    <xf numFmtId="0" fontId="3" fillId="25" borderId="13" xfId="0" applyFont="1" applyFill="1" applyBorder="1" applyAlignment="1">
      <alignment horizontal="center" vertical="center"/>
    </xf>
    <xf numFmtId="0" fontId="3" fillId="25" borderId="0" xfId="0" applyFont="1" applyFill="1" applyBorder="1" applyAlignment="1">
      <alignment horizontal="center" vertical="center"/>
    </xf>
    <xf numFmtId="0" fontId="3" fillId="25" borderId="5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3" fillId="11" borderId="46" xfId="0" applyFont="1" applyFill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13" fillId="10" borderId="9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12" borderId="18" xfId="0" applyFont="1" applyFill="1" applyBorder="1" applyAlignment="1">
      <alignment horizontal="center" vertical="center"/>
    </xf>
    <xf numFmtId="0" fontId="14" fillId="12" borderId="20" xfId="0" applyFont="1" applyFill="1" applyBorder="1" applyAlignment="1">
      <alignment horizontal="center" vertical="center"/>
    </xf>
    <xf numFmtId="0" fontId="14" fillId="12" borderId="21" xfId="0" applyFont="1" applyFill="1" applyBorder="1" applyAlignment="1">
      <alignment horizontal="center" vertical="center"/>
    </xf>
    <xf numFmtId="0" fontId="3" fillId="0" borderId="18" xfId="9" applyFont="1" applyBorder="1" applyAlignment="1">
      <alignment horizontal="center" vertical="center"/>
    </xf>
    <xf numFmtId="0" fontId="3" fillId="0" borderId="20" xfId="9" applyFont="1" applyBorder="1" applyAlignment="1">
      <alignment horizontal="center" vertical="center"/>
    </xf>
    <xf numFmtId="0" fontId="3" fillId="0" borderId="21" xfId="9" applyFont="1" applyBorder="1" applyAlignment="1">
      <alignment horizontal="center" vertical="center"/>
    </xf>
    <xf numFmtId="0" fontId="29" fillId="23" borderId="0" xfId="9" applyFont="1" applyFill="1" applyAlignment="1">
      <alignment horizontal="left" vertical="center"/>
    </xf>
    <xf numFmtId="0" fontId="3" fillId="23" borderId="0" xfId="9" applyFont="1" applyFill="1" applyAlignment="1">
      <alignment horizontal="center" vertical="center"/>
    </xf>
    <xf numFmtId="0" fontId="6" fillId="22" borderId="0" xfId="9" applyFont="1" applyFill="1" applyAlignment="1">
      <alignment horizontal="center" vertical="center"/>
    </xf>
    <xf numFmtId="0" fontId="28" fillId="23" borderId="1" xfId="9" applyFont="1" applyFill="1" applyBorder="1" applyAlignment="1">
      <alignment horizontal="center" vertical="center"/>
    </xf>
    <xf numFmtId="0" fontId="3" fillId="4" borderId="17" xfId="9" applyFont="1" applyFill="1" applyBorder="1" applyAlignment="1">
      <alignment horizontal="center" vertical="center"/>
    </xf>
    <xf numFmtId="0" fontId="3" fillId="4" borderId="30" xfId="9" applyFont="1" applyFill="1" applyBorder="1" applyAlignment="1">
      <alignment horizontal="center" vertical="center"/>
    </xf>
    <xf numFmtId="0" fontId="3" fillId="4" borderId="31" xfId="9" applyFont="1" applyFill="1" applyBorder="1" applyAlignment="1">
      <alignment horizontal="center" vertical="center"/>
    </xf>
    <xf numFmtId="0" fontId="3" fillId="11" borderId="17" xfId="9" applyFont="1" applyFill="1" applyBorder="1" applyAlignment="1">
      <alignment horizontal="center" vertical="center"/>
    </xf>
    <xf numFmtId="0" fontId="3" fillId="11" borderId="30" xfId="9" applyFont="1" applyFill="1" applyBorder="1" applyAlignment="1">
      <alignment horizontal="center" vertical="center"/>
    </xf>
    <xf numFmtId="0" fontId="3" fillId="11" borderId="31" xfId="9" applyFont="1" applyFill="1" applyBorder="1" applyAlignment="1">
      <alignment horizontal="center" vertical="center"/>
    </xf>
    <xf numFmtId="17" fontId="3" fillId="0" borderId="0" xfId="9" applyNumberFormat="1" applyFont="1" applyAlignment="1">
      <alignment horizontal="center"/>
    </xf>
    <xf numFmtId="0" fontId="29" fillId="24" borderId="0" xfId="9" applyFont="1" applyFill="1" applyBorder="1" applyAlignment="1">
      <alignment horizontal="left" vertical="center"/>
    </xf>
    <xf numFmtId="16" fontId="3" fillId="5" borderId="17" xfId="9" applyNumberFormat="1" applyFont="1" applyFill="1" applyBorder="1" applyAlignment="1">
      <alignment horizontal="right" vertical="center"/>
    </xf>
    <xf numFmtId="0" fontId="3" fillId="5" borderId="30" xfId="9" applyFont="1" applyFill="1" applyBorder="1" applyAlignment="1">
      <alignment horizontal="right" vertical="center"/>
    </xf>
    <xf numFmtId="0" fontId="3" fillId="5" borderId="31" xfId="9" applyFont="1" applyFill="1" applyBorder="1" applyAlignment="1">
      <alignment horizontal="right" vertical="center"/>
    </xf>
    <xf numFmtId="0" fontId="16" fillId="14" borderId="0" xfId="0" applyFont="1" applyFill="1" applyAlignment="1">
      <alignment horizontal="center"/>
    </xf>
    <xf numFmtId="168" fontId="18" fillId="14" borderId="0" xfId="0" applyNumberFormat="1" applyFont="1" applyFill="1" applyAlignment="1">
      <alignment horizontal="left"/>
    </xf>
    <xf numFmtId="0" fontId="18" fillId="14" borderId="0" xfId="0" applyFont="1" applyFill="1" applyAlignment="1">
      <alignment horizontal="center" vertical="center"/>
    </xf>
  </cellXfs>
  <cellStyles count="14">
    <cellStyle name="Comma" xfId="1" builtinId="3"/>
    <cellStyle name="Comma 2" xfId="3"/>
    <cellStyle name="Comma 3" xfId="4"/>
    <cellStyle name="Comma 4" xfId="5"/>
    <cellStyle name="Currency 2" xfId="6"/>
    <cellStyle name="Currency 3" xfId="7"/>
    <cellStyle name="Normal" xfId="0" builtinId="0"/>
    <cellStyle name="Normal 2" xfId="8"/>
    <cellStyle name="Normal 3" xfId="9"/>
    <cellStyle name="Normal 4" xfId="2"/>
    <cellStyle name="Normal 4 2" xfId="13"/>
    <cellStyle name="Percent 2" xfId="10"/>
    <cellStyle name="Percent 3" xfId="11"/>
    <cellStyle name="Percent 4" xfId="12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93382567102767E-2"/>
          <c:y val="0.30076443569553807"/>
          <c:w val="0.90436843072908379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'Finance Only'!$B$8:$B$37</c:f>
              <c:numCache>
                <c:formatCode>_(* #,##0_);_(* \(#,##0\);_(* "-"??_);_(@_)</c:formatCode>
                <c:ptCount val="30"/>
                <c:pt idx="0">
                  <c:v>25932</c:v>
                </c:pt>
                <c:pt idx="1">
                  <c:v>26846</c:v>
                </c:pt>
                <c:pt idx="2">
                  <c:v>27330</c:v>
                </c:pt>
                <c:pt idx="3">
                  <c:v>27327</c:v>
                </c:pt>
                <c:pt idx="4">
                  <c:v>26205</c:v>
                </c:pt>
                <c:pt idx="5">
                  <c:v>27166</c:v>
                </c:pt>
                <c:pt idx="6">
                  <c:v>24691</c:v>
                </c:pt>
                <c:pt idx="7">
                  <c:v>25450</c:v>
                </c:pt>
                <c:pt idx="8">
                  <c:v>22674</c:v>
                </c:pt>
                <c:pt idx="9">
                  <c:v>23356</c:v>
                </c:pt>
                <c:pt idx="10">
                  <c:v>23328</c:v>
                </c:pt>
                <c:pt idx="11">
                  <c:v>25504</c:v>
                </c:pt>
                <c:pt idx="12">
                  <c:v>24640</c:v>
                </c:pt>
                <c:pt idx="13">
                  <c:v>25043</c:v>
                </c:pt>
                <c:pt idx="14">
                  <c:v>24719</c:v>
                </c:pt>
                <c:pt idx="15">
                  <c:v>25655</c:v>
                </c:pt>
                <c:pt idx="16">
                  <c:v>25064</c:v>
                </c:pt>
                <c:pt idx="17">
                  <c:v>-91731072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C53-421A-8A5B-C6A8D302A9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'Finance Only'!$G$8:$G$37</c:f>
              <c:numCache>
                <c:formatCode>0.00</c:formatCode>
                <c:ptCount val="30"/>
                <c:pt idx="0">
                  <c:v>18.399999999999999</c:v>
                </c:pt>
                <c:pt idx="1">
                  <c:v>12.7</c:v>
                </c:pt>
                <c:pt idx="2">
                  <c:v>12.6</c:v>
                </c:pt>
                <c:pt idx="3">
                  <c:v>15.5</c:v>
                </c:pt>
                <c:pt idx="4">
                  <c:v>13.6</c:v>
                </c:pt>
                <c:pt idx="5">
                  <c:v>15.5</c:v>
                </c:pt>
                <c:pt idx="6">
                  <c:v>17.5</c:v>
                </c:pt>
                <c:pt idx="7">
                  <c:v>16.5</c:v>
                </c:pt>
                <c:pt idx="8">
                  <c:v>16.5</c:v>
                </c:pt>
                <c:pt idx="9">
                  <c:v>13.6</c:v>
                </c:pt>
                <c:pt idx="10">
                  <c:v>11.7</c:v>
                </c:pt>
                <c:pt idx="11">
                  <c:v>11.7</c:v>
                </c:pt>
                <c:pt idx="12">
                  <c:v>12.6</c:v>
                </c:pt>
                <c:pt idx="13">
                  <c:v>13.6</c:v>
                </c:pt>
                <c:pt idx="14">
                  <c:v>16.5</c:v>
                </c:pt>
                <c:pt idx="15">
                  <c:v>21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C53-421A-8A5B-C6A8D302A939}"/>
            </c:ext>
          </c:extLst>
        </c:ser>
        <c:ser>
          <c:idx val="2"/>
          <c:order val="2"/>
          <c:tx>
            <c:v>Occ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'Finance Only'!$G$8:$G$39</c:f>
              <c:numCache>
                <c:formatCode>0.00</c:formatCode>
                <c:ptCount val="32"/>
                <c:pt idx="0">
                  <c:v>18.399999999999999</c:v>
                </c:pt>
                <c:pt idx="1">
                  <c:v>12.7</c:v>
                </c:pt>
                <c:pt idx="2">
                  <c:v>12.6</c:v>
                </c:pt>
                <c:pt idx="3">
                  <c:v>15.5</c:v>
                </c:pt>
                <c:pt idx="4">
                  <c:v>13.6</c:v>
                </c:pt>
                <c:pt idx="5">
                  <c:v>15.5</c:v>
                </c:pt>
                <c:pt idx="6">
                  <c:v>17.5</c:v>
                </c:pt>
                <c:pt idx="7">
                  <c:v>16.5</c:v>
                </c:pt>
                <c:pt idx="8">
                  <c:v>16.5</c:v>
                </c:pt>
                <c:pt idx="9">
                  <c:v>13.6</c:v>
                </c:pt>
                <c:pt idx="10">
                  <c:v>11.7</c:v>
                </c:pt>
                <c:pt idx="11">
                  <c:v>11.7</c:v>
                </c:pt>
                <c:pt idx="12">
                  <c:v>12.6</c:v>
                </c:pt>
                <c:pt idx="13">
                  <c:v>13.6</c:v>
                </c:pt>
                <c:pt idx="14">
                  <c:v>16.5</c:v>
                </c:pt>
                <c:pt idx="15">
                  <c:v>21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1">
                  <c:v>7.9833333333333325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C53-421A-8A5B-C6A8D302A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206976"/>
        <c:axId val="392209152"/>
      </c:lineChart>
      <c:catAx>
        <c:axId val="392206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209152"/>
        <c:crosses val="autoZero"/>
        <c:auto val="1"/>
        <c:lblAlgn val="ctr"/>
        <c:lblOffset val="100"/>
        <c:noMultiLvlLbl val="0"/>
      </c:catAx>
      <c:valAx>
        <c:axId val="39220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20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2322</c:v>
                </c:pt>
                <c:pt idx="1">
                  <c:v>2414</c:v>
                </c:pt>
                <c:pt idx="2">
                  <c:v>2495</c:v>
                </c:pt>
                <c:pt idx="3">
                  <c:v>2356</c:v>
                </c:pt>
                <c:pt idx="4">
                  <c:v>2352</c:v>
                </c:pt>
                <c:pt idx="5">
                  <c:v>2607</c:v>
                </c:pt>
                <c:pt idx="6">
                  <c:v>2238</c:v>
                </c:pt>
                <c:pt idx="7">
                  <c:v>2239</c:v>
                </c:pt>
                <c:pt idx="8">
                  <c:v>2054</c:v>
                </c:pt>
                <c:pt idx="9">
                  <c:v>2110</c:v>
                </c:pt>
                <c:pt idx="10">
                  <c:v>2232</c:v>
                </c:pt>
                <c:pt idx="11">
                  <c:v>2353</c:v>
                </c:pt>
                <c:pt idx="12">
                  <c:v>2277</c:v>
                </c:pt>
                <c:pt idx="13">
                  <c:v>2310</c:v>
                </c:pt>
                <c:pt idx="14">
                  <c:v>2273</c:v>
                </c:pt>
                <c:pt idx="15">
                  <c:v>2338</c:v>
                </c:pt>
                <c:pt idx="16">
                  <c:v>2349</c:v>
                </c:pt>
                <c:pt idx="17">
                  <c:v>-25764418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4699</c:v>
                </c:pt>
                <c:pt idx="1">
                  <c:v>5272</c:v>
                </c:pt>
                <c:pt idx="2">
                  <c:v>5058</c:v>
                </c:pt>
                <c:pt idx="3">
                  <c:v>4497</c:v>
                </c:pt>
                <c:pt idx="4">
                  <c:v>4522</c:v>
                </c:pt>
                <c:pt idx="5">
                  <c:v>4401</c:v>
                </c:pt>
                <c:pt idx="6">
                  <c:v>3750</c:v>
                </c:pt>
                <c:pt idx="7">
                  <c:v>4272</c:v>
                </c:pt>
                <c:pt idx="8">
                  <c:v>3489</c:v>
                </c:pt>
                <c:pt idx="9">
                  <c:v>3569</c:v>
                </c:pt>
                <c:pt idx="10">
                  <c:v>3927</c:v>
                </c:pt>
                <c:pt idx="11">
                  <c:v>4120</c:v>
                </c:pt>
                <c:pt idx="12">
                  <c:v>3921</c:v>
                </c:pt>
                <c:pt idx="13">
                  <c:v>3731</c:v>
                </c:pt>
                <c:pt idx="14">
                  <c:v>3893</c:v>
                </c:pt>
                <c:pt idx="15">
                  <c:v>3960</c:v>
                </c:pt>
                <c:pt idx="16">
                  <c:v>3706</c:v>
                </c:pt>
                <c:pt idx="17">
                  <c:v>-22950852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073856"/>
        <c:axId val="400075392"/>
      </c:lineChart>
      <c:catAx>
        <c:axId val="400073856"/>
        <c:scaling>
          <c:orientation val="minMax"/>
        </c:scaling>
        <c:delete val="0"/>
        <c:axPos val="b"/>
        <c:majorTickMark val="out"/>
        <c:minorTickMark val="none"/>
        <c:tickLblPos val="nextTo"/>
        <c:crossAx val="400075392"/>
        <c:crosses val="autoZero"/>
        <c:auto val="1"/>
        <c:lblAlgn val="ctr"/>
        <c:lblOffset val="100"/>
        <c:noMultiLvlLbl val="0"/>
      </c:catAx>
      <c:valAx>
        <c:axId val="400075392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00073856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13543</c:v>
                </c:pt>
                <c:pt idx="1">
                  <c:v>13159</c:v>
                </c:pt>
                <c:pt idx="2">
                  <c:v>14381</c:v>
                </c:pt>
                <c:pt idx="3">
                  <c:v>14537</c:v>
                </c:pt>
                <c:pt idx="4">
                  <c:v>13903</c:v>
                </c:pt>
                <c:pt idx="5">
                  <c:v>14105</c:v>
                </c:pt>
                <c:pt idx="6">
                  <c:v>13522</c:v>
                </c:pt>
                <c:pt idx="7">
                  <c:v>13130</c:v>
                </c:pt>
                <c:pt idx="8">
                  <c:v>12566</c:v>
                </c:pt>
                <c:pt idx="9">
                  <c:v>12482</c:v>
                </c:pt>
                <c:pt idx="10">
                  <c:v>12420</c:v>
                </c:pt>
                <c:pt idx="11">
                  <c:v>13124</c:v>
                </c:pt>
                <c:pt idx="12">
                  <c:v>13365</c:v>
                </c:pt>
                <c:pt idx="13">
                  <c:v>13253</c:v>
                </c:pt>
                <c:pt idx="14">
                  <c:v>13859</c:v>
                </c:pt>
                <c:pt idx="15">
                  <c:v>13886</c:v>
                </c:pt>
                <c:pt idx="16">
                  <c:v>13754</c:v>
                </c:pt>
                <c:pt idx="17">
                  <c:v>-86528446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083584"/>
        <c:axId val="400093568"/>
      </c:lineChart>
      <c:catAx>
        <c:axId val="400083584"/>
        <c:scaling>
          <c:orientation val="minMax"/>
        </c:scaling>
        <c:delete val="0"/>
        <c:axPos val="b"/>
        <c:majorTickMark val="out"/>
        <c:minorTickMark val="none"/>
        <c:tickLblPos val="nextTo"/>
        <c:crossAx val="400093568"/>
        <c:crosses val="autoZero"/>
        <c:auto val="1"/>
        <c:lblAlgn val="ctr"/>
        <c:lblOffset val="100"/>
        <c:noMultiLvlLbl val="0"/>
      </c:catAx>
      <c:valAx>
        <c:axId val="400093568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00083584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18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20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-21234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2676</c:v>
                </c:pt>
                <c:pt idx="1">
                  <c:v>2718</c:v>
                </c:pt>
                <c:pt idx="2">
                  <c:v>2690</c:v>
                </c:pt>
                <c:pt idx="3">
                  <c:v>2843</c:v>
                </c:pt>
                <c:pt idx="4">
                  <c:v>2728</c:v>
                </c:pt>
                <c:pt idx="5">
                  <c:v>2687</c:v>
                </c:pt>
                <c:pt idx="6">
                  <c:v>2561</c:v>
                </c:pt>
                <c:pt idx="7">
                  <c:v>2566</c:v>
                </c:pt>
                <c:pt idx="8">
                  <c:v>2254</c:v>
                </c:pt>
                <c:pt idx="9">
                  <c:v>2360</c:v>
                </c:pt>
                <c:pt idx="10">
                  <c:v>2523</c:v>
                </c:pt>
                <c:pt idx="11">
                  <c:v>2515</c:v>
                </c:pt>
                <c:pt idx="12">
                  <c:v>2644</c:v>
                </c:pt>
                <c:pt idx="13">
                  <c:v>2621</c:v>
                </c:pt>
                <c:pt idx="14">
                  <c:v>2532</c:v>
                </c:pt>
                <c:pt idx="15">
                  <c:v>2645</c:v>
                </c:pt>
                <c:pt idx="16">
                  <c:v>2521</c:v>
                </c:pt>
                <c:pt idx="17">
                  <c:v>-2873321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'!$AN$5:$AN$34</c:f>
              <c:numCache>
                <c:formatCode>General</c:formatCode>
                <c:ptCount val="30"/>
                <c:pt idx="0">
                  <c:v>61</c:v>
                </c:pt>
                <c:pt idx="1">
                  <c:v>66</c:v>
                </c:pt>
                <c:pt idx="2">
                  <c:v>66</c:v>
                </c:pt>
                <c:pt idx="3">
                  <c:v>65</c:v>
                </c:pt>
                <c:pt idx="4">
                  <c:v>61</c:v>
                </c:pt>
                <c:pt idx="5">
                  <c:v>69</c:v>
                </c:pt>
                <c:pt idx="6">
                  <c:v>62</c:v>
                </c:pt>
                <c:pt idx="7">
                  <c:v>65</c:v>
                </c:pt>
                <c:pt idx="8">
                  <c:v>56</c:v>
                </c:pt>
                <c:pt idx="9">
                  <c:v>58</c:v>
                </c:pt>
                <c:pt idx="10">
                  <c:v>62</c:v>
                </c:pt>
                <c:pt idx="11">
                  <c:v>65</c:v>
                </c:pt>
                <c:pt idx="12">
                  <c:v>66</c:v>
                </c:pt>
                <c:pt idx="13">
                  <c:v>64</c:v>
                </c:pt>
                <c:pt idx="14">
                  <c:v>61</c:v>
                </c:pt>
                <c:pt idx="15">
                  <c:v>66</c:v>
                </c:pt>
                <c:pt idx="16">
                  <c:v>69</c:v>
                </c:pt>
                <c:pt idx="17">
                  <c:v>-81002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'!$AS$5:$AS$34</c:f>
              <c:numCache>
                <c:formatCode>General</c:formatCode>
                <c:ptCount val="30"/>
                <c:pt idx="0">
                  <c:v>8</c:v>
                </c:pt>
                <c:pt idx="1">
                  <c:v>14</c:v>
                </c:pt>
                <c:pt idx="2">
                  <c:v>8</c:v>
                </c:pt>
                <c:pt idx="3">
                  <c:v>14</c:v>
                </c:pt>
                <c:pt idx="4">
                  <c:v>9</c:v>
                </c:pt>
                <c:pt idx="5">
                  <c:v>14</c:v>
                </c:pt>
                <c:pt idx="6">
                  <c:v>8</c:v>
                </c:pt>
                <c:pt idx="7">
                  <c:v>15</c:v>
                </c:pt>
                <c:pt idx="8">
                  <c:v>8</c:v>
                </c:pt>
                <c:pt idx="9">
                  <c:v>13</c:v>
                </c:pt>
                <c:pt idx="10">
                  <c:v>7</c:v>
                </c:pt>
                <c:pt idx="11">
                  <c:v>17</c:v>
                </c:pt>
                <c:pt idx="12">
                  <c:v>6</c:v>
                </c:pt>
                <c:pt idx="13">
                  <c:v>11</c:v>
                </c:pt>
                <c:pt idx="14">
                  <c:v>7</c:v>
                </c:pt>
                <c:pt idx="15">
                  <c:v>12</c:v>
                </c:pt>
                <c:pt idx="16">
                  <c:v>9</c:v>
                </c:pt>
                <c:pt idx="17">
                  <c:v>-18291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128256"/>
        <c:axId val="400130048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'!$BF$5:$BF$34</c:f>
              <c:numCache>
                <c:formatCode>General</c:formatCode>
                <c:ptCount val="30"/>
                <c:pt idx="0">
                  <c:v>78563</c:v>
                </c:pt>
                <c:pt idx="1">
                  <c:v>78649</c:v>
                </c:pt>
                <c:pt idx="2">
                  <c:v>78733</c:v>
                </c:pt>
                <c:pt idx="3">
                  <c:v>78829</c:v>
                </c:pt>
                <c:pt idx="4">
                  <c:v>78932</c:v>
                </c:pt>
                <c:pt idx="5">
                  <c:v>79031</c:v>
                </c:pt>
                <c:pt idx="6">
                  <c:v>79117</c:v>
                </c:pt>
                <c:pt idx="7">
                  <c:v>79216</c:v>
                </c:pt>
                <c:pt idx="8">
                  <c:v>79300</c:v>
                </c:pt>
                <c:pt idx="9">
                  <c:v>79383</c:v>
                </c:pt>
                <c:pt idx="10">
                  <c:v>79461</c:v>
                </c:pt>
                <c:pt idx="11">
                  <c:v>79538</c:v>
                </c:pt>
                <c:pt idx="12">
                  <c:v>79618</c:v>
                </c:pt>
                <c:pt idx="13">
                  <c:v>79699</c:v>
                </c:pt>
                <c:pt idx="14">
                  <c:v>79785</c:v>
                </c:pt>
                <c:pt idx="15">
                  <c:v>79874</c:v>
                </c:pt>
                <c:pt idx="16">
                  <c:v>79966</c:v>
                </c:pt>
                <c:pt idx="17">
                  <c:v>80055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133120"/>
        <c:axId val="400131584"/>
      </c:lineChart>
      <c:catAx>
        <c:axId val="400128256"/>
        <c:scaling>
          <c:orientation val="minMax"/>
        </c:scaling>
        <c:delete val="0"/>
        <c:axPos val="b"/>
        <c:majorTickMark val="out"/>
        <c:minorTickMark val="none"/>
        <c:tickLblPos val="nextTo"/>
        <c:crossAx val="400130048"/>
        <c:crosses val="autoZero"/>
        <c:auto val="1"/>
        <c:lblAlgn val="ctr"/>
        <c:lblOffset val="100"/>
        <c:noMultiLvlLbl val="0"/>
      </c:catAx>
      <c:valAx>
        <c:axId val="400130048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00128256"/>
        <c:crosses val="autoZero"/>
        <c:crossBetween val="between"/>
        <c:minorUnit val="100"/>
      </c:valAx>
      <c:valAx>
        <c:axId val="4001315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400133120"/>
        <c:crosses val="max"/>
        <c:crossBetween val="between"/>
      </c:valAx>
      <c:catAx>
        <c:axId val="400133120"/>
        <c:scaling>
          <c:orientation val="minMax"/>
        </c:scaling>
        <c:delete val="1"/>
        <c:axPos val="b"/>
        <c:majorTickMark val="out"/>
        <c:minorTickMark val="none"/>
        <c:tickLblPos val="nextTo"/>
        <c:crossAx val="40013158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25932</c:v>
                </c:pt>
                <c:pt idx="1">
                  <c:v>26846</c:v>
                </c:pt>
                <c:pt idx="2">
                  <c:v>27330</c:v>
                </c:pt>
                <c:pt idx="3">
                  <c:v>27327</c:v>
                </c:pt>
                <c:pt idx="4">
                  <c:v>26205</c:v>
                </c:pt>
                <c:pt idx="5">
                  <c:v>27166</c:v>
                </c:pt>
                <c:pt idx="6">
                  <c:v>24691</c:v>
                </c:pt>
                <c:pt idx="7">
                  <c:v>25450</c:v>
                </c:pt>
                <c:pt idx="8">
                  <c:v>22674</c:v>
                </c:pt>
                <c:pt idx="9">
                  <c:v>23356</c:v>
                </c:pt>
                <c:pt idx="10">
                  <c:v>23328</c:v>
                </c:pt>
                <c:pt idx="11">
                  <c:v>25504</c:v>
                </c:pt>
                <c:pt idx="12">
                  <c:v>24640</c:v>
                </c:pt>
                <c:pt idx="13">
                  <c:v>25043</c:v>
                </c:pt>
                <c:pt idx="14">
                  <c:v>24719</c:v>
                </c:pt>
                <c:pt idx="15">
                  <c:v>25655</c:v>
                </c:pt>
                <c:pt idx="16">
                  <c:v>25064</c:v>
                </c:pt>
                <c:pt idx="17">
                  <c:v>-91731072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911040"/>
        <c:axId val="403912576"/>
      </c:barChart>
      <c:catAx>
        <c:axId val="403911040"/>
        <c:scaling>
          <c:orientation val="minMax"/>
        </c:scaling>
        <c:delete val="0"/>
        <c:axPos val="b"/>
        <c:majorTickMark val="out"/>
        <c:minorTickMark val="none"/>
        <c:tickLblPos val="nextTo"/>
        <c:crossAx val="403912576"/>
        <c:crosses val="autoZero"/>
        <c:auto val="1"/>
        <c:lblAlgn val="ctr"/>
        <c:lblOffset val="100"/>
        <c:noMultiLvlLbl val="0"/>
      </c:catAx>
      <c:valAx>
        <c:axId val="403912576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403911040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929344"/>
        <c:axId val="403931136"/>
      </c:barChart>
      <c:catAx>
        <c:axId val="403929344"/>
        <c:scaling>
          <c:orientation val="minMax"/>
        </c:scaling>
        <c:delete val="0"/>
        <c:axPos val="b"/>
        <c:majorTickMark val="out"/>
        <c:minorTickMark val="none"/>
        <c:tickLblPos val="nextTo"/>
        <c:crossAx val="403931136"/>
        <c:crosses val="autoZero"/>
        <c:auto val="1"/>
        <c:lblAlgn val="ctr"/>
        <c:lblOffset val="100"/>
        <c:noMultiLvlLbl val="0"/>
      </c:catAx>
      <c:valAx>
        <c:axId val="403931136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03929344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956096"/>
        <c:axId val="403957632"/>
      </c:barChart>
      <c:catAx>
        <c:axId val="403956096"/>
        <c:scaling>
          <c:orientation val="minMax"/>
        </c:scaling>
        <c:delete val="0"/>
        <c:axPos val="b"/>
        <c:majorTickMark val="out"/>
        <c:minorTickMark val="none"/>
        <c:tickLblPos val="nextTo"/>
        <c:crossAx val="403957632"/>
        <c:crosses val="autoZero"/>
        <c:auto val="1"/>
        <c:lblAlgn val="ctr"/>
        <c:lblOffset val="100"/>
        <c:noMultiLvlLbl val="0"/>
      </c:catAx>
      <c:valAx>
        <c:axId val="403957632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03956096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53974</xdr:colOff>
      <xdr:row>41</xdr:row>
      <xdr:rowOff>107950</xdr:rowOff>
    </xdr:from>
    <xdr:to>
      <xdr:col>8</xdr:col>
      <xdr:colOff>38100</xdr:colOff>
      <xdr:row>58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FB513947-7BC6-47CD-B5BA-E9DB70FE0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7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41</xdr:row>
      <xdr:rowOff>11206</xdr:rowOff>
    </xdr:from>
    <xdr:to>
      <xdr:col>17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42</xdr:row>
      <xdr:rowOff>136071</xdr:rowOff>
    </xdr:from>
    <xdr:to>
      <xdr:col>39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xmlns="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L32"/>
  <sheetViews>
    <sheetView workbookViewId="0">
      <selection activeCell="I2" sqref="I2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38" t="s">
        <v>112</v>
      </c>
      <c r="B1" s="138" t="s">
        <v>42</v>
      </c>
      <c r="C1" s="139" t="s">
        <v>3</v>
      </c>
      <c r="D1" s="138" t="s">
        <v>4</v>
      </c>
      <c r="E1" s="140" t="s">
        <v>113</v>
      </c>
      <c r="F1" s="141" t="s">
        <v>114</v>
      </c>
      <c r="G1" s="140" t="s">
        <v>115</v>
      </c>
      <c r="H1" s="141" t="s">
        <v>116</v>
      </c>
      <c r="I1" s="140" t="s">
        <v>117</v>
      </c>
      <c r="J1" s="142" t="s">
        <v>118</v>
      </c>
      <c r="K1" s="140" t="s">
        <v>119</v>
      </c>
      <c r="L1" s="140" t="s">
        <v>120</v>
      </c>
    </row>
    <row r="2" spans="1:12" ht="15" x14ac:dyDescent="0.25">
      <c r="A2" s="143" t="s">
        <v>121</v>
      </c>
      <c r="B2" s="143">
        <v>1</v>
      </c>
      <c r="C2" s="144">
        <v>7</v>
      </c>
      <c r="D2" s="143">
        <v>2021</v>
      </c>
      <c r="E2" s="145">
        <f>'Maldives at LG Daily'!D5</f>
        <v>91326074</v>
      </c>
      <c r="F2" s="146">
        <v>0.93</v>
      </c>
      <c r="G2" s="145">
        <f>'Maldives at LG Daily'!F5</f>
        <v>225</v>
      </c>
      <c r="H2" s="146">
        <v>1.24</v>
      </c>
      <c r="I2" s="145">
        <f>'Maldives at LG Daily'!H5</f>
        <v>418</v>
      </c>
      <c r="J2" s="146">
        <v>2.16</v>
      </c>
      <c r="K2" s="145">
        <f>'Maldives at LG Daily'!I5</f>
        <v>18.399999999999999</v>
      </c>
      <c r="L2" s="145">
        <f>'Maldives at LG Daily'!J5</f>
        <v>160</v>
      </c>
    </row>
    <row r="3" spans="1:12" ht="15" x14ac:dyDescent="0.25">
      <c r="A3" s="143" t="s">
        <v>121</v>
      </c>
      <c r="B3" s="143">
        <f>B2+1</f>
        <v>2</v>
      </c>
      <c r="C3" s="144">
        <v>7</v>
      </c>
      <c r="D3" s="143">
        <v>2021</v>
      </c>
      <c r="E3" s="145">
        <f>'Maldives at LG Daily'!D6</f>
        <v>26846</v>
      </c>
      <c r="F3" s="146">
        <v>0.93</v>
      </c>
      <c r="G3" s="145">
        <f>'Maldives at LG Daily'!F6</f>
        <v>0</v>
      </c>
      <c r="H3" s="146">
        <v>1.24</v>
      </c>
      <c r="I3" s="145">
        <f>'Maldives at LG Daily'!H6</f>
        <v>316</v>
      </c>
      <c r="J3" s="146">
        <v>2.16</v>
      </c>
      <c r="K3" s="145">
        <f>'Maldives at LG Daily'!I6</f>
        <v>12.7</v>
      </c>
      <c r="L3" s="145">
        <f>'Maldives at LG Daily'!J6</f>
        <v>181</v>
      </c>
    </row>
    <row r="4" spans="1:12" ht="15" x14ac:dyDescent="0.25">
      <c r="A4" s="143" t="s">
        <v>121</v>
      </c>
      <c r="B4" s="143">
        <f t="shared" ref="B4:B30" si="0">B3+1</f>
        <v>3</v>
      </c>
      <c r="C4" s="144">
        <v>7</v>
      </c>
      <c r="D4" s="143">
        <v>2021</v>
      </c>
      <c r="E4" s="145">
        <f>'Maldives at LG Daily'!D7</f>
        <v>27330</v>
      </c>
      <c r="F4" s="146">
        <v>0.93</v>
      </c>
      <c r="G4" s="145" t="str">
        <f>'Maldives at LG Daily'!F7</f>
        <v>0</v>
      </c>
      <c r="H4" s="146">
        <v>1.24</v>
      </c>
      <c r="I4" s="145">
        <f>'Maldives at LG Daily'!H7</f>
        <v>330</v>
      </c>
      <c r="J4" s="146">
        <v>2.16</v>
      </c>
      <c r="K4" s="145">
        <f>'Maldives at LG Daily'!I7</f>
        <v>12.6</v>
      </c>
      <c r="L4" s="145">
        <f>'Maldives at LG Daily'!J7</f>
        <v>134</v>
      </c>
    </row>
    <row r="5" spans="1:12" ht="15" x14ac:dyDescent="0.25">
      <c r="A5" s="143" t="s">
        <v>121</v>
      </c>
      <c r="B5" s="143">
        <f t="shared" si="0"/>
        <v>4</v>
      </c>
      <c r="C5" s="144">
        <v>7</v>
      </c>
      <c r="D5" s="143">
        <v>2021</v>
      </c>
      <c r="E5" s="145">
        <f>'Maldives at LG Daily'!D8</f>
        <v>27327</v>
      </c>
      <c r="F5" s="146">
        <v>0.93</v>
      </c>
      <c r="G5" s="145">
        <f>'Maldives at LG Daily'!F8</f>
        <v>90</v>
      </c>
      <c r="H5" s="146">
        <v>1.24</v>
      </c>
      <c r="I5" s="145">
        <f>'Maldives at LG Daily'!H8</f>
        <v>326</v>
      </c>
      <c r="J5" s="146">
        <v>2.16</v>
      </c>
      <c r="K5" s="145">
        <f>'Maldives at LG Daily'!I8</f>
        <v>15.5</v>
      </c>
      <c r="L5" s="145">
        <f>'Maldives at LG Daily'!J8</f>
        <v>169</v>
      </c>
    </row>
    <row r="6" spans="1:12" ht="15" x14ac:dyDescent="0.25">
      <c r="A6" s="143" t="s">
        <v>121</v>
      </c>
      <c r="B6" s="143">
        <f t="shared" si="0"/>
        <v>5</v>
      </c>
      <c r="C6" s="144">
        <v>7</v>
      </c>
      <c r="D6" s="143">
        <v>2021</v>
      </c>
      <c r="E6" s="145">
        <f>'Maldives at LG Daily'!D9</f>
        <v>26205</v>
      </c>
      <c r="F6" s="146">
        <v>0.93</v>
      </c>
      <c r="G6" s="145">
        <f>'Maldives at LG Daily'!F9</f>
        <v>0</v>
      </c>
      <c r="H6" s="146">
        <v>1.24</v>
      </c>
      <c r="I6" s="145">
        <f>'Maldives at LG Daily'!H9</f>
        <v>306</v>
      </c>
      <c r="J6" s="146">
        <v>2.16</v>
      </c>
      <c r="K6" s="145">
        <f>'Maldives at LG Daily'!I9</f>
        <v>13.6</v>
      </c>
      <c r="L6" s="145">
        <f>'Maldives at LG Daily'!J9</f>
        <v>140</v>
      </c>
    </row>
    <row r="7" spans="1:12" ht="15" x14ac:dyDescent="0.25">
      <c r="A7" s="143" t="s">
        <v>121</v>
      </c>
      <c r="B7" s="143">
        <f t="shared" si="0"/>
        <v>6</v>
      </c>
      <c r="C7" s="144">
        <v>7</v>
      </c>
      <c r="D7" s="143">
        <v>2021</v>
      </c>
      <c r="E7" s="145">
        <f>'Maldives at LG Daily'!D10</f>
        <v>27166</v>
      </c>
      <c r="F7" s="146">
        <v>0.93</v>
      </c>
      <c r="G7" s="145" t="str">
        <f>'Maldives at LG Daily'!F10</f>
        <v>0</v>
      </c>
      <c r="H7" s="146">
        <v>1.24</v>
      </c>
      <c r="I7" s="145">
        <f>'Maldives at LG Daily'!H10</f>
        <v>375</v>
      </c>
      <c r="J7" s="146">
        <v>2.16</v>
      </c>
      <c r="K7" s="145">
        <f>'Maldives at LG Daily'!I10</f>
        <v>15.5</v>
      </c>
      <c r="L7" s="145">
        <f>'Maldives at LG Daily'!J10</f>
        <v>145</v>
      </c>
    </row>
    <row r="8" spans="1:12" ht="15" x14ac:dyDescent="0.25">
      <c r="A8" s="143" t="s">
        <v>121</v>
      </c>
      <c r="B8" s="143">
        <f t="shared" si="0"/>
        <v>7</v>
      </c>
      <c r="C8" s="144">
        <v>7</v>
      </c>
      <c r="D8" s="143">
        <v>2021</v>
      </c>
      <c r="E8" s="145">
        <f>'Maldives at LG Daily'!D11</f>
        <v>24691</v>
      </c>
      <c r="F8" s="146">
        <v>0.93</v>
      </c>
      <c r="G8" s="145">
        <f>'Maldives at LG Daily'!F11</f>
        <v>0</v>
      </c>
      <c r="H8" s="146">
        <v>1.24</v>
      </c>
      <c r="I8" s="145">
        <f>'Maldives at LG Daily'!H11</f>
        <v>380</v>
      </c>
      <c r="J8" s="146">
        <v>2.16</v>
      </c>
      <c r="K8" s="145">
        <f>'Maldives at LG Daily'!I11</f>
        <v>17.5</v>
      </c>
      <c r="L8" s="145">
        <f>'Maldives at LG Daily'!J11</f>
        <v>198</v>
      </c>
    </row>
    <row r="9" spans="1:12" ht="15" x14ac:dyDescent="0.25">
      <c r="A9" s="143" t="s">
        <v>121</v>
      </c>
      <c r="B9" s="143">
        <f t="shared" si="0"/>
        <v>8</v>
      </c>
      <c r="C9" s="144">
        <v>7</v>
      </c>
      <c r="D9" s="143">
        <v>2021</v>
      </c>
      <c r="E9" s="145">
        <f>'Maldives at LG Daily'!D12</f>
        <v>25450</v>
      </c>
      <c r="F9" s="146">
        <v>0.93</v>
      </c>
      <c r="G9" s="145">
        <f>'Maldives at LG Daily'!F12</f>
        <v>0</v>
      </c>
      <c r="H9" s="146">
        <v>1.24</v>
      </c>
      <c r="I9" s="145">
        <f>'Maldives at LG Daily'!H12</f>
        <v>283</v>
      </c>
      <c r="J9" s="146">
        <v>2.16</v>
      </c>
      <c r="K9" s="145">
        <f>'Maldives at LG Daily'!I12</f>
        <v>16.5</v>
      </c>
      <c r="L9" s="145">
        <f>'Maldives at LG Daily'!J12</f>
        <v>191</v>
      </c>
    </row>
    <row r="10" spans="1:12" ht="15" x14ac:dyDescent="0.25">
      <c r="A10" s="143" t="s">
        <v>121</v>
      </c>
      <c r="B10" s="143">
        <f t="shared" si="0"/>
        <v>9</v>
      </c>
      <c r="C10" s="144">
        <v>7</v>
      </c>
      <c r="D10" s="143">
        <v>2021</v>
      </c>
      <c r="E10" s="145">
        <f>'Maldives at LG Daily'!D13</f>
        <v>22674</v>
      </c>
      <c r="F10" s="146">
        <v>0.93</v>
      </c>
      <c r="G10" s="145">
        <f>'Maldives at LG Daily'!F13</f>
        <v>0</v>
      </c>
      <c r="H10" s="146">
        <v>1.24</v>
      </c>
      <c r="I10" s="145">
        <f>'Maldives at LG Daily'!H13</f>
        <v>318</v>
      </c>
      <c r="J10" s="146">
        <v>2.16</v>
      </c>
      <c r="K10" s="145">
        <f>'Maldives at LG Daily'!I13</f>
        <v>16.5</v>
      </c>
      <c r="L10" s="145">
        <f>'Maldives at LG Daily'!J13</f>
        <v>162</v>
      </c>
    </row>
    <row r="11" spans="1:12" ht="15" x14ac:dyDescent="0.25">
      <c r="A11" s="143" t="s">
        <v>121</v>
      </c>
      <c r="B11" s="143">
        <f t="shared" si="0"/>
        <v>10</v>
      </c>
      <c r="C11" s="144">
        <v>7</v>
      </c>
      <c r="D11" s="143">
        <v>2021</v>
      </c>
      <c r="E11" s="145">
        <f>'Maldives at LG Daily'!D14</f>
        <v>23356</v>
      </c>
      <c r="F11" s="146">
        <v>0.93</v>
      </c>
      <c r="G11" s="145">
        <f>'Maldives at LG Daily'!F14</f>
        <v>45</v>
      </c>
      <c r="H11" s="146">
        <v>1.24</v>
      </c>
      <c r="I11" s="145">
        <f>'Maldives at LG Daily'!H14</f>
        <v>376</v>
      </c>
      <c r="J11" s="146">
        <v>2.16</v>
      </c>
      <c r="K11" s="145">
        <f>'Maldives at LG Daily'!I14</f>
        <v>13.6</v>
      </c>
      <c r="L11" s="145">
        <f>'Maldives at LG Daily'!J14</f>
        <v>164</v>
      </c>
    </row>
    <row r="12" spans="1:12" ht="15" x14ac:dyDescent="0.25">
      <c r="A12" s="143" t="s">
        <v>121</v>
      </c>
      <c r="B12" s="143">
        <f t="shared" si="0"/>
        <v>11</v>
      </c>
      <c r="C12" s="144">
        <v>7</v>
      </c>
      <c r="D12" s="143">
        <v>2021</v>
      </c>
      <c r="E12" s="145">
        <f>'Maldives at LG Daily'!D15</f>
        <v>23328</v>
      </c>
      <c r="F12" s="146">
        <v>0.93</v>
      </c>
      <c r="G12" s="145" t="str">
        <f>'Maldives at LG Daily'!F15</f>
        <v>0</v>
      </c>
      <c r="H12" s="146">
        <v>1.24</v>
      </c>
      <c r="I12" s="145">
        <f>'Maldives at LG Daily'!H15</f>
        <v>286</v>
      </c>
      <c r="J12" s="146">
        <v>2.16</v>
      </c>
      <c r="K12" s="145">
        <f>'Maldives at LG Daily'!I15</f>
        <v>11.7</v>
      </c>
      <c r="L12" s="145">
        <f>'Maldives at LG Daily'!J15</f>
        <v>127</v>
      </c>
    </row>
    <row r="13" spans="1:12" ht="15" x14ac:dyDescent="0.25">
      <c r="A13" s="143" t="s">
        <v>121</v>
      </c>
      <c r="B13" s="143">
        <f t="shared" si="0"/>
        <v>12</v>
      </c>
      <c r="C13" s="144">
        <v>7</v>
      </c>
      <c r="D13" s="143">
        <v>2021</v>
      </c>
      <c r="E13" s="145">
        <f>'Maldives at LG Daily'!D16</f>
        <v>25504</v>
      </c>
      <c r="F13" s="146">
        <v>0.93</v>
      </c>
      <c r="G13" s="145">
        <f>'Maldives at LG Daily'!F16</f>
        <v>0</v>
      </c>
      <c r="H13" s="146">
        <v>1.24</v>
      </c>
      <c r="I13" s="145">
        <f>'Maldives at LG Daily'!H16</f>
        <v>300</v>
      </c>
      <c r="J13" s="146">
        <v>2.16</v>
      </c>
      <c r="K13" s="145">
        <f>'Maldives at LG Daily'!I16</f>
        <v>11.7</v>
      </c>
      <c r="L13" s="145">
        <f>'Maldives at LG Daily'!J16</f>
        <v>149</v>
      </c>
    </row>
    <row r="14" spans="1:12" ht="15" x14ac:dyDescent="0.25">
      <c r="A14" s="143" t="s">
        <v>121</v>
      </c>
      <c r="B14" s="143">
        <f t="shared" si="0"/>
        <v>13</v>
      </c>
      <c r="C14" s="144">
        <v>7</v>
      </c>
      <c r="D14" s="143">
        <v>2021</v>
      </c>
      <c r="E14" s="145">
        <f>'Maldives at LG Daily'!D17</f>
        <v>24640</v>
      </c>
      <c r="F14" s="146">
        <v>0.93</v>
      </c>
      <c r="G14" s="145">
        <f>'Maldives at LG Daily'!F17</f>
        <v>0</v>
      </c>
      <c r="H14" s="146">
        <v>1.24</v>
      </c>
      <c r="I14" s="145">
        <f>'Maldives at LG Daily'!H17</f>
        <v>319</v>
      </c>
      <c r="J14" s="146">
        <v>2.16</v>
      </c>
      <c r="K14" s="145">
        <f>'Maldives at LG Daily'!I17</f>
        <v>12.6</v>
      </c>
      <c r="L14" s="145">
        <f>'Maldives at LG Daily'!J17</f>
        <v>159</v>
      </c>
    </row>
    <row r="15" spans="1:12" ht="15" x14ac:dyDescent="0.25">
      <c r="A15" s="143" t="s">
        <v>121</v>
      </c>
      <c r="B15" s="143">
        <f t="shared" si="0"/>
        <v>14</v>
      </c>
      <c r="C15" s="144">
        <v>7</v>
      </c>
      <c r="D15" s="143">
        <v>2021</v>
      </c>
      <c r="E15" s="145">
        <f>'Maldives at LG Daily'!D18</f>
        <v>25043</v>
      </c>
      <c r="F15" s="146">
        <v>0.93</v>
      </c>
      <c r="G15" s="145">
        <f>'Maldives at LG Daily'!F18</f>
        <v>0</v>
      </c>
      <c r="H15" s="146">
        <v>1.24</v>
      </c>
      <c r="I15" s="145">
        <f>'Maldives at LG Daily'!H18</f>
        <v>298</v>
      </c>
      <c r="J15" s="146">
        <v>2.16</v>
      </c>
      <c r="K15" s="145">
        <f>'Maldives at LG Daily'!I18</f>
        <v>13.6</v>
      </c>
      <c r="L15" s="145">
        <f>'Maldives at LG Daily'!J18</f>
        <v>171</v>
      </c>
    </row>
    <row r="16" spans="1:12" ht="15" x14ac:dyDescent="0.25">
      <c r="A16" s="143" t="s">
        <v>121</v>
      </c>
      <c r="B16" s="143">
        <f t="shared" si="0"/>
        <v>15</v>
      </c>
      <c r="C16" s="144">
        <v>7</v>
      </c>
      <c r="D16" s="143">
        <v>2021</v>
      </c>
      <c r="E16" s="145">
        <f>'Maldives at LG Daily'!D19</f>
        <v>24719</v>
      </c>
      <c r="F16" s="146">
        <v>0.93</v>
      </c>
      <c r="G16" s="145">
        <f>'Maldives at LG Daily'!F19</f>
        <v>45</v>
      </c>
      <c r="H16" s="146">
        <v>1.24</v>
      </c>
      <c r="I16" s="145">
        <f>'Maldives at LG Daily'!H19</f>
        <v>358</v>
      </c>
      <c r="J16" s="146">
        <v>2.16</v>
      </c>
      <c r="K16" s="145">
        <f>'Maldives at LG Daily'!I19</f>
        <v>16.5</v>
      </c>
      <c r="L16" s="145">
        <f>'Maldives at LG Daily'!J19</f>
        <v>162</v>
      </c>
    </row>
    <row r="17" spans="1:12" ht="15" x14ac:dyDescent="0.25">
      <c r="A17" s="143" t="s">
        <v>121</v>
      </c>
      <c r="B17" s="143">
        <f t="shared" si="0"/>
        <v>16</v>
      </c>
      <c r="C17" s="144">
        <v>7</v>
      </c>
      <c r="D17" s="143">
        <v>2021</v>
      </c>
      <c r="E17" s="145">
        <f>'Maldives at LG Daily'!D20</f>
        <v>25655</v>
      </c>
      <c r="F17" s="146">
        <v>0.93</v>
      </c>
      <c r="G17" s="145" t="str">
        <f>'Maldives at LG Daily'!F20</f>
        <v>0</v>
      </c>
      <c r="H17" s="146">
        <v>1.24</v>
      </c>
      <c r="I17" s="145">
        <f>'Maldives at LG Daily'!H20</f>
        <v>337</v>
      </c>
      <c r="J17" s="146">
        <v>2.16</v>
      </c>
      <c r="K17" s="145">
        <f>'Maldives at LG Daily'!I20</f>
        <v>21</v>
      </c>
      <c r="L17" s="145">
        <f>'Maldives at LG Daily'!J20</f>
        <v>204</v>
      </c>
    </row>
    <row r="18" spans="1:12" ht="15" x14ac:dyDescent="0.25">
      <c r="A18" s="143" t="s">
        <v>121</v>
      </c>
      <c r="B18" s="143">
        <f t="shared" si="0"/>
        <v>17</v>
      </c>
      <c r="C18" s="144">
        <v>7</v>
      </c>
      <c r="D18" s="143">
        <v>2021</v>
      </c>
      <c r="E18" s="145">
        <f>'Maldives at LG Daily'!D21</f>
        <v>25064</v>
      </c>
      <c r="F18" s="146">
        <v>0.93</v>
      </c>
      <c r="G18" s="145">
        <f>'Maldives at LG Daily'!F21</f>
        <v>45</v>
      </c>
      <c r="H18" s="146">
        <v>1.24</v>
      </c>
      <c r="I18" s="145">
        <f>'Maldives at LG Daily'!H21</f>
        <v>336</v>
      </c>
      <c r="J18" s="146">
        <v>2.16</v>
      </c>
      <c r="K18" s="145">
        <f>'Maldives at LG Daily'!I21</f>
        <v>0</v>
      </c>
      <c r="L18" s="145">
        <f>'Maldives at LG Daily'!J21</f>
        <v>0</v>
      </c>
    </row>
    <row r="19" spans="1:12" ht="15" x14ac:dyDescent="0.25">
      <c r="A19" s="143" t="s">
        <v>121</v>
      </c>
      <c r="B19" s="143">
        <f t="shared" si="0"/>
        <v>18</v>
      </c>
      <c r="C19" s="144">
        <v>7</v>
      </c>
      <c r="D19" s="143">
        <v>2021</v>
      </c>
      <c r="E19" s="145" t="str">
        <f>'Maldives at LG Daily'!D22</f>
        <v>0</v>
      </c>
      <c r="F19" s="146">
        <v>0.93</v>
      </c>
      <c r="G19" s="145" t="str">
        <f>'Maldives at LG Daily'!F22</f>
        <v>0</v>
      </c>
      <c r="H19" s="146">
        <v>1.24</v>
      </c>
      <c r="I19" s="145">
        <f>'Maldives at LG Daily'!H22</f>
        <v>310</v>
      </c>
      <c r="J19" s="146">
        <v>2.16</v>
      </c>
      <c r="K19" s="145">
        <f>'Maldives at LG Daily'!I22</f>
        <v>0</v>
      </c>
      <c r="L19" s="145">
        <f>'Maldives at LG Daily'!J22</f>
        <v>0</v>
      </c>
    </row>
    <row r="20" spans="1:12" ht="15" x14ac:dyDescent="0.25">
      <c r="A20" s="143" t="s">
        <v>121</v>
      </c>
      <c r="B20" s="143">
        <f t="shared" si="0"/>
        <v>19</v>
      </c>
      <c r="C20" s="144">
        <v>7</v>
      </c>
      <c r="D20" s="143">
        <v>2021</v>
      </c>
      <c r="E20" s="145">
        <f>'Maldives at LG Daily'!D23</f>
        <v>0</v>
      </c>
      <c r="F20" s="146">
        <v>0.93</v>
      </c>
      <c r="G20" s="145">
        <f>'Maldives at LG Daily'!F23</f>
        <v>0</v>
      </c>
      <c r="H20" s="146">
        <v>1.24</v>
      </c>
      <c r="I20" s="145" t="str">
        <f>'Maldives at LG Daily'!H23</f>
        <v>0</v>
      </c>
      <c r="J20" s="146">
        <v>2.16</v>
      </c>
      <c r="K20" s="145">
        <f>'Maldives at LG Daily'!I23</f>
        <v>0</v>
      </c>
      <c r="L20" s="145">
        <f>'Maldives at LG Daily'!J23</f>
        <v>0</v>
      </c>
    </row>
    <row r="21" spans="1:12" ht="15" x14ac:dyDescent="0.25">
      <c r="A21" s="143" t="s">
        <v>121</v>
      </c>
      <c r="B21" s="143">
        <f t="shared" si="0"/>
        <v>20</v>
      </c>
      <c r="C21" s="144">
        <v>7</v>
      </c>
      <c r="D21" s="143">
        <v>2021</v>
      </c>
      <c r="E21" s="145">
        <f>'Maldives at LG Daily'!D24</f>
        <v>0</v>
      </c>
      <c r="F21" s="146">
        <v>0.93</v>
      </c>
      <c r="G21" s="145">
        <f>'Maldives at LG Daily'!F24</f>
        <v>0</v>
      </c>
      <c r="H21" s="146">
        <v>1.24</v>
      </c>
      <c r="I21" s="145">
        <f>'Maldives at LG Daily'!H24</f>
        <v>0</v>
      </c>
      <c r="J21" s="146">
        <v>2.16</v>
      </c>
      <c r="K21" s="145">
        <f>'Maldives at LG Daily'!I24</f>
        <v>0</v>
      </c>
      <c r="L21" s="145">
        <f>'Maldives at LG Daily'!J24</f>
        <v>0</v>
      </c>
    </row>
    <row r="22" spans="1:12" ht="15" x14ac:dyDescent="0.25">
      <c r="A22" s="143" t="s">
        <v>121</v>
      </c>
      <c r="B22" s="143">
        <f t="shared" si="0"/>
        <v>21</v>
      </c>
      <c r="C22" s="144">
        <v>7</v>
      </c>
      <c r="D22" s="143">
        <v>2021</v>
      </c>
      <c r="E22" s="145">
        <f>'Maldives at LG Daily'!D25</f>
        <v>0</v>
      </c>
      <c r="F22" s="146">
        <v>0.93</v>
      </c>
      <c r="G22" s="145">
        <f>'Maldives at LG Daily'!F25</f>
        <v>0</v>
      </c>
      <c r="H22" s="146">
        <v>1.24</v>
      </c>
      <c r="I22" s="145">
        <f>'Maldives at LG Daily'!H25</f>
        <v>0</v>
      </c>
      <c r="J22" s="146">
        <v>2.16</v>
      </c>
      <c r="K22" s="145">
        <f>'Maldives at LG Daily'!I25</f>
        <v>0</v>
      </c>
      <c r="L22" s="145">
        <f>'Maldives at LG Daily'!J25</f>
        <v>0</v>
      </c>
    </row>
    <row r="23" spans="1:12" ht="15" x14ac:dyDescent="0.25">
      <c r="A23" s="143" t="s">
        <v>121</v>
      </c>
      <c r="B23" s="143">
        <f t="shared" si="0"/>
        <v>22</v>
      </c>
      <c r="C23" s="144">
        <v>7</v>
      </c>
      <c r="D23" s="143">
        <v>2021</v>
      </c>
      <c r="E23" s="145">
        <f>'Maldives at LG Daily'!D26</f>
        <v>0</v>
      </c>
      <c r="F23" s="146">
        <v>0.93</v>
      </c>
      <c r="G23" s="145">
        <f>'Maldives at LG Daily'!F26</f>
        <v>0</v>
      </c>
      <c r="H23" s="146">
        <v>1.24</v>
      </c>
      <c r="I23" s="145">
        <f>'Maldives at LG Daily'!H26</f>
        <v>0</v>
      </c>
      <c r="J23" s="146">
        <v>2.16</v>
      </c>
      <c r="K23" s="145">
        <f>'Maldives at LG Daily'!I26</f>
        <v>0</v>
      </c>
      <c r="L23" s="145">
        <f>'Maldives at LG Daily'!J26</f>
        <v>0</v>
      </c>
    </row>
    <row r="24" spans="1:12" ht="15" x14ac:dyDescent="0.25">
      <c r="A24" s="143" t="s">
        <v>121</v>
      </c>
      <c r="B24" s="143">
        <f t="shared" si="0"/>
        <v>23</v>
      </c>
      <c r="C24" s="144">
        <v>7</v>
      </c>
      <c r="D24" s="143">
        <v>2021</v>
      </c>
      <c r="E24" s="145">
        <f>'Maldives at LG Daily'!D27</f>
        <v>0</v>
      </c>
      <c r="F24" s="146">
        <v>0.93</v>
      </c>
      <c r="G24" s="145">
        <f>'Maldives at LG Daily'!F27</f>
        <v>0</v>
      </c>
      <c r="H24" s="146">
        <v>1.24</v>
      </c>
      <c r="I24" s="145">
        <f>'Maldives at LG Daily'!H27</f>
        <v>0</v>
      </c>
      <c r="J24" s="146">
        <v>2.16</v>
      </c>
      <c r="K24" s="145">
        <f>'Maldives at LG Daily'!I27</f>
        <v>0</v>
      </c>
      <c r="L24" s="145">
        <f>'Maldives at LG Daily'!J27</f>
        <v>0</v>
      </c>
    </row>
    <row r="25" spans="1:12" ht="15" x14ac:dyDescent="0.25">
      <c r="A25" s="143" t="s">
        <v>121</v>
      </c>
      <c r="B25" s="143">
        <f t="shared" si="0"/>
        <v>24</v>
      </c>
      <c r="C25" s="144">
        <v>7</v>
      </c>
      <c r="D25" s="143">
        <v>2021</v>
      </c>
      <c r="E25" s="145">
        <f>'Maldives at LG Daily'!D28</f>
        <v>0</v>
      </c>
      <c r="F25" s="146">
        <v>0.93</v>
      </c>
      <c r="G25" s="145">
        <f>'Maldives at LG Daily'!F28</f>
        <v>0</v>
      </c>
      <c r="H25" s="146">
        <v>1.24</v>
      </c>
      <c r="I25" s="145">
        <f>'Maldives at LG Daily'!H28</f>
        <v>0</v>
      </c>
      <c r="J25" s="146">
        <v>2.16</v>
      </c>
      <c r="K25" s="145">
        <f>'Maldives at LG Daily'!I28</f>
        <v>0</v>
      </c>
      <c r="L25" s="145">
        <f>'Maldives at LG Daily'!J28</f>
        <v>0</v>
      </c>
    </row>
    <row r="26" spans="1:12" ht="15" x14ac:dyDescent="0.25">
      <c r="A26" s="143" t="s">
        <v>121</v>
      </c>
      <c r="B26" s="143">
        <f>B25+1</f>
        <v>25</v>
      </c>
      <c r="C26" s="144">
        <v>7</v>
      </c>
      <c r="D26" s="143">
        <v>2021</v>
      </c>
      <c r="E26" s="145">
        <f>'Maldives at LG Daily'!D29</f>
        <v>0</v>
      </c>
      <c r="F26" s="146">
        <v>0.93</v>
      </c>
      <c r="G26" s="145">
        <f>'Maldives at LG Daily'!F29</f>
        <v>0</v>
      </c>
      <c r="H26" s="146">
        <v>1.24</v>
      </c>
      <c r="I26" s="145">
        <f>'Maldives at LG Daily'!H29</f>
        <v>0</v>
      </c>
      <c r="J26" s="146">
        <v>2.16</v>
      </c>
      <c r="K26" s="145">
        <f>'Maldives at LG Daily'!I29</f>
        <v>0</v>
      </c>
      <c r="L26" s="145">
        <f>'Maldives at LG Daily'!J29</f>
        <v>0</v>
      </c>
    </row>
    <row r="27" spans="1:12" ht="15" x14ac:dyDescent="0.25">
      <c r="A27" s="143" t="s">
        <v>121</v>
      </c>
      <c r="B27" s="143">
        <f t="shared" si="0"/>
        <v>26</v>
      </c>
      <c r="C27" s="144">
        <v>7</v>
      </c>
      <c r="D27" s="143">
        <v>2021</v>
      </c>
      <c r="E27" s="145">
        <f>'Maldives at LG Daily'!D30</f>
        <v>0</v>
      </c>
      <c r="F27" s="146">
        <v>0.93</v>
      </c>
      <c r="G27" s="145">
        <f>'Maldives at LG Daily'!F30</f>
        <v>0</v>
      </c>
      <c r="H27" s="146">
        <v>1.24</v>
      </c>
      <c r="I27" s="145">
        <f>'Maldives at LG Daily'!H30</f>
        <v>0</v>
      </c>
      <c r="J27" s="146">
        <v>2.16</v>
      </c>
      <c r="K27" s="145">
        <f>'Maldives at LG Daily'!I30</f>
        <v>0</v>
      </c>
      <c r="L27" s="145">
        <f>'Maldives at LG Daily'!J30</f>
        <v>0</v>
      </c>
    </row>
    <row r="28" spans="1:12" ht="15" x14ac:dyDescent="0.25">
      <c r="A28" s="143" t="s">
        <v>121</v>
      </c>
      <c r="B28" s="143">
        <f t="shared" si="0"/>
        <v>27</v>
      </c>
      <c r="C28" s="144">
        <v>7</v>
      </c>
      <c r="D28" s="143">
        <v>2021</v>
      </c>
      <c r="E28" s="145">
        <f>'Maldives at LG Daily'!D31</f>
        <v>0</v>
      </c>
      <c r="F28" s="146">
        <v>0.93</v>
      </c>
      <c r="G28" s="145">
        <f>'Maldives at LG Daily'!F31</f>
        <v>0</v>
      </c>
      <c r="H28" s="146">
        <v>1.24</v>
      </c>
      <c r="I28" s="145">
        <f>'Maldives at LG Daily'!H31</f>
        <v>0</v>
      </c>
      <c r="J28" s="146">
        <v>2.16</v>
      </c>
      <c r="K28" s="145">
        <f>'Maldives at LG Daily'!I31</f>
        <v>0</v>
      </c>
      <c r="L28" s="145">
        <f>'Maldives at LG Daily'!J31</f>
        <v>0</v>
      </c>
    </row>
    <row r="29" spans="1:12" ht="15" x14ac:dyDescent="0.25">
      <c r="A29" s="143" t="s">
        <v>121</v>
      </c>
      <c r="B29" s="143">
        <f t="shared" si="0"/>
        <v>28</v>
      </c>
      <c r="C29" s="144">
        <v>7</v>
      </c>
      <c r="D29" s="143">
        <v>2021</v>
      </c>
      <c r="E29" s="145">
        <f>'Maldives at LG Daily'!D32</f>
        <v>0</v>
      </c>
      <c r="F29" s="146">
        <v>0.93</v>
      </c>
      <c r="G29" s="145">
        <f>'Maldives at LG Daily'!F32</f>
        <v>0</v>
      </c>
      <c r="H29" s="146">
        <v>1.24</v>
      </c>
      <c r="I29" s="145">
        <f>'Maldives at LG Daily'!H32</f>
        <v>0</v>
      </c>
      <c r="J29" s="146">
        <v>2.16</v>
      </c>
      <c r="K29" s="145">
        <f>'Maldives at LG Daily'!I32</f>
        <v>0</v>
      </c>
      <c r="L29" s="145">
        <f>'Maldives at LG Daily'!J32</f>
        <v>0</v>
      </c>
    </row>
    <row r="30" spans="1:12" ht="15" x14ac:dyDescent="0.25">
      <c r="A30" s="143" t="s">
        <v>121</v>
      </c>
      <c r="B30" s="143">
        <f t="shared" si="0"/>
        <v>29</v>
      </c>
      <c r="C30" s="144">
        <v>7</v>
      </c>
      <c r="D30" s="143">
        <v>2021</v>
      </c>
      <c r="E30" s="145">
        <f>'Maldives at LG Daily'!D33</f>
        <v>0</v>
      </c>
      <c r="F30" s="146">
        <v>0.93</v>
      </c>
      <c r="G30" s="145">
        <f>'Maldives at LG Daily'!F33</f>
        <v>0</v>
      </c>
      <c r="H30" s="146">
        <v>1.24</v>
      </c>
      <c r="I30" s="145">
        <f>'Maldives at LG Daily'!H33</f>
        <v>0</v>
      </c>
      <c r="J30" s="146">
        <v>2.16</v>
      </c>
      <c r="K30" s="145">
        <f>'Maldives at LG Daily'!I33</f>
        <v>0</v>
      </c>
      <c r="L30" s="145">
        <f>'Maldives at LG Daily'!J33</f>
        <v>0</v>
      </c>
    </row>
    <row r="31" spans="1:12" ht="15" x14ac:dyDescent="0.25">
      <c r="A31" s="143" t="s">
        <v>121</v>
      </c>
      <c r="B31" s="143">
        <v>30</v>
      </c>
      <c r="C31" s="144">
        <v>7</v>
      </c>
      <c r="D31" s="143">
        <v>2021</v>
      </c>
      <c r="E31" s="145">
        <f>'Maldives at LG Daily'!D34</f>
        <v>0</v>
      </c>
      <c r="F31" s="146">
        <v>0.93</v>
      </c>
      <c r="G31" s="145">
        <f>'Maldives at LG Daily'!F34</f>
        <v>0</v>
      </c>
      <c r="H31" s="146">
        <v>1.24</v>
      </c>
      <c r="I31" s="145">
        <f>'Maldives at LG Daily'!H34</f>
        <v>0</v>
      </c>
      <c r="J31" s="146">
        <v>2.16</v>
      </c>
      <c r="K31" s="145">
        <f>'Maldives at LG Daily'!I34</f>
        <v>0</v>
      </c>
      <c r="L31" s="145">
        <f>'Maldives at LG Daily'!J34</f>
        <v>0</v>
      </c>
    </row>
    <row r="32" spans="1:12" ht="15" x14ac:dyDescent="0.25">
      <c r="A32" s="143" t="s">
        <v>121</v>
      </c>
      <c r="B32" s="143">
        <v>31</v>
      </c>
      <c r="C32" s="144">
        <v>7</v>
      </c>
      <c r="D32" s="143">
        <v>2021</v>
      </c>
      <c r="E32" s="145">
        <f>'Maldives at LG Daily'!D35</f>
        <v>0</v>
      </c>
      <c r="F32" s="146">
        <v>0.93</v>
      </c>
      <c r="G32" s="145">
        <f>'Maldives at LG Daily'!F35</f>
        <v>0</v>
      </c>
      <c r="H32" s="146">
        <v>1.24</v>
      </c>
      <c r="I32" s="145">
        <f>'Maldives at LG Daily'!H35</f>
        <v>0</v>
      </c>
      <c r="J32" s="146">
        <v>2.16</v>
      </c>
      <c r="K32" s="145">
        <f>'Maldives at LG Daily'!I35</f>
        <v>0</v>
      </c>
      <c r="L32" s="145">
        <f>'Maldives at LG Daily'!J35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tabSelected="1" topLeftCell="A13" zoomScale="85" zoomScaleNormal="85" workbookViewId="0">
      <pane xSplit="1" topLeftCell="B1" activePane="topRight" state="frozen"/>
      <selection pane="topRight" activeCell="J20" sqref="J20"/>
    </sheetView>
  </sheetViews>
  <sheetFormatPr defaultRowHeight="15" x14ac:dyDescent="0.25"/>
  <cols>
    <col min="1" max="1" width="14" style="199" customWidth="1"/>
    <col min="2" max="2" width="2" style="199" customWidth="1"/>
    <col min="3" max="3" width="11.85546875" style="217" customWidth="1"/>
    <col min="4" max="4" width="13.5703125" style="218" customWidth="1"/>
    <col min="5" max="5" width="14.85546875" style="199" customWidth="1"/>
    <col min="6" max="6" width="14.85546875" style="217" customWidth="1"/>
    <col min="7" max="7" width="8.85546875" style="199" customWidth="1"/>
    <col min="8" max="8" width="12.5703125" style="199" customWidth="1"/>
    <col min="9" max="10" width="13" style="221" customWidth="1"/>
    <col min="11" max="254" width="9.140625" style="199"/>
    <col min="255" max="255" width="14" style="199" customWidth="1"/>
    <col min="256" max="256" width="2" style="199" customWidth="1"/>
    <col min="257" max="257" width="11.85546875" style="199" customWidth="1"/>
    <col min="258" max="258" width="13.5703125" style="199" customWidth="1"/>
    <col min="259" max="260" width="13.85546875" style="199" customWidth="1"/>
    <col min="261" max="262" width="14.85546875" style="199" customWidth="1"/>
    <col min="263" max="263" width="8.85546875" style="199" customWidth="1"/>
    <col min="264" max="264" width="12.5703125" style="199" customWidth="1"/>
    <col min="265" max="266" width="13" style="199" customWidth="1"/>
    <col min="267" max="510" width="9.140625" style="199"/>
    <col min="511" max="511" width="14" style="199" customWidth="1"/>
    <col min="512" max="512" width="2" style="199" customWidth="1"/>
    <col min="513" max="513" width="11.85546875" style="199" customWidth="1"/>
    <col min="514" max="514" width="13.5703125" style="199" customWidth="1"/>
    <col min="515" max="516" width="13.85546875" style="199" customWidth="1"/>
    <col min="517" max="518" width="14.85546875" style="199" customWidth="1"/>
    <col min="519" max="519" width="8.85546875" style="199" customWidth="1"/>
    <col min="520" max="520" width="12.5703125" style="199" customWidth="1"/>
    <col min="521" max="522" width="13" style="199" customWidth="1"/>
    <col min="523" max="766" width="9.140625" style="199"/>
    <col min="767" max="767" width="14" style="199" customWidth="1"/>
    <col min="768" max="768" width="2" style="199" customWidth="1"/>
    <col min="769" max="769" width="11.85546875" style="199" customWidth="1"/>
    <col min="770" max="770" width="13.5703125" style="199" customWidth="1"/>
    <col min="771" max="772" width="13.85546875" style="199" customWidth="1"/>
    <col min="773" max="774" width="14.85546875" style="199" customWidth="1"/>
    <col min="775" max="775" width="8.85546875" style="199" customWidth="1"/>
    <col min="776" max="776" width="12.5703125" style="199" customWidth="1"/>
    <col min="777" max="778" width="13" style="199" customWidth="1"/>
    <col min="779" max="1022" width="9.140625" style="199"/>
    <col min="1023" max="1023" width="14" style="199" customWidth="1"/>
    <col min="1024" max="1024" width="2" style="199" customWidth="1"/>
    <col min="1025" max="1025" width="11.85546875" style="199" customWidth="1"/>
    <col min="1026" max="1026" width="13.5703125" style="199" customWidth="1"/>
    <col min="1027" max="1028" width="13.85546875" style="199" customWidth="1"/>
    <col min="1029" max="1030" width="14.85546875" style="199" customWidth="1"/>
    <col min="1031" max="1031" width="8.85546875" style="199" customWidth="1"/>
    <col min="1032" max="1032" width="12.5703125" style="199" customWidth="1"/>
    <col min="1033" max="1034" width="13" style="199" customWidth="1"/>
    <col min="1035" max="1278" width="9.140625" style="199"/>
    <col min="1279" max="1279" width="14" style="199" customWidth="1"/>
    <col min="1280" max="1280" width="2" style="199" customWidth="1"/>
    <col min="1281" max="1281" width="11.85546875" style="199" customWidth="1"/>
    <col min="1282" max="1282" width="13.5703125" style="199" customWidth="1"/>
    <col min="1283" max="1284" width="13.85546875" style="199" customWidth="1"/>
    <col min="1285" max="1286" width="14.85546875" style="199" customWidth="1"/>
    <col min="1287" max="1287" width="8.85546875" style="199" customWidth="1"/>
    <col min="1288" max="1288" width="12.5703125" style="199" customWidth="1"/>
    <col min="1289" max="1290" width="13" style="199" customWidth="1"/>
    <col min="1291" max="1534" width="9.140625" style="199"/>
    <col min="1535" max="1535" width="14" style="199" customWidth="1"/>
    <col min="1536" max="1536" width="2" style="199" customWidth="1"/>
    <col min="1537" max="1537" width="11.85546875" style="199" customWidth="1"/>
    <col min="1538" max="1538" width="13.5703125" style="199" customWidth="1"/>
    <col min="1539" max="1540" width="13.85546875" style="199" customWidth="1"/>
    <col min="1541" max="1542" width="14.85546875" style="199" customWidth="1"/>
    <col min="1543" max="1543" width="8.85546875" style="199" customWidth="1"/>
    <col min="1544" max="1544" width="12.5703125" style="199" customWidth="1"/>
    <col min="1545" max="1546" width="13" style="199" customWidth="1"/>
    <col min="1547" max="1790" width="9.140625" style="199"/>
    <col min="1791" max="1791" width="14" style="199" customWidth="1"/>
    <col min="1792" max="1792" width="2" style="199" customWidth="1"/>
    <col min="1793" max="1793" width="11.85546875" style="199" customWidth="1"/>
    <col min="1794" max="1794" width="13.5703125" style="199" customWidth="1"/>
    <col min="1795" max="1796" width="13.85546875" style="199" customWidth="1"/>
    <col min="1797" max="1798" width="14.85546875" style="199" customWidth="1"/>
    <col min="1799" max="1799" width="8.85546875" style="199" customWidth="1"/>
    <col min="1800" max="1800" width="12.5703125" style="199" customWidth="1"/>
    <col min="1801" max="1802" width="13" style="199" customWidth="1"/>
    <col min="1803" max="2046" width="9.140625" style="199"/>
    <col min="2047" max="2047" width="14" style="199" customWidth="1"/>
    <col min="2048" max="2048" width="2" style="199" customWidth="1"/>
    <col min="2049" max="2049" width="11.85546875" style="199" customWidth="1"/>
    <col min="2050" max="2050" width="13.5703125" style="199" customWidth="1"/>
    <col min="2051" max="2052" width="13.85546875" style="199" customWidth="1"/>
    <col min="2053" max="2054" width="14.85546875" style="199" customWidth="1"/>
    <col min="2055" max="2055" width="8.85546875" style="199" customWidth="1"/>
    <col min="2056" max="2056" width="12.5703125" style="199" customWidth="1"/>
    <col min="2057" max="2058" width="13" style="199" customWidth="1"/>
    <col min="2059" max="2302" width="9.140625" style="199"/>
    <col min="2303" max="2303" width="14" style="199" customWidth="1"/>
    <col min="2304" max="2304" width="2" style="199" customWidth="1"/>
    <col min="2305" max="2305" width="11.85546875" style="199" customWidth="1"/>
    <col min="2306" max="2306" width="13.5703125" style="199" customWidth="1"/>
    <col min="2307" max="2308" width="13.85546875" style="199" customWidth="1"/>
    <col min="2309" max="2310" width="14.85546875" style="199" customWidth="1"/>
    <col min="2311" max="2311" width="8.85546875" style="199" customWidth="1"/>
    <col min="2312" max="2312" width="12.5703125" style="199" customWidth="1"/>
    <col min="2313" max="2314" width="13" style="199" customWidth="1"/>
    <col min="2315" max="2558" width="9.140625" style="199"/>
    <col min="2559" max="2559" width="14" style="199" customWidth="1"/>
    <col min="2560" max="2560" width="2" style="199" customWidth="1"/>
    <col min="2561" max="2561" width="11.85546875" style="199" customWidth="1"/>
    <col min="2562" max="2562" width="13.5703125" style="199" customWidth="1"/>
    <col min="2563" max="2564" width="13.85546875" style="199" customWidth="1"/>
    <col min="2565" max="2566" width="14.85546875" style="199" customWidth="1"/>
    <col min="2567" max="2567" width="8.85546875" style="199" customWidth="1"/>
    <col min="2568" max="2568" width="12.5703125" style="199" customWidth="1"/>
    <col min="2569" max="2570" width="13" style="199" customWidth="1"/>
    <col min="2571" max="2814" width="9.140625" style="199"/>
    <col min="2815" max="2815" width="14" style="199" customWidth="1"/>
    <col min="2816" max="2816" width="2" style="199" customWidth="1"/>
    <col min="2817" max="2817" width="11.85546875" style="199" customWidth="1"/>
    <col min="2818" max="2818" width="13.5703125" style="199" customWidth="1"/>
    <col min="2819" max="2820" width="13.85546875" style="199" customWidth="1"/>
    <col min="2821" max="2822" width="14.85546875" style="199" customWidth="1"/>
    <col min="2823" max="2823" width="8.85546875" style="199" customWidth="1"/>
    <col min="2824" max="2824" width="12.5703125" style="199" customWidth="1"/>
    <col min="2825" max="2826" width="13" style="199" customWidth="1"/>
    <col min="2827" max="3070" width="9.140625" style="199"/>
    <col min="3071" max="3071" width="14" style="199" customWidth="1"/>
    <col min="3072" max="3072" width="2" style="199" customWidth="1"/>
    <col min="3073" max="3073" width="11.85546875" style="199" customWidth="1"/>
    <col min="3074" max="3074" width="13.5703125" style="199" customWidth="1"/>
    <col min="3075" max="3076" width="13.85546875" style="199" customWidth="1"/>
    <col min="3077" max="3078" width="14.85546875" style="199" customWidth="1"/>
    <col min="3079" max="3079" width="8.85546875" style="199" customWidth="1"/>
    <col min="3080" max="3080" width="12.5703125" style="199" customWidth="1"/>
    <col min="3081" max="3082" width="13" style="199" customWidth="1"/>
    <col min="3083" max="3326" width="9.140625" style="199"/>
    <col min="3327" max="3327" width="14" style="199" customWidth="1"/>
    <col min="3328" max="3328" width="2" style="199" customWidth="1"/>
    <col min="3329" max="3329" width="11.85546875" style="199" customWidth="1"/>
    <col min="3330" max="3330" width="13.5703125" style="199" customWidth="1"/>
    <col min="3331" max="3332" width="13.85546875" style="199" customWidth="1"/>
    <col min="3333" max="3334" width="14.85546875" style="199" customWidth="1"/>
    <col min="3335" max="3335" width="8.85546875" style="199" customWidth="1"/>
    <col min="3336" max="3336" width="12.5703125" style="199" customWidth="1"/>
    <col min="3337" max="3338" width="13" style="199" customWidth="1"/>
    <col min="3339" max="3582" width="9.140625" style="199"/>
    <col min="3583" max="3583" width="14" style="199" customWidth="1"/>
    <col min="3584" max="3584" width="2" style="199" customWidth="1"/>
    <col min="3585" max="3585" width="11.85546875" style="199" customWidth="1"/>
    <col min="3586" max="3586" width="13.5703125" style="199" customWidth="1"/>
    <col min="3587" max="3588" width="13.85546875" style="199" customWidth="1"/>
    <col min="3589" max="3590" width="14.85546875" style="199" customWidth="1"/>
    <col min="3591" max="3591" width="8.85546875" style="199" customWidth="1"/>
    <col min="3592" max="3592" width="12.5703125" style="199" customWidth="1"/>
    <col min="3593" max="3594" width="13" style="199" customWidth="1"/>
    <col min="3595" max="3838" width="9.140625" style="199"/>
    <col min="3839" max="3839" width="14" style="199" customWidth="1"/>
    <col min="3840" max="3840" width="2" style="199" customWidth="1"/>
    <col min="3841" max="3841" width="11.85546875" style="199" customWidth="1"/>
    <col min="3842" max="3842" width="13.5703125" style="199" customWidth="1"/>
    <col min="3843" max="3844" width="13.85546875" style="199" customWidth="1"/>
    <col min="3845" max="3846" width="14.85546875" style="199" customWidth="1"/>
    <col min="3847" max="3847" width="8.85546875" style="199" customWidth="1"/>
    <col min="3848" max="3848" width="12.5703125" style="199" customWidth="1"/>
    <col min="3849" max="3850" width="13" style="199" customWidth="1"/>
    <col min="3851" max="4094" width="9.140625" style="199"/>
    <col min="4095" max="4095" width="14" style="199" customWidth="1"/>
    <col min="4096" max="4096" width="2" style="199" customWidth="1"/>
    <col min="4097" max="4097" width="11.85546875" style="199" customWidth="1"/>
    <col min="4098" max="4098" width="13.5703125" style="199" customWidth="1"/>
    <col min="4099" max="4100" width="13.85546875" style="199" customWidth="1"/>
    <col min="4101" max="4102" width="14.85546875" style="199" customWidth="1"/>
    <col min="4103" max="4103" width="8.85546875" style="199" customWidth="1"/>
    <col min="4104" max="4104" width="12.5703125" style="199" customWidth="1"/>
    <col min="4105" max="4106" width="13" style="199" customWidth="1"/>
    <col min="4107" max="4350" width="9.140625" style="199"/>
    <col min="4351" max="4351" width="14" style="199" customWidth="1"/>
    <col min="4352" max="4352" width="2" style="199" customWidth="1"/>
    <col min="4353" max="4353" width="11.85546875" style="199" customWidth="1"/>
    <col min="4354" max="4354" width="13.5703125" style="199" customWidth="1"/>
    <col min="4355" max="4356" width="13.85546875" style="199" customWidth="1"/>
    <col min="4357" max="4358" width="14.85546875" style="199" customWidth="1"/>
    <col min="4359" max="4359" width="8.85546875" style="199" customWidth="1"/>
    <col min="4360" max="4360" width="12.5703125" style="199" customWidth="1"/>
    <col min="4361" max="4362" width="13" style="199" customWidth="1"/>
    <col min="4363" max="4606" width="9.140625" style="199"/>
    <col min="4607" max="4607" width="14" style="199" customWidth="1"/>
    <col min="4608" max="4608" width="2" style="199" customWidth="1"/>
    <col min="4609" max="4609" width="11.85546875" style="199" customWidth="1"/>
    <col min="4610" max="4610" width="13.5703125" style="199" customWidth="1"/>
    <col min="4611" max="4612" width="13.85546875" style="199" customWidth="1"/>
    <col min="4613" max="4614" width="14.85546875" style="199" customWidth="1"/>
    <col min="4615" max="4615" width="8.85546875" style="199" customWidth="1"/>
    <col min="4616" max="4616" width="12.5703125" style="199" customWidth="1"/>
    <col min="4617" max="4618" width="13" style="199" customWidth="1"/>
    <col min="4619" max="4862" width="9.140625" style="199"/>
    <col min="4863" max="4863" width="14" style="199" customWidth="1"/>
    <col min="4864" max="4864" width="2" style="199" customWidth="1"/>
    <col min="4865" max="4865" width="11.85546875" style="199" customWidth="1"/>
    <col min="4866" max="4866" width="13.5703125" style="199" customWidth="1"/>
    <col min="4867" max="4868" width="13.85546875" style="199" customWidth="1"/>
    <col min="4869" max="4870" width="14.85546875" style="199" customWidth="1"/>
    <col min="4871" max="4871" width="8.85546875" style="199" customWidth="1"/>
    <col min="4872" max="4872" width="12.5703125" style="199" customWidth="1"/>
    <col min="4873" max="4874" width="13" style="199" customWidth="1"/>
    <col min="4875" max="5118" width="9.140625" style="199"/>
    <col min="5119" max="5119" width="14" style="199" customWidth="1"/>
    <col min="5120" max="5120" width="2" style="199" customWidth="1"/>
    <col min="5121" max="5121" width="11.85546875" style="199" customWidth="1"/>
    <col min="5122" max="5122" width="13.5703125" style="199" customWidth="1"/>
    <col min="5123" max="5124" width="13.85546875" style="199" customWidth="1"/>
    <col min="5125" max="5126" width="14.85546875" style="199" customWidth="1"/>
    <col min="5127" max="5127" width="8.85546875" style="199" customWidth="1"/>
    <col min="5128" max="5128" width="12.5703125" style="199" customWidth="1"/>
    <col min="5129" max="5130" width="13" style="199" customWidth="1"/>
    <col min="5131" max="5374" width="9.140625" style="199"/>
    <col min="5375" max="5375" width="14" style="199" customWidth="1"/>
    <col min="5376" max="5376" width="2" style="199" customWidth="1"/>
    <col min="5377" max="5377" width="11.85546875" style="199" customWidth="1"/>
    <col min="5378" max="5378" width="13.5703125" style="199" customWidth="1"/>
    <col min="5379" max="5380" width="13.85546875" style="199" customWidth="1"/>
    <col min="5381" max="5382" width="14.85546875" style="199" customWidth="1"/>
    <col min="5383" max="5383" width="8.85546875" style="199" customWidth="1"/>
    <col min="5384" max="5384" width="12.5703125" style="199" customWidth="1"/>
    <col min="5385" max="5386" width="13" style="199" customWidth="1"/>
    <col min="5387" max="5630" width="9.140625" style="199"/>
    <col min="5631" max="5631" width="14" style="199" customWidth="1"/>
    <col min="5632" max="5632" width="2" style="199" customWidth="1"/>
    <col min="5633" max="5633" width="11.85546875" style="199" customWidth="1"/>
    <col min="5634" max="5634" width="13.5703125" style="199" customWidth="1"/>
    <col min="5635" max="5636" width="13.85546875" style="199" customWidth="1"/>
    <col min="5637" max="5638" width="14.85546875" style="199" customWidth="1"/>
    <col min="5639" max="5639" width="8.85546875" style="199" customWidth="1"/>
    <col min="5640" max="5640" width="12.5703125" style="199" customWidth="1"/>
    <col min="5641" max="5642" width="13" style="199" customWidth="1"/>
    <col min="5643" max="5886" width="9.140625" style="199"/>
    <col min="5887" max="5887" width="14" style="199" customWidth="1"/>
    <col min="5888" max="5888" width="2" style="199" customWidth="1"/>
    <col min="5889" max="5889" width="11.85546875" style="199" customWidth="1"/>
    <col min="5890" max="5890" width="13.5703125" style="199" customWidth="1"/>
    <col min="5891" max="5892" width="13.85546875" style="199" customWidth="1"/>
    <col min="5893" max="5894" width="14.85546875" style="199" customWidth="1"/>
    <col min="5895" max="5895" width="8.85546875" style="199" customWidth="1"/>
    <col min="5896" max="5896" width="12.5703125" style="199" customWidth="1"/>
    <col min="5897" max="5898" width="13" style="199" customWidth="1"/>
    <col min="5899" max="6142" width="9.140625" style="199"/>
    <col min="6143" max="6143" width="14" style="199" customWidth="1"/>
    <col min="6144" max="6144" width="2" style="199" customWidth="1"/>
    <col min="6145" max="6145" width="11.85546875" style="199" customWidth="1"/>
    <col min="6146" max="6146" width="13.5703125" style="199" customWidth="1"/>
    <col min="6147" max="6148" width="13.85546875" style="199" customWidth="1"/>
    <col min="6149" max="6150" width="14.85546875" style="199" customWidth="1"/>
    <col min="6151" max="6151" width="8.85546875" style="199" customWidth="1"/>
    <col min="6152" max="6152" width="12.5703125" style="199" customWidth="1"/>
    <col min="6153" max="6154" width="13" style="199" customWidth="1"/>
    <col min="6155" max="6398" width="9.140625" style="199"/>
    <col min="6399" max="6399" width="14" style="199" customWidth="1"/>
    <col min="6400" max="6400" width="2" style="199" customWidth="1"/>
    <col min="6401" max="6401" width="11.85546875" style="199" customWidth="1"/>
    <col min="6402" max="6402" width="13.5703125" style="199" customWidth="1"/>
    <col min="6403" max="6404" width="13.85546875" style="199" customWidth="1"/>
    <col min="6405" max="6406" width="14.85546875" style="199" customWidth="1"/>
    <col min="6407" max="6407" width="8.85546875" style="199" customWidth="1"/>
    <col min="6408" max="6408" width="12.5703125" style="199" customWidth="1"/>
    <col min="6409" max="6410" width="13" style="199" customWidth="1"/>
    <col min="6411" max="6654" width="9.140625" style="199"/>
    <col min="6655" max="6655" width="14" style="199" customWidth="1"/>
    <col min="6656" max="6656" width="2" style="199" customWidth="1"/>
    <col min="6657" max="6657" width="11.85546875" style="199" customWidth="1"/>
    <col min="6658" max="6658" width="13.5703125" style="199" customWidth="1"/>
    <col min="6659" max="6660" width="13.85546875" style="199" customWidth="1"/>
    <col min="6661" max="6662" width="14.85546875" style="199" customWidth="1"/>
    <col min="6663" max="6663" width="8.85546875" style="199" customWidth="1"/>
    <col min="6664" max="6664" width="12.5703125" style="199" customWidth="1"/>
    <col min="6665" max="6666" width="13" style="199" customWidth="1"/>
    <col min="6667" max="6910" width="9.140625" style="199"/>
    <col min="6911" max="6911" width="14" style="199" customWidth="1"/>
    <col min="6912" max="6912" width="2" style="199" customWidth="1"/>
    <col min="6913" max="6913" width="11.85546875" style="199" customWidth="1"/>
    <col min="6914" max="6914" width="13.5703125" style="199" customWidth="1"/>
    <col min="6915" max="6916" width="13.85546875" style="199" customWidth="1"/>
    <col min="6917" max="6918" width="14.85546875" style="199" customWidth="1"/>
    <col min="6919" max="6919" width="8.85546875" style="199" customWidth="1"/>
    <col min="6920" max="6920" width="12.5703125" style="199" customWidth="1"/>
    <col min="6921" max="6922" width="13" style="199" customWidth="1"/>
    <col min="6923" max="7166" width="9.140625" style="199"/>
    <col min="7167" max="7167" width="14" style="199" customWidth="1"/>
    <col min="7168" max="7168" width="2" style="199" customWidth="1"/>
    <col min="7169" max="7169" width="11.85546875" style="199" customWidth="1"/>
    <col min="7170" max="7170" width="13.5703125" style="199" customWidth="1"/>
    <col min="7171" max="7172" width="13.85546875" style="199" customWidth="1"/>
    <col min="7173" max="7174" width="14.85546875" style="199" customWidth="1"/>
    <col min="7175" max="7175" width="8.85546875" style="199" customWidth="1"/>
    <col min="7176" max="7176" width="12.5703125" style="199" customWidth="1"/>
    <col min="7177" max="7178" width="13" style="199" customWidth="1"/>
    <col min="7179" max="7422" width="9.140625" style="199"/>
    <col min="7423" max="7423" width="14" style="199" customWidth="1"/>
    <col min="7424" max="7424" width="2" style="199" customWidth="1"/>
    <col min="7425" max="7425" width="11.85546875" style="199" customWidth="1"/>
    <col min="7426" max="7426" width="13.5703125" style="199" customWidth="1"/>
    <col min="7427" max="7428" width="13.85546875" style="199" customWidth="1"/>
    <col min="7429" max="7430" width="14.85546875" style="199" customWidth="1"/>
    <col min="7431" max="7431" width="8.85546875" style="199" customWidth="1"/>
    <col min="7432" max="7432" width="12.5703125" style="199" customWidth="1"/>
    <col min="7433" max="7434" width="13" style="199" customWidth="1"/>
    <col min="7435" max="7678" width="9.140625" style="199"/>
    <col min="7679" max="7679" width="14" style="199" customWidth="1"/>
    <col min="7680" max="7680" width="2" style="199" customWidth="1"/>
    <col min="7681" max="7681" width="11.85546875" style="199" customWidth="1"/>
    <col min="7682" max="7682" width="13.5703125" style="199" customWidth="1"/>
    <col min="7683" max="7684" width="13.85546875" style="199" customWidth="1"/>
    <col min="7685" max="7686" width="14.85546875" style="199" customWidth="1"/>
    <col min="7687" max="7687" width="8.85546875" style="199" customWidth="1"/>
    <col min="7688" max="7688" width="12.5703125" style="199" customWidth="1"/>
    <col min="7689" max="7690" width="13" style="199" customWidth="1"/>
    <col min="7691" max="7934" width="9.140625" style="199"/>
    <col min="7935" max="7935" width="14" style="199" customWidth="1"/>
    <col min="7936" max="7936" width="2" style="199" customWidth="1"/>
    <col min="7937" max="7937" width="11.85546875" style="199" customWidth="1"/>
    <col min="7938" max="7938" width="13.5703125" style="199" customWidth="1"/>
    <col min="7939" max="7940" width="13.85546875" style="199" customWidth="1"/>
    <col min="7941" max="7942" width="14.85546875" style="199" customWidth="1"/>
    <col min="7943" max="7943" width="8.85546875" style="199" customWidth="1"/>
    <col min="7944" max="7944" width="12.5703125" style="199" customWidth="1"/>
    <col min="7945" max="7946" width="13" style="199" customWidth="1"/>
    <col min="7947" max="8190" width="9.140625" style="199"/>
    <col min="8191" max="8191" width="14" style="199" customWidth="1"/>
    <col min="8192" max="8192" width="2" style="199" customWidth="1"/>
    <col min="8193" max="8193" width="11.85546875" style="199" customWidth="1"/>
    <col min="8194" max="8194" width="13.5703125" style="199" customWidth="1"/>
    <col min="8195" max="8196" width="13.85546875" style="199" customWidth="1"/>
    <col min="8197" max="8198" width="14.85546875" style="199" customWidth="1"/>
    <col min="8199" max="8199" width="8.85546875" style="199" customWidth="1"/>
    <col min="8200" max="8200" width="12.5703125" style="199" customWidth="1"/>
    <col min="8201" max="8202" width="13" style="199" customWidth="1"/>
    <col min="8203" max="8446" width="9.140625" style="199"/>
    <col min="8447" max="8447" width="14" style="199" customWidth="1"/>
    <col min="8448" max="8448" width="2" style="199" customWidth="1"/>
    <col min="8449" max="8449" width="11.85546875" style="199" customWidth="1"/>
    <col min="8450" max="8450" width="13.5703125" style="199" customWidth="1"/>
    <col min="8451" max="8452" width="13.85546875" style="199" customWidth="1"/>
    <col min="8453" max="8454" width="14.85546875" style="199" customWidth="1"/>
    <col min="8455" max="8455" width="8.85546875" style="199" customWidth="1"/>
    <col min="8456" max="8456" width="12.5703125" style="199" customWidth="1"/>
    <col min="8457" max="8458" width="13" style="199" customWidth="1"/>
    <col min="8459" max="8702" width="9.140625" style="199"/>
    <col min="8703" max="8703" width="14" style="199" customWidth="1"/>
    <col min="8704" max="8704" width="2" style="199" customWidth="1"/>
    <col min="8705" max="8705" width="11.85546875" style="199" customWidth="1"/>
    <col min="8706" max="8706" width="13.5703125" style="199" customWidth="1"/>
    <col min="8707" max="8708" width="13.85546875" style="199" customWidth="1"/>
    <col min="8709" max="8710" width="14.85546875" style="199" customWidth="1"/>
    <col min="8711" max="8711" width="8.85546875" style="199" customWidth="1"/>
    <col min="8712" max="8712" width="12.5703125" style="199" customWidth="1"/>
    <col min="8713" max="8714" width="13" style="199" customWidth="1"/>
    <col min="8715" max="8958" width="9.140625" style="199"/>
    <col min="8959" max="8959" width="14" style="199" customWidth="1"/>
    <col min="8960" max="8960" width="2" style="199" customWidth="1"/>
    <col min="8961" max="8961" width="11.85546875" style="199" customWidth="1"/>
    <col min="8962" max="8962" width="13.5703125" style="199" customWidth="1"/>
    <col min="8963" max="8964" width="13.85546875" style="199" customWidth="1"/>
    <col min="8965" max="8966" width="14.85546875" style="199" customWidth="1"/>
    <col min="8967" max="8967" width="8.85546875" style="199" customWidth="1"/>
    <col min="8968" max="8968" width="12.5703125" style="199" customWidth="1"/>
    <col min="8969" max="8970" width="13" style="199" customWidth="1"/>
    <col min="8971" max="9214" width="9.140625" style="199"/>
    <col min="9215" max="9215" width="14" style="199" customWidth="1"/>
    <col min="9216" max="9216" width="2" style="199" customWidth="1"/>
    <col min="9217" max="9217" width="11.85546875" style="199" customWidth="1"/>
    <col min="9218" max="9218" width="13.5703125" style="199" customWidth="1"/>
    <col min="9219" max="9220" width="13.85546875" style="199" customWidth="1"/>
    <col min="9221" max="9222" width="14.85546875" style="199" customWidth="1"/>
    <col min="9223" max="9223" width="8.85546875" style="199" customWidth="1"/>
    <col min="9224" max="9224" width="12.5703125" style="199" customWidth="1"/>
    <col min="9225" max="9226" width="13" style="199" customWidth="1"/>
    <col min="9227" max="9470" width="9.140625" style="199"/>
    <col min="9471" max="9471" width="14" style="199" customWidth="1"/>
    <col min="9472" max="9472" width="2" style="199" customWidth="1"/>
    <col min="9473" max="9473" width="11.85546875" style="199" customWidth="1"/>
    <col min="9474" max="9474" width="13.5703125" style="199" customWidth="1"/>
    <col min="9475" max="9476" width="13.85546875" style="199" customWidth="1"/>
    <col min="9477" max="9478" width="14.85546875" style="199" customWidth="1"/>
    <col min="9479" max="9479" width="8.85546875" style="199" customWidth="1"/>
    <col min="9480" max="9480" width="12.5703125" style="199" customWidth="1"/>
    <col min="9481" max="9482" width="13" style="199" customWidth="1"/>
    <col min="9483" max="9726" width="9.140625" style="199"/>
    <col min="9727" max="9727" width="14" style="199" customWidth="1"/>
    <col min="9728" max="9728" width="2" style="199" customWidth="1"/>
    <col min="9729" max="9729" width="11.85546875" style="199" customWidth="1"/>
    <col min="9730" max="9730" width="13.5703125" style="199" customWidth="1"/>
    <col min="9731" max="9732" width="13.85546875" style="199" customWidth="1"/>
    <col min="9733" max="9734" width="14.85546875" style="199" customWidth="1"/>
    <col min="9735" max="9735" width="8.85546875" style="199" customWidth="1"/>
    <col min="9736" max="9736" width="12.5703125" style="199" customWidth="1"/>
    <col min="9737" max="9738" width="13" style="199" customWidth="1"/>
    <col min="9739" max="9982" width="9.140625" style="199"/>
    <col min="9983" max="9983" width="14" style="199" customWidth="1"/>
    <col min="9984" max="9984" width="2" style="199" customWidth="1"/>
    <col min="9985" max="9985" width="11.85546875" style="199" customWidth="1"/>
    <col min="9986" max="9986" width="13.5703125" style="199" customWidth="1"/>
    <col min="9987" max="9988" width="13.85546875" style="199" customWidth="1"/>
    <col min="9989" max="9990" width="14.85546875" style="199" customWidth="1"/>
    <col min="9991" max="9991" width="8.85546875" style="199" customWidth="1"/>
    <col min="9992" max="9992" width="12.5703125" style="199" customWidth="1"/>
    <col min="9993" max="9994" width="13" style="199" customWidth="1"/>
    <col min="9995" max="10238" width="9.140625" style="199"/>
    <col min="10239" max="10239" width="14" style="199" customWidth="1"/>
    <col min="10240" max="10240" width="2" style="199" customWidth="1"/>
    <col min="10241" max="10241" width="11.85546875" style="199" customWidth="1"/>
    <col min="10242" max="10242" width="13.5703125" style="199" customWidth="1"/>
    <col min="10243" max="10244" width="13.85546875" style="199" customWidth="1"/>
    <col min="10245" max="10246" width="14.85546875" style="199" customWidth="1"/>
    <col min="10247" max="10247" width="8.85546875" style="199" customWidth="1"/>
    <col min="10248" max="10248" width="12.5703125" style="199" customWidth="1"/>
    <col min="10249" max="10250" width="13" style="199" customWidth="1"/>
    <col min="10251" max="10494" width="9.140625" style="199"/>
    <col min="10495" max="10495" width="14" style="199" customWidth="1"/>
    <col min="10496" max="10496" width="2" style="199" customWidth="1"/>
    <col min="10497" max="10497" width="11.85546875" style="199" customWidth="1"/>
    <col min="10498" max="10498" width="13.5703125" style="199" customWidth="1"/>
    <col min="10499" max="10500" width="13.85546875" style="199" customWidth="1"/>
    <col min="10501" max="10502" width="14.85546875" style="199" customWidth="1"/>
    <col min="10503" max="10503" width="8.85546875" style="199" customWidth="1"/>
    <col min="10504" max="10504" width="12.5703125" style="199" customWidth="1"/>
    <col min="10505" max="10506" width="13" style="199" customWidth="1"/>
    <col min="10507" max="10750" width="9.140625" style="199"/>
    <col min="10751" max="10751" width="14" style="199" customWidth="1"/>
    <col min="10752" max="10752" width="2" style="199" customWidth="1"/>
    <col min="10753" max="10753" width="11.85546875" style="199" customWidth="1"/>
    <col min="10754" max="10754" width="13.5703125" style="199" customWidth="1"/>
    <col min="10755" max="10756" width="13.85546875" style="199" customWidth="1"/>
    <col min="10757" max="10758" width="14.85546875" style="199" customWidth="1"/>
    <col min="10759" max="10759" width="8.85546875" style="199" customWidth="1"/>
    <col min="10760" max="10760" width="12.5703125" style="199" customWidth="1"/>
    <col min="10761" max="10762" width="13" style="199" customWidth="1"/>
    <col min="10763" max="11006" width="9.140625" style="199"/>
    <col min="11007" max="11007" width="14" style="199" customWidth="1"/>
    <col min="11008" max="11008" width="2" style="199" customWidth="1"/>
    <col min="11009" max="11009" width="11.85546875" style="199" customWidth="1"/>
    <col min="11010" max="11010" width="13.5703125" style="199" customWidth="1"/>
    <col min="11011" max="11012" width="13.85546875" style="199" customWidth="1"/>
    <col min="11013" max="11014" width="14.85546875" style="199" customWidth="1"/>
    <col min="11015" max="11015" width="8.85546875" style="199" customWidth="1"/>
    <col min="11016" max="11016" width="12.5703125" style="199" customWidth="1"/>
    <col min="11017" max="11018" width="13" style="199" customWidth="1"/>
    <col min="11019" max="11262" width="9.140625" style="199"/>
    <col min="11263" max="11263" width="14" style="199" customWidth="1"/>
    <col min="11264" max="11264" width="2" style="199" customWidth="1"/>
    <col min="11265" max="11265" width="11.85546875" style="199" customWidth="1"/>
    <col min="11266" max="11266" width="13.5703125" style="199" customWidth="1"/>
    <col min="11267" max="11268" width="13.85546875" style="199" customWidth="1"/>
    <col min="11269" max="11270" width="14.85546875" style="199" customWidth="1"/>
    <col min="11271" max="11271" width="8.85546875" style="199" customWidth="1"/>
    <col min="11272" max="11272" width="12.5703125" style="199" customWidth="1"/>
    <col min="11273" max="11274" width="13" style="199" customWidth="1"/>
    <col min="11275" max="11518" width="9.140625" style="199"/>
    <col min="11519" max="11519" width="14" style="199" customWidth="1"/>
    <col min="11520" max="11520" width="2" style="199" customWidth="1"/>
    <col min="11521" max="11521" width="11.85546875" style="199" customWidth="1"/>
    <col min="11522" max="11522" width="13.5703125" style="199" customWidth="1"/>
    <col min="11523" max="11524" width="13.85546875" style="199" customWidth="1"/>
    <col min="11525" max="11526" width="14.85546875" style="199" customWidth="1"/>
    <col min="11527" max="11527" width="8.85546875" style="199" customWidth="1"/>
    <col min="11528" max="11528" width="12.5703125" style="199" customWidth="1"/>
    <col min="11529" max="11530" width="13" style="199" customWidth="1"/>
    <col min="11531" max="11774" width="9.140625" style="199"/>
    <col min="11775" max="11775" width="14" style="199" customWidth="1"/>
    <col min="11776" max="11776" width="2" style="199" customWidth="1"/>
    <col min="11777" max="11777" width="11.85546875" style="199" customWidth="1"/>
    <col min="11778" max="11778" width="13.5703125" style="199" customWidth="1"/>
    <col min="11779" max="11780" width="13.85546875" style="199" customWidth="1"/>
    <col min="11781" max="11782" width="14.85546875" style="199" customWidth="1"/>
    <col min="11783" max="11783" width="8.85546875" style="199" customWidth="1"/>
    <col min="11784" max="11784" width="12.5703125" style="199" customWidth="1"/>
    <col min="11785" max="11786" width="13" style="199" customWidth="1"/>
    <col min="11787" max="12030" width="9.140625" style="199"/>
    <col min="12031" max="12031" width="14" style="199" customWidth="1"/>
    <col min="12032" max="12032" width="2" style="199" customWidth="1"/>
    <col min="12033" max="12033" width="11.85546875" style="199" customWidth="1"/>
    <col min="12034" max="12034" width="13.5703125" style="199" customWidth="1"/>
    <col min="12035" max="12036" width="13.85546875" style="199" customWidth="1"/>
    <col min="12037" max="12038" width="14.85546875" style="199" customWidth="1"/>
    <col min="12039" max="12039" width="8.85546875" style="199" customWidth="1"/>
    <col min="12040" max="12040" width="12.5703125" style="199" customWidth="1"/>
    <col min="12041" max="12042" width="13" style="199" customWidth="1"/>
    <col min="12043" max="12286" width="9.140625" style="199"/>
    <col min="12287" max="12287" width="14" style="199" customWidth="1"/>
    <col min="12288" max="12288" width="2" style="199" customWidth="1"/>
    <col min="12289" max="12289" width="11.85546875" style="199" customWidth="1"/>
    <col min="12290" max="12290" width="13.5703125" style="199" customWidth="1"/>
    <col min="12291" max="12292" width="13.85546875" style="199" customWidth="1"/>
    <col min="12293" max="12294" width="14.85546875" style="199" customWidth="1"/>
    <col min="12295" max="12295" width="8.85546875" style="199" customWidth="1"/>
    <col min="12296" max="12296" width="12.5703125" style="199" customWidth="1"/>
    <col min="12297" max="12298" width="13" style="199" customWidth="1"/>
    <col min="12299" max="12542" width="9.140625" style="199"/>
    <col min="12543" max="12543" width="14" style="199" customWidth="1"/>
    <col min="12544" max="12544" width="2" style="199" customWidth="1"/>
    <col min="12545" max="12545" width="11.85546875" style="199" customWidth="1"/>
    <col min="12546" max="12546" width="13.5703125" style="199" customWidth="1"/>
    <col min="12547" max="12548" width="13.85546875" style="199" customWidth="1"/>
    <col min="12549" max="12550" width="14.85546875" style="199" customWidth="1"/>
    <col min="12551" max="12551" width="8.85546875" style="199" customWidth="1"/>
    <col min="12552" max="12552" width="12.5703125" style="199" customWidth="1"/>
    <col min="12553" max="12554" width="13" style="199" customWidth="1"/>
    <col min="12555" max="12798" width="9.140625" style="199"/>
    <col min="12799" max="12799" width="14" style="199" customWidth="1"/>
    <col min="12800" max="12800" width="2" style="199" customWidth="1"/>
    <col min="12801" max="12801" width="11.85546875" style="199" customWidth="1"/>
    <col min="12802" max="12802" width="13.5703125" style="199" customWidth="1"/>
    <col min="12803" max="12804" width="13.85546875" style="199" customWidth="1"/>
    <col min="12805" max="12806" width="14.85546875" style="199" customWidth="1"/>
    <col min="12807" max="12807" width="8.85546875" style="199" customWidth="1"/>
    <col min="12808" max="12808" width="12.5703125" style="199" customWidth="1"/>
    <col min="12809" max="12810" width="13" style="199" customWidth="1"/>
    <col min="12811" max="13054" width="9.140625" style="199"/>
    <col min="13055" max="13055" width="14" style="199" customWidth="1"/>
    <col min="13056" max="13056" width="2" style="199" customWidth="1"/>
    <col min="13057" max="13057" width="11.85546875" style="199" customWidth="1"/>
    <col min="13058" max="13058" width="13.5703125" style="199" customWidth="1"/>
    <col min="13059" max="13060" width="13.85546875" style="199" customWidth="1"/>
    <col min="13061" max="13062" width="14.85546875" style="199" customWidth="1"/>
    <col min="13063" max="13063" width="8.85546875" style="199" customWidth="1"/>
    <col min="13064" max="13064" width="12.5703125" style="199" customWidth="1"/>
    <col min="13065" max="13066" width="13" style="199" customWidth="1"/>
    <col min="13067" max="13310" width="9.140625" style="199"/>
    <col min="13311" max="13311" width="14" style="199" customWidth="1"/>
    <col min="13312" max="13312" width="2" style="199" customWidth="1"/>
    <col min="13313" max="13313" width="11.85546875" style="199" customWidth="1"/>
    <col min="13314" max="13314" width="13.5703125" style="199" customWidth="1"/>
    <col min="13315" max="13316" width="13.85546875" style="199" customWidth="1"/>
    <col min="13317" max="13318" width="14.85546875" style="199" customWidth="1"/>
    <col min="13319" max="13319" width="8.85546875" style="199" customWidth="1"/>
    <col min="13320" max="13320" width="12.5703125" style="199" customWidth="1"/>
    <col min="13321" max="13322" width="13" style="199" customWidth="1"/>
    <col min="13323" max="13566" width="9.140625" style="199"/>
    <col min="13567" max="13567" width="14" style="199" customWidth="1"/>
    <col min="13568" max="13568" width="2" style="199" customWidth="1"/>
    <col min="13569" max="13569" width="11.85546875" style="199" customWidth="1"/>
    <col min="13570" max="13570" width="13.5703125" style="199" customWidth="1"/>
    <col min="13571" max="13572" width="13.85546875" style="199" customWidth="1"/>
    <col min="13573" max="13574" width="14.85546875" style="199" customWidth="1"/>
    <col min="13575" max="13575" width="8.85546875" style="199" customWidth="1"/>
    <col min="13576" max="13576" width="12.5703125" style="199" customWidth="1"/>
    <col min="13577" max="13578" width="13" style="199" customWidth="1"/>
    <col min="13579" max="13822" width="9.140625" style="199"/>
    <col min="13823" max="13823" width="14" style="199" customWidth="1"/>
    <col min="13824" max="13824" width="2" style="199" customWidth="1"/>
    <col min="13825" max="13825" width="11.85546875" style="199" customWidth="1"/>
    <col min="13826" max="13826" width="13.5703125" style="199" customWidth="1"/>
    <col min="13827" max="13828" width="13.85546875" style="199" customWidth="1"/>
    <col min="13829" max="13830" width="14.85546875" style="199" customWidth="1"/>
    <col min="13831" max="13831" width="8.85546875" style="199" customWidth="1"/>
    <col min="13832" max="13832" width="12.5703125" style="199" customWidth="1"/>
    <col min="13833" max="13834" width="13" style="199" customWidth="1"/>
    <col min="13835" max="14078" width="9.140625" style="199"/>
    <col min="14079" max="14079" width="14" style="199" customWidth="1"/>
    <col min="14080" max="14080" width="2" style="199" customWidth="1"/>
    <col min="14081" max="14081" width="11.85546875" style="199" customWidth="1"/>
    <col min="14082" max="14082" width="13.5703125" style="199" customWidth="1"/>
    <col min="14083" max="14084" width="13.85546875" style="199" customWidth="1"/>
    <col min="14085" max="14086" width="14.85546875" style="199" customWidth="1"/>
    <col min="14087" max="14087" width="8.85546875" style="199" customWidth="1"/>
    <col min="14088" max="14088" width="12.5703125" style="199" customWidth="1"/>
    <col min="14089" max="14090" width="13" style="199" customWidth="1"/>
    <col min="14091" max="14334" width="9.140625" style="199"/>
    <col min="14335" max="14335" width="14" style="199" customWidth="1"/>
    <col min="14336" max="14336" width="2" style="199" customWidth="1"/>
    <col min="14337" max="14337" width="11.85546875" style="199" customWidth="1"/>
    <col min="14338" max="14338" width="13.5703125" style="199" customWidth="1"/>
    <col min="14339" max="14340" width="13.85546875" style="199" customWidth="1"/>
    <col min="14341" max="14342" width="14.85546875" style="199" customWidth="1"/>
    <col min="14343" max="14343" width="8.85546875" style="199" customWidth="1"/>
    <col min="14344" max="14344" width="12.5703125" style="199" customWidth="1"/>
    <col min="14345" max="14346" width="13" style="199" customWidth="1"/>
    <col min="14347" max="14590" width="9.140625" style="199"/>
    <col min="14591" max="14591" width="14" style="199" customWidth="1"/>
    <col min="14592" max="14592" width="2" style="199" customWidth="1"/>
    <col min="14593" max="14593" width="11.85546875" style="199" customWidth="1"/>
    <col min="14594" max="14594" width="13.5703125" style="199" customWidth="1"/>
    <col min="14595" max="14596" width="13.85546875" style="199" customWidth="1"/>
    <col min="14597" max="14598" width="14.85546875" style="199" customWidth="1"/>
    <col min="14599" max="14599" width="8.85546875" style="199" customWidth="1"/>
    <col min="14600" max="14600" width="12.5703125" style="199" customWidth="1"/>
    <col min="14601" max="14602" width="13" style="199" customWidth="1"/>
    <col min="14603" max="14846" width="9.140625" style="199"/>
    <col min="14847" max="14847" width="14" style="199" customWidth="1"/>
    <col min="14848" max="14848" width="2" style="199" customWidth="1"/>
    <col min="14849" max="14849" width="11.85546875" style="199" customWidth="1"/>
    <col min="14850" max="14850" width="13.5703125" style="199" customWidth="1"/>
    <col min="14851" max="14852" width="13.85546875" style="199" customWidth="1"/>
    <col min="14853" max="14854" width="14.85546875" style="199" customWidth="1"/>
    <col min="14855" max="14855" width="8.85546875" style="199" customWidth="1"/>
    <col min="14856" max="14856" width="12.5703125" style="199" customWidth="1"/>
    <col min="14857" max="14858" width="13" style="199" customWidth="1"/>
    <col min="14859" max="15102" width="9.140625" style="199"/>
    <col min="15103" max="15103" width="14" style="199" customWidth="1"/>
    <col min="15104" max="15104" width="2" style="199" customWidth="1"/>
    <col min="15105" max="15105" width="11.85546875" style="199" customWidth="1"/>
    <col min="15106" max="15106" width="13.5703125" style="199" customWidth="1"/>
    <col min="15107" max="15108" width="13.85546875" style="199" customWidth="1"/>
    <col min="15109" max="15110" width="14.85546875" style="199" customWidth="1"/>
    <col min="15111" max="15111" width="8.85546875" style="199" customWidth="1"/>
    <col min="15112" max="15112" width="12.5703125" style="199" customWidth="1"/>
    <col min="15113" max="15114" width="13" style="199" customWidth="1"/>
    <col min="15115" max="15358" width="9.140625" style="199"/>
    <col min="15359" max="15359" width="14" style="199" customWidth="1"/>
    <col min="15360" max="15360" width="2" style="199" customWidth="1"/>
    <col min="15361" max="15361" width="11.85546875" style="199" customWidth="1"/>
    <col min="15362" max="15362" width="13.5703125" style="199" customWidth="1"/>
    <col min="15363" max="15364" width="13.85546875" style="199" customWidth="1"/>
    <col min="15365" max="15366" width="14.85546875" style="199" customWidth="1"/>
    <col min="15367" max="15367" width="8.85546875" style="199" customWidth="1"/>
    <col min="15368" max="15368" width="12.5703125" style="199" customWidth="1"/>
    <col min="15369" max="15370" width="13" style="199" customWidth="1"/>
    <col min="15371" max="15614" width="9.140625" style="199"/>
    <col min="15615" max="15615" width="14" style="199" customWidth="1"/>
    <col min="15616" max="15616" width="2" style="199" customWidth="1"/>
    <col min="15617" max="15617" width="11.85546875" style="199" customWidth="1"/>
    <col min="15618" max="15618" width="13.5703125" style="199" customWidth="1"/>
    <col min="15619" max="15620" width="13.85546875" style="199" customWidth="1"/>
    <col min="15621" max="15622" width="14.85546875" style="199" customWidth="1"/>
    <col min="15623" max="15623" width="8.85546875" style="199" customWidth="1"/>
    <col min="15624" max="15624" width="12.5703125" style="199" customWidth="1"/>
    <col min="15625" max="15626" width="13" style="199" customWidth="1"/>
    <col min="15627" max="15870" width="9.140625" style="199"/>
    <col min="15871" max="15871" width="14" style="199" customWidth="1"/>
    <col min="15872" max="15872" width="2" style="199" customWidth="1"/>
    <col min="15873" max="15873" width="11.85546875" style="199" customWidth="1"/>
    <col min="15874" max="15874" width="13.5703125" style="199" customWidth="1"/>
    <col min="15875" max="15876" width="13.85546875" style="199" customWidth="1"/>
    <col min="15877" max="15878" width="14.85546875" style="199" customWidth="1"/>
    <col min="15879" max="15879" width="8.85546875" style="199" customWidth="1"/>
    <col min="15880" max="15880" width="12.5703125" style="199" customWidth="1"/>
    <col min="15881" max="15882" width="13" style="199" customWidth="1"/>
    <col min="15883" max="16126" width="9.140625" style="199"/>
    <col min="16127" max="16127" width="14" style="199" customWidth="1"/>
    <col min="16128" max="16128" width="2" style="199" customWidth="1"/>
    <col min="16129" max="16129" width="11.85546875" style="199" customWidth="1"/>
    <col min="16130" max="16130" width="13.5703125" style="199" customWidth="1"/>
    <col min="16131" max="16132" width="13.85546875" style="199" customWidth="1"/>
    <col min="16133" max="16134" width="14.85546875" style="199" customWidth="1"/>
    <col min="16135" max="16135" width="8.85546875" style="199" customWidth="1"/>
    <col min="16136" max="16136" width="12.5703125" style="199" customWidth="1"/>
    <col min="16137" max="16138" width="13" style="199" customWidth="1"/>
    <col min="16139" max="16384" width="9.140625" style="199"/>
  </cols>
  <sheetData>
    <row r="1" spans="1:10" ht="10.5" customHeight="1" thickBot="1" x14ac:dyDescent="0.45">
      <c r="A1" s="197"/>
      <c r="B1" s="332"/>
      <c r="C1" s="197"/>
      <c r="D1" s="198"/>
      <c r="E1" s="197"/>
      <c r="F1" s="197"/>
      <c r="G1" s="333"/>
      <c r="H1" s="333"/>
      <c r="I1" s="216"/>
      <c r="J1" s="216"/>
    </row>
    <row r="2" spans="1:10" ht="35.25" customHeight="1" thickBot="1" x14ac:dyDescent="0.3">
      <c r="A2" s="200" t="s">
        <v>100</v>
      </c>
      <c r="B2" s="332"/>
      <c r="C2" s="334" t="s">
        <v>101</v>
      </c>
      <c r="D2" s="335"/>
      <c r="E2" s="336" t="s">
        <v>102</v>
      </c>
      <c r="F2" s="336"/>
      <c r="G2" s="337" t="s">
        <v>103</v>
      </c>
      <c r="H2" s="338"/>
      <c r="I2" s="219"/>
      <c r="J2" s="219"/>
    </row>
    <row r="3" spans="1:10" ht="44.25" customHeight="1" x14ac:dyDescent="0.25">
      <c r="A3" s="201" t="s">
        <v>39</v>
      </c>
      <c r="B3" s="332"/>
      <c r="C3" s="202" t="s">
        <v>104</v>
      </c>
      <c r="D3" s="203" t="s">
        <v>105</v>
      </c>
      <c r="E3" s="204" t="s">
        <v>106</v>
      </c>
      <c r="F3" s="204" t="s">
        <v>107</v>
      </c>
      <c r="G3" s="204" t="s">
        <v>108</v>
      </c>
      <c r="H3" s="205" t="s">
        <v>109</v>
      </c>
      <c r="I3" s="220" t="s">
        <v>110</v>
      </c>
      <c r="J3" s="220" t="s">
        <v>111</v>
      </c>
    </row>
    <row r="4" spans="1:10" s="211" customFormat="1" ht="35.25" customHeight="1" x14ac:dyDescent="0.25">
      <c r="A4" s="206">
        <v>44377</v>
      </c>
      <c r="B4" s="332"/>
      <c r="C4" s="207">
        <f>C35</f>
        <v>0</v>
      </c>
      <c r="D4" s="208">
        <f>D35</f>
        <v>0</v>
      </c>
      <c r="E4" s="209">
        <f>'Gas-2'!G5</f>
        <v>0</v>
      </c>
      <c r="F4" s="210">
        <v>90</v>
      </c>
      <c r="G4" s="209">
        <f>SUM(WATER!G6,WATER!L6,WATER!Q6,WATER!B6)</f>
        <v>969007</v>
      </c>
      <c r="H4" s="211">
        <v>423</v>
      </c>
      <c r="I4" s="212"/>
      <c r="J4" s="212"/>
    </row>
    <row r="5" spans="1:10" ht="33" customHeight="1" x14ac:dyDescent="0.25">
      <c r="A5" s="213">
        <f>A4+1</f>
        <v>44378</v>
      </c>
      <c r="B5" s="332"/>
      <c r="C5" s="207">
        <f>SUM('GENSET #1'!C10+'GENSET #2'!C10+'GENSET #3'!C10+'GENSET #4'!C10+'GENSET #5'!C10)</f>
        <v>91326074</v>
      </c>
      <c r="D5" s="214">
        <f>IF((C5-C4&lt;0), "0",C5-C4)</f>
        <v>91326074</v>
      </c>
      <c r="E5" s="207">
        <f>'Gas-2'!G6</f>
        <v>225</v>
      </c>
      <c r="F5" s="214">
        <f>IF((E5-E4&lt;0), "0",E5-E4)</f>
        <v>225</v>
      </c>
      <c r="G5" s="215">
        <f>SUM(WATER!C6,WATER!H6,WATER!M6,WATER!R6)</f>
        <v>969322</v>
      </c>
      <c r="H5" s="214">
        <v>418</v>
      </c>
      <c r="I5" s="216">
        <v>18.399999999999999</v>
      </c>
      <c r="J5" s="216">
        <v>160</v>
      </c>
    </row>
    <row r="6" spans="1:10" ht="45" customHeight="1" x14ac:dyDescent="0.25">
      <c r="A6" s="213">
        <f t="shared" ref="A6:A34" si="0">A5+1</f>
        <v>44379</v>
      </c>
      <c r="B6" s="332"/>
      <c r="C6" s="207">
        <f>SUM('GENSET #1'!C11+'GENSET #2'!C11+'GENSET #3'!C11+'GENSET #4'!C11+'GENSET #5'!C11)</f>
        <v>91352920</v>
      </c>
      <c r="D6" s="214">
        <f>IF((C6-C5&lt;0), "0",C6-C5)</f>
        <v>26846</v>
      </c>
      <c r="E6" s="207">
        <f>'Gas-2'!G7</f>
        <v>225</v>
      </c>
      <c r="F6" s="214">
        <f t="shared" ref="F6:F35" si="1">IF((E6-E5&lt;0), "0",E6-E5)</f>
        <v>0</v>
      </c>
      <c r="G6" s="215">
        <f>SUM(WATER!C7,WATER!H7,WATER!M7,WATER!R7)</f>
        <v>969638</v>
      </c>
      <c r="H6" s="214">
        <f t="shared" ref="H6:H35" si="2">IF((G6-G5&lt;0), "0",G6-G5)</f>
        <v>316</v>
      </c>
      <c r="I6" s="216">
        <v>12.7</v>
      </c>
      <c r="J6" s="216">
        <v>181</v>
      </c>
    </row>
    <row r="7" spans="1:10" ht="45" customHeight="1" x14ac:dyDescent="0.25">
      <c r="A7" s="213">
        <f t="shared" si="0"/>
        <v>44380</v>
      </c>
      <c r="B7" s="332"/>
      <c r="C7" s="207">
        <f>SUM('GENSET #1'!C12+'GENSET #2'!C12+'GENSET #3'!C12+'GENSET #4'!C12+'GENSET #5'!C12)</f>
        <v>91380250</v>
      </c>
      <c r="D7" s="214">
        <f t="shared" ref="D7:D22" si="3">IF((C7-C6&lt;0), "0",C7-C6)</f>
        <v>27330</v>
      </c>
      <c r="E7" s="207">
        <f>'Gas-2'!G8</f>
        <v>180</v>
      </c>
      <c r="F7" s="214" t="str">
        <f t="shared" si="1"/>
        <v>0</v>
      </c>
      <c r="G7" s="215">
        <f>SUM(WATER!C8,WATER!H8,WATER!M8,WATER!R8)</f>
        <v>969968</v>
      </c>
      <c r="H7" s="214">
        <f t="shared" si="2"/>
        <v>330</v>
      </c>
      <c r="I7" s="216">
        <v>12.6</v>
      </c>
      <c r="J7" s="216">
        <v>134</v>
      </c>
    </row>
    <row r="8" spans="1:10" ht="45" customHeight="1" x14ac:dyDescent="0.25">
      <c r="A8" s="213">
        <f t="shared" si="0"/>
        <v>44381</v>
      </c>
      <c r="B8" s="332"/>
      <c r="C8" s="207">
        <f>SUM('GENSET #1'!C13+'GENSET #2'!C13+'GENSET #3'!C13+'GENSET #4'!C13+'GENSET #5'!C13)</f>
        <v>91407577</v>
      </c>
      <c r="D8" s="214">
        <f t="shared" si="3"/>
        <v>27327</v>
      </c>
      <c r="E8" s="207">
        <f>'Gas-2'!G9</f>
        <v>270</v>
      </c>
      <c r="F8" s="214">
        <f t="shared" si="1"/>
        <v>90</v>
      </c>
      <c r="G8" s="215">
        <f>SUM(WATER!C9,WATER!H9,WATER!M9,WATER!R9)</f>
        <v>970294</v>
      </c>
      <c r="H8" s="214">
        <f t="shared" si="2"/>
        <v>326</v>
      </c>
      <c r="I8" s="216">
        <v>15.5</v>
      </c>
      <c r="J8" s="216">
        <v>169</v>
      </c>
    </row>
    <row r="9" spans="1:10" ht="45" customHeight="1" x14ac:dyDescent="0.25">
      <c r="A9" s="213">
        <f t="shared" si="0"/>
        <v>44382</v>
      </c>
      <c r="B9" s="332"/>
      <c r="C9" s="207">
        <f>SUM('GENSET #1'!C14+'GENSET #2'!C14+'GENSET #3'!C14+'GENSET #4'!C14+'GENSET #5'!C14)</f>
        <v>91433782</v>
      </c>
      <c r="D9" s="214">
        <f t="shared" si="3"/>
        <v>26205</v>
      </c>
      <c r="E9" s="207">
        <f>'Gas-2'!G10</f>
        <v>270</v>
      </c>
      <c r="F9" s="214">
        <f t="shared" si="1"/>
        <v>0</v>
      </c>
      <c r="G9" s="215">
        <f>SUM(WATER!C10,WATER!H10,WATER!M10,WATER!R10)</f>
        <v>970600</v>
      </c>
      <c r="H9" s="214">
        <f t="shared" si="2"/>
        <v>306</v>
      </c>
      <c r="I9" s="216">
        <v>13.6</v>
      </c>
      <c r="J9" s="216">
        <v>140</v>
      </c>
    </row>
    <row r="10" spans="1:10" ht="45" customHeight="1" x14ac:dyDescent="0.25">
      <c r="A10" s="213">
        <f t="shared" si="0"/>
        <v>44383</v>
      </c>
      <c r="B10" s="332"/>
      <c r="C10" s="207">
        <f>SUM('GENSET #1'!C15+'GENSET #2'!C15+'GENSET #3'!C15+'GENSET #4'!C15+'GENSET #5'!C15)</f>
        <v>91460948</v>
      </c>
      <c r="D10" s="214">
        <f t="shared" si="3"/>
        <v>27166</v>
      </c>
      <c r="E10" s="207">
        <f>'Gas-2'!G11</f>
        <v>225</v>
      </c>
      <c r="F10" s="214" t="str">
        <f t="shared" si="1"/>
        <v>0</v>
      </c>
      <c r="G10" s="215">
        <f>SUM(WATER!C11,WATER!H11,WATER!M11,WATER!R11)</f>
        <v>970975</v>
      </c>
      <c r="H10" s="214">
        <f t="shared" si="2"/>
        <v>375</v>
      </c>
      <c r="I10" s="216">
        <v>15.5</v>
      </c>
      <c r="J10" s="216">
        <v>145</v>
      </c>
    </row>
    <row r="11" spans="1:10" ht="45" customHeight="1" x14ac:dyDescent="0.25">
      <c r="A11" s="213">
        <f t="shared" si="0"/>
        <v>44384</v>
      </c>
      <c r="B11" s="332"/>
      <c r="C11" s="207">
        <f>SUM('GENSET #1'!C16+'GENSET #2'!C16+'GENSET #3'!C16+'GENSET #4'!C16+'GENSET #5'!C16)</f>
        <v>91485639</v>
      </c>
      <c r="D11" s="214">
        <f t="shared" si="3"/>
        <v>24691</v>
      </c>
      <c r="E11" s="207">
        <f>'Gas-2'!G12</f>
        <v>225</v>
      </c>
      <c r="F11" s="214">
        <f t="shared" si="1"/>
        <v>0</v>
      </c>
      <c r="G11" s="215">
        <f>SUM(WATER!C12,WATER!H12,WATER!M12,WATER!R12)</f>
        <v>971355</v>
      </c>
      <c r="H11" s="214">
        <f t="shared" si="2"/>
        <v>380</v>
      </c>
      <c r="I11" s="216">
        <v>17.5</v>
      </c>
      <c r="J11" s="216">
        <v>198</v>
      </c>
    </row>
    <row r="12" spans="1:10" ht="45" customHeight="1" x14ac:dyDescent="0.25">
      <c r="A12" s="213">
        <f t="shared" si="0"/>
        <v>44385</v>
      </c>
      <c r="B12" s="332"/>
      <c r="C12" s="207">
        <f>SUM('GENSET #1'!C17+'GENSET #2'!C17+'GENSET #3'!C17+'GENSET #4'!C17+'GENSET #5'!C17)</f>
        <v>91511089</v>
      </c>
      <c r="D12" s="214">
        <f t="shared" si="3"/>
        <v>25450</v>
      </c>
      <c r="E12" s="207">
        <f>'Gas-2'!G13</f>
        <v>225</v>
      </c>
      <c r="F12" s="214">
        <f t="shared" si="1"/>
        <v>0</v>
      </c>
      <c r="G12" s="215">
        <f>SUM(WATER!C13,WATER!H13,WATER!M13,WATER!R13)</f>
        <v>971638</v>
      </c>
      <c r="H12" s="214">
        <f t="shared" si="2"/>
        <v>283</v>
      </c>
      <c r="I12" s="216">
        <v>16.5</v>
      </c>
      <c r="J12" s="216">
        <v>191</v>
      </c>
    </row>
    <row r="13" spans="1:10" ht="45" customHeight="1" x14ac:dyDescent="0.25">
      <c r="A13" s="213">
        <f t="shared" si="0"/>
        <v>44386</v>
      </c>
      <c r="B13" s="332"/>
      <c r="C13" s="207">
        <f>SUM('GENSET #1'!C18+'GENSET #2'!C18+'GENSET #3'!C18+'GENSET #4'!C18+'GENSET #5'!C18)</f>
        <v>91533763</v>
      </c>
      <c r="D13" s="214">
        <f t="shared" si="3"/>
        <v>22674</v>
      </c>
      <c r="E13" s="207">
        <f>'Gas-2'!G14</f>
        <v>225</v>
      </c>
      <c r="F13" s="214">
        <f t="shared" si="1"/>
        <v>0</v>
      </c>
      <c r="G13" s="215">
        <f>SUM(WATER!C14,WATER!H14,WATER!M14,WATER!R14)</f>
        <v>971956</v>
      </c>
      <c r="H13" s="214">
        <f t="shared" si="2"/>
        <v>318</v>
      </c>
      <c r="I13" s="216">
        <v>16.5</v>
      </c>
      <c r="J13" s="216">
        <v>162</v>
      </c>
    </row>
    <row r="14" spans="1:10" ht="45" customHeight="1" x14ac:dyDescent="0.25">
      <c r="A14" s="213">
        <f t="shared" si="0"/>
        <v>44387</v>
      </c>
      <c r="B14" s="332"/>
      <c r="C14" s="207">
        <f>SUM('GENSET #1'!C19+'GENSET #2'!C19+'GENSET #3'!C19+'GENSET #4'!C19+'GENSET #5'!C19)</f>
        <v>91557119</v>
      </c>
      <c r="D14" s="214">
        <f t="shared" si="3"/>
        <v>23356</v>
      </c>
      <c r="E14" s="207">
        <f>'Gas-2'!G15</f>
        <v>270</v>
      </c>
      <c r="F14" s="214">
        <f t="shared" si="1"/>
        <v>45</v>
      </c>
      <c r="G14" s="215">
        <f>SUM(WATER!C15,WATER!H15,WATER!M15,WATER!R15)</f>
        <v>972332</v>
      </c>
      <c r="H14" s="214">
        <f t="shared" si="2"/>
        <v>376</v>
      </c>
      <c r="I14" s="216">
        <v>13.6</v>
      </c>
      <c r="J14" s="216">
        <v>164</v>
      </c>
    </row>
    <row r="15" spans="1:10" ht="45" customHeight="1" x14ac:dyDescent="0.25">
      <c r="A15" s="213">
        <f t="shared" si="0"/>
        <v>44388</v>
      </c>
      <c r="B15" s="332"/>
      <c r="C15" s="207">
        <f>SUM('GENSET #1'!C20+'GENSET #2'!C20+'GENSET #3'!C20+'GENSET #4'!C20+'GENSET #5'!C20)</f>
        <v>91580447</v>
      </c>
      <c r="D15" s="214">
        <f t="shared" si="3"/>
        <v>23328</v>
      </c>
      <c r="E15" s="207">
        <f>'Gas-2'!G16</f>
        <v>225</v>
      </c>
      <c r="F15" s="214" t="str">
        <f t="shared" si="1"/>
        <v>0</v>
      </c>
      <c r="G15" s="215">
        <f>SUM(WATER!C16,WATER!H16,WATER!M16,WATER!R16)</f>
        <v>972618</v>
      </c>
      <c r="H15" s="214">
        <f t="shared" si="2"/>
        <v>286</v>
      </c>
      <c r="I15" s="216">
        <v>11.7</v>
      </c>
      <c r="J15" s="216">
        <v>127</v>
      </c>
    </row>
    <row r="16" spans="1:10" ht="45" customHeight="1" x14ac:dyDescent="0.25">
      <c r="A16" s="213">
        <f t="shared" si="0"/>
        <v>44389</v>
      </c>
      <c r="B16" s="332"/>
      <c r="C16" s="207">
        <f>SUM('GENSET #1'!C21+'GENSET #2'!C21+'GENSET #3'!C21+'GENSET #4'!C21+'GENSET #5'!C21)</f>
        <v>91605951</v>
      </c>
      <c r="D16" s="214">
        <f t="shared" si="3"/>
        <v>25504</v>
      </c>
      <c r="E16" s="207">
        <f>'Gas-2'!G17</f>
        <v>225</v>
      </c>
      <c r="F16" s="214">
        <f t="shared" si="1"/>
        <v>0</v>
      </c>
      <c r="G16" s="215">
        <f>SUM(WATER!C17,WATER!H17,WATER!M17,WATER!R17)</f>
        <v>972918</v>
      </c>
      <c r="H16" s="214">
        <f t="shared" si="2"/>
        <v>300</v>
      </c>
      <c r="I16" s="216">
        <v>11.7</v>
      </c>
      <c r="J16" s="216">
        <v>149</v>
      </c>
    </row>
    <row r="17" spans="1:10" ht="45" customHeight="1" x14ac:dyDescent="0.25">
      <c r="A17" s="213">
        <f t="shared" si="0"/>
        <v>44390</v>
      </c>
      <c r="B17" s="332"/>
      <c r="C17" s="207">
        <f>SUM('GENSET #1'!C22+'GENSET #2'!C22+'GENSET #3'!C22+'GENSET #4'!C22+'GENSET #5'!C22)</f>
        <v>91630591</v>
      </c>
      <c r="D17" s="214">
        <f t="shared" si="3"/>
        <v>24640</v>
      </c>
      <c r="E17" s="207">
        <f>'Gas-2'!G18</f>
        <v>225</v>
      </c>
      <c r="F17" s="214">
        <f t="shared" si="1"/>
        <v>0</v>
      </c>
      <c r="G17" s="215">
        <f>SUM(WATER!C18,WATER!H18,WATER!M18,WATER!R18)</f>
        <v>973237</v>
      </c>
      <c r="H17" s="214">
        <f t="shared" si="2"/>
        <v>319</v>
      </c>
      <c r="I17" s="216">
        <v>12.6</v>
      </c>
      <c r="J17" s="216">
        <v>159</v>
      </c>
    </row>
    <row r="18" spans="1:10" ht="45" customHeight="1" x14ac:dyDescent="0.25">
      <c r="A18" s="213">
        <f t="shared" si="0"/>
        <v>44391</v>
      </c>
      <c r="B18" s="332"/>
      <c r="C18" s="207">
        <f>SUM('GENSET #1'!C23+'GENSET #2'!C23+'GENSET #3'!C23+'GENSET #4'!C23+'GENSET #5'!C23)</f>
        <v>91655634</v>
      </c>
      <c r="D18" s="214">
        <f t="shared" si="3"/>
        <v>25043</v>
      </c>
      <c r="E18" s="207">
        <f>'Gas-2'!G19</f>
        <v>225</v>
      </c>
      <c r="F18" s="214">
        <f t="shared" si="1"/>
        <v>0</v>
      </c>
      <c r="G18" s="215">
        <f>SUM(WATER!C19,WATER!H19,WATER!M19,WATER!R19)</f>
        <v>973535</v>
      </c>
      <c r="H18" s="214">
        <f t="shared" si="2"/>
        <v>298</v>
      </c>
      <c r="I18" s="216">
        <v>13.6</v>
      </c>
      <c r="J18" s="216">
        <v>171</v>
      </c>
    </row>
    <row r="19" spans="1:10" ht="45" customHeight="1" x14ac:dyDescent="0.25">
      <c r="A19" s="213">
        <f t="shared" si="0"/>
        <v>44392</v>
      </c>
      <c r="B19" s="332"/>
      <c r="C19" s="207">
        <f>SUM('GENSET #1'!C24+'GENSET #2'!C24+'GENSET #3'!C24+'GENSET #4'!C24+'GENSET #5'!C24)</f>
        <v>91680353</v>
      </c>
      <c r="D19" s="214">
        <f t="shared" si="3"/>
        <v>24719</v>
      </c>
      <c r="E19" s="207">
        <f>'Gas-2'!G20</f>
        <v>270</v>
      </c>
      <c r="F19" s="214">
        <f t="shared" si="1"/>
        <v>45</v>
      </c>
      <c r="G19" s="215">
        <f>SUM(WATER!C20,WATER!H20,WATER!M20,WATER!R20)</f>
        <v>973893</v>
      </c>
      <c r="H19" s="214">
        <f t="shared" si="2"/>
        <v>358</v>
      </c>
      <c r="I19" s="216">
        <v>16.5</v>
      </c>
      <c r="J19" s="216">
        <v>162</v>
      </c>
    </row>
    <row r="20" spans="1:10" ht="45" customHeight="1" x14ac:dyDescent="0.25">
      <c r="A20" s="213">
        <f t="shared" si="0"/>
        <v>44393</v>
      </c>
      <c r="B20" s="332"/>
      <c r="C20" s="207">
        <f>SUM('GENSET #1'!C25+'GENSET #2'!C25+'GENSET #3'!C25+'GENSET #4'!C25+'GENSET #5'!C25)</f>
        <v>91706008</v>
      </c>
      <c r="D20" s="214">
        <f t="shared" si="3"/>
        <v>25655</v>
      </c>
      <c r="E20" s="207">
        <f>'Gas-2'!G21</f>
        <v>180</v>
      </c>
      <c r="F20" s="214" t="str">
        <f t="shared" si="1"/>
        <v>0</v>
      </c>
      <c r="G20" s="215">
        <f>SUM(WATER!C21,WATER!H21,WATER!M21,WATER!R21)</f>
        <v>974230</v>
      </c>
      <c r="H20" s="214">
        <f t="shared" si="2"/>
        <v>337</v>
      </c>
      <c r="I20" s="216">
        <v>21</v>
      </c>
      <c r="J20" s="216">
        <v>204</v>
      </c>
    </row>
    <row r="21" spans="1:10" ht="45" customHeight="1" x14ac:dyDescent="0.25">
      <c r="A21" s="213">
        <f t="shared" si="0"/>
        <v>44394</v>
      </c>
      <c r="B21" s="332"/>
      <c r="C21" s="207">
        <f>SUM('GENSET #1'!C26+'GENSET #2'!C26+'GENSET #3'!C26+'GENSET #4'!C26+'GENSET #5'!C26)</f>
        <v>91731072</v>
      </c>
      <c r="D21" s="214">
        <f t="shared" si="3"/>
        <v>25064</v>
      </c>
      <c r="E21" s="207">
        <f>'Gas-2'!G22</f>
        <v>225</v>
      </c>
      <c r="F21" s="214">
        <f t="shared" si="1"/>
        <v>45</v>
      </c>
      <c r="G21" s="215">
        <f>SUM(WATER!C22,WATER!H22,WATER!M22,WATER!R22)</f>
        <v>974566</v>
      </c>
      <c r="H21" s="214">
        <f t="shared" si="2"/>
        <v>336</v>
      </c>
      <c r="I21" s="216"/>
      <c r="J21" s="216"/>
    </row>
    <row r="22" spans="1:10" ht="45" customHeight="1" x14ac:dyDescent="0.25">
      <c r="A22" s="213">
        <f t="shared" si="0"/>
        <v>44395</v>
      </c>
      <c r="B22" s="332"/>
      <c r="C22" s="207">
        <f>SUM('GENSET #1'!C27+'GENSET #2'!C27+'GENSET #3'!C27+'GENSET #4'!C27+'GENSET #5'!C27)</f>
        <v>0</v>
      </c>
      <c r="D22" s="214" t="str">
        <f t="shared" si="3"/>
        <v>0</v>
      </c>
      <c r="E22" s="207">
        <f>'Gas-2'!G23</f>
        <v>0</v>
      </c>
      <c r="F22" s="214" t="str">
        <f t="shared" si="1"/>
        <v>0</v>
      </c>
      <c r="G22" s="215">
        <f>SUM(WATER!C23,WATER!H23,WATER!M23,WATER!R23)</f>
        <v>974876</v>
      </c>
      <c r="H22" s="214">
        <f t="shared" si="2"/>
        <v>310</v>
      </c>
      <c r="I22" s="216"/>
      <c r="J22" s="216"/>
    </row>
    <row r="23" spans="1:10" ht="45" customHeight="1" x14ac:dyDescent="0.25">
      <c r="A23" s="213">
        <f t="shared" si="0"/>
        <v>44396</v>
      </c>
      <c r="B23" s="332"/>
      <c r="C23" s="207">
        <f>SUM('GENSET #1'!C28+'GENSET #2'!C28+'GENSET #3'!C28+'GENSET #4'!C28+'GENSET #5'!C28)</f>
        <v>0</v>
      </c>
      <c r="D23" s="214">
        <f>IF((C23-C22&lt;0), "0",C23-C22)</f>
        <v>0</v>
      </c>
      <c r="E23" s="207">
        <f>'Gas-2'!G24</f>
        <v>0</v>
      </c>
      <c r="F23" s="214">
        <f t="shared" si="1"/>
        <v>0</v>
      </c>
      <c r="G23" s="215">
        <f>SUM(WATER!C24,WATER!H24,WATER!M24,WATER!R24)</f>
        <v>0</v>
      </c>
      <c r="H23" s="214" t="str">
        <f t="shared" si="2"/>
        <v>0</v>
      </c>
      <c r="I23" s="216"/>
      <c r="J23" s="216"/>
    </row>
    <row r="24" spans="1:10" ht="45" customHeight="1" x14ac:dyDescent="0.25">
      <c r="A24" s="213">
        <f t="shared" si="0"/>
        <v>44397</v>
      </c>
      <c r="B24" s="332"/>
      <c r="C24" s="207">
        <f>SUM('GENSET #1'!C29+'GENSET #2'!C29+'GENSET #3'!C29+'GENSET #4'!C29+'GENSET #5'!C29)</f>
        <v>0</v>
      </c>
      <c r="D24" s="214">
        <f t="shared" ref="D24:D35" si="4">IF((C24-C23&lt;0), "0",C24-C23)</f>
        <v>0</v>
      </c>
      <c r="E24" s="207">
        <f>'Gas-2'!G25</f>
        <v>0</v>
      </c>
      <c r="F24" s="214">
        <f t="shared" si="1"/>
        <v>0</v>
      </c>
      <c r="G24" s="215">
        <f>SUM(WATER!C25,WATER!H25,WATER!M25,WATER!R25)</f>
        <v>0</v>
      </c>
      <c r="H24" s="214">
        <f t="shared" si="2"/>
        <v>0</v>
      </c>
      <c r="I24" s="216"/>
      <c r="J24" s="216"/>
    </row>
    <row r="25" spans="1:10" ht="45" customHeight="1" x14ac:dyDescent="0.25">
      <c r="A25" s="213">
        <f t="shared" si="0"/>
        <v>44398</v>
      </c>
      <c r="B25" s="332"/>
      <c r="C25" s="207">
        <f>SUM('GENSET #1'!C30+'GENSET #2'!C30+'GENSET #3'!C30+'GENSET #4'!C30+'GENSET #5'!C30)</f>
        <v>0</v>
      </c>
      <c r="D25" s="214">
        <f t="shared" si="4"/>
        <v>0</v>
      </c>
      <c r="E25" s="207">
        <f>'Gas-2'!G26</f>
        <v>0</v>
      </c>
      <c r="F25" s="214">
        <f t="shared" si="1"/>
        <v>0</v>
      </c>
      <c r="G25" s="215">
        <f>SUM(WATER!C26,WATER!H26,WATER!M26,WATER!R26)</f>
        <v>0</v>
      </c>
      <c r="H25" s="214">
        <f t="shared" si="2"/>
        <v>0</v>
      </c>
      <c r="I25" s="216"/>
      <c r="J25" s="216"/>
    </row>
    <row r="26" spans="1:10" ht="45" customHeight="1" x14ac:dyDescent="0.25">
      <c r="A26" s="213">
        <f t="shared" si="0"/>
        <v>44399</v>
      </c>
      <c r="B26" s="332"/>
      <c r="C26" s="207">
        <f>SUM('GENSET #1'!C31+'GENSET #2'!C31+'GENSET #3'!C31+'GENSET #4'!C31+'GENSET #5'!C31)</f>
        <v>0</v>
      </c>
      <c r="D26" s="214">
        <f t="shared" si="4"/>
        <v>0</v>
      </c>
      <c r="E26" s="207">
        <f>'Gas-2'!G27</f>
        <v>0</v>
      </c>
      <c r="F26" s="214">
        <f t="shared" si="1"/>
        <v>0</v>
      </c>
      <c r="G26" s="215">
        <f>SUM(WATER!C27,WATER!H27,WATER!M27,WATER!R27)</f>
        <v>0</v>
      </c>
      <c r="H26" s="214">
        <f t="shared" si="2"/>
        <v>0</v>
      </c>
      <c r="I26" s="216"/>
      <c r="J26" s="216"/>
    </row>
    <row r="27" spans="1:10" ht="45" customHeight="1" x14ac:dyDescent="0.25">
      <c r="A27" s="213">
        <f t="shared" si="0"/>
        <v>44400</v>
      </c>
      <c r="B27" s="332"/>
      <c r="C27" s="207">
        <f>SUM('GENSET #1'!C32+'GENSET #2'!C32+'GENSET #3'!C32+'GENSET #4'!C32+'GENSET #5'!C32)</f>
        <v>0</v>
      </c>
      <c r="D27" s="214">
        <f t="shared" si="4"/>
        <v>0</v>
      </c>
      <c r="E27" s="207">
        <f>'Gas-2'!G28</f>
        <v>0</v>
      </c>
      <c r="F27" s="214">
        <f t="shared" si="1"/>
        <v>0</v>
      </c>
      <c r="G27" s="215">
        <f>SUM(WATER!C28,WATER!H28,WATER!M28,WATER!R28)</f>
        <v>0</v>
      </c>
      <c r="H27" s="214">
        <f t="shared" si="2"/>
        <v>0</v>
      </c>
      <c r="I27" s="216"/>
      <c r="J27" s="216"/>
    </row>
    <row r="28" spans="1:10" ht="45" customHeight="1" x14ac:dyDescent="0.25">
      <c r="A28" s="213">
        <f t="shared" si="0"/>
        <v>44401</v>
      </c>
      <c r="B28" s="332"/>
      <c r="C28" s="207">
        <f>SUM('GENSET #1'!C33+'GENSET #2'!C33+'GENSET #3'!C33+'GENSET #4'!C33+'GENSET #5'!C33)</f>
        <v>0</v>
      </c>
      <c r="D28" s="214">
        <f t="shared" si="4"/>
        <v>0</v>
      </c>
      <c r="E28" s="207">
        <f>'Gas-2'!G29</f>
        <v>0</v>
      </c>
      <c r="F28" s="214">
        <f t="shared" si="1"/>
        <v>0</v>
      </c>
      <c r="G28" s="215">
        <f>SUM(WATER!C29,WATER!H29,WATER!M29,WATER!R29)</f>
        <v>0</v>
      </c>
      <c r="H28" s="214">
        <f t="shared" si="2"/>
        <v>0</v>
      </c>
      <c r="I28" s="216"/>
      <c r="J28" s="216"/>
    </row>
    <row r="29" spans="1:10" ht="45" customHeight="1" x14ac:dyDescent="0.25">
      <c r="A29" s="213">
        <f t="shared" si="0"/>
        <v>44402</v>
      </c>
      <c r="B29" s="332"/>
      <c r="C29" s="207">
        <f>SUM('GENSET #1'!C34+'GENSET #2'!C34+'GENSET #3'!C34+'GENSET #4'!C34+'GENSET #5'!C34)</f>
        <v>0</v>
      </c>
      <c r="D29" s="214">
        <f t="shared" si="4"/>
        <v>0</v>
      </c>
      <c r="E29" s="207">
        <f>'Gas-2'!G30</f>
        <v>0</v>
      </c>
      <c r="F29" s="214">
        <f t="shared" si="1"/>
        <v>0</v>
      </c>
      <c r="G29" s="215">
        <f>SUM(WATER!C30,WATER!H30,WATER!M30,WATER!R30)</f>
        <v>0</v>
      </c>
      <c r="H29" s="214">
        <f t="shared" si="2"/>
        <v>0</v>
      </c>
      <c r="I29" s="216"/>
      <c r="J29" s="216"/>
    </row>
    <row r="30" spans="1:10" ht="45" customHeight="1" x14ac:dyDescent="0.25">
      <c r="A30" s="213">
        <f t="shared" si="0"/>
        <v>44403</v>
      </c>
      <c r="B30" s="332"/>
      <c r="C30" s="207">
        <f>SUM('GENSET #1'!C35+'GENSET #2'!C35+'GENSET #3'!C35+'GENSET #4'!C35+'GENSET #5'!C35)</f>
        <v>0</v>
      </c>
      <c r="D30" s="214">
        <f t="shared" si="4"/>
        <v>0</v>
      </c>
      <c r="E30" s="207">
        <f>'Gas-2'!G31</f>
        <v>0</v>
      </c>
      <c r="F30" s="214">
        <f t="shared" si="1"/>
        <v>0</v>
      </c>
      <c r="G30" s="215">
        <f>SUM(WATER!C31,WATER!H31,WATER!M31,WATER!R31)</f>
        <v>0</v>
      </c>
      <c r="H30" s="214">
        <f t="shared" si="2"/>
        <v>0</v>
      </c>
      <c r="I30" s="216"/>
      <c r="J30" s="216"/>
    </row>
    <row r="31" spans="1:10" ht="45" customHeight="1" x14ac:dyDescent="0.25">
      <c r="A31" s="213">
        <f t="shared" si="0"/>
        <v>44404</v>
      </c>
      <c r="B31" s="332"/>
      <c r="C31" s="207">
        <f>SUM('GENSET #1'!C36+'GENSET #2'!C36+'GENSET #3'!C36+'GENSET #4'!C36+'GENSET #5'!C36)</f>
        <v>0</v>
      </c>
      <c r="D31" s="214">
        <f t="shared" si="4"/>
        <v>0</v>
      </c>
      <c r="E31" s="207">
        <f>'Gas-2'!G32</f>
        <v>0</v>
      </c>
      <c r="F31" s="214">
        <f t="shared" si="1"/>
        <v>0</v>
      </c>
      <c r="G31" s="215">
        <f>SUM(WATER!C32,WATER!H32,WATER!M32,WATER!R32)</f>
        <v>0</v>
      </c>
      <c r="H31" s="214">
        <f t="shared" si="2"/>
        <v>0</v>
      </c>
      <c r="I31" s="216"/>
      <c r="J31" s="216"/>
    </row>
    <row r="32" spans="1:10" ht="45" customHeight="1" x14ac:dyDescent="0.25">
      <c r="A32" s="213">
        <f t="shared" si="0"/>
        <v>44405</v>
      </c>
      <c r="B32" s="332"/>
      <c r="C32" s="207">
        <f>SUM('GENSET #1'!C37+'GENSET #2'!C37+'GENSET #3'!C37+'GENSET #4'!C37+'GENSET #5'!C37)</f>
        <v>0</v>
      </c>
      <c r="D32" s="214">
        <f t="shared" si="4"/>
        <v>0</v>
      </c>
      <c r="E32" s="207">
        <f>'Gas-2'!G33</f>
        <v>0</v>
      </c>
      <c r="F32" s="214">
        <f t="shared" si="1"/>
        <v>0</v>
      </c>
      <c r="G32" s="215">
        <f>SUM(WATER!C33,WATER!H33,WATER!M33,WATER!R33)</f>
        <v>0</v>
      </c>
      <c r="H32" s="214">
        <f t="shared" si="2"/>
        <v>0</v>
      </c>
      <c r="I32" s="216"/>
      <c r="J32" s="216"/>
    </row>
    <row r="33" spans="1:10" ht="36" customHeight="1" x14ac:dyDescent="0.25">
      <c r="A33" s="213">
        <f t="shared" si="0"/>
        <v>44406</v>
      </c>
      <c r="C33" s="207">
        <f>SUM('GENSET #1'!C38+'GENSET #2'!C38+'GENSET #3'!C38+'GENSET #4'!C38+'GENSET #5'!C38)</f>
        <v>0</v>
      </c>
      <c r="D33" s="214">
        <f t="shared" si="4"/>
        <v>0</v>
      </c>
      <c r="E33" s="207">
        <f>'Gas-2'!G34</f>
        <v>0</v>
      </c>
      <c r="F33" s="214">
        <f t="shared" si="1"/>
        <v>0</v>
      </c>
      <c r="G33" s="215">
        <f>SUM(WATER!C34,WATER!H34,WATER!M34,WATER!R34)</f>
        <v>0</v>
      </c>
      <c r="H33" s="214">
        <f t="shared" si="2"/>
        <v>0</v>
      </c>
      <c r="I33" s="216"/>
      <c r="J33" s="216"/>
    </row>
    <row r="34" spans="1:10" ht="45.6" customHeight="1" x14ac:dyDescent="0.25">
      <c r="A34" s="213">
        <f t="shared" si="0"/>
        <v>44407</v>
      </c>
      <c r="C34" s="207">
        <f>SUM('GENSET #1'!C39+'GENSET #2'!C39+'GENSET #3'!C39+'GENSET #4'!C39+'GENSET #5'!C39)</f>
        <v>0</v>
      </c>
      <c r="D34" s="214">
        <f t="shared" si="4"/>
        <v>0</v>
      </c>
      <c r="E34" s="207">
        <f>'Gas-2'!G35</f>
        <v>0</v>
      </c>
      <c r="F34" s="214">
        <f t="shared" si="1"/>
        <v>0</v>
      </c>
      <c r="G34" s="215">
        <f>SUM(WATER!C35,WATER!H35,WATER!M35,WATER!R35)</f>
        <v>0</v>
      </c>
      <c r="H34" s="214">
        <f t="shared" si="2"/>
        <v>0</v>
      </c>
      <c r="I34" s="216"/>
      <c r="J34" s="216"/>
    </row>
    <row r="35" spans="1:10" ht="47.45" customHeight="1" x14ac:dyDescent="0.25">
      <c r="A35" s="213">
        <f>A34+1</f>
        <v>44408</v>
      </c>
      <c r="C35" s="207">
        <f>SUM('GENSET #1'!C40+'GENSET #2'!C40+'GENSET #3'!C40+'GENSET #4'!C40+'GENSET #5'!C40)</f>
        <v>0</v>
      </c>
      <c r="D35" s="214">
        <f t="shared" si="4"/>
        <v>0</v>
      </c>
      <c r="E35" s="207">
        <f>'Gas-2'!G36</f>
        <v>0</v>
      </c>
      <c r="F35" s="214">
        <f t="shared" si="1"/>
        <v>0</v>
      </c>
      <c r="G35" s="215">
        <f>SUM(WATER!C36,WATER!H36,WATER!M36,WATER!R36)</f>
        <v>0</v>
      </c>
      <c r="H35" s="214">
        <f t="shared" si="2"/>
        <v>0</v>
      </c>
      <c r="I35" s="216"/>
      <c r="J35" s="216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  <pageSetUpPr fitToPage="1"/>
  </sheetPr>
  <dimension ref="A1:K40"/>
  <sheetViews>
    <sheetView topLeftCell="A7" zoomScaleNormal="100" workbookViewId="0">
      <selection activeCell="I11" sqref="I11"/>
    </sheetView>
  </sheetViews>
  <sheetFormatPr defaultRowHeight="12.75" x14ac:dyDescent="0.2"/>
  <cols>
    <col min="1" max="1" width="9.5703125" style="117" customWidth="1"/>
    <col min="2" max="2" width="15.5703125" style="18" customWidth="1"/>
    <col min="3" max="3" width="13.5703125" style="18" bestFit="1" customWidth="1"/>
    <col min="4" max="4" width="18.5703125" style="126" customWidth="1"/>
    <col min="5" max="5" width="14.5703125" style="19" customWidth="1"/>
    <col min="6" max="6" width="18.85546875" customWidth="1"/>
    <col min="7" max="7" width="11.85546875" style="18" customWidth="1"/>
    <col min="8" max="8" width="12.42578125" bestFit="1" customWidth="1"/>
    <col min="9" max="9" width="12.85546875" style="329" customWidth="1"/>
  </cols>
  <sheetData>
    <row r="1" spans="1:9" x14ac:dyDescent="0.2">
      <c r="A1" s="340" t="s">
        <v>0</v>
      </c>
      <c r="B1" s="340"/>
      <c r="C1" s="340"/>
      <c r="D1" s="340"/>
      <c r="E1" s="340"/>
      <c r="F1" s="340"/>
    </row>
    <row r="2" spans="1:9" x14ac:dyDescent="0.2">
      <c r="A2" s="5"/>
      <c r="E2" s="129"/>
    </row>
    <row r="3" spans="1:9" x14ac:dyDescent="0.2">
      <c r="A3" s="5" t="s">
        <v>1</v>
      </c>
      <c r="B3" s="77" t="s">
        <v>2</v>
      </c>
      <c r="C3" s="77"/>
      <c r="D3" s="127"/>
      <c r="E3" s="129"/>
    </row>
    <row r="4" spans="1:9" x14ac:dyDescent="0.2">
      <c r="A4" s="5" t="s">
        <v>3</v>
      </c>
      <c r="B4" s="79" t="s">
        <v>173</v>
      </c>
      <c r="C4" s="79"/>
      <c r="D4" s="124"/>
      <c r="E4" s="129"/>
    </row>
    <row r="5" spans="1:9" x14ac:dyDescent="0.2">
      <c r="A5" s="5" t="s">
        <v>4</v>
      </c>
      <c r="B5" s="118">
        <v>2021</v>
      </c>
      <c r="C5" s="118"/>
      <c r="D5" s="124"/>
      <c r="E5" s="129"/>
    </row>
    <row r="6" spans="1:9" x14ac:dyDescent="0.2">
      <c r="E6" s="339"/>
      <c r="F6" s="339"/>
    </row>
    <row r="7" spans="1:9" ht="51" x14ac:dyDescent="0.2">
      <c r="A7" s="119" t="s">
        <v>5</v>
      </c>
      <c r="B7" s="120" t="s">
        <v>97</v>
      </c>
      <c r="C7" s="120" t="s">
        <v>98</v>
      </c>
      <c r="D7" s="121" t="s">
        <v>99</v>
      </c>
      <c r="E7" s="122" t="s">
        <v>96</v>
      </c>
      <c r="F7" s="120" t="s">
        <v>6</v>
      </c>
      <c r="G7" s="120" t="s">
        <v>135</v>
      </c>
      <c r="H7" s="120" t="s">
        <v>137</v>
      </c>
      <c r="I7" s="120" t="s">
        <v>172</v>
      </c>
    </row>
    <row r="8" spans="1:9" ht="15.75" customHeight="1" x14ac:dyDescent="0.2">
      <c r="A8" s="62">
        <v>1</v>
      </c>
      <c r="B8" s="106">
        <f>SUM('GENSET #1:GENSET #5'!D10)</f>
        <v>25932</v>
      </c>
      <c r="C8" s="106">
        <f>'Diesel consumption'!D5</f>
        <v>7200</v>
      </c>
      <c r="D8" s="128">
        <f>'SOLAR METER READING'!D9</f>
        <v>2740</v>
      </c>
      <c r="E8" s="125">
        <f>'Gas-2'!G6</f>
        <v>225</v>
      </c>
      <c r="F8" s="106">
        <f>WATER!V6</f>
        <v>275</v>
      </c>
      <c r="G8" s="236">
        <f>WATER!W6</f>
        <v>18.399999999999999</v>
      </c>
      <c r="H8" s="18">
        <f>'SOLAR METER READING'!E9</f>
        <v>0</v>
      </c>
    </row>
    <row r="9" spans="1:9" ht="15.75" customHeight="1" x14ac:dyDescent="0.2">
      <c r="A9" s="62">
        <v>2</v>
      </c>
      <c r="B9" s="106">
        <f>SUM('GENSET #1:GENSET #5'!D11)</f>
        <v>26846</v>
      </c>
      <c r="C9" s="106">
        <f>'Diesel consumption'!D6</f>
        <v>7510</v>
      </c>
      <c r="D9" s="128">
        <f>'SOLAR METER READING'!D10</f>
        <v>3146</v>
      </c>
      <c r="E9" s="125">
        <f>'Gas-2'!G7</f>
        <v>225</v>
      </c>
      <c r="F9" s="106">
        <f>WATER!V7</f>
        <v>316</v>
      </c>
      <c r="G9" s="236">
        <f>WATER!W7</f>
        <v>12.7</v>
      </c>
      <c r="H9" s="18">
        <f>'SOLAR METER READING'!E10</f>
        <v>0</v>
      </c>
      <c r="I9" s="330">
        <f>B9-B8</f>
        <v>914</v>
      </c>
    </row>
    <row r="10" spans="1:9" ht="15.75" customHeight="1" x14ac:dyDescent="0.2">
      <c r="A10" s="62">
        <v>3</v>
      </c>
      <c r="B10" s="106">
        <f>SUM('GENSET #1:GENSET #5'!D12)</f>
        <v>27330</v>
      </c>
      <c r="C10" s="106">
        <f>'Diesel consumption'!D7</f>
        <v>7520</v>
      </c>
      <c r="D10" s="128">
        <f>'SOLAR METER READING'!D11</f>
        <v>2802</v>
      </c>
      <c r="E10" s="125">
        <f>'Gas-2'!G8</f>
        <v>180</v>
      </c>
      <c r="F10" s="106">
        <f>WATER!V8</f>
        <v>330</v>
      </c>
      <c r="G10" s="236">
        <f>WATER!W8</f>
        <v>12.6</v>
      </c>
      <c r="H10" s="18">
        <f>'SOLAR METER READING'!E11</f>
        <v>0</v>
      </c>
      <c r="I10" s="330">
        <f t="shared" ref="I10:I38" si="0">B10-B9</f>
        <v>484</v>
      </c>
    </row>
    <row r="11" spans="1:9" ht="15.75" customHeight="1" x14ac:dyDescent="0.2">
      <c r="A11" s="62">
        <v>4</v>
      </c>
      <c r="B11" s="106">
        <f>SUM('GENSET #1:GENSET #5'!D13)</f>
        <v>27327</v>
      </c>
      <c r="C11" s="106">
        <f>'Diesel consumption'!D8</f>
        <v>7520</v>
      </c>
      <c r="D11" s="128">
        <f>'SOLAR METER READING'!D12</f>
        <v>2142</v>
      </c>
      <c r="E11" s="125">
        <f>'Gas-2'!G9</f>
        <v>270</v>
      </c>
      <c r="F11" s="106">
        <f>WATER!V9</f>
        <v>326</v>
      </c>
      <c r="G11" s="236">
        <f>WATER!W9</f>
        <v>15.5</v>
      </c>
      <c r="H11" s="18">
        <f>'SOLAR METER READING'!E12</f>
        <v>0</v>
      </c>
      <c r="I11" s="330">
        <f t="shared" si="0"/>
        <v>-3</v>
      </c>
    </row>
    <row r="12" spans="1:9" ht="15.75" customHeight="1" x14ac:dyDescent="0.2">
      <c r="A12" s="62">
        <v>5</v>
      </c>
      <c r="B12" s="106">
        <f>SUM('GENSET #1:GENSET #5'!D14)</f>
        <v>26205</v>
      </c>
      <c r="C12" s="106">
        <f>'Diesel consumption'!D9</f>
        <v>6980</v>
      </c>
      <c r="D12" s="128">
        <f>'SOLAR METER READING'!D13</f>
        <v>2063</v>
      </c>
      <c r="E12" s="125">
        <f>'Gas-2'!G10</f>
        <v>270</v>
      </c>
      <c r="F12" s="106">
        <f>WATER!V10</f>
        <v>306</v>
      </c>
      <c r="G12" s="236">
        <f>WATER!W10</f>
        <v>13.6</v>
      </c>
      <c r="H12" s="18">
        <f>'SOLAR METER READING'!E13</f>
        <v>0</v>
      </c>
      <c r="I12" s="330">
        <f t="shared" si="0"/>
        <v>-1122</v>
      </c>
    </row>
    <row r="13" spans="1:9" ht="15.75" customHeight="1" x14ac:dyDescent="0.2">
      <c r="A13" s="62">
        <v>6</v>
      </c>
      <c r="B13" s="106">
        <f>SUM('GENSET #1:GENSET #5'!D15)</f>
        <v>27166</v>
      </c>
      <c r="C13" s="106">
        <f>'Diesel consumption'!D10</f>
        <v>7630</v>
      </c>
      <c r="D13" s="128">
        <f>'SOLAR METER READING'!D14</f>
        <v>3029</v>
      </c>
      <c r="E13" s="125">
        <f>'Gas-2'!G11</f>
        <v>225</v>
      </c>
      <c r="F13" s="106">
        <f>WATER!V11</f>
        <v>375</v>
      </c>
      <c r="G13" s="236">
        <f>WATER!W11</f>
        <v>15.5</v>
      </c>
      <c r="H13" s="18">
        <f>'SOLAR METER READING'!E14</f>
        <v>0</v>
      </c>
      <c r="I13" s="330">
        <f t="shared" si="0"/>
        <v>961</v>
      </c>
    </row>
    <row r="14" spans="1:9" ht="15.75" customHeight="1" x14ac:dyDescent="0.2">
      <c r="A14" s="62">
        <v>7</v>
      </c>
      <c r="B14" s="106">
        <f>SUM('GENSET #1:GENSET #5'!D16)</f>
        <v>24691</v>
      </c>
      <c r="C14" s="106">
        <f>'Diesel consumption'!D11</f>
        <v>6480</v>
      </c>
      <c r="D14" s="128">
        <f>'SOLAR METER READING'!D15</f>
        <v>2160</v>
      </c>
      <c r="E14" s="125">
        <f>'Gas-2'!G12</f>
        <v>225</v>
      </c>
      <c r="F14" s="106">
        <f>WATER!V12</f>
        <v>380</v>
      </c>
      <c r="G14" s="236">
        <f>WATER!W12</f>
        <v>17.5</v>
      </c>
      <c r="H14" s="18">
        <f>'SOLAR METER READING'!E15</f>
        <v>0</v>
      </c>
      <c r="I14" s="330">
        <f t="shared" si="0"/>
        <v>-2475</v>
      </c>
    </row>
    <row r="15" spans="1:9" ht="15.75" customHeight="1" x14ac:dyDescent="0.2">
      <c r="A15" s="62">
        <v>8</v>
      </c>
      <c r="B15" s="106">
        <f>SUM('GENSET #1:GENSET #5'!D17)</f>
        <v>25450</v>
      </c>
      <c r="C15" s="106">
        <f>'Diesel consumption'!D12</f>
        <v>7140</v>
      </c>
      <c r="D15" s="128">
        <f>'SOLAR METER READING'!D16</f>
        <v>2878</v>
      </c>
      <c r="E15" s="125">
        <f>'Gas-2'!G13</f>
        <v>225</v>
      </c>
      <c r="F15" s="106">
        <f>WATER!V13</f>
        <v>283</v>
      </c>
      <c r="G15" s="236">
        <f>WATER!W13</f>
        <v>16.5</v>
      </c>
      <c r="H15" s="18">
        <f>'SOLAR METER READING'!E16</f>
        <v>0</v>
      </c>
      <c r="I15" s="330">
        <f t="shared" si="0"/>
        <v>759</v>
      </c>
    </row>
    <row r="16" spans="1:9" ht="15.75" customHeight="1" x14ac:dyDescent="0.2">
      <c r="A16" s="62">
        <v>9</v>
      </c>
      <c r="B16" s="106">
        <f>SUM('GENSET #1:GENSET #5'!D18)</f>
        <v>22674</v>
      </c>
      <c r="C16" s="106">
        <f>'Diesel consumption'!D13</f>
        <v>6290</v>
      </c>
      <c r="D16" s="128">
        <f>'SOLAR METER READING'!D17</f>
        <v>1357</v>
      </c>
      <c r="E16" s="125">
        <f>'Gas-2'!G14</f>
        <v>225</v>
      </c>
      <c r="F16" s="106">
        <f>WATER!V14</f>
        <v>318</v>
      </c>
      <c r="G16" s="236">
        <f>WATER!W14</f>
        <v>16.5</v>
      </c>
      <c r="H16" s="329">
        <f>'SOLAR METER READING'!E17</f>
        <v>0</v>
      </c>
      <c r="I16" s="330">
        <f t="shared" si="0"/>
        <v>-2776</v>
      </c>
    </row>
    <row r="17" spans="1:9" ht="15.75" customHeight="1" x14ac:dyDescent="0.2">
      <c r="A17" s="62">
        <v>10</v>
      </c>
      <c r="B17" s="106">
        <f>SUM('GENSET #1:GENSET #5'!D19)</f>
        <v>23356</v>
      </c>
      <c r="C17" s="106">
        <f>'Diesel consumption'!D14</f>
        <v>6340</v>
      </c>
      <c r="D17" s="128">
        <f>'SOLAR METER READING'!D18</f>
        <v>1886</v>
      </c>
      <c r="E17" s="125">
        <f>'Gas-2'!G15</f>
        <v>270</v>
      </c>
      <c r="F17" s="106">
        <f>WATER!V15</f>
        <v>376</v>
      </c>
      <c r="G17" s="236">
        <f>WATER!W15</f>
        <v>13.6</v>
      </c>
      <c r="H17" s="329">
        <f>'SOLAR METER READING'!E18</f>
        <v>0</v>
      </c>
      <c r="I17" s="330">
        <f t="shared" si="0"/>
        <v>682</v>
      </c>
    </row>
    <row r="18" spans="1:9" ht="15.75" customHeight="1" x14ac:dyDescent="0.2">
      <c r="A18" s="62">
        <v>11</v>
      </c>
      <c r="B18" s="106">
        <f>SUM('GENSET #1:GENSET #5'!D20)</f>
        <v>23328</v>
      </c>
      <c r="C18" s="106">
        <f>'Diesel consumption'!D15</f>
        <v>6440</v>
      </c>
      <c r="D18" s="128">
        <f>'SOLAR METER READING'!D19</f>
        <v>3046</v>
      </c>
      <c r="E18" s="125">
        <f>'Gas-2'!G16</f>
        <v>225</v>
      </c>
      <c r="F18" s="106">
        <f>WATER!V16</f>
        <v>286</v>
      </c>
      <c r="G18" s="236">
        <f>WATER!W16</f>
        <v>11.7</v>
      </c>
      <c r="H18" s="329">
        <f>'SOLAR METER READING'!E19</f>
        <v>0</v>
      </c>
      <c r="I18" s="330">
        <f t="shared" si="0"/>
        <v>-28</v>
      </c>
    </row>
    <row r="19" spans="1:9" ht="15.75" customHeight="1" x14ac:dyDescent="0.2">
      <c r="A19" s="62">
        <v>12</v>
      </c>
      <c r="B19" s="106">
        <f>SUM('GENSET #1:GENSET #5'!D21)</f>
        <v>25504</v>
      </c>
      <c r="C19" s="106">
        <f>'Diesel consumption'!D16</f>
        <v>6930</v>
      </c>
      <c r="D19" s="128">
        <f>'SOLAR METER READING'!D20</f>
        <v>3076</v>
      </c>
      <c r="E19" s="125">
        <f>'Gas-2'!G17</f>
        <v>225</v>
      </c>
      <c r="F19" s="106">
        <f>WATER!V17</f>
        <v>300</v>
      </c>
      <c r="G19" s="236">
        <f>WATER!W17</f>
        <v>11.7</v>
      </c>
      <c r="H19" s="329">
        <f>'SOLAR METER READING'!E20</f>
        <v>0</v>
      </c>
      <c r="I19" s="330">
        <f t="shared" si="0"/>
        <v>2176</v>
      </c>
    </row>
    <row r="20" spans="1:9" ht="15.75" customHeight="1" x14ac:dyDescent="0.2">
      <c r="A20" s="62">
        <v>13</v>
      </c>
      <c r="B20" s="106">
        <f>SUM('GENSET #1:GENSET #5'!D22)</f>
        <v>24640</v>
      </c>
      <c r="C20" s="106">
        <f>'Diesel consumption'!D17</f>
        <v>7030</v>
      </c>
      <c r="D20" s="128">
        <f>'SOLAR METER READING'!D21</f>
        <v>2917</v>
      </c>
      <c r="E20" s="125">
        <f>'Gas-2'!G18</f>
        <v>225</v>
      </c>
      <c r="F20" s="106">
        <f>WATER!V18</f>
        <v>319</v>
      </c>
      <c r="G20" s="236">
        <f>WATER!W18</f>
        <v>12.6</v>
      </c>
      <c r="H20" s="329">
        <f>'SOLAR METER READING'!E21</f>
        <v>0</v>
      </c>
      <c r="I20" s="330">
        <f t="shared" si="0"/>
        <v>-864</v>
      </c>
    </row>
    <row r="21" spans="1:9" ht="15.75" customHeight="1" x14ac:dyDescent="0.2">
      <c r="A21" s="62">
        <v>14</v>
      </c>
      <c r="B21" s="106">
        <f>SUM('GENSET #1:GENSET #5'!D23)</f>
        <v>25043</v>
      </c>
      <c r="C21" s="106">
        <f>'Diesel consumption'!D18</f>
        <v>6670</v>
      </c>
      <c r="D21" s="128">
        <f>'SOLAR METER READING'!D22</f>
        <v>3247</v>
      </c>
      <c r="E21" s="125">
        <f>'Gas-2'!G19</f>
        <v>225</v>
      </c>
      <c r="F21" s="106">
        <f>WATER!V19</f>
        <v>298</v>
      </c>
      <c r="G21" s="236">
        <f>WATER!W19</f>
        <v>13.6</v>
      </c>
      <c r="H21" s="329">
        <f>'SOLAR METER READING'!E22</f>
        <v>0</v>
      </c>
      <c r="I21" s="330">
        <f t="shared" si="0"/>
        <v>403</v>
      </c>
    </row>
    <row r="22" spans="1:9" ht="15.75" customHeight="1" x14ac:dyDescent="0.2">
      <c r="A22" s="62">
        <v>15</v>
      </c>
      <c r="B22" s="106">
        <f>SUM('GENSET #1:GENSET #5'!D24)</f>
        <v>24719</v>
      </c>
      <c r="C22" s="106">
        <f>'Diesel consumption'!D19</f>
        <v>6910</v>
      </c>
      <c r="D22" s="128">
        <f>'SOLAR METER READING'!D23</f>
        <v>2877</v>
      </c>
      <c r="E22" s="125">
        <f>'Gas-2'!G20</f>
        <v>270</v>
      </c>
      <c r="F22" s="106">
        <f>WATER!V20</f>
        <v>358</v>
      </c>
      <c r="G22" s="236">
        <f>WATER!W20</f>
        <v>16.5</v>
      </c>
      <c r="H22" s="329">
        <f>'SOLAR METER READING'!E23</f>
        <v>0</v>
      </c>
      <c r="I22" s="330">
        <f t="shared" si="0"/>
        <v>-324</v>
      </c>
    </row>
    <row r="23" spans="1:9" ht="15.75" customHeight="1" x14ac:dyDescent="0.2">
      <c r="A23" s="62">
        <v>16</v>
      </c>
      <c r="B23" s="106">
        <f>SUM('GENSET #1:GENSET #5'!D25)</f>
        <v>25655</v>
      </c>
      <c r="C23" s="106">
        <f>'Diesel consumption'!D20</f>
        <v>6800</v>
      </c>
      <c r="D23" s="128">
        <f>'SOLAR METER READING'!D24</f>
        <v>3133</v>
      </c>
      <c r="E23" s="125">
        <f>'Gas-2'!G21</f>
        <v>180</v>
      </c>
      <c r="F23" s="106">
        <f>WATER!V21</f>
        <v>337</v>
      </c>
      <c r="G23" s="236">
        <f>WATER!W21</f>
        <v>21</v>
      </c>
      <c r="H23" s="329">
        <f>'SOLAR METER READING'!E24</f>
        <v>0</v>
      </c>
      <c r="I23" s="330">
        <f t="shared" si="0"/>
        <v>936</v>
      </c>
    </row>
    <row r="24" spans="1:9" ht="15.75" customHeight="1" x14ac:dyDescent="0.2">
      <c r="A24" s="62">
        <v>17</v>
      </c>
      <c r="B24" s="106">
        <f>SUM('GENSET #1:GENSET #5'!D26)</f>
        <v>25064</v>
      </c>
      <c r="C24" s="106">
        <f>'Diesel consumption'!D21</f>
        <v>7060</v>
      </c>
      <c r="D24" s="128">
        <f>'SOLAR METER READING'!D25</f>
        <v>2950</v>
      </c>
      <c r="E24" s="125">
        <f>'Gas-2'!G22</f>
        <v>225</v>
      </c>
      <c r="F24" s="106">
        <f>WATER!V22</f>
        <v>336</v>
      </c>
      <c r="G24" s="236">
        <f>WATER!W22</f>
        <v>0</v>
      </c>
      <c r="H24" s="329">
        <f>'SOLAR METER READING'!E25</f>
        <v>0</v>
      </c>
      <c r="I24" s="330">
        <f t="shared" si="0"/>
        <v>-591</v>
      </c>
    </row>
    <row r="25" spans="1:9" ht="15.75" customHeight="1" x14ac:dyDescent="0.2">
      <c r="A25" s="62">
        <v>18</v>
      </c>
      <c r="B25" s="106">
        <f>SUM('GENSET #1:GENSET #5'!D27)</f>
        <v>-91731072</v>
      </c>
      <c r="C25" s="106">
        <f>'Diesel consumption'!D22</f>
        <v>-44447810</v>
      </c>
      <c r="D25" s="128">
        <f>'SOLAR METER READING'!D26</f>
        <v>-2809644</v>
      </c>
      <c r="E25" s="125">
        <f>'Gas-2'!G23</f>
        <v>0</v>
      </c>
      <c r="F25" s="106">
        <f>WATER!V23</f>
        <v>310</v>
      </c>
      <c r="G25" s="236">
        <f>WATER!W23</f>
        <v>0</v>
      </c>
      <c r="H25" s="329">
        <f>'SOLAR METER READING'!E26</f>
        <v>0</v>
      </c>
      <c r="I25" s="330">
        <f t="shared" si="0"/>
        <v>-91756136</v>
      </c>
    </row>
    <row r="26" spans="1:9" ht="15.75" customHeight="1" x14ac:dyDescent="0.2">
      <c r="A26" s="62">
        <v>19</v>
      </c>
      <c r="B26" s="106">
        <f>SUM('GENSET #1:GENSET #5'!D28)</f>
        <v>0</v>
      </c>
      <c r="C26" s="106">
        <f>'Diesel consumption'!D23</f>
        <v>0</v>
      </c>
      <c r="D26" s="128">
        <f>'SOLAR METER READING'!D27</f>
        <v>0</v>
      </c>
      <c r="E26" s="125">
        <f>'Gas-2'!G24</f>
        <v>0</v>
      </c>
      <c r="F26" s="106">
        <f>WATER!V24</f>
        <v>-974876</v>
      </c>
      <c r="G26" s="236">
        <f>WATER!W24</f>
        <v>0</v>
      </c>
      <c r="H26" s="329">
        <f>'SOLAR METER READING'!E27</f>
        <v>0</v>
      </c>
      <c r="I26" s="330">
        <f t="shared" si="0"/>
        <v>91731072</v>
      </c>
    </row>
    <row r="27" spans="1:9" ht="15.75" customHeight="1" x14ac:dyDescent="0.2">
      <c r="A27" s="62">
        <v>20</v>
      </c>
      <c r="B27" s="106">
        <f>SUM('GENSET #1:GENSET #5'!D29)</f>
        <v>0</v>
      </c>
      <c r="C27" s="106">
        <f>'Diesel consumption'!D24</f>
        <v>0</v>
      </c>
      <c r="D27" s="128">
        <f>'SOLAR METER READING'!D28</f>
        <v>0</v>
      </c>
      <c r="E27" s="125">
        <f>'Gas-2'!G25</f>
        <v>0</v>
      </c>
      <c r="F27" s="106">
        <f>WATER!V25</f>
        <v>0</v>
      </c>
      <c r="G27" s="236">
        <f>WATER!W25</f>
        <v>0</v>
      </c>
      <c r="H27" s="329">
        <f>'SOLAR METER READING'!E28</f>
        <v>0</v>
      </c>
      <c r="I27" s="330">
        <f t="shared" si="0"/>
        <v>0</v>
      </c>
    </row>
    <row r="28" spans="1:9" ht="15.75" customHeight="1" x14ac:dyDescent="0.2">
      <c r="A28" s="62">
        <v>21</v>
      </c>
      <c r="B28" s="106">
        <f>SUM('GENSET #1:GENSET #5'!D30)</f>
        <v>0</v>
      </c>
      <c r="C28" s="106">
        <f>'Diesel consumption'!D25</f>
        <v>0</v>
      </c>
      <c r="D28" s="128">
        <f>'SOLAR METER READING'!D29</f>
        <v>0</v>
      </c>
      <c r="E28" s="125">
        <f>'Gas-2'!G26</f>
        <v>0</v>
      </c>
      <c r="F28" s="106">
        <f>WATER!V26</f>
        <v>0</v>
      </c>
      <c r="G28" s="236">
        <f>WATER!W26</f>
        <v>0</v>
      </c>
      <c r="H28" s="329">
        <f>'SOLAR METER READING'!E29</f>
        <v>0</v>
      </c>
      <c r="I28" s="330">
        <f t="shared" si="0"/>
        <v>0</v>
      </c>
    </row>
    <row r="29" spans="1:9" ht="15.75" customHeight="1" x14ac:dyDescent="0.2">
      <c r="A29" s="62">
        <v>22</v>
      </c>
      <c r="B29" s="106">
        <f>SUM('GENSET #1:GENSET #5'!D31)</f>
        <v>0</v>
      </c>
      <c r="C29" s="106">
        <f>'Diesel consumption'!D26</f>
        <v>0</v>
      </c>
      <c r="D29" s="128">
        <f>'SOLAR METER READING'!D30</f>
        <v>0</v>
      </c>
      <c r="E29" s="125">
        <f>'Gas-2'!G27</f>
        <v>0</v>
      </c>
      <c r="F29" s="106">
        <f>WATER!V27</f>
        <v>0</v>
      </c>
      <c r="G29" s="236">
        <f>WATER!W27</f>
        <v>0</v>
      </c>
      <c r="H29" s="329">
        <f>'SOLAR METER READING'!E30</f>
        <v>0</v>
      </c>
      <c r="I29" s="330">
        <f t="shared" si="0"/>
        <v>0</v>
      </c>
    </row>
    <row r="30" spans="1:9" ht="15.75" customHeight="1" x14ac:dyDescent="0.2">
      <c r="A30" s="62">
        <v>23</v>
      </c>
      <c r="B30" s="106">
        <f>SUM('GENSET #1:GENSET #5'!D32)</f>
        <v>0</v>
      </c>
      <c r="C30" s="106">
        <f>'Diesel consumption'!D27</f>
        <v>0</v>
      </c>
      <c r="D30" s="128">
        <f>'SOLAR METER READING'!D31</f>
        <v>0</v>
      </c>
      <c r="E30" s="125">
        <f>'Gas-2'!G28</f>
        <v>0</v>
      </c>
      <c r="F30" s="106">
        <f>WATER!V28</f>
        <v>0</v>
      </c>
      <c r="G30" s="236">
        <f>WATER!W28</f>
        <v>0</v>
      </c>
      <c r="H30" s="329">
        <f>'SOLAR METER READING'!E31</f>
        <v>0</v>
      </c>
      <c r="I30" s="330">
        <f t="shared" si="0"/>
        <v>0</v>
      </c>
    </row>
    <row r="31" spans="1:9" ht="15.75" customHeight="1" x14ac:dyDescent="0.2">
      <c r="A31" s="62">
        <v>24</v>
      </c>
      <c r="B31" s="106">
        <f>SUM('GENSET #1:GENSET #5'!D33)</f>
        <v>0</v>
      </c>
      <c r="C31" s="106">
        <f>'Diesel consumption'!D28</f>
        <v>0</v>
      </c>
      <c r="D31" s="128">
        <f>'SOLAR METER READING'!D32</f>
        <v>0</v>
      </c>
      <c r="E31" s="125">
        <f>'Gas-2'!G29</f>
        <v>0</v>
      </c>
      <c r="F31" s="106">
        <f>WATER!V29</f>
        <v>0</v>
      </c>
      <c r="G31" s="236">
        <f>WATER!W29</f>
        <v>0</v>
      </c>
      <c r="H31" s="329">
        <f>'SOLAR METER READING'!E32</f>
        <v>0</v>
      </c>
      <c r="I31" s="330">
        <f t="shared" si="0"/>
        <v>0</v>
      </c>
    </row>
    <row r="32" spans="1:9" ht="15.75" customHeight="1" x14ac:dyDescent="0.2">
      <c r="A32" s="62">
        <v>25</v>
      </c>
      <c r="B32" s="106">
        <f>SUM('GENSET #1:GENSET #5'!D34)</f>
        <v>0</v>
      </c>
      <c r="C32" s="106">
        <f>'Diesel consumption'!D29</f>
        <v>0</v>
      </c>
      <c r="D32" s="128">
        <f>'SOLAR METER READING'!D33</f>
        <v>0</v>
      </c>
      <c r="E32" s="125">
        <f>'Gas-2'!G30</f>
        <v>0</v>
      </c>
      <c r="F32" s="106">
        <f>WATER!V30</f>
        <v>0</v>
      </c>
      <c r="G32" s="236">
        <f>WATER!W30</f>
        <v>0</v>
      </c>
      <c r="H32" s="329">
        <f>'SOLAR METER READING'!E33</f>
        <v>0</v>
      </c>
      <c r="I32" s="330">
        <f t="shared" si="0"/>
        <v>0</v>
      </c>
    </row>
    <row r="33" spans="1:11" ht="15.75" customHeight="1" x14ac:dyDescent="0.2">
      <c r="A33" s="62">
        <v>26</v>
      </c>
      <c r="B33" s="131">
        <f>SUM('GENSET #1:GENSET #5'!D35)</f>
        <v>0</v>
      </c>
      <c r="C33" s="106">
        <f>'Diesel consumption'!D30</f>
        <v>0</v>
      </c>
      <c r="D33" s="128">
        <f>'SOLAR METER READING'!D34</f>
        <v>0</v>
      </c>
      <c r="E33" s="125">
        <f>'Gas-2'!G31</f>
        <v>0</v>
      </c>
      <c r="F33" s="106">
        <f>WATER!V31</f>
        <v>0</v>
      </c>
      <c r="G33" s="236">
        <f>WATER!W31</f>
        <v>0</v>
      </c>
      <c r="H33" s="329">
        <f>'SOLAR METER READING'!E34</f>
        <v>0</v>
      </c>
      <c r="I33" s="330">
        <f t="shared" si="0"/>
        <v>0</v>
      </c>
    </row>
    <row r="34" spans="1:11" ht="15.75" customHeight="1" x14ac:dyDescent="0.2">
      <c r="A34" s="62">
        <v>27</v>
      </c>
      <c r="B34" s="106">
        <f>SUM('GENSET #1:GENSET #5'!D36)</f>
        <v>0</v>
      </c>
      <c r="C34" s="106">
        <f>'Diesel consumption'!D31</f>
        <v>0</v>
      </c>
      <c r="D34" s="128">
        <f>'SOLAR METER READING'!D35</f>
        <v>0</v>
      </c>
      <c r="E34" s="125">
        <f>'Gas-2'!G32</f>
        <v>0</v>
      </c>
      <c r="F34" s="106">
        <f>WATER!V32</f>
        <v>0</v>
      </c>
      <c r="G34" s="236">
        <f>WATER!W32</f>
        <v>0</v>
      </c>
      <c r="H34" s="329">
        <f>'SOLAR METER READING'!E35</f>
        <v>0</v>
      </c>
      <c r="I34" s="330">
        <f t="shared" si="0"/>
        <v>0</v>
      </c>
    </row>
    <row r="35" spans="1:11" ht="15.75" customHeight="1" x14ac:dyDescent="0.2">
      <c r="A35" s="62">
        <v>28</v>
      </c>
      <c r="B35" s="106">
        <f>SUM('GENSET #1:GENSET #5'!D37)</f>
        <v>0</v>
      </c>
      <c r="C35" s="106">
        <f>'Diesel consumption'!D32</f>
        <v>0</v>
      </c>
      <c r="D35" s="128">
        <f>'SOLAR METER READING'!D36</f>
        <v>0</v>
      </c>
      <c r="E35" s="125">
        <f>'Gas-2'!G33</f>
        <v>0</v>
      </c>
      <c r="F35" s="106">
        <f>WATER!V33</f>
        <v>0</v>
      </c>
      <c r="G35" s="236">
        <f>WATER!W33</f>
        <v>0</v>
      </c>
      <c r="H35" s="329">
        <f>'SOLAR METER READING'!E36</f>
        <v>0</v>
      </c>
      <c r="I35" s="330">
        <f t="shared" si="0"/>
        <v>0</v>
      </c>
    </row>
    <row r="36" spans="1:11" ht="15.75" customHeight="1" x14ac:dyDescent="0.2">
      <c r="A36" s="62">
        <v>29</v>
      </c>
      <c r="B36" s="106">
        <f>SUM('GENSET #1:GENSET #5'!D38)</f>
        <v>0</v>
      </c>
      <c r="C36" s="106">
        <f>'Diesel consumption'!D33</f>
        <v>0</v>
      </c>
      <c r="D36" s="128">
        <f>'SOLAR METER READING'!D37</f>
        <v>0</v>
      </c>
      <c r="E36" s="125">
        <f>'Gas-2'!G34</f>
        <v>0</v>
      </c>
      <c r="F36" s="106">
        <f>WATER!V34</f>
        <v>0</v>
      </c>
      <c r="G36" s="236">
        <f>WATER!W34</f>
        <v>0</v>
      </c>
      <c r="H36" s="329">
        <f>'SOLAR METER READING'!E37</f>
        <v>0</v>
      </c>
      <c r="I36" s="330">
        <f t="shared" si="0"/>
        <v>0</v>
      </c>
    </row>
    <row r="37" spans="1:11" ht="15.75" customHeight="1" x14ac:dyDescent="0.2">
      <c r="A37" s="62">
        <v>30</v>
      </c>
      <c r="B37" s="106">
        <f>SUM('GENSET #1:GENSET #5'!D39)</f>
        <v>0</v>
      </c>
      <c r="C37" s="106">
        <f>'Diesel consumption'!D34</f>
        <v>0</v>
      </c>
      <c r="D37" s="128">
        <f>'SOLAR METER READING'!D38</f>
        <v>0</v>
      </c>
      <c r="E37" s="125">
        <f>'Gas-2'!G35</f>
        <v>0</v>
      </c>
      <c r="F37" s="106">
        <f>WATER!V35</f>
        <v>0</v>
      </c>
      <c r="G37" s="236">
        <f>WATER!W35</f>
        <v>0</v>
      </c>
      <c r="H37" s="329">
        <f>'SOLAR METER READING'!E38</f>
        <v>0</v>
      </c>
      <c r="I37" s="330">
        <f t="shared" si="0"/>
        <v>0</v>
      </c>
    </row>
    <row r="38" spans="1:11" ht="15.75" customHeight="1" x14ac:dyDescent="0.2">
      <c r="A38" s="62">
        <v>31</v>
      </c>
      <c r="B38" s="106"/>
      <c r="C38" s="106"/>
      <c r="D38" s="128"/>
      <c r="E38" s="125"/>
      <c r="F38" s="106"/>
      <c r="G38" s="236"/>
      <c r="H38" s="329">
        <f>'SOLAR METER READING'!E39</f>
        <v>0</v>
      </c>
      <c r="I38" s="330">
        <f t="shared" si="0"/>
        <v>0</v>
      </c>
    </row>
    <row r="39" spans="1:11" ht="18.75" customHeight="1" thickBot="1" x14ac:dyDescent="0.25">
      <c r="A39" s="117" t="s">
        <v>7</v>
      </c>
      <c r="B39" s="123">
        <f>SUM(B8:B38)</f>
        <v>-91300142</v>
      </c>
      <c r="C39" s="123">
        <f>SUM(C8:C38)</f>
        <v>-44329360</v>
      </c>
      <c r="D39" s="123">
        <f>SUM(D8:D38)</f>
        <v>-2764195</v>
      </c>
      <c r="E39" s="130">
        <f>SUM(E8:E38)</f>
        <v>3915</v>
      </c>
      <c r="F39" s="9">
        <f>SUM(F8:F38)</f>
        <v>-969047</v>
      </c>
      <c r="G39" s="236">
        <f>SUM(G8:G37)/30</f>
        <v>7.9833333333333325</v>
      </c>
      <c r="H39" s="18"/>
      <c r="K39" s="102"/>
    </row>
    <row r="40" spans="1:11" ht="13.5" thickTop="1" x14ac:dyDescent="0.2">
      <c r="A40" s="117" t="s">
        <v>164</v>
      </c>
      <c r="B40" s="126">
        <f>B39/30</f>
        <v>-3043338.0666666669</v>
      </c>
      <c r="C40" s="126">
        <f>C39/30</f>
        <v>-1477645.3333333333</v>
      </c>
      <c r="D40" s="126">
        <f>D39/30</f>
        <v>-92139.833333333328</v>
      </c>
      <c r="E40" s="67">
        <f>E39/30</f>
        <v>130.5</v>
      </c>
      <c r="F40" s="2">
        <f>F39/31</f>
        <v>-31259.580645161292</v>
      </c>
    </row>
  </sheetData>
  <mergeCells count="2">
    <mergeCell ref="E6:F6"/>
    <mergeCell ref="A1:F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J42"/>
  <sheetViews>
    <sheetView topLeftCell="A7" zoomScaleNormal="100" workbookViewId="0">
      <selection activeCell="C27" sqref="C27"/>
    </sheetView>
  </sheetViews>
  <sheetFormatPr defaultRowHeight="12.75" x14ac:dyDescent="0.2"/>
  <cols>
    <col min="1" max="1" width="8.28515625" customWidth="1"/>
    <col min="2" max="3" width="13.5703125" style="18" customWidth="1"/>
    <col min="4" max="4" width="19.7109375" style="18" bestFit="1" customWidth="1"/>
    <col min="5" max="6" width="5.28515625" style="18" customWidth="1"/>
  </cols>
  <sheetData>
    <row r="1" spans="1:6" x14ac:dyDescent="0.2">
      <c r="C1" s="341" t="s">
        <v>16</v>
      </c>
      <c r="D1" s="341"/>
    </row>
    <row r="2" spans="1:6" x14ac:dyDescent="0.2">
      <c r="C2" s="341"/>
      <c r="D2" s="341"/>
    </row>
    <row r="3" spans="1:6" ht="34.5" x14ac:dyDescent="0.2">
      <c r="B3" s="19"/>
      <c r="C3" s="20" t="s">
        <v>17</v>
      </c>
      <c r="D3" s="21"/>
    </row>
    <row r="4" spans="1:6" ht="34.5" x14ac:dyDescent="0.2">
      <c r="C4" s="21"/>
      <c r="D4" s="21"/>
    </row>
    <row r="5" spans="1:6" ht="14.25" customHeight="1" x14ac:dyDescent="0.2">
      <c r="A5" s="6"/>
      <c r="B5" s="22"/>
      <c r="C5" s="23"/>
      <c r="D5" s="23"/>
    </row>
    <row r="6" spans="1:6" s="1" customFormat="1" ht="34.5" x14ac:dyDescent="0.2">
      <c r="A6" s="74">
        <v>44378</v>
      </c>
      <c r="B6" s="74"/>
      <c r="C6" s="21"/>
      <c r="D6" s="21"/>
      <c r="E6" s="24"/>
      <c r="F6" s="24"/>
    </row>
    <row r="7" spans="1:6" ht="13.5" thickBot="1" x14ac:dyDescent="0.25"/>
    <row r="8" spans="1:6" ht="15.75" customHeight="1" thickBot="1" x14ac:dyDescent="0.25">
      <c r="A8" s="1"/>
      <c r="B8" s="342" t="s">
        <v>18</v>
      </c>
      <c r="C8" s="343"/>
      <c r="D8" s="63"/>
    </row>
    <row r="9" spans="1:6" ht="26.25" customHeight="1" thickBot="1" x14ac:dyDescent="0.25">
      <c r="A9" s="26" t="s">
        <v>5</v>
      </c>
      <c r="B9" s="27" t="s">
        <v>19</v>
      </c>
      <c r="C9" s="28" t="s">
        <v>20</v>
      </c>
      <c r="D9" s="54" t="s">
        <v>35</v>
      </c>
      <c r="E9" s="29"/>
      <c r="F9" s="29"/>
    </row>
    <row r="10" spans="1:6" x14ac:dyDescent="0.2">
      <c r="A10" s="30">
        <v>1</v>
      </c>
      <c r="B10" s="72">
        <v>17388477</v>
      </c>
      <c r="C10" s="72">
        <v>17398518</v>
      </c>
      <c r="D10" s="6">
        <f>C10-B10</f>
        <v>10041</v>
      </c>
      <c r="E10" s="29"/>
      <c r="F10" s="29"/>
    </row>
    <row r="11" spans="1:6" ht="13.5" customHeight="1" x14ac:dyDescent="0.2">
      <c r="A11" s="30">
        <v>2</v>
      </c>
      <c r="B11" s="31">
        <f t="shared" ref="B11:B37" si="0">C10</f>
        <v>17398518</v>
      </c>
      <c r="C11" s="72">
        <v>17406657</v>
      </c>
      <c r="D11" s="6">
        <f t="shared" ref="D11:D37" si="1">C11-B11</f>
        <v>8139</v>
      </c>
      <c r="E11" s="34"/>
      <c r="F11" s="34"/>
    </row>
    <row r="12" spans="1:6" ht="13.5" customHeight="1" x14ac:dyDescent="0.2">
      <c r="A12" s="30">
        <v>3</v>
      </c>
      <c r="B12" s="33">
        <f t="shared" si="0"/>
        <v>17406657</v>
      </c>
      <c r="C12" s="72">
        <v>17418372</v>
      </c>
      <c r="D12" s="6">
        <f t="shared" si="1"/>
        <v>11715</v>
      </c>
      <c r="E12" s="34"/>
      <c r="F12" s="34"/>
    </row>
    <row r="13" spans="1:6" ht="13.5" customHeight="1" x14ac:dyDescent="0.2">
      <c r="A13" s="30">
        <v>4</v>
      </c>
      <c r="B13" s="33">
        <f t="shared" si="0"/>
        <v>17418372</v>
      </c>
      <c r="C13" s="72">
        <v>17426569</v>
      </c>
      <c r="D13" s="6">
        <f t="shared" si="1"/>
        <v>8197</v>
      </c>
      <c r="E13" s="34"/>
      <c r="F13" s="34"/>
    </row>
    <row r="14" spans="1:6" ht="13.5" customHeight="1" x14ac:dyDescent="0.2">
      <c r="A14" s="30">
        <v>5</v>
      </c>
      <c r="B14" s="33">
        <f t="shared" si="0"/>
        <v>17426569</v>
      </c>
      <c r="C14" s="72">
        <v>17429586</v>
      </c>
      <c r="D14" s="6">
        <f t="shared" si="1"/>
        <v>3017</v>
      </c>
      <c r="E14" s="34"/>
      <c r="F14" s="34"/>
    </row>
    <row r="15" spans="1:6" ht="13.5" customHeight="1" x14ac:dyDescent="0.2">
      <c r="A15" s="30">
        <v>6</v>
      </c>
      <c r="B15" s="33">
        <f t="shared" si="0"/>
        <v>17429586</v>
      </c>
      <c r="C15" s="72">
        <v>17441352</v>
      </c>
      <c r="D15" s="6">
        <f>C15-B15</f>
        <v>11766</v>
      </c>
      <c r="E15" s="34"/>
      <c r="F15" s="34"/>
    </row>
    <row r="16" spans="1:6" ht="13.5" customHeight="1" x14ac:dyDescent="0.2">
      <c r="A16" s="30">
        <v>7</v>
      </c>
      <c r="B16" s="33">
        <f t="shared" si="0"/>
        <v>17441352</v>
      </c>
      <c r="C16" s="72">
        <v>17442048</v>
      </c>
      <c r="D16" s="6">
        <f t="shared" si="1"/>
        <v>696</v>
      </c>
      <c r="E16" s="34"/>
      <c r="F16" s="34"/>
    </row>
    <row r="17" spans="1:6" ht="13.5" customHeight="1" x14ac:dyDescent="0.2">
      <c r="A17" s="30">
        <v>8</v>
      </c>
      <c r="B17" s="33">
        <f t="shared" si="0"/>
        <v>17442048</v>
      </c>
      <c r="C17" s="72">
        <v>17452919</v>
      </c>
      <c r="D17" s="6">
        <f t="shared" si="1"/>
        <v>10871</v>
      </c>
      <c r="E17" s="34"/>
      <c r="F17" s="34"/>
    </row>
    <row r="18" spans="1:6" ht="13.5" customHeight="1" x14ac:dyDescent="0.2">
      <c r="A18" s="30">
        <v>9</v>
      </c>
      <c r="B18" s="33">
        <f t="shared" si="0"/>
        <v>17452919</v>
      </c>
      <c r="C18" s="72">
        <v>17461253</v>
      </c>
      <c r="D18" s="6">
        <f t="shared" si="1"/>
        <v>8334</v>
      </c>
      <c r="E18" s="34"/>
      <c r="F18" s="34"/>
    </row>
    <row r="19" spans="1:6" ht="13.5" customHeight="1" x14ac:dyDescent="0.2">
      <c r="A19" s="30">
        <v>10</v>
      </c>
      <c r="B19" s="33">
        <f t="shared" si="0"/>
        <v>17461253</v>
      </c>
      <c r="C19" s="72">
        <v>17469221</v>
      </c>
      <c r="D19" s="6">
        <f t="shared" si="1"/>
        <v>7968</v>
      </c>
      <c r="E19" s="34"/>
      <c r="F19" s="34"/>
    </row>
    <row r="20" spans="1:6" ht="13.5" customHeight="1" x14ac:dyDescent="0.2">
      <c r="A20" s="30">
        <v>11</v>
      </c>
      <c r="B20" s="33">
        <f t="shared" si="0"/>
        <v>17469221</v>
      </c>
      <c r="C20" s="72">
        <v>17478279</v>
      </c>
      <c r="D20" s="6">
        <f t="shared" si="1"/>
        <v>9058</v>
      </c>
      <c r="E20" s="34"/>
      <c r="F20" s="34"/>
    </row>
    <row r="21" spans="1:6" ht="13.5" customHeight="1" x14ac:dyDescent="0.2">
      <c r="A21" s="30">
        <v>12</v>
      </c>
      <c r="B21" s="33">
        <f t="shared" si="0"/>
        <v>17478279</v>
      </c>
      <c r="C21" s="72">
        <v>17482929</v>
      </c>
      <c r="D21" s="6">
        <f t="shared" si="1"/>
        <v>4650</v>
      </c>
      <c r="E21" s="34"/>
      <c r="F21" s="34"/>
    </row>
    <row r="22" spans="1:6" ht="13.5" customHeight="1" x14ac:dyDescent="0.2">
      <c r="A22" s="30">
        <v>13</v>
      </c>
      <c r="B22" s="33">
        <f t="shared" si="0"/>
        <v>17482929</v>
      </c>
      <c r="C22" s="72">
        <v>17494214</v>
      </c>
      <c r="D22" s="6">
        <f t="shared" si="1"/>
        <v>11285</v>
      </c>
      <c r="E22" s="34"/>
      <c r="F22" s="34"/>
    </row>
    <row r="23" spans="1:6" ht="13.5" customHeight="1" x14ac:dyDescent="0.2">
      <c r="A23" s="30">
        <v>14</v>
      </c>
      <c r="B23" s="33">
        <f t="shared" si="0"/>
        <v>17494214</v>
      </c>
      <c r="C23" s="72">
        <v>17498081</v>
      </c>
      <c r="D23" s="6">
        <f t="shared" si="1"/>
        <v>3867</v>
      </c>
      <c r="E23" s="34"/>
      <c r="F23" s="34"/>
    </row>
    <row r="24" spans="1:6" ht="13.5" customHeight="1" x14ac:dyDescent="0.2">
      <c r="A24" s="30">
        <v>15</v>
      </c>
      <c r="B24" s="33">
        <f t="shared" si="0"/>
        <v>17498081</v>
      </c>
      <c r="C24" s="72">
        <v>17509513</v>
      </c>
      <c r="D24" s="6">
        <f t="shared" si="1"/>
        <v>11432</v>
      </c>
      <c r="E24" s="34"/>
      <c r="F24" s="34"/>
    </row>
    <row r="25" spans="1:6" ht="13.5" customHeight="1" x14ac:dyDescent="0.2">
      <c r="A25" s="30">
        <v>16</v>
      </c>
      <c r="B25" s="33">
        <f t="shared" si="0"/>
        <v>17509513</v>
      </c>
      <c r="C25" s="72">
        <v>17512912</v>
      </c>
      <c r="D25" s="6">
        <f t="shared" si="1"/>
        <v>3399</v>
      </c>
      <c r="E25" s="34"/>
      <c r="F25" s="34"/>
    </row>
    <row r="26" spans="1:6" ht="13.5" customHeight="1" x14ac:dyDescent="0.2">
      <c r="A26" s="30">
        <v>17</v>
      </c>
      <c r="B26" s="33">
        <f t="shared" si="0"/>
        <v>17512912</v>
      </c>
      <c r="C26" s="72">
        <v>17524368</v>
      </c>
      <c r="D26" s="6">
        <f t="shared" si="1"/>
        <v>11456</v>
      </c>
      <c r="E26" s="34"/>
      <c r="F26" s="34"/>
    </row>
    <row r="27" spans="1:6" ht="13.5" customHeight="1" x14ac:dyDescent="0.2">
      <c r="A27" s="30">
        <v>18</v>
      </c>
      <c r="B27" s="33">
        <f t="shared" si="0"/>
        <v>17524368</v>
      </c>
      <c r="C27" s="72"/>
      <c r="D27" s="6">
        <f t="shared" si="1"/>
        <v>-17524368</v>
      </c>
      <c r="E27" s="34"/>
      <c r="F27" s="34"/>
    </row>
    <row r="28" spans="1:6" ht="13.5" customHeight="1" x14ac:dyDescent="0.2">
      <c r="A28" s="30">
        <v>19</v>
      </c>
      <c r="B28" s="33">
        <f t="shared" si="0"/>
        <v>0</v>
      </c>
      <c r="C28" s="72"/>
      <c r="D28" s="6">
        <f t="shared" si="1"/>
        <v>0</v>
      </c>
      <c r="E28" s="34"/>
      <c r="F28" s="34"/>
    </row>
    <row r="29" spans="1:6" ht="13.5" customHeight="1" x14ac:dyDescent="0.2">
      <c r="A29" s="30">
        <v>20</v>
      </c>
      <c r="B29" s="33">
        <f t="shared" si="0"/>
        <v>0</v>
      </c>
      <c r="C29" s="72"/>
      <c r="D29" s="6">
        <f>C29-B29</f>
        <v>0</v>
      </c>
      <c r="E29" s="34"/>
      <c r="F29" s="34"/>
    </row>
    <row r="30" spans="1:6" ht="13.5" customHeight="1" x14ac:dyDescent="0.2">
      <c r="A30" s="30">
        <v>21</v>
      </c>
      <c r="B30" s="33">
        <f t="shared" si="0"/>
        <v>0</v>
      </c>
      <c r="C30" s="72"/>
      <c r="D30" s="6">
        <f t="shared" si="1"/>
        <v>0</v>
      </c>
      <c r="E30" s="34"/>
      <c r="F30" s="34"/>
    </row>
    <row r="31" spans="1:6" ht="13.5" customHeight="1" x14ac:dyDescent="0.2">
      <c r="A31" s="30">
        <v>22</v>
      </c>
      <c r="B31" s="33">
        <f t="shared" si="0"/>
        <v>0</v>
      </c>
      <c r="C31" s="72"/>
      <c r="D31" s="6">
        <f t="shared" si="1"/>
        <v>0</v>
      </c>
      <c r="E31" s="34"/>
      <c r="F31" s="34"/>
    </row>
    <row r="32" spans="1:6" ht="13.5" customHeight="1" x14ac:dyDescent="0.2">
      <c r="A32" s="30">
        <v>23</v>
      </c>
      <c r="B32" s="33">
        <f t="shared" si="0"/>
        <v>0</v>
      </c>
      <c r="C32" s="72"/>
      <c r="D32" s="6">
        <f t="shared" si="1"/>
        <v>0</v>
      </c>
      <c r="E32" s="35"/>
      <c r="F32" s="34"/>
    </row>
    <row r="33" spans="1:10" ht="13.5" customHeight="1" x14ac:dyDescent="0.2">
      <c r="A33" s="30">
        <v>24</v>
      </c>
      <c r="B33" s="33">
        <f t="shared" si="0"/>
        <v>0</v>
      </c>
      <c r="C33" s="72"/>
      <c r="D33" s="6">
        <f t="shared" si="1"/>
        <v>0</v>
      </c>
      <c r="E33" s="35"/>
      <c r="F33" s="34"/>
    </row>
    <row r="34" spans="1:10" ht="13.5" customHeight="1" x14ac:dyDescent="0.2">
      <c r="A34" s="30">
        <v>25</v>
      </c>
      <c r="B34" s="33">
        <f t="shared" si="0"/>
        <v>0</v>
      </c>
      <c r="C34" s="94"/>
      <c r="D34" s="6">
        <f>C34-B34</f>
        <v>0</v>
      </c>
      <c r="E34" s="35"/>
      <c r="F34" s="34"/>
    </row>
    <row r="35" spans="1:10" s="3" customFormat="1" ht="13.5" customHeight="1" x14ac:dyDescent="0.2">
      <c r="A35" s="30">
        <v>26</v>
      </c>
      <c r="B35" s="230">
        <f t="shared" si="0"/>
        <v>0</v>
      </c>
      <c r="C35" s="72"/>
      <c r="D35" s="231">
        <f t="shared" si="1"/>
        <v>0</v>
      </c>
      <c r="E35" s="35"/>
      <c r="F35" s="34"/>
    </row>
    <row r="36" spans="1:10" ht="13.5" customHeight="1" x14ac:dyDescent="0.2">
      <c r="A36" s="30">
        <v>27</v>
      </c>
      <c r="B36" s="33">
        <f t="shared" si="0"/>
        <v>0</v>
      </c>
      <c r="C36" s="72"/>
      <c r="D36" s="6">
        <f t="shared" si="1"/>
        <v>0</v>
      </c>
      <c r="E36" s="35"/>
      <c r="F36" s="34"/>
    </row>
    <row r="37" spans="1:10" ht="13.5" customHeight="1" x14ac:dyDescent="0.2">
      <c r="A37" s="30">
        <v>28</v>
      </c>
      <c r="B37" s="33">
        <f t="shared" si="0"/>
        <v>0</v>
      </c>
      <c r="C37" s="72"/>
      <c r="D37" s="6">
        <f t="shared" si="1"/>
        <v>0</v>
      </c>
      <c r="E37" s="35"/>
      <c r="F37" s="34"/>
    </row>
    <row r="38" spans="1:10" ht="13.5" customHeight="1" x14ac:dyDescent="0.2">
      <c r="A38" s="30">
        <v>29</v>
      </c>
      <c r="B38" s="33">
        <f t="shared" ref="B38" si="2">C37</f>
        <v>0</v>
      </c>
      <c r="C38" s="72"/>
      <c r="D38" s="6">
        <f>C38-B38</f>
        <v>0</v>
      </c>
      <c r="E38" s="35"/>
      <c r="F38" s="34"/>
    </row>
    <row r="39" spans="1:10" ht="13.5" customHeight="1" x14ac:dyDescent="0.2">
      <c r="A39" s="30">
        <v>30</v>
      </c>
      <c r="B39" s="33">
        <f>C38</f>
        <v>0</v>
      </c>
      <c r="C39" s="72"/>
      <c r="D39" s="6">
        <f t="shared" ref="D39:D40" si="3">C39-B39</f>
        <v>0</v>
      </c>
      <c r="E39" s="35"/>
      <c r="F39" s="34"/>
      <c r="G39" s="36" t="s">
        <v>21</v>
      </c>
      <c r="H39" s="37"/>
      <c r="I39" s="37"/>
      <c r="J39" s="37"/>
    </row>
    <row r="40" spans="1:10" ht="13.5" customHeight="1" x14ac:dyDescent="0.2">
      <c r="A40" s="30">
        <v>31</v>
      </c>
      <c r="B40" s="33">
        <f>C39</f>
        <v>0</v>
      </c>
      <c r="C40" s="72"/>
      <c r="D40" s="6">
        <f t="shared" si="3"/>
        <v>0</v>
      </c>
      <c r="E40" s="35"/>
      <c r="F40" s="34"/>
      <c r="G40" s="36"/>
      <c r="H40" s="37"/>
      <c r="I40" s="37"/>
      <c r="J40" s="37"/>
    </row>
    <row r="41" spans="1:10" ht="13.5" thickBot="1" x14ac:dyDescent="0.25">
      <c r="A41" t="s">
        <v>7</v>
      </c>
      <c r="D41" s="39">
        <f>SUM(D10:D40)</f>
        <v>-17388477</v>
      </c>
      <c r="G41" s="36" t="s">
        <v>22</v>
      </c>
      <c r="H41" s="40"/>
      <c r="I41" s="40"/>
      <c r="J41" s="40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42"/>
  <sheetViews>
    <sheetView topLeftCell="A7" workbookViewId="0">
      <selection activeCell="C27" sqref="C27"/>
    </sheetView>
  </sheetViews>
  <sheetFormatPr defaultRowHeight="12.75" x14ac:dyDescent="0.2"/>
  <cols>
    <col min="1" max="1" width="9.85546875" customWidth="1"/>
    <col min="2" max="3" width="13.5703125" style="18" customWidth="1"/>
    <col min="4" max="4" width="16.140625" style="18" customWidth="1"/>
    <col min="5" max="5" width="5.28515625" style="18" customWidth="1"/>
    <col min="7" max="7" width="13.42578125" customWidth="1"/>
  </cols>
  <sheetData>
    <row r="1" spans="1:7" x14ac:dyDescent="0.2">
      <c r="C1" s="341" t="s">
        <v>23</v>
      </c>
      <c r="D1" s="341"/>
    </row>
    <row r="2" spans="1:7" x14ac:dyDescent="0.2">
      <c r="C2" s="341"/>
      <c r="D2" s="341"/>
    </row>
    <row r="3" spans="1:7" ht="34.5" x14ac:dyDescent="0.2">
      <c r="B3" s="19"/>
      <c r="C3" s="20" t="s">
        <v>24</v>
      </c>
      <c r="D3" s="21"/>
    </row>
    <row r="4" spans="1:7" ht="34.5" x14ac:dyDescent="0.2">
      <c r="C4" s="21"/>
      <c r="D4" s="21"/>
    </row>
    <row r="5" spans="1:7" ht="14.25" customHeight="1" x14ac:dyDescent="0.2">
      <c r="A5" s="6"/>
      <c r="B5" s="22"/>
      <c r="C5" s="23"/>
      <c r="D5" s="23"/>
    </row>
    <row r="6" spans="1:7" s="1" customFormat="1" ht="34.5" x14ac:dyDescent="0.2">
      <c r="A6" s="74">
        <v>44378</v>
      </c>
      <c r="B6" s="4"/>
      <c r="C6" s="21"/>
      <c r="D6" s="21"/>
      <c r="E6" s="24"/>
    </row>
    <row r="7" spans="1:7" ht="13.5" thickBot="1" x14ac:dyDescent="0.25"/>
    <row r="8" spans="1:7" ht="15.75" customHeight="1" thickBot="1" x14ac:dyDescent="0.25">
      <c r="A8" s="1"/>
      <c r="B8" s="342" t="s">
        <v>25</v>
      </c>
      <c r="C8" s="344"/>
      <c r="D8" s="25"/>
    </row>
    <row r="9" spans="1:7" ht="38.25" x14ac:dyDescent="0.2">
      <c r="A9" s="41" t="s">
        <v>5</v>
      </c>
      <c r="B9" s="42" t="s">
        <v>19</v>
      </c>
      <c r="C9" s="43" t="s">
        <v>20</v>
      </c>
      <c r="D9" s="54" t="s">
        <v>29</v>
      </c>
      <c r="E9" s="29"/>
      <c r="F9" s="44"/>
      <c r="G9" s="44"/>
    </row>
    <row r="10" spans="1:7" x14ac:dyDescent="0.2">
      <c r="A10" s="45">
        <v>1</v>
      </c>
      <c r="B10" s="72">
        <v>30372736</v>
      </c>
      <c r="C10" s="72">
        <v>30372736</v>
      </c>
      <c r="D10" s="6">
        <f>C10-B10</f>
        <v>0</v>
      </c>
      <c r="E10" s="29"/>
      <c r="F10" s="44"/>
      <c r="G10" s="44"/>
    </row>
    <row r="11" spans="1:7" ht="13.5" customHeight="1" x14ac:dyDescent="0.2">
      <c r="A11" s="45">
        <v>2</v>
      </c>
      <c r="B11" s="33">
        <f>C10</f>
        <v>30372736</v>
      </c>
      <c r="C11" s="72">
        <v>30372736</v>
      </c>
      <c r="D11" s="6">
        <f t="shared" ref="D11:D39" si="0">C11-B11</f>
        <v>0</v>
      </c>
      <c r="E11" s="34"/>
      <c r="F11" s="46"/>
      <c r="G11" s="47"/>
    </row>
    <row r="12" spans="1:7" ht="13.5" customHeight="1" x14ac:dyDescent="0.2">
      <c r="A12" s="45">
        <v>3</v>
      </c>
      <c r="B12" s="33">
        <f t="shared" ref="B12:B38" si="1">C11</f>
        <v>30372736</v>
      </c>
      <c r="C12" s="72">
        <v>30373162</v>
      </c>
      <c r="D12" s="6">
        <f t="shared" si="0"/>
        <v>426</v>
      </c>
      <c r="E12" s="34"/>
      <c r="F12" s="46"/>
      <c r="G12" s="47"/>
    </row>
    <row r="13" spans="1:7" ht="13.5" customHeight="1" x14ac:dyDescent="0.2">
      <c r="A13" s="45">
        <v>4</v>
      </c>
      <c r="B13" s="33">
        <f t="shared" si="1"/>
        <v>30373162</v>
      </c>
      <c r="C13" s="72">
        <v>30373162</v>
      </c>
      <c r="D13" s="6">
        <f t="shared" si="0"/>
        <v>0</v>
      </c>
      <c r="E13" s="34"/>
      <c r="F13" s="47"/>
      <c r="G13" s="47"/>
    </row>
    <row r="14" spans="1:7" ht="13.5" customHeight="1" x14ac:dyDescent="0.2">
      <c r="A14" s="45">
        <v>5</v>
      </c>
      <c r="B14" s="33">
        <f t="shared" si="1"/>
        <v>30373162</v>
      </c>
      <c r="C14" s="72">
        <v>30373162</v>
      </c>
      <c r="D14" s="6">
        <f t="shared" si="0"/>
        <v>0</v>
      </c>
      <c r="E14" s="34"/>
      <c r="F14" s="47"/>
      <c r="G14" s="47"/>
    </row>
    <row r="15" spans="1:7" ht="13.5" customHeight="1" x14ac:dyDescent="0.2">
      <c r="A15" s="45">
        <v>6</v>
      </c>
      <c r="B15" s="33">
        <f t="shared" si="1"/>
        <v>30373162</v>
      </c>
      <c r="C15" s="72">
        <v>30373162</v>
      </c>
      <c r="D15" s="6">
        <f t="shared" si="0"/>
        <v>0</v>
      </c>
      <c r="E15" s="34"/>
      <c r="F15" s="47"/>
      <c r="G15" s="47"/>
    </row>
    <row r="16" spans="1:7" ht="13.5" customHeight="1" x14ac:dyDescent="0.2">
      <c r="A16" s="45">
        <v>7</v>
      </c>
      <c r="B16" s="33">
        <f t="shared" si="1"/>
        <v>30373162</v>
      </c>
      <c r="C16" s="72">
        <v>30373162</v>
      </c>
      <c r="D16" s="6">
        <f t="shared" si="0"/>
        <v>0</v>
      </c>
      <c r="E16" s="34"/>
      <c r="F16" s="47"/>
      <c r="G16" s="47"/>
    </row>
    <row r="17" spans="1:7" ht="13.5" customHeight="1" x14ac:dyDescent="0.2">
      <c r="A17" s="45">
        <v>8</v>
      </c>
      <c r="B17" s="33">
        <f t="shared" si="1"/>
        <v>30373162</v>
      </c>
      <c r="C17" s="72">
        <v>30373162</v>
      </c>
      <c r="D17" s="6">
        <f t="shared" si="0"/>
        <v>0</v>
      </c>
      <c r="E17" s="34"/>
      <c r="F17" s="47"/>
      <c r="G17" s="47"/>
    </row>
    <row r="18" spans="1:7" ht="13.5" customHeight="1" x14ac:dyDescent="0.2">
      <c r="A18" s="45">
        <v>9</v>
      </c>
      <c r="B18" s="33">
        <f t="shared" si="1"/>
        <v>30373162</v>
      </c>
      <c r="C18" s="72">
        <v>30373162</v>
      </c>
      <c r="D18" s="6">
        <f t="shared" si="0"/>
        <v>0</v>
      </c>
      <c r="E18" s="34"/>
      <c r="F18" s="47"/>
      <c r="G18" s="47"/>
    </row>
    <row r="19" spans="1:7" ht="13.5" customHeight="1" x14ac:dyDescent="0.2">
      <c r="A19" s="45">
        <v>10</v>
      </c>
      <c r="B19" s="33">
        <f t="shared" si="1"/>
        <v>30373162</v>
      </c>
      <c r="C19" s="72">
        <v>30373162</v>
      </c>
      <c r="D19" s="6">
        <f t="shared" si="0"/>
        <v>0</v>
      </c>
      <c r="E19" s="34"/>
      <c r="F19" s="47"/>
      <c r="G19" s="47"/>
    </row>
    <row r="20" spans="1:7" ht="13.5" customHeight="1" x14ac:dyDescent="0.2">
      <c r="A20" s="45">
        <v>11</v>
      </c>
      <c r="B20" s="33">
        <f t="shared" si="1"/>
        <v>30373162</v>
      </c>
      <c r="C20" s="72">
        <v>30373162</v>
      </c>
      <c r="D20" s="6">
        <f t="shared" si="0"/>
        <v>0</v>
      </c>
      <c r="E20" s="34"/>
      <c r="F20" s="47"/>
      <c r="G20" s="47"/>
    </row>
    <row r="21" spans="1:7" ht="13.5" customHeight="1" x14ac:dyDescent="0.2">
      <c r="A21" s="45">
        <v>12</v>
      </c>
      <c r="B21" s="33">
        <f t="shared" si="1"/>
        <v>30373162</v>
      </c>
      <c r="C21" s="72">
        <v>30373162</v>
      </c>
      <c r="D21" s="6">
        <f t="shared" si="0"/>
        <v>0</v>
      </c>
      <c r="E21" s="34"/>
      <c r="F21" s="47"/>
      <c r="G21" s="47"/>
    </row>
    <row r="22" spans="1:7" ht="13.5" customHeight="1" x14ac:dyDescent="0.2">
      <c r="A22" s="45">
        <v>13</v>
      </c>
      <c r="B22" s="33">
        <f t="shared" si="1"/>
        <v>30373162</v>
      </c>
      <c r="C22" s="72">
        <v>30373162</v>
      </c>
      <c r="D22" s="6">
        <f t="shared" si="0"/>
        <v>0</v>
      </c>
      <c r="E22" s="34"/>
      <c r="F22" s="47"/>
      <c r="G22" s="47"/>
    </row>
    <row r="23" spans="1:7" ht="13.5" customHeight="1" x14ac:dyDescent="0.2">
      <c r="A23" s="45">
        <v>14</v>
      </c>
      <c r="B23" s="33">
        <f t="shared" si="1"/>
        <v>30373162</v>
      </c>
      <c r="C23" s="72">
        <v>30373162</v>
      </c>
      <c r="D23" s="6">
        <f t="shared" si="0"/>
        <v>0</v>
      </c>
      <c r="E23" s="34"/>
      <c r="F23" s="47"/>
      <c r="G23" s="47"/>
    </row>
    <row r="24" spans="1:7" ht="13.5" customHeight="1" x14ac:dyDescent="0.2">
      <c r="A24" s="45">
        <v>15</v>
      </c>
      <c r="B24" s="33">
        <f t="shared" si="1"/>
        <v>30373162</v>
      </c>
      <c r="C24" s="72">
        <v>30373162</v>
      </c>
      <c r="D24" s="6">
        <f t="shared" si="0"/>
        <v>0</v>
      </c>
      <c r="E24" s="34"/>
      <c r="F24" s="47"/>
      <c r="G24" s="47"/>
    </row>
    <row r="25" spans="1:7" ht="13.5" customHeight="1" x14ac:dyDescent="0.2">
      <c r="A25" s="45">
        <v>16</v>
      </c>
      <c r="B25" s="33">
        <f t="shared" si="1"/>
        <v>30373162</v>
      </c>
      <c r="C25" s="72">
        <v>30373162</v>
      </c>
      <c r="D25" s="6">
        <f t="shared" si="0"/>
        <v>0</v>
      </c>
      <c r="E25" s="34"/>
      <c r="F25" s="47"/>
      <c r="G25" s="47"/>
    </row>
    <row r="26" spans="1:7" ht="13.5" customHeight="1" x14ac:dyDescent="0.2">
      <c r="A26" s="45">
        <v>17</v>
      </c>
      <c r="B26" s="33">
        <f t="shared" si="1"/>
        <v>30373162</v>
      </c>
      <c r="C26" s="72">
        <v>30373162</v>
      </c>
      <c r="D26" s="6">
        <f t="shared" si="0"/>
        <v>0</v>
      </c>
      <c r="E26" s="34"/>
      <c r="F26" s="47"/>
      <c r="G26" s="47"/>
    </row>
    <row r="27" spans="1:7" ht="13.5" customHeight="1" x14ac:dyDescent="0.2">
      <c r="A27" s="45">
        <v>18</v>
      </c>
      <c r="B27" s="33">
        <f t="shared" si="1"/>
        <v>30373162</v>
      </c>
      <c r="C27" s="72"/>
      <c r="D27" s="6">
        <f t="shared" si="0"/>
        <v>-30373162</v>
      </c>
      <c r="E27" s="34"/>
      <c r="F27" s="47"/>
      <c r="G27" s="47"/>
    </row>
    <row r="28" spans="1:7" ht="13.5" customHeight="1" x14ac:dyDescent="0.2">
      <c r="A28" s="45">
        <v>19</v>
      </c>
      <c r="B28" s="33">
        <f t="shared" si="1"/>
        <v>0</v>
      </c>
      <c r="C28" s="72"/>
      <c r="D28" s="6">
        <f t="shared" si="0"/>
        <v>0</v>
      </c>
      <c r="E28" s="34"/>
      <c r="F28" s="47"/>
      <c r="G28" s="47"/>
    </row>
    <row r="29" spans="1:7" ht="13.5" customHeight="1" x14ac:dyDescent="0.2">
      <c r="A29" s="45">
        <v>20</v>
      </c>
      <c r="B29" s="33">
        <f t="shared" si="1"/>
        <v>0</v>
      </c>
      <c r="C29" s="72"/>
      <c r="D29" s="6">
        <f t="shared" si="0"/>
        <v>0</v>
      </c>
      <c r="E29" s="34"/>
      <c r="F29" s="47"/>
      <c r="G29" s="47"/>
    </row>
    <row r="30" spans="1:7" ht="13.5" customHeight="1" x14ac:dyDescent="0.2">
      <c r="A30" s="45">
        <v>21</v>
      </c>
      <c r="B30" s="33">
        <f t="shared" si="1"/>
        <v>0</v>
      </c>
      <c r="C30" s="72"/>
      <c r="D30" s="6">
        <f t="shared" si="0"/>
        <v>0</v>
      </c>
      <c r="E30" s="34"/>
      <c r="F30" s="47"/>
      <c r="G30" s="47"/>
    </row>
    <row r="31" spans="1:7" ht="13.5" customHeight="1" x14ac:dyDescent="0.2">
      <c r="A31" s="45">
        <v>22</v>
      </c>
      <c r="B31" s="33">
        <f t="shared" si="1"/>
        <v>0</v>
      </c>
      <c r="C31" s="72"/>
      <c r="D31" s="6">
        <f t="shared" si="0"/>
        <v>0</v>
      </c>
      <c r="E31" s="34"/>
      <c r="F31" s="47"/>
      <c r="G31" s="47"/>
    </row>
    <row r="32" spans="1:7" ht="13.5" customHeight="1" x14ac:dyDescent="0.2">
      <c r="A32" s="45">
        <v>23</v>
      </c>
      <c r="B32" s="33">
        <f t="shared" si="1"/>
        <v>0</v>
      </c>
      <c r="C32" s="72"/>
      <c r="D32" s="6">
        <f t="shared" si="0"/>
        <v>0</v>
      </c>
      <c r="E32" s="35"/>
      <c r="F32" s="47"/>
      <c r="G32" s="47"/>
    </row>
    <row r="33" spans="1:7" ht="13.5" customHeight="1" x14ac:dyDescent="0.2">
      <c r="A33" s="45">
        <v>24</v>
      </c>
      <c r="B33" s="33">
        <f t="shared" si="1"/>
        <v>0</v>
      </c>
      <c r="C33" s="72"/>
      <c r="D33" s="6">
        <f t="shared" si="0"/>
        <v>0</v>
      </c>
      <c r="E33" s="35"/>
      <c r="F33" s="47"/>
      <c r="G33" s="47"/>
    </row>
    <row r="34" spans="1:7" ht="13.5" customHeight="1" x14ac:dyDescent="0.2">
      <c r="A34" s="45">
        <v>25</v>
      </c>
      <c r="B34" s="33">
        <f t="shared" si="1"/>
        <v>0</v>
      </c>
      <c r="C34" s="72"/>
      <c r="D34" s="6">
        <f t="shared" si="0"/>
        <v>0</v>
      </c>
      <c r="E34" s="35"/>
      <c r="F34" s="47"/>
      <c r="G34" s="47"/>
    </row>
    <row r="35" spans="1:7" s="3" customFormat="1" ht="13.5" customHeight="1" x14ac:dyDescent="0.2">
      <c r="A35" s="45">
        <v>26</v>
      </c>
      <c r="B35" s="230">
        <f t="shared" si="1"/>
        <v>0</v>
      </c>
      <c r="C35" s="72"/>
      <c r="D35" s="231">
        <f t="shared" si="0"/>
        <v>0</v>
      </c>
      <c r="E35" s="35"/>
      <c r="F35" s="47"/>
      <c r="G35" s="47"/>
    </row>
    <row r="36" spans="1:7" ht="13.5" customHeight="1" x14ac:dyDescent="0.2">
      <c r="A36" s="45">
        <v>27</v>
      </c>
      <c r="B36" s="33">
        <f t="shared" si="1"/>
        <v>0</v>
      </c>
      <c r="C36" s="72"/>
      <c r="D36" s="6">
        <f t="shared" si="0"/>
        <v>0</v>
      </c>
      <c r="E36" s="48"/>
      <c r="F36" s="47"/>
      <c r="G36" s="47"/>
    </row>
    <row r="37" spans="1:7" ht="13.5" customHeight="1" x14ac:dyDescent="0.2">
      <c r="A37" s="45">
        <v>28</v>
      </c>
      <c r="B37" s="33">
        <f t="shared" si="1"/>
        <v>0</v>
      </c>
      <c r="C37" s="72"/>
      <c r="D37" s="6">
        <f t="shared" si="0"/>
        <v>0</v>
      </c>
      <c r="E37" s="48"/>
      <c r="F37" s="47"/>
      <c r="G37" s="47"/>
    </row>
    <row r="38" spans="1:7" ht="13.5" customHeight="1" x14ac:dyDescent="0.2">
      <c r="A38" s="45">
        <v>29</v>
      </c>
      <c r="B38" s="33">
        <f t="shared" si="1"/>
        <v>0</v>
      </c>
      <c r="C38" s="72"/>
      <c r="D38" s="6">
        <f t="shared" si="0"/>
        <v>0</v>
      </c>
      <c r="E38" s="48"/>
      <c r="F38" s="47"/>
      <c r="G38" s="47"/>
    </row>
    <row r="39" spans="1:7" ht="13.5" customHeight="1" x14ac:dyDescent="0.2">
      <c r="A39" s="45">
        <v>30</v>
      </c>
      <c r="B39" s="33">
        <f>C38</f>
        <v>0</v>
      </c>
      <c r="C39" s="72"/>
      <c r="D39" s="6">
        <f t="shared" si="0"/>
        <v>0</v>
      </c>
      <c r="E39" s="48"/>
      <c r="F39" s="47"/>
      <c r="G39" s="47"/>
    </row>
    <row r="40" spans="1:7" ht="13.5" customHeight="1" x14ac:dyDescent="0.2">
      <c r="A40" s="45">
        <v>31</v>
      </c>
      <c r="B40" s="33">
        <f>C39</f>
        <v>0</v>
      </c>
      <c r="C40" s="72"/>
      <c r="D40" s="6">
        <f t="shared" ref="D40" si="2">C40-B40</f>
        <v>0</v>
      </c>
      <c r="E40" s="48"/>
      <c r="F40" s="47"/>
      <c r="G40" s="47"/>
    </row>
    <row r="41" spans="1:7" ht="13.5" thickBot="1" x14ac:dyDescent="0.25">
      <c r="A41" t="s">
        <v>7</v>
      </c>
      <c r="B41" s="18" t="e">
        <f>#REF!</f>
        <v>#REF!</v>
      </c>
      <c r="D41" s="49">
        <f>SUM(D10:D40)</f>
        <v>-30372736</v>
      </c>
      <c r="F41" s="44"/>
      <c r="G41" s="44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43"/>
  <sheetViews>
    <sheetView topLeftCell="A4" workbookViewId="0">
      <selection activeCell="C27" sqref="C27"/>
    </sheetView>
  </sheetViews>
  <sheetFormatPr defaultRowHeight="12.75" x14ac:dyDescent="0.2"/>
  <cols>
    <col min="1" max="1" width="7.7109375" customWidth="1"/>
    <col min="2" max="3" width="13.5703125" style="18" customWidth="1"/>
    <col min="4" max="4" width="16.140625" style="18" customWidth="1"/>
    <col min="5" max="5" width="5.28515625" style="18" customWidth="1"/>
    <col min="6" max="6" width="9.140625" customWidth="1"/>
  </cols>
  <sheetData>
    <row r="1" spans="1:5" ht="20.25" x14ac:dyDescent="0.2">
      <c r="C1" s="50" t="s">
        <v>26</v>
      </c>
      <c r="D1" s="50"/>
    </row>
    <row r="2" spans="1:5" ht="20.25" x14ac:dyDescent="0.2">
      <c r="C2" s="50"/>
      <c r="D2" s="50"/>
    </row>
    <row r="3" spans="1:5" ht="34.5" x14ac:dyDescent="0.2">
      <c r="B3" s="19"/>
      <c r="C3" s="20" t="s">
        <v>27</v>
      </c>
      <c r="D3" s="21"/>
    </row>
    <row r="4" spans="1:5" ht="12.75" customHeight="1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ht="12.75" customHeight="1" x14ac:dyDescent="0.2">
      <c r="A6" s="74">
        <v>44378</v>
      </c>
      <c r="B6" s="51"/>
      <c r="D6" s="21"/>
    </row>
    <row r="7" spans="1:5" ht="12.75" customHeight="1" thickBot="1" x14ac:dyDescent="0.25"/>
    <row r="8" spans="1:5" ht="12.75" customHeight="1" thickBot="1" x14ac:dyDescent="0.25">
      <c r="A8" s="1"/>
      <c r="B8" s="52" t="s">
        <v>28</v>
      </c>
      <c r="C8" s="53"/>
      <c r="D8" s="25"/>
    </row>
    <row r="9" spans="1:5" s="1" customFormat="1" ht="12.75" customHeight="1" x14ac:dyDescent="0.2">
      <c r="A9" s="41" t="s">
        <v>5</v>
      </c>
      <c r="B9" s="27" t="s">
        <v>19</v>
      </c>
      <c r="C9" s="28" t="s">
        <v>20</v>
      </c>
      <c r="D9" s="54" t="s">
        <v>29</v>
      </c>
      <c r="E9" s="24"/>
    </row>
    <row r="10" spans="1:5" x14ac:dyDescent="0.2">
      <c r="A10" s="45">
        <v>1</v>
      </c>
      <c r="B10" s="32">
        <v>13358393</v>
      </c>
      <c r="C10" s="32">
        <v>13364464</v>
      </c>
      <c r="D10" s="38">
        <f>C10-B10</f>
        <v>6071</v>
      </c>
    </row>
    <row r="11" spans="1:5" ht="15.75" customHeight="1" x14ac:dyDescent="0.2">
      <c r="A11" s="45">
        <v>2</v>
      </c>
      <c r="B11" s="33">
        <f>C10</f>
        <v>13364464</v>
      </c>
      <c r="C11" s="32">
        <v>13374739</v>
      </c>
      <c r="D11" s="38">
        <f t="shared" ref="D11:D36" si="0">C11-B11</f>
        <v>10275</v>
      </c>
    </row>
    <row r="12" spans="1:5" x14ac:dyDescent="0.2">
      <c r="A12" s="45">
        <v>3</v>
      </c>
      <c r="B12" s="33">
        <f t="shared" ref="B12:B14" si="1">C11</f>
        <v>13374739</v>
      </c>
      <c r="C12" s="32">
        <v>13378296</v>
      </c>
      <c r="D12" s="38">
        <f t="shared" si="0"/>
        <v>3557</v>
      </c>
      <c r="E12" s="55"/>
    </row>
    <row r="13" spans="1:5" x14ac:dyDescent="0.2">
      <c r="A13" s="45">
        <v>4</v>
      </c>
      <c r="B13" s="33">
        <f t="shared" si="1"/>
        <v>13378296</v>
      </c>
      <c r="C13" s="32">
        <v>13384311</v>
      </c>
      <c r="D13" s="38">
        <f t="shared" si="0"/>
        <v>6015</v>
      </c>
      <c r="E13" s="55"/>
    </row>
    <row r="14" spans="1:5" ht="13.5" customHeight="1" x14ac:dyDescent="0.2">
      <c r="A14" s="45">
        <v>5</v>
      </c>
      <c r="B14" s="33">
        <f t="shared" si="1"/>
        <v>13384311</v>
      </c>
      <c r="C14" s="32">
        <v>13392118</v>
      </c>
      <c r="D14" s="38">
        <f t="shared" si="0"/>
        <v>7807</v>
      </c>
      <c r="E14" s="55"/>
    </row>
    <row r="15" spans="1:5" ht="13.5" customHeight="1" x14ac:dyDescent="0.2">
      <c r="A15" s="45">
        <v>6</v>
      </c>
      <c r="B15" s="33">
        <f t="shared" ref="B15:B38" si="2">C14</f>
        <v>13392118</v>
      </c>
      <c r="C15" s="32">
        <v>13399568</v>
      </c>
      <c r="D15" s="38">
        <f t="shared" si="0"/>
        <v>7450</v>
      </c>
      <c r="E15" s="55"/>
    </row>
    <row r="16" spans="1:5" ht="13.5" customHeight="1" x14ac:dyDescent="0.2">
      <c r="A16" s="45">
        <v>7</v>
      </c>
      <c r="B16" s="33">
        <f t="shared" si="2"/>
        <v>13399568</v>
      </c>
      <c r="C16" s="32">
        <v>13409417</v>
      </c>
      <c r="D16" s="38">
        <f t="shared" si="0"/>
        <v>9849</v>
      </c>
      <c r="E16" s="55"/>
    </row>
    <row r="17" spans="1:5" ht="13.5" customHeight="1" x14ac:dyDescent="0.2">
      <c r="A17" s="45">
        <v>8</v>
      </c>
      <c r="B17" s="33">
        <f t="shared" si="2"/>
        <v>13409417</v>
      </c>
      <c r="C17" s="32">
        <v>13412948</v>
      </c>
      <c r="D17" s="38">
        <f t="shared" si="0"/>
        <v>3531</v>
      </c>
      <c r="E17" s="55"/>
    </row>
    <row r="18" spans="1:5" ht="13.5" customHeight="1" x14ac:dyDescent="0.2">
      <c r="A18" s="45">
        <v>9</v>
      </c>
      <c r="B18" s="33">
        <f t="shared" si="2"/>
        <v>13412948</v>
      </c>
      <c r="C18" s="32">
        <v>13423108</v>
      </c>
      <c r="D18" s="38">
        <f t="shared" si="0"/>
        <v>10160</v>
      </c>
      <c r="E18" s="55"/>
    </row>
    <row r="19" spans="1:5" ht="13.5" customHeight="1" x14ac:dyDescent="0.2">
      <c r="A19" s="45">
        <v>10</v>
      </c>
      <c r="B19" s="33">
        <f t="shared" si="2"/>
        <v>13423108</v>
      </c>
      <c r="C19" s="32">
        <v>13426986</v>
      </c>
      <c r="D19" s="38">
        <f t="shared" si="0"/>
        <v>3878</v>
      </c>
      <c r="E19" s="55"/>
    </row>
    <row r="20" spans="1:5" ht="13.5" customHeight="1" x14ac:dyDescent="0.2">
      <c r="A20" s="45">
        <v>11</v>
      </c>
      <c r="B20" s="33">
        <f t="shared" si="2"/>
        <v>13426986</v>
      </c>
      <c r="C20" s="32">
        <v>13435160</v>
      </c>
      <c r="D20" s="38">
        <f t="shared" si="0"/>
        <v>8174</v>
      </c>
      <c r="E20" s="55"/>
    </row>
    <row r="21" spans="1:5" ht="13.5" customHeight="1" x14ac:dyDescent="0.2">
      <c r="A21" s="45">
        <v>12</v>
      </c>
      <c r="B21" s="33">
        <f t="shared" si="2"/>
        <v>13435160</v>
      </c>
      <c r="C21" s="32">
        <v>13441544</v>
      </c>
      <c r="D21" s="38">
        <f t="shared" si="0"/>
        <v>6384</v>
      </c>
      <c r="E21" s="55"/>
    </row>
    <row r="22" spans="1:5" ht="13.5" customHeight="1" x14ac:dyDescent="0.2">
      <c r="A22" s="45">
        <v>13</v>
      </c>
      <c r="B22" s="33">
        <f t="shared" si="2"/>
        <v>13441544</v>
      </c>
      <c r="C22" s="32">
        <v>13449085</v>
      </c>
      <c r="D22" s="38">
        <f t="shared" si="0"/>
        <v>7541</v>
      </c>
      <c r="E22" s="55"/>
    </row>
    <row r="23" spans="1:5" ht="13.5" customHeight="1" x14ac:dyDescent="0.2">
      <c r="A23" s="45">
        <v>14</v>
      </c>
      <c r="B23" s="33">
        <f t="shared" si="2"/>
        <v>13449085</v>
      </c>
      <c r="C23" s="32">
        <v>13456476</v>
      </c>
      <c r="D23" s="38">
        <f t="shared" si="0"/>
        <v>7391</v>
      </c>
      <c r="E23" s="55"/>
    </row>
    <row r="24" spans="1:5" ht="13.5" customHeight="1" x14ac:dyDescent="0.2">
      <c r="A24" s="45">
        <v>15</v>
      </c>
      <c r="B24" s="33">
        <f t="shared" si="2"/>
        <v>13456476</v>
      </c>
      <c r="C24" s="32">
        <v>13463940</v>
      </c>
      <c r="D24" s="38">
        <f t="shared" si="0"/>
        <v>7464</v>
      </c>
      <c r="E24" s="55"/>
    </row>
    <row r="25" spans="1:5" ht="13.5" customHeight="1" x14ac:dyDescent="0.2">
      <c r="A25" s="45">
        <v>16</v>
      </c>
      <c r="B25" s="33">
        <f t="shared" si="2"/>
        <v>13463940</v>
      </c>
      <c r="C25" s="32">
        <v>13471256</v>
      </c>
      <c r="D25" s="38">
        <f t="shared" si="0"/>
        <v>7316</v>
      </c>
      <c r="E25" s="55"/>
    </row>
    <row r="26" spans="1:5" ht="13.5" customHeight="1" x14ac:dyDescent="0.2">
      <c r="A26" s="45">
        <v>17</v>
      </c>
      <c r="B26" s="33">
        <f t="shared" si="2"/>
        <v>13471256</v>
      </c>
      <c r="C26" s="32">
        <v>13479184</v>
      </c>
      <c r="D26" s="38">
        <f t="shared" si="0"/>
        <v>7928</v>
      </c>
      <c r="E26" s="55"/>
    </row>
    <row r="27" spans="1:5" ht="13.5" customHeight="1" x14ac:dyDescent="0.2">
      <c r="A27" s="45">
        <v>18</v>
      </c>
      <c r="B27" s="33">
        <f t="shared" si="2"/>
        <v>13479184</v>
      </c>
      <c r="C27" s="32"/>
      <c r="D27" s="38">
        <f t="shared" si="0"/>
        <v>-13479184</v>
      </c>
      <c r="E27" s="55"/>
    </row>
    <row r="28" spans="1:5" ht="13.5" customHeight="1" x14ac:dyDescent="0.2">
      <c r="A28" s="45">
        <v>19</v>
      </c>
      <c r="B28" s="33">
        <f t="shared" si="2"/>
        <v>0</v>
      </c>
      <c r="C28" s="32"/>
      <c r="D28" s="38">
        <f t="shared" si="0"/>
        <v>0</v>
      </c>
      <c r="E28" s="55"/>
    </row>
    <row r="29" spans="1:5" ht="13.5" customHeight="1" x14ac:dyDescent="0.2">
      <c r="A29" s="45">
        <v>20</v>
      </c>
      <c r="B29" s="33">
        <f t="shared" si="2"/>
        <v>0</v>
      </c>
      <c r="C29" s="32"/>
      <c r="D29" s="38">
        <f t="shared" si="0"/>
        <v>0</v>
      </c>
      <c r="E29" s="55"/>
    </row>
    <row r="30" spans="1:5" ht="13.5" customHeight="1" x14ac:dyDescent="0.2">
      <c r="A30" s="45">
        <v>21</v>
      </c>
      <c r="B30" s="33">
        <f t="shared" si="2"/>
        <v>0</v>
      </c>
      <c r="C30" s="32"/>
      <c r="D30" s="38">
        <f t="shared" si="0"/>
        <v>0</v>
      </c>
      <c r="E30" s="55"/>
    </row>
    <row r="31" spans="1:5" ht="13.5" customHeight="1" x14ac:dyDescent="0.2">
      <c r="A31" s="45">
        <v>22</v>
      </c>
      <c r="B31" s="33">
        <f t="shared" si="2"/>
        <v>0</v>
      </c>
      <c r="C31" s="32"/>
      <c r="D31" s="38">
        <f t="shared" si="0"/>
        <v>0</v>
      </c>
      <c r="E31" s="55"/>
    </row>
    <row r="32" spans="1:5" ht="13.5" customHeight="1" x14ac:dyDescent="0.2">
      <c r="A32" s="45">
        <v>23</v>
      </c>
      <c r="B32" s="33">
        <f t="shared" si="2"/>
        <v>0</v>
      </c>
      <c r="C32" s="32"/>
      <c r="D32" s="38">
        <f t="shared" si="0"/>
        <v>0</v>
      </c>
      <c r="E32" s="55"/>
    </row>
    <row r="33" spans="1:10" ht="13.5" customHeight="1" x14ac:dyDescent="0.2">
      <c r="A33" s="45">
        <v>24</v>
      </c>
      <c r="B33" s="33">
        <f t="shared" si="2"/>
        <v>0</v>
      </c>
      <c r="C33" s="32"/>
      <c r="D33" s="38">
        <f t="shared" si="0"/>
        <v>0</v>
      </c>
      <c r="E33" s="55"/>
    </row>
    <row r="34" spans="1:10" ht="13.5" customHeight="1" x14ac:dyDescent="0.2">
      <c r="A34" s="45">
        <v>25</v>
      </c>
      <c r="B34" s="33">
        <f t="shared" si="2"/>
        <v>0</v>
      </c>
      <c r="C34" s="32"/>
      <c r="D34" s="38">
        <f t="shared" si="0"/>
        <v>0</v>
      </c>
      <c r="E34" s="86"/>
      <c r="F34" s="87"/>
      <c r="G34" s="90"/>
      <c r="H34" s="91"/>
      <c r="I34" s="90"/>
      <c r="J34" s="90"/>
    </row>
    <row r="35" spans="1:10" s="3" customFormat="1" ht="13.5" customHeight="1" x14ac:dyDescent="0.2">
      <c r="A35" s="45">
        <v>26</v>
      </c>
      <c r="B35" s="230">
        <f t="shared" si="2"/>
        <v>0</v>
      </c>
      <c r="C35" s="32"/>
      <c r="D35" s="38">
        <f t="shared" si="0"/>
        <v>0</v>
      </c>
      <c r="E35" s="86"/>
      <c r="F35" s="88"/>
      <c r="G35" s="91"/>
      <c r="H35" s="91"/>
      <c r="I35" s="91"/>
      <c r="J35" s="91"/>
    </row>
    <row r="36" spans="1:10" ht="13.5" customHeight="1" x14ac:dyDescent="0.2">
      <c r="A36" s="45">
        <v>27</v>
      </c>
      <c r="B36" s="33">
        <f t="shared" si="2"/>
        <v>0</v>
      </c>
      <c r="C36" s="32"/>
      <c r="D36" s="38">
        <f t="shared" si="0"/>
        <v>0</v>
      </c>
      <c r="E36" s="86"/>
      <c r="F36" s="87"/>
      <c r="G36" s="90"/>
      <c r="H36" s="90"/>
      <c r="I36" s="90"/>
      <c r="J36" s="90"/>
    </row>
    <row r="37" spans="1:10" ht="13.5" customHeight="1" x14ac:dyDescent="0.2">
      <c r="A37" s="45">
        <v>28</v>
      </c>
      <c r="B37" s="33">
        <f t="shared" si="2"/>
        <v>0</v>
      </c>
      <c r="C37" s="32"/>
      <c r="D37" s="38">
        <f t="shared" ref="D37" si="3">C37-B37</f>
        <v>0</v>
      </c>
      <c r="E37" s="86"/>
      <c r="F37" s="87"/>
      <c r="G37" s="90"/>
      <c r="H37" s="90"/>
      <c r="I37" s="90"/>
      <c r="J37" s="90"/>
    </row>
    <row r="38" spans="1:10" ht="13.5" customHeight="1" x14ac:dyDescent="0.2">
      <c r="A38" s="45">
        <v>29</v>
      </c>
      <c r="B38" s="33">
        <f t="shared" si="2"/>
        <v>0</v>
      </c>
      <c r="C38" s="32"/>
      <c r="D38" s="38">
        <f>C38-B38</f>
        <v>0</v>
      </c>
      <c r="E38" s="345"/>
      <c r="F38" s="346"/>
      <c r="G38" s="90"/>
      <c r="H38" s="90"/>
      <c r="I38" s="90"/>
      <c r="J38" s="90"/>
    </row>
    <row r="39" spans="1:10" ht="13.5" customHeight="1" x14ac:dyDescent="0.2">
      <c r="A39" s="45">
        <v>30</v>
      </c>
      <c r="B39" s="33">
        <f>C38</f>
        <v>0</v>
      </c>
      <c r="C39" s="32"/>
      <c r="D39" s="38">
        <f>C39-B39</f>
        <v>0</v>
      </c>
      <c r="E39" s="86"/>
      <c r="F39" s="87"/>
      <c r="G39" s="90"/>
      <c r="H39" s="90"/>
      <c r="I39" s="90"/>
      <c r="J39" s="90"/>
    </row>
    <row r="40" spans="1:10" ht="13.5" customHeight="1" x14ac:dyDescent="0.2">
      <c r="A40" s="45">
        <v>31</v>
      </c>
      <c r="B40" s="33">
        <f>C39</f>
        <v>0</v>
      </c>
      <c r="C40" s="32"/>
      <c r="D40" s="38">
        <f>C40-B40</f>
        <v>0</v>
      </c>
      <c r="E40" s="86"/>
      <c r="F40" s="87"/>
      <c r="G40" s="90"/>
      <c r="H40" s="90"/>
      <c r="I40" s="90"/>
      <c r="J40" s="90"/>
    </row>
    <row r="41" spans="1:10" ht="13.5" customHeight="1" thickBot="1" x14ac:dyDescent="0.25">
      <c r="A41" t="s">
        <v>7</v>
      </c>
      <c r="B41" s="18" t="e">
        <f>#REF!</f>
        <v>#REF!</v>
      </c>
      <c r="D41" s="49">
        <f>SUM(D10:D40)</f>
        <v>-13358393</v>
      </c>
      <c r="E41" s="86"/>
      <c r="F41" s="87"/>
      <c r="G41" s="90"/>
      <c r="H41" s="90"/>
      <c r="I41" s="90"/>
      <c r="J41" s="90"/>
    </row>
    <row r="42" spans="1:10" ht="12" customHeight="1" thickTop="1" x14ac:dyDescent="0.2">
      <c r="E42" s="86"/>
      <c r="F42" s="87"/>
      <c r="G42" s="90"/>
      <c r="H42" s="90"/>
      <c r="I42" s="90"/>
      <c r="J42" s="90"/>
    </row>
    <row r="43" spans="1:10" ht="14.25" customHeight="1" x14ac:dyDescent="0.2">
      <c r="E43" s="89"/>
      <c r="F43" s="87"/>
      <c r="G43" s="90"/>
      <c r="H43" s="90"/>
      <c r="I43" s="90"/>
      <c r="J43" s="90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2"/>
  <sheetViews>
    <sheetView topLeftCell="A4" workbookViewId="0">
      <selection activeCell="C27" sqref="C27"/>
    </sheetView>
  </sheetViews>
  <sheetFormatPr defaultRowHeight="12.75" x14ac:dyDescent="0.2"/>
  <cols>
    <col min="1" max="1" width="7.28515625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41" t="s">
        <v>30</v>
      </c>
      <c r="D1" s="341"/>
    </row>
    <row r="2" spans="1:5" x14ac:dyDescent="0.2">
      <c r="C2" s="341"/>
      <c r="D2" s="341"/>
    </row>
    <row r="3" spans="1:5" ht="34.5" x14ac:dyDescent="0.2">
      <c r="B3" s="19"/>
      <c r="C3" s="20" t="s">
        <v>31</v>
      </c>
      <c r="D3" s="21"/>
    </row>
    <row r="4" spans="1:5" ht="34.5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s="1" customFormat="1" x14ac:dyDescent="0.2">
      <c r="A6" s="74">
        <v>44378</v>
      </c>
      <c r="B6" s="4"/>
      <c r="C6" s="24"/>
      <c r="D6" s="24"/>
      <c r="E6" s="24"/>
    </row>
    <row r="7" spans="1:5" ht="13.5" thickBot="1" x14ac:dyDescent="0.25"/>
    <row r="8" spans="1:5" ht="15.75" customHeight="1" thickBot="1" x14ac:dyDescent="0.25">
      <c r="A8" s="1"/>
      <c r="B8" s="342" t="s">
        <v>32</v>
      </c>
      <c r="C8" s="344"/>
      <c r="D8" s="25"/>
    </row>
    <row r="9" spans="1:5" ht="38.25" x14ac:dyDescent="0.2">
      <c r="A9" s="41" t="s">
        <v>5</v>
      </c>
      <c r="B9" s="42" t="s">
        <v>19</v>
      </c>
      <c r="C9" s="43" t="s">
        <v>20</v>
      </c>
      <c r="D9" s="56" t="s">
        <v>29</v>
      </c>
      <c r="E9" s="29"/>
    </row>
    <row r="10" spans="1:5" s="44" customFormat="1" x14ac:dyDescent="0.2">
      <c r="A10" s="45">
        <v>1</v>
      </c>
      <c r="B10" s="32">
        <v>11748091</v>
      </c>
      <c r="C10" s="32">
        <v>11749888</v>
      </c>
      <c r="D10" s="38">
        <f>C10-B10</f>
        <v>1797</v>
      </c>
      <c r="E10" s="29"/>
    </row>
    <row r="11" spans="1:5" ht="13.5" customHeight="1" x14ac:dyDescent="0.2">
      <c r="A11" s="45">
        <v>2</v>
      </c>
      <c r="B11" s="33">
        <f>C10</f>
        <v>11749888</v>
      </c>
      <c r="C11" s="32">
        <v>11752891</v>
      </c>
      <c r="D11" s="38">
        <f t="shared" ref="D11:D36" si="0">C11-B11</f>
        <v>3003</v>
      </c>
      <c r="E11" s="34"/>
    </row>
    <row r="12" spans="1:5" ht="13.5" customHeight="1" x14ac:dyDescent="0.2">
      <c r="A12" s="45">
        <v>3</v>
      </c>
      <c r="B12" s="33">
        <f t="shared" ref="B12:B39" si="1">C11</f>
        <v>11752891</v>
      </c>
      <c r="C12" s="32">
        <v>11756821</v>
      </c>
      <c r="D12" s="38">
        <f t="shared" si="0"/>
        <v>3930</v>
      </c>
      <c r="E12" s="34"/>
    </row>
    <row r="13" spans="1:5" ht="13.5" customHeight="1" x14ac:dyDescent="0.2">
      <c r="A13" s="45">
        <v>4</v>
      </c>
      <c r="B13" s="33">
        <f t="shared" si="1"/>
        <v>11756821</v>
      </c>
      <c r="C13" s="32">
        <v>11761512</v>
      </c>
      <c r="D13" s="38">
        <f t="shared" si="0"/>
        <v>4691</v>
      </c>
      <c r="E13" s="34"/>
    </row>
    <row r="14" spans="1:5" ht="13.5" customHeight="1" x14ac:dyDescent="0.2">
      <c r="A14" s="45">
        <v>5</v>
      </c>
      <c r="B14" s="33">
        <f t="shared" si="1"/>
        <v>11761512</v>
      </c>
      <c r="C14" s="32">
        <v>11765267</v>
      </c>
      <c r="D14" s="38">
        <f t="shared" si="0"/>
        <v>3755</v>
      </c>
      <c r="E14" s="34"/>
    </row>
    <row r="15" spans="1:5" ht="13.5" customHeight="1" x14ac:dyDescent="0.2">
      <c r="A15" s="45">
        <v>6</v>
      </c>
      <c r="B15" s="33">
        <f t="shared" si="1"/>
        <v>11765267</v>
      </c>
      <c r="C15" s="32">
        <v>11769629</v>
      </c>
      <c r="D15" s="38">
        <f t="shared" si="0"/>
        <v>4362</v>
      </c>
      <c r="E15" s="34"/>
    </row>
    <row r="16" spans="1:5" ht="13.5" customHeight="1" x14ac:dyDescent="0.2">
      <c r="A16" s="45">
        <v>7</v>
      </c>
      <c r="B16" s="33">
        <f t="shared" si="1"/>
        <v>11769629</v>
      </c>
      <c r="C16" s="32">
        <v>11772194</v>
      </c>
      <c r="D16" s="38">
        <f t="shared" si="0"/>
        <v>2565</v>
      </c>
      <c r="E16" s="34"/>
    </row>
    <row r="17" spans="1:5" ht="13.5" customHeight="1" x14ac:dyDescent="0.2">
      <c r="A17" s="45">
        <v>8</v>
      </c>
      <c r="B17" s="33">
        <f t="shared" si="1"/>
        <v>11772194</v>
      </c>
      <c r="C17" s="32">
        <v>11774640</v>
      </c>
      <c r="D17" s="38">
        <f t="shared" si="0"/>
        <v>2446</v>
      </c>
      <c r="E17" s="34"/>
    </row>
    <row r="18" spans="1:5" ht="13.5" customHeight="1" x14ac:dyDescent="0.2">
      <c r="A18" s="45">
        <v>9</v>
      </c>
      <c r="B18" s="33">
        <f t="shared" si="1"/>
        <v>11774640</v>
      </c>
      <c r="C18" s="32">
        <v>11775784</v>
      </c>
      <c r="D18" s="38">
        <f t="shared" si="0"/>
        <v>1144</v>
      </c>
      <c r="E18" s="34"/>
    </row>
    <row r="19" spans="1:5" ht="13.5" customHeight="1" x14ac:dyDescent="0.2">
      <c r="A19" s="45">
        <v>10</v>
      </c>
      <c r="B19" s="33">
        <f t="shared" si="1"/>
        <v>11775784</v>
      </c>
      <c r="C19" s="32">
        <v>11778703</v>
      </c>
      <c r="D19" s="38">
        <f t="shared" si="0"/>
        <v>2919</v>
      </c>
      <c r="E19" s="34"/>
    </row>
    <row r="20" spans="1:5" ht="13.5" customHeight="1" x14ac:dyDescent="0.2">
      <c r="A20" s="45">
        <v>11</v>
      </c>
      <c r="B20" s="33">
        <f t="shared" si="1"/>
        <v>11778703</v>
      </c>
      <c r="C20" s="32">
        <v>11782254</v>
      </c>
      <c r="D20" s="38">
        <f t="shared" si="0"/>
        <v>3551</v>
      </c>
      <c r="E20" s="34"/>
    </row>
    <row r="21" spans="1:5" ht="13.5" customHeight="1" x14ac:dyDescent="0.2">
      <c r="A21" s="45">
        <v>12</v>
      </c>
      <c r="B21" s="33">
        <f t="shared" si="1"/>
        <v>11782254</v>
      </c>
      <c r="C21" s="32">
        <v>11785655</v>
      </c>
      <c r="D21" s="38">
        <f t="shared" si="0"/>
        <v>3401</v>
      </c>
      <c r="E21" s="34"/>
    </row>
    <row r="22" spans="1:5" ht="13.5" customHeight="1" x14ac:dyDescent="0.2">
      <c r="A22" s="45">
        <v>13</v>
      </c>
      <c r="B22" s="33">
        <f t="shared" si="1"/>
        <v>11785655</v>
      </c>
      <c r="C22" s="32">
        <v>11787982</v>
      </c>
      <c r="D22" s="38">
        <f t="shared" si="0"/>
        <v>2327</v>
      </c>
      <c r="E22" s="34"/>
    </row>
    <row r="23" spans="1:5" ht="13.5" customHeight="1" x14ac:dyDescent="0.2">
      <c r="A23" s="45">
        <v>14</v>
      </c>
      <c r="B23" s="33">
        <f t="shared" si="1"/>
        <v>11787982</v>
      </c>
      <c r="C23" s="32">
        <v>11790883</v>
      </c>
      <c r="D23" s="38">
        <f t="shared" si="0"/>
        <v>2901</v>
      </c>
      <c r="E23" s="34"/>
    </row>
    <row r="24" spans="1:5" ht="13.5" customHeight="1" x14ac:dyDescent="0.2">
      <c r="A24" s="45">
        <v>15</v>
      </c>
      <c r="B24" s="33">
        <f t="shared" si="1"/>
        <v>11790883</v>
      </c>
      <c r="C24" s="32">
        <v>11793443</v>
      </c>
      <c r="D24" s="38">
        <f t="shared" si="0"/>
        <v>2560</v>
      </c>
      <c r="E24" s="34"/>
    </row>
    <row r="25" spans="1:5" ht="13.5" customHeight="1" x14ac:dyDescent="0.2">
      <c r="A25" s="45">
        <v>16</v>
      </c>
      <c r="B25" s="33">
        <f t="shared" si="1"/>
        <v>11793443</v>
      </c>
      <c r="C25" s="32">
        <v>11797070</v>
      </c>
      <c r="D25" s="38">
        <f t="shared" si="0"/>
        <v>3627</v>
      </c>
      <c r="E25" s="34"/>
    </row>
    <row r="26" spans="1:5" ht="13.5" customHeight="1" x14ac:dyDescent="0.2">
      <c r="A26" s="45">
        <v>17</v>
      </c>
      <c r="B26" s="33">
        <f t="shared" si="1"/>
        <v>11797070</v>
      </c>
      <c r="C26" s="32">
        <v>11799998</v>
      </c>
      <c r="D26" s="38">
        <f t="shared" si="0"/>
        <v>2928</v>
      </c>
      <c r="E26" s="34"/>
    </row>
    <row r="27" spans="1:5" ht="13.5" customHeight="1" x14ac:dyDescent="0.2">
      <c r="A27" s="45">
        <v>18</v>
      </c>
      <c r="B27" s="33">
        <f t="shared" si="1"/>
        <v>11799998</v>
      </c>
      <c r="C27" s="83"/>
      <c r="D27" s="84">
        <f t="shared" si="0"/>
        <v>-11799998</v>
      </c>
      <c r="E27" s="85"/>
    </row>
    <row r="28" spans="1:5" ht="13.5" customHeight="1" x14ac:dyDescent="0.2">
      <c r="A28" s="45">
        <v>19</v>
      </c>
      <c r="B28" s="33">
        <f t="shared" si="1"/>
        <v>0</v>
      </c>
      <c r="C28" s="32"/>
      <c r="D28" s="38">
        <f>C28-B28</f>
        <v>0</v>
      </c>
      <c r="E28" s="34"/>
    </row>
    <row r="29" spans="1:5" ht="13.5" customHeight="1" x14ac:dyDescent="0.2">
      <c r="A29" s="45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45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45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45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45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45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45">
        <v>26</v>
      </c>
      <c r="B35" s="230">
        <f t="shared" si="1"/>
        <v>0</v>
      </c>
      <c r="C35" s="32"/>
      <c r="D35" s="38">
        <f t="shared" si="0"/>
        <v>0</v>
      </c>
      <c r="E35" s="35"/>
    </row>
    <row r="36" spans="1:5" ht="13.5" customHeight="1" x14ac:dyDescent="0.2">
      <c r="A36" s="45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45">
        <v>28</v>
      </c>
      <c r="B37" s="33">
        <f t="shared" si="1"/>
        <v>0</v>
      </c>
      <c r="C37" s="32"/>
      <c r="D37" s="38">
        <f t="shared" ref="D37" si="2">C37-B37</f>
        <v>0</v>
      </c>
      <c r="E37" s="48"/>
    </row>
    <row r="38" spans="1:5" ht="13.5" customHeight="1" x14ac:dyDescent="0.2">
      <c r="A38" s="45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45">
        <v>30</v>
      </c>
      <c r="B39" s="33">
        <f t="shared" si="1"/>
        <v>0</v>
      </c>
      <c r="C39" s="32"/>
      <c r="D39" s="38">
        <f>C39-B39</f>
        <v>0</v>
      </c>
      <c r="E39" s="48"/>
    </row>
    <row r="40" spans="1:5" ht="13.5" customHeight="1" x14ac:dyDescent="0.2">
      <c r="A40" s="45">
        <v>31</v>
      </c>
      <c r="B40" s="33">
        <f t="shared" ref="B40" si="3">C39</f>
        <v>0</v>
      </c>
      <c r="C40" s="32"/>
      <c r="D40" s="38">
        <f>C40-B40</f>
        <v>0</v>
      </c>
      <c r="E40" s="48"/>
    </row>
    <row r="41" spans="1:5" ht="13.5" thickBot="1" x14ac:dyDescent="0.25">
      <c r="A41" t="s">
        <v>7</v>
      </c>
      <c r="B41" s="18" t="e">
        <f>#REF!</f>
        <v>#REF!</v>
      </c>
      <c r="D41" s="49">
        <f>SUM(D10:D40)</f>
        <v>-11748091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2"/>
  <sheetViews>
    <sheetView topLeftCell="A8" workbookViewId="0">
      <selection activeCell="C27" sqref="C27"/>
    </sheetView>
  </sheetViews>
  <sheetFormatPr defaultRowHeight="12.75" x14ac:dyDescent="0.2"/>
  <cols>
    <col min="1" max="1" width="10.140625" style="57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41" t="s">
        <v>16</v>
      </c>
      <c r="D1" s="341"/>
    </row>
    <row r="2" spans="1:5" x14ac:dyDescent="0.2">
      <c r="C2" s="341"/>
      <c r="D2" s="341"/>
    </row>
    <row r="3" spans="1:5" ht="34.5" x14ac:dyDescent="0.2">
      <c r="B3" s="19"/>
      <c r="C3" s="20" t="s">
        <v>33</v>
      </c>
      <c r="D3" s="21"/>
    </row>
    <row r="4" spans="1:5" s="1" customFormat="1" x14ac:dyDescent="0.2">
      <c r="A4" s="74"/>
      <c r="B4" s="4"/>
      <c r="C4" s="24"/>
      <c r="D4" s="24"/>
      <c r="E4" s="24"/>
    </row>
    <row r="5" spans="1:5" s="1" customFormat="1" x14ac:dyDescent="0.2">
      <c r="A5" s="136"/>
      <c r="B5" s="134"/>
      <c r="C5" s="135"/>
      <c r="D5" s="135"/>
      <c r="E5" s="135"/>
    </row>
    <row r="6" spans="1:5" x14ac:dyDescent="0.2">
      <c r="A6" s="74">
        <v>44378</v>
      </c>
    </row>
    <row r="7" spans="1:5" ht="13.5" thickBot="1" x14ac:dyDescent="0.25">
      <c r="A7" s="136"/>
    </row>
    <row r="8" spans="1:5" ht="15.75" customHeight="1" thickBot="1" x14ac:dyDescent="0.25">
      <c r="A8" s="58"/>
      <c r="B8" s="342" t="s">
        <v>34</v>
      </c>
      <c r="C8" s="344"/>
      <c r="D8" s="25"/>
    </row>
    <row r="9" spans="1:5" ht="38.25" x14ac:dyDescent="0.2">
      <c r="A9" s="59" t="s">
        <v>5</v>
      </c>
      <c r="B9" s="42" t="s">
        <v>19</v>
      </c>
      <c r="C9" s="43" t="s">
        <v>20</v>
      </c>
      <c r="D9" s="56" t="s">
        <v>35</v>
      </c>
      <c r="E9" s="29"/>
    </row>
    <row r="10" spans="1:5" x14ac:dyDescent="0.2">
      <c r="A10" s="60">
        <v>1</v>
      </c>
      <c r="B10" s="32">
        <v>18432445</v>
      </c>
      <c r="C10" s="32">
        <v>18440468</v>
      </c>
      <c r="D10" s="38">
        <f>C10-B10</f>
        <v>8023</v>
      </c>
      <c r="E10" s="29"/>
    </row>
    <row r="11" spans="1:5" ht="13.5" customHeight="1" x14ac:dyDescent="0.2">
      <c r="A11" s="61">
        <v>2</v>
      </c>
      <c r="B11" s="33">
        <f>C10</f>
        <v>18440468</v>
      </c>
      <c r="C11" s="32">
        <v>18445897</v>
      </c>
      <c r="D11" s="38">
        <f t="shared" ref="D11:D37" si="0">C11-B11</f>
        <v>5429</v>
      </c>
      <c r="E11" s="34"/>
    </row>
    <row r="12" spans="1:5" ht="13.5" customHeight="1" x14ac:dyDescent="0.2">
      <c r="A12" s="60">
        <v>3</v>
      </c>
      <c r="B12" s="33">
        <f t="shared" ref="B12:B38" si="1">C11</f>
        <v>18445897</v>
      </c>
      <c r="C12" s="32">
        <v>18453599</v>
      </c>
      <c r="D12" s="38">
        <f t="shared" si="0"/>
        <v>7702</v>
      </c>
      <c r="E12" s="34"/>
    </row>
    <row r="13" spans="1:5" ht="13.5" customHeight="1" x14ac:dyDescent="0.2">
      <c r="A13" s="61">
        <v>4</v>
      </c>
      <c r="B13" s="33">
        <f t="shared" si="1"/>
        <v>18453599</v>
      </c>
      <c r="C13" s="32">
        <v>18462023</v>
      </c>
      <c r="D13" s="38">
        <f t="shared" si="0"/>
        <v>8424</v>
      </c>
      <c r="E13" s="34"/>
    </row>
    <row r="14" spans="1:5" ht="13.5" customHeight="1" x14ac:dyDescent="0.2">
      <c r="A14" s="60">
        <v>5</v>
      </c>
      <c r="B14" s="33">
        <f t="shared" si="1"/>
        <v>18462023</v>
      </c>
      <c r="C14" s="32">
        <v>18473649</v>
      </c>
      <c r="D14" s="38">
        <f t="shared" si="0"/>
        <v>11626</v>
      </c>
      <c r="E14" s="34"/>
    </row>
    <row r="15" spans="1:5" ht="13.5" customHeight="1" x14ac:dyDescent="0.2">
      <c r="A15" s="61">
        <v>6</v>
      </c>
      <c r="B15" s="33">
        <f t="shared" si="1"/>
        <v>18473649</v>
      </c>
      <c r="C15" s="32">
        <v>18477237</v>
      </c>
      <c r="D15" s="38">
        <f t="shared" si="0"/>
        <v>3588</v>
      </c>
      <c r="E15" s="34"/>
    </row>
    <row r="16" spans="1:5" ht="13.5" customHeight="1" x14ac:dyDescent="0.2">
      <c r="A16" s="60">
        <v>7</v>
      </c>
      <c r="B16" s="33">
        <f t="shared" si="1"/>
        <v>18477237</v>
      </c>
      <c r="C16" s="32">
        <v>18488818</v>
      </c>
      <c r="D16" s="38">
        <f t="shared" si="0"/>
        <v>11581</v>
      </c>
      <c r="E16" s="34"/>
    </row>
    <row r="17" spans="1:5" ht="13.5" customHeight="1" x14ac:dyDescent="0.2">
      <c r="A17" s="61">
        <v>8</v>
      </c>
      <c r="B17" s="33">
        <f t="shared" si="1"/>
        <v>18488818</v>
      </c>
      <c r="C17" s="32">
        <v>18497420</v>
      </c>
      <c r="D17" s="38">
        <f t="shared" si="0"/>
        <v>8602</v>
      </c>
      <c r="E17" s="34"/>
    </row>
    <row r="18" spans="1:5" ht="13.5" customHeight="1" x14ac:dyDescent="0.2">
      <c r="A18" s="60">
        <v>9</v>
      </c>
      <c r="B18" s="33">
        <f t="shared" si="1"/>
        <v>18497420</v>
      </c>
      <c r="C18" s="32">
        <v>18500456</v>
      </c>
      <c r="D18" s="38">
        <f t="shared" si="0"/>
        <v>3036</v>
      </c>
      <c r="E18" s="34"/>
    </row>
    <row r="19" spans="1:5" ht="13.5" customHeight="1" x14ac:dyDescent="0.2">
      <c r="A19" s="61">
        <v>10</v>
      </c>
      <c r="B19" s="33">
        <f t="shared" si="1"/>
        <v>18500456</v>
      </c>
      <c r="C19" s="32">
        <v>18509047</v>
      </c>
      <c r="D19" s="38">
        <f t="shared" si="0"/>
        <v>8591</v>
      </c>
      <c r="E19" s="34"/>
    </row>
    <row r="20" spans="1:5" ht="13.5" customHeight="1" x14ac:dyDescent="0.2">
      <c r="A20" s="60">
        <v>11</v>
      </c>
      <c r="B20" s="33">
        <f t="shared" si="1"/>
        <v>18509047</v>
      </c>
      <c r="C20" s="32">
        <v>18511592</v>
      </c>
      <c r="D20" s="38">
        <f t="shared" si="0"/>
        <v>2545</v>
      </c>
      <c r="E20" s="34"/>
    </row>
    <row r="21" spans="1:5" ht="13.5" customHeight="1" x14ac:dyDescent="0.2">
      <c r="A21" s="61">
        <v>12</v>
      </c>
      <c r="B21" s="33">
        <f t="shared" si="1"/>
        <v>18511592</v>
      </c>
      <c r="C21" s="32">
        <v>18522661</v>
      </c>
      <c r="D21" s="38">
        <f t="shared" si="0"/>
        <v>11069</v>
      </c>
      <c r="E21" s="34"/>
    </row>
    <row r="22" spans="1:5" ht="13.5" customHeight="1" x14ac:dyDescent="0.2">
      <c r="A22" s="60">
        <v>13</v>
      </c>
      <c r="B22" s="33">
        <f t="shared" si="1"/>
        <v>18522661</v>
      </c>
      <c r="C22" s="32">
        <v>18526148</v>
      </c>
      <c r="D22" s="38">
        <f t="shared" si="0"/>
        <v>3487</v>
      </c>
      <c r="E22" s="34"/>
    </row>
    <row r="23" spans="1:5" ht="13.5" customHeight="1" x14ac:dyDescent="0.2">
      <c r="A23" s="61">
        <v>14</v>
      </c>
      <c r="B23" s="33">
        <f t="shared" si="1"/>
        <v>18526148</v>
      </c>
      <c r="C23" s="32">
        <v>18537032</v>
      </c>
      <c r="D23" s="38">
        <f t="shared" si="0"/>
        <v>10884</v>
      </c>
      <c r="E23" s="34"/>
    </row>
    <row r="24" spans="1:5" ht="13.5" customHeight="1" x14ac:dyDescent="0.2">
      <c r="A24" s="60">
        <v>15</v>
      </c>
      <c r="B24" s="33">
        <f t="shared" si="1"/>
        <v>18537032</v>
      </c>
      <c r="C24" s="32">
        <v>18540295</v>
      </c>
      <c r="D24" s="38">
        <f t="shared" si="0"/>
        <v>3263</v>
      </c>
      <c r="E24" s="34"/>
    </row>
    <row r="25" spans="1:5" ht="13.5" customHeight="1" x14ac:dyDescent="0.2">
      <c r="A25" s="61">
        <v>16</v>
      </c>
      <c r="B25" s="33">
        <f t="shared" si="1"/>
        <v>18540295</v>
      </c>
      <c r="C25" s="32">
        <v>18551608</v>
      </c>
      <c r="D25" s="38">
        <f t="shared" si="0"/>
        <v>11313</v>
      </c>
      <c r="E25" s="34"/>
    </row>
    <row r="26" spans="1:5" ht="13.5" customHeight="1" x14ac:dyDescent="0.2">
      <c r="A26" s="60">
        <v>17</v>
      </c>
      <c r="B26" s="33">
        <f t="shared" si="1"/>
        <v>18551608</v>
      </c>
      <c r="C26" s="32">
        <v>18554360</v>
      </c>
      <c r="D26" s="38">
        <f t="shared" si="0"/>
        <v>2752</v>
      </c>
      <c r="E26" s="34"/>
    </row>
    <row r="27" spans="1:5" ht="13.5" customHeight="1" x14ac:dyDescent="0.2">
      <c r="A27" s="61">
        <v>18</v>
      </c>
      <c r="B27" s="33">
        <f t="shared" si="1"/>
        <v>18554360</v>
      </c>
      <c r="C27" s="32"/>
      <c r="D27" s="38">
        <f t="shared" si="0"/>
        <v>-18554360</v>
      </c>
      <c r="E27" s="34"/>
    </row>
    <row r="28" spans="1:5" ht="13.5" customHeight="1" x14ac:dyDescent="0.2">
      <c r="A28" s="60">
        <v>19</v>
      </c>
      <c r="B28" s="33">
        <f t="shared" si="1"/>
        <v>0</v>
      </c>
      <c r="C28" s="32"/>
      <c r="D28" s="38">
        <f t="shared" si="0"/>
        <v>0</v>
      </c>
      <c r="E28" s="34"/>
    </row>
    <row r="29" spans="1:5" ht="13.5" customHeight="1" x14ac:dyDescent="0.2">
      <c r="A29" s="61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60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61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60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61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60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232">
        <v>26</v>
      </c>
      <c r="B35" s="230">
        <f t="shared" si="1"/>
        <v>0</v>
      </c>
      <c r="C35" s="32"/>
      <c r="D35" s="38">
        <f>C35-B35</f>
        <v>0</v>
      </c>
      <c r="E35" s="35"/>
    </row>
    <row r="36" spans="1:5" ht="13.5" customHeight="1" x14ac:dyDescent="0.2">
      <c r="A36" s="60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61">
        <v>28</v>
      </c>
      <c r="B37" s="33">
        <f t="shared" si="1"/>
        <v>0</v>
      </c>
      <c r="C37" s="32"/>
      <c r="D37" s="38">
        <f t="shared" si="0"/>
        <v>0</v>
      </c>
      <c r="E37" s="48"/>
    </row>
    <row r="38" spans="1:5" ht="13.5" customHeight="1" x14ac:dyDescent="0.2">
      <c r="A38" s="61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61">
        <v>30</v>
      </c>
      <c r="B39" s="33">
        <f>C38</f>
        <v>0</v>
      </c>
      <c r="C39" s="32"/>
      <c r="D39" s="38">
        <f>C39-B39</f>
        <v>0</v>
      </c>
      <c r="E39" s="48"/>
    </row>
    <row r="40" spans="1:5" ht="13.5" customHeight="1" x14ac:dyDescent="0.2">
      <c r="A40" s="61">
        <v>31</v>
      </c>
      <c r="B40" s="33">
        <f>C39</f>
        <v>0</v>
      </c>
      <c r="C40" s="32"/>
      <c r="D40" s="38">
        <f>C40-B40</f>
        <v>0</v>
      </c>
      <c r="E40" s="48"/>
    </row>
    <row r="41" spans="1:5" ht="13.5" thickBot="1" x14ac:dyDescent="0.25">
      <c r="A41" s="57" t="s">
        <v>7</v>
      </c>
      <c r="D41" s="49">
        <f>SUM(D10:D40)</f>
        <v>-18432445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opLeftCell="A7" workbookViewId="0">
      <selection activeCell="G25" sqref="G25"/>
    </sheetView>
  </sheetViews>
  <sheetFormatPr defaultRowHeight="12.75" x14ac:dyDescent="0.2"/>
  <cols>
    <col min="1" max="1" width="10.140625" bestFit="1" customWidth="1"/>
    <col min="2" max="2" width="13.85546875" style="298" customWidth="1"/>
    <col min="3" max="3" width="10.7109375" style="298" customWidth="1"/>
    <col min="4" max="4" width="12.42578125" style="298" customWidth="1"/>
    <col min="5" max="5" width="5.85546875" customWidth="1"/>
    <col min="6" max="6" width="12.85546875" customWidth="1"/>
    <col min="7" max="7" width="12.85546875" style="298" customWidth="1"/>
    <col min="8" max="8" width="11.85546875" bestFit="1" customWidth="1"/>
    <col min="10" max="10" width="11.140625" bestFit="1" customWidth="1"/>
    <col min="12" max="13" width="13.28515625" bestFit="1" customWidth="1"/>
  </cols>
  <sheetData>
    <row r="1" spans="1:13" x14ac:dyDescent="0.2">
      <c r="A1" s="349" t="s">
        <v>167</v>
      </c>
      <c r="B1" s="350"/>
      <c r="C1" s="350"/>
      <c r="D1" s="351"/>
      <c r="F1" s="355" t="s">
        <v>170</v>
      </c>
      <c r="G1" s="356"/>
      <c r="H1" s="357"/>
    </row>
    <row r="2" spans="1:13" x14ac:dyDescent="0.2">
      <c r="A2" s="300">
        <v>44378</v>
      </c>
      <c r="B2" s="309"/>
      <c r="C2" s="309"/>
      <c r="D2" s="301"/>
      <c r="F2" s="358"/>
      <c r="G2" s="359"/>
      <c r="H2" s="360"/>
    </row>
    <row r="3" spans="1:13" x14ac:dyDescent="0.2">
      <c r="A3" s="306"/>
      <c r="B3" s="307"/>
      <c r="C3" s="307"/>
      <c r="D3" s="308" t="s">
        <v>38</v>
      </c>
      <c r="E3" s="299"/>
      <c r="F3" s="352" t="s">
        <v>64</v>
      </c>
      <c r="G3" s="353"/>
      <c r="H3" s="354"/>
    </row>
    <row r="4" spans="1:13" s="18" customFormat="1" ht="34.5" customHeight="1" x14ac:dyDescent="0.2">
      <c r="A4" s="310" t="s">
        <v>39</v>
      </c>
      <c r="B4" s="310" t="s">
        <v>40</v>
      </c>
      <c r="C4" s="310" t="s">
        <v>41</v>
      </c>
      <c r="D4" s="311" t="s">
        <v>168</v>
      </c>
      <c r="E4" s="312"/>
      <c r="F4" s="313" t="s">
        <v>54</v>
      </c>
      <c r="G4" s="313" t="s">
        <v>55</v>
      </c>
      <c r="H4" s="314" t="s">
        <v>169</v>
      </c>
      <c r="J4" s="305" t="s">
        <v>69</v>
      </c>
      <c r="L4" s="347" t="s">
        <v>70</v>
      </c>
      <c r="M4" s="348"/>
    </row>
    <row r="5" spans="1:13" x14ac:dyDescent="0.2">
      <c r="A5" s="101">
        <v>1</v>
      </c>
      <c r="B5" s="62">
        <v>44329360</v>
      </c>
      <c r="C5" s="302">
        <v>44336560</v>
      </c>
      <c r="D5" s="302">
        <f>C5-B5</f>
        <v>7200</v>
      </c>
      <c r="F5" s="96">
        <v>689210</v>
      </c>
      <c r="G5" s="297">
        <v>693940</v>
      </c>
      <c r="H5" s="297">
        <f>G5-F5</f>
        <v>4730</v>
      </c>
      <c r="J5" s="99">
        <f>D5/200</f>
        <v>36</v>
      </c>
      <c r="L5" s="8">
        <f>2.68*D5</f>
        <v>19296</v>
      </c>
      <c r="M5" s="8">
        <f>L5/1000</f>
        <v>19.295999999999999</v>
      </c>
    </row>
    <row r="6" spans="1:13" x14ac:dyDescent="0.2">
      <c r="A6" s="101">
        <v>2</v>
      </c>
      <c r="B6" s="62">
        <f>C5</f>
        <v>44336560</v>
      </c>
      <c r="C6" s="62">
        <v>44344070</v>
      </c>
      <c r="D6" s="302">
        <f>C6-B6</f>
        <v>7510</v>
      </c>
      <c r="F6" s="96">
        <f>G5</f>
        <v>693940</v>
      </c>
      <c r="G6" s="297">
        <v>694690</v>
      </c>
      <c r="H6" s="297">
        <f t="shared" ref="H6:H35" si="0">G6-F6</f>
        <v>750</v>
      </c>
      <c r="J6" s="99">
        <f t="shared" ref="J6:J34" si="1">D6/200</f>
        <v>37.549999999999997</v>
      </c>
      <c r="L6" s="8">
        <f t="shared" ref="L6:L36" si="2">2.68*D6</f>
        <v>20126.800000000003</v>
      </c>
      <c r="M6" s="8">
        <f t="shared" ref="M6:M36" si="3">L6/1000</f>
        <v>20.126800000000003</v>
      </c>
    </row>
    <row r="7" spans="1:13" x14ac:dyDescent="0.2">
      <c r="A7" s="101">
        <v>3</v>
      </c>
      <c r="B7" s="62">
        <f t="shared" ref="B7:B35" si="4">C6</f>
        <v>44344070</v>
      </c>
      <c r="C7" s="62">
        <v>44351590</v>
      </c>
      <c r="D7" s="302">
        <f t="shared" ref="D7:D31" si="5">C7-B7</f>
        <v>7520</v>
      </c>
      <c r="F7" s="96">
        <f t="shared" ref="F7:F35" si="6">G6</f>
        <v>694690</v>
      </c>
      <c r="G7" s="297">
        <v>694690</v>
      </c>
      <c r="H7" s="297">
        <f t="shared" si="0"/>
        <v>0</v>
      </c>
      <c r="J7" s="99">
        <f t="shared" si="1"/>
        <v>37.6</v>
      </c>
      <c r="L7" s="8">
        <f t="shared" si="2"/>
        <v>20153.600000000002</v>
      </c>
      <c r="M7" s="8">
        <f t="shared" si="3"/>
        <v>20.153600000000001</v>
      </c>
    </row>
    <row r="8" spans="1:13" x14ac:dyDescent="0.2">
      <c r="A8" s="101">
        <v>4</v>
      </c>
      <c r="B8" s="62">
        <f t="shared" si="4"/>
        <v>44351590</v>
      </c>
      <c r="C8" s="62">
        <v>44359110</v>
      </c>
      <c r="D8" s="302">
        <f t="shared" si="5"/>
        <v>7520</v>
      </c>
      <c r="F8" s="96">
        <f t="shared" si="6"/>
        <v>694690</v>
      </c>
      <c r="G8" s="297">
        <v>694810</v>
      </c>
      <c r="H8" s="297">
        <f t="shared" si="0"/>
        <v>120</v>
      </c>
      <c r="J8" s="99">
        <f t="shared" si="1"/>
        <v>37.6</v>
      </c>
      <c r="L8" s="8">
        <f t="shared" si="2"/>
        <v>20153.600000000002</v>
      </c>
      <c r="M8" s="8">
        <f t="shared" si="3"/>
        <v>20.153600000000001</v>
      </c>
    </row>
    <row r="9" spans="1:13" x14ac:dyDescent="0.2">
      <c r="A9" s="101">
        <v>5</v>
      </c>
      <c r="B9" s="62">
        <f t="shared" si="4"/>
        <v>44359110</v>
      </c>
      <c r="C9" s="62">
        <v>44366090</v>
      </c>
      <c r="D9" s="302">
        <f t="shared" si="5"/>
        <v>6980</v>
      </c>
      <c r="F9" s="96">
        <f t="shared" si="6"/>
        <v>694810</v>
      </c>
      <c r="G9" s="297">
        <v>696810</v>
      </c>
      <c r="H9" s="297">
        <f t="shared" si="0"/>
        <v>2000</v>
      </c>
      <c r="J9" s="99">
        <f t="shared" si="1"/>
        <v>34.9</v>
      </c>
      <c r="L9" s="8">
        <f t="shared" si="2"/>
        <v>18706.400000000001</v>
      </c>
      <c r="M9" s="8">
        <f t="shared" si="3"/>
        <v>18.706400000000002</v>
      </c>
    </row>
    <row r="10" spans="1:13" x14ac:dyDescent="0.2">
      <c r="A10" s="101">
        <v>6</v>
      </c>
      <c r="B10" s="62">
        <f t="shared" si="4"/>
        <v>44366090</v>
      </c>
      <c r="C10" s="62">
        <v>44373720</v>
      </c>
      <c r="D10" s="302">
        <f t="shared" si="5"/>
        <v>7630</v>
      </c>
      <c r="F10" s="96">
        <f t="shared" si="6"/>
        <v>696810</v>
      </c>
      <c r="G10" s="297">
        <v>697470</v>
      </c>
      <c r="H10" s="297">
        <f t="shared" si="0"/>
        <v>660</v>
      </c>
      <c r="J10" s="99">
        <f t="shared" si="1"/>
        <v>38.15</v>
      </c>
      <c r="L10" s="8">
        <f t="shared" si="2"/>
        <v>20448.400000000001</v>
      </c>
      <c r="M10" s="8">
        <f t="shared" si="3"/>
        <v>20.448400000000003</v>
      </c>
    </row>
    <row r="11" spans="1:13" x14ac:dyDescent="0.2">
      <c r="A11" s="101">
        <v>7</v>
      </c>
      <c r="B11" s="62">
        <f t="shared" si="4"/>
        <v>44373720</v>
      </c>
      <c r="C11" s="62">
        <v>44380200</v>
      </c>
      <c r="D11" s="302">
        <f t="shared" si="5"/>
        <v>6480</v>
      </c>
      <c r="F11" s="96">
        <f t="shared" si="6"/>
        <v>697470</v>
      </c>
      <c r="G11" s="297">
        <v>697590</v>
      </c>
      <c r="H11" s="297">
        <f t="shared" si="0"/>
        <v>120</v>
      </c>
      <c r="J11" s="99">
        <f t="shared" si="1"/>
        <v>32.4</v>
      </c>
      <c r="L11" s="8">
        <f t="shared" si="2"/>
        <v>17366.400000000001</v>
      </c>
      <c r="M11" s="8">
        <f t="shared" si="3"/>
        <v>17.366400000000002</v>
      </c>
    </row>
    <row r="12" spans="1:13" x14ac:dyDescent="0.2">
      <c r="A12" s="101">
        <v>8</v>
      </c>
      <c r="B12" s="62">
        <f t="shared" si="4"/>
        <v>44380200</v>
      </c>
      <c r="C12" s="62">
        <v>44387340</v>
      </c>
      <c r="D12" s="302">
        <f t="shared" si="5"/>
        <v>7140</v>
      </c>
      <c r="F12" s="96">
        <f t="shared" si="6"/>
        <v>697590</v>
      </c>
      <c r="G12" s="297">
        <v>699490</v>
      </c>
      <c r="H12" s="297">
        <f t="shared" si="0"/>
        <v>1900</v>
      </c>
      <c r="J12" s="99">
        <f t="shared" si="1"/>
        <v>35.700000000000003</v>
      </c>
      <c r="L12" s="8">
        <f t="shared" si="2"/>
        <v>19135.2</v>
      </c>
      <c r="M12" s="8">
        <f t="shared" si="3"/>
        <v>19.135200000000001</v>
      </c>
    </row>
    <row r="13" spans="1:13" x14ac:dyDescent="0.2">
      <c r="A13" s="101">
        <v>9</v>
      </c>
      <c r="B13" s="62">
        <f t="shared" si="4"/>
        <v>44387340</v>
      </c>
      <c r="C13" s="62">
        <v>44393630</v>
      </c>
      <c r="D13" s="302">
        <f t="shared" si="5"/>
        <v>6290</v>
      </c>
      <c r="F13" s="96">
        <f t="shared" si="6"/>
        <v>699490</v>
      </c>
      <c r="G13" s="297">
        <v>699890</v>
      </c>
      <c r="H13" s="297">
        <f t="shared" si="0"/>
        <v>400</v>
      </c>
      <c r="J13" s="99">
        <f t="shared" si="1"/>
        <v>31.45</v>
      </c>
      <c r="L13" s="8">
        <f t="shared" si="2"/>
        <v>16857.2</v>
      </c>
      <c r="M13" s="8">
        <f t="shared" si="3"/>
        <v>16.857200000000002</v>
      </c>
    </row>
    <row r="14" spans="1:13" x14ac:dyDescent="0.2">
      <c r="A14" s="101">
        <v>10</v>
      </c>
      <c r="B14" s="62">
        <f t="shared" si="4"/>
        <v>44393630</v>
      </c>
      <c r="C14" s="62">
        <v>44399970</v>
      </c>
      <c r="D14" s="302">
        <f t="shared" si="5"/>
        <v>6340</v>
      </c>
      <c r="F14" s="96">
        <f t="shared" si="6"/>
        <v>699890</v>
      </c>
      <c r="G14" s="297">
        <v>700010</v>
      </c>
      <c r="H14" s="297">
        <f t="shared" si="0"/>
        <v>120</v>
      </c>
      <c r="J14" s="99">
        <f t="shared" si="1"/>
        <v>31.7</v>
      </c>
      <c r="L14" s="8">
        <f t="shared" si="2"/>
        <v>16991.2</v>
      </c>
      <c r="M14" s="8">
        <f t="shared" si="3"/>
        <v>16.991199999999999</v>
      </c>
    </row>
    <row r="15" spans="1:13" x14ac:dyDescent="0.2">
      <c r="A15" s="101">
        <v>11</v>
      </c>
      <c r="B15" s="62">
        <f t="shared" si="4"/>
        <v>44399970</v>
      </c>
      <c r="C15" s="62">
        <v>44406410</v>
      </c>
      <c r="D15" s="302">
        <f t="shared" si="5"/>
        <v>6440</v>
      </c>
      <c r="F15" s="96">
        <f t="shared" si="6"/>
        <v>700010</v>
      </c>
      <c r="G15" s="297">
        <v>700010</v>
      </c>
      <c r="H15" s="297">
        <f t="shared" si="0"/>
        <v>0</v>
      </c>
      <c r="J15" s="99">
        <f t="shared" si="1"/>
        <v>32.200000000000003</v>
      </c>
      <c r="L15" s="8">
        <f t="shared" si="2"/>
        <v>17259.2</v>
      </c>
      <c r="M15" s="8">
        <f t="shared" si="3"/>
        <v>17.2592</v>
      </c>
    </row>
    <row r="16" spans="1:13" x14ac:dyDescent="0.2">
      <c r="A16" s="101">
        <v>12</v>
      </c>
      <c r="B16" s="62">
        <f t="shared" si="4"/>
        <v>44406410</v>
      </c>
      <c r="C16" s="62">
        <v>44413340</v>
      </c>
      <c r="D16" s="302">
        <f t="shared" si="5"/>
        <v>6930</v>
      </c>
      <c r="F16" s="96">
        <f t="shared" si="6"/>
        <v>700010</v>
      </c>
      <c r="G16" s="297">
        <v>701990</v>
      </c>
      <c r="H16" s="297">
        <f t="shared" si="0"/>
        <v>1980</v>
      </c>
      <c r="J16" s="99">
        <f t="shared" si="1"/>
        <v>34.65</v>
      </c>
      <c r="L16" s="8">
        <f t="shared" si="2"/>
        <v>18572.400000000001</v>
      </c>
      <c r="M16" s="8">
        <f t="shared" si="3"/>
        <v>18.572400000000002</v>
      </c>
    </row>
    <row r="17" spans="1:13" x14ac:dyDescent="0.2">
      <c r="A17" s="101">
        <v>13</v>
      </c>
      <c r="B17" s="62">
        <f t="shared" si="4"/>
        <v>44413340</v>
      </c>
      <c r="C17" s="62">
        <v>44420370</v>
      </c>
      <c r="D17" s="302">
        <f t="shared" si="5"/>
        <v>7030</v>
      </c>
      <c r="F17" s="96">
        <f t="shared" si="6"/>
        <v>701990</v>
      </c>
      <c r="G17" s="297">
        <v>702930</v>
      </c>
      <c r="H17" s="297">
        <f t="shared" si="0"/>
        <v>940</v>
      </c>
      <c r="J17" s="99">
        <f t="shared" si="1"/>
        <v>35.15</v>
      </c>
      <c r="L17" s="8">
        <f t="shared" si="2"/>
        <v>18840.400000000001</v>
      </c>
      <c r="M17" s="8">
        <f t="shared" si="3"/>
        <v>18.840400000000002</v>
      </c>
    </row>
    <row r="18" spans="1:13" x14ac:dyDescent="0.2">
      <c r="A18" s="101">
        <v>14</v>
      </c>
      <c r="B18" s="62">
        <f t="shared" si="4"/>
        <v>44420370</v>
      </c>
      <c r="C18" s="62">
        <v>44427040</v>
      </c>
      <c r="D18" s="302">
        <f t="shared" si="5"/>
        <v>6670</v>
      </c>
      <c r="F18" s="96">
        <f t="shared" si="6"/>
        <v>702930</v>
      </c>
      <c r="G18" s="297">
        <v>705140</v>
      </c>
      <c r="H18" s="297">
        <f t="shared" si="0"/>
        <v>2210</v>
      </c>
      <c r="J18" s="99">
        <f t="shared" si="1"/>
        <v>33.35</v>
      </c>
      <c r="L18" s="8">
        <f t="shared" si="2"/>
        <v>17875.600000000002</v>
      </c>
      <c r="M18" s="8">
        <f t="shared" si="3"/>
        <v>17.875600000000002</v>
      </c>
    </row>
    <row r="19" spans="1:13" x14ac:dyDescent="0.2">
      <c r="A19" s="101">
        <v>15</v>
      </c>
      <c r="B19" s="62">
        <f t="shared" si="4"/>
        <v>44427040</v>
      </c>
      <c r="C19" s="62">
        <v>44433950</v>
      </c>
      <c r="D19" s="302">
        <f t="shared" si="5"/>
        <v>6910</v>
      </c>
      <c r="F19" s="96">
        <f t="shared" si="6"/>
        <v>705140</v>
      </c>
      <c r="G19" s="297">
        <v>708760</v>
      </c>
      <c r="H19" s="297">
        <f t="shared" si="0"/>
        <v>3620</v>
      </c>
      <c r="J19" s="99">
        <f t="shared" si="1"/>
        <v>34.549999999999997</v>
      </c>
      <c r="L19" s="8">
        <f t="shared" si="2"/>
        <v>18518.800000000003</v>
      </c>
      <c r="M19" s="8">
        <f t="shared" si="3"/>
        <v>18.518800000000002</v>
      </c>
    </row>
    <row r="20" spans="1:13" x14ac:dyDescent="0.2">
      <c r="A20" s="101">
        <v>16</v>
      </c>
      <c r="B20" s="62">
        <f t="shared" si="4"/>
        <v>44433950</v>
      </c>
      <c r="C20" s="62">
        <v>44440750</v>
      </c>
      <c r="D20" s="302">
        <f t="shared" si="5"/>
        <v>6800</v>
      </c>
      <c r="F20" s="96">
        <f t="shared" si="6"/>
        <v>708760</v>
      </c>
      <c r="G20" s="297">
        <v>708760</v>
      </c>
      <c r="H20" s="297">
        <f t="shared" si="0"/>
        <v>0</v>
      </c>
      <c r="J20" s="99">
        <f t="shared" si="1"/>
        <v>34</v>
      </c>
      <c r="L20" s="8">
        <f t="shared" si="2"/>
        <v>18224</v>
      </c>
      <c r="M20" s="8">
        <f t="shared" si="3"/>
        <v>18.224</v>
      </c>
    </row>
    <row r="21" spans="1:13" x14ac:dyDescent="0.2">
      <c r="A21" s="101">
        <v>17</v>
      </c>
      <c r="B21" s="62">
        <f t="shared" si="4"/>
        <v>44440750</v>
      </c>
      <c r="C21" s="62">
        <v>44447810</v>
      </c>
      <c r="D21" s="302">
        <f t="shared" si="5"/>
        <v>7060</v>
      </c>
      <c r="F21" s="96">
        <f t="shared" si="6"/>
        <v>708760</v>
      </c>
      <c r="G21" s="297">
        <v>708760</v>
      </c>
      <c r="H21" s="297">
        <f t="shared" si="0"/>
        <v>0</v>
      </c>
      <c r="J21" s="99">
        <f t="shared" si="1"/>
        <v>35.299999999999997</v>
      </c>
      <c r="L21" s="8">
        <f t="shared" si="2"/>
        <v>18920.800000000003</v>
      </c>
      <c r="M21" s="8">
        <f t="shared" si="3"/>
        <v>18.920800000000003</v>
      </c>
    </row>
    <row r="22" spans="1:13" x14ac:dyDescent="0.2">
      <c r="A22" s="101">
        <v>18</v>
      </c>
      <c r="B22" s="62">
        <f t="shared" si="4"/>
        <v>44447810</v>
      </c>
      <c r="C22" s="62"/>
      <c r="D22" s="302">
        <f t="shared" si="5"/>
        <v>-44447810</v>
      </c>
      <c r="F22" s="96">
        <f t="shared" si="6"/>
        <v>708760</v>
      </c>
      <c r="G22" s="297"/>
      <c r="H22" s="297">
        <f t="shared" si="0"/>
        <v>-708760</v>
      </c>
      <c r="J22" s="99">
        <f t="shared" si="1"/>
        <v>-222239.05</v>
      </c>
      <c r="L22" s="8">
        <f t="shared" si="2"/>
        <v>-119120130.80000001</v>
      </c>
      <c r="M22" s="8">
        <f t="shared" si="3"/>
        <v>-119120.13080000001</v>
      </c>
    </row>
    <row r="23" spans="1:13" x14ac:dyDescent="0.2">
      <c r="A23" s="101">
        <v>19</v>
      </c>
      <c r="B23" s="62">
        <f t="shared" si="4"/>
        <v>0</v>
      </c>
      <c r="C23" s="62"/>
      <c r="D23" s="302">
        <f t="shared" si="5"/>
        <v>0</v>
      </c>
      <c r="F23" s="96">
        <f t="shared" si="6"/>
        <v>0</v>
      </c>
      <c r="G23" s="297"/>
      <c r="H23" s="297">
        <f t="shared" si="0"/>
        <v>0</v>
      </c>
      <c r="J23" s="99">
        <f t="shared" si="1"/>
        <v>0</v>
      </c>
      <c r="L23" s="8">
        <f t="shared" si="2"/>
        <v>0</v>
      </c>
      <c r="M23" s="8">
        <f t="shared" si="3"/>
        <v>0</v>
      </c>
    </row>
    <row r="24" spans="1:13" x14ac:dyDescent="0.2">
      <c r="A24" s="101">
        <v>20</v>
      </c>
      <c r="B24" s="62">
        <f t="shared" si="4"/>
        <v>0</v>
      </c>
      <c r="C24" s="62"/>
      <c r="D24" s="302">
        <f t="shared" si="5"/>
        <v>0</v>
      </c>
      <c r="F24" s="96">
        <f t="shared" si="6"/>
        <v>0</v>
      </c>
      <c r="G24" s="297"/>
      <c r="H24" s="297">
        <f t="shared" si="0"/>
        <v>0</v>
      </c>
      <c r="J24" s="99">
        <f t="shared" si="1"/>
        <v>0</v>
      </c>
      <c r="L24" s="8">
        <f t="shared" si="2"/>
        <v>0</v>
      </c>
      <c r="M24" s="8">
        <f t="shared" si="3"/>
        <v>0</v>
      </c>
    </row>
    <row r="25" spans="1:13" x14ac:dyDescent="0.2">
      <c r="A25" s="101">
        <v>21</v>
      </c>
      <c r="B25" s="62">
        <f t="shared" si="4"/>
        <v>0</v>
      </c>
      <c r="C25" s="62"/>
      <c r="D25" s="302">
        <f t="shared" si="5"/>
        <v>0</v>
      </c>
      <c r="F25" s="96">
        <f t="shared" si="6"/>
        <v>0</v>
      </c>
      <c r="G25" s="297"/>
      <c r="H25" s="297">
        <f t="shared" si="0"/>
        <v>0</v>
      </c>
      <c r="J25" s="99">
        <f t="shared" si="1"/>
        <v>0</v>
      </c>
      <c r="L25" s="8">
        <f t="shared" si="2"/>
        <v>0</v>
      </c>
      <c r="M25" s="8">
        <f t="shared" si="3"/>
        <v>0</v>
      </c>
    </row>
    <row r="26" spans="1:13" x14ac:dyDescent="0.2">
      <c r="A26" s="101">
        <v>22</v>
      </c>
      <c r="B26" s="62">
        <f t="shared" si="4"/>
        <v>0</v>
      </c>
      <c r="C26" s="62"/>
      <c r="D26" s="302">
        <f t="shared" si="5"/>
        <v>0</v>
      </c>
      <c r="F26" s="96">
        <f t="shared" si="6"/>
        <v>0</v>
      </c>
      <c r="G26" s="297"/>
      <c r="H26" s="297">
        <f t="shared" si="0"/>
        <v>0</v>
      </c>
      <c r="J26" s="99">
        <f t="shared" si="1"/>
        <v>0</v>
      </c>
      <c r="L26" s="8">
        <f t="shared" si="2"/>
        <v>0</v>
      </c>
      <c r="M26" s="8">
        <f t="shared" si="3"/>
        <v>0</v>
      </c>
    </row>
    <row r="27" spans="1:13" x14ac:dyDescent="0.2">
      <c r="A27" s="101">
        <v>23</v>
      </c>
      <c r="B27" s="62">
        <f t="shared" si="4"/>
        <v>0</v>
      </c>
      <c r="C27" s="62"/>
      <c r="D27" s="302">
        <f t="shared" si="5"/>
        <v>0</v>
      </c>
      <c r="F27" s="96">
        <f t="shared" si="6"/>
        <v>0</v>
      </c>
      <c r="G27" s="297"/>
      <c r="H27" s="297">
        <f t="shared" si="0"/>
        <v>0</v>
      </c>
      <c r="J27" s="99">
        <f t="shared" si="1"/>
        <v>0</v>
      </c>
      <c r="L27" s="8">
        <f t="shared" si="2"/>
        <v>0</v>
      </c>
      <c r="M27" s="8">
        <f t="shared" si="3"/>
        <v>0</v>
      </c>
    </row>
    <row r="28" spans="1:13" x14ac:dyDescent="0.2">
      <c r="A28" s="101">
        <v>24</v>
      </c>
      <c r="B28" s="62">
        <f t="shared" si="4"/>
        <v>0</v>
      </c>
      <c r="C28" s="62"/>
      <c r="D28" s="302">
        <f t="shared" si="5"/>
        <v>0</v>
      </c>
      <c r="F28" s="96">
        <f t="shared" si="6"/>
        <v>0</v>
      </c>
      <c r="G28" s="297"/>
      <c r="H28" s="297">
        <f t="shared" si="0"/>
        <v>0</v>
      </c>
      <c r="J28" s="99">
        <f t="shared" si="1"/>
        <v>0</v>
      </c>
      <c r="L28" s="8">
        <f t="shared" si="2"/>
        <v>0</v>
      </c>
      <c r="M28" s="8">
        <f>L28/1000</f>
        <v>0</v>
      </c>
    </row>
    <row r="29" spans="1:13" x14ac:dyDescent="0.2">
      <c r="A29" s="101">
        <v>25</v>
      </c>
      <c r="B29" s="62">
        <f t="shared" si="4"/>
        <v>0</v>
      </c>
      <c r="C29" s="62"/>
      <c r="D29" s="303">
        <f t="shared" si="5"/>
        <v>0</v>
      </c>
      <c r="E29" s="88"/>
      <c r="F29" s="96">
        <f t="shared" si="6"/>
        <v>0</v>
      </c>
      <c r="G29" s="297"/>
      <c r="H29" s="297">
        <f t="shared" si="0"/>
        <v>0</v>
      </c>
      <c r="J29" s="99">
        <f t="shared" si="1"/>
        <v>0</v>
      </c>
      <c r="L29" s="8">
        <f t="shared" si="2"/>
        <v>0</v>
      </c>
      <c r="M29" s="8">
        <f t="shared" si="3"/>
        <v>0</v>
      </c>
    </row>
    <row r="30" spans="1:13" x14ac:dyDescent="0.2">
      <c r="A30" s="101">
        <v>26</v>
      </c>
      <c r="B30" s="62">
        <f t="shared" si="4"/>
        <v>0</v>
      </c>
      <c r="C30" s="62"/>
      <c r="D30" s="302">
        <f t="shared" si="5"/>
        <v>0</v>
      </c>
      <c r="F30" s="96">
        <f t="shared" si="6"/>
        <v>0</v>
      </c>
      <c r="G30" s="297"/>
      <c r="H30" s="297">
        <f t="shared" si="0"/>
        <v>0</v>
      </c>
      <c r="J30" s="99">
        <f t="shared" si="1"/>
        <v>0</v>
      </c>
      <c r="L30" s="8">
        <f t="shared" si="2"/>
        <v>0</v>
      </c>
      <c r="M30" s="8">
        <f t="shared" si="3"/>
        <v>0</v>
      </c>
    </row>
    <row r="31" spans="1:13" x14ac:dyDescent="0.2">
      <c r="A31" s="101">
        <v>27</v>
      </c>
      <c r="B31" s="62">
        <f t="shared" si="4"/>
        <v>0</v>
      </c>
      <c r="C31" s="62"/>
      <c r="D31" s="302">
        <f t="shared" si="5"/>
        <v>0</v>
      </c>
      <c r="F31" s="96">
        <f t="shared" si="6"/>
        <v>0</v>
      </c>
      <c r="G31" s="297"/>
      <c r="H31" s="297">
        <f t="shared" si="0"/>
        <v>0</v>
      </c>
      <c r="J31" s="99">
        <f t="shared" si="1"/>
        <v>0</v>
      </c>
      <c r="L31" s="8">
        <f t="shared" si="2"/>
        <v>0</v>
      </c>
      <c r="M31" s="8">
        <f t="shared" si="3"/>
        <v>0</v>
      </c>
    </row>
    <row r="32" spans="1:13" x14ac:dyDescent="0.2">
      <c r="A32" s="101">
        <v>28</v>
      </c>
      <c r="B32" s="62">
        <f t="shared" si="4"/>
        <v>0</v>
      </c>
      <c r="C32" s="62"/>
      <c r="D32" s="302">
        <f>C32-B32</f>
        <v>0</v>
      </c>
      <c r="F32" s="96">
        <f t="shared" si="6"/>
        <v>0</v>
      </c>
      <c r="G32" s="297"/>
      <c r="H32" s="297">
        <f t="shared" si="0"/>
        <v>0</v>
      </c>
      <c r="J32" s="99">
        <f t="shared" si="1"/>
        <v>0</v>
      </c>
      <c r="L32" s="8">
        <f t="shared" si="2"/>
        <v>0</v>
      </c>
      <c r="M32" s="8">
        <f t="shared" si="3"/>
        <v>0</v>
      </c>
    </row>
    <row r="33" spans="1:13" x14ac:dyDescent="0.2">
      <c r="A33" s="101">
        <v>29</v>
      </c>
      <c r="B33" s="62">
        <f t="shared" si="4"/>
        <v>0</v>
      </c>
      <c r="C33" s="62"/>
      <c r="D33" s="302">
        <f t="shared" ref="D33:D35" si="7">C33-B33</f>
        <v>0</v>
      </c>
      <c r="F33" s="96">
        <f t="shared" si="6"/>
        <v>0</v>
      </c>
      <c r="G33" s="297"/>
      <c r="H33" s="297">
        <f t="shared" si="0"/>
        <v>0</v>
      </c>
      <c r="J33" s="99">
        <f t="shared" si="1"/>
        <v>0</v>
      </c>
      <c r="L33" s="8">
        <f t="shared" si="2"/>
        <v>0</v>
      </c>
      <c r="M33" s="8">
        <f t="shared" si="3"/>
        <v>0</v>
      </c>
    </row>
    <row r="34" spans="1:13" x14ac:dyDescent="0.2">
      <c r="A34" s="101">
        <v>30</v>
      </c>
      <c r="B34" s="62">
        <f t="shared" si="4"/>
        <v>0</v>
      </c>
      <c r="C34" s="62"/>
      <c r="D34" s="302">
        <f t="shared" si="7"/>
        <v>0</v>
      </c>
      <c r="F34" s="96">
        <f t="shared" si="6"/>
        <v>0</v>
      </c>
      <c r="G34" s="297"/>
      <c r="H34" s="297">
        <f t="shared" si="0"/>
        <v>0</v>
      </c>
      <c r="J34" s="99">
        <f t="shared" si="1"/>
        <v>0</v>
      </c>
      <c r="L34" s="8">
        <f t="shared" si="2"/>
        <v>0</v>
      </c>
      <c r="M34" s="8">
        <f t="shared" si="3"/>
        <v>0</v>
      </c>
    </row>
    <row r="35" spans="1:13" x14ac:dyDescent="0.2">
      <c r="A35" s="101">
        <v>31</v>
      </c>
      <c r="B35" s="62">
        <f t="shared" si="4"/>
        <v>0</v>
      </c>
      <c r="C35" s="62"/>
      <c r="D35" s="302">
        <f t="shared" si="7"/>
        <v>0</v>
      </c>
      <c r="F35" s="96">
        <f t="shared" si="6"/>
        <v>0</v>
      </c>
      <c r="G35" s="297"/>
      <c r="H35" s="297">
        <f t="shared" si="0"/>
        <v>0</v>
      </c>
      <c r="J35" s="99"/>
      <c r="L35" s="8"/>
      <c r="M35" s="8"/>
    </row>
    <row r="36" spans="1:13" ht="13.5" thickBot="1" x14ac:dyDescent="0.25">
      <c r="D36" s="304">
        <f>SUM(D5:D35)</f>
        <v>-44329360</v>
      </c>
      <c r="F36" s="97"/>
      <c r="G36" s="320"/>
      <c r="H36" s="297"/>
      <c r="J36" s="99">
        <f>SUM(J5:J34)</f>
        <v>-221646.8</v>
      </c>
      <c r="L36" s="8">
        <f t="shared" si="2"/>
        <v>-118802684.80000001</v>
      </c>
      <c r="M36" s="8">
        <f t="shared" si="3"/>
        <v>-118802.68480000002</v>
      </c>
    </row>
    <row r="37" spans="1:13" ht="13.5" thickTop="1" x14ac:dyDescent="0.2"/>
  </sheetData>
  <mergeCells count="4">
    <mergeCell ref="L4:M4"/>
    <mergeCell ref="A1:D1"/>
    <mergeCell ref="F3:H3"/>
    <mergeCell ref="F1:H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1"/>
  <sheetViews>
    <sheetView showWhiteSpace="0" zoomScaleNormal="100" workbookViewId="0">
      <selection activeCell="C26" sqref="C26"/>
    </sheetView>
  </sheetViews>
  <sheetFormatPr defaultRowHeight="12.75" x14ac:dyDescent="0.2"/>
  <cols>
    <col min="1" max="1" width="5.28515625" style="133" customWidth="1"/>
    <col min="2" max="2" width="12.7109375" customWidth="1"/>
    <col min="3" max="3" width="9.85546875" customWidth="1"/>
    <col min="4" max="4" width="16.140625" style="2" customWidth="1"/>
    <col min="5" max="5" width="16.28515625" style="233" customWidth="1"/>
    <col min="10" max="10" width="12" bestFit="1" customWidth="1"/>
  </cols>
  <sheetData>
    <row r="1" spans="1:11" ht="6.75" customHeight="1" x14ac:dyDescent="0.2">
      <c r="B1" s="18"/>
      <c r="C1" s="341"/>
      <c r="D1" s="341"/>
    </row>
    <row r="2" spans="1:11" hidden="1" x14ac:dyDescent="0.2">
      <c r="B2" s="18"/>
      <c r="C2" s="341"/>
      <c r="D2" s="341"/>
    </row>
    <row r="3" spans="1:11" ht="20.25" x14ac:dyDescent="0.2">
      <c r="B3" s="19"/>
      <c r="C3" s="64" t="s">
        <v>43</v>
      </c>
      <c r="D3" s="65"/>
    </row>
    <row r="4" spans="1:11" ht="3" customHeight="1" x14ac:dyDescent="0.2">
      <c r="B4" s="18"/>
      <c r="C4" s="66"/>
      <c r="D4" s="65"/>
    </row>
    <row r="5" spans="1:11" ht="14.25" customHeight="1" x14ac:dyDescent="0.2">
      <c r="A5" s="132"/>
      <c r="B5" s="74">
        <v>44378</v>
      </c>
      <c r="C5" s="66"/>
      <c r="D5" s="65"/>
    </row>
    <row r="6" spans="1:11" x14ac:dyDescent="0.2">
      <c r="B6" s="18"/>
      <c r="C6" s="18"/>
      <c r="D6" s="67"/>
    </row>
    <row r="7" spans="1:11" ht="20.25" customHeight="1" x14ac:dyDescent="0.2">
      <c r="A7" s="316"/>
      <c r="B7" s="361" t="s">
        <v>44</v>
      </c>
      <c r="C7" s="361"/>
      <c r="D7" s="361"/>
      <c r="E7" s="361"/>
    </row>
    <row r="8" spans="1:11" ht="38.25" x14ac:dyDescent="0.2">
      <c r="A8" s="316" t="s">
        <v>5</v>
      </c>
      <c r="B8" s="317" t="s">
        <v>19</v>
      </c>
      <c r="C8" s="318" t="s">
        <v>20</v>
      </c>
      <c r="D8" s="319" t="s">
        <v>29</v>
      </c>
      <c r="E8" s="317" t="s">
        <v>136</v>
      </c>
    </row>
    <row r="9" spans="1:11" x14ac:dyDescent="0.2">
      <c r="A9" s="315">
        <v>1</v>
      </c>
      <c r="B9" s="33">
        <v>2764195</v>
      </c>
      <c r="C9" s="33">
        <v>2766935</v>
      </c>
      <c r="D9" s="68">
        <f t="shared" ref="D9:D39" si="0">C9-B9</f>
        <v>2740</v>
      </c>
      <c r="E9" s="302"/>
    </row>
    <row r="10" spans="1:11" x14ac:dyDescent="0.2">
      <c r="A10" s="70">
        <v>2</v>
      </c>
      <c r="B10" s="33">
        <f>C9</f>
        <v>2766935</v>
      </c>
      <c r="C10" s="33">
        <v>2770081</v>
      </c>
      <c r="D10" s="68">
        <f t="shared" si="0"/>
        <v>3146</v>
      </c>
      <c r="E10" s="62"/>
    </row>
    <row r="11" spans="1:11" x14ac:dyDescent="0.2">
      <c r="A11" s="133">
        <v>3</v>
      </c>
      <c r="B11" s="33">
        <f t="shared" ref="B11:B39" si="1">C10</f>
        <v>2770081</v>
      </c>
      <c r="C11" s="33">
        <v>2772883</v>
      </c>
      <c r="D11" s="68">
        <f t="shared" si="0"/>
        <v>2802</v>
      </c>
      <c r="E11" s="62"/>
    </row>
    <row r="12" spans="1:11" x14ac:dyDescent="0.2">
      <c r="A12" s="70">
        <v>4</v>
      </c>
      <c r="B12" s="33">
        <f t="shared" si="1"/>
        <v>2772883</v>
      </c>
      <c r="C12" s="33">
        <v>2775025</v>
      </c>
      <c r="D12" s="68">
        <f t="shared" si="0"/>
        <v>2142</v>
      </c>
      <c r="E12" s="62"/>
    </row>
    <row r="13" spans="1:11" x14ac:dyDescent="0.2">
      <c r="A13" s="133">
        <v>5</v>
      </c>
      <c r="B13" s="33">
        <f t="shared" si="1"/>
        <v>2775025</v>
      </c>
      <c r="C13" s="33">
        <v>2777088</v>
      </c>
      <c r="D13" s="68">
        <f t="shared" si="0"/>
        <v>2063</v>
      </c>
      <c r="E13" s="62"/>
      <c r="J13" t="s">
        <v>66</v>
      </c>
      <c r="K13" t="s">
        <v>65</v>
      </c>
    </row>
    <row r="14" spans="1:11" x14ac:dyDescent="0.2">
      <c r="A14" s="70">
        <v>6</v>
      </c>
      <c r="B14" s="33">
        <f t="shared" si="1"/>
        <v>2777088</v>
      </c>
      <c r="C14" s="33">
        <v>2780117</v>
      </c>
      <c r="D14" s="68">
        <f t="shared" si="0"/>
        <v>3029</v>
      </c>
      <c r="E14" s="75"/>
      <c r="J14" s="98" t="s">
        <v>67</v>
      </c>
      <c r="K14" t="s">
        <v>68</v>
      </c>
    </row>
    <row r="15" spans="1:11" x14ac:dyDescent="0.2">
      <c r="A15" s="133">
        <v>7</v>
      </c>
      <c r="B15" s="33">
        <f t="shared" si="1"/>
        <v>2780117</v>
      </c>
      <c r="C15" s="33">
        <v>2782277</v>
      </c>
      <c r="D15" s="68">
        <f t="shared" si="0"/>
        <v>2160</v>
      </c>
      <c r="E15" s="71"/>
    </row>
    <row r="16" spans="1:11" x14ac:dyDescent="0.2">
      <c r="A16" s="70">
        <v>8</v>
      </c>
      <c r="B16" s="33">
        <f t="shared" si="1"/>
        <v>2782277</v>
      </c>
      <c r="C16" s="33">
        <v>2785155</v>
      </c>
      <c r="D16" s="68">
        <f t="shared" si="0"/>
        <v>2878</v>
      </c>
      <c r="E16" s="71"/>
    </row>
    <row r="17" spans="1:5" x14ac:dyDescent="0.2">
      <c r="A17" s="133">
        <v>9</v>
      </c>
      <c r="B17" s="33">
        <f t="shared" si="1"/>
        <v>2785155</v>
      </c>
      <c r="C17" s="33">
        <v>2786512</v>
      </c>
      <c r="D17" s="68">
        <f t="shared" si="0"/>
        <v>1357</v>
      </c>
      <c r="E17" s="71"/>
    </row>
    <row r="18" spans="1:5" x14ac:dyDescent="0.2">
      <c r="A18" s="70">
        <v>10</v>
      </c>
      <c r="B18" s="33">
        <f t="shared" si="1"/>
        <v>2786512</v>
      </c>
      <c r="C18" s="33">
        <v>2788398</v>
      </c>
      <c r="D18" s="68">
        <f t="shared" si="0"/>
        <v>1886</v>
      </c>
      <c r="E18" s="71"/>
    </row>
    <row r="19" spans="1:5" x14ac:dyDescent="0.2">
      <c r="A19" s="133">
        <v>11</v>
      </c>
      <c r="B19" s="33">
        <f t="shared" si="1"/>
        <v>2788398</v>
      </c>
      <c r="C19" s="33">
        <v>2791444</v>
      </c>
      <c r="D19" s="68">
        <f t="shared" si="0"/>
        <v>3046</v>
      </c>
      <c r="E19" s="71"/>
    </row>
    <row r="20" spans="1:5" x14ac:dyDescent="0.2">
      <c r="A20" s="70">
        <v>12</v>
      </c>
      <c r="B20" s="33">
        <f t="shared" si="1"/>
        <v>2791444</v>
      </c>
      <c r="C20" s="33">
        <v>2794520</v>
      </c>
      <c r="D20" s="68">
        <f t="shared" si="0"/>
        <v>3076</v>
      </c>
      <c r="E20" s="234"/>
    </row>
    <row r="21" spans="1:5" x14ac:dyDescent="0.2">
      <c r="A21" s="133">
        <v>13</v>
      </c>
      <c r="B21" s="33">
        <f t="shared" si="1"/>
        <v>2794520</v>
      </c>
      <c r="C21" s="33">
        <v>2797437</v>
      </c>
      <c r="D21" s="68">
        <f t="shared" si="0"/>
        <v>2917</v>
      </c>
      <c r="E21" s="234"/>
    </row>
    <row r="22" spans="1:5" x14ac:dyDescent="0.2">
      <c r="A22" s="70">
        <v>14</v>
      </c>
      <c r="B22" s="33">
        <f t="shared" si="1"/>
        <v>2797437</v>
      </c>
      <c r="C22" s="33">
        <v>2800684</v>
      </c>
      <c r="D22" s="68">
        <f t="shared" si="0"/>
        <v>3247</v>
      </c>
      <c r="E22" s="71"/>
    </row>
    <row r="23" spans="1:5" x14ac:dyDescent="0.2">
      <c r="A23" s="133">
        <v>15</v>
      </c>
      <c r="B23" s="33">
        <f t="shared" si="1"/>
        <v>2800684</v>
      </c>
      <c r="C23" s="33">
        <v>2803561</v>
      </c>
      <c r="D23" s="68">
        <f t="shared" si="0"/>
        <v>2877</v>
      </c>
      <c r="E23" s="71"/>
    </row>
    <row r="24" spans="1:5" x14ac:dyDescent="0.2">
      <c r="A24" s="70">
        <v>16</v>
      </c>
      <c r="B24" s="33">
        <f t="shared" si="1"/>
        <v>2803561</v>
      </c>
      <c r="C24" s="33">
        <v>2806694</v>
      </c>
      <c r="D24" s="68">
        <f t="shared" si="0"/>
        <v>3133</v>
      </c>
      <c r="E24" s="75"/>
    </row>
    <row r="25" spans="1:5" x14ac:dyDescent="0.2">
      <c r="A25" s="133">
        <v>17</v>
      </c>
      <c r="B25" s="33">
        <f t="shared" si="1"/>
        <v>2806694</v>
      </c>
      <c r="C25" s="33">
        <v>2809644</v>
      </c>
      <c r="D25" s="68">
        <f t="shared" si="0"/>
        <v>2950</v>
      </c>
      <c r="E25" s="75"/>
    </row>
    <row r="26" spans="1:5" x14ac:dyDescent="0.2">
      <c r="A26" s="70">
        <v>18</v>
      </c>
      <c r="B26" s="33">
        <f t="shared" si="1"/>
        <v>2809644</v>
      </c>
      <c r="C26" s="33"/>
      <c r="D26" s="68">
        <f t="shared" si="0"/>
        <v>-2809644</v>
      </c>
      <c r="E26" s="62"/>
    </row>
    <row r="27" spans="1:5" x14ac:dyDescent="0.2">
      <c r="A27" s="133">
        <v>19</v>
      </c>
      <c r="B27" s="33">
        <f t="shared" si="1"/>
        <v>0</v>
      </c>
      <c r="C27" s="33"/>
      <c r="D27" s="68">
        <f t="shared" si="0"/>
        <v>0</v>
      </c>
      <c r="E27" s="62"/>
    </row>
    <row r="28" spans="1:5" x14ac:dyDescent="0.2">
      <c r="A28" s="70">
        <v>20</v>
      </c>
      <c r="B28" s="33">
        <f t="shared" si="1"/>
        <v>0</v>
      </c>
      <c r="C28" s="33"/>
      <c r="D28" s="68">
        <f t="shared" si="0"/>
        <v>0</v>
      </c>
      <c r="E28" s="71"/>
    </row>
    <row r="29" spans="1:5" x14ac:dyDescent="0.2">
      <c r="A29" s="133">
        <v>21</v>
      </c>
      <c r="B29" s="33">
        <f t="shared" si="1"/>
        <v>0</v>
      </c>
      <c r="C29" s="33"/>
      <c r="D29" s="68">
        <f t="shared" si="0"/>
        <v>0</v>
      </c>
      <c r="E29" s="75"/>
    </row>
    <row r="30" spans="1:5" x14ac:dyDescent="0.2">
      <c r="A30" s="70">
        <v>22</v>
      </c>
      <c r="B30" s="33">
        <f t="shared" si="1"/>
        <v>0</v>
      </c>
      <c r="C30" s="33"/>
      <c r="D30" s="68">
        <f t="shared" si="0"/>
        <v>0</v>
      </c>
      <c r="E30" s="75"/>
    </row>
    <row r="31" spans="1:5" x14ac:dyDescent="0.2">
      <c r="A31" s="133">
        <v>23</v>
      </c>
      <c r="B31" s="33">
        <f t="shared" si="1"/>
        <v>0</v>
      </c>
      <c r="C31" s="33"/>
      <c r="D31" s="68">
        <f t="shared" si="0"/>
        <v>0</v>
      </c>
      <c r="E31" s="75"/>
    </row>
    <row r="32" spans="1:5" x14ac:dyDescent="0.2">
      <c r="A32" s="70">
        <v>24</v>
      </c>
      <c r="B32" s="33">
        <f t="shared" si="1"/>
        <v>0</v>
      </c>
      <c r="C32" s="95"/>
      <c r="D32" s="68">
        <f t="shared" si="0"/>
        <v>0</v>
      </c>
      <c r="E32" s="71"/>
    </row>
    <row r="33" spans="1:5" x14ac:dyDescent="0.2">
      <c r="A33" s="133">
        <v>25</v>
      </c>
      <c r="B33" s="33">
        <f t="shared" si="1"/>
        <v>0</v>
      </c>
      <c r="C33" s="33"/>
      <c r="D33" s="68">
        <f t="shared" si="0"/>
        <v>0</v>
      </c>
      <c r="E33" s="75"/>
    </row>
    <row r="34" spans="1:5" x14ac:dyDescent="0.2">
      <c r="A34" s="70">
        <v>26</v>
      </c>
      <c r="B34" s="33">
        <f t="shared" si="1"/>
        <v>0</v>
      </c>
      <c r="C34" s="33"/>
      <c r="D34" s="68">
        <f t="shared" si="0"/>
        <v>0</v>
      </c>
      <c r="E34" s="71"/>
    </row>
    <row r="35" spans="1:5" x14ac:dyDescent="0.2">
      <c r="A35" s="133">
        <v>27</v>
      </c>
      <c r="B35" s="33">
        <f t="shared" si="1"/>
        <v>0</v>
      </c>
      <c r="C35" s="33"/>
      <c r="D35" s="68">
        <f t="shared" si="0"/>
        <v>0</v>
      </c>
      <c r="E35" s="234"/>
    </row>
    <row r="36" spans="1:5" x14ac:dyDescent="0.2">
      <c r="A36" s="70">
        <v>28</v>
      </c>
      <c r="B36" s="33">
        <f t="shared" si="1"/>
        <v>0</v>
      </c>
      <c r="C36" s="235"/>
      <c r="D36" s="68">
        <f t="shared" si="0"/>
        <v>0</v>
      </c>
      <c r="E36" s="234"/>
    </row>
    <row r="37" spans="1:5" x14ac:dyDescent="0.2">
      <c r="A37" s="70">
        <v>29</v>
      </c>
      <c r="B37" s="33">
        <f t="shared" si="1"/>
        <v>0</v>
      </c>
      <c r="C37" s="33"/>
      <c r="D37" s="68">
        <f t="shared" si="0"/>
        <v>0</v>
      </c>
      <c r="E37" s="234"/>
    </row>
    <row r="38" spans="1:5" x14ac:dyDescent="0.2">
      <c r="A38" s="70">
        <v>30</v>
      </c>
      <c r="B38" s="33">
        <f t="shared" si="1"/>
        <v>0</v>
      </c>
      <c r="C38" s="33"/>
      <c r="D38" s="68">
        <f t="shared" si="0"/>
        <v>0</v>
      </c>
      <c r="E38" s="234"/>
    </row>
    <row r="39" spans="1:5" x14ac:dyDescent="0.2">
      <c r="A39" s="70">
        <v>31</v>
      </c>
      <c r="B39" s="33">
        <f t="shared" si="1"/>
        <v>0</v>
      </c>
      <c r="C39" s="33"/>
      <c r="D39" s="68">
        <f t="shared" si="0"/>
        <v>0</v>
      </c>
      <c r="E39" s="234"/>
    </row>
    <row r="40" spans="1:5" ht="13.5" thickBot="1" x14ac:dyDescent="0.25">
      <c r="A40" s="133" t="s">
        <v>7</v>
      </c>
      <c r="B40" s="18"/>
      <c r="C40" s="18"/>
      <c r="D40" s="69">
        <f>SUM(D9:D39)</f>
        <v>-2764195</v>
      </c>
    </row>
    <row r="41" spans="1:5" ht="13.5" thickTop="1" x14ac:dyDescent="0.2"/>
  </sheetData>
  <mergeCells count="2">
    <mergeCell ref="C1:D2"/>
    <mergeCell ref="B7:E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T37"/>
  <sheetViews>
    <sheetView zoomScale="85" zoomScaleNormal="85" workbookViewId="0">
      <pane xSplit="4" ySplit="4" topLeftCell="E5" activePane="bottomRight" state="frozen"/>
      <selection pane="topRight" activeCell="D1" sqref="D1"/>
      <selection pane="bottomLeft" activeCell="A9" sqref="A9"/>
      <selection pane="bottomRight" activeCell="EV21" sqref="EV21"/>
    </sheetView>
  </sheetViews>
  <sheetFormatPr defaultRowHeight="12.75" x14ac:dyDescent="0.2"/>
  <cols>
    <col min="1" max="1" width="5" customWidth="1"/>
    <col min="2" max="2" width="10.7109375" bestFit="1" customWidth="1"/>
    <col min="3" max="4" width="11.7109375" style="18" customWidth="1"/>
    <col min="5" max="6" width="14.28515625" style="18" customWidth="1"/>
    <col min="7" max="7" width="9.28515625" style="18" customWidth="1"/>
    <col min="8" max="9" width="11.7109375" style="18" customWidth="1"/>
    <col min="10" max="10" width="12.28515625" style="18" bestFit="1" customWidth="1"/>
    <col min="11" max="11" width="12.28515625" style="18" customWidth="1"/>
    <col min="12" max="12" width="8.7109375" style="18" customWidth="1"/>
    <col min="13" max="13" width="11.7109375" style="18" customWidth="1"/>
    <col min="14" max="14" width="11.7109375" customWidth="1"/>
    <col min="15" max="15" width="12.5703125" customWidth="1"/>
    <col min="16" max="16" width="12.28515625" customWidth="1"/>
    <col min="17" max="17" width="7.85546875" customWidth="1"/>
    <col min="18" max="18" width="10.28515625" style="18" bestFit="1" customWidth="1"/>
    <col min="19" max="19" width="11.28515625" customWidth="1"/>
    <col min="20" max="20" width="11.28515625" bestFit="1" customWidth="1"/>
    <col min="21" max="21" width="12.28515625" customWidth="1"/>
    <col min="22" max="22" width="7.85546875" customWidth="1"/>
    <col min="23" max="23" width="10.28515625" style="18" customWidth="1"/>
    <col min="24" max="24" width="11.42578125" customWidth="1"/>
    <col min="25" max="25" width="11.28515625" bestFit="1" customWidth="1"/>
    <col min="26" max="26" width="12.28515625" customWidth="1"/>
    <col min="27" max="27" width="7.85546875" customWidth="1"/>
    <col min="28" max="28" width="10.28515625" style="18" bestFit="1" customWidth="1"/>
    <col min="29" max="29" width="11.140625" bestFit="1" customWidth="1"/>
    <col min="30" max="30" width="11.7109375" bestFit="1" customWidth="1"/>
    <col min="31" max="31" width="12.28515625" customWidth="1"/>
    <col min="32" max="32" width="7.85546875" customWidth="1"/>
    <col min="33" max="33" width="9" style="18" customWidth="1"/>
    <col min="34" max="34" width="9" customWidth="1"/>
    <col min="35" max="35" width="10.7109375" bestFit="1" customWidth="1"/>
    <col min="36" max="36" width="12.28515625" customWidth="1"/>
    <col min="37" max="37" width="7.85546875" customWidth="1"/>
    <col min="38" max="38" width="9" style="18" customWidth="1"/>
    <col min="39" max="39" width="9" customWidth="1"/>
    <col min="40" max="40" width="11.85546875" bestFit="1" customWidth="1"/>
    <col min="41" max="41" width="12.28515625" customWidth="1"/>
    <col min="42" max="42" width="7.85546875" customWidth="1"/>
    <col min="43" max="43" width="10.28515625" style="18" customWidth="1"/>
    <col min="44" max="44" width="9" customWidth="1"/>
    <col min="45" max="45" width="11.28515625" bestFit="1" customWidth="1"/>
    <col min="46" max="46" width="12.28515625" customWidth="1"/>
    <col min="47" max="47" width="7.85546875" customWidth="1"/>
    <col min="48" max="48" width="9" style="18" customWidth="1"/>
    <col min="49" max="49" width="9" customWidth="1"/>
    <col min="50" max="50" width="10.28515625" customWidth="1"/>
    <col min="51" max="51" width="12.28515625" customWidth="1"/>
    <col min="52" max="52" width="7.85546875" customWidth="1"/>
    <col min="53" max="53" width="9" style="18" customWidth="1"/>
    <col min="54" max="54" width="9" customWidth="1"/>
    <col min="55" max="55" width="10.7109375" bestFit="1" customWidth="1"/>
    <col min="56" max="56" width="12.28515625" customWidth="1"/>
    <col min="57" max="57" width="7.85546875" customWidth="1"/>
    <col min="58" max="58" width="9.85546875" style="18" bestFit="1" customWidth="1"/>
    <col min="59" max="59" width="9" customWidth="1"/>
    <col min="60" max="60" width="10.7109375" bestFit="1" customWidth="1"/>
    <col min="61" max="61" width="12.28515625" customWidth="1"/>
    <col min="62" max="62" width="7.85546875" customWidth="1"/>
    <col min="63" max="63" width="9" style="18" customWidth="1"/>
    <col min="64" max="64" width="9" customWidth="1"/>
    <col min="65" max="65" width="10.7109375" bestFit="1" customWidth="1"/>
    <col min="66" max="66" width="12.28515625" customWidth="1"/>
    <col min="67" max="67" width="7.85546875" customWidth="1"/>
    <col min="68" max="68" width="9.85546875" style="18" bestFit="1" customWidth="1"/>
    <col min="69" max="69" width="9" customWidth="1"/>
    <col min="70" max="70" width="11.85546875" bestFit="1" customWidth="1"/>
    <col min="71" max="71" width="12.28515625" customWidth="1"/>
    <col min="72" max="72" width="7.85546875" customWidth="1"/>
    <col min="73" max="73" width="9.85546875" style="18" bestFit="1" customWidth="1"/>
    <col min="74" max="74" width="9" customWidth="1"/>
    <col min="75" max="75" width="11.85546875" bestFit="1" customWidth="1"/>
    <col min="76" max="76" width="12.28515625" customWidth="1"/>
    <col min="77" max="77" width="7.85546875" customWidth="1"/>
    <col min="78" max="78" width="9.85546875" style="18" bestFit="1" customWidth="1"/>
    <col min="79" max="79" width="9" customWidth="1"/>
    <col min="80" max="80" width="11.85546875" bestFit="1" customWidth="1"/>
    <col min="81" max="81" width="12.28515625" customWidth="1"/>
    <col min="82" max="82" width="7.85546875" customWidth="1"/>
    <col min="83" max="83" width="9.85546875" style="18" bestFit="1" customWidth="1"/>
    <col min="84" max="84" width="9" customWidth="1"/>
    <col min="85" max="85" width="11.85546875" bestFit="1" customWidth="1"/>
    <col min="86" max="86" width="12.28515625" customWidth="1"/>
    <col min="87" max="87" width="7.85546875" customWidth="1"/>
    <col min="88" max="90" width="11.85546875" customWidth="1"/>
    <col min="91" max="91" width="12.28515625" customWidth="1"/>
    <col min="92" max="92" width="7.85546875" customWidth="1"/>
    <col min="95" max="95" width="11.85546875" bestFit="1" customWidth="1"/>
    <col min="96" max="96" width="12.28515625" customWidth="1"/>
    <col min="97" max="97" width="7.85546875" customWidth="1"/>
    <col min="100" max="100" width="10.7109375" bestFit="1" customWidth="1"/>
    <col min="101" max="101" width="12.28515625" customWidth="1"/>
    <col min="102" max="102" width="7.85546875" customWidth="1"/>
    <col min="105" max="105" width="10.7109375" bestFit="1" customWidth="1"/>
    <col min="106" max="106" width="12.28515625" customWidth="1"/>
    <col min="107" max="107" width="7.85546875" customWidth="1"/>
    <col min="110" max="110" width="10.7109375" bestFit="1" customWidth="1"/>
    <col min="111" max="111" width="12.28515625" customWidth="1"/>
    <col min="112" max="112" width="7.85546875" customWidth="1"/>
    <col min="115" max="115" width="10.7109375" bestFit="1" customWidth="1"/>
    <col min="116" max="116" width="12.28515625" customWidth="1"/>
    <col min="117" max="117" width="7.85546875" customWidth="1"/>
    <col min="120" max="120" width="10.7109375" bestFit="1" customWidth="1"/>
    <col min="121" max="121" width="12.28515625" customWidth="1"/>
    <col min="122" max="122" width="7.85546875" customWidth="1"/>
    <col min="125" max="125" width="10.7109375" bestFit="1" customWidth="1"/>
    <col min="126" max="126" width="12.28515625" customWidth="1"/>
    <col min="127" max="127" width="7.85546875" customWidth="1"/>
    <col min="130" max="130" width="10.7109375" bestFit="1" customWidth="1"/>
    <col min="131" max="131" width="12.28515625" customWidth="1"/>
    <col min="132" max="132" width="7.85546875" customWidth="1"/>
    <col min="135" max="135" width="10.7109375" bestFit="1" customWidth="1"/>
    <col min="136" max="136" width="12.28515625" customWidth="1"/>
    <col min="137" max="137" width="7.85546875" customWidth="1"/>
    <col min="140" max="140" width="10.7109375" bestFit="1" customWidth="1"/>
    <col min="141" max="141" width="12.28515625" customWidth="1"/>
    <col min="142" max="142" width="7.85546875" customWidth="1"/>
    <col min="145" max="145" width="10.7109375" bestFit="1" customWidth="1"/>
    <col min="146" max="146" width="12.28515625" customWidth="1"/>
    <col min="147" max="147" width="7.85546875" customWidth="1"/>
    <col min="150" max="150" width="10.7109375" bestFit="1" customWidth="1"/>
    <col min="151" max="151" width="12.28515625" customWidth="1"/>
    <col min="152" max="152" width="7.85546875" customWidth="1"/>
  </cols>
  <sheetData>
    <row r="1" spans="1:152" s="1" customFormat="1" ht="23.25" customHeight="1" x14ac:dyDescent="0.2">
      <c r="A1" s="363">
        <v>44378</v>
      </c>
      <c r="B1" s="363"/>
      <c r="C1" s="363"/>
      <c r="D1" s="367"/>
      <c r="E1" s="367"/>
      <c r="F1" s="367"/>
      <c r="G1" s="367"/>
      <c r="H1" s="367"/>
      <c r="I1" s="367"/>
      <c r="J1" s="24"/>
      <c r="K1" s="253"/>
      <c r="L1" s="253"/>
      <c r="M1" s="24"/>
      <c r="R1" s="24"/>
      <c r="W1" s="24"/>
      <c r="AB1" s="24"/>
      <c r="AG1" s="24"/>
      <c r="AL1" s="24"/>
      <c r="AQ1" s="24"/>
      <c r="AV1" s="24"/>
      <c r="BA1" s="24"/>
      <c r="BF1" s="24"/>
      <c r="BK1" s="24"/>
      <c r="BP1" s="103"/>
      <c r="BU1" s="103"/>
      <c r="BZ1" s="103"/>
      <c r="CE1" s="100"/>
    </row>
    <row r="2" spans="1:152" ht="23.25" customHeight="1" thickBot="1" x14ac:dyDescent="0.25">
      <c r="A2" s="271" t="s">
        <v>45</v>
      </c>
      <c r="B2" s="271"/>
    </row>
    <row r="3" spans="1:152" s="82" customFormat="1" ht="15.75" customHeight="1" thickBot="1" x14ac:dyDescent="0.25">
      <c r="A3" s="324"/>
      <c r="B3" s="324"/>
      <c r="C3" s="364" t="s">
        <v>46</v>
      </c>
      <c r="D3" s="364"/>
      <c r="E3" s="364"/>
      <c r="F3" s="364"/>
      <c r="G3" s="364"/>
      <c r="H3" s="365" t="s">
        <v>47</v>
      </c>
      <c r="I3" s="364"/>
      <c r="J3" s="364"/>
      <c r="K3" s="364"/>
      <c r="L3" s="366"/>
      <c r="M3" s="362" t="s">
        <v>48</v>
      </c>
      <c r="N3" s="362"/>
      <c r="O3" s="362"/>
      <c r="P3" s="362"/>
      <c r="Q3" s="362"/>
      <c r="R3" s="362" t="s">
        <v>49</v>
      </c>
      <c r="S3" s="362"/>
      <c r="T3" s="362"/>
      <c r="U3" s="362"/>
      <c r="V3" s="362"/>
      <c r="W3" s="362" t="s">
        <v>50</v>
      </c>
      <c r="X3" s="362"/>
      <c r="Y3" s="362"/>
      <c r="Z3" s="362"/>
      <c r="AA3" s="362"/>
      <c r="AB3" s="362" t="s">
        <v>51</v>
      </c>
      <c r="AC3" s="362"/>
      <c r="AD3" s="362"/>
      <c r="AE3" s="362"/>
      <c r="AF3" s="362"/>
      <c r="AG3" s="362" t="s">
        <v>52</v>
      </c>
      <c r="AH3" s="362"/>
      <c r="AI3" s="362"/>
      <c r="AJ3" s="362"/>
      <c r="AK3" s="362"/>
      <c r="AL3" s="362" t="s">
        <v>88</v>
      </c>
      <c r="AM3" s="362"/>
      <c r="AN3" s="362"/>
      <c r="AO3" s="362"/>
      <c r="AP3" s="362"/>
      <c r="AQ3" s="362" t="s">
        <v>53</v>
      </c>
      <c r="AR3" s="362"/>
      <c r="AS3" s="362"/>
      <c r="AT3" s="362"/>
      <c r="AU3" s="362"/>
      <c r="AV3" s="362" t="s">
        <v>77</v>
      </c>
      <c r="AW3" s="362"/>
      <c r="AX3" s="362"/>
      <c r="AY3" s="362"/>
      <c r="AZ3" s="362"/>
      <c r="BA3" s="362" t="s">
        <v>75</v>
      </c>
      <c r="BB3" s="362"/>
      <c r="BC3" s="362"/>
      <c r="BD3" s="362"/>
      <c r="BE3" s="362"/>
      <c r="BF3" s="362" t="s">
        <v>76</v>
      </c>
      <c r="BG3" s="362"/>
      <c r="BH3" s="362"/>
      <c r="BI3" s="362"/>
      <c r="BJ3" s="362"/>
      <c r="BK3" s="362" t="s">
        <v>59</v>
      </c>
      <c r="BL3" s="362"/>
      <c r="BM3" s="362"/>
      <c r="BN3" s="362"/>
      <c r="BO3" s="362"/>
      <c r="BP3" s="362" t="s">
        <v>78</v>
      </c>
      <c r="BQ3" s="362"/>
      <c r="BR3" s="362"/>
      <c r="BS3" s="362"/>
      <c r="BT3" s="362"/>
      <c r="BU3" s="362" t="s">
        <v>171</v>
      </c>
      <c r="BV3" s="362"/>
      <c r="BW3" s="362"/>
      <c r="BX3" s="362"/>
      <c r="BY3" s="362"/>
      <c r="BZ3" s="362" t="s">
        <v>79</v>
      </c>
      <c r="CA3" s="362"/>
      <c r="CB3" s="362"/>
      <c r="CC3" s="362"/>
      <c r="CD3" s="362"/>
      <c r="CE3" s="362" t="s">
        <v>80</v>
      </c>
      <c r="CF3" s="362"/>
      <c r="CG3" s="362"/>
      <c r="CH3" s="362"/>
      <c r="CI3" s="362"/>
      <c r="CJ3" s="368" t="s">
        <v>71</v>
      </c>
      <c r="CK3" s="369"/>
      <c r="CL3" s="369"/>
      <c r="CM3" s="369"/>
      <c r="CN3" s="370"/>
      <c r="CO3" s="368" t="s">
        <v>60</v>
      </c>
      <c r="CP3" s="369"/>
      <c r="CQ3" s="369"/>
      <c r="CR3" s="369"/>
      <c r="CS3" s="370"/>
      <c r="CT3" s="368" t="s">
        <v>61</v>
      </c>
      <c r="CU3" s="369"/>
      <c r="CV3" s="369"/>
      <c r="CW3" s="369"/>
      <c r="CX3" s="370"/>
      <c r="CY3" s="368" t="s">
        <v>62</v>
      </c>
      <c r="CZ3" s="369"/>
      <c r="DA3" s="369"/>
      <c r="DB3" s="369"/>
      <c r="DC3" s="370"/>
      <c r="DD3" s="368" t="s">
        <v>63</v>
      </c>
      <c r="DE3" s="369"/>
      <c r="DF3" s="369"/>
      <c r="DG3" s="369"/>
      <c r="DH3" s="370"/>
      <c r="DI3" s="368" t="s">
        <v>73</v>
      </c>
      <c r="DJ3" s="369"/>
      <c r="DK3" s="369"/>
      <c r="DL3" s="369"/>
      <c r="DM3" s="370"/>
      <c r="DN3" s="368" t="s">
        <v>89</v>
      </c>
      <c r="DO3" s="369"/>
      <c r="DP3" s="369"/>
      <c r="DQ3" s="369"/>
      <c r="DR3" s="370"/>
      <c r="DS3" s="368" t="s">
        <v>90</v>
      </c>
      <c r="DT3" s="369"/>
      <c r="DU3" s="369"/>
      <c r="DV3" s="369"/>
      <c r="DW3" s="370"/>
      <c r="DX3" s="368" t="s">
        <v>91</v>
      </c>
      <c r="DY3" s="369"/>
      <c r="DZ3" s="369"/>
      <c r="EA3" s="369"/>
      <c r="EB3" s="370"/>
      <c r="EC3" s="368" t="s">
        <v>92</v>
      </c>
      <c r="ED3" s="369"/>
      <c r="EE3" s="369"/>
      <c r="EF3" s="369"/>
      <c r="EG3" s="370"/>
      <c r="EH3" s="368" t="s">
        <v>93</v>
      </c>
      <c r="EI3" s="369"/>
      <c r="EJ3" s="369"/>
      <c r="EK3" s="369"/>
      <c r="EL3" s="370"/>
      <c r="EM3" s="368" t="s">
        <v>94</v>
      </c>
      <c r="EN3" s="369"/>
      <c r="EO3" s="369"/>
      <c r="EP3" s="369"/>
      <c r="EQ3" s="370"/>
      <c r="ER3" s="368" t="s">
        <v>95</v>
      </c>
      <c r="ES3" s="369"/>
      <c r="ET3" s="369"/>
      <c r="EU3" s="369"/>
      <c r="EV3" s="370"/>
    </row>
    <row r="4" spans="1:152" s="82" customFormat="1" ht="26.25" customHeight="1" thickBot="1" x14ac:dyDescent="0.25">
      <c r="A4" s="326" t="s">
        <v>5</v>
      </c>
      <c r="B4" s="327" t="s">
        <v>135</v>
      </c>
      <c r="C4" s="321" t="s">
        <v>54</v>
      </c>
      <c r="D4" s="80" t="s">
        <v>55</v>
      </c>
      <c r="E4" s="81" t="s">
        <v>56</v>
      </c>
      <c r="F4" s="81" t="s">
        <v>162</v>
      </c>
      <c r="G4" s="267" t="s">
        <v>163</v>
      </c>
      <c r="H4" s="281" t="s">
        <v>54</v>
      </c>
      <c r="I4" s="80" t="s">
        <v>55</v>
      </c>
      <c r="J4" s="81" t="s">
        <v>56</v>
      </c>
      <c r="K4" s="81" t="s">
        <v>165</v>
      </c>
      <c r="L4" s="282" t="s">
        <v>163</v>
      </c>
      <c r="M4" s="294" t="s">
        <v>54</v>
      </c>
      <c r="N4" s="294" t="s">
        <v>55</v>
      </c>
      <c r="O4" s="295" t="s">
        <v>56</v>
      </c>
      <c r="P4" s="295" t="s">
        <v>166</v>
      </c>
      <c r="Q4" s="295" t="s">
        <v>163</v>
      </c>
      <c r="R4" s="294" t="s">
        <v>54</v>
      </c>
      <c r="S4" s="294" t="s">
        <v>55</v>
      </c>
      <c r="T4" s="295" t="s">
        <v>56</v>
      </c>
      <c r="U4" s="295" t="s">
        <v>165</v>
      </c>
      <c r="V4" s="295" t="s">
        <v>163</v>
      </c>
      <c r="W4" s="294" t="s">
        <v>54</v>
      </c>
      <c r="X4" s="294" t="s">
        <v>55</v>
      </c>
      <c r="Y4" s="295" t="s">
        <v>56</v>
      </c>
      <c r="Z4" s="295" t="s">
        <v>165</v>
      </c>
      <c r="AA4" s="295" t="s">
        <v>163</v>
      </c>
      <c r="AB4" s="294" t="s">
        <v>54</v>
      </c>
      <c r="AC4" s="294" t="s">
        <v>55</v>
      </c>
      <c r="AD4" s="295" t="s">
        <v>56</v>
      </c>
      <c r="AE4" s="295" t="s">
        <v>165</v>
      </c>
      <c r="AF4" s="295" t="s">
        <v>163</v>
      </c>
      <c r="AG4" s="294" t="s">
        <v>54</v>
      </c>
      <c r="AH4" s="294" t="s">
        <v>55</v>
      </c>
      <c r="AI4" s="295" t="s">
        <v>56</v>
      </c>
      <c r="AJ4" s="295" t="s">
        <v>165</v>
      </c>
      <c r="AK4" s="295" t="s">
        <v>163</v>
      </c>
      <c r="AL4" s="294" t="s">
        <v>54</v>
      </c>
      <c r="AM4" s="294" t="s">
        <v>55</v>
      </c>
      <c r="AN4" s="295" t="s">
        <v>56</v>
      </c>
      <c r="AO4" s="295" t="s">
        <v>165</v>
      </c>
      <c r="AP4" s="295" t="s">
        <v>163</v>
      </c>
      <c r="AQ4" s="294" t="s">
        <v>54</v>
      </c>
      <c r="AR4" s="294" t="s">
        <v>55</v>
      </c>
      <c r="AS4" s="295" t="s">
        <v>56</v>
      </c>
      <c r="AT4" s="295" t="s">
        <v>165</v>
      </c>
      <c r="AU4" s="295" t="s">
        <v>163</v>
      </c>
      <c r="AV4" s="294" t="s">
        <v>54</v>
      </c>
      <c r="AW4" s="294" t="s">
        <v>55</v>
      </c>
      <c r="AX4" s="295" t="s">
        <v>56</v>
      </c>
      <c r="AY4" s="295" t="s">
        <v>165</v>
      </c>
      <c r="AZ4" s="295" t="s">
        <v>163</v>
      </c>
      <c r="BA4" s="294" t="s">
        <v>54</v>
      </c>
      <c r="BB4" s="294" t="s">
        <v>55</v>
      </c>
      <c r="BC4" s="295" t="s">
        <v>56</v>
      </c>
      <c r="BD4" s="295" t="s">
        <v>165</v>
      </c>
      <c r="BE4" s="295" t="s">
        <v>163</v>
      </c>
      <c r="BF4" s="294" t="s">
        <v>54</v>
      </c>
      <c r="BG4" s="294" t="s">
        <v>55</v>
      </c>
      <c r="BH4" s="295" t="s">
        <v>56</v>
      </c>
      <c r="BI4" s="295" t="s">
        <v>165</v>
      </c>
      <c r="BJ4" s="295" t="s">
        <v>163</v>
      </c>
      <c r="BK4" s="294" t="s">
        <v>54</v>
      </c>
      <c r="BL4" s="294" t="s">
        <v>55</v>
      </c>
      <c r="BM4" s="295" t="s">
        <v>56</v>
      </c>
      <c r="BN4" s="295" t="s">
        <v>165</v>
      </c>
      <c r="BO4" s="295" t="s">
        <v>163</v>
      </c>
      <c r="BP4" s="294" t="s">
        <v>54</v>
      </c>
      <c r="BQ4" s="294" t="s">
        <v>55</v>
      </c>
      <c r="BR4" s="295" t="s">
        <v>56</v>
      </c>
      <c r="BS4" s="295" t="s">
        <v>165</v>
      </c>
      <c r="BT4" s="295" t="s">
        <v>163</v>
      </c>
      <c r="BU4" s="294" t="s">
        <v>54</v>
      </c>
      <c r="BV4" s="294" t="s">
        <v>55</v>
      </c>
      <c r="BW4" s="295" t="s">
        <v>56</v>
      </c>
      <c r="BX4" s="295" t="s">
        <v>165</v>
      </c>
      <c r="BY4" s="295" t="s">
        <v>163</v>
      </c>
      <c r="BZ4" s="294" t="s">
        <v>54</v>
      </c>
      <c r="CA4" s="294" t="s">
        <v>55</v>
      </c>
      <c r="CB4" s="295" t="s">
        <v>56</v>
      </c>
      <c r="CC4" s="295" t="s">
        <v>165</v>
      </c>
      <c r="CD4" s="295" t="s">
        <v>163</v>
      </c>
      <c r="CE4" s="294" t="s">
        <v>54</v>
      </c>
      <c r="CF4" s="294" t="s">
        <v>55</v>
      </c>
      <c r="CG4" s="295" t="s">
        <v>56</v>
      </c>
      <c r="CH4" s="295" t="s">
        <v>165</v>
      </c>
      <c r="CI4" s="295" t="s">
        <v>163</v>
      </c>
      <c r="CJ4" s="92" t="s">
        <v>54</v>
      </c>
      <c r="CK4" s="92" t="s">
        <v>55</v>
      </c>
      <c r="CL4" s="296" t="s">
        <v>72</v>
      </c>
      <c r="CM4" s="296" t="s">
        <v>165</v>
      </c>
      <c r="CN4" s="296" t="s">
        <v>163</v>
      </c>
      <c r="CO4" s="92" t="s">
        <v>54</v>
      </c>
      <c r="CP4" s="92" t="s">
        <v>55</v>
      </c>
      <c r="CQ4" s="296" t="s">
        <v>56</v>
      </c>
      <c r="CR4" s="296" t="s">
        <v>165</v>
      </c>
      <c r="CS4" s="296" t="s">
        <v>163</v>
      </c>
      <c r="CT4" s="92" t="s">
        <v>54</v>
      </c>
      <c r="CU4" s="92" t="s">
        <v>55</v>
      </c>
      <c r="CV4" s="296" t="s">
        <v>56</v>
      </c>
      <c r="CW4" s="296" t="s">
        <v>165</v>
      </c>
      <c r="CX4" s="296" t="s">
        <v>163</v>
      </c>
      <c r="CY4" s="92" t="s">
        <v>54</v>
      </c>
      <c r="CZ4" s="92" t="s">
        <v>55</v>
      </c>
      <c r="DA4" s="296" t="s">
        <v>56</v>
      </c>
      <c r="DB4" s="296" t="s">
        <v>165</v>
      </c>
      <c r="DC4" s="296" t="s">
        <v>163</v>
      </c>
      <c r="DD4" s="92" t="s">
        <v>54</v>
      </c>
      <c r="DE4" s="92" t="s">
        <v>55</v>
      </c>
      <c r="DF4" s="296" t="s">
        <v>56</v>
      </c>
      <c r="DG4" s="296" t="s">
        <v>165</v>
      </c>
      <c r="DH4" s="296" t="s">
        <v>163</v>
      </c>
      <c r="DI4" s="92" t="s">
        <v>54</v>
      </c>
      <c r="DJ4" s="92" t="s">
        <v>55</v>
      </c>
      <c r="DK4" s="296" t="s">
        <v>56</v>
      </c>
      <c r="DL4" s="296" t="s">
        <v>165</v>
      </c>
      <c r="DM4" s="296" t="s">
        <v>163</v>
      </c>
      <c r="DN4" s="92" t="s">
        <v>54</v>
      </c>
      <c r="DO4" s="92" t="s">
        <v>55</v>
      </c>
      <c r="DP4" s="296" t="s">
        <v>56</v>
      </c>
      <c r="DQ4" s="296" t="s">
        <v>165</v>
      </c>
      <c r="DR4" s="296" t="s">
        <v>163</v>
      </c>
      <c r="DS4" s="92" t="s">
        <v>54</v>
      </c>
      <c r="DT4" s="92" t="s">
        <v>55</v>
      </c>
      <c r="DU4" s="296" t="s">
        <v>56</v>
      </c>
      <c r="DV4" s="296" t="s">
        <v>165</v>
      </c>
      <c r="DW4" s="296" t="s">
        <v>163</v>
      </c>
      <c r="DX4" s="92" t="s">
        <v>54</v>
      </c>
      <c r="DY4" s="92" t="s">
        <v>55</v>
      </c>
      <c r="DZ4" s="296" t="s">
        <v>56</v>
      </c>
      <c r="EA4" s="296" t="s">
        <v>165</v>
      </c>
      <c r="EB4" s="296" t="s">
        <v>163</v>
      </c>
      <c r="EC4" s="92" t="s">
        <v>54</v>
      </c>
      <c r="ED4" s="92" t="s">
        <v>55</v>
      </c>
      <c r="EE4" s="296" t="s">
        <v>56</v>
      </c>
      <c r="EF4" s="296" t="s">
        <v>165</v>
      </c>
      <c r="EG4" s="296" t="s">
        <v>163</v>
      </c>
      <c r="EH4" s="92" t="s">
        <v>54</v>
      </c>
      <c r="EI4" s="92" t="s">
        <v>55</v>
      </c>
      <c r="EJ4" s="296" t="s">
        <v>56</v>
      </c>
      <c r="EK4" s="296" t="s">
        <v>165</v>
      </c>
      <c r="EL4" s="296" t="s">
        <v>163</v>
      </c>
      <c r="EM4" s="92" t="s">
        <v>54</v>
      </c>
      <c r="EN4" s="92" t="s">
        <v>55</v>
      </c>
      <c r="EO4" s="296" t="s">
        <v>56</v>
      </c>
      <c r="EP4" s="296" t="s">
        <v>165</v>
      </c>
      <c r="EQ4" s="296" t="s">
        <v>163</v>
      </c>
      <c r="ER4" s="92" t="s">
        <v>54</v>
      </c>
      <c r="ES4" s="92" t="s">
        <v>55</v>
      </c>
      <c r="ET4" s="296" t="s">
        <v>56</v>
      </c>
      <c r="EU4" s="296" t="s">
        <v>165</v>
      </c>
      <c r="EV4" s="296" t="s">
        <v>163</v>
      </c>
    </row>
    <row r="5" spans="1:152" s="3" customFormat="1" x14ac:dyDescent="0.2">
      <c r="A5" s="325">
        <v>1</v>
      </c>
      <c r="B5" s="328">
        <f>'Finance Only'!G8</f>
        <v>18.399999999999999</v>
      </c>
      <c r="C5" s="322">
        <v>25725099</v>
      </c>
      <c r="D5" s="254">
        <v>25727421</v>
      </c>
      <c r="E5" s="255">
        <f t="shared" ref="E5:E34" si="0">D5-C5</f>
        <v>2322</v>
      </c>
      <c r="F5" s="272"/>
      <c r="G5" s="273"/>
      <c r="H5" s="283">
        <v>22880065</v>
      </c>
      <c r="I5" s="284">
        <v>22884764</v>
      </c>
      <c r="J5" s="254">
        <f>I5-H5</f>
        <v>4699</v>
      </c>
      <c r="K5" s="285"/>
      <c r="L5" s="286"/>
      <c r="M5" s="291">
        <v>86299457</v>
      </c>
      <c r="N5" s="258">
        <v>86313000</v>
      </c>
      <c r="O5" s="280">
        <f t="shared" ref="O5:O34" si="1">N5-M5</f>
        <v>13543</v>
      </c>
      <c r="P5" s="292"/>
      <c r="Q5" s="293"/>
      <c r="R5" s="268">
        <v>20899</v>
      </c>
      <c r="S5" s="258">
        <v>20919</v>
      </c>
      <c r="T5" s="257">
        <f t="shared" ref="T5:T31" si="2">S5-R5</f>
        <v>20</v>
      </c>
      <c r="U5" s="276"/>
      <c r="V5" s="277"/>
      <c r="W5" s="256">
        <v>2829237</v>
      </c>
      <c r="X5" s="256">
        <v>2831913</v>
      </c>
      <c r="Y5" s="257">
        <f t="shared" ref="Y5:Y31" si="3">X5-W5</f>
        <v>2676</v>
      </c>
      <c r="Z5" s="276"/>
      <c r="AA5" s="277"/>
      <c r="AB5" s="257">
        <v>17304</v>
      </c>
      <c r="AC5" s="258">
        <v>17321</v>
      </c>
      <c r="AD5" s="257">
        <f t="shared" ref="AD5:AD31" si="4">AC5-AB5</f>
        <v>17</v>
      </c>
      <c r="AE5" s="276"/>
      <c r="AF5" s="277"/>
      <c r="AG5" s="256">
        <v>771494</v>
      </c>
      <c r="AH5" s="258">
        <v>771917</v>
      </c>
      <c r="AI5" s="257">
        <f t="shared" ref="AI5:AI31" si="5">AH5-AG5</f>
        <v>423</v>
      </c>
      <c r="AJ5" s="276"/>
      <c r="AK5" s="277"/>
      <c r="AL5" s="256">
        <v>79920</v>
      </c>
      <c r="AM5" s="258">
        <v>79981</v>
      </c>
      <c r="AN5" s="257">
        <f t="shared" ref="AN5:AN31" si="6">AM5-AL5</f>
        <v>61</v>
      </c>
      <c r="AO5" s="276"/>
      <c r="AP5" s="277"/>
      <c r="AQ5" s="256">
        <v>18111</v>
      </c>
      <c r="AR5" s="258">
        <v>18119</v>
      </c>
      <c r="AS5" s="257">
        <f>AR5-AQ5</f>
        <v>8</v>
      </c>
      <c r="AT5" s="276"/>
      <c r="AU5" s="277"/>
      <c r="AV5" s="256">
        <v>520127</v>
      </c>
      <c r="AW5" s="258">
        <v>520580</v>
      </c>
      <c r="AX5" s="257">
        <f>AW5-AV5</f>
        <v>453</v>
      </c>
      <c r="AY5" s="276"/>
      <c r="AZ5" s="277"/>
      <c r="BA5" s="256">
        <v>68608</v>
      </c>
      <c r="BB5" s="258">
        <v>68698</v>
      </c>
      <c r="BC5" s="257">
        <f>BB5-BA5</f>
        <v>90</v>
      </c>
      <c r="BD5" s="276"/>
      <c r="BE5" s="277"/>
      <c r="BF5" s="256">
        <v>78563</v>
      </c>
      <c r="BG5" s="258">
        <v>78649</v>
      </c>
      <c r="BH5" s="257">
        <f>BG5-BF5</f>
        <v>86</v>
      </c>
      <c r="BI5" s="276"/>
      <c r="BJ5" s="277"/>
      <c r="BK5" s="256">
        <v>12247</v>
      </c>
      <c r="BL5" s="258">
        <v>12260</v>
      </c>
      <c r="BM5" s="257">
        <f>BL5-BK5</f>
        <v>13</v>
      </c>
      <c r="BN5" s="276"/>
      <c r="BO5" s="277"/>
      <c r="BP5" s="256">
        <v>69843</v>
      </c>
      <c r="BQ5" s="258">
        <v>70001</v>
      </c>
      <c r="BR5" s="257">
        <f>BQ5-BP5</f>
        <v>158</v>
      </c>
      <c r="BS5" s="276"/>
      <c r="BT5" s="277"/>
      <c r="BU5" s="258">
        <v>38520</v>
      </c>
      <c r="BV5" s="258">
        <v>38559</v>
      </c>
      <c r="BW5" s="257">
        <f>BV5-BU5</f>
        <v>39</v>
      </c>
      <c r="BX5" s="276"/>
      <c r="BY5" s="277"/>
      <c r="BZ5" s="256">
        <v>53178</v>
      </c>
      <c r="CA5" s="258">
        <v>53301</v>
      </c>
      <c r="CB5" s="257">
        <f>CA5-BZ5</f>
        <v>123</v>
      </c>
      <c r="CC5" s="276"/>
      <c r="CD5" s="277"/>
      <c r="CE5" s="256">
        <v>15858</v>
      </c>
      <c r="CF5" s="258">
        <v>15898</v>
      </c>
      <c r="CG5" s="257">
        <f>CF5-CE5</f>
        <v>40</v>
      </c>
      <c r="CH5" s="276"/>
      <c r="CI5" s="277"/>
      <c r="CJ5" s="257">
        <v>36130</v>
      </c>
      <c r="CK5" s="257">
        <v>36246</v>
      </c>
      <c r="CL5" s="257">
        <f>CK5-CJ5</f>
        <v>116</v>
      </c>
      <c r="CM5" s="276"/>
      <c r="CN5" s="277"/>
      <c r="CO5" s="256">
        <v>28858</v>
      </c>
      <c r="CP5" s="258">
        <v>28930</v>
      </c>
      <c r="CQ5" s="259">
        <f>CP5-CO5</f>
        <v>72</v>
      </c>
      <c r="CR5" s="276"/>
      <c r="CS5" s="277"/>
      <c r="CT5" s="258">
        <v>25486</v>
      </c>
      <c r="CU5" s="258">
        <v>25545</v>
      </c>
      <c r="CV5" s="257">
        <f>CU5-CT5</f>
        <v>59</v>
      </c>
      <c r="CW5" s="276"/>
      <c r="CX5" s="277"/>
      <c r="CY5" s="256">
        <v>42103</v>
      </c>
      <c r="CZ5" s="258">
        <v>42225</v>
      </c>
      <c r="DA5" s="257">
        <f>CZ5-CY5</f>
        <v>122</v>
      </c>
      <c r="DB5" s="276"/>
      <c r="DC5" s="277"/>
      <c r="DD5" s="256">
        <v>31530</v>
      </c>
      <c r="DE5" s="258">
        <v>31635</v>
      </c>
      <c r="DF5" s="257">
        <f>DE5-DD5</f>
        <v>105</v>
      </c>
      <c r="DG5" s="276"/>
      <c r="DH5" s="277"/>
      <c r="DI5" s="256">
        <v>29237</v>
      </c>
      <c r="DJ5" s="258">
        <v>29319</v>
      </c>
      <c r="DK5" s="257">
        <f>DJ5-DI5</f>
        <v>82</v>
      </c>
      <c r="DL5" s="276"/>
      <c r="DM5" s="277"/>
      <c r="DN5" s="256">
        <v>19542</v>
      </c>
      <c r="DO5" s="258">
        <v>19596</v>
      </c>
      <c r="DP5" s="257">
        <f>DO5-DN5</f>
        <v>54</v>
      </c>
      <c r="DQ5" s="276"/>
      <c r="DR5" s="277"/>
      <c r="DS5" s="256">
        <v>52606</v>
      </c>
      <c r="DT5" s="258">
        <v>52717</v>
      </c>
      <c r="DU5" s="257">
        <f>DT5-DS5</f>
        <v>111</v>
      </c>
      <c r="DV5" s="276"/>
      <c r="DW5" s="277"/>
      <c r="DX5" s="256">
        <v>36398</v>
      </c>
      <c r="DY5" s="258">
        <v>36463</v>
      </c>
      <c r="DZ5" s="257">
        <f>DY5-DX5</f>
        <v>65</v>
      </c>
      <c r="EA5" s="276"/>
      <c r="EB5" s="277"/>
      <c r="EC5" s="256">
        <v>11211</v>
      </c>
      <c r="ED5" s="258">
        <v>11237</v>
      </c>
      <c r="EE5" s="257">
        <f>ED5-EC5</f>
        <v>26</v>
      </c>
      <c r="EF5" s="276"/>
      <c r="EG5" s="277"/>
      <c r="EH5" s="256">
        <v>98396</v>
      </c>
      <c r="EI5" s="258">
        <v>98800</v>
      </c>
      <c r="EJ5" s="257">
        <f>EI5-EH5</f>
        <v>404</v>
      </c>
      <c r="EK5" s="276"/>
      <c r="EL5" s="277"/>
      <c r="EM5" s="256">
        <v>19790</v>
      </c>
      <c r="EN5" s="258">
        <v>19842</v>
      </c>
      <c r="EO5" s="257">
        <f>EN5-EM5</f>
        <v>52</v>
      </c>
      <c r="EP5" s="276"/>
      <c r="EQ5" s="277"/>
      <c r="ER5" s="256">
        <v>39170</v>
      </c>
      <c r="ES5" s="258">
        <v>39493</v>
      </c>
      <c r="ET5" s="257">
        <f>ES5-ER5</f>
        <v>323</v>
      </c>
      <c r="EU5" s="276"/>
      <c r="EV5" s="277"/>
    </row>
    <row r="6" spans="1:152" s="3" customFormat="1" ht="13.5" customHeight="1" x14ac:dyDescent="0.2">
      <c r="A6" s="325">
        <v>2</v>
      </c>
      <c r="B6" s="328">
        <f>'Finance Only'!G9</f>
        <v>12.7</v>
      </c>
      <c r="C6" s="323">
        <f>D5</f>
        <v>25727421</v>
      </c>
      <c r="D6" s="260">
        <v>25729835</v>
      </c>
      <c r="E6" s="261">
        <f t="shared" si="0"/>
        <v>2414</v>
      </c>
      <c r="F6" s="274">
        <f>E6-E5</f>
        <v>92</v>
      </c>
      <c r="G6" s="275">
        <f>(E6/'Finance Only'!B9)*100</f>
        <v>8.992028607613797</v>
      </c>
      <c r="H6" s="287">
        <f>I5</f>
        <v>22884764</v>
      </c>
      <c r="I6" s="260">
        <v>22890036</v>
      </c>
      <c r="J6" s="260">
        <f>I6-H6</f>
        <v>5272</v>
      </c>
      <c r="K6" s="288">
        <f>J6-J5</f>
        <v>573</v>
      </c>
      <c r="L6" s="289">
        <f>(J6/'Finance Only'!B9)*100</f>
        <v>19.637934887879013</v>
      </c>
      <c r="M6" s="270">
        <f>N5</f>
        <v>86313000</v>
      </c>
      <c r="N6" s="262">
        <v>86326159</v>
      </c>
      <c r="O6" s="263">
        <f t="shared" si="1"/>
        <v>13159</v>
      </c>
      <c r="P6" s="278">
        <f>O6-O5</f>
        <v>-384</v>
      </c>
      <c r="Q6" s="279">
        <f>(O6/'Finance Only'!B9)*100</f>
        <v>49.016613275720779</v>
      </c>
      <c r="R6" s="269">
        <f>S5</f>
        <v>20919</v>
      </c>
      <c r="S6" s="262">
        <v>20939</v>
      </c>
      <c r="T6" s="263">
        <f t="shared" si="2"/>
        <v>20</v>
      </c>
      <c r="U6" s="278">
        <f>T6-T5</f>
        <v>0</v>
      </c>
      <c r="V6" s="279">
        <f>(T6/'Finance Only'!B9)*100</f>
        <v>7.4498994263577437E-2</v>
      </c>
      <c r="W6" s="262">
        <f>X5</f>
        <v>2831913</v>
      </c>
      <c r="X6" s="262">
        <v>2834631</v>
      </c>
      <c r="Y6" s="263">
        <f t="shared" si="3"/>
        <v>2718</v>
      </c>
      <c r="Z6" s="278">
        <f>Y6-Y5</f>
        <v>42</v>
      </c>
      <c r="AA6" s="279">
        <f>(Y6/'Finance Only'!B9)*100</f>
        <v>10.124413320420175</v>
      </c>
      <c r="AB6" s="262">
        <f>AC5</f>
        <v>17321</v>
      </c>
      <c r="AC6" s="262">
        <v>17336</v>
      </c>
      <c r="AD6" s="263">
        <f t="shared" si="4"/>
        <v>15</v>
      </c>
      <c r="AE6" s="278">
        <f>AD6-AD5</f>
        <v>-2</v>
      </c>
      <c r="AF6" s="279">
        <f>(AD6/'Finance Only'!B9)*100</f>
        <v>5.5874245697683081E-2</v>
      </c>
      <c r="AG6" s="262">
        <f>AH5</f>
        <v>771917</v>
      </c>
      <c r="AH6" s="262">
        <v>772307</v>
      </c>
      <c r="AI6" s="263">
        <f t="shared" si="5"/>
        <v>390</v>
      </c>
      <c r="AJ6" s="278">
        <f>AI6-AI5</f>
        <v>-33</v>
      </c>
      <c r="AK6" s="279">
        <f>(AI6/'Finance Only'!B9)*100</f>
        <v>1.4527303881397602</v>
      </c>
      <c r="AL6" s="262">
        <f>AM5</f>
        <v>79981</v>
      </c>
      <c r="AM6" s="262">
        <v>80047</v>
      </c>
      <c r="AN6" s="263">
        <f t="shared" si="6"/>
        <v>66</v>
      </c>
      <c r="AO6" s="278">
        <f>AN6-AN5</f>
        <v>5</v>
      </c>
      <c r="AP6" s="279">
        <f>(AN6/'Finance Only'!B9)*100</f>
        <v>0.24584668106980553</v>
      </c>
      <c r="AQ6" s="262">
        <f>AR5</f>
        <v>18119</v>
      </c>
      <c r="AR6" s="262">
        <v>18133</v>
      </c>
      <c r="AS6" s="263">
        <f t="shared" ref="AS6:AS31" si="7">AR6-AQ6</f>
        <v>14</v>
      </c>
      <c r="AT6" s="278">
        <f>AS6-AS5</f>
        <v>6</v>
      </c>
      <c r="AU6" s="279">
        <f>(AS6/'Finance Only'!B9)*100</f>
        <v>5.2149295984504213E-2</v>
      </c>
      <c r="AV6" s="262">
        <f t="shared" ref="AV6:AV34" si="8">AW5</f>
        <v>520580</v>
      </c>
      <c r="AW6" s="262">
        <v>520995</v>
      </c>
      <c r="AX6" s="263">
        <f t="shared" ref="AX6:AX34" si="9">AW6-AV6</f>
        <v>415</v>
      </c>
      <c r="AY6" s="278">
        <f>AX6-AX5</f>
        <v>-38</v>
      </c>
      <c r="AZ6" s="279">
        <f>(AX6/'Finance Only'!B9)*100</f>
        <v>1.545854130969232</v>
      </c>
      <c r="BA6" s="262">
        <f t="shared" ref="BA6:BA34" si="10">BB5</f>
        <v>68698</v>
      </c>
      <c r="BB6" s="262">
        <v>68781</v>
      </c>
      <c r="BC6" s="263">
        <f t="shared" ref="BC6:BC34" si="11">BB6-BA6</f>
        <v>83</v>
      </c>
      <c r="BD6" s="278">
        <f>BC6-BC5</f>
        <v>-7</v>
      </c>
      <c r="BE6" s="279">
        <f>(BC6/'Finance Only'!B9)*100</f>
        <v>0.30917082619384639</v>
      </c>
      <c r="BF6" s="262">
        <f>BG5</f>
        <v>78649</v>
      </c>
      <c r="BG6" s="262">
        <v>78733</v>
      </c>
      <c r="BH6" s="263">
        <f t="shared" ref="BH6:BH34" si="12">BG6-BF6</f>
        <v>84</v>
      </c>
      <c r="BI6" s="278">
        <f>BH6-BH5</f>
        <v>-2</v>
      </c>
      <c r="BJ6" s="279">
        <f>(BH6/'Finance Only'!B9)*100</f>
        <v>0.31289577590702528</v>
      </c>
      <c r="BK6" s="262">
        <f>BL5</f>
        <v>12260</v>
      </c>
      <c r="BL6" s="262">
        <v>12274</v>
      </c>
      <c r="BM6" s="263">
        <f t="shared" ref="BM6:BM34" si="13">BL6-BK6</f>
        <v>14</v>
      </c>
      <c r="BN6" s="278">
        <f>BM6-BM5</f>
        <v>1</v>
      </c>
      <c r="BO6" s="279">
        <f>(BM6/'Finance Only'!B9)*100</f>
        <v>5.2149295984504213E-2</v>
      </c>
      <c r="BP6" s="262">
        <f>BQ5</f>
        <v>70001</v>
      </c>
      <c r="BQ6" s="262">
        <v>70183</v>
      </c>
      <c r="BR6" s="263">
        <f t="shared" ref="BR6:BR34" si="14">BQ6-BP6</f>
        <v>182</v>
      </c>
      <c r="BS6" s="278">
        <f>BR6-BR5</f>
        <v>24</v>
      </c>
      <c r="BT6" s="279">
        <f>(BR6/'Finance Only'!B9)*100</f>
        <v>0.67794084779855468</v>
      </c>
      <c r="BU6" s="262">
        <f>BV5</f>
        <v>38559</v>
      </c>
      <c r="BV6" s="262">
        <v>38597</v>
      </c>
      <c r="BW6" s="263">
        <f t="shared" ref="BW6:BW34" si="15">BV6-BU6</f>
        <v>38</v>
      </c>
      <c r="BX6" s="278">
        <f>BW6-BW5</f>
        <v>-1</v>
      </c>
      <c r="BY6" s="279">
        <f>(BW6/'Finance Only'!B9)*100</f>
        <v>0.14154808910079714</v>
      </c>
      <c r="BZ6" s="262">
        <f>CA5</f>
        <v>53301</v>
      </c>
      <c r="CA6" s="262">
        <v>53423</v>
      </c>
      <c r="CB6" s="263">
        <f t="shared" ref="CB6:CB34" si="16">CA6-BZ6</f>
        <v>122</v>
      </c>
      <c r="CC6" s="278">
        <f>CB6-CB5</f>
        <v>-1</v>
      </c>
      <c r="CD6" s="279">
        <f>(CB6/'Finance Only'!B9)*100</f>
        <v>0.45444386500782241</v>
      </c>
      <c r="CE6" s="262">
        <f>CF5</f>
        <v>15898</v>
      </c>
      <c r="CF6" s="262">
        <v>15937</v>
      </c>
      <c r="CG6" s="263">
        <f t="shared" ref="CG6:CG34" si="17">CF6-CE6</f>
        <v>39</v>
      </c>
      <c r="CH6" s="278">
        <f>CG6-CG5</f>
        <v>-1</v>
      </c>
      <c r="CI6" s="279">
        <f>(CG6/'Finance Only'!B9)*100</f>
        <v>0.14527303881397602</v>
      </c>
      <c r="CJ6" s="263">
        <f>CK5</f>
        <v>36246</v>
      </c>
      <c r="CK6" s="263">
        <v>36352</v>
      </c>
      <c r="CL6" s="263">
        <f>CK6-CJ6</f>
        <v>106</v>
      </c>
      <c r="CM6" s="278">
        <f>CL6-CL5</f>
        <v>-10</v>
      </c>
      <c r="CN6" s="279">
        <f>(CL6/'Finance Only'!B9)*100</f>
        <v>0.39484466959696046</v>
      </c>
      <c r="CO6" s="262">
        <f>CP5</f>
        <v>28930</v>
      </c>
      <c r="CP6" s="262">
        <v>29004</v>
      </c>
      <c r="CQ6" s="264">
        <f t="shared" ref="CQ6:CQ34" si="18">CP6-CO6</f>
        <v>74</v>
      </c>
      <c r="CR6" s="278">
        <f>CQ6-CQ5</f>
        <v>2</v>
      </c>
      <c r="CS6" s="279">
        <f>(CQ6/'Finance Only'!B9)*100</f>
        <v>0.27564627877523656</v>
      </c>
      <c r="CT6" s="262">
        <f>CU5</f>
        <v>25545</v>
      </c>
      <c r="CU6" s="262">
        <v>25609</v>
      </c>
      <c r="CV6" s="263">
        <f t="shared" ref="CV6:CV34" si="19">CU6-CT6</f>
        <v>64</v>
      </c>
      <c r="CW6" s="278">
        <f>CV6-CV5</f>
        <v>5</v>
      </c>
      <c r="CX6" s="279">
        <f>(CV6/'Finance Only'!B9)*100</f>
        <v>0.2383967816434478</v>
      </c>
      <c r="CY6" s="262">
        <f>CZ5</f>
        <v>42225</v>
      </c>
      <c r="CZ6" s="262">
        <v>42350</v>
      </c>
      <c r="DA6" s="263">
        <f t="shared" ref="DA6:DA34" si="20">CZ6-CY6</f>
        <v>125</v>
      </c>
      <c r="DB6" s="278">
        <f>DA6-DA5</f>
        <v>3</v>
      </c>
      <c r="DC6" s="279">
        <f>(DA6/'Finance Only'!B9)*100</f>
        <v>0.465618714147359</v>
      </c>
      <c r="DD6" s="262">
        <f>DE5</f>
        <v>31635</v>
      </c>
      <c r="DE6" s="262">
        <v>31732</v>
      </c>
      <c r="DF6" s="263">
        <f t="shared" ref="DF6:DF34" si="21">DE6-DD6</f>
        <v>97</v>
      </c>
      <c r="DG6" s="278">
        <f>DF6-DF5</f>
        <v>-8</v>
      </c>
      <c r="DH6" s="279">
        <f>(DF6/'Finance Only'!B9)*100</f>
        <v>0.36132012217835058</v>
      </c>
      <c r="DI6" s="262">
        <f>DJ5</f>
        <v>29319</v>
      </c>
      <c r="DJ6" s="262">
        <v>29420</v>
      </c>
      <c r="DK6" s="263">
        <f t="shared" ref="DK6:DK34" si="22">DJ6-DI6</f>
        <v>101</v>
      </c>
      <c r="DL6" s="278">
        <f>DK6-DK5</f>
        <v>19</v>
      </c>
      <c r="DM6" s="279">
        <f>(DK6/'Finance Only'!B9)*100</f>
        <v>0.37621992103106605</v>
      </c>
      <c r="DN6" s="262">
        <f>DO5</f>
        <v>19596</v>
      </c>
      <c r="DO6" s="262">
        <v>19646</v>
      </c>
      <c r="DP6" s="263">
        <f t="shared" ref="DP6:DP34" si="23">DO6-DN6</f>
        <v>50</v>
      </c>
      <c r="DQ6" s="278">
        <f>DP6-DP5</f>
        <v>-4</v>
      </c>
      <c r="DR6" s="279">
        <f>(DP6/'Finance Only'!B9)*100</f>
        <v>0.18624748565894361</v>
      </c>
      <c r="DS6" s="262">
        <f>DT5</f>
        <v>52717</v>
      </c>
      <c r="DT6" s="262">
        <v>52807</v>
      </c>
      <c r="DU6" s="263">
        <f t="shared" ref="DU6:DU34" si="24">DT6-DS6</f>
        <v>90</v>
      </c>
      <c r="DV6" s="278">
        <f>DU6-DU5</f>
        <v>-21</v>
      </c>
      <c r="DW6" s="279">
        <f>(DU6/'Finance Only'!B9)*100</f>
        <v>0.33524547418609851</v>
      </c>
      <c r="DX6" s="262">
        <f>DY5</f>
        <v>36463</v>
      </c>
      <c r="DY6" s="262">
        <v>36526</v>
      </c>
      <c r="DZ6" s="263">
        <f t="shared" ref="DZ6:DZ34" si="25">DY6-DX6</f>
        <v>63</v>
      </c>
      <c r="EA6" s="278">
        <f>DZ6-DZ5</f>
        <v>-2</v>
      </c>
      <c r="EB6" s="279">
        <f>(DZ6/'Finance Only'!B9)*100</f>
        <v>0.23467183193026897</v>
      </c>
      <c r="EC6" s="262">
        <f>ED5</f>
        <v>11237</v>
      </c>
      <c r="ED6" s="262">
        <v>11260</v>
      </c>
      <c r="EE6" s="263">
        <f t="shared" ref="EE6:EE34" si="26">ED6-EC6</f>
        <v>23</v>
      </c>
      <c r="EF6" s="278">
        <f>EE6-EE5</f>
        <v>-3</v>
      </c>
      <c r="EG6" s="279">
        <f>(EE6/'Finance Only'!B9)*100</f>
        <v>8.5673843403114056E-2</v>
      </c>
      <c r="EH6" s="262">
        <f>EI5</f>
        <v>98800</v>
      </c>
      <c r="EI6" s="262">
        <v>99009</v>
      </c>
      <c r="EJ6" s="263">
        <f t="shared" ref="EJ6:EJ34" si="27">EI6-EH6</f>
        <v>209</v>
      </c>
      <c r="EK6" s="278">
        <f>EJ6-EJ5</f>
        <v>-195</v>
      </c>
      <c r="EL6" s="279">
        <f>(EJ6/'Finance Only'!B9)*100</f>
        <v>0.77851449005438422</v>
      </c>
      <c r="EM6" s="262">
        <f>EN5</f>
        <v>19842</v>
      </c>
      <c r="EN6" s="262">
        <v>19891</v>
      </c>
      <c r="EO6" s="263">
        <f t="shared" ref="EO6:EO34" si="28">EN6-EM6</f>
        <v>49</v>
      </c>
      <c r="EP6" s="278">
        <f>EO6-EO5</f>
        <v>-3</v>
      </c>
      <c r="EQ6" s="279">
        <f>(EO6/'Finance Only'!B9)*100</f>
        <v>0.18252253594576473</v>
      </c>
      <c r="ER6" s="262">
        <f>ES5</f>
        <v>39493</v>
      </c>
      <c r="ES6" s="262">
        <v>39787</v>
      </c>
      <c r="ET6" s="263">
        <f t="shared" ref="ET6:ET34" si="29">ES6-ER6</f>
        <v>294</v>
      </c>
      <c r="EU6" s="278">
        <f>ET6-ET5</f>
        <v>-29</v>
      </c>
      <c r="EV6" s="279">
        <f>(ET6/'Finance Only'!B9)*100</f>
        <v>1.0951352156745884</v>
      </c>
    </row>
    <row r="7" spans="1:152" s="3" customFormat="1" ht="13.5" customHeight="1" x14ac:dyDescent="0.2">
      <c r="A7" s="325">
        <v>3</v>
      </c>
      <c r="B7" s="328">
        <f>'Finance Only'!G10</f>
        <v>12.6</v>
      </c>
      <c r="C7" s="323">
        <f t="shared" ref="C7:C34" si="30">D6</f>
        <v>25729835</v>
      </c>
      <c r="D7" s="260">
        <v>25732330</v>
      </c>
      <c r="E7" s="261">
        <f t="shared" si="0"/>
        <v>2495</v>
      </c>
      <c r="F7" s="274">
        <f t="shared" ref="F7:F34" si="31">E7-E6</f>
        <v>81</v>
      </c>
      <c r="G7" s="275">
        <f>(E7/'Finance Only'!B10)*100</f>
        <v>9.1291620929381629</v>
      </c>
      <c r="H7" s="287">
        <f>I6</f>
        <v>22890036</v>
      </c>
      <c r="I7" s="260">
        <v>22895094</v>
      </c>
      <c r="J7" s="260">
        <f t="shared" ref="J7:J31" si="32">I7-H7</f>
        <v>5058</v>
      </c>
      <c r="K7" s="288">
        <f t="shared" ref="K7:K34" si="33">J7-J6</f>
        <v>-214</v>
      </c>
      <c r="L7" s="289">
        <f>(J7/'Finance Only'!B10)*100</f>
        <v>18.507135016465423</v>
      </c>
      <c r="M7" s="270">
        <f t="shared" ref="M7:M34" si="34">N6</f>
        <v>86326159</v>
      </c>
      <c r="N7" s="262">
        <v>86340540</v>
      </c>
      <c r="O7" s="263">
        <f t="shared" si="1"/>
        <v>14381</v>
      </c>
      <c r="P7" s="278">
        <f t="shared" ref="P7:P34" si="35">O7-O6</f>
        <v>1222</v>
      </c>
      <c r="Q7" s="279">
        <f>(O7/'Finance Only'!B10)*100</f>
        <v>52.619831686791073</v>
      </c>
      <c r="R7" s="269">
        <f>S6</f>
        <v>20939</v>
      </c>
      <c r="S7" s="262">
        <v>20959</v>
      </c>
      <c r="T7" s="263">
        <f t="shared" si="2"/>
        <v>20</v>
      </c>
      <c r="U7" s="278">
        <f t="shared" ref="U7:U34" si="36">T7-T6</f>
        <v>0</v>
      </c>
      <c r="V7" s="279">
        <f>(T7/'Finance Only'!B10)*100</f>
        <v>7.3179656055616535E-2</v>
      </c>
      <c r="W7" s="262">
        <f>X6</f>
        <v>2834631</v>
      </c>
      <c r="X7" s="262">
        <v>2837321</v>
      </c>
      <c r="Y7" s="263">
        <f t="shared" si="3"/>
        <v>2690</v>
      </c>
      <c r="Z7" s="278">
        <f t="shared" ref="Z7:Z34" si="37">Y7-Y6</f>
        <v>-28</v>
      </c>
      <c r="AA7" s="279">
        <f>(Y7/'Finance Only'!B10)*100</f>
        <v>9.8426637394804235</v>
      </c>
      <c r="AB7" s="262">
        <f t="shared" ref="AB7:AB34" si="38">AC6</f>
        <v>17336</v>
      </c>
      <c r="AC7" s="262">
        <v>17353</v>
      </c>
      <c r="AD7" s="263">
        <f t="shared" si="4"/>
        <v>17</v>
      </c>
      <c r="AE7" s="278">
        <f t="shared" ref="AE7:AE34" si="39">AD7-AD6</f>
        <v>2</v>
      </c>
      <c r="AF7" s="279">
        <f>(AD7/'Finance Only'!B10)*100</f>
        <v>6.2202707647274064E-2</v>
      </c>
      <c r="AG7" s="262">
        <f>AH6</f>
        <v>772307</v>
      </c>
      <c r="AH7" s="262">
        <v>772719</v>
      </c>
      <c r="AI7" s="263">
        <f t="shared" si="5"/>
        <v>412</v>
      </c>
      <c r="AJ7" s="278">
        <f t="shared" ref="AJ7:AJ34" si="40">AI7-AI6</f>
        <v>22</v>
      </c>
      <c r="AK7" s="279">
        <f>(AI7/'Finance Only'!B10)*100</f>
        <v>1.5075009147457008</v>
      </c>
      <c r="AL7" s="262">
        <f>AM6</f>
        <v>80047</v>
      </c>
      <c r="AM7" s="262">
        <v>80113</v>
      </c>
      <c r="AN7" s="263">
        <f t="shared" si="6"/>
        <v>66</v>
      </c>
      <c r="AO7" s="278">
        <f t="shared" ref="AO7:AO34" si="41">AN7-AN6</f>
        <v>0</v>
      </c>
      <c r="AP7" s="279">
        <f>(AN7/'Finance Only'!B10)*100</f>
        <v>0.24149286498353459</v>
      </c>
      <c r="AQ7" s="262">
        <f>AR6</f>
        <v>18133</v>
      </c>
      <c r="AR7" s="262">
        <v>18141</v>
      </c>
      <c r="AS7" s="263">
        <f t="shared" si="7"/>
        <v>8</v>
      </c>
      <c r="AT7" s="278">
        <f t="shared" ref="AT7:AT34" si="42">AS7-AS6</f>
        <v>-6</v>
      </c>
      <c r="AU7" s="279">
        <f>(AS7/'Finance Only'!B10)*100</f>
        <v>2.9271862422246615E-2</v>
      </c>
      <c r="AV7" s="262">
        <f t="shared" si="8"/>
        <v>520995</v>
      </c>
      <c r="AW7" s="262">
        <v>521383</v>
      </c>
      <c r="AX7" s="263">
        <f t="shared" si="9"/>
        <v>388</v>
      </c>
      <c r="AY7" s="278">
        <f t="shared" ref="AY7:AY34" si="43">AX7-AX6</f>
        <v>-27</v>
      </c>
      <c r="AZ7" s="279">
        <f>(AX7/'Finance Only'!B10)*100</f>
        <v>1.4196853274789609</v>
      </c>
      <c r="BA7" s="262">
        <f t="shared" si="10"/>
        <v>68781</v>
      </c>
      <c r="BB7" s="262">
        <v>68875</v>
      </c>
      <c r="BC7" s="263">
        <f t="shared" si="11"/>
        <v>94</v>
      </c>
      <c r="BD7" s="278">
        <f t="shared" ref="BD7:BD34" si="44">BC7-BC6</f>
        <v>11</v>
      </c>
      <c r="BE7" s="279">
        <f>(BC7/'Finance Only'!B10)*100</f>
        <v>0.34394438346139772</v>
      </c>
      <c r="BF7" s="262">
        <f t="shared" ref="BF7:BF34" si="45">BG6</f>
        <v>78733</v>
      </c>
      <c r="BG7" s="262">
        <v>78829</v>
      </c>
      <c r="BH7" s="263">
        <f t="shared" si="12"/>
        <v>96</v>
      </c>
      <c r="BI7" s="278">
        <f t="shared" ref="BI7:BI34" si="46">BH7-BH6</f>
        <v>12</v>
      </c>
      <c r="BJ7" s="279">
        <f>(BH7/'Finance Only'!B10)*100</f>
        <v>0.35126234906695936</v>
      </c>
      <c r="BK7" s="262">
        <f t="shared" ref="BK7:BK34" si="47">BL6</f>
        <v>12274</v>
      </c>
      <c r="BL7" s="262">
        <v>12288</v>
      </c>
      <c r="BM7" s="263">
        <f t="shared" si="13"/>
        <v>14</v>
      </c>
      <c r="BN7" s="278">
        <f t="shared" ref="BN7:BN34" si="48">BM7-BM6</f>
        <v>0</v>
      </c>
      <c r="BO7" s="279">
        <f>(BM7/'Finance Only'!B10)*100</f>
        <v>5.1225759238931579E-2</v>
      </c>
      <c r="BP7" s="262">
        <f t="shared" ref="BP7:BP34" si="49">BQ6</f>
        <v>70183</v>
      </c>
      <c r="BQ7" s="262">
        <v>70421</v>
      </c>
      <c r="BR7" s="263">
        <f t="shared" si="14"/>
        <v>238</v>
      </c>
      <c r="BS7" s="278">
        <f t="shared" ref="BS7:BS34" si="50">BR7-BR6</f>
        <v>56</v>
      </c>
      <c r="BT7" s="279">
        <f>(BR7/'Finance Only'!B10)*100</f>
        <v>0.87083790706183672</v>
      </c>
      <c r="BU7" s="262">
        <f t="shared" ref="BU7:BU34" si="51">BV6</f>
        <v>38597</v>
      </c>
      <c r="BV7" s="262">
        <v>38636</v>
      </c>
      <c r="BW7" s="263">
        <f t="shared" si="15"/>
        <v>39</v>
      </c>
      <c r="BX7" s="278">
        <f t="shared" ref="BX7:BX34" si="52">BW7-BW6</f>
        <v>1</v>
      </c>
      <c r="BY7" s="279">
        <f>(BW7/'Finance Only'!B10)*100</f>
        <v>0.14270032930845225</v>
      </c>
      <c r="BZ7" s="262">
        <f t="shared" ref="BZ7:BZ34" si="53">CA6</f>
        <v>53423</v>
      </c>
      <c r="CA7" s="262">
        <v>53547</v>
      </c>
      <c r="CB7" s="263">
        <f t="shared" si="16"/>
        <v>124</v>
      </c>
      <c r="CC7" s="278">
        <f t="shared" ref="CC7:CC34" si="54">CB7-CB6</f>
        <v>2</v>
      </c>
      <c r="CD7" s="279">
        <f>(CB7/'Finance Only'!B10)*100</f>
        <v>0.45371386754482257</v>
      </c>
      <c r="CE7" s="262">
        <f t="shared" ref="CE7:CE34" si="55">CF6</f>
        <v>15937</v>
      </c>
      <c r="CF7" s="262">
        <v>15984</v>
      </c>
      <c r="CG7" s="263">
        <f t="shared" si="17"/>
        <v>47</v>
      </c>
      <c r="CH7" s="278">
        <f t="shared" ref="CH7:CH34" si="56">CG7-CG6</f>
        <v>8</v>
      </c>
      <c r="CI7" s="279">
        <f>(CG7/'Finance Only'!B10)*100</f>
        <v>0.17197219173069886</v>
      </c>
      <c r="CJ7" s="263">
        <f t="shared" ref="CJ7:CJ34" si="57">CK6</f>
        <v>36352</v>
      </c>
      <c r="CK7" s="263">
        <v>36463</v>
      </c>
      <c r="CL7" s="263">
        <f t="shared" ref="CL7:CL34" si="58">CK7-CJ7</f>
        <v>111</v>
      </c>
      <c r="CM7" s="278">
        <f t="shared" ref="CM7:CM34" si="59">CL7-CL6</f>
        <v>5</v>
      </c>
      <c r="CN7" s="279">
        <f>(CL7/'Finance Only'!B10)*100</f>
        <v>0.40614709110867175</v>
      </c>
      <c r="CO7" s="262">
        <f t="shared" ref="CO7:CO34" si="60">CP6</f>
        <v>29004</v>
      </c>
      <c r="CP7" s="262">
        <v>29083</v>
      </c>
      <c r="CQ7" s="264">
        <f t="shared" si="18"/>
        <v>79</v>
      </c>
      <c r="CR7" s="278">
        <f t="shared" ref="CR7:CR34" si="61">CQ7-CQ6</f>
        <v>5</v>
      </c>
      <c r="CS7" s="279">
        <f>(CQ7/'Finance Only'!B10)*100</f>
        <v>0.28905964141968532</v>
      </c>
      <c r="CT7" s="262">
        <f t="shared" ref="CT7:CT34" si="62">CU6</f>
        <v>25609</v>
      </c>
      <c r="CU7" s="262">
        <v>25682</v>
      </c>
      <c r="CV7" s="263">
        <f t="shared" si="19"/>
        <v>73</v>
      </c>
      <c r="CW7" s="278">
        <f t="shared" ref="CW7:CW34" si="63">CV7-CV6</f>
        <v>9</v>
      </c>
      <c r="CX7" s="279">
        <f>(CV7/'Finance Only'!B10)*100</f>
        <v>0.26710574460300041</v>
      </c>
      <c r="CY7" s="262">
        <f t="shared" ref="CY7:CY31" si="64">CZ6</f>
        <v>42350</v>
      </c>
      <c r="CZ7" s="262">
        <v>42463</v>
      </c>
      <c r="DA7" s="263">
        <f t="shared" si="20"/>
        <v>113</v>
      </c>
      <c r="DB7" s="278">
        <f t="shared" ref="DB7:DB34" si="65">DA7-DA6</f>
        <v>-12</v>
      </c>
      <c r="DC7" s="279">
        <f>(DA7/'Finance Only'!B10)*100</f>
        <v>0.41346505671423339</v>
      </c>
      <c r="DD7" s="262">
        <f t="shared" ref="DD7:DD34" si="66">DE6</f>
        <v>31732</v>
      </c>
      <c r="DE7" s="262">
        <v>31808</v>
      </c>
      <c r="DF7" s="263">
        <f t="shared" si="21"/>
        <v>76</v>
      </c>
      <c r="DG7" s="278">
        <f t="shared" ref="DG7:DG34" si="67">DF7-DF6</f>
        <v>-21</v>
      </c>
      <c r="DH7" s="279">
        <f>(DF7/'Finance Only'!B10)*100</f>
        <v>0.27808269301134286</v>
      </c>
      <c r="DI7" s="262">
        <f t="shared" ref="DI7:DI34" si="68">DJ6</f>
        <v>29420</v>
      </c>
      <c r="DJ7" s="262">
        <v>29519</v>
      </c>
      <c r="DK7" s="263">
        <f t="shared" si="22"/>
        <v>99</v>
      </c>
      <c r="DL7" s="278">
        <f t="shared" ref="DL7:DL34" si="69">DK7-DK6</f>
        <v>-2</v>
      </c>
      <c r="DM7" s="279">
        <f>(DK7/'Finance Only'!B10)*100</f>
        <v>0.36223929747530187</v>
      </c>
      <c r="DN7" s="262">
        <f t="shared" ref="DN7:DN34" si="70">DO6</f>
        <v>19646</v>
      </c>
      <c r="DO7" s="262">
        <v>19699</v>
      </c>
      <c r="DP7" s="263">
        <f t="shared" si="23"/>
        <v>53</v>
      </c>
      <c r="DQ7" s="278">
        <f t="shared" ref="DQ7:DQ34" si="71">DP7-DP6</f>
        <v>3</v>
      </c>
      <c r="DR7" s="279">
        <f>(DP7/'Finance Only'!B10)*100</f>
        <v>0.19392608854738383</v>
      </c>
      <c r="DS7" s="262">
        <f t="shared" ref="DS7:DS34" si="72">DT6</f>
        <v>52807</v>
      </c>
      <c r="DT7" s="262">
        <v>52889</v>
      </c>
      <c r="DU7" s="263">
        <f t="shared" si="24"/>
        <v>82</v>
      </c>
      <c r="DV7" s="278">
        <f t="shared" ref="DV7:DV34" si="73">DU7-DU6</f>
        <v>-8</v>
      </c>
      <c r="DW7" s="279">
        <f>(DU7/'Finance Only'!B10)*100</f>
        <v>0.30003658982802778</v>
      </c>
      <c r="DX7" s="262">
        <f t="shared" ref="DX7:DX34" si="74">DY6</f>
        <v>36526</v>
      </c>
      <c r="DY7" s="262">
        <v>36589</v>
      </c>
      <c r="DZ7" s="263">
        <f t="shared" si="25"/>
        <v>63</v>
      </c>
      <c r="EA7" s="278">
        <f t="shared" ref="EA7:EA34" si="75">DZ7-DZ6</f>
        <v>0</v>
      </c>
      <c r="EB7" s="279">
        <f>(DZ7/'Finance Only'!B10)*100</f>
        <v>0.2305159165751921</v>
      </c>
      <c r="EC7" s="262">
        <f t="shared" ref="EC7:EC34" si="76">ED6</f>
        <v>11260</v>
      </c>
      <c r="ED7" s="262">
        <v>11283</v>
      </c>
      <c r="EE7" s="263">
        <f t="shared" si="26"/>
        <v>23</v>
      </c>
      <c r="EF7" s="278">
        <f t="shared" ref="EF7:EF34" si="77">EE7-EE6</f>
        <v>0</v>
      </c>
      <c r="EG7" s="279">
        <f>(EE7/'Finance Only'!B10)*100</f>
        <v>8.415660446395902E-2</v>
      </c>
      <c r="EH7" s="262">
        <f t="shared" ref="EH7:EH34" si="78">EI6</f>
        <v>99009</v>
      </c>
      <c r="EI7" s="262">
        <v>99323</v>
      </c>
      <c r="EJ7" s="263">
        <f t="shared" si="27"/>
        <v>314</v>
      </c>
      <c r="EK7" s="278">
        <f t="shared" ref="EK7:EK34" si="79">EJ7-EJ6</f>
        <v>105</v>
      </c>
      <c r="EL7" s="279">
        <f>(EJ7/'Finance Only'!B10)*100</f>
        <v>1.1489206000731798</v>
      </c>
      <c r="EM7" s="262">
        <f t="shared" ref="EM7:EM34" si="80">EN6</f>
        <v>19891</v>
      </c>
      <c r="EN7" s="262">
        <v>19940</v>
      </c>
      <c r="EO7" s="263">
        <f t="shared" si="28"/>
        <v>49</v>
      </c>
      <c r="EP7" s="278">
        <f t="shared" ref="EP7:EP34" si="81">EO7-EO6</f>
        <v>0</v>
      </c>
      <c r="EQ7" s="279">
        <f>(EO7/'Finance Only'!B10)*100</f>
        <v>0.17929015733626052</v>
      </c>
      <c r="ER7" s="262">
        <f t="shared" ref="ER7:ER34" si="82">ES6</f>
        <v>39787</v>
      </c>
      <c r="ES7" s="262">
        <v>40095</v>
      </c>
      <c r="ET7" s="263">
        <f t="shared" si="29"/>
        <v>308</v>
      </c>
      <c r="EU7" s="278">
        <f t="shared" ref="EU7:EU34" si="83">ET7-ET6</f>
        <v>14</v>
      </c>
      <c r="EV7" s="279">
        <f>(ET7/'Finance Only'!B10)*100</f>
        <v>1.1269667032564945</v>
      </c>
    </row>
    <row r="8" spans="1:152" s="3" customFormat="1" ht="13.5" customHeight="1" x14ac:dyDescent="0.2">
      <c r="A8" s="325">
        <v>4</v>
      </c>
      <c r="B8" s="328">
        <f>'Finance Only'!G11</f>
        <v>15.5</v>
      </c>
      <c r="C8" s="323">
        <f t="shared" si="30"/>
        <v>25732330</v>
      </c>
      <c r="D8" s="260">
        <v>25734686</v>
      </c>
      <c r="E8" s="261">
        <f t="shared" si="0"/>
        <v>2356</v>
      </c>
      <c r="F8" s="274">
        <f t="shared" si="31"/>
        <v>-139</v>
      </c>
      <c r="G8" s="275">
        <f>(E8/'Finance Only'!B11)*100</f>
        <v>8.6215098620412043</v>
      </c>
      <c r="H8" s="287">
        <f>I7</f>
        <v>22895094</v>
      </c>
      <c r="I8" s="260">
        <v>22899591</v>
      </c>
      <c r="J8" s="260">
        <f t="shared" si="32"/>
        <v>4497</v>
      </c>
      <c r="K8" s="288">
        <f t="shared" si="33"/>
        <v>-561</v>
      </c>
      <c r="L8" s="289">
        <f>(J8/'Finance Only'!B11)*100</f>
        <v>16.456252058403777</v>
      </c>
      <c r="M8" s="270">
        <f t="shared" si="34"/>
        <v>86340540</v>
      </c>
      <c r="N8" s="262">
        <v>86355077</v>
      </c>
      <c r="O8" s="263">
        <f t="shared" si="1"/>
        <v>14537</v>
      </c>
      <c r="P8" s="278">
        <f t="shared" si="35"/>
        <v>156</v>
      </c>
      <c r="Q8" s="279">
        <f>(O8/'Finance Only'!B11)*100</f>
        <v>53.196472353350167</v>
      </c>
      <c r="R8" s="269">
        <f>S7</f>
        <v>20959</v>
      </c>
      <c r="S8" s="262">
        <v>20979</v>
      </c>
      <c r="T8" s="263">
        <f t="shared" si="2"/>
        <v>20</v>
      </c>
      <c r="U8" s="278">
        <f t="shared" si="36"/>
        <v>0</v>
      </c>
      <c r="V8" s="279">
        <f>(T8/'Finance Only'!B11)*100</f>
        <v>7.3187689830570501E-2</v>
      </c>
      <c r="W8" s="262">
        <f>X7</f>
        <v>2837321</v>
      </c>
      <c r="X8" s="262">
        <v>2840164</v>
      </c>
      <c r="Y8" s="263">
        <f t="shared" si="3"/>
        <v>2843</v>
      </c>
      <c r="Z8" s="278">
        <f t="shared" si="37"/>
        <v>153</v>
      </c>
      <c r="AA8" s="279">
        <f>(Y8/'Finance Only'!B11)*100</f>
        <v>10.403630109415596</v>
      </c>
      <c r="AB8" s="262">
        <f t="shared" si="38"/>
        <v>17353</v>
      </c>
      <c r="AC8" s="262">
        <v>17372</v>
      </c>
      <c r="AD8" s="263">
        <f t="shared" si="4"/>
        <v>19</v>
      </c>
      <c r="AE8" s="278">
        <f t="shared" si="39"/>
        <v>2</v>
      </c>
      <c r="AF8" s="279">
        <f>(AD8/'Finance Only'!B11)*100</f>
        <v>6.9528305339041974E-2</v>
      </c>
      <c r="AG8" s="262">
        <f>AH7</f>
        <v>772719</v>
      </c>
      <c r="AH8" s="262">
        <v>773152</v>
      </c>
      <c r="AI8" s="263">
        <f t="shared" si="5"/>
        <v>433</v>
      </c>
      <c r="AJ8" s="278">
        <f t="shared" si="40"/>
        <v>21</v>
      </c>
      <c r="AK8" s="279">
        <f>(AI8/'Finance Only'!B11)*100</f>
        <v>1.5845134848318514</v>
      </c>
      <c r="AL8" s="262">
        <f>AM7</f>
        <v>80113</v>
      </c>
      <c r="AM8" s="262">
        <v>80178</v>
      </c>
      <c r="AN8" s="263">
        <f t="shared" si="6"/>
        <v>65</v>
      </c>
      <c r="AO8" s="278">
        <f t="shared" si="41"/>
        <v>-1</v>
      </c>
      <c r="AP8" s="279">
        <f>(AN8/'Finance Only'!B11)*100</f>
        <v>0.23785999194935412</v>
      </c>
      <c r="AQ8" s="262">
        <f>AR7</f>
        <v>18141</v>
      </c>
      <c r="AR8" s="262">
        <v>18155</v>
      </c>
      <c r="AS8" s="263">
        <f t="shared" si="7"/>
        <v>14</v>
      </c>
      <c r="AT8" s="278">
        <f t="shared" si="42"/>
        <v>6</v>
      </c>
      <c r="AU8" s="279">
        <f>(AS8/'Finance Only'!B11)*100</f>
        <v>5.1231382881399348E-2</v>
      </c>
      <c r="AV8" s="262">
        <f t="shared" si="8"/>
        <v>521383</v>
      </c>
      <c r="AW8" s="262">
        <v>521795</v>
      </c>
      <c r="AX8" s="263">
        <f t="shared" si="9"/>
        <v>412</v>
      </c>
      <c r="AY8" s="278">
        <f t="shared" si="43"/>
        <v>24</v>
      </c>
      <c r="AZ8" s="279">
        <f>(AX8/'Finance Only'!B11)*100</f>
        <v>1.5076664105097524</v>
      </c>
      <c r="BA8" s="262">
        <f t="shared" si="10"/>
        <v>68875</v>
      </c>
      <c r="BB8" s="262">
        <v>68975</v>
      </c>
      <c r="BC8" s="263">
        <f t="shared" si="11"/>
        <v>100</v>
      </c>
      <c r="BD8" s="278">
        <f t="shared" si="44"/>
        <v>6</v>
      </c>
      <c r="BE8" s="279">
        <f>(BC8/'Finance Only'!B11)*100</f>
        <v>0.36593844915285251</v>
      </c>
      <c r="BF8" s="262">
        <f t="shared" si="45"/>
        <v>78829</v>
      </c>
      <c r="BG8" s="262">
        <v>78932</v>
      </c>
      <c r="BH8" s="263">
        <f t="shared" si="12"/>
        <v>103</v>
      </c>
      <c r="BI8" s="278">
        <f t="shared" si="46"/>
        <v>7</v>
      </c>
      <c r="BJ8" s="279">
        <f>(BH8/'Finance Only'!B11)*100</f>
        <v>0.37691660262743809</v>
      </c>
      <c r="BK8" s="262">
        <f t="shared" si="47"/>
        <v>12288</v>
      </c>
      <c r="BL8" s="262">
        <v>12304</v>
      </c>
      <c r="BM8" s="263">
        <f t="shared" si="13"/>
        <v>16</v>
      </c>
      <c r="BN8" s="278">
        <f t="shared" si="48"/>
        <v>2</v>
      </c>
      <c r="BO8" s="279">
        <f>(BM8/'Finance Only'!B11)*100</f>
        <v>5.8550151864456404E-2</v>
      </c>
      <c r="BP8" s="262">
        <f t="shared" si="49"/>
        <v>70421</v>
      </c>
      <c r="BQ8" s="262">
        <v>70634</v>
      </c>
      <c r="BR8" s="263">
        <f t="shared" si="14"/>
        <v>213</v>
      </c>
      <c r="BS8" s="278">
        <f t="shared" si="50"/>
        <v>-25</v>
      </c>
      <c r="BT8" s="279">
        <f>(BR8/'Finance Only'!B11)*100</f>
        <v>0.77944889669557582</v>
      </c>
      <c r="BU8" s="262">
        <f t="shared" si="51"/>
        <v>38636</v>
      </c>
      <c r="BV8" s="262">
        <v>38680</v>
      </c>
      <c r="BW8" s="263">
        <f t="shared" si="15"/>
        <v>44</v>
      </c>
      <c r="BX8" s="278">
        <f t="shared" si="52"/>
        <v>5</v>
      </c>
      <c r="BY8" s="279">
        <f>(BW8/'Finance Only'!B11)*100</f>
        <v>0.16101291762725509</v>
      </c>
      <c r="BZ8" s="262">
        <f t="shared" si="53"/>
        <v>53547</v>
      </c>
      <c r="CA8" s="262">
        <v>53670</v>
      </c>
      <c r="CB8" s="263">
        <f t="shared" si="16"/>
        <v>123</v>
      </c>
      <c r="CC8" s="278">
        <f t="shared" si="54"/>
        <v>-1</v>
      </c>
      <c r="CD8" s="279">
        <f>(CB8/'Finance Only'!B11)*100</f>
        <v>0.45010429245800854</v>
      </c>
      <c r="CE8" s="262">
        <f t="shared" si="55"/>
        <v>15984</v>
      </c>
      <c r="CF8" s="262">
        <v>16024</v>
      </c>
      <c r="CG8" s="263">
        <f t="shared" si="17"/>
        <v>40</v>
      </c>
      <c r="CH8" s="278">
        <f t="shared" si="56"/>
        <v>-7</v>
      </c>
      <c r="CI8" s="279">
        <f>(CG8/'Finance Only'!B11)*100</f>
        <v>0.146375379661141</v>
      </c>
      <c r="CJ8" s="263">
        <f t="shared" si="57"/>
        <v>36463</v>
      </c>
      <c r="CK8" s="263">
        <v>36565</v>
      </c>
      <c r="CL8" s="263">
        <f t="shared" si="58"/>
        <v>102</v>
      </c>
      <c r="CM8" s="278">
        <f t="shared" si="59"/>
        <v>-9</v>
      </c>
      <c r="CN8" s="279">
        <f>(CL8/'Finance Only'!B11)*100</f>
        <v>0.37325721813590951</v>
      </c>
      <c r="CO8" s="262">
        <f t="shared" si="60"/>
        <v>29083</v>
      </c>
      <c r="CP8" s="262">
        <v>29156</v>
      </c>
      <c r="CQ8" s="264">
        <f t="shared" si="18"/>
        <v>73</v>
      </c>
      <c r="CR8" s="278">
        <f t="shared" si="61"/>
        <v>-6</v>
      </c>
      <c r="CS8" s="279">
        <f>(CQ8/'Finance Only'!B11)*100</f>
        <v>0.26713506788158231</v>
      </c>
      <c r="CT8" s="262">
        <f t="shared" si="62"/>
        <v>25682</v>
      </c>
      <c r="CU8" s="262">
        <v>25735</v>
      </c>
      <c r="CV8" s="263">
        <f t="shared" si="19"/>
        <v>53</v>
      </c>
      <c r="CW8" s="278">
        <f t="shared" si="63"/>
        <v>-20</v>
      </c>
      <c r="CX8" s="279">
        <f>(CV8/'Finance Only'!B11)*100</f>
        <v>0.19394737805101184</v>
      </c>
      <c r="CY8" s="262">
        <f t="shared" si="64"/>
        <v>42463</v>
      </c>
      <c r="CZ8" s="262">
        <v>42555</v>
      </c>
      <c r="DA8" s="263">
        <f t="shared" si="20"/>
        <v>92</v>
      </c>
      <c r="DB8" s="278">
        <f t="shared" si="65"/>
        <v>-21</v>
      </c>
      <c r="DC8" s="279">
        <f>(DA8/'Finance Only'!B11)*100</f>
        <v>0.33666337322062428</v>
      </c>
      <c r="DD8" s="262">
        <f t="shared" si="66"/>
        <v>31808</v>
      </c>
      <c r="DE8" s="262">
        <v>31895</v>
      </c>
      <c r="DF8" s="263">
        <f t="shared" si="21"/>
        <v>87</v>
      </c>
      <c r="DG8" s="278">
        <f t="shared" si="67"/>
        <v>11</v>
      </c>
      <c r="DH8" s="279">
        <f>(DF8/'Finance Only'!B11)*100</f>
        <v>0.3183664507629817</v>
      </c>
      <c r="DI8" s="262">
        <f t="shared" si="68"/>
        <v>29519</v>
      </c>
      <c r="DJ8" s="262">
        <v>29603</v>
      </c>
      <c r="DK8" s="263">
        <f t="shared" si="22"/>
        <v>84</v>
      </c>
      <c r="DL8" s="278">
        <f t="shared" si="69"/>
        <v>-15</v>
      </c>
      <c r="DM8" s="279">
        <f>(DK8/'Finance Only'!B11)*100</f>
        <v>0.30738829728839612</v>
      </c>
      <c r="DN8" s="262">
        <f t="shared" si="70"/>
        <v>19699</v>
      </c>
      <c r="DO8" s="262">
        <v>19751</v>
      </c>
      <c r="DP8" s="263">
        <f t="shared" si="23"/>
        <v>52</v>
      </c>
      <c r="DQ8" s="278">
        <f t="shared" si="71"/>
        <v>-1</v>
      </c>
      <c r="DR8" s="279">
        <f>(DP8/'Finance Only'!B11)*100</f>
        <v>0.19028799355948328</v>
      </c>
      <c r="DS8" s="262">
        <f t="shared" si="72"/>
        <v>52889</v>
      </c>
      <c r="DT8" s="262">
        <v>52993</v>
      </c>
      <c r="DU8" s="263">
        <f t="shared" si="24"/>
        <v>104</v>
      </c>
      <c r="DV8" s="278">
        <f t="shared" si="73"/>
        <v>22</v>
      </c>
      <c r="DW8" s="279">
        <f>(DU8/'Finance Only'!B11)*100</f>
        <v>0.38057598711896656</v>
      </c>
      <c r="DX8" s="262">
        <f t="shared" si="74"/>
        <v>36589</v>
      </c>
      <c r="DY8" s="262">
        <v>36655</v>
      </c>
      <c r="DZ8" s="263">
        <f t="shared" si="25"/>
        <v>66</v>
      </c>
      <c r="EA8" s="278">
        <f t="shared" si="75"/>
        <v>3</v>
      </c>
      <c r="EB8" s="279">
        <f>(DZ8/'Finance Only'!B11)*100</f>
        <v>0.24151937644088264</v>
      </c>
      <c r="EC8" s="262">
        <f t="shared" si="76"/>
        <v>11283</v>
      </c>
      <c r="ED8" s="262">
        <v>11306</v>
      </c>
      <c r="EE8" s="263">
        <f t="shared" si="26"/>
        <v>23</v>
      </c>
      <c r="EF8" s="278">
        <f t="shared" si="77"/>
        <v>0</v>
      </c>
      <c r="EG8" s="279">
        <f>(EE8/'Finance Only'!B11)*100</f>
        <v>8.4165843305156071E-2</v>
      </c>
      <c r="EH8" s="262">
        <f t="shared" si="78"/>
        <v>99323</v>
      </c>
      <c r="EI8" s="262">
        <v>99671</v>
      </c>
      <c r="EJ8" s="263">
        <f t="shared" si="27"/>
        <v>348</v>
      </c>
      <c r="EK8" s="278">
        <f t="shared" si="79"/>
        <v>34</v>
      </c>
      <c r="EL8" s="279">
        <f>(EJ8/'Finance Only'!B11)*100</f>
        <v>1.2734658030519268</v>
      </c>
      <c r="EM8" s="262">
        <f t="shared" si="80"/>
        <v>19940</v>
      </c>
      <c r="EN8" s="262">
        <v>19992</v>
      </c>
      <c r="EO8" s="263">
        <f t="shared" si="28"/>
        <v>52</v>
      </c>
      <c r="EP8" s="278">
        <f t="shared" si="81"/>
        <v>3</v>
      </c>
      <c r="EQ8" s="279">
        <f>(EO8/'Finance Only'!B11)*100</f>
        <v>0.19028799355948328</v>
      </c>
      <c r="ER8" s="262">
        <f t="shared" si="82"/>
        <v>40095</v>
      </c>
      <c r="ES8" s="262">
        <v>40391</v>
      </c>
      <c r="ET8" s="263">
        <f t="shared" si="29"/>
        <v>296</v>
      </c>
      <c r="EU8" s="278">
        <f t="shared" si="83"/>
        <v>-12</v>
      </c>
      <c r="EV8" s="279">
        <f>(ET8/'Finance Only'!B11)*100</f>
        <v>1.0831778094924434</v>
      </c>
    </row>
    <row r="9" spans="1:152" s="3" customFormat="1" ht="13.5" customHeight="1" x14ac:dyDescent="0.2">
      <c r="A9" s="325">
        <v>5</v>
      </c>
      <c r="B9" s="328">
        <f>'Finance Only'!G12</f>
        <v>13.6</v>
      </c>
      <c r="C9" s="323">
        <f t="shared" si="30"/>
        <v>25734686</v>
      </c>
      <c r="D9" s="260">
        <v>25737038</v>
      </c>
      <c r="E9" s="261">
        <f t="shared" si="0"/>
        <v>2352</v>
      </c>
      <c r="F9" s="274">
        <f t="shared" si="31"/>
        <v>-4</v>
      </c>
      <c r="G9" s="275">
        <f>(E9/'Finance Only'!B12)*100</f>
        <v>8.9753863766456767</v>
      </c>
      <c r="H9" s="287">
        <f t="shared" ref="H9:H32" si="84">I8</f>
        <v>22899591</v>
      </c>
      <c r="I9" s="260">
        <v>22904113</v>
      </c>
      <c r="J9" s="260">
        <f t="shared" si="32"/>
        <v>4522</v>
      </c>
      <c r="K9" s="288">
        <f t="shared" si="33"/>
        <v>25</v>
      </c>
      <c r="L9" s="289">
        <f>(J9/'Finance Only'!B12)*100</f>
        <v>17.256248807479487</v>
      </c>
      <c r="M9" s="270">
        <f t="shared" si="34"/>
        <v>86355077</v>
      </c>
      <c r="N9" s="262">
        <v>86368980</v>
      </c>
      <c r="O9" s="263">
        <f t="shared" si="1"/>
        <v>13903</v>
      </c>
      <c r="P9" s="278">
        <f t="shared" si="35"/>
        <v>-634</v>
      </c>
      <c r="Q9" s="279">
        <f>(O9/'Finance Only'!B12)*100</f>
        <v>53.054760541881322</v>
      </c>
      <c r="R9" s="269">
        <f t="shared" ref="R9:R34" si="85">S8</f>
        <v>20979</v>
      </c>
      <c r="S9" s="262">
        <v>20998</v>
      </c>
      <c r="T9" s="263">
        <f t="shared" si="2"/>
        <v>19</v>
      </c>
      <c r="U9" s="278">
        <f t="shared" si="36"/>
        <v>-1</v>
      </c>
      <c r="V9" s="279">
        <f>(T9/'Finance Only'!B12)*100</f>
        <v>7.2505247090249955E-2</v>
      </c>
      <c r="W9" s="262">
        <f t="shared" ref="W9:W20" si="86">X8</f>
        <v>2840164</v>
      </c>
      <c r="X9" s="262">
        <v>2842892</v>
      </c>
      <c r="Y9" s="263">
        <f t="shared" si="3"/>
        <v>2728</v>
      </c>
      <c r="Z9" s="278">
        <f t="shared" si="37"/>
        <v>-115</v>
      </c>
      <c r="AA9" s="279">
        <f>(Y9/'Finance Only'!B12)*100</f>
        <v>10.410227055905361</v>
      </c>
      <c r="AB9" s="262">
        <f t="shared" si="38"/>
        <v>17372</v>
      </c>
      <c r="AC9" s="262">
        <v>17387</v>
      </c>
      <c r="AD9" s="263">
        <f t="shared" si="4"/>
        <v>15</v>
      </c>
      <c r="AE9" s="278">
        <f t="shared" si="39"/>
        <v>-4</v>
      </c>
      <c r="AF9" s="279">
        <f>(AD9/'Finance Only'!B12)*100</f>
        <v>5.7240984544934169E-2</v>
      </c>
      <c r="AG9" s="262">
        <f t="shared" ref="AG9:AG20" si="87">AH8</f>
        <v>773152</v>
      </c>
      <c r="AH9" s="262">
        <v>773538</v>
      </c>
      <c r="AI9" s="263">
        <f t="shared" si="5"/>
        <v>386</v>
      </c>
      <c r="AJ9" s="278">
        <f t="shared" si="40"/>
        <v>-47</v>
      </c>
      <c r="AK9" s="279">
        <f>(AI9/'Finance Only'!B12)*100</f>
        <v>1.4730013356229725</v>
      </c>
      <c r="AL9" s="262">
        <f t="shared" ref="AL9:AL20" si="88">AM8</f>
        <v>80178</v>
      </c>
      <c r="AM9" s="262">
        <v>80239</v>
      </c>
      <c r="AN9" s="263">
        <f t="shared" si="6"/>
        <v>61</v>
      </c>
      <c r="AO9" s="278">
        <f t="shared" si="41"/>
        <v>-4</v>
      </c>
      <c r="AP9" s="279">
        <f>(AN9/'Finance Only'!B12)*100</f>
        <v>0.23278000381606562</v>
      </c>
      <c r="AQ9" s="262">
        <f t="shared" ref="AQ9:AQ20" si="89">AR8</f>
        <v>18155</v>
      </c>
      <c r="AR9" s="262">
        <v>18164</v>
      </c>
      <c r="AS9" s="263">
        <f t="shared" si="7"/>
        <v>9</v>
      </c>
      <c r="AT9" s="278">
        <f t="shared" si="42"/>
        <v>-5</v>
      </c>
      <c r="AU9" s="279">
        <f>(AS9/'Finance Only'!B12)*100</f>
        <v>3.4344590726960507E-2</v>
      </c>
      <c r="AV9" s="262">
        <f t="shared" si="8"/>
        <v>521795</v>
      </c>
      <c r="AW9" s="262">
        <v>522186</v>
      </c>
      <c r="AX9" s="263">
        <f t="shared" si="9"/>
        <v>391</v>
      </c>
      <c r="AY9" s="278">
        <f t="shared" si="43"/>
        <v>-21</v>
      </c>
      <c r="AZ9" s="279">
        <f>(AX9/'Finance Only'!B12)*100</f>
        <v>1.4920816638046175</v>
      </c>
      <c r="BA9" s="262">
        <f t="shared" si="10"/>
        <v>68975</v>
      </c>
      <c r="BB9" s="262">
        <v>69077</v>
      </c>
      <c r="BC9" s="263">
        <f t="shared" si="11"/>
        <v>102</v>
      </c>
      <c r="BD9" s="278">
        <f t="shared" si="44"/>
        <v>2</v>
      </c>
      <c r="BE9" s="279">
        <f>(BC9/'Finance Only'!B12)*100</f>
        <v>0.38923869490555235</v>
      </c>
      <c r="BF9" s="262">
        <f t="shared" si="45"/>
        <v>78932</v>
      </c>
      <c r="BG9" s="262">
        <v>79031</v>
      </c>
      <c r="BH9" s="263">
        <f t="shared" si="12"/>
        <v>99</v>
      </c>
      <c r="BI9" s="278">
        <f t="shared" si="46"/>
        <v>-4</v>
      </c>
      <c r="BJ9" s="279">
        <f>(BH9/'Finance Only'!B12)*100</f>
        <v>0.37779049799656556</v>
      </c>
      <c r="BK9" s="262">
        <f t="shared" si="47"/>
        <v>12304</v>
      </c>
      <c r="BL9" s="262">
        <v>12319</v>
      </c>
      <c r="BM9" s="263">
        <f t="shared" si="13"/>
        <v>15</v>
      </c>
      <c r="BN9" s="278">
        <f t="shared" si="48"/>
        <v>-1</v>
      </c>
      <c r="BO9" s="279">
        <f>(BM9/'Finance Only'!B12)*100</f>
        <v>5.7240984544934169E-2</v>
      </c>
      <c r="BP9" s="262">
        <f t="shared" si="49"/>
        <v>70634</v>
      </c>
      <c r="BQ9" s="262">
        <v>70821</v>
      </c>
      <c r="BR9" s="263">
        <f t="shared" si="14"/>
        <v>187</v>
      </c>
      <c r="BS9" s="278">
        <f t="shared" si="50"/>
        <v>-26</v>
      </c>
      <c r="BT9" s="279">
        <f>(BR9/'Finance Only'!B12)*100</f>
        <v>0.71360427399351267</v>
      </c>
      <c r="BU9" s="262">
        <f t="shared" si="51"/>
        <v>38680</v>
      </c>
      <c r="BV9" s="262">
        <v>38723</v>
      </c>
      <c r="BW9" s="263">
        <f t="shared" si="15"/>
        <v>43</v>
      </c>
      <c r="BX9" s="278">
        <f t="shared" si="52"/>
        <v>-1</v>
      </c>
      <c r="BY9" s="279">
        <f>(BW9/'Finance Only'!B12)*100</f>
        <v>0.16409082236214464</v>
      </c>
      <c r="BZ9" s="262">
        <f t="shared" si="53"/>
        <v>53670</v>
      </c>
      <c r="CA9" s="262">
        <v>53790</v>
      </c>
      <c r="CB9" s="263">
        <f t="shared" si="16"/>
        <v>120</v>
      </c>
      <c r="CC9" s="278">
        <f t="shared" si="54"/>
        <v>-3</v>
      </c>
      <c r="CD9" s="279">
        <f>(CB9/'Finance Only'!B12)*100</f>
        <v>0.45792787635947335</v>
      </c>
      <c r="CE9" s="262">
        <f t="shared" si="55"/>
        <v>16024</v>
      </c>
      <c r="CF9" s="262">
        <v>16065</v>
      </c>
      <c r="CG9" s="263">
        <f t="shared" si="17"/>
        <v>41</v>
      </c>
      <c r="CH9" s="278">
        <f t="shared" si="56"/>
        <v>1</v>
      </c>
      <c r="CI9" s="279">
        <f>(CG9/'Finance Only'!B12)*100</f>
        <v>0.15645869108948673</v>
      </c>
      <c r="CJ9" s="263">
        <f t="shared" si="57"/>
        <v>36565</v>
      </c>
      <c r="CK9" s="263">
        <v>36673</v>
      </c>
      <c r="CL9" s="263">
        <f t="shared" si="58"/>
        <v>108</v>
      </c>
      <c r="CM9" s="278">
        <f t="shared" si="59"/>
        <v>6</v>
      </c>
      <c r="CN9" s="279">
        <f>(CL9/'Finance Only'!B12)*100</f>
        <v>0.412135088723526</v>
      </c>
      <c r="CO9" s="262">
        <f t="shared" si="60"/>
        <v>29156</v>
      </c>
      <c r="CP9" s="262">
        <v>29232</v>
      </c>
      <c r="CQ9" s="264">
        <f t="shared" si="18"/>
        <v>76</v>
      </c>
      <c r="CR9" s="278">
        <f t="shared" si="61"/>
        <v>3</v>
      </c>
      <c r="CS9" s="279">
        <f>(CQ9/'Finance Only'!B12)*100</f>
        <v>0.29002098836099982</v>
      </c>
      <c r="CT9" s="262">
        <f t="shared" si="62"/>
        <v>25735</v>
      </c>
      <c r="CU9" s="262">
        <v>25770</v>
      </c>
      <c r="CV9" s="263">
        <f t="shared" si="19"/>
        <v>35</v>
      </c>
      <c r="CW9" s="278">
        <f t="shared" si="63"/>
        <v>-18</v>
      </c>
      <c r="CX9" s="279">
        <f>(CV9/'Finance Only'!B12)*100</f>
        <v>0.13356229727151309</v>
      </c>
      <c r="CY9" s="262">
        <f t="shared" si="64"/>
        <v>42555</v>
      </c>
      <c r="CZ9" s="262">
        <v>42652</v>
      </c>
      <c r="DA9" s="263">
        <f t="shared" si="20"/>
        <v>97</v>
      </c>
      <c r="DB9" s="278">
        <f t="shared" si="65"/>
        <v>5</v>
      </c>
      <c r="DC9" s="279">
        <f>(DA9/'Finance Only'!B12)*100</f>
        <v>0.37015836672390767</v>
      </c>
      <c r="DD9" s="262">
        <f t="shared" si="66"/>
        <v>31895</v>
      </c>
      <c r="DE9" s="262">
        <v>32016</v>
      </c>
      <c r="DF9" s="263">
        <f t="shared" si="21"/>
        <v>121</v>
      </c>
      <c r="DG9" s="278">
        <f t="shared" si="67"/>
        <v>34</v>
      </c>
      <c r="DH9" s="279">
        <f>(DF9/'Finance Only'!B12)*100</f>
        <v>0.46174394199580232</v>
      </c>
      <c r="DI9" s="262">
        <f t="shared" si="68"/>
        <v>29603</v>
      </c>
      <c r="DJ9" s="262">
        <v>29683</v>
      </c>
      <c r="DK9" s="263">
        <f t="shared" si="22"/>
        <v>80</v>
      </c>
      <c r="DL9" s="278">
        <f t="shared" si="69"/>
        <v>-4</v>
      </c>
      <c r="DM9" s="279">
        <f>(DK9/'Finance Only'!B12)*100</f>
        <v>0.30528525090631559</v>
      </c>
      <c r="DN9" s="262">
        <f t="shared" si="70"/>
        <v>19751</v>
      </c>
      <c r="DO9" s="262">
        <v>19802</v>
      </c>
      <c r="DP9" s="263">
        <f t="shared" si="23"/>
        <v>51</v>
      </c>
      <c r="DQ9" s="278">
        <f t="shared" si="71"/>
        <v>-1</v>
      </c>
      <c r="DR9" s="279">
        <f>(DP9/'Finance Only'!B12)*100</f>
        <v>0.19461934745277618</v>
      </c>
      <c r="DS9" s="262">
        <f t="shared" si="72"/>
        <v>52993</v>
      </c>
      <c r="DT9" s="262">
        <v>53084</v>
      </c>
      <c r="DU9" s="263">
        <f t="shared" si="24"/>
        <v>91</v>
      </c>
      <c r="DV9" s="278">
        <f t="shared" si="73"/>
        <v>-13</v>
      </c>
      <c r="DW9" s="279">
        <f>(DU9/'Finance Only'!B12)*100</f>
        <v>0.34726197290593397</v>
      </c>
      <c r="DX9" s="262">
        <f t="shared" si="74"/>
        <v>36655</v>
      </c>
      <c r="DY9" s="262">
        <v>36721</v>
      </c>
      <c r="DZ9" s="263">
        <f t="shared" si="25"/>
        <v>66</v>
      </c>
      <c r="EA9" s="278">
        <f t="shared" si="75"/>
        <v>0</v>
      </c>
      <c r="EB9" s="279">
        <f>(DZ9/'Finance Only'!B12)*100</f>
        <v>0.25186033199771035</v>
      </c>
      <c r="EC9" s="262">
        <f t="shared" si="76"/>
        <v>11306</v>
      </c>
      <c r="ED9" s="262">
        <v>11329</v>
      </c>
      <c r="EE9" s="263">
        <f t="shared" si="26"/>
        <v>23</v>
      </c>
      <c r="EF9" s="278">
        <f t="shared" si="77"/>
        <v>0</v>
      </c>
      <c r="EG9" s="279">
        <f>(EE9/'Finance Only'!B12)*100</f>
        <v>8.7769509635565734E-2</v>
      </c>
      <c r="EH9" s="262">
        <f t="shared" si="78"/>
        <v>99671</v>
      </c>
      <c r="EI9" s="262">
        <v>100002</v>
      </c>
      <c r="EJ9" s="263">
        <f t="shared" si="27"/>
        <v>331</v>
      </c>
      <c r="EK9" s="278">
        <f t="shared" si="79"/>
        <v>-17</v>
      </c>
      <c r="EL9" s="279">
        <f>(EJ9/'Finance Only'!B12)*100</f>
        <v>1.2631177256248807</v>
      </c>
      <c r="EM9" s="262">
        <f t="shared" si="80"/>
        <v>19992</v>
      </c>
      <c r="EN9" s="262">
        <v>20041</v>
      </c>
      <c r="EO9" s="263">
        <f t="shared" si="28"/>
        <v>49</v>
      </c>
      <c r="EP9" s="278">
        <f t="shared" si="81"/>
        <v>-3</v>
      </c>
      <c r="EQ9" s="279">
        <f>(EO9/'Finance Only'!B12)*100</f>
        <v>0.18698721618011829</v>
      </c>
      <c r="ER9" s="262">
        <f t="shared" si="82"/>
        <v>40391</v>
      </c>
      <c r="ES9" s="262">
        <v>40685</v>
      </c>
      <c r="ET9" s="263">
        <f t="shared" si="29"/>
        <v>294</v>
      </c>
      <c r="EU9" s="278">
        <f t="shared" si="83"/>
        <v>-2</v>
      </c>
      <c r="EV9" s="279">
        <f>(ET9/'Finance Only'!B12)*100</f>
        <v>1.1219232970807096</v>
      </c>
    </row>
    <row r="10" spans="1:152" s="3" customFormat="1" ht="13.5" customHeight="1" x14ac:dyDescent="0.2">
      <c r="A10" s="325">
        <v>6</v>
      </c>
      <c r="B10" s="328">
        <f>'Finance Only'!G13</f>
        <v>15.5</v>
      </c>
      <c r="C10" s="323">
        <f t="shared" si="30"/>
        <v>25737038</v>
      </c>
      <c r="D10" s="260">
        <v>25739645</v>
      </c>
      <c r="E10" s="261">
        <f t="shared" si="0"/>
        <v>2607</v>
      </c>
      <c r="F10" s="274">
        <f t="shared" si="31"/>
        <v>255</v>
      </c>
      <c r="G10" s="275">
        <f>(E10/'Finance Only'!B13)*100</f>
        <v>9.5965545166752548</v>
      </c>
      <c r="H10" s="287">
        <f t="shared" si="84"/>
        <v>22904113</v>
      </c>
      <c r="I10" s="260">
        <v>22908514</v>
      </c>
      <c r="J10" s="260">
        <f t="shared" si="32"/>
        <v>4401</v>
      </c>
      <c r="K10" s="288">
        <f t="shared" si="33"/>
        <v>-121</v>
      </c>
      <c r="L10" s="289">
        <f>(J10/'Finance Only'!B13)*100</f>
        <v>16.200397555768241</v>
      </c>
      <c r="M10" s="270">
        <f t="shared" si="34"/>
        <v>86368980</v>
      </c>
      <c r="N10" s="262">
        <v>86383085</v>
      </c>
      <c r="O10" s="263">
        <f t="shared" si="1"/>
        <v>14105</v>
      </c>
      <c r="P10" s="278">
        <f t="shared" si="35"/>
        <v>202</v>
      </c>
      <c r="Q10" s="279">
        <f>(O10/'Finance Only'!B13)*100</f>
        <v>51.921519546491936</v>
      </c>
      <c r="R10" s="269">
        <f t="shared" si="85"/>
        <v>20998</v>
      </c>
      <c r="S10" s="262">
        <v>21017</v>
      </c>
      <c r="T10" s="263">
        <f t="shared" si="2"/>
        <v>19</v>
      </c>
      <c r="U10" s="278">
        <f t="shared" si="36"/>
        <v>0</v>
      </c>
      <c r="V10" s="279">
        <f>(T10/'Finance Only'!B13)*100</f>
        <v>6.9940366634764037E-2</v>
      </c>
      <c r="W10" s="262">
        <f t="shared" si="86"/>
        <v>2842892</v>
      </c>
      <c r="X10" s="262">
        <v>2845579</v>
      </c>
      <c r="Y10" s="263">
        <f t="shared" si="3"/>
        <v>2687</v>
      </c>
      <c r="Z10" s="278">
        <f t="shared" si="37"/>
        <v>-41</v>
      </c>
      <c r="AA10" s="279">
        <f>(Y10/'Finance Only'!B13)*100</f>
        <v>9.8910402709268936</v>
      </c>
      <c r="AB10" s="262">
        <f t="shared" si="38"/>
        <v>17387</v>
      </c>
      <c r="AC10" s="262">
        <v>174006</v>
      </c>
      <c r="AD10" s="263">
        <f t="shared" si="4"/>
        <v>156619</v>
      </c>
      <c r="AE10" s="278">
        <f t="shared" si="39"/>
        <v>156604</v>
      </c>
      <c r="AF10" s="279">
        <f>(AD10/'Finance Only'!B13)*100</f>
        <v>576.52580431421632</v>
      </c>
      <c r="AG10" s="262">
        <f t="shared" si="87"/>
        <v>773538</v>
      </c>
      <c r="AH10" s="262">
        <v>773957</v>
      </c>
      <c r="AI10" s="263">
        <f t="shared" si="5"/>
        <v>419</v>
      </c>
      <c r="AJ10" s="278">
        <f t="shared" si="40"/>
        <v>33</v>
      </c>
      <c r="AK10" s="279">
        <f>(AI10/'Finance Only'!B13)*100</f>
        <v>1.5423691378929543</v>
      </c>
      <c r="AL10" s="262">
        <f t="shared" si="88"/>
        <v>80239</v>
      </c>
      <c r="AM10" s="262">
        <v>80308</v>
      </c>
      <c r="AN10" s="263">
        <f t="shared" si="6"/>
        <v>69</v>
      </c>
      <c r="AO10" s="278">
        <f t="shared" si="41"/>
        <v>8</v>
      </c>
      <c r="AP10" s="279">
        <f>(AN10/'Finance Only'!B13)*100</f>
        <v>0.25399396304203786</v>
      </c>
      <c r="AQ10" s="262">
        <f t="shared" si="89"/>
        <v>18164</v>
      </c>
      <c r="AR10" s="262">
        <v>18178</v>
      </c>
      <c r="AS10" s="263">
        <f t="shared" si="7"/>
        <v>14</v>
      </c>
      <c r="AT10" s="278">
        <f t="shared" si="42"/>
        <v>5</v>
      </c>
      <c r="AU10" s="279">
        <f>(AS10/'Finance Only'!B13)*100</f>
        <v>5.1535006994036667E-2</v>
      </c>
      <c r="AV10" s="262">
        <f t="shared" si="8"/>
        <v>522186</v>
      </c>
      <c r="AW10" s="262">
        <v>522618</v>
      </c>
      <c r="AX10" s="263">
        <f t="shared" si="9"/>
        <v>432</v>
      </c>
      <c r="AY10" s="278">
        <f t="shared" si="43"/>
        <v>41</v>
      </c>
      <c r="AZ10" s="279">
        <f>(AX10/'Finance Only'!B13)*100</f>
        <v>1.5902230729588456</v>
      </c>
      <c r="BA10" s="262">
        <f t="shared" si="10"/>
        <v>69077</v>
      </c>
      <c r="BB10" s="262">
        <v>69166</v>
      </c>
      <c r="BC10" s="263">
        <f t="shared" si="11"/>
        <v>89</v>
      </c>
      <c r="BD10" s="278">
        <f t="shared" si="44"/>
        <v>-13</v>
      </c>
      <c r="BE10" s="279">
        <f>(BC10/'Finance Only'!B13)*100</f>
        <v>0.32761540160494734</v>
      </c>
      <c r="BF10" s="262">
        <f t="shared" si="45"/>
        <v>79031</v>
      </c>
      <c r="BG10" s="262">
        <v>79117</v>
      </c>
      <c r="BH10" s="263">
        <f t="shared" si="12"/>
        <v>86</v>
      </c>
      <c r="BI10" s="278">
        <f t="shared" si="46"/>
        <v>-13</v>
      </c>
      <c r="BJ10" s="279">
        <f>(BH10/'Finance Only'!B13)*100</f>
        <v>0.31657218582051094</v>
      </c>
      <c r="BK10" s="262">
        <f t="shared" si="47"/>
        <v>12319</v>
      </c>
      <c r="BL10" s="262">
        <v>12334</v>
      </c>
      <c r="BM10" s="263">
        <f t="shared" si="13"/>
        <v>15</v>
      </c>
      <c r="BN10" s="278">
        <f t="shared" si="48"/>
        <v>0</v>
      </c>
      <c r="BO10" s="279">
        <f>(BM10/'Finance Only'!B13)*100</f>
        <v>5.5216078922182138E-2</v>
      </c>
      <c r="BP10" s="262">
        <f t="shared" si="49"/>
        <v>70821</v>
      </c>
      <c r="BQ10" s="262">
        <v>70995</v>
      </c>
      <c r="BR10" s="263">
        <f t="shared" si="14"/>
        <v>174</v>
      </c>
      <c r="BS10" s="278">
        <f t="shared" si="50"/>
        <v>-13</v>
      </c>
      <c r="BT10" s="279">
        <f>(BR10/'Finance Only'!B13)*100</f>
        <v>0.64050651549731275</v>
      </c>
      <c r="BU10" s="262">
        <f t="shared" si="51"/>
        <v>38723</v>
      </c>
      <c r="BV10" s="262">
        <v>38759</v>
      </c>
      <c r="BW10" s="263">
        <f t="shared" si="15"/>
        <v>36</v>
      </c>
      <c r="BX10" s="278">
        <f t="shared" si="52"/>
        <v>-7</v>
      </c>
      <c r="BY10" s="279">
        <f>(BW10/'Finance Only'!B13)*100</f>
        <v>0.13251858941323713</v>
      </c>
      <c r="BZ10" s="262">
        <f t="shared" si="53"/>
        <v>53790</v>
      </c>
      <c r="CA10" s="262">
        <v>53913</v>
      </c>
      <c r="CB10" s="263">
        <f t="shared" si="16"/>
        <v>123</v>
      </c>
      <c r="CC10" s="278">
        <f t="shared" si="54"/>
        <v>3</v>
      </c>
      <c r="CD10" s="279">
        <f>(CB10/'Finance Only'!B13)*100</f>
        <v>0.45277184716189356</v>
      </c>
      <c r="CE10" s="262">
        <f t="shared" si="55"/>
        <v>16065</v>
      </c>
      <c r="CF10" s="262">
        <v>16107</v>
      </c>
      <c r="CG10" s="263">
        <f t="shared" si="17"/>
        <v>42</v>
      </c>
      <c r="CH10" s="278">
        <f t="shared" si="56"/>
        <v>1</v>
      </c>
      <c r="CI10" s="279">
        <f>(CG10/'Finance Only'!B13)*100</f>
        <v>0.15460502098210999</v>
      </c>
      <c r="CJ10" s="263">
        <f t="shared" si="57"/>
        <v>36673</v>
      </c>
      <c r="CK10" s="263">
        <v>36792</v>
      </c>
      <c r="CL10" s="263">
        <f t="shared" si="58"/>
        <v>119</v>
      </c>
      <c r="CM10" s="278">
        <f t="shared" si="59"/>
        <v>11</v>
      </c>
      <c r="CN10" s="279">
        <f>(CL10/'Finance Only'!B13)*100</f>
        <v>0.43804755944931162</v>
      </c>
      <c r="CO10" s="262">
        <f t="shared" si="60"/>
        <v>29232</v>
      </c>
      <c r="CP10" s="262">
        <v>29308</v>
      </c>
      <c r="CQ10" s="264">
        <f t="shared" si="18"/>
        <v>76</v>
      </c>
      <c r="CR10" s="278">
        <f t="shared" si="61"/>
        <v>0</v>
      </c>
      <c r="CS10" s="279">
        <f>(CQ10/'Finance Only'!B13)*100</f>
        <v>0.27976146653905615</v>
      </c>
      <c r="CT10" s="262">
        <f t="shared" si="62"/>
        <v>25770</v>
      </c>
      <c r="CU10" s="262">
        <v>25821</v>
      </c>
      <c r="CV10" s="263">
        <f t="shared" si="19"/>
        <v>51</v>
      </c>
      <c r="CW10" s="278">
        <f t="shared" si="63"/>
        <v>16</v>
      </c>
      <c r="CX10" s="279">
        <f>(CV10/'Finance Only'!B13)*100</f>
        <v>0.18773466833541927</v>
      </c>
      <c r="CY10" s="262">
        <f t="shared" si="64"/>
        <v>42652</v>
      </c>
      <c r="CZ10" s="262">
        <v>42745</v>
      </c>
      <c r="DA10" s="263">
        <f t="shared" si="20"/>
        <v>93</v>
      </c>
      <c r="DB10" s="278">
        <f t="shared" si="65"/>
        <v>-4</v>
      </c>
      <c r="DC10" s="279">
        <f>(DA10/'Finance Only'!B13)*100</f>
        <v>0.34233968931752928</v>
      </c>
      <c r="DD10" s="262">
        <f t="shared" si="66"/>
        <v>32016</v>
      </c>
      <c r="DE10" s="262">
        <v>32130</v>
      </c>
      <c r="DF10" s="263">
        <f t="shared" si="21"/>
        <v>114</v>
      </c>
      <c r="DG10" s="278">
        <f t="shared" si="67"/>
        <v>-7</v>
      </c>
      <c r="DH10" s="279">
        <f>(DF10/'Finance Only'!B13)*100</f>
        <v>0.4196421998085843</v>
      </c>
      <c r="DI10" s="262">
        <f t="shared" si="68"/>
        <v>29683</v>
      </c>
      <c r="DJ10" s="262">
        <v>29749</v>
      </c>
      <c r="DK10" s="263">
        <f t="shared" si="22"/>
        <v>66</v>
      </c>
      <c r="DL10" s="278">
        <f t="shared" si="69"/>
        <v>-14</v>
      </c>
      <c r="DM10" s="279">
        <f>(DK10/'Finance Only'!B13)*100</f>
        <v>0.24295074725760141</v>
      </c>
      <c r="DN10" s="262">
        <f t="shared" si="70"/>
        <v>19802</v>
      </c>
      <c r="DO10" s="262">
        <v>19838</v>
      </c>
      <c r="DP10" s="263">
        <f t="shared" si="23"/>
        <v>36</v>
      </c>
      <c r="DQ10" s="278">
        <f t="shared" si="71"/>
        <v>-15</v>
      </c>
      <c r="DR10" s="279">
        <f>(DP10/'Finance Only'!B13)*100</f>
        <v>0.13251858941323713</v>
      </c>
      <c r="DS10" s="262">
        <f t="shared" si="72"/>
        <v>53084</v>
      </c>
      <c r="DT10" s="262">
        <v>53169</v>
      </c>
      <c r="DU10" s="263">
        <f t="shared" si="24"/>
        <v>85</v>
      </c>
      <c r="DV10" s="278">
        <f t="shared" si="73"/>
        <v>-6</v>
      </c>
      <c r="DW10" s="279">
        <f>(DU10/'Finance Only'!B13)*100</f>
        <v>0.31289111389236546</v>
      </c>
      <c r="DX10" s="262">
        <f t="shared" si="74"/>
        <v>36721</v>
      </c>
      <c r="DY10" s="262">
        <v>36785</v>
      </c>
      <c r="DZ10" s="263">
        <f t="shared" si="25"/>
        <v>64</v>
      </c>
      <c r="EA10" s="278">
        <f t="shared" si="75"/>
        <v>-2</v>
      </c>
      <c r="EB10" s="279">
        <f>(DZ10/'Finance Only'!B13)*100</f>
        <v>0.23558860340131046</v>
      </c>
      <c r="EC10" s="262">
        <f t="shared" si="76"/>
        <v>11329</v>
      </c>
      <c r="ED10" s="262">
        <v>11349</v>
      </c>
      <c r="EE10" s="263">
        <f t="shared" si="26"/>
        <v>20</v>
      </c>
      <c r="EF10" s="278">
        <f t="shared" si="77"/>
        <v>-3</v>
      </c>
      <c r="EG10" s="279">
        <f>(EE10/'Finance Only'!B13)*100</f>
        <v>7.3621438562909522E-2</v>
      </c>
      <c r="EH10" s="262">
        <f t="shared" si="78"/>
        <v>100002</v>
      </c>
      <c r="EI10" s="262">
        <v>10033</v>
      </c>
      <c r="EJ10" s="263">
        <f t="shared" si="27"/>
        <v>-89969</v>
      </c>
      <c r="EK10" s="278">
        <f t="shared" si="79"/>
        <v>-90300</v>
      </c>
      <c r="EL10" s="279">
        <f>(EJ10/'Finance Only'!B13)*100</f>
        <v>-331.18236030332031</v>
      </c>
      <c r="EM10" s="262">
        <f t="shared" si="80"/>
        <v>20041</v>
      </c>
      <c r="EN10" s="262">
        <v>20087</v>
      </c>
      <c r="EO10" s="263">
        <f t="shared" si="28"/>
        <v>46</v>
      </c>
      <c r="EP10" s="278">
        <f t="shared" si="81"/>
        <v>-3</v>
      </c>
      <c r="EQ10" s="279">
        <f>(EO10/'Finance Only'!B13)*100</f>
        <v>0.1693293086946919</v>
      </c>
      <c r="ER10" s="262">
        <f t="shared" si="82"/>
        <v>40685</v>
      </c>
      <c r="ES10" s="262">
        <v>40997</v>
      </c>
      <c r="ET10" s="263">
        <f t="shared" si="29"/>
        <v>312</v>
      </c>
      <c r="EU10" s="278">
        <f t="shared" si="83"/>
        <v>18</v>
      </c>
      <c r="EV10" s="279">
        <f>(ET10/'Finance Only'!B13)*100</f>
        <v>1.1484944415813885</v>
      </c>
    </row>
    <row r="11" spans="1:152" s="3" customFormat="1" ht="13.5" customHeight="1" x14ac:dyDescent="0.2">
      <c r="A11" s="325">
        <v>7</v>
      </c>
      <c r="B11" s="331">
        <f>'Finance Only'!G14</f>
        <v>17.5</v>
      </c>
      <c r="C11" s="323">
        <f t="shared" si="30"/>
        <v>25739645</v>
      </c>
      <c r="D11" s="260">
        <v>25741883</v>
      </c>
      <c r="E11" s="261">
        <f t="shared" si="0"/>
        <v>2238</v>
      </c>
      <c r="F11" s="274">
        <f t="shared" si="31"/>
        <v>-369</v>
      </c>
      <c r="G11" s="275">
        <f>(E11/'Finance Only'!B14)*100</f>
        <v>9.0640314284557135</v>
      </c>
      <c r="H11" s="287">
        <f t="shared" si="84"/>
        <v>22908514</v>
      </c>
      <c r="I11" s="260">
        <v>22912264</v>
      </c>
      <c r="J11" s="260">
        <f t="shared" si="32"/>
        <v>3750</v>
      </c>
      <c r="K11" s="288">
        <f t="shared" si="33"/>
        <v>-651</v>
      </c>
      <c r="L11" s="289">
        <f>(J11/'Finance Only'!B14)*100</f>
        <v>15.187720221943218</v>
      </c>
      <c r="M11" s="270">
        <f t="shared" si="34"/>
        <v>86383085</v>
      </c>
      <c r="N11" s="262">
        <v>86396607</v>
      </c>
      <c r="O11" s="263">
        <f t="shared" si="1"/>
        <v>13522</v>
      </c>
      <c r="P11" s="278">
        <f t="shared" si="35"/>
        <v>-583</v>
      </c>
      <c r="Q11" s="279">
        <f>(O11/'Finance Only'!B14)*100</f>
        <v>54.764894090964319</v>
      </c>
      <c r="R11" s="269">
        <f t="shared" si="85"/>
        <v>21017</v>
      </c>
      <c r="S11" s="262">
        <v>21036</v>
      </c>
      <c r="T11" s="263">
        <f t="shared" si="2"/>
        <v>19</v>
      </c>
      <c r="U11" s="278">
        <f t="shared" si="36"/>
        <v>0</v>
      </c>
      <c r="V11" s="279">
        <f>(T11/'Finance Only'!B14)*100</f>
        <v>7.695111579117897E-2</v>
      </c>
      <c r="W11" s="262">
        <f t="shared" si="86"/>
        <v>2845579</v>
      </c>
      <c r="X11" s="262">
        <v>2848140</v>
      </c>
      <c r="Y11" s="263">
        <f t="shared" si="3"/>
        <v>2561</v>
      </c>
      <c r="Z11" s="278">
        <f t="shared" si="37"/>
        <v>-126</v>
      </c>
      <c r="AA11" s="279">
        <f>(Y11/'Finance Only'!B14)*100</f>
        <v>10.372200396905756</v>
      </c>
      <c r="AB11" s="262">
        <f t="shared" si="38"/>
        <v>174006</v>
      </c>
      <c r="AC11" s="262">
        <v>17423</v>
      </c>
      <c r="AD11" s="263">
        <f t="shared" si="4"/>
        <v>-156583</v>
      </c>
      <c r="AE11" s="278">
        <f t="shared" si="39"/>
        <v>-313202</v>
      </c>
      <c r="AF11" s="279">
        <f>(AD11/'Finance Only'!B14)*100</f>
        <v>-634.17034547000935</v>
      </c>
      <c r="AG11" s="262">
        <f t="shared" si="87"/>
        <v>773957</v>
      </c>
      <c r="AH11" s="262">
        <v>774370</v>
      </c>
      <c r="AI11" s="263">
        <f t="shared" si="5"/>
        <v>413</v>
      </c>
      <c r="AJ11" s="278">
        <f t="shared" si="40"/>
        <v>-6</v>
      </c>
      <c r="AK11" s="279">
        <f>(AI11/'Finance Only'!B14)*100</f>
        <v>1.6726742537766799</v>
      </c>
      <c r="AL11" s="262">
        <f t="shared" si="88"/>
        <v>80308</v>
      </c>
      <c r="AM11" s="262">
        <v>80370</v>
      </c>
      <c r="AN11" s="263">
        <f t="shared" si="6"/>
        <v>62</v>
      </c>
      <c r="AO11" s="278">
        <f t="shared" si="41"/>
        <v>-7</v>
      </c>
      <c r="AP11" s="279">
        <f>(AN11/'Finance Only'!B14)*100</f>
        <v>0.25110364100279453</v>
      </c>
      <c r="AQ11" s="262">
        <f t="shared" si="89"/>
        <v>18178</v>
      </c>
      <c r="AR11" s="262">
        <v>18186</v>
      </c>
      <c r="AS11" s="263">
        <f t="shared" si="7"/>
        <v>8</v>
      </c>
      <c r="AT11" s="278">
        <f t="shared" si="42"/>
        <v>-6</v>
      </c>
      <c r="AU11" s="279">
        <f>(AS11/'Finance Only'!B14)*100</f>
        <v>3.2400469806812202E-2</v>
      </c>
      <c r="AV11" s="262">
        <f t="shared" si="8"/>
        <v>522618</v>
      </c>
      <c r="AW11" s="262">
        <v>523011</v>
      </c>
      <c r="AX11" s="263">
        <f t="shared" si="9"/>
        <v>393</v>
      </c>
      <c r="AY11" s="278">
        <f t="shared" si="43"/>
        <v>-39</v>
      </c>
      <c r="AZ11" s="279">
        <f>(AX11/'Finance Only'!B14)*100</f>
        <v>1.5916730792596492</v>
      </c>
      <c r="BA11" s="262">
        <f t="shared" si="10"/>
        <v>69166</v>
      </c>
      <c r="BB11" s="262">
        <v>69258</v>
      </c>
      <c r="BC11" s="263">
        <f t="shared" si="11"/>
        <v>92</v>
      </c>
      <c r="BD11" s="278">
        <f t="shared" si="44"/>
        <v>3</v>
      </c>
      <c r="BE11" s="279">
        <f>(BC11/'Finance Only'!B14)*100</f>
        <v>0.37260540277834026</v>
      </c>
      <c r="BF11" s="262">
        <f t="shared" si="45"/>
        <v>79117</v>
      </c>
      <c r="BG11" s="262">
        <v>79216</v>
      </c>
      <c r="BH11" s="263">
        <f t="shared" si="12"/>
        <v>99</v>
      </c>
      <c r="BI11" s="278">
        <f t="shared" si="46"/>
        <v>13</v>
      </c>
      <c r="BJ11" s="279">
        <f>(BH11/'Finance Only'!B14)*100</f>
        <v>0.40095581385930096</v>
      </c>
      <c r="BK11" s="262">
        <f t="shared" si="47"/>
        <v>12334</v>
      </c>
      <c r="BL11" s="262">
        <v>12348</v>
      </c>
      <c r="BM11" s="263">
        <f t="shared" si="13"/>
        <v>14</v>
      </c>
      <c r="BN11" s="278">
        <f t="shared" si="48"/>
        <v>-1</v>
      </c>
      <c r="BO11" s="279">
        <f>(BM11/'Finance Only'!B14)*100</f>
        <v>5.6700822161921349E-2</v>
      </c>
      <c r="BP11" s="262">
        <f t="shared" si="49"/>
        <v>70995</v>
      </c>
      <c r="BQ11" s="262">
        <v>71169</v>
      </c>
      <c r="BR11" s="263">
        <f t="shared" si="14"/>
        <v>174</v>
      </c>
      <c r="BS11" s="278">
        <f t="shared" si="50"/>
        <v>0</v>
      </c>
      <c r="BT11" s="279">
        <f>(BR11/'Finance Only'!B14)*100</f>
        <v>0.70471021829816538</v>
      </c>
      <c r="BU11" s="262">
        <f t="shared" si="51"/>
        <v>38759</v>
      </c>
      <c r="BV11" s="262">
        <v>38797</v>
      </c>
      <c r="BW11" s="263">
        <f t="shared" si="15"/>
        <v>38</v>
      </c>
      <c r="BX11" s="278">
        <f t="shared" si="52"/>
        <v>2</v>
      </c>
      <c r="BY11" s="279">
        <f>(BW11/'Finance Only'!B14)*100</f>
        <v>0.15390223158235794</v>
      </c>
      <c r="BZ11" s="262">
        <f t="shared" si="53"/>
        <v>53913</v>
      </c>
      <c r="CA11" s="262">
        <v>54031</v>
      </c>
      <c r="CB11" s="263">
        <f t="shared" si="16"/>
        <v>118</v>
      </c>
      <c r="CC11" s="278">
        <f t="shared" si="54"/>
        <v>-5</v>
      </c>
      <c r="CD11" s="279">
        <f>(CB11/'Finance Only'!B14)*100</f>
        <v>0.47790692965047993</v>
      </c>
      <c r="CE11" s="262">
        <f t="shared" si="55"/>
        <v>16107</v>
      </c>
      <c r="CF11" s="262">
        <v>16144</v>
      </c>
      <c r="CG11" s="263">
        <f t="shared" si="17"/>
        <v>37</v>
      </c>
      <c r="CH11" s="278">
        <f t="shared" si="56"/>
        <v>-5</v>
      </c>
      <c r="CI11" s="279">
        <f>(CG11/'Finance Only'!B14)*100</f>
        <v>0.14985217285650643</v>
      </c>
      <c r="CJ11" s="263">
        <f t="shared" si="57"/>
        <v>36792</v>
      </c>
      <c r="CK11" s="263">
        <v>36884</v>
      </c>
      <c r="CL11" s="263">
        <f t="shared" si="58"/>
        <v>92</v>
      </c>
      <c r="CM11" s="278">
        <f t="shared" si="59"/>
        <v>-27</v>
      </c>
      <c r="CN11" s="279">
        <f>(CL11/'Finance Only'!B14)*100</f>
        <v>0.37260540277834026</v>
      </c>
      <c r="CO11" s="262">
        <f t="shared" si="60"/>
        <v>29308</v>
      </c>
      <c r="CP11" s="262">
        <v>29370</v>
      </c>
      <c r="CQ11" s="264">
        <f t="shared" si="18"/>
        <v>62</v>
      </c>
      <c r="CR11" s="278">
        <f t="shared" si="61"/>
        <v>-14</v>
      </c>
      <c r="CS11" s="279">
        <f>(CQ11/'Finance Only'!B14)*100</f>
        <v>0.25110364100279453</v>
      </c>
      <c r="CT11" s="262">
        <f t="shared" si="62"/>
        <v>25821</v>
      </c>
      <c r="CU11" s="262">
        <v>25872</v>
      </c>
      <c r="CV11" s="263">
        <f t="shared" si="19"/>
        <v>51</v>
      </c>
      <c r="CW11" s="278">
        <f t="shared" si="63"/>
        <v>0</v>
      </c>
      <c r="CX11" s="279">
        <f>(CV11/'Finance Only'!B14)*100</f>
        <v>0.20655299501842775</v>
      </c>
      <c r="CY11" s="262">
        <f t="shared" si="64"/>
        <v>42745</v>
      </c>
      <c r="CZ11" s="262">
        <v>42830</v>
      </c>
      <c r="DA11" s="263">
        <f t="shared" si="20"/>
        <v>85</v>
      </c>
      <c r="DB11" s="278">
        <f t="shared" si="65"/>
        <v>-8</v>
      </c>
      <c r="DC11" s="279">
        <f>(DA11/'Finance Only'!B14)*100</f>
        <v>0.34425499169737961</v>
      </c>
      <c r="DD11" s="262">
        <f t="shared" si="66"/>
        <v>32130</v>
      </c>
      <c r="DE11" s="262">
        <v>32205</v>
      </c>
      <c r="DF11" s="263">
        <f t="shared" si="21"/>
        <v>75</v>
      </c>
      <c r="DG11" s="278">
        <f t="shared" si="67"/>
        <v>-39</v>
      </c>
      <c r="DH11" s="279">
        <f>(DF11/'Finance Only'!B14)*100</f>
        <v>0.30375440443886437</v>
      </c>
      <c r="DI11" s="262">
        <f t="shared" si="68"/>
        <v>29749</v>
      </c>
      <c r="DJ11" s="262">
        <v>29807</v>
      </c>
      <c r="DK11" s="263">
        <f t="shared" si="22"/>
        <v>58</v>
      </c>
      <c r="DL11" s="278">
        <f t="shared" si="69"/>
        <v>-8</v>
      </c>
      <c r="DM11" s="279">
        <f>(DK11/'Finance Only'!B14)*100</f>
        <v>0.23490340609938842</v>
      </c>
      <c r="DN11" s="262">
        <f t="shared" si="70"/>
        <v>19838</v>
      </c>
      <c r="DO11" s="262">
        <v>19876</v>
      </c>
      <c r="DP11" s="263">
        <f t="shared" si="23"/>
        <v>38</v>
      </c>
      <c r="DQ11" s="278">
        <f t="shared" si="71"/>
        <v>2</v>
      </c>
      <c r="DR11" s="279">
        <f>(DP11/'Finance Only'!B14)*100</f>
        <v>0.15390223158235794</v>
      </c>
      <c r="DS11" s="262">
        <f t="shared" si="72"/>
        <v>53169</v>
      </c>
      <c r="DT11" s="262">
        <v>53270</v>
      </c>
      <c r="DU11" s="263">
        <f t="shared" si="24"/>
        <v>101</v>
      </c>
      <c r="DV11" s="278">
        <f t="shared" si="73"/>
        <v>16</v>
      </c>
      <c r="DW11" s="279">
        <f>(DU11/'Finance Only'!B14)*100</f>
        <v>0.40905593131100404</v>
      </c>
      <c r="DX11" s="262">
        <f t="shared" si="74"/>
        <v>36785</v>
      </c>
      <c r="DY11" s="262">
        <v>36847</v>
      </c>
      <c r="DZ11" s="263">
        <f t="shared" si="25"/>
        <v>62</v>
      </c>
      <c r="EA11" s="278">
        <f t="shared" si="75"/>
        <v>-2</v>
      </c>
      <c r="EB11" s="279">
        <f>(DZ11/'Finance Only'!B14)*100</f>
        <v>0.25110364100279453</v>
      </c>
      <c r="EC11" s="262">
        <f t="shared" si="76"/>
        <v>11349</v>
      </c>
      <c r="ED11" s="262">
        <v>11371</v>
      </c>
      <c r="EE11" s="263">
        <f t="shared" si="26"/>
        <v>22</v>
      </c>
      <c r="EF11" s="278">
        <f t="shared" si="77"/>
        <v>2</v>
      </c>
      <c r="EG11" s="279">
        <f>(EE11/'Finance Only'!B14)*100</f>
        <v>8.9101291968733551E-2</v>
      </c>
      <c r="EH11" s="262">
        <f t="shared" si="78"/>
        <v>10033</v>
      </c>
      <c r="EI11" s="262">
        <v>10068</v>
      </c>
      <c r="EJ11" s="263">
        <f t="shared" si="27"/>
        <v>35</v>
      </c>
      <c r="EK11" s="278">
        <f t="shared" si="79"/>
        <v>90004</v>
      </c>
      <c r="EL11" s="279">
        <f>(EJ11/'Finance Only'!B14)*100</f>
        <v>0.14175205540480337</v>
      </c>
      <c r="EM11" s="262">
        <f t="shared" si="80"/>
        <v>20087</v>
      </c>
      <c r="EN11" s="262">
        <v>20139</v>
      </c>
      <c r="EO11" s="263">
        <f t="shared" si="28"/>
        <v>52</v>
      </c>
      <c r="EP11" s="278">
        <f t="shared" si="81"/>
        <v>6</v>
      </c>
      <c r="EQ11" s="279">
        <f>(EO11/'Finance Only'!B14)*100</f>
        <v>0.21060305374427929</v>
      </c>
      <c r="ER11" s="262">
        <f t="shared" si="82"/>
        <v>40997</v>
      </c>
      <c r="ES11" s="262">
        <v>41257</v>
      </c>
      <c r="ET11" s="263">
        <f t="shared" si="29"/>
        <v>260</v>
      </c>
      <c r="EU11" s="278">
        <f t="shared" si="83"/>
        <v>-52</v>
      </c>
      <c r="EV11" s="279">
        <f>(ET11/'Finance Only'!B14)*100</f>
        <v>1.0530152687213963</v>
      </c>
    </row>
    <row r="12" spans="1:152" s="3" customFormat="1" ht="13.5" customHeight="1" x14ac:dyDescent="0.2">
      <c r="A12" s="325">
        <v>8</v>
      </c>
      <c r="B12" s="331">
        <f>'Finance Only'!G15</f>
        <v>16.5</v>
      </c>
      <c r="C12" s="323">
        <f t="shared" si="30"/>
        <v>25741883</v>
      </c>
      <c r="D12" s="260">
        <v>25744122</v>
      </c>
      <c r="E12" s="261">
        <f t="shared" si="0"/>
        <v>2239</v>
      </c>
      <c r="F12" s="274">
        <f t="shared" si="31"/>
        <v>1</v>
      </c>
      <c r="G12" s="275">
        <f>(E12/'Finance Only'!B15)*100</f>
        <v>8.797642436149312</v>
      </c>
      <c r="H12" s="287">
        <f t="shared" si="84"/>
        <v>22912264</v>
      </c>
      <c r="I12" s="260">
        <v>22916536</v>
      </c>
      <c r="J12" s="260">
        <f t="shared" si="32"/>
        <v>4272</v>
      </c>
      <c r="K12" s="288">
        <f t="shared" si="33"/>
        <v>522</v>
      </c>
      <c r="L12" s="289">
        <f>(J12/'Finance Only'!B15)*100</f>
        <v>16.785854616895872</v>
      </c>
      <c r="M12" s="270">
        <f t="shared" si="34"/>
        <v>86396607</v>
      </c>
      <c r="N12" s="262">
        <v>86409737</v>
      </c>
      <c r="O12" s="263">
        <f t="shared" si="1"/>
        <v>13130</v>
      </c>
      <c r="P12" s="278">
        <f t="shared" si="35"/>
        <v>-392</v>
      </c>
      <c r="Q12" s="279">
        <f>(O12/'Finance Only'!B15)*100</f>
        <v>51.591355599214154</v>
      </c>
      <c r="R12" s="269">
        <f t="shared" si="85"/>
        <v>21036</v>
      </c>
      <c r="S12" s="262">
        <v>21055</v>
      </c>
      <c r="T12" s="263">
        <f t="shared" si="2"/>
        <v>19</v>
      </c>
      <c r="U12" s="278">
        <f t="shared" si="36"/>
        <v>0</v>
      </c>
      <c r="V12" s="279">
        <f>(T12/'Finance Only'!B15)*100</f>
        <v>7.4656188605108059E-2</v>
      </c>
      <c r="W12" s="262">
        <f t="shared" si="86"/>
        <v>2848140</v>
      </c>
      <c r="X12" s="262">
        <v>2850706</v>
      </c>
      <c r="Y12" s="263">
        <f t="shared" si="3"/>
        <v>2566</v>
      </c>
      <c r="Z12" s="278">
        <f t="shared" si="37"/>
        <v>5</v>
      </c>
      <c r="AA12" s="279">
        <f>(Y12/'Finance Only'!B15)*100</f>
        <v>10.082514734774067</v>
      </c>
      <c r="AB12" s="262">
        <f t="shared" si="38"/>
        <v>17423</v>
      </c>
      <c r="AC12" s="262">
        <v>17440</v>
      </c>
      <c r="AD12" s="263">
        <f t="shared" si="4"/>
        <v>17</v>
      </c>
      <c r="AE12" s="278">
        <f t="shared" si="39"/>
        <v>156600</v>
      </c>
      <c r="AF12" s="279">
        <f>(AD12/'Finance Only'!B15)*100</f>
        <v>6.6797642436149315E-2</v>
      </c>
      <c r="AG12" s="262">
        <f t="shared" si="87"/>
        <v>774370</v>
      </c>
      <c r="AH12" s="262">
        <v>774769</v>
      </c>
      <c r="AI12" s="263">
        <f t="shared" si="5"/>
        <v>399</v>
      </c>
      <c r="AJ12" s="278">
        <f t="shared" si="40"/>
        <v>-14</v>
      </c>
      <c r="AK12" s="279">
        <f>(AI12/'Finance Only'!B15)*100</f>
        <v>1.5677799607072691</v>
      </c>
      <c r="AL12" s="262">
        <f t="shared" si="88"/>
        <v>80370</v>
      </c>
      <c r="AM12" s="262">
        <v>80435</v>
      </c>
      <c r="AN12" s="263">
        <f t="shared" si="6"/>
        <v>65</v>
      </c>
      <c r="AO12" s="278">
        <f t="shared" si="41"/>
        <v>3</v>
      </c>
      <c r="AP12" s="279">
        <f>(AN12/'Finance Only'!B15)*100</f>
        <v>0.25540275049115913</v>
      </c>
      <c r="AQ12" s="262">
        <f t="shared" si="89"/>
        <v>18186</v>
      </c>
      <c r="AR12" s="262">
        <v>18201</v>
      </c>
      <c r="AS12" s="263">
        <f t="shared" si="7"/>
        <v>15</v>
      </c>
      <c r="AT12" s="278">
        <f t="shared" si="42"/>
        <v>7</v>
      </c>
      <c r="AU12" s="279">
        <f>(AS12/'Finance Only'!B15)*100</f>
        <v>5.8939096267190572E-2</v>
      </c>
      <c r="AV12" s="262">
        <f t="shared" si="8"/>
        <v>523011</v>
      </c>
      <c r="AW12" s="262">
        <v>523389</v>
      </c>
      <c r="AX12" s="263">
        <f t="shared" si="9"/>
        <v>378</v>
      </c>
      <c r="AY12" s="278">
        <f t="shared" si="43"/>
        <v>-15</v>
      </c>
      <c r="AZ12" s="279">
        <f>(AX12/'Finance Only'!B15)*100</f>
        <v>1.4852652259332024</v>
      </c>
      <c r="BA12" s="262">
        <f t="shared" si="10"/>
        <v>69258</v>
      </c>
      <c r="BB12" s="262">
        <v>69341</v>
      </c>
      <c r="BC12" s="263">
        <f t="shared" si="11"/>
        <v>83</v>
      </c>
      <c r="BD12" s="278">
        <f t="shared" si="44"/>
        <v>-9</v>
      </c>
      <c r="BE12" s="279">
        <f>(BC12/'Finance Only'!B15)*100</f>
        <v>0.32612966601178783</v>
      </c>
      <c r="BF12" s="262">
        <f t="shared" si="45"/>
        <v>79216</v>
      </c>
      <c r="BG12" s="262">
        <v>79300</v>
      </c>
      <c r="BH12" s="263">
        <f t="shared" si="12"/>
        <v>84</v>
      </c>
      <c r="BI12" s="278">
        <f t="shared" si="46"/>
        <v>-15</v>
      </c>
      <c r="BJ12" s="279">
        <f>(BH12/'Finance Only'!B15)*100</f>
        <v>0.33005893909626721</v>
      </c>
      <c r="BK12" s="262">
        <f t="shared" si="47"/>
        <v>12348</v>
      </c>
      <c r="BL12" s="262">
        <v>12362</v>
      </c>
      <c r="BM12" s="263">
        <f t="shared" si="13"/>
        <v>14</v>
      </c>
      <c r="BN12" s="278">
        <f t="shared" si="48"/>
        <v>0</v>
      </c>
      <c r="BO12" s="279">
        <f>(BM12/'Finance Only'!B15)*100</f>
        <v>5.5009823182711207E-2</v>
      </c>
      <c r="BP12" s="262">
        <f t="shared" si="49"/>
        <v>71169</v>
      </c>
      <c r="BQ12" s="262">
        <v>71336</v>
      </c>
      <c r="BR12" s="263">
        <f t="shared" si="14"/>
        <v>167</v>
      </c>
      <c r="BS12" s="278">
        <f t="shared" si="50"/>
        <v>-7</v>
      </c>
      <c r="BT12" s="279">
        <f>(BR12/'Finance Only'!B15)*100</f>
        <v>0.65618860510805499</v>
      </c>
      <c r="BU12" s="262">
        <f t="shared" si="51"/>
        <v>38797</v>
      </c>
      <c r="BV12" s="262">
        <v>38834</v>
      </c>
      <c r="BW12" s="263">
        <f t="shared" si="15"/>
        <v>37</v>
      </c>
      <c r="BX12" s="278">
        <f t="shared" si="52"/>
        <v>-1</v>
      </c>
      <c r="BY12" s="279">
        <f>(BW12/'Finance Only'!B15)*100</f>
        <v>0.14538310412573674</v>
      </c>
      <c r="BZ12" s="262">
        <f t="shared" si="53"/>
        <v>54031</v>
      </c>
      <c r="CA12" s="262">
        <v>54149</v>
      </c>
      <c r="CB12" s="263">
        <f t="shared" si="16"/>
        <v>118</v>
      </c>
      <c r="CC12" s="278">
        <f t="shared" si="54"/>
        <v>0</v>
      </c>
      <c r="CD12" s="279">
        <f>(CB12/'Finance Only'!B15)*100</f>
        <v>0.46365422396856582</v>
      </c>
      <c r="CE12" s="262">
        <f t="shared" si="55"/>
        <v>16144</v>
      </c>
      <c r="CF12" s="262">
        <v>16182</v>
      </c>
      <c r="CG12" s="263">
        <f t="shared" si="17"/>
        <v>38</v>
      </c>
      <c r="CH12" s="278">
        <f t="shared" si="56"/>
        <v>1</v>
      </c>
      <c r="CI12" s="279">
        <f>(CG12/'Finance Only'!B15)*100</f>
        <v>0.14931237721021612</v>
      </c>
      <c r="CJ12" s="263">
        <f t="shared" si="57"/>
        <v>36884</v>
      </c>
      <c r="CK12" s="263">
        <v>36989</v>
      </c>
      <c r="CL12" s="263">
        <f t="shared" si="58"/>
        <v>105</v>
      </c>
      <c r="CM12" s="278">
        <f t="shared" si="59"/>
        <v>13</v>
      </c>
      <c r="CN12" s="279">
        <f>(CL12/'Finance Only'!B15)*100</f>
        <v>0.41257367387033395</v>
      </c>
      <c r="CO12" s="262">
        <f t="shared" si="60"/>
        <v>29370</v>
      </c>
      <c r="CP12" s="262">
        <v>29440</v>
      </c>
      <c r="CQ12" s="264">
        <f t="shared" si="18"/>
        <v>70</v>
      </c>
      <c r="CR12" s="278">
        <f t="shared" si="61"/>
        <v>8</v>
      </c>
      <c r="CS12" s="279">
        <f>(CQ12/'Finance Only'!B15)*100</f>
        <v>0.27504911591355602</v>
      </c>
      <c r="CT12" s="262">
        <f t="shared" si="62"/>
        <v>25872</v>
      </c>
      <c r="CU12" s="262">
        <v>25926</v>
      </c>
      <c r="CV12" s="263">
        <f t="shared" si="19"/>
        <v>54</v>
      </c>
      <c r="CW12" s="278">
        <f t="shared" si="63"/>
        <v>3</v>
      </c>
      <c r="CX12" s="279">
        <f>(CV12/'Finance Only'!B15)*100</f>
        <v>0.21218074656188607</v>
      </c>
      <c r="CY12" s="262">
        <f t="shared" si="64"/>
        <v>42830</v>
      </c>
      <c r="CZ12" s="262">
        <v>42919</v>
      </c>
      <c r="DA12" s="263">
        <f t="shared" si="20"/>
        <v>89</v>
      </c>
      <c r="DB12" s="278">
        <f t="shared" si="65"/>
        <v>4</v>
      </c>
      <c r="DC12" s="279">
        <f>(DA12/'Finance Only'!B15)*100</f>
        <v>0.34970530451866405</v>
      </c>
      <c r="DD12" s="262">
        <f t="shared" si="66"/>
        <v>32205</v>
      </c>
      <c r="DE12" s="262">
        <v>32282</v>
      </c>
      <c r="DF12" s="263">
        <f t="shared" si="21"/>
        <v>77</v>
      </c>
      <c r="DG12" s="278">
        <f t="shared" si="67"/>
        <v>2</v>
      </c>
      <c r="DH12" s="279">
        <f>(DF12/'Finance Only'!B15)*100</f>
        <v>0.30255402750491162</v>
      </c>
      <c r="DI12" s="262">
        <f t="shared" si="68"/>
        <v>29807</v>
      </c>
      <c r="DJ12" s="262">
        <v>29879</v>
      </c>
      <c r="DK12" s="263">
        <f t="shared" si="22"/>
        <v>72</v>
      </c>
      <c r="DL12" s="278">
        <f t="shared" si="69"/>
        <v>14</v>
      </c>
      <c r="DM12" s="279">
        <f>(DK12/'Finance Only'!B15)*100</f>
        <v>0.28290766208251472</v>
      </c>
      <c r="DN12" s="262">
        <f t="shared" si="70"/>
        <v>19876</v>
      </c>
      <c r="DO12" s="262">
        <v>19925</v>
      </c>
      <c r="DP12" s="263">
        <f t="shared" si="23"/>
        <v>49</v>
      </c>
      <c r="DQ12" s="278">
        <f t="shared" si="71"/>
        <v>11</v>
      </c>
      <c r="DR12" s="279">
        <f>(DP12/'Finance Only'!B15)*100</f>
        <v>0.1925343811394892</v>
      </c>
      <c r="DS12" s="262">
        <f t="shared" si="72"/>
        <v>53270</v>
      </c>
      <c r="DT12" s="262">
        <v>53384</v>
      </c>
      <c r="DU12" s="263">
        <f t="shared" si="24"/>
        <v>114</v>
      </c>
      <c r="DV12" s="278">
        <f t="shared" si="73"/>
        <v>13</v>
      </c>
      <c r="DW12" s="279">
        <f>(DU12/'Finance Only'!B15)*100</f>
        <v>0.4479371316306483</v>
      </c>
      <c r="DX12" s="262">
        <f t="shared" si="74"/>
        <v>36847</v>
      </c>
      <c r="DY12" s="262">
        <v>36910</v>
      </c>
      <c r="DZ12" s="263">
        <f t="shared" si="25"/>
        <v>63</v>
      </c>
      <c r="EA12" s="278">
        <f t="shared" si="75"/>
        <v>1</v>
      </c>
      <c r="EB12" s="279">
        <f>(DZ12/'Finance Only'!B15)*100</f>
        <v>0.24754420432220042</v>
      </c>
      <c r="EC12" s="262">
        <f t="shared" si="76"/>
        <v>11371</v>
      </c>
      <c r="ED12" s="262">
        <v>11394</v>
      </c>
      <c r="EE12" s="263">
        <f t="shared" si="26"/>
        <v>23</v>
      </c>
      <c r="EF12" s="278">
        <f t="shared" si="77"/>
        <v>1</v>
      </c>
      <c r="EG12" s="279">
        <f>(EE12/'Finance Only'!B15)*100</f>
        <v>9.0373280943025547E-2</v>
      </c>
      <c r="EH12" s="262">
        <f t="shared" si="78"/>
        <v>10068</v>
      </c>
      <c r="EI12" s="262">
        <v>10103</v>
      </c>
      <c r="EJ12" s="263">
        <f t="shared" si="27"/>
        <v>35</v>
      </c>
      <c r="EK12" s="278">
        <f t="shared" si="79"/>
        <v>0</v>
      </c>
      <c r="EL12" s="279">
        <f>(EJ12/'Finance Only'!B15)*100</f>
        <v>0.13752455795677801</v>
      </c>
      <c r="EM12" s="262">
        <f t="shared" si="80"/>
        <v>20139</v>
      </c>
      <c r="EN12" s="262">
        <v>20193</v>
      </c>
      <c r="EO12" s="263">
        <f t="shared" si="28"/>
        <v>54</v>
      </c>
      <c r="EP12" s="278">
        <f t="shared" si="81"/>
        <v>2</v>
      </c>
      <c r="EQ12" s="279">
        <f>(EO12/'Finance Only'!B15)*100</f>
        <v>0.21218074656188607</v>
      </c>
      <c r="ER12" s="262">
        <f t="shared" si="82"/>
        <v>41257</v>
      </c>
      <c r="ES12" s="262">
        <v>41577</v>
      </c>
      <c r="ET12" s="263">
        <f t="shared" si="29"/>
        <v>320</v>
      </c>
      <c r="EU12" s="278">
        <f t="shared" si="83"/>
        <v>60</v>
      </c>
      <c r="EV12" s="279">
        <f>(ET12/'Finance Only'!B15)*100</f>
        <v>1.2573673870333988</v>
      </c>
    </row>
    <row r="13" spans="1:152" s="3" customFormat="1" ht="13.5" customHeight="1" x14ac:dyDescent="0.2">
      <c r="A13" s="325">
        <v>9</v>
      </c>
      <c r="B13" s="331">
        <f>'Finance Only'!G16</f>
        <v>16.5</v>
      </c>
      <c r="C13" s="323">
        <f t="shared" si="30"/>
        <v>25744122</v>
      </c>
      <c r="D13" s="260">
        <v>25746176</v>
      </c>
      <c r="E13" s="261">
        <f t="shared" si="0"/>
        <v>2054</v>
      </c>
      <c r="F13" s="274">
        <f t="shared" si="31"/>
        <v>-185</v>
      </c>
      <c r="G13" s="275">
        <f>(E13/'Finance Only'!B16)*100</f>
        <v>9.0588339066772505</v>
      </c>
      <c r="H13" s="287">
        <f t="shared" si="84"/>
        <v>22916536</v>
      </c>
      <c r="I13" s="260">
        <v>22920025</v>
      </c>
      <c r="J13" s="260">
        <f t="shared" si="32"/>
        <v>3489</v>
      </c>
      <c r="K13" s="288">
        <f t="shared" si="33"/>
        <v>-783</v>
      </c>
      <c r="L13" s="289">
        <f>(J13/'Finance Only'!B16)*100</f>
        <v>15.387668695422068</v>
      </c>
      <c r="M13" s="270">
        <f t="shared" si="34"/>
        <v>86409737</v>
      </c>
      <c r="N13" s="262">
        <v>86422303</v>
      </c>
      <c r="O13" s="263">
        <f t="shared" si="1"/>
        <v>12566</v>
      </c>
      <c r="P13" s="278">
        <f t="shared" si="35"/>
        <v>-564</v>
      </c>
      <c r="Q13" s="279">
        <f>(O13/'Finance Only'!B16)*100</f>
        <v>55.420305195377964</v>
      </c>
      <c r="R13" s="269">
        <f t="shared" si="85"/>
        <v>21055</v>
      </c>
      <c r="S13" s="262">
        <v>21073</v>
      </c>
      <c r="T13" s="263">
        <f t="shared" si="2"/>
        <v>18</v>
      </c>
      <c r="U13" s="278">
        <f t="shared" si="36"/>
        <v>-1</v>
      </c>
      <c r="V13" s="279">
        <f>(T13/'Finance Only'!B16)*100</f>
        <v>7.9386080973802592E-2</v>
      </c>
      <c r="W13" s="262">
        <f t="shared" si="86"/>
        <v>2850706</v>
      </c>
      <c r="X13" s="262">
        <v>2852960</v>
      </c>
      <c r="Y13" s="263">
        <f t="shared" si="3"/>
        <v>2254</v>
      </c>
      <c r="Z13" s="278">
        <f t="shared" si="37"/>
        <v>-312</v>
      </c>
      <c r="AA13" s="279">
        <f>(Y13/'Finance Only'!B16)*100</f>
        <v>9.9409014730528362</v>
      </c>
      <c r="AB13" s="262">
        <f t="shared" si="38"/>
        <v>17440</v>
      </c>
      <c r="AC13" s="262">
        <v>17457</v>
      </c>
      <c r="AD13" s="263">
        <f t="shared" si="4"/>
        <v>17</v>
      </c>
      <c r="AE13" s="278">
        <f t="shared" si="39"/>
        <v>0</v>
      </c>
      <c r="AF13" s="279">
        <f>(AD13/'Finance Only'!B16)*100</f>
        <v>7.4975743141924664E-2</v>
      </c>
      <c r="AG13" s="262">
        <f t="shared" si="87"/>
        <v>774769</v>
      </c>
      <c r="AH13" s="262">
        <v>775276</v>
      </c>
      <c r="AI13" s="263">
        <f t="shared" si="5"/>
        <v>507</v>
      </c>
      <c r="AJ13" s="278">
        <f t="shared" si="40"/>
        <v>108</v>
      </c>
      <c r="AK13" s="279">
        <f>(AI13/'Finance Only'!B16)*100</f>
        <v>2.2360412807621062</v>
      </c>
      <c r="AL13" s="262">
        <f t="shared" si="88"/>
        <v>80435</v>
      </c>
      <c r="AM13" s="262">
        <v>80491</v>
      </c>
      <c r="AN13" s="263">
        <f t="shared" si="6"/>
        <v>56</v>
      </c>
      <c r="AO13" s="278">
        <f t="shared" si="41"/>
        <v>-9</v>
      </c>
      <c r="AP13" s="279">
        <f>(AN13/'Finance Only'!B16)*100</f>
        <v>0.24697891858516363</v>
      </c>
      <c r="AQ13" s="262">
        <f t="shared" si="89"/>
        <v>18201</v>
      </c>
      <c r="AR13" s="262">
        <v>18209</v>
      </c>
      <c r="AS13" s="263">
        <f t="shared" si="7"/>
        <v>8</v>
      </c>
      <c r="AT13" s="278">
        <f t="shared" si="42"/>
        <v>-7</v>
      </c>
      <c r="AU13" s="279">
        <f>(AS13/'Finance Only'!B16)*100</f>
        <v>3.5282702655023375E-2</v>
      </c>
      <c r="AV13" s="262">
        <f t="shared" si="8"/>
        <v>523389</v>
      </c>
      <c r="AW13" s="262">
        <v>523730</v>
      </c>
      <c r="AX13" s="263">
        <f t="shared" si="9"/>
        <v>341</v>
      </c>
      <c r="AY13" s="278">
        <f t="shared" si="43"/>
        <v>-37</v>
      </c>
      <c r="AZ13" s="279">
        <f>(AX13/'Finance Only'!B16)*100</f>
        <v>1.5039252006703714</v>
      </c>
      <c r="BA13" s="262">
        <f t="shared" si="10"/>
        <v>69341</v>
      </c>
      <c r="BB13" s="262">
        <v>69435</v>
      </c>
      <c r="BC13" s="263">
        <f t="shared" si="11"/>
        <v>94</v>
      </c>
      <c r="BD13" s="278">
        <f t="shared" si="44"/>
        <v>11</v>
      </c>
      <c r="BE13" s="279">
        <f>(BC13/'Finance Only'!B16)*100</f>
        <v>0.41457175619652464</v>
      </c>
      <c r="BF13" s="262">
        <f t="shared" si="45"/>
        <v>79300</v>
      </c>
      <c r="BG13" s="262">
        <v>79383</v>
      </c>
      <c r="BH13" s="263">
        <f t="shared" si="12"/>
        <v>83</v>
      </c>
      <c r="BI13" s="278">
        <f t="shared" si="46"/>
        <v>-1</v>
      </c>
      <c r="BJ13" s="279">
        <f>(BH13/'Finance Only'!B16)*100</f>
        <v>0.36605804004586751</v>
      </c>
      <c r="BK13" s="262">
        <f t="shared" si="47"/>
        <v>12362</v>
      </c>
      <c r="BL13" s="262">
        <v>12377</v>
      </c>
      <c r="BM13" s="263">
        <f t="shared" si="13"/>
        <v>15</v>
      </c>
      <c r="BN13" s="278">
        <f t="shared" si="48"/>
        <v>1</v>
      </c>
      <c r="BO13" s="279">
        <f>(BM13/'Finance Only'!B16)*100</f>
        <v>6.6155067478168836E-2</v>
      </c>
      <c r="BP13" s="262">
        <f t="shared" si="49"/>
        <v>71336</v>
      </c>
      <c r="BQ13" s="262">
        <v>71506</v>
      </c>
      <c r="BR13" s="263">
        <f t="shared" si="14"/>
        <v>170</v>
      </c>
      <c r="BS13" s="278">
        <f t="shared" si="50"/>
        <v>3</v>
      </c>
      <c r="BT13" s="279">
        <f>(BR13/'Finance Only'!B16)*100</f>
        <v>0.74975743141924667</v>
      </c>
      <c r="BU13" s="262">
        <f t="shared" si="51"/>
        <v>38834</v>
      </c>
      <c r="BV13" s="262">
        <v>38873</v>
      </c>
      <c r="BW13" s="263">
        <f t="shared" si="15"/>
        <v>39</v>
      </c>
      <c r="BX13" s="278">
        <f t="shared" si="52"/>
        <v>2</v>
      </c>
      <c r="BY13" s="279">
        <f>(BW13/'Finance Only'!B16)*100</f>
        <v>0.17200317544323895</v>
      </c>
      <c r="BZ13" s="262">
        <f t="shared" si="53"/>
        <v>54149</v>
      </c>
      <c r="CA13" s="262">
        <v>54257</v>
      </c>
      <c r="CB13" s="263">
        <f t="shared" si="16"/>
        <v>108</v>
      </c>
      <c r="CC13" s="278">
        <f t="shared" si="54"/>
        <v>-10</v>
      </c>
      <c r="CD13" s="279">
        <f>(CB13/'Finance Only'!B16)*100</f>
        <v>0.4763164858428155</v>
      </c>
      <c r="CE13" s="262">
        <f t="shared" si="55"/>
        <v>16182</v>
      </c>
      <c r="CF13" s="262">
        <v>16217</v>
      </c>
      <c r="CG13" s="263">
        <f t="shared" si="17"/>
        <v>35</v>
      </c>
      <c r="CH13" s="278">
        <f t="shared" si="56"/>
        <v>-3</v>
      </c>
      <c r="CI13" s="279">
        <f>(CG13/'Finance Only'!B16)*100</f>
        <v>0.15436182411572727</v>
      </c>
      <c r="CJ13" s="263">
        <f t="shared" si="57"/>
        <v>36989</v>
      </c>
      <c r="CK13" s="263">
        <v>37075</v>
      </c>
      <c r="CL13" s="263">
        <f t="shared" si="58"/>
        <v>86</v>
      </c>
      <c r="CM13" s="278">
        <f t="shared" si="59"/>
        <v>-19</v>
      </c>
      <c r="CN13" s="279">
        <f>(CL13/'Finance Only'!B16)*100</f>
        <v>0.37928905354150128</v>
      </c>
      <c r="CO13" s="262">
        <f t="shared" si="60"/>
        <v>29440</v>
      </c>
      <c r="CP13" s="262">
        <v>29487</v>
      </c>
      <c r="CQ13" s="264">
        <f t="shared" si="18"/>
        <v>47</v>
      </c>
      <c r="CR13" s="278">
        <f t="shared" si="61"/>
        <v>-23</v>
      </c>
      <c r="CS13" s="279">
        <f>(CQ13/'Finance Only'!B16)*100</f>
        <v>0.20728587809826232</v>
      </c>
      <c r="CT13" s="262">
        <f t="shared" si="62"/>
        <v>25926</v>
      </c>
      <c r="CU13" s="262">
        <v>25967</v>
      </c>
      <c r="CV13" s="263">
        <f t="shared" si="19"/>
        <v>41</v>
      </c>
      <c r="CW13" s="278">
        <f t="shared" si="63"/>
        <v>-13</v>
      </c>
      <c r="CX13" s="279">
        <f>(CV13/'Finance Only'!B16)*100</f>
        <v>0.18082385110699478</v>
      </c>
      <c r="CY13" s="262">
        <f t="shared" si="64"/>
        <v>42919</v>
      </c>
      <c r="CZ13" s="262">
        <v>43002</v>
      </c>
      <c r="DA13" s="263">
        <f t="shared" si="20"/>
        <v>83</v>
      </c>
      <c r="DB13" s="278">
        <f t="shared" si="65"/>
        <v>-6</v>
      </c>
      <c r="DC13" s="279">
        <f>(DA13/'Finance Only'!B16)*100</f>
        <v>0.36605804004586751</v>
      </c>
      <c r="DD13" s="262">
        <f t="shared" si="66"/>
        <v>32282</v>
      </c>
      <c r="DE13" s="262">
        <v>32347</v>
      </c>
      <c r="DF13" s="263">
        <f t="shared" si="21"/>
        <v>65</v>
      </c>
      <c r="DG13" s="278">
        <f t="shared" si="67"/>
        <v>-12</v>
      </c>
      <c r="DH13" s="279">
        <f>(DF13/'Finance Only'!B16)*100</f>
        <v>0.28667195907206494</v>
      </c>
      <c r="DI13" s="262">
        <f t="shared" si="68"/>
        <v>29879</v>
      </c>
      <c r="DJ13" s="262">
        <v>29936</v>
      </c>
      <c r="DK13" s="263">
        <f t="shared" si="22"/>
        <v>57</v>
      </c>
      <c r="DL13" s="278">
        <f t="shared" si="69"/>
        <v>-15</v>
      </c>
      <c r="DM13" s="279">
        <f>(DK13/'Finance Only'!B16)*100</f>
        <v>0.25138925641704157</v>
      </c>
      <c r="DN13" s="262">
        <f t="shared" si="70"/>
        <v>19925</v>
      </c>
      <c r="DO13" s="262">
        <v>19975</v>
      </c>
      <c r="DP13" s="263">
        <f t="shared" si="23"/>
        <v>50</v>
      </c>
      <c r="DQ13" s="278">
        <f t="shared" si="71"/>
        <v>1</v>
      </c>
      <c r="DR13" s="279">
        <f>(DP13/'Finance Only'!B16)*100</f>
        <v>0.22051689159389609</v>
      </c>
      <c r="DS13" s="262">
        <f t="shared" si="72"/>
        <v>53384</v>
      </c>
      <c r="DT13" s="262">
        <v>53475</v>
      </c>
      <c r="DU13" s="263">
        <f t="shared" si="24"/>
        <v>91</v>
      </c>
      <c r="DV13" s="278">
        <f t="shared" si="73"/>
        <v>-23</v>
      </c>
      <c r="DW13" s="279">
        <f>(DU13/'Finance Only'!B16)*100</f>
        <v>0.40134074270089093</v>
      </c>
      <c r="DX13" s="262">
        <f t="shared" si="74"/>
        <v>36910</v>
      </c>
      <c r="DY13" s="262">
        <v>36967</v>
      </c>
      <c r="DZ13" s="263">
        <f t="shared" si="25"/>
        <v>57</v>
      </c>
      <c r="EA13" s="278">
        <f t="shared" si="75"/>
        <v>-6</v>
      </c>
      <c r="EB13" s="279">
        <f>(DZ13/'Finance Only'!B16)*100</f>
        <v>0.25138925641704157</v>
      </c>
      <c r="EC13" s="262">
        <f t="shared" si="76"/>
        <v>11394</v>
      </c>
      <c r="ED13" s="262">
        <v>11420</v>
      </c>
      <c r="EE13" s="263">
        <f t="shared" si="26"/>
        <v>26</v>
      </c>
      <c r="EF13" s="278">
        <f t="shared" si="77"/>
        <v>3</v>
      </c>
      <c r="EG13" s="279">
        <f>(EE13/'Finance Only'!B16)*100</f>
        <v>0.11466878362882597</v>
      </c>
      <c r="EH13" s="262">
        <f t="shared" si="78"/>
        <v>10103</v>
      </c>
      <c r="EI13" s="262">
        <v>10156</v>
      </c>
      <c r="EJ13" s="263">
        <f t="shared" si="27"/>
        <v>53</v>
      </c>
      <c r="EK13" s="278">
        <f t="shared" si="79"/>
        <v>18</v>
      </c>
      <c r="EL13" s="279">
        <f>(EJ13/'Finance Only'!B16)*100</f>
        <v>0.23374790508952989</v>
      </c>
      <c r="EM13" s="262">
        <f t="shared" si="80"/>
        <v>20193</v>
      </c>
      <c r="EN13" s="262">
        <v>20241</v>
      </c>
      <c r="EO13" s="263">
        <f t="shared" si="28"/>
        <v>48</v>
      </c>
      <c r="EP13" s="278">
        <f t="shared" si="81"/>
        <v>-6</v>
      </c>
      <c r="EQ13" s="279">
        <f>(EO13/'Finance Only'!B16)*100</f>
        <v>0.21169621593014024</v>
      </c>
      <c r="ER13" s="262">
        <f t="shared" si="82"/>
        <v>41577</v>
      </c>
      <c r="ES13" s="262">
        <v>41798</v>
      </c>
      <c r="ET13" s="263">
        <f t="shared" si="29"/>
        <v>221</v>
      </c>
      <c r="EU13" s="278">
        <f t="shared" si="83"/>
        <v>-99</v>
      </c>
      <c r="EV13" s="279">
        <f>(ET13/'Finance Only'!B16)*100</f>
        <v>0.9746846608450207</v>
      </c>
    </row>
    <row r="14" spans="1:152" s="3" customFormat="1" ht="13.5" customHeight="1" x14ac:dyDescent="0.2">
      <c r="A14" s="325">
        <v>10</v>
      </c>
      <c r="B14" s="331">
        <f>'Finance Only'!G17</f>
        <v>13.6</v>
      </c>
      <c r="C14" s="323">
        <f>D13</f>
        <v>25746176</v>
      </c>
      <c r="D14" s="260">
        <v>25748286</v>
      </c>
      <c r="E14" s="261">
        <f t="shared" si="0"/>
        <v>2110</v>
      </c>
      <c r="F14" s="274">
        <f t="shared" si="31"/>
        <v>56</v>
      </c>
      <c r="G14" s="275">
        <f>(E14/'Finance Only'!B17)*100</f>
        <v>9.0340811782839516</v>
      </c>
      <c r="H14" s="287">
        <f t="shared" si="84"/>
        <v>22920025</v>
      </c>
      <c r="I14" s="260">
        <v>22923594</v>
      </c>
      <c r="J14" s="260">
        <f t="shared" si="32"/>
        <v>3569</v>
      </c>
      <c r="K14" s="288">
        <f t="shared" si="33"/>
        <v>80</v>
      </c>
      <c r="L14" s="289">
        <f>(J14/'Finance Only'!B17)*100</f>
        <v>15.280870011988354</v>
      </c>
      <c r="M14" s="270">
        <f t="shared" si="34"/>
        <v>86422303</v>
      </c>
      <c r="N14" s="262">
        <v>86434785</v>
      </c>
      <c r="O14" s="263">
        <f t="shared" si="1"/>
        <v>12482</v>
      </c>
      <c r="P14" s="278">
        <f t="shared" si="35"/>
        <v>-84</v>
      </c>
      <c r="Q14" s="279">
        <f>(O14/'Finance Only'!B17)*100</f>
        <v>53.442370268881653</v>
      </c>
      <c r="R14" s="269">
        <f t="shared" si="85"/>
        <v>21073</v>
      </c>
      <c r="S14" s="262">
        <v>21091</v>
      </c>
      <c r="T14" s="263">
        <f t="shared" si="2"/>
        <v>18</v>
      </c>
      <c r="U14" s="278">
        <f t="shared" si="36"/>
        <v>0</v>
      </c>
      <c r="V14" s="279">
        <f>(T14/'Finance Only'!B17)*100</f>
        <v>7.7067991094365476E-2</v>
      </c>
      <c r="W14" s="262">
        <f t="shared" si="86"/>
        <v>2852960</v>
      </c>
      <c r="X14" s="262">
        <v>2855320</v>
      </c>
      <c r="Y14" s="263">
        <f t="shared" si="3"/>
        <v>2360</v>
      </c>
      <c r="Z14" s="278">
        <f t="shared" si="37"/>
        <v>106</v>
      </c>
      <c r="AA14" s="279">
        <f>(Y14/'Finance Only'!B17)*100</f>
        <v>10.104469943483473</v>
      </c>
      <c r="AB14" s="262">
        <f t="shared" si="38"/>
        <v>17457</v>
      </c>
      <c r="AC14" s="262">
        <v>17473</v>
      </c>
      <c r="AD14" s="263">
        <f t="shared" si="4"/>
        <v>16</v>
      </c>
      <c r="AE14" s="278">
        <f t="shared" si="39"/>
        <v>-1</v>
      </c>
      <c r="AF14" s="279">
        <f>(AD14/'Finance Only'!B17)*100</f>
        <v>6.85048809727693E-2</v>
      </c>
      <c r="AG14" s="262">
        <f t="shared" si="87"/>
        <v>775276</v>
      </c>
      <c r="AH14" s="262">
        <v>775991</v>
      </c>
      <c r="AI14" s="263">
        <f t="shared" si="5"/>
        <v>715</v>
      </c>
      <c r="AJ14" s="278">
        <f t="shared" si="40"/>
        <v>208</v>
      </c>
      <c r="AK14" s="279">
        <f>(AI14/'Finance Only'!B17)*100</f>
        <v>3.0613118684706286</v>
      </c>
      <c r="AL14" s="262">
        <f t="shared" si="88"/>
        <v>80491</v>
      </c>
      <c r="AM14" s="262">
        <v>80549</v>
      </c>
      <c r="AN14" s="263">
        <f t="shared" si="6"/>
        <v>58</v>
      </c>
      <c r="AO14" s="278">
        <f t="shared" si="41"/>
        <v>2</v>
      </c>
      <c r="AP14" s="279">
        <f>(AN14/'Finance Only'!B17)*100</f>
        <v>0.24833019352628874</v>
      </c>
      <c r="AQ14" s="262">
        <f t="shared" si="89"/>
        <v>18209</v>
      </c>
      <c r="AR14" s="262">
        <v>18222</v>
      </c>
      <c r="AS14" s="263">
        <f t="shared" si="7"/>
        <v>13</v>
      </c>
      <c r="AT14" s="278">
        <f t="shared" si="42"/>
        <v>5</v>
      </c>
      <c r="AU14" s="279">
        <f>(AS14/'Finance Only'!B17)*100</f>
        <v>5.5660215790375063E-2</v>
      </c>
      <c r="AV14" s="262">
        <f t="shared" si="8"/>
        <v>523730</v>
      </c>
      <c r="AW14" s="262">
        <v>524060</v>
      </c>
      <c r="AX14" s="263">
        <f t="shared" si="9"/>
        <v>330</v>
      </c>
      <c r="AY14" s="278">
        <f t="shared" si="43"/>
        <v>-11</v>
      </c>
      <c r="AZ14" s="279">
        <f>(AX14/'Finance Only'!B17)*100</f>
        <v>1.412913170063367</v>
      </c>
      <c r="BA14" s="262">
        <f t="shared" si="10"/>
        <v>69435</v>
      </c>
      <c r="BB14" s="262">
        <v>69527</v>
      </c>
      <c r="BC14" s="263">
        <f t="shared" si="11"/>
        <v>92</v>
      </c>
      <c r="BD14" s="278">
        <f t="shared" si="44"/>
        <v>-2</v>
      </c>
      <c r="BE14" s="279">
        <f>(BC14/'Finance Only'!B17)*100</f>
        <v>0.39390306559342353</v>
      </c>
      <c r="BF14" s="262">
        <f t="shared" si="45"/>
        <v>79383</v>
      </c>
      <c r="BG14" s="262">
        <v>79461</v>
      </c>
      <c r="BH14" s="263">
        <f t="shared" si="12"/>
        <v>78</v>
      </c>
      <c r="BI14" s="278">
        <f t="shared" si="46"/>
        <v>-5</v>
      </c>
      <c r="BJ14" s="279">
        <f>(BH14/'Finance Only'!B17)*100</f>
        <v>0.33396129474225039</v>
      </c>
      <c r="BK14" s="262">
        <f t="shared" si="47"/>
        <v>12377</v>
      </c>
      <c r="BL14" s="262">
        <v>12390</v>
      </c>
      <c r="BM14" s="263">
        <f t="shared" si="13"/>
        <v>13</v>
      </c>
      <c r="BN14" s="278">
        <f t="shared" si="48"/>
        <v>-2</v>
      </c>
      <c r="BO14" s="279">
        <f>(BM14/'Finance Only'!B17)*100</f>
        <v>5.5660215790375063E-2</v>
      </c>
      <c r="BP14" s="262">
        <f t="shared" si="49"/>
        <v>71506</v>
      </c>
      <c r="BQ14" s="262">
        <v>71643</v>
      </c>
      <c r="BR14" s="263">
        <f t="shared" si="14"/>
        <v>137</v>
      </c>
      <c r="BS14" s="278">
        <f t="shared" si="50"/>
        <v>-33</v>
      </c>
      <c r="BT14" s="279">
        <f>(BR14/'Finance Only'!B17)*100</f>
        <v>0.58657304332933724</v>
      </c>
      <c r="BU14" s="262">
        <f t="shared" si="51"/>
        <v>38873</v>
      </c>
      <c r="BV14" s="262">
        <v>38910</v>
      </c>
      <c r="BW14" s="263">
        <f t="shared" si="15"/>
        <v>37</v>
      </c>
      <c r="BX14" s="278">
        <f t="shared" si="52"/>
        <v>-2</v>
      </c>
      <c r="BY14" s="279">
        <f>(BW14/'Finance Only'!B17)*100</f>
        <v>0.15841753724952903</v>
      </c>
      <c r="BZ14" s="262">
        <f t="shared" si="53"/>
        <v>54257</v>
      </c>
      <c r="CA14" s="262">
        <v>54367</v>
      </c>
      <c r="CB14" s="263">
        <f t="shared" si="16"/>
        <v>110</v>
      </c>
      <c r="CC14" s="278">
        <f t="shared" si="54"/>
        <v>2</v>
      </c>
      <c r="CD14" s="279">
        <f>(CB14/'Finance Only'!B17)*100</f>
        <v>0.47097105668778899</v>
      </c>
      <c r="CE14" s="262">
        <f t="shared" si="55"/>
        <v>16217</v>
      </c>
      <c r="CF14" s="262">
        <v>16252</v>
      </c>
      <c r="CG14" s="263">
        <f t="shared" si="17"/>
        <v>35</v>
      </c>
      <c r="CH14" s="278">
        <f t="shared" si="56"/>
        <v>0</v>
      </c>
      <c r="CI14" s="279">
        <f>(CG14/'Finance Only'!B17)*100</f>
        <v>0.14985442712793287</v>
      </c>
      <c r="CJ14" s="263">
        <f t="shared" si="57"/>
        <v>37075</v>
      </c>
      <c r="CK14" s="263">
        <v>37149</v>
      </c>
      <c r="CL14" s="263">
        <f t="shared" si="58"/>
        <v>74</v>
      </c>
      <c r="CM14" s="278">
        <f t="shared" si="59"/>
        <v>-12</v>
      </c>
      <c r="CN14" s="279">
        <f>(CL14/'Finance Only'!B17)*100</f>
        <v>0.31683507449905807</v>
      </c>
      <c r="CO14" s="262">
        <f t="shared" si="60"/>
        <v>29487</v>
      </c>
      <c r="CP14" s="262">
        <v>29535</v>
      </c>
      <c r="CQ14" s="264">
        <f t="shared" si="18"/>
        <v>48</v>
      </c>
      <c r="CR14" s="278">
        <f t="shared" si="61"/>
        <v>1</v>
      </c>
      <c r="CS14" s="279">
        <f>(CQ14/'Finance Only'!B17)*100</f>
        <v>0.20551464291830793</v>
      </c>
      <c r="CT14" s="262">
        <f t="shared" si="62"/>
        <v>25967</v>
      </c>
      <c r="CU14" s="262">
        <v>26012</v>
      </c>
      <c r="CV14" s="263">
        <f t="shared" si="19"/>
        <v>45</v>
      </c>
      <c r="CW14" s="278">
        <f t="shared" si="63"/>
        <v>4</v>
      </c>
      <c r="CX14" s="279">
        <f>(CV14/'Finance Only'!B17)*100</f>
        <v>0.19266997773591368</v>
      </c>
      <c r="CY14" s="262">
        <f t="shared" si="64"/>
        <v>43002</v>
      </c>
      <c r="CZ14" s="262">
        <v>43082</v>
      </c>
      <c r="DA14" s="263">
        <f t="shared" si="20"/>
        <v>80</v>
      </c>
      <c r="DB14" s="278">
        <f t="shared" si="65"/>
        <v>-3</v>
      </c>
      <c r="DC14" s="279">
        <f>(DA14/'Finance Only'!B17)*100</f>
        <v>0.34252440486384655</v>
      </c>
      <c r="DD14" s="262">
        <f t="shared" si="66"/>
        <v>32347</v>
      </c>
      <c r="DE14" s="262">
        <v>32411</v>
      </c>
      <c r="DF14" s="263">
        <f t="shared" si="21"/>
        <v>64</v>
      </c>
      <c r="DG14" s="278">
        <f t="shared" si="67"/>
        <v>-1</v>
      </c>
      <c r="DH14" s="279">
        <f>(DF14/'Finance Only'!B17)*100</f>
        <v>0.2740195238910772</v>
      </c>
      <c r="DI14" s="262">
        <f t="shared" si="68"/>
        <v>29936</v>
      </c>
      <c r="DJ14" s="262">
        <v>29992</v>
      </c>
      <c r="DK14" s="263">
        <f t="shared" si="22"/>
        <v>56</v>
      </c>
      <c r="DL14" s="278">
        <f t="shared" si="69"/>
        <v>-1</v>
      </c>
      <c r="DM14" s="279">
        <f>(DK14/'Finance Only'!B17)*100</f>
        <v>0.23976708340469258</v>
      </c>
      <c r="DN14" s="262">
        <f t="shared" si="70"/>
        <v>19975</v>
      </c>
      <c r="DO14" s="262">
        <v>20023</v>
      </c>
      <c r="DP14" s="263">
        <f t="shared" si="23"/>
        <v>48</v>
      </c>
      <c r="DQ14" s="278">
        <f t="shared" si="71"/>
        <v>-2</v>
      </c>
      <c r="DR14" s="279">
        <f>(DP14/'Finance Only'!B17)*100</f>
        <v>0.20551464291830793</v>
      </c>
      <c r="DS14" s="262">
        <f t="shared" si="72"/>
        <v>53475</v>
      </c>
      <c r="DT14" s="262">
        <v>53557</v>
      </c>
      <c r="DU14" s="263">
        <f t="shared" si="24"/>
        <v>82</v>
      </c>
      <c r="DV14" s="278">
        <f t="shared" si="73"/>
        <v>-9</v>
      </c>
      <c r="DW14" s="279">
        <f>(DU14/'Finance Only'!B17)*100</f>
        <v>0.35108751498544272</v>
      </c>
      <c r="DX14" s="262">
        <f t="shared" si="74"/>
        <v>36967</v>
      </c>
      <c r="DY14" s="262">
        <v>37028</v>
      </c>
      <c r="DZ14" s="263">
        <f t="shared" si="25"/>
        <v>61</v>
      </c>
      <c r="EA14" s="278">
        <f t="shared" si="75"/>
        <v>4</v>
      </c>
      <c r="EB14" s="279">
        <f>(DZ14/'Finance Only'!B17)*100</f>
        <v>0.26117485870868296</v>
      </c>
      <c r="EC14" s="262">
        <f t="shared" si="76"/>
        <v>11420</v>
      </c>
      <c r="ED14" s="262">
        <v>11440</v>
      </c>
      <c r="EE14" s="263">
        <f t="shared" si="26"/>
        <v>20</v>
      </c>
      <c r="EF14" s="278">
        <f t="shared" si="77"/>
        <v>-6</v>
      </c>
      <c r="EG14" s="279">
        <f>(EE14/'Finance Only'!B17)*100</f>
        <v>8.5631101215961639E-2</v>
      </c>
      <c r="EH14" s="262">
        <f t="shared" si="78"/>
        <v>10156</v>
      </c>
      <c r="EI14" s="262">
        <v>10156</v>
      </c>
      <c r="EJ14" s="263">
        <f t="shared" si="27"/>
        <v>0</v>
      </c>
      <c r="EK14" s="278">
        <f t="shared" si="79"/>
        <v>-53</v>
      </c>
      <c r="EL14" s="279">
        <f>(EJ14/'Finance Only'!B17)*100</f>
        <v>0</v>
      </c>
      <c r="EM14" s="262">
        <f t="shared" si="80"/>
        <v>20241</v>
      </c>
      <c r="EN14" s="262">
        <v>20281</v>
      </c>
      <c r="EO14" s="263">
        <f t="shared" si="28"/>
        <v>40</v>
      </c>
      <c r="EP14" s="278">
        <f t="shared" si="81"/>
        <v>-8</v>
      </c>
      <c r="EQ14" s="279">
        <f>(EO14/'Finance Only'!B17)*100</f>
        <v>0.17126220243192328</v>
      </c>
      <c r="ER14" s="262">
        <f t="shared" si="82"/>
        <v>41798</v>
      </c>
      <c r="ES14" s="262">
        <v>42054</v>
      </c>
      <c r="ET14" s="263">
        <f t="shared" si="29"/>
        <v>256</v>
      </c>
      <c r="EU14" s="278">
        <f t="shared" si="83"/>
        <v>35</v>
      </c>
      <c r="EV14" s="279">
        <f>(ET14/'Finance Only'!B17)*100</f>
        <v>1.0960780955643088</v>
      </c>
    </row>
    <row r="15" spans="1:152" s="3" customFormat="1" ht="13.5" customHeight="1" x14ac:dyDescent="0.2">
      <c r="A15" s="325">
        <v>11</v>
      </c>
      <c r="B15" s="331">
        <f>'Finance Only'!G18</f>
        <v>11.7</v>
      </c>
      <c r="C15" s="323">
        <f t="shared" si="30"/>
        <v>25748286</v>
      </c>
      <c r="D15" s="260">
        <v>25750518</v>
      </c>
      <c r="E15" s="261">
        <f t="shared" si="0"/>
        <v>2232</v>
      </c>
      <c r="F15" s="274">
        <f t="shared" si="31"/>
        <v>122</v>
      </c>
      <c r="G15" s="275">
        <f>(E15/'Finance Only'!B18)*100</f>
        <v>9.5679012345679002</v>
      </c>
      <c r="H15" s="287">
        <f t="shared" si="84"/>
        <v>22923594</v>
      </c>
      <c r="I15" s="260">
        <v>22927521</v>
      </c>
      <c r="J15" s="260">
        <f t="shared" si="32"/>
        <v>3927</v>
      </c>
      <c r="K15" s="288">
        <f t="shared" si="33"/>
        <v>358</v>
      </c>
      <c r="L15" s="289">
        <f>(J15/'Finance Only'!B18)*100</f>
        <v>16.833847736625515</v>
      </c>
      <c r="M15" s="270">
        <f t="shared" si="34"/>
        <v>86434785</v>
      </c>
      <c r="N15" s="262">
        <v>86447205</v>
      </c>
      <c r="O15" s="263">
        <f t="shared" si="1"/>
        <v>12420</v>
      </c>
      <c r="P15" s="278">
        <f t="shared" si="35"/>
        <v>-62</v>
      </c>
      <c r="Q15" s="279">
        <f>(O15/'Finance Only'!B18)*100</f>
        <v>53.240740740740748</v>
      </c>
      <c r="R15" s="269">
        <f t="shared" si="85"/>
        <v>21091</v>
      </c>
      <c r="S15" s="262">
        <v>21110</v>
      </c>
      <c r="T15" s="263">
        <f t="shared" si="2"/>
        <v>19</v>
      </c>
      <c r="U15" s="278">
        <f t="shared" si="36"/>
        <v>1</v>
      </c>
      <c r="V15" s="279">
        <f>(T15/'Finance Only'!B18)*100</f>
        <v>8.1447187928669409E-2</v>
      </c>
      <c r="W15" s="262">
        <f t="shared" si="86"/>
        <v>2855320</v>
      </c>
      <c r="X15" s="262">
        <v>2857843</v>
      </c>
      <c r="Y15" s="263">
        <f t="shared" si="3"/>
        <v>2523</v>
      </c>
      <c r="Z15" s="278">
        <f t="shared" si="37"/>
        <v>163</v>
      </c>
      <c r="AA15" s="279">
        <f>(Y15/'Finance Only'!B18)*100</f>
        <v>10.815329218106996</v>
      </c>
      <c r="AB15" s="262">
        <f t="shared" si="38"/>
        <v>17473</v>
      </c>
      <c r="AC15" s="262">
        <v>17488</v>
      </c>
      <c r="AD15" s="263">
        <f t="shared" si="4"/>
        <v>15</v>
      </c>
      <c r="AE15" s="278">
        <f t="shared" si="39"/>
        <v>-1</v>
      </c>
      <c r="AF15" s="279">
        <f>(AD15/'Finance Only'!B18)*100</f>
        <v>6.4300411522633744E-2</v>
      </c>
      <c r="AG15" s="262">
        <f t="shared" si="87"/>
        <v>775991</v>
      </c>
      <c r="AH15" s="262">
        <v>776632</v>
      </c>
      <c r="AI15" s="263">
        <f t="shared" si="5"/>
        <v>641</v>
      </c>
      <c r="AJ15" s="278">
        <f t="shared" si="40"/>
        <v>-74</v>
      </c>
      <c r="AK15" s="279">
        <f>(AI15/'Finance Only'!B18)*100</f>
        <v>2.7477709190672153</v>
      </c>
      <c r="AL15" s="262">
        <f t="shared" si="88"/>
        <v>80549</v>
      </c>
      <c r="AM15" s="262">
        <v>80611</v>
      </c>
      <c r="AN15" s="263">
        <f t="shared" si="6"/>
        <v>62</v>
      </c>
      <c r="AO15" s="278">
        <f t="shared" si="41"/>
        <v>4</v>
      </c>
      <c r="AP15" s="279">
        <f>(AN15/'Finance Only'!B18)*100</f>
        <v>0.26577503429355281</v>
      </c>
      <c r="AQ15" s="262">
        <f t="shared" si="89"/>
        <v>18222</v>
      </c>
      <c r="AR15" s="262">
        <v>18229</v>
      </c>
      <c r="AS15" s="263">
        <f t="shared" si="7"/>
        <v>7</v>
      </c>
      <c r="AT15" s="278">
        <f t="shared" si="42"/>
        <v>-6</v>
      </c>
      <c r="AU15" s="279">
        <f>(AS15/'Finance Only'!B18)*100</f>
        <v>3.0006858710562415E-2</v>
      </c>
      <c r="AV15" s="262">
        <f t="shared" si="8"/>
        <v>524060</v>
      </c>
      <c r="AW15" s="262">
        <v>524444</v>
      </c>
      <c r="AX15" s="263">
        <f t="shared" si="9"/>
        <v>384</v>
      </c>
      <c r="AY15" s="278">
        <f t="shared" si="43"/>
        <v>54</v>
      </c>
      <c r="AZ15" s="279">
        <f>(AX15/'Finance Only'!B18)*100</f>
        <v>1.6460905349794239</v>
      </c>
      <c r="BA15" s="262">
        <f t="shared" si="10"/>
        <v>69527</v>
      </c>
      <c r="BB15" s="262">
        <v>69610</v>
      </c>
      <c r="BC15" s="263">
        <f t="shared" si="11"/>
        <v>83</v>
      </c>
      <c r="BD15" s="278">
        <f t="shared" si="44"/>
        <v>-9</v>
      </c>
      <c r="BE15" s="279">
        <f>(BC15/'Finance Only'!B18)*100</f>
        <v>0.35579561042524005</v>
      </c>
      <c r="BF15" s="262">
        <f t="shared" si="45"/>
        <v>79461</v>
      </c>
      <c r="BG15" s="262">
        <v>79538</v>
      </c>
      <c r="BH15" s="263">
        <f t="shared" si="12"/>
        <v>77</v>
      </c>
      <c r="BI15" s="278">
        <f t="shared" si="46"/>
        <v>-1</v>
      </c>
      <c r="BJ15" s="279">
        <f>(BH15/'Finance Only'!B18)*100</f>
        <v>0.33007544581618653</v>
      </c>
      <c r="BK15" s="262">
        <f t="shared" si="47"/>
        <v>12390</v>
      </c>
      <c r="BL15" s="262">
        <v>12402</v>
      </c>
      <c r="BM15" s="263">
        <f t="shared" si="13"/>
        <v>12</v>
      </c>
      <c r="BN15" s="278">
        <f t="shared" si="48"/>
        <v>-1</v>
      </c>
      <c r="BO15" s="279">
        <f>(BM15/'Finance Only'!B18)*100</f>
        <v>5.1440329218106998E-2</v>
      </c>
      <c r="BP15" s="262">
        <f t="shared" si="49"/>
        <v>71643</v>
      </c>
      <c r="BQ15" s="262">
        <v>71777</v>
      </c>
      <c r="BR15" s="263">
        <f t="shared" si="14"/>
        <v>134</v>
      </c>
      <c r="BS15" s="278">
        <f t="shared" si="50"/>
        <v>-3</v>
      </c>
      <c r="BT15" s="279">
        <f>(BR15/'Finance Only'!B18)*100</f>
        <v>0.57441700960219477</v>
      </c>
      <c r="BU15" s="262">
        <f t="shared" si="51"/>
        <v>38910</v>
      </c>
      <c r="BV15" s="262">
        <v>38943</v>
      </c>
      <c r="BW15" s="263">
        <f t="shared" si="15"/>
        <v>33</v>
      </c>
      <c r="BX15" s="278">
        <f t="shared" si="52"/>
        <v>-4</v>
      </c>
      <c r="BY15" s="279">
        <f>(BW15/'Finance Only'!B18)*100</f>
        <v>0.14146090534979425</v>
      </c>
      <c r="BZ15" s="262">
        <f t="shared" si="53"/>
        <v>54367</v>
      </c>
      <c r="CA15" s="262">
        <v>54479</v>
      </c>
      <c r="CB15" s="263">
        <f t="shared" si="16"/>
        <v>112</v>
      </c>
      <c r="CC15" s="278">
        <f t="shared" si="54"/>
        <v>2</v>
      </c>
      <c r="CD15" s="279">
        <f>(CB15/'Finance Only'!B18)*100</f>
        <v>0.48010973936899864</v>
      </c>
      <c r="CE15" s="262">
        <f t="shared" si="55"/>
        <v>16252</v>
      </c>
      <c r="CF15" s="262">
        <v>16297</v>
      </c>
      <c r="CG15" s="263">
        <f t="shared" si="17"/>
        <v>45</v>
      </c>
      <c r="CH15" s="278">
        <f t="shared" si="56"/>
        <v>10</v>
      </c>
      <c r="CI15" s="279">
        <f>(CG15/'Finance Only'!B18)*100</f>
        <v>0.19290123456790123</v>
      </c>
      <c r="CJ15" s="263">
        <f t="shared" si="57"/>
        <v>37149</v>
      </c>
      <c r="CK15" s="263">
        <v>37236</v>
      </c>
      <c r="CL15" s="263">
        <f t="shared" si="58"/>
        <v>87</v>
      </c>
      <c r="CM15" s="278">
        <f t="shared" si="59"/>
        <v>13</v>
      </c>
      <c r="CN15" s="279">
        <f>(CL15/'Finance Only'!B18)*100</f>
        <v>0.37294238683127573</v>
      </c>
      <c r="CO15" s="262">
        <f t="shared" si="60"/>
        <v>29535</v>
      </c>
      <c r="CP15" s="262">
        <v>29594</v>
      </c>
      <c r="CQ15" s="264">
        <f t="shared" si="18"/>
        <v>59</v>
      </c>
      <c r="CR15" s="278">
        <f t="shared" si="61"/>
        <v>11</v>
      </c>
      <c r="CS15" s="279">
        <f>(CQ15/'Finance Only'!B18)*100</f>
        <v>0.25291495198902608</v>
      </c>
      <c r="CT15" s="262">
        <f t="shared" si="62"/>
        <v>26012</v>
      </c>
      <c r="CU15" s="262">
        <v>26064</v>
      </c>
      <c r="CV15" s="263">
        <f t="shared" si="19"/>
        <v>52</v>
      </c>
      <c r="CW15" s="278">
        <f t="shared" si="63"/>
        <v>7</v>
      </c>
      <c r="CX15" s="279">
        <f>(CV15/'Finance Only'!B18)*100</f>
        <v>0.22290809327846364</v>
      </c>
      <c r="CY15" s="262">
        <f t="shared" si="64"/>
        <v>43082</v>
      </c>
      <c r="CZ15" s="262">
        <v>43180</v>
      </c>
      <c r="DA15" s="263">
        <f t="shared" si="20"/>
        <v>98</v>
      </c>
      <c r="DB15" s="278">
        <f t="shared" si="65"/>
        <v>18</v>
      </c>
      <c r="DC15" s="279">
        <f>(DA15/'Finance Only'!B18)*100</f>
        <v>0.42009602194787382</v>
      </c>
      <c r="DD15" s="262">
        <f t="shared" si="66"/>
        <v>32411</v>
      </c>
      <c r="DE15" s="262">
        <v>32505</v>
      </c>
      <c r="DF15" s="263">
        <f t="shared" si="21"/>
        <v>94</v>
      </c>
      <c r="DG15" s="278">
        <f t="shared" si="67"/>
        <v>30</v>
      </c>
      <c r="DH15" s="279">
        <f>(DF15/'Finance Only'!B18)*100</f>
        <v>0.40294924554183809</v>
      </c>
      <c r="DI15" s="262">
        <f t="shared" si="68"/>
        <v>29992</v>
      </c>
      <c r="DJ15" s="262">
        <v>30041</v>
      </c>
      <c r="DK15" s="263">
        <f t="shared" si="22"/>
        <v>49</v>
      </c>
      <c r="DL15" s="278">
        <f t="shared" si="69"/>
        <v>-7</v>
      </c>
      <c r="DM15" s="279">
        <f>(DK15/'Finance Only'!B18)*100</f>
        <v>0.21004801097393691</v>
      </c>
      <c r="DN15" s="262">
        <f t="shared" si="70"/>
        <v>20023</v>
      </c>
      <c r="DO15" s="262">
        <v>20069</v>
      </c>
      <c r="DP15" s="263">
        <f t="shared" si="23"/>
        <v>46</v>
      </c>
      <c r="DQ15" s="278">
        <f t="shared" si="71"/>
        <v>-2</v>
      </c>
      <c r="DR15" s="279">
        <f>(DP15/'Finance Only'!B18)*100</f>
        <v>0.19718792866941012</v>
      </c>
      <c r="DS15" s="262">
        <f t="shared" si="72"/>
        <v>53557</v>
      </c>
      <c r="DT15" s="262">
        <v>53640</v>
      </c>
      <c r="DU15" s="263">
        <f t="shared" si="24"/>
        <v>83</v>
      </c>
      <c r="DV15" s="278">
        <f t="shared" si="73"/>
        <v>1</v>
      </c>
      <c r="DW15" s="279">
        <f>(DU15/'Finance Only'!B18)*100</f>
        <v>0.35579561042524005</v>
      </c>
      <c r="DX15" s="262">
        <f t="shared" si="74"/>
        <v>37028</v>
      </c>
      <c r="DY15" s="262">
        <v>37089</v>
      </c>
      <c r="DZ15" s="263">
        <f t="shared" si="25"/>
        <v>61</v>
      </c>
      <c r="EA15" s="278">
        <f t="shared" si="75"/>
        <v>0</v>
      </c>
      <c r="EB15" s="279">
        <f>(DZ15/'Finance Only'!B18)*100</f>
        <v>0.26148834019204387</v>
      </c>
      <c r="EC15" s="262">
        <f t="shared" si="76"/>
        <v>11440</v>
      </c>
      <c r="ED15" s="262">
        <v>11461</v>
      </c>
      <c r="EE15" s="263">
        <f t="shared" si="26"/>
        <v>21</v>
      </c>
      <c r="EF15" s="278">
        <f t="shared" si="77"/>
        <v>1</v>
      </c>
      <c r="EG15" s="279">
        <f>(EE15/'Finance Only'!B18)*100</f>
        <v>9.0020576131687249E-2</v>
      </c>
      <c r="EH15" s="262">
        <f t="shared" si="78"/>
        <v>10156</v>
      </c>
      <c r="EI15" s="262">
        <v>10189</v>
      </c>
      <c r="EJ15" s="263">
        <f t="shared" si="27"/>
        <v>33</v>
      </c>
      <c r="EK15" s="278">
        <f t="shared" si="79"/>
        <v>33</v>
      </c>
      <c r="EL15" s="279">
        <f>(EJ15/'Finance Only'!B18)*100</f>
        <v>0.14146090534979425</v>
      </c>
      <c r="EM15" s="262">
        <f t="shared" si="80"/>
        <v>20281</v>
      </c>
      <c r="EN15" s="262">
        <v>20332</v>
      </c>
      <c r="EO15" s="263">
        <f t="shared" si="28"/>
        <v>51</v>
      </c>
      <c r="EP15" s="278">
        <f t="shared" si="81"/>
        <v>11</v>
      </c>
      <c r="EQ15" s="279">
        <f>(EO15/'Finance Only'!B18)*100</f>
        <v>0.21862139917695472</v>
      </c>
      <c r="ER15" s="262">
        <f t="shared" si="82"/>
        <v>42054</v>
      </c>
      <c r="ES15" s="262">
        <v>42380</v>
      </c>
      <c r="ET15" s="263">
        <f t="shared" si="29"/>
        <v>326</v>
      </c>
      <c r="EU15" s="278">
        <f t="shared" si="83"/>
        <v>70</v>
      </c>
      <c r="EV15" s="279">
        <f>(ET15/'Finance Only'!B18)*100</f>
        <v>1.3974622770919067</v>
      </c>
    </row>
    <row r="16" spans="1:152" s="3" customFormat="1" ht="13.5" customHeight="1" x14ac:dyDescent="0.2">
      <c r="A16" s="325">
        <v>12</v>
      </c>
      <c r="B16" s="331">
        <f>'Finance Only'!G19</f>
        <v>11.7</v>
      </c>
      <c r="C16" s="323">
        <f t="shared" si="30"/>
        <v>25750518</v>
      </c>
      <c r="D16" s="260">
        <v>25752871</v>
      </c>
      <c r="E16" s="261">
        <f t="shared" si="0"/>
        <v>2353</v>
      </c>
      <c r="F16" s="274">
        <f t="shared" si="31"/>
        <v>121</v>
      </c>
      <c r="G16" s="275">
        <f>(E16/'Finance Only'!B19)*100</f>
        <v>9.2260037641154327</v>
      </c>
      <c r="H16" s="287">
        <f t="shared" si="84"/>
        <v>22927521</v>
      </c>
      <c r="I16" s="260">
        <v>22931641</v>
      </c>
      <c r="J16" s="260">
        <f t="shared" si="32"/>
        <v>4120</v>
      </c>
      <c r="K16" s="288">
        <f t="shared" si="33"/>
        <v>193</v>
      </c>
      <c r="L16" s="289">
        <f>(J16/'Finance Only'!B19)*100</f>
        <v>16.154328732747807</v>
      </c>
      <c r="M16" s="270">
        <f t="shared" si="34"/>
        <v>86447205</v>
      </c>
      <c r="N16" s="262">
        <v>86460329</v>
      </c>
      <c r="O16" s="263">
        <f t="shared" si="1"/>
        <v>13124</v>
      </c>
      <c r="P16" s="278">
        <f t="shared" si="35"/>
        <v>704</v>
      </c>
      <c r="Q16" s="279">
        <f>(O16/'Finance Only'!B19)*100</f>
        <v>51.458594730238396</v>
      </c>
      <c r="R16" s="269">
        <f t="shared" si="85"/>
        <v>21110</v>
      </c>
      <c r="S16" s="262">
        <v>21130</v>
      </c>
      <c r="T16" s="263">
        <f t="shared" si="2"/>
        <v>20</v>
      </c>
      <c r="U16" s="278">
        <f t="shared" si="36"/>
        <v>1</v>
      </c>
      <c r="V16" s="279">
        <f>(T16/'Finance Only'!B19)*100</f>
        <v>7.8419071518193231E-2</v>
      </c>
      <c r="W16" s="262">
        <f t="shared" si="86"/>
        <v>2857843</v>
      </c>
      <c r="X16" s="262">
        <v>2860358</v>
      </c>
      <c r="Y16" s="263">
        <f t="shared" si="3"/>
        <v>2515</v>
      </c>
      <c r="Z16" s="278">
        <f t="shared" si="37"/>
        <v>-8</v>
      </c>
      <c r="AA16" s="279">
        <f>(Y16/'Finance Only'!B19)*100</f>
        <v>9.8611982434127992</v>
      </c>
      <c r="AB16" s="262">
        <f t="shared" si="38"/>
        <v>17488</v>
      </c>
      <c r="AC16" s="262">
        <v>17505</v>
      </c>
      <c r="AD16" s="263">
        <f t="shared" si="4"/>
        <v>17</v>
      </c>
      <c r="AE16" s="278">
        <f t="shared" si="39"/>
        <v>2</v>
      </c>
      <c r="AF16" s="279">
        <f>(AD16/'Finance Only'!B19)*100</f>
        <v>6.6656210790464243E-2</v>
      </c>
      <c r="AG16" s="262">
        <f t="shared" si="87"/>
        <v>776632</v>
      </c>
      <c r="AH16" s="262">
        <v>777298</v>
      </c>
      <c r="AI16" s="263">
        <f t="shared" si="5"/>
        <v>666</v>
      </c>
      <c r="AJ16" s="278">
        <f t="shared" si="40"/>
        <v>25</v>
      </c>
      <c r="AK16" s="279">
        <f>(AI16/'Finance Only'!B19)*100</f>
        <v>2.6113550815558342</v>
      </c>
      <c r="AL16" s="262">
        <f t="shared" si="88"/>
        <v>80611</v>
      </c>
      <c r="AM16" s="262">
        <v>80676</v>
      </c>
      <c r="AN16" s="263">
        <f t="shared" si="6"/>
        <v>65</v>
      </c>
      <c r="AO16" s="278">
        <f t="shared" si="41"/>
        <v>3</v>
      </c>
      <c r="AP16" s="279">
        <f>(AN16/'Finance Only'!B19)*100</f>
        <v>0.254861982434128</v>
      </c>
      <c r="AQ16" s="262">
        <f t="shared" si="89"/>
        <v>18229</v>
      </c>
      <c r="AR16" s="262">
        <v>18246</v>
      </c>
      <c r="AS16" s="263">
        <f t="shared" si="7"/>
        <v>17</v>
      </c>
      <c r="AT16" s="278">
        <f t="shared" si="42"/>
        <v>10</v>
      </c>
      <c r="AU16" s="279">
        <f>(AS16/'Finance Only'!B19)*100</f>
        <v>6.6656210790464243E-2</v>
      </c>
      <c r="AV16" s="262">
        <f t="shared" si="8"/>
        <v>524444</v>
      </c>
      <c r="AW16" s="262">
        <v>524829</v>
      </c>
      <c r="AX16" s="263">
        <f t="shared" si="9"/>
        <v>385</v>
      </c>
      <c r="AY16" s="278">
        <f t="shared" si="43"/>
        <v>1</v>
      </c>
      <c r="AZ16" s="279">
        <f>(AX16/'Finance Only'!B19)*100</f>
        <v>1.5095671267252195</v>
      </c>
      <c r="BA16" s="262">
        <f t="shared" si="10"/>
        <v>69610</v>
      </c>
      <c r="BB16" s="262">
        <v>69692</v>
      </c>
      <c r="BC16" s="263">
        <f t="shared" si="11"/>
        <v>82</v>
      </c>
      <c r="BD16" s="278">
        <f t="shared" si="44"/>
        <v>-1</v>
      </c>
      <c r="BE16" s="279">
        <f>(BC16/'Finance Only'!B19)*100</f>
        <v>0.32151819322459219</v>
      </c>
      <c r="BF16" s="262">
        <f t="shared" si="45"/>
        <v>79538</v>
      </c>
      <c r="BG16" s="262">
        <v>79618</v>
      </c>
      <c r="BH16" s="263">
        <f t="shared" si="12"/>
        <v>80</v>
      </c>
      <c r="BI16" s="278">
        <f t="shared" si="46"/>
        <v>3</v>
      </c>
      <c r="BJ16" s="279">
        <f>(BH16/'Finance Only'!B19)*100</f>
        <v>0.31367628607277293</v>
      </c>
      <c r="BK16" s="262">
        <f t="shared" si="47"/>
        <v>12402</v>
      </c>
      <c r="BL16" s="262">
        <v>12416</v>
      </c>
      <c r="BM16" s="263">
        <f t="shared" si="13"/>
        <v>14</v>
      </c>
      <c r="BN16" s="278">
        <f t="shared" si="48"/>
        <v>2</v>
      </c>
      <c r="BO16" s="279">
        <f>(BM16/'Finance Only'!B19)*100</f>
        <v>5.4893350062735255E-2</v>
      </c>
      <c r="BP16" s="262">
        <f t="shared" si="49"/>
        <v>71777</v>
      </c>
      <c r="BQ16" s="262">
        <v>71922</v>
      </c>
      <c r="BR16" s="263">
        <f t="shared" si="14"/>
        <v>145</v>
      </c>
      <c r="BS16" s="278">
        <f t="shared" si="50"/>
        <v>11</v>
      </c>
      <c r="BT16" s="279">
        <f>(BR16/'Finance Only'!B19)*100</f>
        <v>0.56853826850690081</v>
      </c>
      <c r="BU16" s="262">
        <f t="shared" si="51"/>
        <v>38943</v>
      </c>
      <c r="BV16" s="262">
        <v>38976</v>
      </c>
      <c r="BW16" s="263">
        <f t="shared" si="15"/>
        <v>33</v>
      </c>
      <c r="BX16" s="278">
        <f t="shared" si="52"/>
        <v>0</v>
      </c>
      <c r="BY16" s="279">
        <f>(BW16/'Finance Only'!B19)*100</f>
        <v>0.12939146800501883</v>
      </c>
      <c r="BZ16" s="262">
        <f t="shared" si="53"/>
        <v>54479</v>
      </c>
      <c r="CA16" s="262">
        <v>54594</v>
      </c>
      <c r="CB16" s="263">
        <f t="shared" si="16"/>
        <v>115</v>
      </c>
      <c r="CC16" s="278">
        <f t="shared" si="54"/>
        <v>3</v>
      </c>
      <c r="CD16" s="279">
        <f>(CB16/'Finance Only'!B19)*100</f>
        <v>0.45090966122961101</v>
      </c>
      <c r="CE16" s="262">
        <f t="shared" si="55"/>
        <v>16297</v>
      </c>
      <c r="CF16" s="262">
        <v>16334</v>
      </c>
      <c r="CG16" s="263">
        <f t="shared" si="17"/>
        <v>37</v>
      </c>
      <c r="CH16" s="278">
        <f t="shared" si="56"/>
        <v>-8</v>
      </c>
      <c r="CI16" s="279">
        <f>(CG16/'Finance Only'!B19)*100</f>
        <v>0.14507528230865746</v>
      </c>
      <c r="CJ16" s="263">
        <f t="shared" si="57"/>
        <v>37236</v>
      </c>
      <c r="CK16" s="263">
        <v>37334</v>
      </c>
      <c r="CL16" s="263">
        <f t="shared" si="58"/>
        <v>98</v>
      </c>
      <c r="CM16" s="278">
        <f t="shared" si="59"/>
        <v>11</v>
      </c>
      <c r="CN16" s="279">
        <f>(CL16/'Finance Only'!B19)*100</f>
        <v>0.38425345043914683</v>
      </c>
      <c r="CO16" s="262">
        <f t="shared" si="60"/>
        <v>29594</v>
      </c>
      <c r="CP16" s="262">
        <v>29653</v>
      </c>
      <c r="CQ16" s="264">
        <f t="shared" si="18"/>
        <v>59</v>
      </c>
      <c r="CR16" s="278">
        <f t="shared" si="61"/>
        <v>0</v>
      </c>
      <c r="CS16" s="279">
        <f>(CQ16/'Finance Only'!B19)*100</f>
        <v>0.23133626097867002</v>
      </c>
      <c r="CT16" s="262">
        <f t="shared" si="62"/>
        <v>26064</v>
      </c>
      <c r="CU16" s="262">
        <v>26116</v>
      </c>
      <c r="CV16" s="263">
        <f t="shared" si="19"/>
        <v>52</v>
      </c>
      <c r="CW16" s="278">
        <f t="shared" si="63"/>
        <v>0</v>
      </c>
      <c r="CX16" s="279">
        <f>(CV16/'Finance Only'!B19)*100</f>
        <v>0.20388958594730239</v>
      </c>
      <c r="CY16" s="262">
        <f t="shared" si="64"/>
        <v>43180</v>
      </c>
      <c r="CZ16" s="262">
        <v>43295</v>
      </c>
      <c r="DA16" s="263">
        <f t="shared" si="20"/>
        <v>115</v>
      </c>
      <c r="DB16" s="278">
        <f t="shared" si="65"/>
        <v>17</v>
      </c>
      <c r="DC16" s="279">
        <f>(DA16/'Finance Only'!B19)*100</f>
        <v>0.45090966122961101</v>
      </c>
      <c r="DD16" s="262">
        <f t="shared" si="66"/>
        <v>32505</v>
      </c>
      <c r="DE16" s="262">
        <v>32603</v>
      </c>
      <c r="DF16" s="263">
        <f t="shared" si="21"/>
        <v>98</v>
      </c>
      <c r="DG16" s="278">
        <f t="shared" si="67"/>
        <v>4</v>
      </c>
      <c r="DH16" s="279">
        <f>(DF16/'Finance Only'!B19)*100</f>
        <v>0.38425345043914683</v>
      </c>
      <c r="DI16" s="262">
        <f t="shared" si="68"/>
        <v>30041</v>
      </c>
      <c r="DJ16" s="262">
        <v>30093</v>
      </c>
      <c r="DK16" s="263">
        <f t="shared" si="22"/>
        <v>52</v>
      </c>
      <c r="DL16" s="278">
        <f t="shared" si="69"/>
        <v>3</v>
      </c>
      <c r="DM16" s="279">
        <f>(DK16/'Finance Only'!B19)*100</f>
        <v>0.20388958594730239</v>
      </c>
      <c r="DN16" s="262">
        <f t="shared" si="70"/>
        <v>20069</v>
      </c>
      <c r="DO16" s="262">
        <v>20116</v>
      </c>
      <c r="DP16" s="263">
        <f t="shared" si="23"/>
        <v>47</v>
      </c>
      <c r="DQ16" s="278">
        <f t="shared" si="71"/>
        <v>1</v>
      </c>
      <c r="DR16" s="279">
        <f>(DP16/'Finance Only'!B19)*100</f>
        <v>0.1842848180677541</v>
      </c>
      <c r="DS16" s="262">
        <f t="shared" si="72"/>
        <v>53640</v>
      </c>
      <c r="DT16" s="262">
        <v>53743</v>
      </c>
      <c r="DU16" s="263">
        <f t="shared" si="24"/>
        <v>103</v>
      </c>
      <c r="DV16" s="278">
        <f t="shared" si="73"/>
        <v>20</v>
      </c>
      <c r="DW16" s="279">
        <f>(DU16/'Finance Only'!B19)*100</f>
        <v>0.40385821831869517</v>
      </c>
      <c r="DX16" s="262">
        <f t="shared" si="74"/>
        <v>37089</v>
      </c>
      <c r="DY16" s="262">
        <v>37153</v>
      </c>
      <c r="DZ16" s="263">
        <f t="shared" si="25"/>
        <v>64</v>
      </c>
      <c r="EA16" s="278">
        <f t="shared" si="75"/>
        <v>3</v>
      </c>
      <c r="EB16" s="279">
        <f>(DZ16/'Finance Only'!B19)*100</f>
        <v>0.25094102885821828</v>
      </c>
      <c r="EC16" s="262">
        <f t="shared" si="76"/>
        <v>11461</v>
      </c>
      <c r="ED16" s="262">
        <v>11483</v>
      </c>
      <c r="EE16" s="263">
        <f t="shared" si="26"/>
        <v>22</v>
      </c>
      <c r="EF16" s="278">
        <f t="shared" si="77"/>
        <v>1</v>
      </c>
      <c r="EG16" s="279">
        <f>(EE16/'Finance Only'!B19)*100</f>
        <v>8.6260978670012547E-2</v>
      </c>
      <c r="EH16" s="262">
        <f t="shared" si="78"/>
        <v>10189</v>
      </c>
      <c r="EI16" s="262">
        <v>10224</v>
      </c>
      <c r="EJ16" s="263">
        <f t="shared" si="27"/>
        <v>35</v>
      </c>
      <c r="EK16" s="278">
        <f t="shared" si="79"/>
        <v>2</v>
      </c>
      <c r="EL16" s="279">
        <f>(EJ16/'Finance Only'!B19)*100</f>
        <v>0.13723337515683814</v>
      </c>
      <c r="EM16" s="262">
        <f t="shared" si="80"/>
        <v>20332</v>
      </c>
      <c r="EN16" s="262">
        <v>20373</v>
      </c>
      <c r="EO16" s="263">
        <f t="shared" si="28"/>
        <v>41</v>
      </c>
      <c r="EP16" s="278">
        <f t="shared" si="81"/>
        <v>-10</v>
      </c>
      <c r="EQ16" s="279">
        <f>(EO16/'Finance Only'!B19)*100</f>
        <v>0.16075909661229609</v>
      </c>
      <c r="ER16" s="262">
        <f t="shared" si="82"/>
        <v>42380</v>
      </c>
      <c r="ES16" s="262">
        <v>42749</v>
      </c>
      <c r="ET16" s="263">
        <f t="shared" si="29"/>
        <v>369</v>
      </c>
      <c r="EU16" s="278">
        <f t="shared" si="83"/>
        <v>43</v>
      </c>
      <c r="EV16" s="279">
        <f>(ET16/'Finance Only'!B19)*100</f>
        <v>1.446831869510665</v>
      </c>
    </row>
    <row r="17" spans="1:1086" s="3" customFormat="1" ht="13.5" customHeight="1" x14ac:dyDescent="0.2">
      <c r="A17" s="325">
        <v>13</v>
      </c>
      <c r="B17" s="331">
        <f>'Finance Only'!G20</f>
        <v>12.6</v>
      </c>
      <c r="C17" s="323">
        <f t="shared" si="30"/>
        <v>25752871</v>
      </c>
      <c r="D17" s="260">
        <v>25755148</v>
      </c>
      <c r="E17" s="261">
        <f t="shared" si="0"/>
        <v>2277</v>
      </c>
      <c r="F17" s="274">
        <f t="shared" si="31"/>
        <v>-76</v>
      </c>
      <c r="G17" s="275">
        <f>(E17/'Finance Only'!B20)*100</f>
        <v>9.2410714285714288</v>
      </c>
      <c r="H17" s="287">
        <f t="shared" si="84"/>
        <v>22931641</v>
      </c>
      <c r="I17" s="260">
        <v>22935562</v>
      </c>
      <c r="J17" s="260">
        <f t="shared" si="32"/>
        <v>3921</v>
      </c>
      <c r="K17" s="288">
        <f t="shared" si="33"/>
        <v>-199</v>
      </c>
      <c r="L17" s="289">
        <f>(J17/'Finance Only'!B20)*100</f>
        <v>15.91314935064935</v>
      </c>
      <c r="M17" s="270">
        <f t="shared" si="34"/>
        <v>86460329</v>
      </c>
      <c r="N17" s="262">
        <v>86473694</v>
      </c>
      <c r="O17" s="263">
        <f t="shared" si="1"/>
        <v>13365</v>
      </c>
      <c r="P17" s="278">
        <f t="shared" si="35"/>
        <v>241</v>
      </c>
      <c r="Q17" s="279">
        <f>(O17/'Finance Only'!B20)*100</f>
        <v>54.241071428571431</v>
      </c>
      <c r="R17" s="269">
        <f t="shared" si="85"/>
        <v>21130</v>
      </c>
      <c r="S17" s="262">
        <v>21150</v>
      </c>
      <c r="T17" s="263">
        <f t="shared" si="2"/>
        <v>20</v>
      </c>
      <c r="U17" s="278">
        <f t="shared" si="36"/>
        <v>0</v>
      </c>
      <c r="V17" s="279">
        <f>(T17/'Finance Only'!B20)*100</f>
        <v>8.1168831168831168E-2</v>
      </c>
      <c r="W17" s="262">
        <f t="shared" si="86"/>
        <v>2860358</v>
      </c>
      <c r="X17" s="262">
        <v>2863002</v>
      </c>
      <c r="Y17" s="263">
        <f t="shared" si="3"/>
        <v>2644</v>
      </c>
      <c r="Z17" s="278">
        <f t="shared" si="37"/>
        <v>129</v>
      </c>
      <c r="AA17" s="279">
        <f>(Y17/'Finance Only'!B20)*100</f>
        <v>10.730519480519481</v>
      </c>
      <c r="AB17" s="262">
        <f t="shared" si="38"/>
        <v>17505</v>
      </c>
      <c r="AC17" s="262">
        <v>17522</v>
      </c>
      <c r="AD17" s="263">
        <f t="shared" si="4"/>
        <v>17</v>
      </c>
      <c r="AE17" s="278">
        <f t="shared" si="39"/>
        <v>0</v>
      </c>
      <c r="AF17" s="279">
        <f>(AD17/'Finance Only'!B20)*100</f>
        <v>6.8993506493506496E-2</v>
      </c>
      <c r="AG17" s="262">
        <f t="shared" si="87"/>
        <v>777298</v>
      </c>
      <c r="AH17" s="262">
        <v>777958</v>
      </c>
      <c r="AI17" s="263">
        <f t="shared" si="5"/>
        <v>660</v>
      </c>
      <c r="AJ17" s="278">
        <f t="shared" si="40"/>
        <v>-6</v>
      </c>
      <c r="AK17" s="279">
        <f>(AI17/'Finance Only'!B20)*100</f>
        <v>2.6785714285714284</v>
      </c>
      <c r="AL17" s="262">
        <f t="shared" si="88"/>
        <v>80676</v>
      </c>
      <c r="AM17" s="262">
        <v>80742</v>
      </c>
      <c r="AN17" s="263">
        <f t="shared" si="6"/>
        <v>66</v>
      </c>
      <c r="AO17" s="278">
        <f t="shared" si="41"/>
        <v>1</v>
      </c>
      <c r="AP17" s="279">
        <f>(AN17/'Finance Only'!B20)*100</f>
        <v>0.26785714285714285</v>
      </c>
      <c r="AQ17" s="262">
        <f t="shared" si="89"/>
        <v>18246</v>
      </c>
      <c r="AR17" s="262">
        <v>18252</v>
      </c>
      <c r="AS17" s="263">
        <f t="shared" si="7"/>
        <v>6</v>
      </c>
      <c r="AT17" s="278">
        <f t="shared" si="42"/>
        <v>-11</v>
      </c>
      <c r="AU17" s="279">
        <f>(AS17/'Finance Only'!B20)*100</f>
        <v>2.4350649350649352E-2</v>
      </c>
      <c r="AV17" s="262">
        <f t="shared" si="8"/>
        <v>524829</v>
      </c>
      <c r="AW17" s="262">
        <v>525224</v>
      </c>
      <c r="AX17" s="263">
        <f t="shared" si="9"/>
        <v>395</v>
      </c>
      <c r="AY17" s="278">
        <f t="shared" si="43"/>
        <v>10</v>
      </c>
      <c r="AZ17" s="279">
        <f>(AX17/'Finance Only'!B20)*100</f>
        <v>1.6030844155844155</v>
      </c>
      <c r="BA17" s="262">
        <f t="shared" si="10"/>
        <v>69692</v>
      </c>
      <c r="BB17" s="262">
        <v>69781</v>
      </c>
      <c r="BC17" s="263">
        <f t="shared" si="11"/>
        <v>89</v>
      </c>
      <c r="BD17" s="278">
        <f t="shared" si="44"/>
        <v>7</v>
      </c>
      <c r="BE17" s="279">
        <f>(BC17/'Finance Only'!B20)*100</f>
        <v>0.36120129870129869</v>
      </c>
      <c r="BF17" s="262">
        <f t="shared" si="45"/>
        <v>79618</v>
      </c>
      <c r="BG17" s="262">
        <v>79699</v>
      </c>
      <c r="BH17" s="263">
        <f t="shared" si="12"/>
        <v>81</v>
      </c>
      <c r="BI17" s="278">
        <f t="shared" si="46"/>
        <v>1</v>
      </c>
      <c r="BJ17" s="279">
        <f>(BH17/'Finance Only'!B20)*100</f>
        <v>0.32873376623376621</v>
      </c>
      <c r="BK17" s="262">
        <f t="shared" si="47"/>
        <v>12416</v>
      </c>
      <c r="BL17" s="262">
        <v>12430</v>
      </c>
      <c r="BM17" s="263">
        <f t="shared" si="13"/>
        <v>14</v>
      </c>
      <c r="BN17" s="278">
        <f t="shared" si="48"/>
        <v>0</v>
      </c>
      <c r="BO17" s="279">
        <f>(BM17/'Finance Only'!B20)*100</f>
        <v>5.6818181818181816E-2</v>
      </c>
      <c r="BP17" s="262">
        <f t="shared" si="49"/>
        <v>71922</v>
      </c>
      <c r="BQ17" s="262">
        <v>72070</v>
      </c>
      <c r="BR17" s="263">
        <f t="shared" si="14"/>
        <v>148</v>
      </c>
      <c r="BS17" s="278">
        <f t="shared" si="50"/>
        <v>3</v>
      </c>
      <c r="BT17" s="279">
        <f>(BR17/'Finance Only'!B20)*100</f>
        <v>0.60064935064935066</v>
      </c>
      <c r="BU17" s="262">
        <f t="shared" si="51"/>
        <v>38976</v>
      </c>
      <c r="BV17" s="262">
        <v>39009</v>
      </c>
      <c r="BW17" s="263">
        <f t="shared" si="15"/>
        <v>33</v>
      </c>
      <c r="BX17" s="278">
        <f t="shared" si="52"/>
        <v>0</v>
      </c>
      <c r="BY17" s="279">
        <f>(BW17/'Finance Only'!B20)*100</f>
        <v>0.13392857142857142</v>
      </c>
      <c r="BZ17" s="262">
        <f t="shared" si="53"/>
        <v>54594</v>
      </c>
      <c r="CA17" s="262">
        <v>54709</v>
      </c>
      <c r="CB17" s="263">
        <f t="shared" si="16"/>
        <v>115</v>
      </c>
      <c r="CC17" s="278">
        <f t="shared" si="54"/>
        <v>0</v>
      </c>
      <c r="CD17" s="279">
        <f>(CB17/'Finance Only'!B20)*100</f>
        <v>0.4667207792207792</v>
      </c>
      <c r="CE17" s="262">
        <f t="shared" si="55"/>
        <v>16334</v>
      </c>
      <c r="CF17" s="262">
        <v>16379</v>
      </c>
      <c r="CG17" s="263">
        <f t="shared" si="17"/>
        <v>45</v>
      </c>
      <c r="CH17" s="278">
        <f t="shared" si="56"/>
        <v>8</v>
      </c>
      <c r="CI17" s="279">
        <f>(CG17/'Finance Only'!B20)*100</f>
        <v>0.18262987012987011</v>
      </c>
      <c r="CJ17" s="263">
        <f t="shared" si="57"/>
        <v>37334</v>
      </c>
      <c r="CK17" s="263">
        <v>37334</v>
      </c>
      <c r="CL17" s="263">
        <f t="shared" si="58"/>
        <v>0</v>
      </c>
      <c r="CM17" s="278">
        <f t="shared" si="59"/>
        <v>-98</v>
      </c>
      <c r="CN17" s="279">
        <f>(CL17/'Finance Only'!B20)*100</f>
        <v>0</v>
      </c>
      <c r="CO17" s="262">
        <f t="shared" si="60"/>
        <v>29653</v>
      </c>
      <c r="CP17" s="262">
        <v>29653</v>
      </c>
      <c r="CQ17" s="264">
        <f t="shared" si="18"/>
        <v>0</v>
      </c>
      <c r="CR17" s="278">
        <f t="shared" si="61"/>
        <v>-59</v>
      </c>
      <c r="CS17" s="279">
        <f>(CQ17/'Finance Only'!B20)*100</f>
        <v>0</v>
      </c>
      <c r="CT17" s="262">
        <f t="shared" si="62"/>
        <v>26116</v>
      </c>
      <c r="CU17" s="262">
        <v>26116</v>
      </c>
      <c r="CV17" s="263">
        <f t="shared" si="19"/>
        <v>0</v>
      </c>
      <c r="CW17" s="278">
        <f t="shared" si="63"/>
        <v>-52</v>
      </c>
      <c r="CX17" s="279">
        <f>(CV17/'Finance Only'!B20)*100</f>
        <v>0</v>
      </c>
      <c r="CY17" s="262">
        <f t="shared" si="64"/>
        <v>43295</v>
      </c>
      <c r="CZ17" s="262">
        <v>43295</v>
      </c>
      <c r="DA17" s="263">
        <f t="shared" si="20"/>
        <v>0</v>
      </c>
      <c r="DB17" s="278">
        <f t="shared" si="65"/>
        <v>-115</v>
      </c>
      <c r="DC17" s="279">
        <f>(DA17/'Finance Only'!B20)*100</f>
        <v>0</v>
      </c>
      <c r="DD17" s="262">
        <f t="shared" si="66"/>
        <v>32603</v>
      </c>
      <c r="DE17" s="262">
        <v>32603</v>
      </c>
      <c r="DF17" s="263">
        <f t="shared" si="21"/>
        <v>0</v>
      </c>
      <c r="DG17" s="278">
        <f t="shared" si="67"/>
        <v>-98</v>
      </c>
      <c r="DH17" s="279">
        <f>(DF17/'Finance Only'!B20)*100</f>
        <v>0</v>
      </c>
      <c r="DI17" s="262">
        <f t="shared" si="68"/>
        <v>30093</v>
      </c>
      <c r="DJ17" s="262">
        <v>30093</v>
      </c>
      <c r="DK17" s="263">
        <f t="shared" si="22"/>
        <v>0</v>
      </c>
      <c r="DL17" s="278">
        <f t="shared" si="69"/>
        <v>-52</v>
      </c>
      <c r="DM17" s="279">
        <f>(DK17/'Finance Only'!B20)*100</f>
        <v>0</v>
      </c>
      <c r="DN17" s="262">
        <f t="shared" si="70"/>
        <v>20116</v>
      </c>
      <c r="DO17" s="262">
        <v>20116</v>
      </c>
      <c r="DP17" s="263">
        <f t="shared" si="23"/>
        <v>0</v>
      </c>
      <c r="DQ17" s="278">
        <f t="shared" si="71"/>
        <v>-47</v>
      </c>
      <c r="DR17" s="279">
        <f>(DP17/'Finance Only'!B20)*100</f>
        <v>0</v>
      </c>
      <c r="DS17" s="262">
        <f t="shared" si="72"/>
        <v>53743</v>
      </c>
      <c r="DT17" s="262">
        <v>53743</v>
      </c>
      <c r="DU17" s="263">
        <f t="shared" si="24"/>
        <v>0</v>
      </c>
      <c r="DV17" s="278">
        <f t="shared" si="73"/>
        <v>-103</v>
      </c>
      <c r="DW17" s="279">
        <f>(DU17/'Finance Only'!B20)*100</f>
        <v>0</v>
      </c>
      <c r="DX17" s="262">
        <f t="shared" si="74"/>
        <v>37153</v>
      </c>
      <c r="DY17" s="262">
        <v>37153</v>
      </c>
      <c r="DZ17" s="263">
        <f t="shared" si="25"/>
        <v>0</v>
      </c>
      <c r="EA17" s="278">
        <f t="shared" si="75"/>
        <v>-64</v>
      </c>
      <c r="EB17" s="279">
        <f>(DZ17/'Finance Only'!B20)*100</f>
        <v>0</v>
      </c>
      <c r="EC17" s="262">
        <f t="shared" si="76"/>
        <v>11483</v>
      </c>
      <c r="ED17" s="262">
        <v>11483</v>
      </c>
      <c r="EE17" s="263">
        <f t="shared" si="26"/>
        <v>0</v>
      </c>
      <c r="EF17" s="278">
        <f t="shared" si="77"/>
        <v>-22</v>
      </c>
      <c r="EG17" s="279">
        <f>(EE17/'Finance Only'!B20)*100</f>
        <v>0</v>
      </c>
      <c r="EH17" s="262">
        <f t="shared" si="78"/>
        <v>10224</v>
      </c>
      <c r="EI17" s="262">
        <v>10224</v>
      </c>
      <c r="EJ17" s="263">
        <f t="shared" si="27"/>
        <v>0</v>
      </c>
      <c r="EK17" s="278">
        <f t="shared" si="79"/>
        <v>-35</v>
      </c>
      <c r="EL17" s="279">
        <f>(EJ17/'Finance Only'!B20)*100</f>
        <v>0</v>
      </c>
      <c r="EM17" s="262">
        <f t="shared" si="80"/>
        <v>20373</v>
      </c>
      <c r="EN17" s="262">
        <v>20379</v>
      </c>
      <c r="EO17" s="263">
        <f t="shared" si="28"/>
        <v>6</v>
      </c>
      <c r="EP17" s="278">
        <f t="shared" si="81"/>
        <v>-35</v>
      </c>
      <c r="EQ17" s="279">
        <f>(EO17/'Finance Only'!B20)*100</f>
        <v>2.4350649350649352E-2</v>
      </c>
      <c r="ER17" s="262">
        <f t="shared" si="82"/>
        <v>42749</v>
      </c>
      <c r="ES17" s="262">
        <v>42749</v>
      </c>
      <c r="ET17" s="263">
        <f t="shared" si="29"/>
        <v>0</v>
      </c>
      <c r="EU17" s="278">
        <f t="shared" si="83"/>
        <v>-369</v>
      </c>
      <c r="EV17" s="279">
        <f>(ET17/'Finance Only'!B20)*100</f>
        <v>0</v>
      </c>
    </row>
    <row r="18" spans="1:1086" s="3" customFormat="1" ht="13.5" customHeight="1" x14ac:dyDescent="0.2">
      <c r="A18" s="325">
        <v>14</v>
      </c>
      <c r="B18" s="331">
        <f>'Finance Only'!G21</f>
        <v>13.6</v>
      </c>
      <c r="C18" s="323">
        <f t="shared" si="30"/>
        <v>25755148</v>
      </c>
      <c r="D18" s="260">
        <v>25757458</v>
      </c>
      <c r="E18" s="261">
        <f t="shared" si="0"/>
        <v>2310</v>
      </c>
      <c r="F18" s="274">
        <f t="shared" si="31"/>
        <v>33</v>
      </c>
      <c r="G18" s="275">
        <f>(E18/'Finance Only'!B21)*100</f>
        <v>9.2241344886794714</v>
      </c>
      <c r="H18" s="287">
        <f t="shared" si="84"/>
        <v>22935562</v>
      </c>
      <c r="I18" s="260">
        <v>22939293</v>
      </c>
      <c r="J18" s="260">
        <f t="shared" si="32"/>
        <v>3731</v>
      </c>
      <c r="K18" s="288">
        <f t="shared" si="33"/>
        <v>-190</v>
      </c>
      <c r="L18" s="289">
        <f>(J18/'Finance Only'!B21)*100</f>
        <v>14.898374795351996</v>
      </c>
      <c r="M18" s="270">
        <f t="shared" si="34"/>
        <v>86473694</v>
      </c>
      <c r="N18" s="262">
        <v>86486947</v>
      </c>
      <c r="O18" s="263">
        <f t="shared" si="1"/>
        <v>13253</v>
      </c>
      <c r="P18" s="278">
        <f t="shared" si="35"/>
        <v>-112</v>
      </c>
      <c r="Q18" s="279">
        <f>(O18/'Finance Only'!B21)*100</f>
        <v>52.92097592141517</v>
      </c>
      <c r="R18" s="269">
        <f t="shared" si="85"/>
        <v>21150</v>
      </c>
      <c r="S18" s="262">
        <v>21171</v>
      </c>
      <c r="T18" s="263">
        <f t="shared" si="2"/>
        <v>21</v>
      </c>
      <c r="U18" s="278">
        <f t="shared" si="36"/>
        <v>1</v>
      </c>
      <c r="V18" s="279">
        <f>(T18/'Finance Only'!B21)*100</f>
        <v>8.3855768078904283E-2</v>
      </c>
      <c r="W18" s="262">
        <f t="shared" si="86"/>
        <v>2863002</v>
      </c>
      <c r="X18" s="262">
        <v>2865623</v>
      </c>
      <c r="Y18" s="263">
        <f t="shared" si="3"/>
        <v>2621</v>
      </c>
      <c r="Z18" s="278">
        <f t="shared" si="37"/>
        <v>-23</v>
      </c>
      <c r="AA18" s="279">
        <f>(Y18/'Finance Only'!B21)*100</f>
        <v>10.46599848260991</v>
      </c>
      <c r="AB18" s="262">
        <f t="shared" si="38"/>
        <v>17522</v>
      </c>
      <c r="AC18" s="262">
        <v>17538</v>
      </c>
      <c r="AD18" s="263">
        <f t="shared" si="4"/>
        <v>16</v>
      </c>
      <c r="AE18" s="278">
        <f t="shared" si="39"/>
        <v>-1</v>
      </c>
      <c r="AF18" s="279">
        <f>(AD18/'Finance Only'!B21)*100</f>
        <v>6.3890109012498503E-2</v>
      </c>
      <c r="AG18" s="262">
        <f t="shared" si="87"/>
        <v>777958</v>
      </c>
      <c r="AH18" s="262">
        <v>778651</v>
      </c>
      <c r="AI18" s="263">
        <f t="shared" si="5"/>
        <v>693</v>
      </c>
      <c r="AJ18" s="278">
        <f t="shared" si="40"/>
        <v>33</v>
      </c>
      <c r="AK18" s="279">
        <f>(AI18/'Finance Only'!B21)*100</f>
        <v>2.7672403466038413</v>
      </c>
      <c r="AL18" s="262">
        <f t="shared" si="88"/>
        <v>80742</v>
      </c>
      <c r="AM18" s="262">
        <v>80806</v>
      </c>
      <c r="AN18" s="263">
        <f t="shared" si="6"/>
        <v>64</v>
      </c>
      <c r="AO18" s="278">
        <f t="shared" si="41"/>
        <v>-2</v>
      </c>
      <c r="AP18" s="279">
        <f>(AN18/'Finance Only'!B21)*100</f>
        <v>0.25556043604999401</v>
      </c>
      <c r="AQ18" s="262">
        <f t="shared" si="89"/>
        <v>18252</v>
      </c>
      <c r="AR18" s="262">
        <v>18263</v>
      </c>
      <c r="AS18" s="263">
        <f t="shared" si="7"/>
        <v>11</v>
      </c>
      <c r="AT18" s="278">
        <f t="shared" si="42"/>
        <v>5</v>
      </c>
      <c r="AU18" s="279">
        <f>(AS18/'Finance Only'!B21)*100</f>
        <v>4.3924449946092722E-2</v>
      </c>
      <c r="AV18" s="262">
        <f t="shared" si="8"/>
        <v>525224</v>
      </c>
      <c r="AW18" s="262">
        <v>525619</v>
      </c>
      <c r="AX18" s="263">
        <f t="shared" si="9"/>
        <v>395</v>
      </c>
      <c r="AY18" s="278">
        <f t="shared" si="43"/>
        <v>0</v>
      </c>
      <c r="AZ18" s="279">
        <f>(AX18/'Finance Only'!B21)*100</f>
        <v>1.5772870662460567</v>
      </c>
      <c r="BA18" s="262">
        <f t="shared" si="10"/>
        <v>69781</v>
      </c>
      <c r="BB18" s="262">
        <v>69868</v>
      </c>
      <c r="BC18" s="263">
        <f t="shared" si="11"/>
        <v>87</v>
      </c>
      <c r="BD18" s="278">
        <f t="shared" si="44"/>
        <v>-2</v>
      </c>
      <c r="BE18" s="279">
        <f>(BC18/'Finance Only'!B21)*100</f>
        <v>0.34740246775546063</v>
      </c>
      <c r="BF18" s="262">
        <f t="shared" si="45"/>
        <v>79699</v>
      </c>
      <c r="BG18" s="262">
        <v>79785</v>
      </c>
      <c r="BH18" s="263">
        <f t="shared" si="12"/>
        <v>86</v>
      </c>
      <c r="BI18" s="278">
        <f t="shared" si="46"/>
        <v>5</v>
      </c>
      <c r="BJ18" s="279">
        <f>(BH18/'Finance Only'!B21)*100</f>
        <v>0.34340933594217943</v>
      </c>
      <c r="BK18" s="262">
        <f t="shared" si="47"/>
        <v>12430</v>
      </c>
      <c r="BL18" s="262">
        <v>12443</v>
      </c>
      <c r="BM18" s="263">
        <f t="shared" si="13"/>
        <v>13</v>
      </c>
      <c r="BN18" s="278">
        <f t="shared" si="48"/>
        <v>-1</v>
      </c>
      <c r="BO18" s="279">
        <f>(BM18/'Finance Only'!B21)*100</f>
        <v>5.1910713572655032E-2</v>
      </c>
      <c r="BP18" s="262">
        <f t="shared" si="49"/>
        <v>72070</v>
      </c>
      <c r="BQ18" s="262">
        <v>72205</v>
      </c>
      <c r="BR18" s="263">
        <f t="shared" si="14"/>
        <v>135</v>
      </c>
      <c r="BS18" s="278">
        <f t="shared" si="50"/>
        <v>-13</v>
      </c>
      <c r="BT18" s="279">
        <f>(BR18/'Finance Only'!B21)*100</f>
        <v>0.53907279479295611</v>
      </c>
      <c r="BU18" s="262">
        <f t="shared" si="51"/>
        <v>39009</v>
      </c>
      <c r="BV18" s="262">
        <v>39042</v>
      </c>
      <c r="BW18" s="263">
        <f t="shared" si="15"/>
        <v>33</v>
      </c>
      <c r="BX18" s="278">
        <f t="shared" si="52"/>
        <v>0</v>
      </c>
      <c r="BY18" s="279">
        <f>(BW18/'Finance Only'!B21)*100</f>
        <v>0.13177334983827815</v>
      </c>
      <c r="BZ18" s="262">
        <f t="shared" si="53"/>
        <v>54709</v>
      </c>
      <c r="CA18" s="262">
        <v>54824</v>
      </c>
      <c r="CB18" s="263">
        <f t="shared" si="16"/>
        <v>115</v>
      </c>
      <c r="CC18" s="278">
        <f t="shared" si="54"/>
        <v>0</v>
      </c>
      <c r="CD18" s="279">
        <f>(CB18/'Finance Only'!B21)*100</f>
        <v>0.45921015852733299</v>
      </c>
      <c r="CE18" s="262">
        <f t="shared" si="55"/>
        <v>16379</v>
      </c>
      <c r="CF18" s="262">
        <v>16410</v>
      </c>
      <c r="CG18" s="263">
        <f t="shared" si="17"/>
        <v>31</v>
      </c>
      <c r="CH18" s="278">
        <f t="shared" si="56"/>
        <v>-14</v>
      </c>
      <c r="CI18" s="279">
        <f>(CG18/'Finance Only'!B21)*100</f>
        <v>0.12378708621171586</v>
      </c>
      <c r="CJ18" s="263">
        <f t="shared" si="57"/>
        <v>37334</v>
      </c>
      <c r="CK18" s="263">
        <v>37507</v>
      </c>
      <c r="CL18" s="263">
        <f t="shared" si="58"/>
        <v>173</v>
      </c>
      <c r="CM18" s="278">
        <f t="shared" si="59"/>
        <v>173</v>
      </c>
      <c r="CN18" s="279">
        <f>(CL18/'Finance Only'!B21)*100</f>
        <v>0.69081180369764006</v>
      </c>
      <c r="CO18" s="262">
        <f t="shared" si="60"/>
        <v>29653</v>
      </c>
      <c r="CP18" s="262">
        <v>29764</v>
      </c>
      <c r="CQ18" s="264">
        <f t="shared" si="18"/>
        <v>111</v>
      </c>
      <c r="CR18" s="278">
        <f t="shared" si="61"/>
        <v>111</v>
      </c>
      <c r="CS18" s="279">
        <f>(CQ18/'Finance Only'!B21)*100</f>
        <v>0.4432376312742084</v>
      </c>
      <c r="CT18" s="262">
        <f t="shared" si="62"/>
        <v>26116</v>
      </c>
      <c r="CU18" s="262">
        <v>26209</v>
      </c>
      <c r="CV18" s="263">
        <f t="shared" si="19"/>
        <v>93</v>
      </c>
      <c r="CW18" s="278">
        <f t="shared" si="63"/>
        <v>93</v>
      </c>
      <c r="CX18" s="279">
        <f>(CV18/'Finance Only'!B21)*100</f>
        <v>0.37136125863514752</v>
      </c>
      <c r="CY18" s="262">
        <f t="shared" si="64"/>
        <v>43295</v>
      </c>
      <c r="CZ18" s="262">
        <v>43496</v>
      </c>
      <c r="DA18" s="263">
        <f t="shared" si="20"/>
        <v>201</v>
      </c>
      <c r="DB18" s="278">
        <f t="shared" si="65"/>
        <v>201</v>
      </c>
      <c r="DC18" s="279">
        <f>(DA18/'Finance Only'!B21)*100</f>
        <v>0.80261949446951242</v>
      </c>
      <c r="DD18" s="262">
        <f t="shared" si="66"/>
        <v>32603</v>
      </c>
      <c r="DE18" s="262">
        <v>32777</v>
      </c>
      <c r="DF18" s="263">
        <f t="shared" si="21"/>
        <v>174</v>
      </c>
      <c r="DG18" s="278">
        <f t="shared" si="67"/>
        <v>174</v>
      </c>
      <c r="DH18" s="279">
        <f>(DF18/'Finance Only'!B21)*100</f>
        <v>0.69480493551092126</v>
      </c>
      <c r="DI18" s="262">
        <f t="shared" si="68"/>
        <v>30093</v>
      </c>
      <c r="DJ18" s="262">
        <v>30203</v>
      </c>
      <c r="DK18" s="263">
        <f t="shared" si="22"/>
        <v>110</v>
      </c>
      <c r="DL18" s="278">
        <f t="shared" si="69"/>
        <v>110</v>
      </c>
      <c r="DM18" s="279">
        <f>(DK18/'Finance Only'!B21)*100</f>
        <v>0.43924449946092725</v>
      </c>
      <c r="DN18" s="262">
        <f t="shared" si="70"/>
        <v>20116</v>
      </c>
      <c r="DO18" s="262">
        <v>20212</v>
      </c>
      <c r="DP18" s="263">
        <f t="shared" si="23"/>
        <v>96</v>
      </c>
      <c r="DQ18" s="278">
        <f t="shared" si="71"/>
        <v>96</v>
      </c>
      <c r="DR18" s="279">
        <f>(DP18/'Finance Only'!B21)*100</f>
        <v>0.38334065407499102</v>
      </c>
      <c r="DS18" s="262">
        <f t="shared" si="72"/>
        <v>53743</v>
      </c>
      <c r="DT18" s="262">
        <v>53928</v>
      </c>
      <c r="DU18" s="263">
        <f t="shared" si="24"/>
        <v>185</v>
      </c>
      <c r="DV18" s="278">
        <f t="shared" si="73"/>
        <v>185</v>
      </c>
      <c r="DW18" s="279">
        <f>(DU18/'Finance Only'!B21)*100</f>
        <v>0.73872938545701394</v>
      </c>
      <c r="DX18" s="262">
        <f t="shared" si="74"/>
        <v>37153</v>
      </c>
      <c r="DY18" s="262">
        <v>37279</v>
      </c>
      <c r="DZ18" s="263">
        <f t="shared" si="25"/>
        <v>126</v>
      </c>
      <c r="EA18" s="278">
        <f t="shared" si="75"/>
        <v>126</v>
      </c>
      <c r="EB18" s="279">
        <f>(DZ18/'Finance Only'!B21)*100</f>
        <v>0.50313460847342573</v>
      </c>
      <c r="EC18" s="262">
        <f t="shared" si="76"/>
        <v>11483</v>
      </c>
      <c r="ED18" s="262">
        <v>11527</v>
      </c>
      <c r="EE18" s="263">
        <f t="shared" si="26"/>
        <v>44</v>
      </c>
      <c r="EF18" s="278">
        <f t="shared" si="77"/>
        <v>44</v>
      </c>
      <c r="EG18" s="279">
        <f>(EE18/'Finance Only'!B21)*100</f>
        <v>0.17569779978437089</v>
      </c>
      <c r="EH18" s="262">
        <f t="shared" si="78"/>
        <v>10224</v>
      </c>
      <c r="EI18" s="262">
        <v>10288</v>
      </c>
      <c r="EJ18" s="263">
        <f t="shared" si="27"/>
        <v>64</v>
      </c>
      <c r="EK18" s="278">
        <f t="shared" si="79"/>
        <v>64</v>
      </c>
      <c r="EL18" s="279">
        <f>(EJ18/'Finance Only'!B21)*100</f>
        <v>0.25556043604999401</v>
      </c>
      <c r="EM18" s="262">
        <f t="shared" si="80"/>
        <v>20379</v>
      </c>
      <c r="EN18" s="262">
        <v>20473</v>
      </c>
      <c r="EO18" s="263">
        <f t="shared" si="28"/>
        <v>94</v>
      </c>
      <c r="EP18" s="278">
        <f t="shared" si="81"/>
        <v>88</v>
      </c>
      <c r="EQ18" s="279">
        <f>(EO18/'Finance Only'!B21)*100</f>
        <v>0.37535439044842872</v>
      </c>
      <c r="ER18" s="262">
        <f t="shared" si="82"/>
        <v>42749</v>
      </c>
      <c r="ES18" s="262">
        <v>43586</v>
      </c>
      <c r="ET18" s="263">
        <f t="shared" si="29"/>
        <v>837</v>
      </c>
      <c r="EU18" s="278">
        <f t="shared" si="83"/>
        <v>837</v>
      </c>
      <c r="EV18" s="279">
        <f>(ET18/'Finance Only'!B21)*100</f>
        <v>3.3422513277163279</v>
      </c>
    </row>
    <row r="19" spans="1:1086" s="3" customFormat="1" ht="13.5" customHeight="1" x14ac:dyDescent="0.2">
      <c r="A19" s="325">
        <v>15</v>
      </c>
      <c r="B19" s="331">
        <f>'Finance Only'!G22</f>
        <v>16.5</v>
      </c>
      <c r="C19" s="323">
        <f t="shared" si="30"/>
        <v>25757458</v>
      </c>
      <c r="D19" s="260">
        <v>25759731</v>
      </c>
      <c r="E19" s="261">
        <f t="shared" si="0"/>
        <v>2273</v>
      </c>
      <c r="F19" s="274">
        <f t="shared" si="31"/>
        <v>-37</v>
      </c>
      <c r="G19" s="275">
        <f>(E19/'Finance Only'!B22)*100</f>
        <v>9.1953557991828152</v>
      </c>
      <c r="H19" s="287">
        <f t="shared" si="84"/>
        <v>22939293</v>
      </c>
      <c r="I19" s="260">
        <v>22943186</v>
      </c>
      <c r="J19" s="260">
        <f t="shared" si="32"/>
        <v>3893</v>
      </c>
      <c r="K19" s="288">
        <f t="shared" si="33"/>
        <v>162</v>
      </c>
      <c r="L19" s="289">
        <f>(J19/'Finance Only'!B22)*100</f>
        <v>15.749018973259435</v>
      </c>
      <c r="M19" s="270">
        <f t="shared" si="34"/>
        <v>86486947</v>
      </c>
      <c r="N19" s="262">
        <v>86500806</v>
      </c>
      <c r="O19" s="263">
        <f t="shared" si="1"/>
        <v>13859</v>
      </c>
      <c r="P19" s="278">
        <f t="shared" si="35"/>
        <v>606</v>
      </c>
      <c r="Q19" s="279">
        <f>(O19/'Finance Only'!B22)*100</f>
        <v>56.066183907115985</v>
      </c>
      <c r="R19" s="269">
        <f t="shared" si="85"/>
        <v>21171</v>
      </c>
      <c r="S19" s="262">
        <v>21192</v>
      </c>
      <c r="T19" s="263">
        <f t="shared" si="2"/>
        <v>21</v>
      </c>
      <c r="U19" s="278">
        <f t="shared" si="36"/>
        <v>0</v>
      </c>
      <c r="V19" s="279">
        <f>(T19/'Finance Only'!B22)*100</f>
        <v>8.4954892997289533E-2</v>
      </c>
      <c r="W19" s="262">
        <f t="shared" si="86"/>
        <v>2865623</v>
      </c>
      <c r="X19" s="262">
        <v>2868155</v>
      </c>
      <c r="Y19" s="263">
        <f t="shared" si="3"/>
        <v>2532</v>
      </c>
      <c r="Z19" s="278">
        <f t="shared" si="37"/>
        <v>-89</v>
      </c>
      <c r="AA19" s="279">
        <f>(Y19/'Finance Only'!B22)*100</f>
        <v>10.243132812816052</v>
      </c>
      <c r="AB19" s="262">
        <f t="shared" si="38"/>
        <v>17538</v>
      </c>
      <c r="AC19" s="262">
        <v>17555</v>
      </c>
      <c r="AD19" s="263">
        <f t="shared" si="4"/>
        <v>17</v>
      </c>
      <c r="AE19" s="278">
        <f t="shared" si="39"/>
        <v>1</v>
      </c>
      <c r="AF19" s="279">
        <f>(AD19/'Finance Only'!B22)*100</f>
        <v>6.877300861685344E-2</v>
      </c>
      <c r="AG19" s="262">
        <f t="shared" si="87"/>
        <v>778651</v>
      </c>
      <c r="AH19" s="262">
        <v>779360</v>
      </c>
      <c r="AI19" s="263">
        <f t="shared" si="5"/>
        <v>709</v>
      </c>
      <c r="AJ19" s="278">
        <f t="shared" si="40"/>
        <v>16</v>
      </c>
      <c r="AK19" s="279">
        <f>(AI19/'Finance Only'!B22)*100</f>
        <v>2.8682390064322991</v>
      </c>
      <c r="AL19" s="262">
        <f t="shared" si="88"/>
        <v>80806</v>
      </c>
      <c r="AM19" s="262">
        <v>80867</v>
      </c>
      <c r="AN19" s="263">
        <f t="shared" si="6"/>
        <v>61</v>
      </c>
      <c r="AO19" s="278">
        <f t="shared" si="41"/>
        <v>-3</v>
      </c>
      <c r="AP19" s="279">
        <f>(AN19/'Finance Only'!B22)*100</f>
        <v>0.24677373680165055</v>
      </c>
      <c r="AQ19" s="262">
        <f t="shared" si="89"/>
        <v>18263</v>
      </c>
      <c r="AR19" s="262">
        <v>18270</v>
      </c>
      <c r="AS19" s="263">
        <f t="shared" si="7"/>
        <v>7</v>
      </c>
      <c r="AT19" s="278">
        <f t="shared" si="42"/>
        <v>-4</v>
      </c>
      <c r="AU19" s="279">
        <f>(AS19/'Finance Only'!B22)*100</f>
        <v>2.8318297665763176E-2</v>
      </c>
      <c r="AV19" s="262">
        <f t="shared" si="8"/>
        <v>525619</v>
      </c>
      <c r="AW19" s="262">
        <v>526085</v>
      </c>
      <c r="AX19" s="263">
        <f t="shared" si="9"/>
        <v>466</v>
      </c>
      <c r="AY19" s="278">
        <f t="shared" si="43"/>
        <v>71</v>
      </c>
      <c r="AZ19" s="279">
        <f>(AX19/'Finance Only'!B22)*100</f>
        <v>1.8851895303208059</v>
      </c>
      <c r="BA19" s="262">
        <f t="shared" si="10"/>
        <v>69868</v>
      </c>
      <c r="BB19" s="262">
        <v>69961</v>
      </c>
      <c r="BC19" s="263">
        <f t="shared" si="11"/>
        <v>93</v>
      </c>
      <c r="BD19" s="278">
        <f t="shared" si="44"/>
        <v>6</v>
      </c>
      <c r="BE19" s="279">
        <f>(BC19/'Finance Only'!B22)*100</f>
        <v>0.37622881184513934</v>
      </c>
      <c r="BF19" s="262">
        <f t="shared" si="45"/>
        <v>79785</v>
      </c>
      <c r="BG19" s="262">
        <v>79874</v>
      </c>
      <c r="BH19" s="263">
        <f t="shared" si="12"/>
        <v>89</v>
      </c>
      <c r="BI19" s="278">
        <f t="shared" si="46"/>
        <v>3</v>
      </c>
      <c r="BJ19" s="279">
        <f>(BH19/'Finance Only'!B22)*100</f>
        <v>0.36004692746470329</v>
      </c>
      <c r="BK19" s="262">
        <f t="shared" si="47"/>
        <v>12443</v>
      </c>
      <c r="BL19" s="262">
        <v>12457</v>
      </c>
      <c r="BM19" s="263">
        <f t="shared" si="13"/>
        <v>14</v>
      </c>
      <c r="BN19" s="278">
        <f t="shared" si="48"/>
        <v>1</v>
      </c>
      <c r="BO19" s="279">
        <f>(BM19/'Finance Only'!B22)*100</f>
        <v>5.6636595331526353E-2</v>
      </c>
      <c r="BP19" s="262">
        <f t="shared" si="49"/>
        <v>72205</v>
      </c>
      <c r="BQ19" s="262">
        <v>72363</v>
      </c>
      <c r="BR19" s="263">
        <f t="shared" si="14"/>
        <v>158</v>
      </c>
      <c r="BS19" s="278">
        <f t="shared" si="50"/>
        <v>23</v>
      </c>
      <c r="BT19" s="279">
        <f>(BR19/'Finance Only'!B22)*100</f>
        <v>0.63918443302722594</v>
      </c>
      <c r="BU19" s="262">
        <f t="shared" si="51"/>
        <v>39042</v>
      </c>
      <c r="BV19" s="262">
        <v>39080</v>
      </c>
      <c r="BW19" s="263">
        <f t="shared" si="15"/>
        <v>38</v>
      </c>
      <c r="BX19" s="278">
        <f t="shared" si="52"/>
        <v>5</v>
      </c>
      <c r="BY19" s="279">
        <f>(BW19/'Finance Only'!B22)*100</f>
        <v>0.15372790161414296</v>
      </c>
      <c r="BZ19" s="262">
        <f t="shared" si="53"/>
        <v>54824</v>
      </c>
      <c r="CA19" s="262">
        <v>54947</v>
      </c>
      <c r="CB19" s="263">
        <f t="shared" si="16"/>
        <v>123</v>
      </c>
      <c r="CC19" s="278">
        <f t="shared" si="54"/>
        <v>8</v>
      </c>
      <c r="CD19" s="279">
        <f>(CB19/'Finance Only'!B22)*100</f>
        <v>0.49759294469841014</v>
      </c>
      <c r="CE19" s="262">
        <f t="shared" si="55"/>
        <v>16410</v>
      </c>
      <c r="CF19" s="262">
        <v>16447</v>
      </c>
      <c r="CG19" s="263">
        <f t="shared" si="17"/>
        <v>37</v>
      </c>
      <c r="CH19" s="278">
        <f t="shared" si="56"/>
        <v>6</v>
      </c>
      <c r="CI19" s="279">
        <f>(CG19/'Finance Only'!B22)*100</f>
        <v>0.14968243051903396</v>
      </c>
      <c r="CJ19" s="263">
        <f t="shared" si="57"/>
        <v>37507</v>
      </c>
      <c r="CK19" s="263">
        <v>37596</v>
      </c>
      <c r="CL19" s="263">
        <f t="shared" si="58"/>
        <v>89</v>
      </c>
      <c r="CM19" s="278">
        <f t="shared" si="59"/>
        <v>-84</v>
      </c>
      <c r="CN19" s="279">
        <f>(CL19/'Finance Only'!B22)*100</f>
        <v>0.36004692746470329</v>
      </c>
      <c r="CO19" s="262">
        <f t="shared" si="60"/>
        <v>29764</v>
      </c>
      <c r="CP19" s="262">
        <v>29814</v>
      </c>
      <c r="CQ19" s="264">
        <f t="shared" si="18"/>
        <v>50</v>
      </c>
      <c r="CR19" s="278">
        <f t="shared" si="61"/>
        <v>-61</v>
      </c>
      <c r="CS19" s="279">
        <f>(CQ19/'Finance Only'!B22)*100</f>
        <v>0.20227355475545128</v>
      </c>
      <c r="CT19" s="262">
        <f t="shared" si="62"/>
        <v>26209</v>
      </c>
      <c r="CU19" s="262">
        <v>26250</v>
      </c>
      <c r="CV19" s="263">
        <f t="shared" si="19"/>
        <v>41</v>
      </c>
      <c r="CW19" s="278">
        <f t="shared" si="63"/>
        <v>-52</v>
      </c>
      <c r="CX19" s="279">
        <f>(CV19/'Finance Only'!B22)*100</f>
        <v>0.16586431489947004</v>
      </c>
      <c r="CY19" s="262">
        <f t="shared" si="64"/>
        <v>43496</v>
      </c>
      <c r="CZ19" s="262">
        <v>43586</v>
      </c>
      <c r="DA19" s="263">
        <f t="shared" si="20"/>
        <v>90</v>
      </c>
      <c r="DB19" s="278">
        <f t="shared" si="65"/>
        <v>-111</v>
      </c>
      <c r="DC19" s="279">
        <f>(DA19/'Finance Only'!B22)*100</f>
        <v>0.36409239855981229</v>
      </c>
      <c r="DD19" s="262">
        <f t="shared" si="66"/>
        <v>32777</v>
      </c>
      <c r="DE19" s="262">
        <v>32860</v>
      </c>
      <c r="DF19" s="263">
        <f t="shared" si="21"/>
        <v>83</v>
      </c>
      <c r="DG19" s="278">
        <f t="shared" si="67"/>
        <v>-91</v>
      </c>
      <c r="DH19" s="279">
        <f>(DF19/'Finance Only'!B22)*100</f>
        <v>0.33577410089404913</v>
      </c>
      <c r="DI19" s="262">
        <f t="shared" si="68"/>
        <v>30203</v>
      </c>
      <c r="DJ19" s="262">
        <v>30270</v>
      </c>
      <c r="DK19" s="263">
        <f t="shared" si="22"/>
        <v>67</v>
      </c>
      <c r="DL19" s="278">
        <f t="shared" si="69"/>
        <v>-43</v>
      </c>
      <c r="DM19" s="279">
        <f>(DK19/'Finance Only'!B22)*100</f>
        <v>0.27104656337230471</v>
      </c>
      <c r="DN19" s="262">
        <f t="shared" si="70"/>
        <v>20212</v>
      </c>
      <c r="DO19" s="262">
        <v>20261</v>
      </c>
      <c r="DP19" s="263">
        <f t="shared" si="23"/>
        <v>49</v>
      </c>
      <c r="DQ19" s="278">
        <f t="shared" si="71"/>
        <v>-47</v>
      </c>
      <c r="DR19" s="279">
        <f>(DP19/'Finance Only'!B22)*100</f>
        <v>0.19822808366034222</v>
      </c>
      <c r="DS19" s="262">
        <f t="shared" si="72"/>
        <v>53928</v>
      </c>
      <c r="DT19" s="262">
        <v>54116</v>
      </c>
      <c r="DU19" s="263">
        <f t="shared" si="24"/>
        <v>188</v>
      </c>
      <c r="DV19" s="278">
        <f t="shared" si="73"/>
        <v>3</v>
      </c>
      <c r="DW19" s="279">
        <f>(DU19/'Finance Only'!B22)*100</f>
        <v>0.7605485658804968</v>
      </c>
      <c r="DX19" s="262">
        <f t="shared" si="74"/>
        <v>37279</v>
      </c>
      <c r="DY19" s="262">
        <v>37343</v>
      </c>
      <c r="DZ19" s="263">
        <f t="shared" si="25"/>
        <v>64</v>
      </c>
      <c r="EA19" s="278">
        <f t="shared" si="75"/>
        <v>-62</v>
      </c>
      <c r="EB19" s="279">
        <f>(DZ19/'Finance Only'!B22)*100</f>
        <v>0.2589101500869776</v>
      </c>
      <c r="EC19" s="262">
        <f t="shared" si="76"/>
        <v>11527</v>
      </c>
      <c r="ED19" s="262">
        <v>11549</v>
      </c>
      <c r="EE19" s="263">
        <f t="shared" si="26"/>
        <v>22</v>
      </c>
      <c r="EF19" s="278">
        <f t="shared" si="77"/>
        <v>-22</v>
      </c>
      <c r="EG19" s="279">
        <f>(EE19/'Finance Only'!B22)*100</f>
        <v>8.900036409239856E-2</v>
      </c>
      <c r="EH19" s="262">
        <f t="shared" si="78"/>
        <v>10288</v>
      </c>
      <c r="EI19" s="262">
        <v>10322</v>
      </c>
      <c r="EJ19" s="263">
        <f t="shared" si="27"/>
        <v>34</v>
      </c>
      <c r="EK19" s="278">
        <f t="shared" si="79"/>
        <v>-30</v>
      </c>
      <c r="EL19" s="279">
        <f>(EJ19/'Finance Only'!B22)*100</f>
        <v>0.13754601723370688</v>
      </c>
      <c r="EM19" s="262">
        <f t="shared" si="80"/>
        <v>20473</v>
      </c>
      <c r="EN19" s="262">
        <v>20519</v>
      </c>
      <c r="EO19" s="263">
        <f t="shared" si="28"/>
        <v>46</v>
      </c>
      <c r="EP19" s="278">
        <f t="shared" si="81"/>
        <v>-48</v>
      </c>
      <c r="EQ19" s="279">
        <f>(EO19/'Finance Only'!B22)*100</f>
        <v>0.18609167037501517</v>
      </c>
      <c r="ER19" s="262">
        <f t="shared" si="82"/>
        <v>43586</v>
      </c>
      <c r="ES19" s="262">
        <v>44005</v>
      </c>
      <c r="ET19" s="263">
        <f t="shared" si="29"/>
        <v>419</v>
      </c>
      <c r="EU19" s="278">
        <f t="shared" si="83"/>
        <v>-418</v>
      </c>
      <c r="EV19" s="279">
        <f>(ET19/'Finance Only'!B22)*100</f>
        <v>1.6950523888506814</v>
      </c>
    </row>
    <row r="20" spans="1:1086" s="3" customFormat="1" ht="13.5" customHeight="1" x14ac:dyDescent="0.2">
      <c r="A20" s="325">
        <v>16</v>
      </c>
      <c r="B20" s="331">
        <f>'Finance Only'!G23</f>
        <v>21</v>
      </c>
      <c r="C20" s="323">
        <f t="shared" si="30"/>
        <v>25759731</v>
      </c>
      <c r="D20" s="260">
        <v>25762069</v>
      </c>
      <c r="E20" s="261">
        <f t="shared" si="0"/>
        <v>2338</v>
      </c>
      <c r="F20" s="274">
        <f t="shared" si="31"/>
        <v>65</v>
      </c>
      <c r="G20" s="275">
        <f>(E20/'Finance Only'!B23)*100</f>
        <v>9.113233287858117</v>
      </c>
      <c r="H20" s="287">
        <f t="shared" si="84"/>
        <v>22943186</v>
      </c>
      <c r="I20" s="260">
        <v>22947146</v>
      </c>
      <c r="J20" s="260">
        <f t="shared" si="32"/>
        <v>3960</v>
      </c>
      <c r="K20" s="288">
        <f t="shared" si="33"/>
        <v>67</v>
      </c>
      <c r="L20" s="289">
        <f>(J20/'Finance Only'!B23)*100</f>
        <v>15.435587604755408</v>
      </c>
      <c r="M20" s="270">
        <f t="shared" si="34"/>
        <v>86500806</v>
      </c>
      <c r="N20" s="262">
        <v>86514692</v>
      </c>
      <c r="O20" s="263">
        <f t="shared" si="1"/>
        <v>13886</v>
      </c>
      <c r="P20" s="278">
        <f t="shared" si="35"/>
        <v>27</v>
      </c>
      <c r="Q20" s="279">
        <f>(O20/'Finance Only'!B23)*100</f>
        <v>54.125901383745855</v>
      </c>
      <c r="R20" s="269">
        <f t="shared" si="85"/>
        <v>21192</v>
      </c>
      <c r="S20" s="262">
        <v>21213</v>
      </c>
      <c r="T20" s="263">
        <f t="shared" si="2"/>
        <v>21</v>
      </c>
      <c r="U20" s="278">
        <f t="shared" si="36"/>
        <v>0</v>
      </c>
      <c r="V20" s="279">
        <f>(T20/'Finance Only'!B23)*100</f>
        <v>8.1855388813096855E-2</v>
      </c>
      <c r="W20" s="262">
        <f t="shared" si="86"/>
        <v>2868155</v>
      </c>
      <c r="X20" s="262">
        <v>2870800</v>
      </c>
      <c r="Y20" s="263">
        <f t="shared" si="3"/>
        <v>2645</v>
      </c>
      <c r="Z20" s="278">
        <f t="shared" si="37"/>
        <v>113</v>
      </c>
      <c r="AA20" s="279">
        <f>(Y20/'Finance Only'!B23)*100</f>
        <v>10.309881114792438</v>
      </c>
      <c r="AB20" s="262">
        <f t="shared" si="38"/>
        <v>17555</v>
      </c>
      <c r="AC20" s="262">
        <v>17573</v>
      </c>
      <c r="AD20" s="263">
        <f t="shared" si="4"/>
        <v>18</v>
      </c>
      <c r="AE20" s="278">
        <f t="shared" si="39"/>
        <v>1</v>
      </c>
      <c r="AF20" s="279">
        <f>(AD20/'Finance Only'!B23)*100</f>
        <v>7.0161761839797304E-2</v>
      </c>
      <c r="AG20" s="262">
        <f t="shared" si="87"/>
        <v>779360</v>
      </c>
      <c r="AH20" s="262">
        <v>780013</v>
      </c>
      <c r="AI20" s="263">
        <f t="shared" si="5"/>
        <v>653</v>
      </c>
      <c r="AJ20" s="278">
        <f t="shared" si="40"/>
        <v>-56</v>
      </c>
      <c r="AK20" s="279">
        <f>(AI20/'Finance Only'!B23)*100</f>
        <v>2.5453128045215356</v>
      </c>
      <c r="AL20" s="262">
        <f t="shared" si="88"/>
        <v>80867</v>
      </c>
      <c r="AM20" s="262">
        <v>80933</v>
      </c>
      <c r="AN20" s="263">
        <f t="shared" si="6"/>
        <v>66</v>
      </c>
      <c r="AO20" s="278">
        <f t="shared" si="41"/>
        <v>5</v>
      </c>
      <c r="AP20" s="279">
        <f>(AN20/'Finance Only'!B23)*100</f>
        <v>0.25725979341259014</v>
      </c>
      <c r="AQ20" s="262">
        <f t="shared" si="89"/>
        <v>18270</v>
      </c>
      <c r="AR20" s="262">
        <v>18282</v>
      </c>
      <c r="AS20" s="263">
        <f t="shared" si="7"/>
        <v>12</v>
      </c>
      <c r="AT20" s="278">
        <f t="shared" si="42"/>
        <v>5</v>
      </c>
      <c r="AU20" s="279">
        <f>(AS20/'Finance Only'!B23)*100</f>
        <v>4.677450789319821E-2</v>
      </c>
      <c r="AV20" s="262">
        <f t="shared" si="8"/>
        <v>526085</v>
      </c>
      <c r="AW20" s="262">
        <v>526508</v>
      </c>
      <c r="AX20" s="263">
        <f t="shared" si="9"/>
        <v>423</v>
      </c>
      <c r="AY20" s="278">
        <f t="shared" si="43"/>
        <v>-43</v>
      </c>
      <c r="AZ20" s="279">
        <f>(AX20/'Finance Only'!B23)*100</f>
        <v>1.6488014032352369</v>
      </c>
      <c r="BA20" s="262">
        <f t="shared" si="10"/>
        <v>69961</v>
      </c>
      <c r="BB20" s="262">
        <v>70056</v>
      </c>
      <c r="BC20" s="263">
        <f t="shared" si="11"/>
        <v>95</v>
      </c>
      <c r="BD20" s="278">
        <f t="shared" si="44"/>
        <v>2</v>
      </c>
      <c r="BE20" s="279">
        <f>(BC20/'Finance Only'!B23)*100</f>
        <v>0.37029818748781912</v>
      </c>
      <c r="BF20" s="262">
        <f t="shared" si="45"/>
        <v>79874</v>
      </c>
      <c r="BG20" s="262">
        <v>79966</v>
      </c>
      <c r="BH20" s="263">
        <f t="shared" si="12"/>
        <v>92</v>
      </c>
      <c r="BI20" s="278">
        <f t="shared" si="46"/>
        <v>3</v>
      </c>
      <c r="BJ20" s="279">
        <f>(BH20/'Finance Only'!B23)*100</f>
        <v>0.35860456051451961</v>
      </c>
      <c r="BK20" s="262">
        <f t="shared" si="47"/>
        <v>12457</v>
      </c>
      <c r="BL20" s="262">
        <v>12470</v>
      </c>
      <c r="BM20" s="263">
        <f t="shared" si="13"/>
        <v>13</v>
      </c>
      <c r="BN20" s="278">
        <f t="shared" si="48"/>
        <v>-1</v>
      </c>
      <c r="BO20" s="279">
        <f>(BM20/'Finance Only'!B23)*100</f>
        <v>5.067238355096472E-2</v>
      </c>
      <c r="BP20" s="262">
        <f t="shared" si="49"/>
        <v>72363</v>
      </c>
      <c r="BQ20" s="262">
        <v>72501</v>
      </c>
      <c r="BR20" s="263">
        <f t="shared" si="14"/>
        <v>138</v>
      </c>
      <c r="BS20" s="278">
        <f t="shared" si="50"/>
        <v>-20</v>
      </c>
      <c r="BT20" s="279">
        <f>(BR20/'Finance Only'!B23)*100</f>
        <v>0.5379068407717793</v>
      </c>
      <c r="BU20" s="262">
        <f t="shared" si="51"/>
        <v>39080</v>
      </c>
      <c r="BV20" s="262">
        <v>39117</v>
      </c>
      <c r="BW20" s="263">
        <f t="shared" si="15"/>
        <v>37</v>
      </c>
      <c r="BX20" s="278">
        <f t="shared" si="52"/>
        <v>-1</v>
      </c>
      <c r="BY20" s="279">
        <f>(BW20/'Finance Only'!B23)*100</f>
        <v>0.14422139933736114</v>
      </c>
      <c r="BZ20" s="262">
        <f t="shared" si="53"/>
        <v>54947</v>
      </c>
      <c r="CA20" s="262">
        <v>55073</v>
      </c>
      <c r="CB20" s="263">
        <f t="shared" si="16"/>
        <v>126</v>
      </c>
      <c r="CC20" s="278">
        <f t="shared" si="54"/>
        <v>3</v>
      </c>
      <c r="CD20" s="279">
        <f>(CB20/'Finance Only'!B23)*100</f>
        <v>0.49113233287858116</v>
      </c>
      <c r="CE20" s="262">
        <f t="shared" si="55"/>
        <v>16447</v>
      </c>
      <c r="CF20" s="262">
        <v>16486</v>
      </c>
      <c r="CG20" s="263">
        <f t="shared" si="17"/>
        <v>39</v>
      </c>
      <c r="CH20" s="278">
        <f t="shared" si="56"/>
        <v>2</v>
      </c>
      <c r="CI20" s="279">
        <f>(CG20/'Finance Only'!B23)*100</f>
        <v>0.15201715065289417</v>
      </c>
      <c r="CJ20" s="263">
        <f t="shared" si="57"/>
        <v>37596</v>
      </c>
      <c r="CK20" s="263">
        <v>37693</v>
      </c>
      <c r="CL20" s="263">
        <f t="shared" si="58"/>
        <v>97</v>
      </c>
      <c r="CM20" s="278">
        <f t="shared" si="59"/>
        <v>8</v>
      </c>
      <c r="CN20" s="279">
        <f>(CL20/'Finance Only'!B23)*100</f>
        <v>0.37809393880335218</v>
      </c>
      <c r="CO20" s="262">
        <f t="shared" si="60"/>
        <v>29814</v>
      </c>
      <c r="CP20" s="262">
        <v>29868</v>
      </c>
      <c r="CQ20" s="264">
        <f t="shared" si="18"/>
        <v>54</v>
      </c>
      <c r="CR20" s="278">
        <f t="shared" si="61"/>
        <v>4</v>
      </c>
      <c r="CS20" s="279">
        <f>(CQ20/'Finance Only'!B23)*100</f>
        <v>0.21048528551939194</v>
      </c>
      <c r="CT20" s="262">
        <f t="shared" si="62"/>
        <v>26250</v>
      </c>
      <c r="CU20" s="262">
        <v>26294</v>
      </c>
      <c r="CV20" s="263">
        <f t="shared" si="19"/>
        <v>44</v>
      </c>
      <c r="CW20" s="278">
        <f t="shared" si="63"/>
        <v>3</v>
      </c>
      <c r="CX20" s="279">
        <f>(CV20/'Finance Only'!B23)*100</f>
        <v>0.17150652894172674</v>
      </c>
      <c r="CY20" s="262">
        <f t="shared" si="64"/>
        <v>43586</v>
      </c>
      <c r="CZ20" s="262">
        <v>43687</v>
      </c>
      <c r="DA20" s="263">
        <f t="shared" si="20"/>
        <v>101</v>
      </c>
      <c r="DB20" s="278">
        <f t="shared" si="65"/>
        <v>11</v>
      </c>
      <c r="DC20" s="279">
        <f>(DA20/'Finance Only'!B23)*100</f>
        <v>0.39368544143441825</v>
      </c>
      <c r="DD20" s="262">
        <f t="shared" si="66"/>
        <v>32860</v>
      </c>
      <c r="DE20" s="262">
        <v>32945</v>
      </c>
      <c r="DF20" s="263">
        <f t="shared" si="21"/>
        <v>85</v>
      </c>
      <c r="DG20" s="278">
        <f t="shared" si="67"/>
        <v>2</v>
      </c>
      <c r="DH20" s="279">
        <f>(DF20/'Finance Only'!B23)*100</f>
        <v>0.33131943091015398</v>
      </c>
      <c r="DI20" s="262">
        <f t="shared" si="68"/>
        <v>30270</v>
      </c>
      <c r="DJ20" s="262">
        <v>30323</v>
      </c>
      <c r="DK20" s="263">
        <f t="shared" si="22"/>
        <v>53</v>
      </c>
      <c r="DL20" s="278">
        <f t="shared" si="69"/>
        <v>-14</v>
      </c>
      <c r="DM20" s="279">
        <f>(DK20/'Finance Only'!B23)*100</f>
        <v>0.20658740986162541</v>
      </c>
      <c r="DN20" s="262">
        <f t="shared" si="70"/>
        <v>20261</v>
      </c>
      <c r="DO20" s="262">
        <v>20313</v>
      </c>
      <c r="DP20" s="263">
        <f t="shared" si="23"/>
        <v>52</v>
      </c>
      <c r="DQ20" s="278">
        <f t="shared" si="71"/>
        <v>3</v>
      </c>
      <c r="DR20" s="279">
        <f>(DP20/'Finance Only'!B23)*100</f>
        <v>0.20268953420385888</v>
      </c>
      <c r="DS20" s="262">
        <f t="shared" si="72"/>
        <v>54116</v>
      </c>
      <c r="DT20" s="262">
        <v>54211</v>
      </c>
      <c r="DU20" s="263">
        <f t="shared" si="24"/>
        <v>95</v>
      </c>
      <c r="DV20" s="278">
        <f t="shared" si="73"/>
        <v>-93</v>
      </c>
      <c r="DW20" s="279">
        <f>(DU20/'Finance Only'!B23)*100</f>
        <v>0.37029818748781912</v>
      </c>
      <c r="DX20" s="262">
        <f t="shared" si="74"/>
        <v>37343</v>
      </c>
      <c r="DY20" s="262">
        <v>37406</v>
      </c>
      <c r="DZ20" s="263">
        <f t="shared" si="25"/>
        <v>63</v>
      </c>
      <c r="EA20" s="278">
        <f t="shared" si="75"/>
        <v>-1</v>
      </c>
      <c r="EB20" s="279">
        <f>(DZ20/'Finance Only'!B23)*100</f>
        <v>0.24556616643929058</v>
      </c>
      <c r="EC20" s="262">
        <f t="shared" si="76"/>
        <v>11549</v>
      </c>
      <c r="ED20" s="262">
        <v>11571</v>
      </c>
      <c r="EE20" s="263">
        <f t="shared" si="26"/>
        <v>22</v>
      </c>
      <c r="EF20" s="278">
        <f t="shared" si="77"/>
        <v>0</v>
      </c>
      <c r="EG20" s="279">
        <f>(EE20/'Finance Only'!B23)*100</f>
        <v>8.5753264470863372E-2</v>
      </c>
      <c r="EH20" s="262">
        <f t="shared" si="78"/>
        <v>10322</v>
      </c>
      <c r="EI20" s="262">
        <v>10340</v>
      </c>
      <c r="EJ20" s="263">
        <f t="shared" si="27"/>
        <v>18</v>
      </c>
      <c r="EK20" s="278">
        <f t="shared" si="79"/>
        <v>-16</v>
      </c>
      <c r="EL20" s="279">
        <f>(EJ20/'Finance Only'!B23)*100</f>
        <v>7.0161761839797304E-2</v>
      </c>
      <c r="EM20" s="262">
        <f t="shared" si="80"/>
        <v>20519</v>
      </c>
      <c r="EN20" s="262">
        <v>20568</v>
      </c>
      <c r="EO20" s="263">
        <f t="shared" si="28"/>
        <v>49</v>
      </c>
      <c r="EP20" s="278">
        <f t="shared" si="81"/>
        <v>3</v>
      </c>
      <c r="EQ20" s="279">
        <f>(EO20/'Finance Only'!B23)*100</f>
        <v>0.19099590723055934</v>
      </c>
      <c r="ER20" s="262">
        <f t="shared" si="82"/>
        <v>44005</v>
      </c>
      <c r="ES20" s="262">
        <v>44438</v>
      </c>
      <c r="ET20" s="263">
        <f t="shared" si="29"/>
        <v>433</v>
      </c>
      <c r="EU20" s="278">
        <f t="shared" si="83"/>
        <v>14</v>
      </c>
      <c r="EV20" s="279">
        <f>(ET20/'Finance Only'!B23)*100</f>
        <v>1.6877801598129021</v>
      </c>
    </row>
    <row r="21" spans="1:1086" s="3" customFormat="1" ht="13.5" customHeight="1" x14ac:dyDescent="0.2">
      <c r="A21" s="325">
        <v>17</v>
      </c>
      <c r="B21" s="331">
        <f>'Finance Only'!G24</f>
        <v>0</v>
      </c>
      <c r="C21" s="323">
        <f t="shared" si="30"/>
        <v>25762069</v>
      </c>
      <c r="D21" s="260">
        <v>25764418</v>
      </c>
      <c r="E21" s="261">
        <f t="shared" si="0"/>
        <v>2349</v>
      </c>
      <c r="F21" s="274">
        <f t="shared" si="31"/>
        <v>11</v>
      </c>
      <c r="G21" s="275">
        <f>(E21/'Finance Only'!B24)*100</f>
        <v>9.3720076603894036</v>
      </c>
      <c r="H21" s="287">
        <f t="shared" si="84"/>
        <v>22947146</v>
      </c>
      <c r="I21" s="260">
        <v>22950852</v>
      </c>
      <c r="J21" s="260">
        <f t="shared" si="32"/>
        <v>3706</v>
      </c>
      <c r="K21" s="288">
        <f t="shared" si="33"/>
        <v>-254</v>
      </c>
      <c r="L21" s="289">
        <f>(J21/'Finance Only'!B24)*100</f>
        <v>14.786147462496011</v>
      </c>
      <c r="M21" s="270">
        <f>N20</f>
        <v>86514692</v>
      </c>
      <c r="N21" s="262">
        <v>86528446</v>
      </c>
      <c r="O21" s="263">
        <f t="shared" si="1"/>
        <v>13754</v>
      </c>
      <c r="P21" s="278">
        <f t="shared" si="35"/>
        <v>-132</v>
      </c>
      <c r="Q21" s="279">
        <f>(O21/'Finance Only'!B24)*100</f>
        <v>54.875518672199178</v>
      </c>
      <c r="R21" s="269">
        <f t="shared" si="85"/>
        <v>21213</v>
      </c>
      <c r="S21" s="262">
        <v>21234</v>
      </c>
      <c r="T21" s="263">
        <f t="shared" si="2"/>
        <v>21</v>
      </c>
      <c r="U21" s="278">
        <f t="shared" si="36"/>
        <v>0</v>
      </c>
      <c r="V21" s="279">
        <f>(T21/'Finance Only'!B24)*100</f>
        <v>8.378550909671241E-2</v>
      </c>
      <c r="W21" s="262">
        <f>X20</f>
        <v>2870800</v>
      </c>
      <c r="X21" s="262">
        <v>2873321</v>
      </c>
      <c r="Y21" s="263">
        <f t="shared" si="3"/>
        <v>2521</v>
      </c>
      <c r="Z21" s="278">
        <f t="shared" si="37"/>
        <v>-124</v>
      </c>
      <c r="AA21" s="279">
        <f>(Y21/'Finance Only'!B24)*100</f>
        <v>10.058250877752952</v>
      </c>
      <c r="AB21" s="262">
        <f t="shared" si="38"/>
        <v>17573</v>
      </c>
      <c r="AC21" s="262">
        <v>17592</v>
      </c>
      <c r="AD21" s="263">
        <f t="shared" si="4"/>
        <v>19</v>
      </c>
      <c r="AE21" s="278">
        <f t="shared" si="39"/>
        <v>1</v>
      </c>
      <c r="AF21" s="279">
        <f>(AD21/'Finance Only'!B24)*100</f>
        <v>7.5805936801787432E-2</v>
      </c>
      <c r="AG21" s="262">
        <f>AH20</f>
        <v>780013</v>
      </c>
      <c r="AH21" s="262">
        <v>780732</v>
      </c>
      <c r="AI21" s="263">
        <f t="shared" si="5"/>
        <v>719</v>
      </c>
      <c r="AJ21" s="278">
        <f t="shared" si="40"/>
        <v>66</v>
      </c>
      <c r="AK21" s="279">
        <f>(AI21/'Finance Only'!B24)*100</f>
        <v>2.8686562400255347</v>
      </c>
      <c r="AL21" s="262">
        <f>AM20</f>
        <v>80933</v>
      </c>
      <c r="AM21" s="262">
        <v>81002</v>
      </c>
      <c r="AN21" s="263">
        <f t="shared" si="6"/>
        <v>69</v>
      </c>
      <c r="AO21" s="278">
        <f t="shared" si="41"/>
        <v>3</v>
      </c>
      <c r="AP21" s="279">
        <f>(AN21/'Finance Only'!B24)*100</f>
        <v>0.27529524417491225</v>
      </c>
      <c r="AQ21" s="262">
        <f>AR20</f>
        <v>18282</v>
      </c>
      <c r="AR21" s="262">
        <v>18291</v>
      </c>
      <c r="AS21" s="263">
        <f t="shared" si="7"/>
        <v>9</v>
      </c>
      <c r="AT21" s="278">
        <f t="shared" si="42"/>
        <v>-3</v>
      </c>
      <c r="AU21" s="279">
        <f>(AS21/'Finance Only'!B24)*100</f>
        <v>3.5908075327162468E-2</v>
      </c>
      <c r="AV21" s="262">
        <f t="shared" si="8"/>
        <v>526508</v>
      </c>
      <c r="AW21" s="262">
        <v>526954</v>
      </c>
      <c r="AX21" s="263">
        <f t="shared" si="9"/>
        <v>446</v>
      </c>
      <c r="AY21" s="278">
        <f t="shared" si="43"/>
        <v>23</v>
      </c>
      <c r="AZ21" s="279">
        <f>(AX21/'Finance Only'!B24)*100</f>
        <v>1.7794446217682731</v>
      </c>
      <c r="BA21" s="262">
        <f t="shared" si="10"/>
        <v>70056</v>
      </c>
      <c r="BB21" s="262">
        <v>70151</v>
      </c>
      <c r="BC21" s="263">
        <f t="shared" si="11"/>
        <v>95</v>
      </c>
      <c r="BD21" s="278">
        <f t="shared" si="44"/>
        <v>0</v>
      </c>
      <c r="BE21" s="279">
        <f>(BC21/'Finance Only'!B24)*100</f>
        <v>0.37902968400893711</v>
      </c>
      <c r="BF21" s="262">
        <f t="shared" si="45"/>
        <v>79966</v>
      </c>
      <c r="BG21" s="262">
        <v>80055</v>
      </c>
      <c r="BH21" s="263">
        <f t="shared" si="12"/>
        <v>89</v>
      </c>
      <c r="BI21" s="278">
        <f t="shared" si="46"/>
        <v>-3</v>
      </c>
      <c r="BJ21" s="279">
        <f>(BH21/'Finance Only'!B24)*100</f>
        <v>0.35509096712416216</v>
      </c>
      <c r="BK21" s="262">
        <f t="shared" si="47"/>
        <v>12470</v>
      </c>
      <c r="BL21" s="262">
        <v>12484</v>
      </c>
      <c r="BM21" s="263">
        <f t="shared" si="13"/>
        <v>14</v>
      </c>
      <c r="BN21" s="278">
        <f t="shared" si="48"/>
        <v>1</v>
      </c>
      <c r="BO21" s="279">
        <f>(BM21/'Finance Only'!B24)*100</f>
        <v>5.585700606447494E-2</v>
      </c>
      <c r="BP21" s="262">
        <f t="shared" si="49"/>
        <v>72501</v>
      </c>
      <c r="BQ21" s="262">
        <v>72636</v>
      </c>
      <c r="BR21" s="263">
        <f t="shared" si="14"/>
        <v>135</v>
      </c>
      <c r="BS21" s="278">
        <f t="shared" si="50"/>
        <v>-3</v>
      </c>
      <c r="BT21" s="279">
        <f>(BR21/'Finance Only'!B24)*100</f>
        <v>0.53862112990743694</v>
      </c>
      <c r="BU21" s="262">
        <f t="shared" si="51"/>
        <v>39117</v>
      </c>
      <c r="BV21" s="262">
        <v>39153</v>
      </c>
      <c r="BW21" s="263">
        <f t="shared" si="15"/>
        <v>36</v>
      </c>
      <c r="BX21" s="278">
        <f t="shared" si="52"/>
        <v>-1</v>
      </c>
      <c r="BY21" s="279">
        <f>(BW21/'Finance Only'!B24)*100</f>
        <v>0.14363230130864987</v>
      </c>
      <c r="BZ21" s="262">
        <f t="shared" si="53"/>
        <v>55073</v>
      </c>
      <c r="CA21" s="262">
        <v>55197</v>
      </c>
      <c r="CB21" s="263">
        <f t="shared" si="16"/>
        <v>124</v>
      </c>
      <c r="CC21" s="278">
        <f t="shared" si="54"/>
        <v>-2</v>
      </c>
      <c r="CD21" s="279">
        <f>(CB21/'Finance Only'!B24)*100</f>
        <v>0.49473348228534947</v>
      </c>
      <c r="CE21" s="262">
        <f t="shared" si="55"/>
        <v>16486</v>
      </c>
      <c r="CF21" s="262">
        <v>16536</v>
      </c>
      <c r="CG21" s="263">
        <f t="shared" si="17"/>
        <v>50</v>
      </c>
      <c r="CH21" s="278">
        <f t="shared" si="56"/>
        <v>11</v>
      </c>
      <c r="CI21" s="279">
        <f>(CG21/'Finance Only'!B24)*100</f>
        <v>0.19948930737312479</v>
      </c>
      <c r="CJ21" s="263">
        <f t="shared" si="57"/>
        <v>37693</v>
      </c>
      <c r="CK21" s="263">
        <v>37774</v>
      </c>
      <c r="CL21" s="263">
        <f t="shared" si="58"/>
        <v>81</v>
      </c>
      <c r="CM21" s="278">
        <f t="shared" si="59"/>
        <v>-16</v>
      </c>
      <c r="CN21" s="279">
        <f>(CL21/'Finance Only'!B24)*100</f>
        <v>0.32317267794446214</v>
      </c>
      <c r="CO21" s="262">
        <f t="shared" si="60"/>
        <v>29868</v>
      </c>
      <c r="CP21" s="262">
        <v>29915</v>
      </c>
      <c r="CQ21" s="264">
        <f t="shared" si="18"/>
        <v>47</v>
      </c>
      <c r="CR21" s="278">
        <f t="shared" si="61"/>
        <v>-7</v>
      </c>
      <c r="CS21" s="279">
        <f>(CQ21/'Finance Only'!B24)*100</f>
        <v>0.18751994893073731</v>
      </c>
      <c r="CT21" s="262">
        <f t="shared" si="62"/>
        <v>26294</v>
      </c>
      <c r="CU21" s="262">
        <v>26335</v>
      </c>
      <c r="CV21" s="263">
        <f t="shared" si="19"/>
        <v>41</v>
      </c>
      <c r="CW21" s="278">
        <f t="shared" si="63"/>
        <v>-3</v>
      </c>
      <c r="CX21" s="279">
        <f>(CV21/'Finance Only'!B24)*100</f>
        <v>0.16358123204596234</v>
      </c>
      <c r="CY21" s="262">
        <f t="shared" si="64"/>
        <v>43687</v>
      </c>
      <c r="CZ21" s="262">
        <v>43773</v>
      </c>
      <c r="DA21" s="263">
        <f>CZ21-CY21</f>
        <v>86</v>
      </c>
      <c r="DB21" s="278">
        <f t="shared" si="65"/>
        <v>-15</v>
      </c>
      <c r="DC21" s="279">
        <f>(DA21/'Finance Only'!B24)*100</f>
        <v>0.34312160868177466</v>
      </c>
      <c r="DD21" s="262">
        <f t="shared" si="66"/>
        <v>32945</v>
      </c>
      <c r="DE21" s="262">
        <v>33027</v>
      </c>
      <c r="DF21" s="263">
        <f t="shared" si="21"/>
        <v>82</v>
      </c>
      <c r="DG21" s="278">
        <f t="shared" si="67"/>
        <v>-3</v>
      </c>
      <c r="DH21" s="279">
        <f>(DF21/'Finance Only'!B24)*100</f>
        <v>0.32716246409192468</v>
      </c>
      <c r="DI21" s="262">
        <f t="shared" si="68"/>
        <v>30323</v>
      </c>
      <c r="DJ21" s="262">
        <v>30372</v>
      </c>
      <c r="DK21" s="263">
        <f t="shared" si="22"/>
        <v>49</v>
      </c>
      <c r="DL21" s="278">
        <f t="shared" si="69"/>
        <v>-4</v>
      </c>
      <c r="DM21" s="279">
        <f>(DK21/'Finance Only'!B24)*100</f>
        <v>0.1954995212256623</v>
      </c>
      <c r="DN21" s="262">
        <f t="shared" si="70"/>
        <v>20313</v>
      </c>
      <c r="DO21" s="262">
        <v>20359</v>
      </c>
      <c r="DP21" s="263">
        <f t="shared" si="23"/>
        <v>46</v>
      </c>
      <c r="DQ21" s="278">
        <f t="shared" si="71"/>
        <v>-6</v>
      </c>
      <c r="DR21" s="279">
        <f>(DP21/'Finance Only'!B24)*100</f>
        <v>0.1835301627832748</v>
      </c>
      <c r="DS21" s="262">
        <f t="shared" si="72"/>
        <v>54211</v>
      </c>
      <c r="DT21" s="262">
        <v>54298</v>
      </c>
      <c r="DU21" s="263">
        <f t="shared" si="24"/>
        <v>87</v>
      </c>
      <c r="DV21" s="278">
        <f t="shared" si="73"/>
        <v>-8</v>
      </c>
      <c r="DW21" s="279">
        <f>(DU21/'Finance Only'!B24)*100</f>
        <v>0.34711139482923714</v>
      </c>
      <c r="DX21" s="262">
        <f t="shared" si="74"/>
        <v>37406</v>
      </c>
      <c r="DY21" s="262">
        <v>37466</v>
      </c>
      <c r="DZ21" s="263">
        <f t="shared" si="25"/>
        <v>60</v>
      </c>
      <c r="EA21" s="278">
        <f t="shared" si="75"/>
        <v>-3</v>
      </c>
      <c r="EB21" s="279">
        <f>(DZ21/'Finance Only'!B24)*100</f>
        <v>0.23938716884774977</v>
      </c>
      <c r="EC21" s="262">
        <f t="shared" si="76"/>
        <v>11571</v>
      </c>
      <c r="ED21" s="262">
        <v>11594</v>
      </c>
      <c r="EE21" s="263">
        <f t="shared" si="26"/>
        <v>23</v>
      </c>
      <c r="EF21" s="278">
        <f t="shared" si="77"/>
        <v>1</v>
      </c>
      <c r="EG21" s="279">
        <f>(EE21/'Finance Only'!B24)*100</f>
        <v>9.1765081391637401E-2</v>
      </c>
      <c r="EH21" s="262">
        <f t="shared" si="78"/>
        <v>10340</v>
      </c>
      <c r="EI21" s="262">
        <v>10369</v>
      </c>
      <c r="EJ21" s="263">
        <f t="shared" si="27"/>
        <v>29</v>
      </c>
      <c r="EK21" s="278">
        <f t="shared" si="79"/>
        <v>11</v>
      </c>
      <c r="EL21" s="279">
        <f>(EJ21/'Finance Only'!B24)*100</f>
        <v>0.11570379827641239</v>
      </c>
      <c r="EM21" s="262">
        <f t="shared" si="80"/>
        <v>20568</v>
      </c>
      <c r="EN21" s="262">
        <v>20613</v>
      </c>
      <c r="EO21" s="263">
        <f t="shared" si="28"/>
        <v>45</v>
      </c>
      <c r="EP21" s="278">
        <f t="shared" si="81"/>
        <v>-4</v>
      </c>
      <c r="EQ21" s="279">
        <f>(EO21/'Finance Only'!B24)*100</f>
        <v>0.17954037663581232</v>
      </c>
      <c r="ER21" s="262">
        <f t="shared" si="82"/>
        <v>44438</v>
      </c>
      <c r="ES21" s="262">
        <v>44811</v>
      </c>
      <c r="ET21" s="263">
        <f t="shared" si="29"/>
        <v>373</v>
      </c>
      <c r="EU21" s="278">
        <f t="shared" si="83"/>
        <v>-60</v>
      </c>
      <c r="EV21" s="279">
        <f>(ET21/'Finance Only'!B24)*100</f>
        <v>1.4881902330035108</v>
      </c>
    </row>
    <row r="22" spans="1:1086" s="3" customFormat="1" ht="13.5" customHeight="1" x14ac:dyDescent="0.2">
      <c r="A22" s="325">
        <v>18</v>
      </c>
      <c r="B22" s="331">
        <f>'Finance Only'!G25</f>
        <v>0</v>
      </c>
      <c r="C22" s="323">
        <f t="shared" si="30"/>
        <v>25764418</v>
      </c>
      <c r="D22" s="260"/>
      <c r="E22" s="261">
        <f t="shared" si="0"/>
        <v>-25764418</v>
      </c>
      <c r="F22" s="274">
        <f t="shared" si="31"/>
        <v>-25766767</v>
      </c>
      <c r="G22" s="275">
        <f>(E22/'Finance Only'!B25)*100</f>
        <v>28.086903857397417</v>
      </c>
      <c r="H22" s="287">
        <f t="shared" si="84"/>
        <v>22950852</v>
      </c>
      <c r="I22" s="260"/>
      <c r="J22" s="260">
        <f t="shared" si="32"/>
        <v>-22950852</v>
      </c>
      <c r="K22" s="288">
        <f t="shared" si="33"/>
        <v>-22954558</v>
      </c>
      <c r="L22" s="289">
        <f>(J22/'Finance Only'!B25)*100</f>
        <v>25.019714148767385</v>
      </c>
      <c r="M22" s="270">
        <f>N21</f>
        <v>86528446</v>
      </c>
      <c r="N22" s="262"/>
      <c r="O22" s="263">
        <f t="shared" si="1"/>
        <v>-86528446</v>
      </c>
      <c r="P22" s="278">
        <f t="shared" si="35"/>
        <v>-86542200</v>
      </c>
      <c r="Q22" s="279">
        <f>(O22/'Finance Only'!B25)*100</f>
        <v>94.328392891778265</v>
      </c>
      <c r="R22" s="269">
        <f t="shared" si="85"/>
        <v>21234</v>
      </c>
      <c r="S22" s="262"/>
      <c r="T22" s="263">
        <f t="shared" si="2"/>
        <v>-21234</v>
      </c>
      <c r="U22" s="278">
        <f t="shared" si="36"/>
        <v>-21255</v>
      </c>
      <c r="V22" s="279">
        <f>(T22/'Finance Only'!B25)*100</f>
        <v>2.3148099697341377E-2</v>
      </c>
      <c r="W22" s="262">
        <f>X21</f>
        <v>2873321</v>
      </c>
      <c r="X22" s="262"/>
      <c r="Y22" s="263">
        <f t="shared" si="3"/>
        <v>-2873321</v>
      </c>
      <c r="Z22" s="278">
        <f t="shared" si="37"/>
        <v>-2875842</v>
      </c>
      <c r="AA22" s="279">
        <f>(Y22/'Finance Only'!B25)*100</f>
        <v>3.1323312126996621</v>
      </c>
      <c r="AB22" s="262">
        <f t="shared" si="38"/>
        <v>17592</v>
      </c>
      <c r="AC22" s="262"/>
      <c r="AD22" s="263">
        <f t="shared" si="4"/>
        <v>-17592</v>
      </c>
      <c r="AE22" s="278">
        <f t="shared" si="39"/>
        <v>-17611</v>
      </c>
      <c r="AF22" s="279">
        <f>(AD22/'Finance Only'!B25)*100</f>
        <v>1.9177798336424107E-2</v>
      </c>
      <c r="AG22" s="262">
        <f>AH21</f>
        <v>780732</v>
      </c>
      <c r="AH22" s="262"/>
      <c r="AI22" s="263">
        <f t="shared" si="5"/>
        <v>-780732</v>
      </c>
      <c r="AJ22" s="278">
        <f t="shared" si="40"/>
        <v>-781451</v>
      </c>
      <c r="AK22" s="279">
        <f>(AI22/'Finance Only'!B25)*100</f>
        <v>0.85110964363307551</v>
      </c>
      <c r="AL22" s="262">
        <f>AM21</f>
        <v>81002</v>
      </c>
      <c r="AM22" s="262"/>
      <c r="AN22" s="263">
        <f t="shared" si="6"/>
        <v>-81002</v>
      </c>
      <c r="AO22" s="278">
        <f t="shared" si="41"/>
        <v>-81071</v>
      </c>
      <c r="AP22" s="279">
        <f>(AN22/'Finance Only'!B25)*100</f>
        <v>8.830377562795734E-2</v>
      </c>
      <c r="AQ22" s="262">
        <f>AR21</f>
        <v>18291</v>
      </c>
      <c r="AR22" s="262"/>
      <c r="AS22" s="263">
        <f t="shared" si="7"/>
        <v>-18291</v>
      </c>
      <c r="AT22" s="278">
        <f t="shared" si="42"/>
        <v>-18300</v>
      </c>
      <c r="AU22" s="279">
        <f>(AS22/'Finance Only'!B25)*100</f>
        <v>1.9939808399928E-2</v>
      </c>
      <c r="AV22" s="262">
        <f t="shared" si="8"/>
        <v>526954</v>
      </c>
      <c r="AW22" s="262"/>
      <c r="AX22" s="263">
        <f t="shared" si="9"/>
        <v>-526954</v>
      </c>
      <c r="AY22" s="278">
        <f t="shared" si="43"/>
        <v>-527400</v>
      </c>
      <c r="AZ22" s="279">
        <f>(AX22/'Finance Only'!B25)*100</f>
        <v>0.57445529471191614</v>
      </c>
      <c r="BA22" s="262">
        <f t="shared" si="10"/>
        <v>70151</v>
      </c>
      <c r="BB22" s="262"/>
      <c r="BC22" s="263">
        <f t="shared" si="11"/>
        <v>-70151</v>
      </c>
      <c r="BD22" s="278">
        <f t="shared" si="44"/>
        <v>-70246</v>
      </c>
      <c r="BE22" s="279">
        <f>(BC22/'Finance Only'!B25)*100</f>
        <v>7.6474632281632995E-2</v>
      </c>
      <c r="BF22" s="262">
        <f t="shared" si="45"/>
        <v>80055</v>
      </c>
      <c r="BG22" s="262"/>
      <c r="BH22" s="263">
        <f t="shared" si="12"/>
        <v>-80055</v>
      </c>
      <c r="BI22" s="278">
        <f t="shared" si="46"/>
        <v>-80144</v>
      </c>
      <c r="BJ22" s="279">
        <f>(BH22/'Finance Only'!B25)*100</f>
        <v>8.7271410062666657E-2</v>
      </c>
      <c r="BK22" s="262">
        <f t="shared" si="47"/>
        <v>12484</v>
      </c>
      <c r="BL22" s="262"/>
      <c r="BM22" s="263">
        <f t="shared" si="13"/>
        <v>-12484</v>
      </c>
      <c r="BN22" s="278">
        <f t="shared" si="48"/>
        <v>-12498</v>
      </c>
      <c r="BO22" s="279">
        <f>(BM22/'Finance Only'!B25)*100</f>
        <v>1.3609347114138163E-2</v>
      </c>
      <c r="BP22" s="262">
        <f t="shared" si="49"/>
        <v>72636</v>
      </c>
      <c r="BQ22" s="262"/>
      <c r="BR22" s="263">
        <f t="shared" si="14"/>
        <v>-72636</v>
      </c>
      <c r="BS22" s="278">
        <f t="shared" si="50"/>
        <v>-72771</v>
      </c>
      <c r="BT22" s="279">
        <f>(BR22/'Finance Only'!B25)*100</f>
        <v>7.9183638015262708E-2</v>
      </c>
      <c r="BU22" s="262">
        <f t="shared" si="51"/>
        <v>39153</v>
      </c>
      <c r="BV22" s="262"/>
      <c r="BW22" s="263">
        <f t="shared" si="15"/>
        <v>-39153</v>
      </c>
      <c r="BX22" s="278">
        <f t="shared" si="52"/>
        <v>-39189</v>
      </c>
      <c r="BY22" s="279">
        <f>(BW22/'Finance Only'!B25)*100</f>
        <v>4.2682374844589192E-2</v>
      </c>
      <c r="BZ22" s="262">
        <f t="shared" si="53"/>
        <v>55197</v>
      </c>
      <c r="CA22" s="262"/>
      <c r="CB22" s="263">
        <f t="shared" si="16"/>
        <v>-55197</v>
      </c>
      <c r="CC22" s="278">
        <f t="shared" si="54"/>
        <v>-55321</v>
      </c>
      <c r="CD22" s="279">
        <f>(CB22/'Finance Only'!B25)*100</f>
        <v>6.0172631581150611E-2</v>
      </c>
      <c r="CE22" s="262">
        <f t="shared" si="55"/>
        <v>16536</v>
      </c>
      <c r="CF22" s="262"/>
      <c r="CG22" s="263">
        <f t="shared" si="17"/>
        <v>-16536</v>
      </c>
      <c r="CH22" s="278">
        <f t="shared" si="56"/>
        <v>-16586</v>
      </c>
      <c r="CI22" s="279">
        <f>(CG22/'Finance Only'!B25)*100</f>
        <v>1.8026607167525525E-2</v>
      </c>
      <c r="CJ22" s="263">
        <f t="shared" si="57"/>
        <v>37774</v>
      </c>
      <c r="CK22" s="263"/>
      <c r="CL22" s="263">
        <f t="shared" si="58"/>
        <v>-37774</v>
      </c>
      <c r="CM22" s="278">
        <f t="shared" si="59"/>
        <v>-37855</v>
      </c>
      <c r="CN22" s="279">
        <f>(CL22/'Finance Only'!B25)*100</f>
        <v>4.1179067437476367E-2</v>
      </c>
      <c r="CO22" s="262">
        <f t="shared" si="60"/>
        <v>29915</v>
      </c>
      <c r="CP22" s="262"/>
      <c r="CQ22" s="264">
        <f t="shared" si="18"/>
        <v>-29915</v>
      </c>
      <c r="CR22" s="278">
        <f t="shared" si="61"/>
        <v>-29962</v>
      </c>
      <c r="CS22" s="279">
        <f>(CQ22/'Finance Only'!B25)*100</f>
        <v>3.2611632403031332E-2</v>
      </c>
      <c r="CT22" s="262">
        <f t="shared" si="62"/>
        <v>26335</v>
      </c>
      <c r="CU22" s="262"/>
      <c r="CV22" s="263">
        <f t="shared" si="19"/>
        <v>-26335</v>
      </c>
      <c r="CW22" s="278">
        <f t="shared" si="63"/>
        <v>-26376</v>
      </c>
      <c r="CX22" s="279">
        <f>(CV22/'Finance Only'!B25)*100</f>
        <v>2.8708919917560756E-2</v>
      </c>
      <c r="CY22" s="262">
        <f>CZ21</f>
        <v>43773</v>
      </c>
      <c r="CZ22" s="262"/>
      <c r="DA22" s="263">
        <f>CZ22-CY22</f>
        <v>-43773</v>
      </c>
      <c r="DB22" s="278">
        <f t="shared" si="65"/>
        <v>-43859</v>
      </c>
      <c r="DC22" s="279">
        <f>(DA22/'Finance Only'!B25)*100</f>
        <v>4.7718836208520486E-2</v>
      </c>
      <c r="DD22" s="262">
        <f t="shared" si="66"/>
        <v>33027</v>
      </c>
      <c r="DE22" s="262"/>
      <c r="DF22" s="263">
        <f t="shared" si="21"/>
        <v>-33027</v>
      </c>
      <c r="DG22" s="278">
        <f t="shared" si="67"/>
        <v>-33109</v>
      </c>
      <c r="DH22" s="279">
        <f>(DF22/'Finance Only'!B25)*100</f>
        <v>3.6004157893194576E-2</v>
      </c>
      <c r="DI22" s="262">
        <f t="shared" si="68"/>
        <v>30372</v>
      </c>
      <c r="DJ22" s="262"/>
      <c r="DK22" s="263">
        <f t="shared" si="22"/>
        <v>-30372</v>
      </c>
      <c r="DL22" s="278">
        <f t="shared" si="69"/>
        <v>-30421</v>
      </c>
      <c r="DM22" s="279">
        <f>(DK22/'Finance Only'!B25)*100</f>
        <v>3.3109827823662626E-2</v>
      </c>
      <c r="DN22" s="262">
        <f t="shared" si="70"/>
        <v>20359</v>
      </c>
      <c r="DO22" s="262"/>
      <c r="DP22" s="263">
        <f t="shared" si="23"/>
        <v>-20359</v>
      </c>
      <c r="DQ22" s="278">
        <f t="shared" si="71"/>
        <v>-20405</v>
      </c>
      <c r="DR22" s="279">
        <f>(DP22/'Finance Only'!B25)*100</f>
        <v>2.2194224439021054E-2</v>
      </c>
      <c r="DS22" s="262">
        <f t="shared" si="72"/>
        <v>54298</v>
      </c>
      <c r="DT22" s="262"/>
      <c r="DU22" s="263">
        <f t="shared" si="24"/>
        <v>-54298</v>
      </c>
      <c r="DV22" s="278">
        <f t="shared" si="73"/>
        <v>-54385</v>
      </c>
      <c r="DW22" s="279">
        <f>(DU22/'Finance Only'!B25)*100</f>
        <v>5.9192592887173497E-2</v>
      </c>
      <c r="DX22" s="262">
        <f t="shared" si="74"/>
        <v>37466</v>
      </c>
      <c r="DY22" s="262"/>
      <c r="DZ22" s="263">
        <f t="shared" si="25"/>
        <v>-37466</v>
      </c>
      <c r="EA22" s="278">
        <f t="shared" si="75"/>
        <v>-37526</v>
      </c>
      <c r="EB22" s="279">
        <f>(DZ22/'Finance Only'!B25)*100</f>
        <v>4.0843303346547614E-2</v>
      </c>
      <c r="EC22" s="262">
        <f t="shared" si="76"/>
        <v>11594</v>
      </c>
      <c r="ED22" s="262"/>
      <c r="EE22" s="263">
        <f t="shared" si="26"/>
        <v>-11594</v>
      </c>
      <c r="EF22" s="278">
        <f t="shared" si="77"/>
        <v>-11617</v>
      </c>
      <c r="EG22" s="279">
        <f>(EE22/'Finance Only'!B25)*100</f>
        <v>1.2639119708532348E-2</v>
      </c>
      <c r="EH22" s="262">
        <f t="shared" si="78"/>
        <v>10369</v>
      </c>
      <c r="EI22" s="262"/>
      <c r="EJ22" s="263">
        <f t="shared" si="27"/>
        <v>-10369</v>
      </c>
      <c r="EK22" s="278">
        <f t="shared" si="79"/>
        <v>-10398</v>
      </c>
      <c r="EL22" s="279">
        <f>(EJ22/'Finance Only'!B25)*100</f>
        <v>1.13036943468839E-2</v>
      </c>
      <c r="EM22" s="262">
        <f t="shared" si="80"/>
        <v>20613</v>
      </c>
      <c r="EN22" s="262"/>
      <c r="EO22" s="263">
        <f t="shared" si="28"/>
        <v>-20613</v>
      </c>
      <c r="EP22" s="278">
        <f t="shared" si="81"/>
        <v>-20658</v>
      </c>
      <c r="EQ22" s="279">
        <f>(EO22/'Finance Only'!B25)*100</f>
        <v>2.2471120799722043E-2</v>
      </c>
      <c r="ER22" s="262">
        <f t="shared" si="82"/>
        <v>44811</v>
      </c>
      <c r="ES22" s="265"/>
      <c r="ET22" s="263">
        <f t="shared" si="29"/>
        <v>-44811</v>
      </c>
      <c r="EU22" s="278">
        <f t="shared" si="83"/>
        <v>-45184</v>
      </c>
      <c r="EV22" s="279">
        <f>(ET22/'Finance Only'!B25)*100</f>
        <v>4.8850404800676483E-2</v>
      </c>
    </row>
    <row r="23" spans="1:1086" s="3" customFormat="1" ht="13.5" customHeight="1" x14ac:dyDescent="0.2">
      <c r="A23" s="325">
        <v>19</v>
      </c>
      <c r="B23" s="331">
        <f>'Finance Only'!G26</f>
        <v>0</v>
      </c>
      <c r="C23" s="323">
        <f t="shared" si="30"/>
        <v>0</v>
      </c>
      <c r="D23" s="260"/>
      <c r="E23" s="261">
        <f t="shared" si="0"/>
        <v>0</v>
      </c>
      <c r="F23" s="274">
        <f t="shared" si="31"/>
        <v>25764418</v>
      </c>
      <c r="G23" s="275" t="e">
        <f>(E23/'Finance Only'!B26)*100</f>
        <v>#DIV/0!</v>
      </c>
      <c r="H23" s="287">
        <f t="shared" si="84"/>
        <v>0</v>
      </c>
      <c r="I23" s="260"/>
      <c r="J23" s="260">
        <f t="shared" si="32"/>
        <v>0</v>
      </c>
      <c r="K23" s="288">
        <f t="shared" si="33"/>
        <v>22950852</v>
      </c>
      <c r="L23" s="289" t="e">
        <f>(J23/'Finance Only'!B26)*100</f>
        <v>#DIV/0!</v>
      </c>
      <c r="M23" s="270">
        <f>N22</f>
        <v>0</v>
      </c>
      <c r="N23" s="262"/>
      <c r="O23" s="263">
        <f t="shared" si="1"/>
        <v>0</v>
      </c>
      <c r="P23" s="278">
        <f t="shared" si="35"/>
        <v>86528446</v>
      </c>
      <c r="Q23" s="279" t="e">
        <f>(O23/'Finance Only'!B26)*100</f>
        <v>#DIV/0!</v>
      </c>
      <c r="R23" s="269">
        <f t="shared" si="85"/>
        <v>0</v>
      </c>
      <c r="S23" s="262"/>
      <c r="T23" s="263">
        <f t="shared" si="2"/>
        <v>0</v>
      </c>
      <c r="U23" s="278">
        <f t="shared" si="36"/>
        <v>21234</v>
      </c>
      <c r="V23" s="279" t="e">
        <f>(T23/'Finance Only'!B26)*100</f>
        <v>#DIV/0!</v>
      </c>
      <c r="W23" s="262">
        <f>X22</f>
        <v>0</v>
      </c>
      <c r="X23" s="262"/>
      <c r="Y23" s="263">
        <f t="shared" si="3"/>
        <v>0</v>
      </c>
      <c r="Z23" s="278">
        <f t="shared" si="37"/>
        <v>2873321</v>
      </c>
      <c r="AA23" s="279" t="e">
        <f>(Y23/'Finance Only'!B26)*100</f>
        <v>#DIV/0!</v>
      </c>
      <c r="AB23" s="262">
        <f t="shared" si="38"/>
        <v>0</v>
      </c>
      <c r="AC23" s="262"/>
      <c r="AD23" s="263">
        <f t="shared" si="4"/>
        <v>0</v>
      </c>
      <c r="AE23" s="278">
        <f t="shared" si="39"/>
        <v>17592</v>
      </c>
      <c r="AF23" s="279" t="e">
        <f>(AD23/'Finance Only'!B26)*100</f>
        <v>#DIV/0!</v>
      </c>
      <c r="AG23" s="262">
        <f>AH22</f>
        <v>0</v>
      </c>
      <c r="AH23" s="262"/>
      <c r="AI23" s="263">
        <f t="shared" si="5"/>
        <v>0</v>
      </c>
      <c r="AJ23" s="278">
        <f t="shared" si="40"/>
        <v>780732</v>
      </c>
      <c r="AK23" s="279" t="e">
        <f>(AI23/'Finance Only'!B26)*100</f>
        <v>#DIV/0!</v>
      </c>
      <c r="AL23" s="262">
        <f>AM22</f>
        <v>0</v>
      </c>
      <c r="AM23" s="262"/>
      <c r="AN23" s="263">
        <f t="shared" si="6"/>
        <v>0</v>
      </c>
      <c r="AO23" s="278">
        <f t="shared" si="41"/>
        <v>81002</v>
      </c>
      <c r="AP23" s="279" t="e">
        <f>(AN23/'Finance Only'!B26)*100</f>
        <v>#DIV/0!</v>
      </c>
      <c r="AQ23" s="262">
        <f>AR22</f>
        <v>0</v>
      </c>
      <c r="AR23" s="262"/>
      <c r="AS23" s="263">
        <f t="shared" si="7"/>
        <v>0</v>
      </c>
      <c r="AT23" s="278">
        <f t="shared" si="42"/>
        <v>18291</v>
      </c>
      <c r="AU23" s="279" t="e">
        <f>(AS23/'Finance Only'!B26)*100</f>
        <v>#DIV/0!</v>
      </c>
      <c r="AV23" s="262">
        <f t="shared" si="8"/>
        <v>0</v>
      </c>
      <c r="AW23" s="262"/>
      <c r="AX23" s="263">
        <f t="shared" si="9"/>
        <v>0</v>
      </c>
      <c r="AY23" s="278">
        <f t="shared" si="43"/>
        <v>526954</v>
      </c>
      <c r="AZ23" s="279" t="e">
        <f>(AX23/'Finance Only'!B26)*100</f>
        <v>#DIV/0!</v>
      </c>
      <c r="BA23" s="262">
        <f t="shared" si="10"/>
        <v>0</v>
      </c>
      <c r="BB23" s="262"/>
      <c r="BC23" s="263">
        <f t="shared" si="11"/>
        <v>0</v>
      </c>
      <c r="BD23" s="278">
        <f t="shared" si="44"/>
        <v>70151</v>
      </c>
      <c r="BE23" s="279" t="e">
        <f>(BC23/'Finance Only'!B26)*100</f>
        <v>#DIV/0!</v>
      </c>
      <c r="BF23" s="262">
        <f t="shared" si="45"/>
        <v>0</v>
      </c>
      <c r="BG23" s="262"/>
      <c r="BH23" s="263">
        <f t="shared" si="12"/>
        <v>0</v>
      </c>
      <c r="BI23" s="278">
        <f t="shared" si="46"/>
        <v>80055</v>
      </c>
      <c r="BJ23" s="279" t="e">
        <f>(BH23/'Finance Only'!B26)*100</f>
        <v>#DIV/0!</v>
      </c>
      <c r="BK23" s="262">
        <f t="shared" si="47"/>
        <v>0</v>
      </c>
      <c r="BL23" s="262"/>
      <c r="BM23" s="263">
        <f t="shared" si="13"/>
        <v>0</v>
      </c>
      <c r="BN23" s="278">
        <f t="shared" si="48"/>
        <v>12484</v>
      </c>
      <c r="BO23" s="279" t="e">
        <f>(BM23/'Finance Only'!B26)*100</f>
        <v>#DIV/0!</v>
      </c>
      <c r="BP23" s="262">
        <f t="shared" si="49"/>
        <v>0</v>
      </c>
      <c r="BQ23" s="262"/>
      <c r="BR23" s="263">
        <f t="shared" si="14"/>
        <v>0</v>
      </c>
      <c r="BS23" s="278">
        <f t="shared" si="50"/>
        <v>72636</v>
      </c>
      <c r="BT23" s="279" t="e">
        <f>(BR23/'Finance Only'!B26)*100</f>
        <v>#DIV/0!</v>
      </c>
      <c r="BU23" s="262">
        <f t="shared" si="51"/>
        <v>0</v>
      </c>
      <c r="BV23" s="262"/>
      <c r="BW23" s="263">
        <f t="shared" si="15"/>
        <v>0</v>
      </c>
      <c r="BX23" s="278">
        <f t="shared" si="52"/>
        <v>39153</v>
      </c>
      <c r="BY23" s="279" t="e">
        <f>(BW23/'Finance Only'!B26)*100</f>
        <v>#DIV/0!</v>
      </c>
      <c r="BZ23" s="262">
        <f t="shared" si="53"/>
        <v>0</v>
      </c>
      <c r="CA23" s="262"/>
      <c r="CB23" s="263">
        <f t="shared" si="16"/>
        <v>0</v>
      </c>
      <c r="CC23" s="278">
        <f t="shared" si="54"/>
        <v>55197</v>
      </c>
      <c r="CD23" s="279" t="e">
        <f>(CB23/'Finance Only'!B26)*100</f>
        <v>#DIV/0!</v>
      </c>
      <c r="CE23" s="262">
        <f t="shared" si="55"/>
        <v>0</v>
      </c>
      <c r="CF23" s="262"/>
      <c r="CG23" s="263">
        <f t="shared" si="17"/>
        <v>0</v>
      </c>
      <c r="CH23" s="278">
        <f t="shared" si="56"/>
        <v>16536</v>
      </c>
      <c r="CI23" s="279" t="e">
        <f>(CG23/'Finance Only'!B26)*100</f>
        <v>#DIV/0!</v>
      </c>
      <c r="CJ23" s="263">
        <f t="shared" si="57"/>
        <v>0</v>
      </c>
      <c r="CK23" s="263"/>
      <c r="CL23" s="263">
        <f t="shared" si="58"/>
        <v>0</v>
      </c>
      <c r="CM23" s="278">
        <f t="shared" si="59"/>
        <v>37774</v>
      </c>
      <c r="CN23" s="279" t="e">
        <f>(CL23/'Finance Only'!B26)*100</f>
        <v>#DIV/0!</v>
      </c>
      <c r="CO23" s="262">
        <f t="shared" si="60"/>
        <v>0</v>
      </c>
      <c r="CP23" s="262"/>
      <c r="CQ23" s="264">
        <f t="shared" si="18"/>
        <v>0</v>
      </c>
      <c r="CR23" s="278">
        <f t="shared" si="61"/>
        <v>29915</v>
      </c>
      <c r="CS23" s="279" t="e">
        <f>(CQ23/'Finance Only'!B26)*100</f>
        <v>#DIV/0!</v>
      </c>
      <c r="CT23" s="262">
        <f t="shared" si="62"/>
        <v>0</v>
      </c>
      <c r="CU23" s="262"/>
      <c r="CV23" s="263">
        <f t="shared" si="19"/>
        <v>0</v>
      </c>
      <c r="CW23" s="278">
        <f t="shared" si="63"/>
        <v>26335</v>
      </c>
      <c r="CX23" s="279" t="e">
        <f>(CV23/'Finance Only'!B26)*100</f>
        <v>#DIV/0!</v>
      </c>
      <c r="CY23" s="262">
        <f>CZ22</f>
        <v>0</v>
      </c>
      <c r="CZ23" s="262"/>
      <c r="DA23" s="263">
        <f t="shared" si="20"/>
        <v>0</v>
      </c>
      <c r="DB23" s="278">
        <f t="shared" si="65"/>
        <v>43773</v>
      </c>
      <c r="DC23" s="279" t="e">
        <f>(DA23/'Finance Only'!B26)*100</f>
        <v>#DIV/0!</v>
      </c>
      <c r="DD23" s="262">
        <f t="shared" si="66"/>
        <v>0</v>
      </c>
      <c r="DE23" s="262"/>
      <c r="DF23" s="263">
        <f t="shared" si="21"/>
        <v>0</v>
      </c>
      <c r="DG23" s="278">
        <f t="shared" si="67"/>
        <v>33027</v>
      </c>
      <c r="DH23" s="279" t="e">
        <f>(DF23/'Finance Only'!B26)*100</f>
        <v>#DIV/0!</v>
      </c>
      <c r="DI23" s="262">
        <f t="shared" si="68"/>
        <v>0</v>
      </c>
      <c r="DJ23" s="262"/>
      <c r="DK23" s="263">
        <f t="shared" si="22"/>
        <v>0</v>
      </c>
      <c r="DL23" s="278">
        <f t="shared" si="69"/>
        <v>30372</v>
      </c>
      <c r="DM23" s="279" t="e">
        <f>(DK23/'Finance Only'!B26)*100</f>
        <v>#DIV/0!</v>
      </c>
      <c r="DN23" s="262">
        <f t="shared" si="70"/>
        <v>0</v>
      </c>
      <c r="DO23" s="262"/>
      <c r="DP23" s="263">
        <f t="shared" si="23"/>
        <v>0</v>
      </c>
      <c r="DQ23" s="278">
        <f t="shared" si="71"/>
        <v>20359</v>
      </c>
      <c r="DR23" s="279" t="e">
        <f>(DP23/'Finance Only'!B26)*100</f>
        <v>#DIV/0!</v>
      </c>
      <c r="DS23" s="262">
        <f t="shared" si="72"/>
        <v>0</v>
      </c>
      <c r="DT23" s="262"/>
      <c r="DU23" s="263">
        <f t="shared" si="24"/>
        <v>0</v>
      </c>
      <c r="DV23" s="278">
        <f t="shared" si="73"/>
        <v>54298</v>
      </c>
      <c r="DW23" s="279" t="e">
        <f>(DU23/'Finance Only'!B26)*100</f>
        <v>#DIV/0!</v>
      </c>
      <c r="DX23" s="262">
        <f t="shared" si="74"/>
        <v>0</v>
      </c>
      <c r="DY23" s="262"/>
      <c r="DZ23" s="263">
        <f t="shared" si="25"/>
        <v>0</v>
      </c>
      <c r="EA23" s="278">
        <f t="shared" si="75"/>
        <v>37466</v>
      </c>
      <c r="EB23" s="279" t="e">
        <f>(DZ23/'Finance Only'!B26)*100</f>
        <v>#DIV/0!</v>
      </c>
      <c r="EC23" s="262">
        <f t="shared" si="76"/>
        <v>0</v>
      </c>
      <c r="ED23" s="262"/>
      <c r="EE23" s="263">
        <f t="shared" si="26"/>
        <v>0</v>
      </c>
      <c r="EF23" s="278">
        <f t="shared" si="77"/>
        <v>11594</v>
      </c>
      <c r="EG23" s="279" t="e">
        <f>(EE23/'Finance Only'!B26)*100</f>
        <v>#DIV/0!</v>
      </c>
      <c r="EH23" s="262">
        <f t="shared" si="78"/>
        <v>0</v>
      </c>
      <c r="EI23" s="262"/>
      <c r="EJ23" s="263">
        <f t="shared" si="27"/>
        <v>0</v>
      </c>
      <c r="EK23" s="278">
        <f t="shared" si="79"/>
        <v>10369</v>
      </c>
      <c r="EL23" s="279" t="e">
        <f>(EJ23/'Finance Only'!B26)*100</f>
        <v>#DIV/0!</v>
      </c>
      <c r="EM23" s="262">
        <f t="shared" si="80"/>
        <v>0</v>
      </c>
      <c r="EN23" s="262"/>
      <c r="EO23" s="263">
        <f t="shared" si="28"/>
        <v>0</v>
      </c>
      <c r="EP23" s="278">
        <f t="shared" si="81"/>
        <v>20613</v>
      </c>
      <c r="EQ23" s="279" t="e">
        <f>(EO23/'Finance Only'!B26)*100</f>
        <v>#DIV/0!</v>
      </c>
      <c r="ER23" s="262">
        <f t="shared" si="82"/>
        <v>0</v>
      </c>
      <c r="ES23" s="265"/>
      <c r="ET23" s="263">
        <f t="shared" si="29"/>
        <v>0</v>
      </c>
      <c r="EU23" s="278">
        <f t="shared" si="83"/>
        <v>44811</v>
      </c>
      <c r="EV23" s="279" t="e">
        <f>(ET23/'Finance Only'!B26)*100</f>
        <v>#DIV/0!</v>
      </c>
    </row>
    <row r="24" spans="1:1086" s="3" customFormat="1" ht="13.5" customHeight="1" x14ac:dyDescent="0.2">
      <c r="A24" s="325">
        <v>20</v>
      </c>
      <c r="B24" s="331">
        <f>'Finance Only'!G27</f>
        <v>0</v>
      </c>
      <c r="C24" s="323">
        <f t="shared" si="30"/>
        <v>0</v>
      </c>
      <c r="D24" s="260"/>
      <c r="E24" s="261">
        <f t="shared" si="0"/>
        <v>0</v>
      </c>
      <c r="F24" s="274">
        <f t="shared" si="31"/>
        <v>0</v>
      </c>
      <c r="G24" s="275" t="e">
        <f>(E24/'Finance Only'!B27)*100</f>
        <v>#DIV/0!</v>
      </c>
      <c r="H24" s="287">
        <f t="shared" si="84"/>
        <v>0</v>
      </c>
      <c r="I24" s="260"/>
      <c r="J24" s="260">
        <f t="shared" si="32"/>
        <v>0</v>
      </c>
      <c r="K24" s="288">
        <f t="shared" si="33"/>
        <v>0</v>
      </c>
      <c r="L24" s="289" t="e">
        <f>(J24/'Finance Only'!B27)*100</f>
        <v>#DIV/0!</v>
      </c>
      <c r="M24" s="270">
        <f t="shared" si="34"/>
        <v>0</v>
      </c>
      <c r="N24" s="262"/>
      <c r="O24" s="263">
        <f t="shared" si="1"/>
        <v>0</v>
      </c>
      <c r="P24" s="278">
        <f t="shared" si="35"/>
        <v>0</v>
      </c>
      <c r="Q24" s="279" t="e">
        <f>(O24/'Finance Only'!B27)*100</f>
        <v>#DIV/0!</v>
      </c>
      <c r="R24" s="269">
        <f t="shared" si="85"/>
        <v>0</v>
      </c>
      <c r="S24" s="262"/>
      <c r="T24" s="263">
        <f t="shared" si="2"/>
        <v>0</v>
      </c>
      <c r="U24" s="278">
        <f t="shared" si="36"/>
        <v>0</v>
      </c>
      <c r="V24" s="279" t="e">
        <f>(T24/'Finance Only'!B27)*100</f>
        <v>#DIV/0!</v>
      </c>
      <c r="W24" s="262">
        <f t="shared" ref="W24:W34" si="90">X23</f>
        <v>0</v>
      </c>
      <c r="X24" s="262"/>
      <c r="Y24" s="263">
        <f t="shared" si="3"/>
        <v>0</v>
      </c>
      <c r="Z24" s="278">
        <f t="shared" si="37"/>
        <v>0</v>
      </c>
      <c r="AA24" s="279" t="e">
        <f>(Y24/'Finance Only'!B27)*100</f>
        <v>#DIV/0!</v>
      </c>
      <c r="AB24" s="262">
        <f t="shared" si="38"/>
        <v>0</v>
      </c>
      <c r="AC24" s="266"/>
      <c r="AD24" s="263">
        <f t="shared" si="4"/>
        <v>0</v>
      </c>
      <c r="AE24" s="278">
        <f t="shared" si="39"/>
        <v>0</v>
      </c>
      <c r="AF24" s="279" t="e">
        <f>(AD24/'Finance Only'!B27)*100</f>
        <v>#DIV/0!</v>
      </c>
      <c r="AG24" s="262">
        <f t="shared" ref="AG24:AG34" si="91">AH23</f>
        <v>0</v>
      </c>
      <c r="AH24" s="262"/>
      <c r="AI24" s="263">
        <f t="shared" si="5"/>
        <v>0</v>
      </c>
      <c r="AJ24" s="278">
        <f t="shared" si="40"/>
        <v>0</v>
      </c>
      <c r="AK24" s="279" t="e">
        <f>(AI24/'Finance Only'!B27)*100</f>
        <v>#DIV/0!</v>
      </c>
      <c r="AL24" s="262">
        <f t="shared" ref="AL24:AL34" si="92">AM23</f>
        <v>0</v>
      </c>
      <c r="AM24" s="262"/>
      <c r="AN24" s="263">
        <f t="shared" si="6"/>
        <v>0</v>
      </c>
      <c r="AO24" s="278">
        <f t="shared" si="41"/>
        <v>0</v>
      </c>
      <c r="AP24" s="279" t="e">
        <f>(AN24/'Finance Only'!B27)*100</f>
        <v>#DIV/0!</v>
      </c>
      <c r="AQ24" s="262">
        <f t="shared" ref="AQ24:AQ34" si="93">AR23</f>
        <v>0</v>
      </c>
      <c r="AR24" s="262"/>
      <c r="AS24" s="263">
        <f t="shared" si="7"/>
        <v>0</v>
      </c>
      <c r="AT24" s="278">
        <f t="shared" si="42"/>
        <v>0</v>
      </c>
      <c r="AU24" s="279" t="e">
        <f>(AS24/'Finance Only'!B27)*100</f>
        <v>#DIV/0!</v>
      </c>
      <c r="AV24" s="262">
        <f t="shared" si="8"/>
        <v>0</v>
      </c>
      <c r="AW24" s="262"/>
      <c r="AX24" s="263">
        <f t="shared" si="9"/>
        <v>0</v>
      </c>
      <c r="AY24" s="278">
        <f t="shared" si="43"/>
        <v>0</v>
      </c>
      <c r="AZ24" s="279" t="e">
        <f>(AX24/'Finance Only'!B27)*100</f>
        <v>#DIV/0!</v>
      </c>
      <c r="BA24" s="262">
        <f t="shared" si="10"/>
        <v>0</v>
      </c>
      <c r="BB24" s="262"/>
      <c r="BC24" s="263">
        <f t="shared" si="11"/>
        <v>0</v>
      </c>
      <c r="BD24" s="278">
        <f t="shared" si="44"/>
        <v>0</v>
      </c>
      <c r="BE24" s="279" t="e">
        <f>(BC24/'Finance Only'!B27)*100</f>
        <v>#DIV/0!</v>
      </c>
      <c r="BF24" s="262">
        <f t="shared" si="45"/>
        <v>0</v>
      </c>
      <c r="BG24" s="262"/>
      <c r="BH24" s="263">
        <f t="shared" si="12"/>
        <v>0</v>
      </c>
      <c r="BI24" s="278">
        <f t="shared" si="46"/>
        <v>0</v>
      </c>
      <c r="BJ24" s="279" t="e">
        <f>(BH24/'Finance Only'!B27)*100</f>
        <v>#DIV/0!</v>
      </c>
      <c r="BK24" s="262">
        <f t="shared" si="47"/>
        <v>0</v>
      </c>
      <c r="BL24" s="262"/>
      <c r="BM24" s="263">
        <f t="shared" si="13"/>
        <v>0</v>
      </c>
      <c r="BN24" s="278">
        <f t="shared" si="48"/>
        <v>0</v>
      </c>
      <c r="BO24" s="279" t="e">
        <f>(BM24/'Finance Only'!B27)*100</f>
        <v>#DIV/0!</v>
      </c>
      <c r="BP24" s="262">
        <f t="shared" si="49"/>
        <v>0</v>
      </c>
      <c r="BQ24" s="262"/>
      <c r="BR24" s="263">
        <f t="shared" si="14"/>
        <v>0</v>
      </c>
      <c r="BS24" s="278">
        <f t="shared" si="50"/>
        <v>0</v>
      </c>
      <c r="BT24" s="279" t="e">
        <f>(BR24/'Finance Only'!B27)*100</f>
        <v>#DIV/0!</v>
      </c>
      <c r="BU24" s="262">
        <f t="shared" si="51"/>
        <v>0</v>
      </c>
      <c r="BV24" s="262"/>
      <c r="BW24" s="263">
        <f t="shared" si="15"/>
        <v>0</v>
      </c>
      <c r="BX24" s="278">
        <f t="shared" si="52"/>
        <v>0</v>
      </c>
      <c r="BY24" s="279" t="e">
        <f>(BW24/'Finance Only'!B27)*100</f>
        <v>#DIV/0!</v>
      </c>
      <c r="BZ24" s="262">
        <f t="shared" si="53"/>
        <v>0</v>
      </c>
      <c r="CA24" s="262"/>
      <c r="CB24" s="263">
        <f t="shared" si="16"/>
        <v>0</v>
      </c>
      <c r="CC24" s="278">
        <f t="shared" si="54"/>
        <v>0</v>
      </c>
      <c r="CD24" s="279" t="e">
        <f>(CB24/'Finance Only'!B27)*100</f>
        <v>#DIV/0!</v>
      </c>
      <c r="CE24" s="262">
        <f t="shared" si="55"/>
        <v>0</v>
      </c>
      <c r="CF24" s="262"/>
      <c r="CG24" s="263">
        <f t="shared" si="17"/>
        <v>0</v>
      </c>
      <c r="CH24" s="278">
        <f t="shared" si="56"/>
        <v>0</v>
      </c>
      <c r="CI24" s="279" t="e">
        <f>(CG24/'Finance Only'!B27)*100</f>
        <v>#DIV/0!</v>
      </c>
      <c r="CJ24" s="263">
        <f t="shared" si="57"/>
        <v>0</v>
      </c>
      <c r="CK24" s="263"/>
      <c r="CL24" s="263">
        <f t="shared" si="58"/>
        <v>0</v>
      </c>
      <c r="CM24" s="278">
        <f t="shared" si="59"/>
        <v>0</v>
      </c>
      <c r="CN24" s="279" t="e">
        <f>(CL24/'Finance Only'!B27)*100</f>
        <v>#DIV/0!</v>
      </c>
      <c r="CO24" s="262">
        <f t="shared" si="60"/>
        <v>0</v>
      </c>
      <c r="CP24" s="262"/>
      <c r="CQ24" s="264">
        <f t="shared" si="18"/>
        <v>0</v>
      </c>
      <c r="CR24" s="278">
        <f t="shared" si="61"/>
        <v>0</v>
      </c>
      <c r="CS24" s="279" t="e">
        <f>(CQ24/'Finance Only'!B27)*100</f>
        <v>#DIV/0!</v>
      </c>
      <c r="CT24" s="262">
        <f t="shared" si="62"/>
        <v>0</v>
      </c>
      <c r="CU24" s="262"/>
      <c r="CV24" s="263">
        <f t="shared" si="19"/>
        <v>0</v>
      </c>
      <c r="CW24" s="278">
        <f t="shared" si="63"/>
        <v>0</v>
      </c>
      <c r="CX24" s="279" t="e">
        <f>(CV24/'Finance Only'!B27)*100</f>
        <v>#DIV/0!</v>
      </c>
      <c r="CY24" s="262">
        <f t="shared" si="64"/>
        <v>0</v>
      </c>
      <c r="CZ24" s="262"/>
      <c r="DA24" s="263">
        <f t="shared" si="20"/>
        <v>0</v>
      </c>
      <c r="DB24" s="278">
        <f t="shared" si="65"/>
        <v>0</v>
      </c>
      <c r="DC24" s="279" t="e">
        <f>(DA24/'Finance Only'!B27)*100</f>
        <v>#DIV/0!</v>
      </c>
      <c r="DD24" s="262">
        <f t="shared" si="66"/>
        <v>0</v>
      </c>
      <c r="DE24" s="262"/>
      <c r="DF24" s="263">
        <f t="shared" si="21"/>
        <v>0</v>
      </c>
      <c r="DG24" s="278">
        <f t="shared" si="67"/>
        <v>0</v>
      </c>
      <c r="DH24" s="279" t="e">
        <f>(DF24/'Finance Only'!B27)*100</f>
        <v>#DIV/0!</v>
      </c>
      <c r="DI24" s="262">
        <f t="shared" si="68"/>
        <v>0</v>
      </c>
      <c r="DJ24" s="262"/>
      <c r="DK24" s="263">
        <f t="shared" si="22"/>
        <v>0</v>
      </c>
      <c r="DL24" s="278">
        <f t="shared" si="69"/>
        <v>0</v>
      </c>
      <c r="DM24" s="279" t="e">
        <f>(DK24/'Finance Only'!B27)*100</f>
        <v>#DIV/0!</v>
      </c>
      <c r="DN24" s="262">
        <f t="shared" si="70"/>
        <v>0</v>
      </c>
      <c r="DO24" s="262"/>
      <c r="DP24" s="263">
        <f t="shared" si="23"/>
        <v>0</v>
      </c>
      <c r="DQ24" s="278">
        <f t="shared" si="71"/>
        <v>0</v>
      </c>
      <c r="DR24" s="279" t="e">
        <f>(DP24/'Finance Only'!B27)*100</f>
        <v>#DIV/0!</v>
      </c>
      <c r="DS24" s="262">
        <f t="shared" si="72"/>
        <v>0</v>
      </c>
      <c r="DT24" s="262"/>
      <c r="DU24" s="263">
        <f t="shared" si="24"/>
        <v>0</v>
      </c>
      <c r="DV24" s="278">
        <f t="shared" si="73"/>
        <v>0</v>
      </c>
      <c r="DW24" s="279" t="e">
        <f>(DU24/'Finance Only'!B27)*100</f>
        <v>#DIV/0!</v>
      </c>
      <c r="DX24" s="262">
        <f t="shared" si="74"/>
        <v>0</v>
      </c>
      <c r="DY24" s="262"/>
      <c r="DZ24" s="263">
        <f t="shared" si="25"/>
        <v>0</v>
      </c>
      <c r="EA24" s="278">
        <f t="shared" si="75"/>
        <v>0</v>
      </c>
      <c r="EB24" s="279" t="e">
        <f>(DZ24/'Finance Only'!B27)*100</f>
        <v>#DIV/0!</v>
      </c>
      <c r="EC24" s="262">
        <f t="shared" si="76"/>
        <v>0</v>
      </c>
      <c r="ED24" s="262"/>
      <c r="EE24" s="263">
        <f t="shared" si="26"/>
        <v>0</v>
      </c>
      <c r="EF24" s="278">
        <f t="shared" si="77"/>
        <v>0</v>
      </c>
      <c r="EG24" s="279" t="e">
        <f>(EE24/'Finance Only'!B27)*100</f>
        <v>#DIV/0!</v>
      </c>
      <c r="EH24" s="262">
        <f t="shared" si="78"/>
        <v>0</v>
      </c>
      <c r="EI24" s="262"/>
      <c r="EJ24" s="263">
        <f t="shared" si="27"/>
        <v>0</v>
      </c>
      <c r="EK24" s="278">
        <f t="shared" si="79"/>
        <v>0</v>
      </c>
      <c r="EL24" s="279" t="e">
        <f>(EJ24/'Finance Only'!B27)*100</f>
        <v>#DIV/0!</v>
      </c>
      <c r="EM24" s="262">
        <f t="shared" si="80"/>
        <v>0</v>
      </c>
      <c r="EN24" s="262"/>
      <c r="EO24" s="263">
        <f t="shared" si="28"/>
        <v>0</v>
      </c>
      <c r="EP24" s="278">
        <f t="shared" si="81"/>
        <v>0</v>
      </c>
      <c r="EQ24" s="279" t="e">
        <f>(EO24/'Finance Only'!B27)*100</f>
        <v>#DIV/0!</v>
      </c>
      <c r="ER24" s="262">
        <f t="shared" si="82"/>
        <v>0</v>
      </c>
      <c r="ES24" s="262"/>
      <c r="ET24" s="263">
        <f t="shared" si="29"/>
        <v>0</v>
      </c>
      <c r="EU24" s="278">
        <f t="shared" si="83"/>
        <v>0</v>
      </c>
      <c r="EV24" s="279" t="e">
        <f>(ET24/'Finance Only'!B27)*100</f>
        <v>#DIV/0!</v>
      </c>
    </row>
    <row r="25" spans="1:1086" s="3" customFormat="1" ht="13.5" customHeight="1" x14ac:dyDescent="0.2">
      <c r="A25" s="325">
        <v>21</v>
      </c>
      <c r="B25" s="331">
        <f>'Finance Only'!G28</f>
        <v>0</v>
      </c>
      <c r="C25" s="323">
        <f t="shared" si="30"/>
        <v>0</v>
      </c>
      <c r="D25" s="260"/>
      <c r="E25" s="261">
        <f t="shared" si="0"/>
        <v>0</v>
      </c>
      <c r="F25" s="274">
        <f t="shared" si="31"/>
        <v>0</v>
      </c>
      <c r="G25" s="275" t="e">
        <f>(E25/'Finance Only'!B28)*100</f>
        <v>#DIV/0!</v>
      </c>
      <c r="H25" s="287">
        <f t="shared" si="84"/>
        <v>0</v>
      </c>
      <c r="I25" s="260"/>
      <c r="J25" s="260">
        <f t="shared" si="32"/>
        <v>0</v>
      </c>
      <c r="K25" s="288">
        <f t="shared" si="33"/>
        <v>0</v>
      </c>
      <c r="L25" s="289" t="e">
        <f>(J25/'Finance Only'!B28)*100</f>
        <v>#DIV/0!</v>
      </c>
      <c r="M25" s="270">
        <f t="shared" si="34"/>
        <v>0</v>
      </c>
      <c r="N25" s="262"/>
      <c r="O25" s="263">
        <f t="shared" si="1"/>
        <v>0</v>
      </c>
      <c r="P25" s="278">
        <f t="shared" si="35"/>
        <v>0</v>
      </c>
      <c r="Q25" s="279" t="e">
        <f>(O25/'Finance Only'!B28)*100</f>
        <v>#DIV/0!</v>
      </c>
      <c r="R25" s="269">
        <f t="shared" si="85"/>
        <v>0</v>
      </c>
      <c r="S25" s="262"/>
      <c r="T25" s="263">
        <f t="shared" si="2"/>
        <v>0</v>
      </c>
      <c r="U25" s="278">
        <f t="shared" si="36"/>
        <v>0</v>
      </c>
      <c r="V25" s="279" t="e">
        <f>(T25/'Finance Only'!B28)*100</f>
        <v>#DIV/0!</v>
      </c>
      <c r="W25" s="262">
        <f t="shared" si="90"/>
        <v>0</v>
      </c>
      <c r="X25" s="262"/>
      <c r="Y25" s="263">
        <f t="shared" si="3"/>
        <v>0</v>
      </c>
      <c r="Z25" s="278">
        <f t="shared" si="37"/>
        <v>0</v>
      </c>
      <c r="AA25" s="279" t="e">
        <f>(Y25/'Finance Only'!B28)*100</f>
        <v>#DIV/0!</v>
      </c>
      <c r="AB25" s="262">
        <f t="shared" si="38"/>
        <v>0</v>
      </c>
      <c r="AC25" s="262"/>
      <c r="AD25" s="263">
        <f t="shared" si="4"/>
        <v>0</v>
      </c>
      <c r="AE25" s="278">
        <f t="shared" si="39"/>
        <v>0</v>
      </c>
      <c r="AF25" s="279" t="e">
        <f>(AD25/'Finance Only'!B28)*100</f>
        <v>#DIV/0!</v>
      </c>
      <c r="AG25" s="262">
        <f t="shared" si="91"/>
        <v>0</v>
      </c>
      <c r="AH25" s="262"/>
      <c r="AI25" s="263">
        <f t="shared" si="5"/>
        <v>0</v>
      </c>
      <c r="AJ25" s="278">
        <f t="shared" si="40"/>
        <v>0</v>
      </c>
      <c r="AK25" s="279" t="e">
        <f>(AI25/'Finance Only'!B28)*100</f>
        <v>#DIV/0!</v>
      </c>
      <c r="AL25" s="262">
        <f t="shared" si="92"/>
        <v>0</v>
      </c>
      <c r="AM25" s="262"/>
      <c r="AN25" s="263">
        <f t="shared" si="6"/>
        <v>0</v>
      </c>
      <c r="AO25" s="278">
        <f t="shared" si="41"/>
        <v>0</v>
      </c>
      <c r="AP25" s="279" t="e">
        <f>(AN25/'Finance Only'!B28)*100</f>
        <v>#DIV/0!</v>
      </c>
      <c r="AQ25" s="262">
        <f t="shared" si="93"/>
        <v>0</v>
      </c>
      <c r="AR25" s="262"/>
      <c r="AS25" s="263">
        <f t="shared" si="7"/>
        <v>0</v>
      </c>
      <c r="AT25" s="278">
        <f t="shared" si="42"/>
        <v>0</v>
      </c>
      <c r="AU25" s="279" t="e">
        <f>(AS25/'Finance Only'!B28)*100</f>
        <v>#DIV/0!</v>
      </c>
      <c r="AV25" s="262">
        <f t="shared" si="8"/>
        <v>0</v>
      </c>
      <c r="AW25" s="262"/>
      <c r="AX25" s="263">
        <f t="shared" si="9"/>
        <v>0</v>
      </c>
      <c r="AY25" s="278">
        <f t="shared" si="43"/>
        <v>0</v>
      </c>
      <c r="AZ25" s="279" t="e">
        <f>(AX25/'Finance Only'!B28)*100</f>
        <v>#DIV/0!</v>
      </c>
      <c r="BA25" s="262">
        <f t="shared" si="10"/>
        <v>0</v>
      </c>
      <c r="BB25" s="262"/>
      <c r="BC25" s="263">
        <f t="shared" si="11"/>
        <v>0</v>
      </c>
      <c r="BD25" s="278">
        <f t="shared" si="44"/>
        <v>0</v>
      </c>
      <c r="BE25" s="279" t="e">
        <f>(BC25/'Finance Only'!B28)*100</f>
        <v>#DIV/0!</v>
      </c>
      <c r="BF25" s="262">
        <f t="shared" si="45"/>
        <v>0</v>
      </c>
      <c r="BG25" s="262"/>
      <c r="BH25" s="263">
        <f t="shared" si="12"/>
        <v>0</v>
      </c>
      <c r="BI25" s="278">
        <f t="shared" si="46"/>
        <v>0</v>
      </c>
      <c r="BJ25" s="279" t="e">
        <f>(BH25/'Finance Only'!B28)*100</f>
        <v>#DIV/0!</v>
      </c>
      <c r="BK25" s="262">
        <f t="shared" si="47"/>
        <v>0</v>
      </c>
      <c r="BL25" s="262"/>
      <c r="BM25" s="263">
        <f t="shared" si="13"/>
        <v>0</v>
      </c>
      <c r="BN25" s="278">
        <f t="shared" si="48"/>
        <v>0</v>
      </c>
      <c r="BO25" s="279" t="e">
        <f>(BM25/'Finance Only'!B28)*100</f>
        <v>#DIV/0!</v>
      </c>
      <c r="BP25" s="262">
        <f t="shared" si="49"/>
        <v>0</v>
      </c>
      <c r="BQ25" s="262"/>
      <c r="BR25" s="263">
        <f t="shared" si="14"/>
        <v>0</v>
      </c>
      <c r="BS25" s="278">
        <f t="shared" si="50"/>
        <v>0</v>
      </c>
      <c r="BT25" s="279" t="e">
        <f>(BR25/'Finance Only'!B28)*100</f>
        <v>#DIV/0!</v>
      </c>
      <c r="BU25" s="262">
        <f t="shared" si="51"/>
        <v>0</v>
      </c>
      <c r="BV25" s="262"/>
      <c r="BW25" s="263">
        <f t="shared" si="15"/>
        <v>0</v>
      </c>
      <c r="BX25" s="278">
        <f t="shared" si="52"/>
        <v>0</v>
      </c>
      <c r="BY25" s="279" t="e">
        <f>(BW25/'Finance Only'!B28)*100</f>
        <v>#DIV/0!</v>
      </c>
      <c r="BZ25" s="262">
        <f t="shared" si="53"/>
        <v>0</v>
      </c>
      <c r="CA25" s="262"/>
      <c r="CB25" s="263">
        <f t="shared" si="16"/>
        <v>0</v>
      </c>
      <c r="CC25" s="278">
        <f t="shared" si="54"/>
        <v>0</v>
      </c>
      <c r="CD25" s="279" t="e">
        <f>(CB25/'Finance Only'!B28)*100</f>
        <v>#DIV/0!</v>
      </c>
      <c r="CE25" s="262">
        <f t="shared" si="55"/>
        <v>0</v>
      </c>
      <c r="CF25" s="262"/>
      <c r="CG25" s="263">
        <f t="shared" si="17"/>
        <v>0</v>
      </c>
      <c r="CH25" s="278">
        <f t="shared" si="56"/>
        <v>0</v>
      </c>
      <c r="CI25" s="279" t="e">
        <f>(CG25/'Finance Only'!B28)*100</f>
        <v>#DIV/0!</v>
      </c>
      <c r="CJ25" s="263">
        <f t="shared" si="57"/>
        <v>0</v>
      </c>
      <c r="CK25" s="263"/>
      <c r="CL25" s="263">
        <f t="shared" si="58"/>
        <v>0</v>
      </c>
      <c r="CM25" s="278">
        <f t="shared" si="59"/>
        <v>0</v>
      </c>
      <c r="CN25" s="279" t="e">
        <f>(CL25/'Finance Only'!B28)*100</f>
        <v>#DIV/0!</v>
      </c>
      <c r="CO25" s="262">
        <f t="shared" si="60"/>
        <v>0</v>
      </c>
      <c r="CP25" s="262"/>
      <c r="CQ25" s="264">
        <f t="shared" si="18"/>
        <v>0</v>
      </c>
      <c r="CR25" s="278">
        <f t="shared" si="61"/>
        <v>0</v>
      </c>
      <c r="CS25" s="279" t="e">
        <f>(CQ25/'Finance Only'!B28)*100</f>
        <v>#DIV/0!</v>
      </c>
      <c r="CT25" s="262">
        <f t="shared" si="62"/>
        <v>0</v>
      </c>
      <c r="CU25" s="262"/>
      <c r="CV25" s="263">
        <f t="shared" si="19"/>
        <v>0</v>
      </c>
      <c r="CW25" s="278">
        <f t="shared" si="63"/>
        <v>0</v>
      </c>
      <c r="CX25" s="279" t="e">
        <f>(CV25/'Finance Only'!B28)*100</f>
        <v>#DIV/0!</v>
      </c>
      <c r="CY25" s="262">
        <f t="shared" si="64"/>
        <v>0</v>
      </c>
      <c r="CZ25" s="262"/>
      <c r="DA25" s="263">
        <f t="shared" si="20"/>
        <v>0</v>
      </c>
      <c r="DB25" s="278">
        <f t="shared" si="65"/>
        <v>0</v>
      </c>
      <c r="DC25" s="279" t="e">
        <f>(DA25/'Finance Only'!B28)*100</f>
        <v>#DIV/0!</v>
      </c>
      <c r="DD25" s="262">
        <f t="shared" si="66"/>
        <v>0</v>
      </c>
      <c r="DE25" s="262"/>
      <c r="DF25" s="263">
        <f t="shared" si="21"/>
        <v>0</v>
      </c>
      <c r="DG25" s="278">
        <f t="shared" si="67"/>
        <v>0</v>
      </c>
      <c r="DH25" s="279" t="e">
        <f>(DF25/'Finance Only'!B28)*100</f>
        <v>#DIV/0!</v>
      </c>
      <c r="DI25" s="262">
        <f t="shared" si="68"/>
        <v>0</v>
      </c>
      <c r="DJ25" s="262"/>
      <c r="DK25" s="263">
        <f t="shared" si="22"/>
        <v>0</v>
      </c>
      <c r="DL25" s="278">
        <f t="shared" si="69"/>
        <v>0</v>
      </c>
      <c r="DM25" s="279" t="e">
        <f>(DK25/'Finance Only'!B28)*100</f>
        <v>#DIV/0!</v>
      </c>
      <c r="DN25" s="262">
        <f t="shared" si="70"/>
        <v>0</v>
      </c>
      <c r="DO25" s="262"/>
      <c r="DP25" s="263">
        <f t="shared" si="23"/>
        <v>0</v>
      </c>
      <c r="DQ25" s="278">
        <f t="shared" si="71"/>
        <v>0</v>
      </c>
      <c r="DR25" s="279" t="e">
        <f>(DP25/'Finance Only'!B28)*100</f>
        <v>#DIV/0!</v>
      </c>
      <c r="DS25" s="262">
        <f t="shared" si="72"/>
        <v>0</v>
      </c>
      <c r="DT25" s="262"/>
      <c r="DU25" s="263">
        <f t="shared" si="24"/>
        <v>0</v>
      </c>
      <c r="DV25" s="278">
        <f t="shared" si="73"/>
        <v>0</v>
      </c>
      <c r="DW25" s="279" t="e">
        <f>(DU25/'Finance Only'!B28)*100</f>
        <v>#DIV/0!</v>
      </c>
      <c r="DX25" s="262">
        <f t="shared" si="74"/>
        <v>0</v>
      </c>
      <c r="DY25" s="262"/>
      <c r="DZ25" s="263">
        <f t="shared" si="25"/>
        <v>0</v>
      </c>
      <c r="EA25" s="278">
        <f t="shared" si="75"/>
        <v>0</v>
      </c>
      <c r="EB25" s="279" t="e">
        <f>(DZ25/'Finance Only'!B28)*100</f>
        <v>#DIV/0!</v>
      </c>
      <c r="EC25" s="262">
        <f t="shared" si="76"/>
        <v>0</v>
      </c>
      <c r="ED25" s="262"/>
      <c r="EE25" s="263">
        <f t="shared" si="26"/>
        <v>0</v>
      </c>
      <c r="EF25" s="278">
        <f t="shared" si="77"/>
        <v>0</v>
      </c>
      <c r="EG25" s="279" t="e">
        <f>(EE25/'Finance Only'!B28)*100</f>
        <v>#DIV/0!</v>
      </c>
      <c r="EH25" s="262">
        <f t="shared" si="78"/>
        <v>0</v>
      </c>
      <c r="EI25" s="262"/>
      <c r="EJ25" s="263">
        <f t="shared" si="27"/>
        <v>0</v>
      </c>
      <c r="EK25" s="278">
        <f t="shared" si="79"/>
        <v>0</v>
      </c>
      <c r="EL25" s="279" t="e">
        <f>(EJ25/'Finance Only'!B28)*100</f>
        <v>#DIV/0!</v>
      </c>
      <c r="EM25" s="262">
        <f t="shared" si="80"/>
        <v>0</v>
      </c>
      <c r="EN25" s="262"/>
      <c r="EO25" s="263">
        <f t="shared" si="28"/>
        <v>0</v>
      </c>
      <c r="EP25" s="278">
        <f t="shared" si="81"/>
        <v>0</v>
      </c>
      <c r="EQ25" s="279" t="e">
        <f>(EO25/'Finance Only'!B28)*100</f>
        <v>#DIV/0!</v>
      </c>
      <c r="ER25" s="262">
        <f t="shared" si="82"/>
        <v>0</v>
      </c>
      <c r="ES25" s="262"/>
      <c r="ET25" s="263">
        <f t="shared" si="29"/>
        <v>0</v>
      </c>
      <c r="EU25" s="278">
        <f t="shared" si="83"/>
        <v>0</v>
      </c>
      <c r="EV25" s="279" t="e">
        <f>(ET25/'Finance Only'!B28)*100</f>
        <v>#DIV/0!</v>
      </c>
    </row>
    <row r="26" spans="1:1086" s="3" customFormat="1" ht="13.5" customHeight="1" x14ac:dyDescent="0.2">
      <c r="A26" s="325">
        <v>22</v>
      </c>
      <c r="B26" s="331">
        <f>'Finance Only'!G29</f>
        <v>0</v>
      </c>
      <c r="C26" s="323">
        <f t="shared" si="30"/>
        <v>0</v>
      </c>
      <c r="D26" s="260"/>
      <c r="E26" s="261">
        <f t="shared" si="0"/>
        <v>0</v>
      </c>
      <c r="F26" s="274">
        <f t="shared" si="31"/>
        <v>0</v>
      </c>
      <c r="G26" s="275" t="e">
        <f>(E26/'Finance Only'!B29)*100</f>
        <v>#DIV/0!</v>
      </c>
      <c r="H26" s="287">
        <f t="shared" si="84"/>
        <v>0</v>
      </c>
      <c r="I26" s="260"/>
      <c r="J26" s="260">
        <f t="shared" si="32"/>
        <v>0</v>
      </c>
      <c r="K26" s="288">
        <f t="shared" si="33"/>
        <v>0</v>
      </c>
      <c r="L26" s="289" t="e">
        <f>(J26/'Finance Only'!B29)*100</f>
        <v>#DIV/0!</v>
      </c>
      <c r="M26" s="270">
        <f t="shared" si="34"/>
        <v>0</v>
      </c>
      <c r="N26" s="262"/>
      <c r="O26" s="263">
        <f t="shared" si="1"/>
        <v>0</v>
      </c>
      <c r="P26" s="278">
        <f t="shared" si="35"/>
        <v>0</v>
      </c>
      <c r="Q26" s="279" t="e">
        <f>(O26/'Finance Only'!B29)*100</f>
        <v>#DIV/0!</v>
      </c>
      <c r="R26" s="269">
        <f t="shared" si="85"/>
        <v>0</v>
      </c>
      <c r="S26" s="262"/>
      <c r="T26" s="263">
        <f t="shared" si="2"/>
        <v>0</v>
      </c>
      <c r="U26" s="278">
        <f t="shared" si="36"/>
        <v>0</v>
      </c>
      <c r="V26" s="279" t="e">
        <f>(T26/'Finance Only'!B29)*100</f>
        <v>#DIV/0!</v>
      </c>
      <c r="W26" s="262">
        <f t="shared" si="90"/>
        <v>0</v>
      </c>
      <c r="X26" s="262"/>
      <c r="Y26" s="263">
        <f t="shared" si="3"/>
        <v>0</v>
      </c>
      <c r="Z26" s="278">
        <f t="shared" si="37"/>
        <v>0</v>
      </c>
      <c r="AA26" s="279" t="e">
        <f>(Y26/'Finance Only'!B29)*100</f>
        <v>#DIV/0!</v>
      </c>
      <c r="AB26" s="262">
        <f t="shared" si="38"/>
        <v>0</v>
      </c>
      <c r="AC26" s="262"/>
      <c r="AD26" s="263">
        <f t="shared" si="4"/>
        <v>0</v>
      </c>
      <c r="AE26" s="278">
        <f t="shared" si="39"/>
        <v>0</v>
      </c>
      <c r="AF26" s="279" t="e">
        <f>(AD26/'Finance Only'!B29)*100</f>
        <v>#DIV/0!</v>
      </c>
      <c r="AG26" s="262">
        <f t="shared" si="91"/>
        <v>0</v>
      </c>
      <c r="AH26" s="262"/>
      <c r="AI26" s="263">
        <f t="shared" si="5"/>
        <v>0</v>
      </c>
      <c r="AJ26" s="278">
        <f t="shared" si="40"/>
        <v>0</v>
      </c>
      <c r="AK26" s="279" t="e">
        <f>(AI26/'Finance Only'!B29)*100</f>
        <v>#DIV/0!</v>
      </c>
      <c r="AL26" s="262">
        <f t="shared" si="92"/>
        <v>0</v>
      </c>
      <c r="AM26" s="262"/>
      <c r="AN26" s="263">
        <f t="shared" si="6"/>
        <v>0</v>
      </c>
      <c r="AO26" s="278">
        <f t="shared" si="41"/>
        <v>0</v>
      </c>
      <c r="AP26" s="279" t="e">
        <f>(AN26/'Finance Only'!B29)*100</f>
        <v>#DIV/0!</v>
      </c>
      <c r="AQ26" s="262">
        <f t="shared" si="93"/>
        <v>0</v>
      </c>
      <c r="AR26" s="262"/>
      <c r="AS26" s="263">
        <f t="shared" si="7"/>
        <v>0</v>
      </c>
      <c r="AT26" s="278">
        <f t="shared" si="42"/>
        <v>0</v>
      </c>
      <c r="AU26" s="279" t="e">
        <f>(AS26/'Finance Only'!B29)*100</f>
        <v>#DIV/0!</v>
      </c>
      <c r="AV26" s="262">
        <f t="shared" si="8"/>
        <v>0</v>
      </c>
      <c r="AW26" s="262"/>
      <c r="AX26" s="263">
        <f t="shared" si="9"/>
        <v>0</v>
      </c>
      <c r="AY26" s="278">
        <f t="shared" si="43"/>
        <v>0</v>
      </c>
      <c r="AZ26" s="279" t="e">
        <f>(AX26/'Finance Only'!B29)*100</f>
        <v>#DIV/0!</v>
      </c>
      <c r="BA26" s="262">
        <f t="shared" si="10"/>
        <v>0</v>
      </c>
      <c r="BB26" s="262"/>
      <c r="BC26" s="263">
        <f t="shared" si="11"/>
        <v>0</v>
      </c>
      <c r="BD26" s="278">
        <f t="shared" si="44"/>
        <v>0</v>
      </c>
      <c r="BE26" s="279" t="e">
        <f>(BC26/'Finance Only'!B29)*100</f>
        <v>#DIV/0!</v>
      </c>
      <c r="BF26" s="262">
        <f t="shared" si="45"/>
        <v>0</v>
      </c>
      <c r="BG26" s="262"/>
      <c r="BH26" s="263">
        <f t="shared" si="12"/>
        <v>0</v>
      </c>
      <c r="BI26" s="278">
        <f t="shared" si="46"/>
        <v>0</v>
      </c>
      <c r="BJ26" s="279" t="e">
        <f>(BH26/'Finance Only'!B29)*100</f>
        <v>#DIV/0!</v>
      </c>
      <c r="BK26" s="262">
        <f t="shared" si="47"/>
        <v>0</v>
      </c>
      <c r="BL26" s="262"/>
      <c r="BM26" s="263">
        <f t="shared" si="13"/>
        <v>0</v>
      </c>
      <c r="BN26" s="278">
        <f t="shared" si="48"/>
        <v>0</v>
      </c>
      <c r="BO26" s="279" t="e">
        <f>(BM26/'Finance Only'!B29)*100</f>
        <v>#DIV/0!</v>
      </c>
      <c r="BP26" s="262">
        <f t="shared" si="49"/>
        <v>0</v>
      </c>
      <c r="BQ26" s="262"/>
      <c r="BR26" s="263">
        <f t="shared" si="14"/>
        <v>0</v>
      </c>
      <c r="BS26" s="278">
        <f t="shared" si="50"/>
        <v>0</v>
      </c>
      <c r="BT26" s="279" t="e">
        <f>(BR26/'Finance Only'!B29)*100</f>
        <v>#DIV/0!</v>
      </c>
      <c r="BU26" s="262">
        <f t="shared" si="51"/>
        <v>0</v>
      </c>
      <c r="BV26" s="262"/>
      <c r="BW26" s="263">
        <f t="shared" si="15"/>
        <v>0</v>
      </c>
      <c r="BX26" s="278">
        <f t="shared" si="52"/>
        <v>0</v>
      </c>
      <c r="BY26" s="279" t="e">
        <f>(BW26/'Finance Only'!B29)*100</f>
        <v>#DIV/0!</v>
      </c>
      <c r="BZ26" s="262">
        <f t="shared" si="53"/>
        <v>0</v>
      </c>
      <c r="CA26" s="262"/>
      <c r="CB26" s="263">
        <f t="shared" si="16"/>
        <v>0</v>
      </c>
      <c r="CC26" s="278">
        <f t="shared" si="54"/>
        <v>0</v>
      </c>
      <c r="CD26" s="279" t="e">
        <f>(CB26/'Finance Only'!B29)*100</f>
        <v>#DIV/0!</v>
      </c>
      <c r="CE26" s="262">
        <f t="shared" si="55"/>
        <v>0</v>
      </c>
      <c r="CF26" s="262"/>
      <c r="CG26" s="263">
        <f t="shared" si="17"/>
        <v>0</v>
      </c>
      <c r="CH26" s="278">
        <f t="shared" si="56"/>
        <v>0</v>
      </c>
      <c r="CI26" s="279" t="e">
        <f>(CG26/'Finance Only'!B29)*100</f>
        <v>#DIV/0!</v>
      </c>
      <c r="CJ26" s="263">
        <f t="shared" si="57"/>
        <v>0</v>
      </c>
      <c r="CK26" s="263"/>
      <c r="CL26" s="263">
        <f t="shared" si="58"/>
        <v>0</v>
      </c>
      <c r="CM26" s="278">
        <f t="shared" si="59"/>
        <v>0</v>
      </c>
      <c r="CN26" s="279" t="e">
        <f>(CL26/'Finance Only'!B29)*100</f>
        <v>#DIV/0!</v>
      </c>
      <c r="CO26" s="262">
        <f t="shared" si="60"/>
        <v>0</v>
      </c>
      <c r="CP26" s="262"/>
      <c r="CQ26" s="264">
        <f t="shared" si="18"/>
        <v>0</v>
      </c>
      <c r="CR26" s="278">
        <f t="shared" si="61"/>
        <v>0</v>
      </c>
      <c r="CS26" s="279" t="e">
        <f>(CQ26/'Finance Only'!B29)*100</f>
        <v>#DIV/0!</v>
      </c>
      <c r="CT26" s="262">
        <f t="shared" si="62"/>
        <v>0</v>
      </c>
      <c r="CU26" s="262"/>
      <c r="CV26" s="263">
        <f>CU26-CT26</f>
        <v>0</v>
      </c>
      <c r="CW26" s="278">
        <f t="shared" si="63"/>
        <v>0</v>
      </c>
      <c r="CX26" s="279" t="e">
        <f>(CV26/'Finance Only'!B29)*100</f>
        <v>#DIV/0!</v>
      </c>
      <c r="CY26" s="262">
        <f t="shared" si="64"/>
        <v>0</v>
      </c>
      <c r="CZ26" s="262"/>
      <c r="DA26" s="263">
        <f t="shared" si="20"/>
        <v>0</v>
      </c>
      <c r="DB26" s="278">
        <f t="shared" si="65"/>
        <v>0</v>
      </c>
      <c r="DC26" s="279" t="e">
        <f>(DA26/'Finance Only'!B29)*100</f>
        <v>#DIV/0!</v>
      </c>
      <c r="DD26" s="262">
        <f t="shared" si="66"/>
        <v>0</v>
      </c>
      <c r="DE26" s="262"/>
      <c r="DF26" s="263">
        <f t="shared" si="21"/>
        <v>0</v>
      </c>
      <c r="DG26" s="278">
        <f t="shared" si="67"/>
        <v>0</v>
      </c>
      <c r="DH26" s="279" t="e">
        <f>(DF26/'Finance Only'!B29)*100</f>
        <v>#DIV/0!</v>
      </c>
      <c r="DI26" s="262">
        <f t="shared" si="68"/>
        <v>0</v>
      </c>
      <c r="DJ26" s="262"/>
      <c r="DK26" s="263">
        <f t="shared" si="22"/>
        <v>0</v>
      </c>
      <c r="DL26" s="278">
        <f t="shared" si="69"/>
        <v>0</v>
      </c>
      <c r="DM26" s="279" t="e">
        <f>(DK26/'Finance Only'!B29)*100</f>
        <v>#DIV/0!</v>
      </c>
      <c r="DN26" s="262">
        <f t="shared" si="70"/>
        <v>0</v>
      </c>
      <c r="DO26" s="262"/>
      <c r="DP26" s="263">
        <f t="shared" si="23"/>
        <v>0</v>
      </c>
      <c r="DQ26" s="278">
        <f t="shared" si="71"/>
        <v>0</v>
      </c>
      <c r="DR26" s="279" t="e">
        <f>(DP26/'Finance Only'!B29)*100</f>
        <v>#DIV/0!</v>
      </c>
      <c r="DS26" s="262">
        <f t="shared" si="72"/>
        <v>0</v>
      </c>
      <c r="DT26" s="262"/>
      <c r="DU26" s="263">
        <f t="shared" si="24"/>
        <v>0</v>
      </c>
      <c r="DV26" s="278">
        <f t="shared" si="73"/>
        <v>0</v>
      </c>
      <c r="DW26" s="279" t="e">
        <f>(DU26/'Finance Only'!B29)*100</f>
        <v>#DIV/0!</v>
      </c>
      <c r="DX26" s="262">
        <f t="shared" si="74"/>
        <v>0</v>
      </c>
      <c r="DY26" s="262"/>
      <c r="DZ26" s="263">
        <f t="shared" si="25"/>
        <v>0</v>
      </c>
      <c r="EA26" s="278">
        <f t="shared" si="75"/>
        <v>0</v>
      </c>
      <c r="EB26" s="279" t="e">
        <f>(DZ26/'Finance Only'!B29)*100</f>
        <v>#DIV/0!</v>
      </c>
      <c r="EC26" s="262">
        <f t="shared" si="76"/>
        <v>0</v>
      </c>
      <c r="ED26" s="262"/>
      <c r="EE26" s="263">
        <f t="shared" si="26"/>
        <v>0</v>
      </c>
      <c r="EF26" s="278">
        <f t="shared" si="77"/>
        <v>0</v>
      </c>
      <c r="EG26" s="279" t="e">
        <f>(EE26/'Finance Only'!B29)*100</f>
        <v>#DIV/0!</v>
      </c>
      <c r="EH26" s="262">
        <f t="shared" si="78"/>
        <v>0</v>
      </c>
      <c r="EI26" s="262"/>
      <c r="EJ26" s="263">
        <f>EI26-EH26</f>
        <v>0</v>
      </c>
      <c r="EK26" s="278">
        <f t="shared" si="79"/>
        <v>0</v>
      </c>
      <c r="EL26" s="279" t="e">
        <f>(EJ26/'Finance Only'!B29)*100</f>
        <v>#DIV/0!</v>
      </c>
      <c r="EM26" s="262">
        <f t="shared" si="80"/>
        <v>0</v>
      </c>
      <c r="EN26" s="262"/>
      <c r="EO26" s="263">
        <f t="shared" si="28"/>
        <v>0</v>
      </c>
      <c r="EP26" s="278">
        <f t="shared" si="81"/>
        <v>0</v>
      </c>
      <c r="EQ26" s="279" t="e">
        <f>(EO26/'Finance Only'!B29)*100</f>
        <v>#DIV/0!</v>
      </c>
      <c r="ER26" s="262">
        <f t="shared" si="82"/>
        <v>0</v>
      </c>
      <c r="ES26" s="262"/>
      <c r="ET26" s="263">
        <f t="shared" si="29"/>
        <v>0</v>
      </c>
      <c r="EU26" s="278">
        <f t="shared" si="83"/>
        <v>0</v>
      </c>
      <c r="EV26" s="279" t="e">
        <f>(ET26/'Finance Only'!B29)*100</f>
        <v>#DIV/0!</v>
      </c>
    </row>
    <row r="27" spans="1:1086" s="3" customFormat="1" ht="13.5" customHeight="1" x14ac:dyDescent="0.2">
      <c r="A27" s="325">
        <v>23</v>
      </c>
      <c r="B27" s="331">
        <f>'Finance Only'!G30</f>
        <v>0</v>
      </c>
      <c r="C27" s="323">
        <f t="shared" si="30"/>
        <v>0</v>
      </c>
      <c r="D27" s="260"/>
      <c r="E27" s="261">
        <f t="shared" si="0"/>
        <v>0</v>
      </c>
      <c r="F27" s="274">
        <f t="shared" si="31"/>
        <v>0</v>
      </c>
      <c r="G27" s="275" t="e">
        <f>(E27/'Finance Only'!B30)*100</f>
        <v>#DIV/0!</v>
      </c>
      <c r="H27" s="287">
        <f t="shared" si="84"/>
        <v>0</v>
      </c>
      <c r="I27" s="260"/>
      <c r="J27" s="260">
        <f t="shared" si="32"/>
        <v>0</v>
      </c>
      <c r="K27" s="288">
        <f t="shared" si="33"/>
        <v>0</v>
      </c>
      <c r="L27" s="289" t="e">
        <f>(J27/'Finance Only'!B30)*100</f>
        <v>#DIV/0!</v>
      </c>
      <c r="M27" s="270">
        <f t="shared" si="34"/>
        <v>0</v>
      </c>
      <c r="N27" s="262"/>
      <c r="O27" s="263">
        <f t="shared" si="1"/>
        <v>0</v>
      </c>
      <c r="P27" s="278">
        <f t="shared" si="35"/>
        <v>0</v>
      </c>
      <c r="Q27" s="279" t="e">
        <f>(O27/'Finance Only'!B30)*100</f>
        <v>#DIV/0!</v>
      </c>
      <c r="R27" s="269">
        <f t="shared" si="85"/>
        <v>0</v>
      </c>
      <c r="S27" s="262"/>
      <c r="T27" s="263">
        <f t="shared" si="2"/>
        <v>0</v>
      </c>
      <c r="U27" s="278">
        <f t="shared" si="36"/>
        <v>0</v>
      </c>
      <c r="V27" s="279" t="e">
        <f>(T27/'Finance Only'!B30)*100</f>
        <v>#DIV/0!</v>
      </c>
      <c r="W27" s="262">
        <f t="shared" si="90"/>
        <v>0</v>
      </c>
      <c r="X27" s="262"/>
      <c r="Y27" s="263">
        <f t="shared" si="3"/>
        <v>0</v>
      </c>
      <c r="Z27" s="278">
        <f t="shared" si="37"/>
        <v>0</v>
      </c>
      <c r="AA27" s="279" t="e">
        <f>(Y27/'Finance Only'!B30)*100</f>
        <v>#DIV/0!</v>
      </c>
      <c r="AB27" s="262">
        <f t="shared" si="38"/>
        <v>0</v>
      </c>
      <c r="AC27" s="262"/>
      <c r="AD27" s="263">
        <f t="shared" si="4"/>
        <v>0</v>
      </c>
      <c r="AE27" s="278">
        <f t="shared" si="39"/>
        <v>0</v>
      </c>
      <c r="AF27" s="279" t="e">
        <f>(AD27/'Finance Only'!B30)*100</f>
        <v>#DIV/0!</v>
      </c>
      <c r="AG27" s="262">
        <f t="shared" si="91"/>
        <v>0</v>
      </c>
      <c r="AH27" s="262"/>
      <c r="AI27" s="263">
        <f t="shared" si="5"/>
        <v>0</v>
      </c>
      <c r="AJ27" s="278">
        <f t="shared" si="40"/>
        <v>0</v>
      </c>
      <c r="AK27" s="279" t="e">
        <f>(AI27/'Finance Only'!B30)*100</f>
        <v>#DIV/0!</v>
      </c>
      <c r="AL27" s="262">
        <f t="shared" si="92"/>
        <v>0</v>
      </c>
      <c r="AM27" s="262"/>
      <c r="AN27" s="263">
        <f t="shared" si="6"/>
        <v>0</v>
      </c>
      <c r="AO27" s="278">
        <f t="shared" si="41"/>
        <v>0</v>
      </c>
      <c r="AP27" s="279" t="e">
        <f>(AN27/'Finance Only'!B30)*100</f>
        <v>#DIV/0!</v>
      </c>
      <c r="AQ27" s="262">
        <f t="shared" si="93"/>
        <v>0</v>
      </c>
      <c r="AR27" s="262"/>
      <c r="AS27" s="263">
        <f t="shared" si="7"/>
        <v>0</v>
      </c>
      <c r="AT27" s="278">
        <f t="shared" si="42"/>
        <v>0</v>
      </c>
      <c r="AU27" s="279" t="e">
        <f>(AS27/'Finance Only'!B30)*100</f>
        <v>#DIV/0!</v>
      </c>
      <c r="AV27" s="262">
        <f t="shared" si="8"/>
        <v>0</v>
      </c>
      <c r="AW27" s="262"/>
      <c r="AX27" s="263">
        <f t="shared" si="9"/>
        <v>0</v>
      </c>
      <c r="AY27" s="278">
        <f t="shared" si="43"/>
        <v>0</v>
      </c>
      <c r="AZ27" s="279" t="e">
        <f>(AX27/'Finance Only'!B30)*100</f>
        <v>#DIV/0!</v>
      </c>
      <c r="BA27" s="262">
        <f t="shared" si="10"/>
        <v>0</v>
      </c>
      <c r="BB27" s="262"/>
      <c r="BC27" s="263">
        <f t="shared" si="11"/>
        <v>0</v>
      </c>
      <c r="BD27" s="278">
        <f t="shared" si="44"/>
        <v>0</v>
      </c>
      <c r="BE27" s="279" t="e">
        <f>(BC27/'Finance Only'!B30)*100</f>
        <v>#DIV/0!</v>
      </c>
      <c r="BF27" s="262">
        <f t="shared" si="45"/>
        <v>0</v>
      </c>
      <c r="BG27" s="262"/>
      <c r="BH27" s="263">
        <f t="shared" si="12"/>
        <v>0</v>
      </c>
      <c r="BI27" s="278">
        <f t="shared" si="46"/>
        <v>0</v>
      </c>
      <c r="BJ27" s="279" t="e">
        <f>(BH27/'Finance Only'!B30)*100</f>
        <v>#DIV/0!</v>
      </c>
      <c r="BK27" s="262">
        <f t="shared" si="47"/>
        <v>0</v>
      </c>
      <c r="BL27" s="262"/>
      <c r="BM27" s="263">
        <f t="shared" si="13"/>
        <v>0</v>
      </c>
      <c r="BN27" s="278">
        <f t="shared" si="48"/>
        <v>0</v>
      </c>
      <c r="BO27" s="279" t="e">
        <f>(BM27/'Finance Only'!B30)*100</f>
        <v>#DIV/0!</v>
      </c>
      <c r="BP27" s="262">
        <f t="shared" si="49"/>
        <v>0</v>
      </c>
      <c r="BQ27" s="262"/>
      <c r="BR27" s="263">
        <f t="shared" si="14"/>
        <v>0</v>
      </c>
      <c r="BS27" s="278">
        <f t="shared" si="50"/>
        <v>0</v>
      </c>
      <c r="BT27" s="279" t="e">
        <f>(BR27/'Finance Only'!B30)*100</f>
        <v>#DIV/0!</v>
      </c>
      <c r="BU27" s="262">
        <f t="shared" si="51"/>
        <v>0</v>
      </c>
      <c r="BV27" s="262"/>
      <c r="BW27" s="263">
        <f t="shared" si="15"/>
        <v>0</v>
      </c>
      <c r="BX27" s="278">
        <f t="shared" si="52"/>
        <v>0</v>
      </c>
      <c r="BY27" s="279" t="e">
        <f>(BW27/'Finance Only'!B30)*100</f>
        <v>#DIV/0!</v>
      </c>
      <c r="BZ27" s="262">
        <f t="shared" si="53"/>
        <v>0</v>
      </c>
      <c r="CA27" s="262"/>
      <c r="CB27" s="263">
        <f t="shared" si="16"/>
        <v>0</v>
      </c>
      <c r="CC27" s="278">
        <f t="shared" si="54"/>
        <v>0</v>
      </c>
      <c r="CD27" s="279" t="e">
        <f>(CB27/'Finance Only'!B30)*100</f>
        <v>#DIV/0!</v>
      </c>
      <c r="CE27" s="262">
        <f t="shared" si="55"/>
        <v>0</v>
      </c>
      <c r="CF27" s="262"/>
      <c r="CG27" s="263">
        <f t="shared" si="17"/>
        <v>0</v>
      </c>
      <c r="CH27" s="278">
        <f t="shared" si="56"/>
        <v>0</v>
      </c>
      <c r="CI27" s="279" t="e">
        <f>(CG27/'Finance Only'!B30)*100</f>
        <v>#DIV/0!</v>
      </c>
      <c r="CJ27" s="263">
        <f t="shared" si="57"/>
        <v>0</v>
      </c>
      <c r="CK27" s="263"/>
      <c r="CL27" s="263">
        <f t="shared" si="58"/>
        <v>0</v>
      </c>
      <c r="CM27" s="278">
        <f t="shared" si="59"/>
        <v>0</v>
      </c>
      <c r="CN27" s="279" t="e">
        <f>(CL27/'Finance Only'!B30)*100</f>
        <v>#DIV/0!</v>
      </c>
      <c r="CO27" s="262">
        <f t="shared" si="60"/>
        <v>0</v>
      </c>
      <c r="CP27" s="262"/>
      <c r="CQ27" s="264">
        <f t="shared" si="18"/>
        <v>0</v>
      </c>
      <c r="CR27" s="278">
        <f t="shared" si="61"/>
        <v>0</v>
      </c>
      <c r="CS27" s="279" t="e">
        <f>(CQ27/'Finance Only'!B30)*100</f>
        <v>#DIV/0!</v>
      </c>
      <c r="CT27" s="262">
        <f>CU26</f>
        <v>0</v>
      </c>
      <c r="CU27" s="262"/>
      <c r="CV27" s="263">
        <f>CU27-CT27</f>
        <v>0</v>
      </c>
      <c r="CW27" s="278">
        <f t="shared" si="63"/>
        <v>0</v>
      </c>
      <c r="CX27" s="279" t="e">
        <f>(CV27/'Finance Only'!B30)*100</f>
        <v>#DIV/0!</v>
      </c>
      <c r="CY27" s="262">
        <f t="shared" si="64"/>
        <v>0</v>
      </c>
      <c r="CZ27" s="262"/>
      <c r="DA27" s="263">
        <f t="shared" si="20"/>
        <v>0</v>
      </c>
      <c r="DB27" s="278">
        <f t="shared" si="65"/>
        <v>0</v>
      </c>
      <c r="DC27" s="279" t="e">
        <f>(DA27/'Finance Only'!B30)*100</f>
        <v>#DIV/0!</v>
      </c>
      <c r="DD27" s="262">
        <f t="shared" si="66"/>
        <v>0</v>
      </c>
      <c r="DE27" s="262"/>
      <c r="DF27" s="263">
        <f t="shared" si="21"/>
        <v>0</v>
      </c>
      <c r="DG27" s="278">
        <f t="shared" si="67"/>
        <v>0</v>
      </c>
      <c r="DH27" s="279" t="e">
        <f>(DF27/'Finance Only'!B30)*100</f>
        <v>#DIV/0!</v>
      </c>
      <c r="DI27" s="262">
        <f t="shared" si="68"/>
        <v>0</v>
      </c>
      <c r="DJ27" s="262"/>
      <c r="DK27" s="263">
        <f t="shared" si="22"/>
        <v>0</v>
      </c>
      <c r="DL27" s="278">
        <f t="shared" si="69"/>
        <v>0</v>
      </c>
      <c r="DM27" s="279" t="e">
        <f>(DK27/'Finance Only'!B30)*100</f>
        <v>#DIV/0!</v>
      </c>
      <c r="DN27" s="262">
        <f t="shared" si="70"/>
        <v>0</v>
      </c>
      <c r="DO27" s="262"/>
      <c r="DP27" s="263">
        <f t="shared" si="23"/>
        <v>0</v>
      </c>
      <c r="DQ27" s="278">
        <f t="shared" si="71"/>
        <v>0</v>
      </c>
      <c r="DR27" s="279" t="e">
        <f>(DP27/'Finance Only'!B30)*100</f>
        <v>#DIV/0!</v>
      </c>
      <c r="DS27" s="262">
        <f t="shared" si="72"/>
        <v>0</v>
      </c>
      <c r="DT27" s="262"/>
      <c r="DU27" s="263">
        <f t="shared" si="24"/>
        <v>0</v>
      </c>
      <c r="DV27" s="278">
        <f t="shared" si="73"/>
        <v>0</v>
      </c>
      <c r="DW27" s="279" t="e">
        <f>(DU27/'Finance Only'!B30)*100</f>
        <v>#DIV/0!</v>
      </c>
      <c r="DX27" s="262">
        <f t="shared" si="74"/>
        <v>0</v>
      </c>
      <c r="DY27" s="262"/>
      <c r="DZ27" s="263">
        <f t="shared" si="25"/>
        <v>0</v>
      </c>
      <c r="EA27" s="278">
        <f t="shared" si="75"/>
        <v>0</v>
      </c>
      <c r="EB27" s="279" t="e">
        <f>(DZ27/'Finance Only'!B30)*100</f>
        <v>#DIV/0!</v>
      </c>
      <c r="EC27" s="262">
        <f t="shared" si="76"/>
        <v>0</v>
      </c>
      <c r="ED27" s="262"/>
      <c r="EE27" s="263">
        <f t="shared" si="26"/>
        <v>0</v>
      </c>
      <c r="EF27" s="278">
        <f t="shared" si="77"/>
        <v>0</v>
      </c>
      <c r="EG27" s="279" t="e">
        <f>(EE27/'Finance Only'!B30)*100</f>
        <v>#DIV/0!</v>
      </c>
      <c r="EH27" s="262">
        <f>EI26</f>
        <v>0</v>
      </c>
      <c r="EI27" s="262"/>
      <c r="EJ27" s="263">
        <f>EI27-EH27</f>
        <v>0</v>
      </c>
      <c r="EK27" s="278">
        <f t="shared" si="79"/>
        <v>0</v>
      </c>
      <c r="EL27" s="279" t="e">
        <f>(EJ27/'Finance Only'!B30)*100</f>
        <v>#DIV/0!</v>
      </c>
      <c r="EM27" s="262">
        <f t="shared" si="80"/>
        <v>0</v>
      </c>
      <c r="EN27" s="262"/>
      <c r="EO27" s="263">
        <f t="shared" si="28"/>
        <v>0</v>
      </c>
      <c r="EP27" s="278">
        <f t="shared" si="81"/>
        <v>0</v>
      </c>
      <c r="EQ27" s="279" t="e">
        <f>(EO27/'Finance Only'!B30)*100</f>
        <v>#DIV/0!</v>
      </c>
      <c r="ER27" s="262">
        <f t="shared" si="82"/>
        <v>0</v>
      </c>
      <c r="ES27" s="262"/>
      <c r="ET27" s="263">
        <f t="shared" si="29"/>
        <v>0</v>
      </c>
      <c r="EU27" s="278">
        <f t="shared" si="83"/>
        <v>0</v>
      </c>
      <c r="EV27" s="279" t="e">
        <f>(ET27/'Finance Only'!B30)*100</f>
        <v>#DIV/0!</v>
      </c>
    </row>
    <row r="28" spans="1:1086" s="76" customFormat="1" ht="13.5" customHeight="1" x14ac:dyDescent="0.2">
      <c r="A28" s="325">
        <v>24</v>
      </c>
      <c r="B28" s="331">
        <f>'Finance Only'!G31</f>
        <v>0</v>
      </c>
      <c r="C28" s="323">
        <f t="shared" si="30"/>
        <v>0</v>
      </c>
      <c r="D28" s="260"/>
      <c r="E28" s="261">
        <f t="shared" si="0"/>
        <v>0</v>
      </c>
      <c r="F28" s="274">
        <f t="shared" si="31"/>
        <v>0</v>
      </c>
      <c r="G28" s="275" t="e">
        <f>(E28/'Finance Only'!B31)*100</f>
        <v>#DIV/0!</v>
      </c>
      <c r="H28" s="287">
        <f t="shared" si="84"/>
        <v>0</v>
      </c>
      <c r="I28" s="260"/>
      <c r="J28" s="260">
        <f t="shared" si="32"/>
        <v>0</v>
      </c>
      <c r="K28" s="288">
        <f t="shared" si="33"/>
        <v>0</v>
      </c>
      <c r="L28" s="289" t="e">
        <f>(J28/'Finance Only'!B31)*100</f>
        <v>#DIV/0!</v>
      </c>
      <c r="M28" s="270">
        <f t="shared" si="34"/>
        <v>0</v>
      </c>
      <c r="N28" s="262"/>
      <c r="O28" s="263">
        <f t="shared" si="1"/>
        <v>0</v>
      </c>
      <c r="P28" s="278">
        <f t="shared" si="35"/>
        <v>0</v>
      </c>
      <c r="Q28" s="279" t="e">
        <f>(O28/'Finance Only'!B31)*100</f>
        <v>#DIV/0!</v>
      </c>
      <c r="R28" s="269">
        <f t="shared" si="85"/>
        <v>0</v>
      </c>
      <c r="S28" s="262"/>
      <c r="T28" s="263">
        <f t="shared" si="2"/>
        <v>0</v>
      </c>
      <c r="U28" s="278">
        <f t="shared" si="36"/>
        <v>0</v>
      </c>
      <c r="V28" s="279" t="e">
        <f>(T28/'Finance Only'!B31)*100</f>
        <v>#DIV/0!</v>
      </c>
      <c r="W28" s="262">
        <f t="shared" si="90"/>
        <v>0</v>
      </c>
      <c r="X28" s="262"/>
      <c r="Y28" s="263">
        <f t="shared" si="3"/>
        <v>0</v>
      </c>
      <c r="Z28" s="278">
        <f t="shared" si="37"/>
        <v>0</v>
      </c>
      <c r="AA28" s="279" t="e">
        <f>(Y28/'Finance Only'!B31)*100</f>
        <v>#DIV/0!</v>
      </c>
      <c r="AB28" s="262">
        <f t="shared" si="38"/>
        <v>0</v>
      </c>
      <c r="AC28" s="262"/>
      <c r="AD28" s="263">
        <f t="shared" si="4"/>
        <v>0</v>
      </c>
      <c r="AE28" s="278">
        <f t="shared" si="39"/>
        <v>0</v>
      </c>
      <c r="AF28" s="279" t="e">
        <f>(AD28/'Finance Only'!B31)*100</f>
        <v>#DIV/0!</v>
      </c>
      <c r="AG28" s="262">
        <f t="shared" si="91"/>
        <v>0</v>
      </c>
      <c r="AH28" s="262"/>
      <c r="AI28" s="263">
        <f t="shared" si="5"/>
        <v>0</v>
      </c>
      <c r="AJ28" s="278">
        <f t="shared" si="40"/>
        <v>0</v>
      </c>
      <c r="AK28" s="279" t="e">
        <f>(AI28/'Finance Only'!B31)*100</f>
        <v>#DIV/0!</v>
      </c>
      <c r="AL28" s="262">
        <f t="shared" si="92"/>
        <v>0</v>
      </c>
      <c r="AM28" s="262"/>
      <c r="AN28" s="263">
        <f t="shared" si="6"/>
        <v>0</v>
      </c>
      <c r="AO28" s="278">
        <f t="shared" si="41"/>
        <v>0</v>
      </c>
      <c r="AP28" s="279" t="e">
        <f>(AN28/'Finance Only'!B31)*100</f>
        <v>#DIV/0!</v>
      </c>
      <c r="AQ28" s="262">
        <f t="shared" si="93"/>
        <v>0</v>
      </c>
      <c r="AR28" s="262"/>
      <c r="AS28" s="263">
        <f t="shared" si="7"/>
        <v>0</v>
      </c>
      <c r="AT28" s="278">
        <f t="shared" si="42"/>
        <v>0</v>
      </c>
      <c r="AU28" s="279" t="e">
        <f>(AS28/'Finance Only'!B31)*100</f>
        <v>#DIV/0!</v>
      </c>
      <c r="AV28" s="262">
        <f t="shared" si="8"/>
        <v>0</v>
      </c>
      <c r="AW28" s="262"/>
      <c r="AX28" s="263">
        <f t="shared" si="9"/>
        <v>0</v>
      </c>
      <c r="AY28" s="278">
        <f t="shared" si="43"/>
        <v>0</v>
      </c>
      <c r="AZ28" s="279" t="e">
        <f>(AX28/'Finance Only'!B31)*100</f>
        <v>#DIV/0!</v>
      </c>
      <c r="BA28" s="262">
        <f t="shared" si="10"/>
        <v>0</v>
      </c>
      <c r="BB28" s="262"/>
      <c r="BC28" s="263">
        <f t="shared" si="11"/>
        <v>0</v>
      </c>
      <c r="BD28" s="278">
        <f t="shared" si="44"/>
        <v>0</v>
      </c>
      <c r="BE28" s="279" t="e">
        <f>(BC28/'Finance Only'!B31)*100</f>
        <v>#DIV/0!</v>
      </c>
      <c r="BF28" s="262">
        <f t="shared" si="45"/>
        <v>0</v>
      </c>
      <c r="BG28" s="262"/>
      <c r="BH28" s="263">
        <f t="shared" si="12"/>
        <v>0</v>
      </c>
      <c r="BI28" s="278">
        <f t="shared" si="46"/>
        <v>0</v>
      </c>
      <c r="BJ28" s="279" t="e">
        <f>(BH28/'Finance Only'!B31)*100</f>
        <v>#DIV/0!</v>
      </c>
      <c r="BK28" s="262">
        <f t="shared" si="47"/>
        <v>0</v>
      </c>
      <c r="BL28" s="262"/>
      <c r="BM28" s="263">
        <f t="shared" si="13"/>
        <v>0</v>
      </c>
      <c r="BN28" s="278">
        <f t="shared" si="48"/>
        <v>0</v>
      </c>
      <c r="BO28" s="279" t="e">
        <f>(BM28/'Finance Only'!B31)*100</f>
        <v>#DIV/0!</v>
      </c>
      <c r="BP28" s="262">
        <f t="shared" si="49"/>
        <v>0</v>
      </c>
      <c r="BQ28" s="262"/>
      <c r="BR28" s="263">
        <f t="shared" si="14"/>
        <v>0</v>
      </c>
      <c r="BS28" s="278">
        <f t="shared" si="50"/>
        <v>0</v>
      </c>
      <c r="BT28" s="279" t="e">
        <f>(BR28/'Finance Only'!B31)*100</f>
        <v>#DIV/0!</v>
      </c>
      <c r="BU28" s="262">
        <f t="shared" si="51"/>
        <v>0</v>
      </c>
      <c r="BV28" s="262"/>
      <c r="BW28" s="263">
        <f t="shared" si="15"/>
        <v>0</v>
      </c>
      <c r="BX28" s="278">
        <f t="shared" si="52"/>
        <v>0</v>
      </c>
      <c r="BY28" s="279" t="e">
        <f>(BW28/'Finance Only'!B31)*100</f>
        <v>#DIV/0!</v>
      </c>
      <c r="BZ28" s="262">
        <f t="shared" si="53"/>
        <v>0</v>
      </c>
      <c r="CA28" s="262"/>
      <c r="CB28" s="263">
        <f t="shared" si="16"/>
        <v>0</v>
      </c>
      <c r="CC28" s="278">
        <f t="shared" si="54"/>
        <v>0</v>
      </c>
      <c r="CD28" s="279" t="e">
        <f>(CB28/'Finance Only'!B31)*100</f>
        <v>#DIV/0!</v>
      </c>
      <c r="CE28" s="262">
        <f t="shared" si="55"/>
        <v>0</v>
      </c>
      <c r="CF28" s="262"/>
      <c r="CG28" s="263">
        <f t="shared" si="17"/>
        <v>0</v>
      </c>
      <c r="CH28" s="278">
        <f t="shared" si="56"/>
        <v>0</v>
      </c>
      <c r="CI28" s="279" t="e">
        <f>(CG28/'Finance Only'!B31)*100</f>
        <v>#DIV/0!</v>
      </c>
      <c r="CJ28" s="263">
        <f t="shared" si="57"/>
        <v>0</v>
      </c>
      <c r="CK28" s="263"/>
      <c r="CL28" s="263">
        <f t="shared" si="58"/>
        <v>0</v>
      </c>
      <c r="CM28" s="278">
        <f t="shared" si="59"/>
        <v>0</v>
      </c>
      <c r="CN28" s="279" t="e">
        <f>(CL28/'Finance Only'!B31)*100</f>
        <v>#DIV/0!</v>
      </c>
      <c r="CO28" s="262">
        <f t="shared" si="60"/>
        <v>0</v>
      </c>
      <c r="CP28" s="262"/>
      <c r="CQ28" s="264">
        <f t="shared" si="18"/>
        <v>0</v>
      </c>
      <c r="CR28" s="278">
        <f t="shared" si="61"/>
        <v>0</v>
      </c>
      <c r="CS28" s="279" t="e">
        <f>(CQ28/'Finance Only'!B31)*100</f>
        <v>#DIV/0!</v>
      </c>
      <c r="CT28" s="262">
        <f>CU27</f>
        <v>0</v>
      </c>
      <c r="CU28" s="262"/>
      <c r="CV28" s="263">
        <f t="shared" si="19"/>
        <v>0</v>
      </c>
      <c r="CW28" s="278">
        <f t="shared" si="63"/>
        <v>0</v>
      </c>
      <c r="CX28" s="279" t="e">
        <f>(CV28/'Finance Only'!B31)*100</f>
        <v>#DIV/0!</v>
      </c>
      <c r="CY28" s="262">
        <f t="shared" si="64"/>
        <v>0</v>
      </c>
      <c r="CZ28" s="262"/>
      <c r="DA28" s="263">
        <f t="shared" si="20"/>
        <v>0</v>
      </c>
      <c r="DB28" s="278">
        <f t="shared" si="65"/>
        <v>0</v>
      </c>
      <c r="DC28" s="279" t="e">
        <f>(DA28/'Finance Only'!B31)*100</f>
        <v>#DIV/0!</v>
      </c>
      <c r="DD28" s="262">
        <f t="shared" si="66"/>
        <v>0</v>
      </c>
      <c r="DE28" s="262"/>
      <c r="DF28" s="263">
        <f t="shared" si="21"/>
        <v>0</v>
      </c>
      <c r="DG28" s="278">
        <f t="shared" si="67"/>
        <v>0</v>
      </c>
      <c r="DH28" s="279" t="e">
        <f>(DF28/'Finance Only'!B31)*100</f>
        <v>#DIV/0!</v>
      </c>
      <c r="DI28" s="262">
        <f t="shared" si="68"/>
        <v>0</v>
      </c>
      <c r="DJ28" s="262"/>
      <c r="DK28" s="263">
        <f t="shared" si="22"/>
        <v>0</v>
      </c>
      <c r="DL28" s="278">
        <f t="shared" si="69"/>
        <v>0</v>
      </c>
      <c r="DM28" s="279" t="e">
        <f>(DK28/'Finance Only'!B31)*100</f>
        <v>#DIV/0!</v>
      </c>
      <c r="DN28" s="262">
        <f t="shared" si="70"/>
        <v>0</v>
      </c>
      <c r="DO28" s="262"/>
      <c r="DP28" s="263">
        <f t="shared" si="23"/>
        <v>0</v>
      </c>
      <c r="DQ28" s="278">
        <f t="shared" si="71"/>
        <v>0</v>
      </c>
      <c r="DR28" s="279" t="e">
        <f>(DP28/'Finance Only'!B31)*100</f>
        <v>#DIV/0!</v>
      </c>
      <c r="DS28" s="262">
        <f t="shared" si="72"/>
        <v>0</v>
      </c>
      <c r="DT28" s="262"/>
      <c r="DU28" s="263">
        <f t="shared" si="24"/>
        <v>0</v>
      </c>
      <c r="DV28" s="278">
        <f t="shared" si="73"/>
        <v>0</v>
      </c>
      <c r="DW28" s="279" t="e">
        <f>(DU28/'Finance Only'!B31)*100</f>
        <v>#DIV/0!</v>
      </c>
      <c r="DX28" s="262">
        <f t="shared" si="74"/>
        <v>0</v>
      </c>
      <c r="DY28" s="262"/>
      <c r="DZ28" s="263">
        <f t="shared" si="25"/>
        <v>0</v>
      </c>
      <c r="EA28" s="278">
        <f t="shared" si="75"/>
        <v>0</v>
      </c>
      <c r="EB28" s="279" t="e">
        <f>(DZ28/'Finance Only'!B31)*100</f>
        <v>#DIV/0!</v>
      </c>
      <c r="EC28" s="262">
        <f t="shared" si="76"/>
        <v>0</v>
      </c>
      <c r="ED28" s="262"/>
      <c r="EE28" s="263">
        <f t="shared" si="26"/>
        <v>0</v>
      </c>
      <c r="EF28" s="278">
        <f t="shared" si="77"/>
        <v>0</v>
      </c>
      <c r="EG28" s="279" t="e">
        <f>(EE28/'Finance Only'!B31)*100</f>
        <v>#DIV/0!</v>
      </c>
      <c r="EH28" s="262">
        <f>EI27</f>
        <v>0</v>
      </c>
      <c r="EI28" s="262"/>
      <c r="EJ28" s="263">
        <f t="shared" si="27"/>
        <v>0</v>
      </c>
      <c r="EK28" s="278">
        <f t="shared" si="79"/>
        <v>0</v>
      </c>
      <c r="EL28" s="279" t="e">
        <f>(EJ28/'Finance Only'!B31)*100</f>
        <v>#DIV/0!</v>
      </c>
      <c r="EM28" s="262">
        <f t="shared" si="80"/>
        <v>0</v>
      </c>
      <c r="EN28" s="262"/>
      <c r="EO28" s="263">
        <f t="shared" si="28"/>
        <v>0</v>
      </c>
      <c r="EP28" s="278">
        <f t="shared" si="81"/>
        <v>0</v>
      </c>
      <c r="EQ28" s="279" t="e">
        <f>(EO28/'Finance Only'!B31)*100</f>
        <v>#DIV/0!</v>
      </c>
      <c r="ER28" s="262">
        <f t="shared" si="82"/>
        <v>0</v>
      </c>
      <c r="ES28" s="262"/>
      <c r="ET28" s="263">
        <f t="shared" si="29"/>
        <v>0</v>
      </c>
      <c r="EU28" s="278">
        <f t="shared" si="83"/>
        <v>0</v>
      </c>
      <c r="EV28" s="279" t="e">
        <f>(ET28/'Finance Only'!B31)*100</f>
        <v>#DIV/0!</v>
      </c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  <c r="NC28" s="30"/>
      <c r="ND28" s="30"/>
      <c r="NE28" s="30"/>
      <c r="NF28" s="30"/>
      <c r="NG28" s="30"/>
      <c r="NH28" s="30"/>
      <c r="NI28" s="30"/>
      <c r="NJ28" s="30"/>
      <c r="NK28" s="30"/>
      <c r="NL28" s="30"/>
      <c r="NM28" s="30"/>
      <c r="NN28" s="30"/>
      <c r="NO28" s="30"/>
      <c r="NP28" s="30"/>
      <c r="NQ28" s="30"/>
      <c r="NR28" s="30"/>
      <c r="NS28" s="30"/>
      <c r="NT28" s="30"/>
      <c r="NU28" s="30"/>
      <c r="NV28" s="30"/>
      <c r="NW28" s="30"/>
      <c r="NX28" s="30"/>
      <c r="NY28" s="30"/>
      <c r="NZ28" s="30"/>
      <c r="OA28" s="30"/>
      <c r="OB28" s="30"/>
      <c r="OC28" s="30"/>
      <c r="OD28" s="30"/>
      <c r="OE28" s="30"/>
      <c r="OF28" s="30"/>
      <c r="OG28" s="30"/>
      <c r="OH28" s="30"/>
      <c r="OI28" s="30"/>
      <c r="OJ28" s="30"/>
      <c r="OK28" s="30"/>
      <c r="OL28" s="30"/>
      <c r="OM28" s="30"/>
      <c r="ON28" s="30"/>
      <c r="OO28" s="30"/>
      <c r="OP28" s="30"/>
      <c r="OQ28" s="30"/>
      <c r="OR28" s="30"/>
      <c r="OS28" s="30"/>
      <c r="OT28" s="30"/>
      <c r="OU28" s="30"/>
      <c r="OV28" s="30"/>
      <c r="OW28" s="30"/>
      <c r="OX28" s="30"/>
      <c r="OY28" s="30"/>
      <c r="OZ28" s="30"/>
      <c r="PA28" s="30"/>
      <c r="PB28" s="30"/>
      <c r="PC28" s="30"/>
      <c r="PD28" s="30"/>
      <c r="PE28" s="30"/>
      <c r="PF28" s="30"/>
      <c r="PG28" s="30"/>
      <c r="PH28" s="30"/>
      <c r="PI28" s="30"/>
      <c r="PJ28" s="30"/>
      <c r="PK28" s="30"/>
      <c r="PL28" s="30"/>
      <c r="PM28" s="30"/>
      <c r="PN28" s="30"/>
      <c r="PO28" s="30"/>
      <c r="PP28" s="30"/>
      <c r="PQ28" s="30"/>
      <c r="PR28" s="30"/>
      <c r="PS28" s="30"/>
      <c r="PT28" s="30"/>
      <c r="PU28" s="30"/>
      <c r="PV28" s="30"/>
      <c r="PW28" s="30"/>
      <c r="PX28" s="30"/>
      <c r="PY28" s="30"/>
      <c r="PZ28" s="30"/>
      <c r="QA28" s="30"/>
      <c r="QB28" s="30"/>
      <c r="QC28" s="30"/>
      <c r="QD28" s="30"/>
      <c r="QE28" s="30"/>
      <c r="QF28" s="30"/>
      <c r="QG28" s="30"/>
      <c r="QH28" s="30"/>
      <c r="QI28" s="30"/>
      <c r="QJ28" s="30"/>
      <c r="QK28" s="30"/>
      <c r="QL28" s="30"/>
      <c r="QM28" s="30"/>
      <c r="QN28" s="30"/>
      <c r="QO28" s="30"/>
      <c r="QP28" s="30"/>
      <c r="QQ28" s="30"/>
      <c r="QR28" s="30"/>
      <c r="QS28" s="30"/>
      <c r="QT28" s="30"/>
      <c r="QU28" s="30"/>
      <c r="QV28" s="30"/>
      <c r="QW28" s="30"/>
      <c r="QX28" s="30"/>
      <c r="QY28" s="30"/>
      <c r="QZ28" s="30"/>
      <c r="RA28" s="30"/>
      <c r="RB28" s="30"/>
      <c r="RC28" s="30"/>
      <c r="RD28" s="30"/>
      <c r="RE28" s="30"/>
      <c r="RF28" s="30"/>
      <c r="RG28" s="30"/>
      <c r="RH28" s="30"/>
      <c r="RI28" s="30"/>
      <c r="RJ28" s="30"/>
      <c r="RK28" s="30"/>
      <c r="RL28" s="30"/>
      <c r="RM28" s="30"/>
      <c r="RN28" s="30"/>
      <c r="RO28" s="30"/>
      <c r="RP28" s="30"/>
      <c r="RQ28" s="30"/>
      <c r="RR28" s="30"/>
      <c r="RS28" s="30"/>
      <c r="RT28" s="30"/>
      <c r="RU28" s="30"/>
      <c r="RV28" s="30"/>
      <c r="RW28" s="30"/>
      <c r="RX28" s="30"/>
      <c r="RY28" s="30"/>
      <c r="RZ28" s="30"/>
      <c r="SA28" s="30"/>
      <c r="SB28" s="30"/>
      <c r="SC28" s="30"/>
      <c r="SD28" s="30"/>
      <c r="SE28" s="30"/>
      <c r="SF28" s="30"/>
      <c r="SG28" s="30"/>
      <c r="SH28" s="30"/>
      <c r="SI28" s="30"/>
      <c r="SJ28" s="30"/>
      <c r="SK28" s="30"/>
      <c r="SL28" s="30"/>
      <c r="SM28" s="30"/>
      <c r="SN28" s="30"/>
      <c r="SO28" s="30"/>
      <c r="SP28" s="30"/>
      <c r="SQ28" s="30"/>
      <c r="SR28" s="30"/>
      <c r="SS28" s="30"/>
      <c r="ST28" s="30"/>
      <c r="SU28" s="30"/>
      <c r="SV28" s="30"/>
      <c r="SW28" s="30"/>
      <c r="SX28" s="30"/>
      <c r="SY28" s="30"/>
      <c r="SZ28" s="30"/>
      <c r="TA28" s="30"/>
      <c r="TB28" s="30"/>
      <c r="TC28" s="30"/>
      <c r="TD28" s="30"/>
      <c r="TE28" s="30"/>
      <c r="TF28" s="30"/>
      <c r="TG28" s="30"/>
      <c r="TH28" s="30"/>
      <c r="TI28" s="30"/>
      <c r="TJ28" s="30"/>
      <c r="TK28" s="30"/>
      <c r="TL28" s="30"/>
      <c r="TM28" s="30"/>
      <c r="TN28" s="30"/>
      <c r="TO28" s="30"/>
      <c r="TP28" s="30"/>
      <c r="TQ28" s="30"/>
      <c r="TR28" s="30"/>
      <c r="TS28" s="30"/>
      <c r="TT28" s="30"/>
      <c r="TU28" s="30"/>
      <c r="TV28" s="30"/>
      <c r="TW28" s="30"/>
      <c r="TX28" s="30"/>
      <c r="TY28" s="30"/>
      <c r="TZ28" s="30"/>
      <c r="UA28" s="30"/>
      <c r="UB28" s="30"/>
      <c r="UC28" s="30"/>
      <c r="UD28" s="30"/>
      <c r="UE28" s="30"/>
      <c r="UF28" s="30"/>
      <c r="UG28" s="30"/>
      <c r="UH28" s="30"/>
      <c r="UI28" s="30"/>
      <c r="UJ28" s="30"/>
      <c r="UK28" s="30"/>
      <c r="UL28" s="30"/>
      <c r="UM28" s="30"/>
      <c r="UN28" s="30"/>
      <c r="UO28" s="30"/>
      <c r="UP28" s="30"/>
      <c r="UQ28" s="30"/>
      <c r="UR28" s="30"/>
      <c r="US28" s="30"/>
      <c r="UT28" s="30"/>
      <c r="UU28" s="30"/>
      <c r="UV28" s="30"/>
      <c r="UW28" s="30"/>
      <c r="UX28" s="30"/>
      <c r="UY28" s="30"/>
      <c r="UZ28" s="30"/>
      <c r="VA28" s="30"/>
      <c r="VB28" s="30"/>
      <c r="VC28" s="30"/>
      <c r="VD28" s="30"/>
      <c r="VE28" s="30"/>
      <c r="VF28" s="30"/>
      <c r="VG28" s="30"/>
      <c r="VH28" s="30"/>
      <c r="VI28" s="30"/>
      <c r="VJ28" s="30"/>
      <c r="VK28" s="30"/>
      <c r="VL28" s="30"/>
      <c r="VM28" s="30"/>
      <c r="VN28" s="30"/>
      <c r="VO28" s="30"/>
      <c r="VP28" s="30"/>
      <c r="VQ28" s="30"/>
      <c r="VR28" s="30"/>
      <c r="VS28" s="30"/>
      <c r="VT28" s="30"/>
      <c r="VU28" s="30"/>
      <c r="VV28" s="30"/>
      <c r="VW28" s="30"/>
      <c r="VX28" s="30"/>
      <c r="VY28" s="30"/>
      <c r="VZ28" s="30"/>
      <c r="WA28" s="30"/>
      <c r="WB28" s="30"/>
      <c r="WC28" s="30"/>
      <c r="WD28" s="30"/>
      <c r="WE28" s="30"/>
      <c r="WF28" s="30"/>
      <c r="WG28" s="30"/>
      <c r="WH28" s="30"/>
      <c r="WI28" s="30"/>
      <c r="WJ28" s="30"/>
      <c r="WK28" s="30"/>
      <c r="WL28" s="30"/>
      <c r="WM28" s="30"/>
      <c r="WN28" s="30"/>
      <c r="WO28" s="30"/>
      <c r="WP28" s="30"/>
      <c r="WQ28" s="30"/>
      <c r="WR28" s="30"/>
      <c r="WS28" s="30"/>
      <c r="WT28" s="30"/>
      <c r="WU28" s="30"/>
      <c r="WV28" s="30"/>
      <c r="WW28" s="30"/>
      <c r="WX28" s="30"/>
      <c r="WY28" s="30"/>
      <c r="WZ28" s="30"/>
      <c r="XA28" s="30"/>
      <c r="XB28" s="30"/>
      <c r="XC28" s="30"/>
      <c r="XD28" s="30"/>
      <c r="XE28" s="30"/>
      <c r="XF28" s="30"/>
      <c r="XG28" s="30"/>
      <c r="XH28" s="30"/>
      <c r="XI28" s="30"/>
      <c r="XJ28" s="30"/>
      <c r="XK28" s="30"/>
      <c r="XL28" s="30"/>
      <c r="XM28" s="30"/>
      <c r="XN28" s="30"/>
      <c r="XO28" s="30"/>
      <c r="XP28" s="30"/>
      <c r="XQ28" s="30"/>
      <c r="XR28" s="30"/>
      <c r="XS28" s="30"/>
      <c r="XT28" s="30"/>
      <c r="XU28" s="30"/>
      <c r="XV28" s="30"/>
      <c r="XW28" s="30"/>
      <c r="XX28" s="30"/>
      <c r="XY28" s="30"/>
      <c r="XZ28" s="30"/>
      <c r="YA28" s="30"/>
      <c r="YB28" s="30"/>
      <c r="YC28" s="30"/>
      <c r="YD28" s="30"/>
      <c r="YE28" s="30"/>
      <c r="YF28" s="30"/>
      <c r="YG28" s="30"/>
      <c r="YH28" s="30"/>
      <c r="YI28" s="30"/>
      <c r="YJ28" s="30"/>
      <c r="YK28" s="30"/>
      <c r="YL28" s="30"/>
      <c r="YM28" s="30"/>
      <c r="YN28" s="30"/>
      <c r="YO28" s="30"/>
      <c r="YP28" s="30"/>
      <c r="YQ28" s="30"/>
      <c r="YR28" s="30"/>
      <c r="YS28" s="30"/>
      <c r="YT28" s="30"/>
      <c r="YU28" s="30"/>
      <c r="YV28" s="30"/>
      <c r="YW28" s="30"/>
      <c r="YX28" s="30"/>
      <c r="YY28" s="30"/>
      <c r="YZ28" s="30"/>
      <c r="ZA28" s="30"/>
      <c r="ZB28" s="30"/>
      <c r="ZC28" s="30"/>
      <c r="ZD28" s="30"/>
      <c r="ZE28" s="30"/>
      <c r="ZF28" s="30"/>
      <c r="ZG28" s="30"/>
      <c r="ZH28" s="30"/>
      <c r="ZI28" s="30"/>
      <c r="ZJ28" s="30"/>
      <c r="ZK28" s="30"/>
      <c r="ZL28" s="30"/>
      <c r="ZM28" s="30"/>
      <c r="ZN28" s="30"/>
      <c r="ZO28" s="30"/>
      <c r="ZP28" s="30"/>
      <c r="ZQ28" s="30"/>
      <c r="ZR28" s="30"/>
      <c r="ZS28" s="30"/>
      <c r="ZT28" s="30"/>
      <c r="ZU28" s="30"/>
      <c r="ZV28" s="30"/>
      <c r="ZW28" s="30"/>
      <c r="ZX28" s="30"/>
      <c r="ZY28" s="30"/>
      <c r="ZZ28" s="30"/>
      <c r="AAA28" s="30"/>
      <c r="AAB28" s="30"/>
      <c r="AAC28" s="30"/>
      <c r="AAD28" s="30"/>
      <c r="AAE28" s="30"/>
      <c r="AAF28" s="30"/>
      <c r="AAG28" s="30"/>
      <c r="AAH28" s="30"/>
      <c r="AAI28" s="30"/>
      <c r="AAJ28" s="30"/>
      <c r="AAK28" s="30"/>
      <c r="AAL28" s="30"/>
      <c r="AAM28" s="30"/>
      <c r="AAN28" s="30"/>
      <c r="AAO28" s="30"/>
      <c r="AAP28" s="30"/>
      <c r="AAQ28" s="30"/>
      <c r="AAR28" s="30"/>
      <c r="AAS28" s="30"/>
      <c r="AAT28" s="30"/>
      <c r="AAU28" s="30"/>
      <c r="AAV28" s="30"/>
      <c r="AAW28" s="30"/>
      <c r="AAX28" s="30"/>
      <c r="AAY28" s="30"/>
      <c r="AAZ28" s="30"/>
      <c r="ABA28" s="30"/>
      <c r="ABB28" s="30"/>
      <c r="ABC28" s="30"/>
      <c r="ABD28" s="30"/>
      <c r="ABE28" s="30"/>
      <c r="ABF28" s="30"/>
      <c r="ABG28" s="30"/>
      <c r="ABH28" s="30"/>
      <c r="ABI28" s="30"/>
      <c r="ABJ28" s="30"/>
      <c r="ABK28" s="30"/>
      <c r="ABL28" s="30"/>
      <c r="ABM28" s="30"/>
      <c r="ABN28" s="30"/>
      <c r="ABO28" s="30"/>
      <c r="ABP28" s="30"/>
      <c r="ABQ28" s="30"/>
      <c r="ABR28" s="30"/>
      <c r="ABS28" s="30"/>
      <c r="ABT28" s="30"/>
      <c r="ABU28" s="30"/>
      <c r="ABV28" s="30"/>
      <c r="ABW28" s="30"/>
      <c r="ABX28" s="30"/>
      <c r="ABY28" s="30"/>
      <c r="ABZ28" s="30"/>
      <c r="ACA28" s="30"/>
      <c r="ACB28" s="30"/>
      <c r="ACC28" s="30"/>
      <c r="ACD28" s="30"/>
      <c r="ACE28" s="30"/>
      <c r="ACF28" s="30"/>
      <c r="ACG28" s="30"/>
      <c r="ACH28" s="30"/>
      <c r="ACI28" s="30"/>
      <c r="ACJ28" s="30"/>
      <c r="ACK28" s="30"/>
      <c r="ACL28" s="30"/>
      <c r="ACM28" s="30"/>
      <c r="ACN28" s="30"/>
      <c r="ACO28" s="30"/>
      <c r="ACP28" s="30"/>
      <c r="ACQ28" s="30"/>
      <c r="ACR28" s="30"/>
      <c r="ACS28" s="30"/>
      <c r="ACT28" s="30"/>
      <c r="ACU28" s="30"/>
      <c r="ACV28" s="30"/>
      <c r="ACW28" s="30"/>
      <c r="ACX28" s="30"/>
      <c r="ACY28" s="30"/>
      <c r="ACZ28" s="30"/>
      <c r="ADA28" s="30"/>
      <c r="ADB28" s="30"/>
      <c r="ADC28" s="30"/>
      <c r="ADD28" s="30"/>
      <c r="ADE28" s="30"/>
      <c r="ADF28" s="30"/>
      <c r="ADG28" s="30"/>
      <c r="ADH28" s="30"/>
      <c r="ADI28" s="30"/>
      <c r="ADJ28" s="30"/>
      <c r="ADK28" s="30"/>
      <c r="ADL28" s="30"/>
      <c r="ADM28" s="30"/>
      <c r="ADN28" s="30"/>
      <c r="ADO28" s="30"/>
      <c r="ADP28" s="30"/>
      <c r="ADQ28" s="30"/>
      <c r="ADR28" s="30"/>
      <c r="ADS28" s="30"/>
      <c r="ADT28" s="30"/>
      <c r="ADU28" s="30"/>
      <c r="ADV28" s="30"/>
      <c r="ADW28" s="30"/>
      <c r="ADX28" s="30"/>
      <c r="ADY28" s="30"/>
      <c r="ADZ28" s="30"/>
      <c r="AEA28" s="30"/>
      <c r="AEB28" s="30"/>
      <c r="AEC28" s="30"/>
      <c r="AED28" s="30"/>
      <c r="AEE28" s="30"/>
      <c r="AEF28" s="30"/>
      <c r="AEG28" s="30"/>
      <c r="AEH28" s="30"/>
      <c r="AEI28" s="30"/>
      <c r="AEJ28" s="30"/>
      <c r="AEK28" s="30"/>
      <c r="AEL28" s="30"/>
      <c r="AEM28" s="30"/>
      <c r="AEN28" s="30"/>
      <c r="AEO28" s="30"/>
      <c r="AEP28" s="30"/>
      <c r="AEQ28" s="30"/>
      <c r="AER28" s="30"/>
      <c r="AES28" s="30"/>
      <c r="AET28" s="30"/>
      <c r="AEU28" s="30"/>
      <c r="AEV28" s="30"/>
      <c r="AEW28" s="30"/>
      <c r="AEX28" s="30"/>
      <c r="AEY28" s="30"/>
      <c r="AEZ28" s="30"/>
      <c r="AFA28" s="30"/>
      <c r="AFB28" s="30"/>
      <c r="AFC28" s="30"/>
      <c r="AFD28" s="30"/>
      <c r="AFE28" s="30"/>
      <c r="AFF28" s="30"/>
      <c r="AFG28" s="30"/>
      <c r="AFH28" s="30"/>
      <c r="AFI28" s="30"/>
      <c r="AFJ28" s="30"/>
      <c r="AFK28" s="30"/>
      <c r="AFL28" s="30"/>
      <c r="AFM28" s="30"/>
      <c r="AFN28" s="30"/>
      <c r="AFO28" s="30"/>
      <c r="AFP28" s="30"/>
      <c r="AFQ28" s="30"/>
      <c r="AFR28" s="30"/>
      <c r="AFS28" s="30"/>
      <c r="AFT28" s="30"/>
      <c r="AFU28" s="30"/>
      <c r="AFV28" s="30"/>
      <c r="AFW28" s="30"/>
      <c r="AFX28" s="30"/>
      <c r="AFY28" s="30"/>
      <c r="AFZ28" s="30"/>
      <c r="AGA28" s="30"/>
      <c r="AGB28" s="30"/>
      <c r="AGC28" s="30"/>
      <c r="AGD28" s="30"/>
      <c r="AGE28" s="30"/>
      <c r="AGF28" s="30"/>
      <c r="AGG28" s="30"/>
      <c r="AGH28" s="30"/>
      <c r="AGI28" s="30"/>
      <c r="AGJ28" s="30"/>
      <c r="AGK28" s="30"/>
      <c r="AGL28" s="30"/>
      <c r="AGM28" s="30"/>
      <c r="AGN28" s="30"/>
      <c r="AGO28" s="30"/>
      <c r="AGP28" s="30"/>
      <c r="AGQ28" s="30"/>
      <c r="AGR28" s="30"/>
      <c r="AGS28" s="30"/>
      <c r="AGT28" s="30"/>
      <c r="AGU28" s="30"/>
      <c r="AGV28" s="30"/>
      <c r="AGW28" s="30"/>
      <c r="AGX28" s="30"/>
      <c r="AGY28" s="30"/>
      <c r="AGZ28" s="30"/>
      <c r="AHA28" s="30"/>
      <c r="AHB28" s="30"/>
      <c r="AHC28" s="30"/>
      <c r="AHD28" s="30"/>
      <c r="AHE28" s="30"/>
      <c r="AHF28" s="30"/>
      <c r="AHG28" s="30"/>
      <c r="AHH28" s="30"/>
      <c r="AHI28" s="30"/>
      <c r="AHJ28" s="30"/>
      <c r="AHK28" s="30"/>
      <c r="AHL28" s="30"/>
      <c r="AHM28" s="30"/>
      <c r="AHN28" s="30"/>
      <c r="AHO28" s="30"/>
      <c r="AHP28" s="30"/>
      <c r="AHQ28" s="30"/>
      <c r="AHR28" s="30"/>
      <c r="AHS28" s="30"/>
      <c r="AHT28" s="30"/>
      <c r="AHU28" s="30"/>
      <c r="AHV28" s="30"/>
      <c r="AHW28" s="30"/>
      <c r="AHX28" s="30"/>
      <c r="AHY28" s="30"/>
      <c r="AHZ28" s="30"/>
      <c r="AIA28" s="30"/>
      <c r="AIB28" s="30"/>
      <c r="AIC28" s="30"/>
      <c r="AID28" s="30"/>
      <c r="AIE28" s="30"/>
      <c r="AIF28" s="30"/>
      <c r="AIG28" s="30"/>
      <c r="AIH28" s="30"/>
      <c r="AII28" s="30"/>
      <c r="AIJ28" s="30"/>
      <c r="AIK28" s="30"/>
      <c r="AIL28" s="30"/>
      <c r="AIM28" s="30"/>
      <c r="AIN28" s="30"/>
      <c r="AIO28" s="30"/>
      <c r="AIP28" s="30"/>
      <c r="AIQ28" s="30"/>
      <c r="AIR28" s="30"/>
      <c r="AIS28" s="30"/>
      <c r="AIT28" s="30"/>
      <c r="AIU28" s="30"/>
      <c r="AIV28" s="30"/>
      <c r="AIW28" s="30"/>
      <c r="AIX28" s="30"/>
      <c r="AIY28" s="30"/>
      <c r="AIZ28" s="30"/>
      <c r="AJA28" s="30"/>
      <c r="AJB28" s="30"/>
      <c r="AJC28" s="30"/>
      <c r="AJD28" s="30"/>
      <c r="AJE28" s="30"/>
      <c r="AJF28" s="30"/>
      <c r="AJG28" s="30"/>
      <c r="AJH28" s="30"/>
      <c r="AJI28" s="30"/>
      <c r="AJJ28" s="30"/>
      <c r="AJK28" s="30"/>
      <c r="AJL28" s="30"/>
      <c r="AJM28" s="30"/>
      <c r="AJN28" s="30"/>
      <c r="AJO28" s="30"/>
      <c r="AJP28" s="30"/>
      <c r="AJQ28" s="30"/>
      <c r="AJR28" s="30"/>
      <c r="AJS28" s="30"/>
      <c r="AJT28" s="30"/>
      <c r="AJU28" s="30"/>
      <c r="AJV28" s="30"/>
      <c r="AJW28" s="30"/>
      <c r="AJX28" s="30"/>
      <c r="AJY28" s="30"/>
      <c r="AJZ28" s="30"/>
      <c r="AKA28" s="30"/>
      <c r="AKB28" s="30"/>
      <c r="AKC28" s="30"/>
      <c r="AKD28" s="30"/>
      <c r="AKE28" s="30"/>
      <c r="AKF28" s="30"/>
      <c r="AKG28" s="30"/>
      <c r="AKH28" s="30"/>
      <c r="AKI28" s="30"/>
      <c r="AKJ28" s="30"/>
      <c r="AKK28" s="30"/>
      <c r="AKL28" s="30"/>
      <c r="AKM28" s="30"/>
      <c r="AKN28" s="30"/>
      <c r="AKO28" s="30"/>
      <c r="AKP28" s="30"/>
      <c r="AKQ28" s="30"/>
      <c r="AKR28" s="30"/>
      <c r="AKS28" s="30"/>
      <c r="AKT28" s="30"/>
      <c r="AKU28" s="30"/>
      <c r="AKV28" s="30"/>
      <c r="AKW28" s="30"/>
      <c r="AKX28" s="30"/>
      <c r="AKY28" s="30"/>
      <c r="AKZ28" s="30"/>
      <c r="ALA28" s="30"/>
      <c r="ALB28" s="30"/>
      <c r="ALC28" s="30"/>
      <c r="ALD28" s="30"/>
      <c r="ALE28" s="30"/>
      <c r="ALF28" s="30"/>
      <c r="ALG28" s="30"/>
      <c r="ALH28" s="30"/>
      <c r="ALI28" s="30"/>
      <c r="ALJ28" s="30"/>
      <c r="ALK28" s="30"/>
      <c r="ALL28" s="30"/>
      <c r="ALM28" s="30"/>
      <c r="ALN28" s="30"/>
      <c r="ALO28" s="30"/>
      <c r="ALP28" s="30"/>
      <c r="ALQ28" s="30"/>
      <c r="ALR28" s="30"/>
      <c r="ALS28" s="30"/>
      <c r="ALT28" s="30"/>
      <c r="ALU28" s="30"/>
      <c r="ALV28" s="30"/>
      <c r="ALW28" s="30"/>
      <c r="ALX28" s="30"/>
      <c r="ALY28" s="30"/>
      <c r="ALZ28" s="30"/>
      <c r="AMA28" s="30"/>
      <c r="AMB28" s="30"/>
      <c r="AMC28" s="30"/>
      <c r="AMD28" s="30"/>
      <c r="AME28" s="30"/>
      <c r="AMF28" s="30"/>
      <c r="AMG28" s="30"/>
      <c r="AMH28" s="30"/>
      <c r="AMI28" s="30"/>
      <c r="AMJ28" s="30"/>
      <c r="AMK28" s="30"/>
      <c r="AML28" s="30"/>
      <c r="AMM28" s="30"/>
      <c r="AMN28" s="30"/>
      <c r="AMO28" s="30"/>
      <c r="AMP28" s="30"/>
      <c r="AMQ28" s="30"/>
      <c r="AMR28" s="30"/>
      <c r="AMS28" s="30"/>
      <c r="AMT28" s="30"/>
      <c r="AMU28" s="30"/>
      <c r="AMV28" s="30"/>
      <c r="AMW28" s="30"/>
      <c r="AMX28" s="30"/>
      <c r="AMY28" s="30"/>
      <c r="AMZ28" s="30"/>
      <c r="ANA28" s="30"/>
      <c r="ANB28" s="30"/>
      <c r="ANC28" s="30"/>
      <c r="AND28" s="30"/>
      <c r="ANE28" s="30"/>
      <c r="ANF28" s="30"/>
      <c r="ANG28" s="30"/>
      <c r="ANH28" s="30"/>
      <c r="ANI28" s="30"/>
      <c r="ANJ28" s="30"/>
      <c r="ANK28" s="30"/>
      <c r="ANL28" s="30"/>
      <c r="ANM28" s="30"/>
      <c r="ANN28" s="30"/>
      <c r="ANO28" s="30"/>
      <c r="ANP28" s="30"/>
      <c r="ANQ28" s="30"/>
      <c r="ANR28" s="30"/>
      <c r="ANS28" s="30"/>
      <c r="ANT28" s="30"/>
      <c r="ANU28" s="30"/>
      <c r="ANV28" s="30"/>
      <c r="ANW28" s="30"/>
      <c r="ANX28" s="30"/>
      <c r="ANY28" s="30"/>
      <c r="ANZ28" s="30"/>
      <c r="AOA28" s="30"/>
      <c r="AOB28" s="30"/>
      <c r="AOC28" s="30"/>
      <c r="AOD28" s="30"/>
      <c r="AOE28" s="30"/>
      <c r="AOF28" s="30"/>
      <c r="AOG28" s="30"/>
      <c r="AOH28" s="30"/>
      <c r="AOI28" s="30"/>
      <c r="AOJ28" s="30"/>
      <c r="AOK28" s="30"/>
      <c r="AOL28" s="30"/>
      <c r="AOM28" s="30"/>
      <c r="AON28" s="30"/>
      <c r="AOO28" s="30"/>
      <c r="AOP28" s="30"/>
      <c r="AOQ28" s="30"/>
      <c r="AOR28" s="30"/>
      <c r="AOS28" s="30"/>
      <c r="AOT28" s="30"/>
    </row>
    <row r="29" spans="1:1086" s="3" customFormat="1" ht="13.5" customHeight="1" x14ac:dyDescent="0.2">
      <c r="A29" s="325">
        <v>25</v>
      </c>
      <c r="B29" s="331">
        <f>'Finance Only'!G32</f>
        <v>0</v>
      </c>
      <c r="C29" s="323">
        <f t="shared" si="30"/>
        <v>0</v>
      </c>
      <c r="D29" s="260"/>
      <c r="E29" s="261">
        <f t="shared" si="0"/>
        <v>0</v>
      </c>
      <c r="F29" s="274">
        <f t="shared" si="31"/>
        <v>0</v>
      </c>
      <c r="G29" s="275" t="e">
        <f>(E29/'Finance Only'!B32)*100</f>
        <v>#DIV/0!</v>
      </c>
      <c r="H29" s="287">
        <f t="shared" si="84"/>
        <v>0</v>
      </c>
      <c r="I29" s="260"/>
      <c r="J29" s="260">
        <f t="shared" si="32"/>
        <v>0</v>
      </c>
      <c r="K29" s="288">
        <f t="shared" si="33"/>
        <v>0</v>
      </c>
      <c r="L29" s="289" t="e">
        <f>(J29/'Finance Only'!B32)*100</f>
        <v>#DIV/0!</v>
      </c>
      <c r="M29" s="270">
        <f t="shared" si="34"/>
        <v>0</v>
      </c>
      <c r="N29" s="262"/>
      <c r="O29" s="263">
        <f t="shared" si="1"/>
        <v>0</v>
      </c>
      <c r="P29" s="278">
        <f t="shared" si="35"/>
        <v>0</v>
      </c>
      <c r="Q29" s="279" t="e">
        <f>(O29/'Finance Only'!B32)*100</f>
        <v>#DIV/0!</v>
      </c>
      <c r="R29" s="269">
        <f t="shared" si="85"/>
        <v>0</v>
      </c>
      <c r="S29" s="262"/>
      <c r="T29" s="263">
        <f t="shared" si="2"/>
        <v>0</v>
      </c>
      <c r="U29" s="278">
        <f t="shared" si="36"/>
        <v>0</v>
      </c>
      <c r="V29" s="279" t="e">
        <f>(T29/'Finance Only'!B32)*100</f>
        <v>#DIV/0!</v>
      </c>
      <c r="W29" s="262">
        <f t="shared" si="90"/>
        <v>0</v>
      </c>
      <c r="X29" s="262"/>
      <c r="Y29" s="263">
        <f t="shared" si="3"/>
        <v>0</v>
      </c>
      <c r="Z29" s="278">
        <f t="shared" si="37"/>
        <v>0</v>
      </c>
      <c r="AA29" s="279" t="e">
        <f>(Y29/'Finance Only'!B32)*100</f>
        <v>#DIV/0!</v>
      </c>
      <c r="AB29" s="262">
        <f t="shared" si="38"/>
        <v>0</v>
      </c>
      <c r="AC29" s="262"/>
      <c r="AD29" s="263">
        <f t="shared" si="4"/>
        <v>0</v>
      </c>
      <c r="AE29" s="278">
        <f t="shared" si="39"/>
        <v>0</v>
      </c>
      <c r="AF29" s="279" t="e">
        <f>(AD29/'Finance Only'!B32)*100</f>
        <v>#DIV/0!</v>
      </c>
      <c r="AG29" s="262">
        <f t="shared" si="91"/>
        <v>0</v>
      </c>
      <c r="AH29" s="262"/>
      <c r="AI29" s="263">
        <f t="shared" si="5"/>
        <v>0</v>
      </c>
      <c r="AJ29" s="278">
        <f t="shared" si="40"/>
        <v>0</v>
      </c>
      <c r="AK29" s="279" t="e">
        <f>(AI29/'Finance Only'!B32)*100</f>
        <v>#DIV/0!</v>
      </c>
      <c r="AL29" s="262">
        <f t="shared" si="92"/>
        <v>0</v>
      </c>
      <c r="AM29" s="262"/>
      <c r="AN29" s="263">
        <f t="shared" si="6"/>
        <v>0</v>
      </c>
      <c r="AO29" s="278">
        <f t="shared" si="41"/>
        <v>0</v>
      </c>
      <c r="AP29" s="279" t="e">
        <f>(AN29/'Finance Only'!B32)*100</f>
        <v>#DIV/0!</v>
      </c>
      <c r="AQ29" s="262">
        <f t="shared" si="93"/>
        <v>0</v>
      </c>
      <c r="AR29" s="262"/>
      <c r="AS29" s="263">
        <f t="shared" si="7"/>
        <v>0</v>
      </c>
      <c r="AT29" s="278">
        <f t="shared" si="42"/>
        <v>0</v>
      </c>
      <c r="AU29" s="279" t="e">
        <f>(AS29/'Finance Only'!B32)*100</f>
        <v>#DIV/0!</v>
      </c>
      <c r="AV29" s="262">
        <f t="shared" si="8"/>
        <v>0</v>
      </c>
      <c r="AW29" s="262"/>
      <c r="AX29" s="263">
        <f t="shared" si="9"/>
        <v>0</v>
      </c>
      <c r="AY29" s="278">
        <f t="shared" si="43"/>
        <v>0</v>
      </c>
      <c r="AZ29" s="279" t="e">
        <f>(AX29/'Finance Only'!B32)*100</f>
        <v>#DIV/0!</v>
      </c>
      <c r="BA29" s="262">
        <f t="shared" si="10"/>
        <v>0</v>
      </c>
      <c r="BB29" s="262"/>
      <c r="BC29" s="263">
        <f t="shared" si="11"/>
        <v>0</v>
      </c>
      <c r="BD29" s="278">
        <f t="shared" si="44"/>
        <v>0</v>
      </c>
      <c r="BE29" s="279" t="e">
        <f>(BC29/'Finance Only'!B32)*100</f>
        <v>#DIV/0!</v>
      </c>
      <c r="BF29" s="262">
        <f t="shared" si="45"/>
        <v>0</v>
      </c>
      <c r="BG29" s="262"/>
      <c r="BH29" s="263">
        <f t="shared" si="12"/>
        <v>0</v>
      </c>
      <c r="BI29" s="278">
        <f t="shared" si="46"/>
        <v>0</v>
      </c>
      <c r="BJ29" s="279" t="e">
        <f>(BH29/'Finance Only'!B32)*100</f>
        <v>#DIV/0!</v>
      </c>
      <c r="BK29" s="262">
        <f t="shared" si="47"/>
        <v>0</v>
      </c>
      <c r="BL29" s="262"/>
      <c r="BM29" s="263">
        <f t="shared" si="13"/>
        <v>0</v>
      </c>
      <c r="BN29" s="278">
        <f t="shared" si="48"/>
        <v>0</v>
      </c>
      <c r="BO29" s="279" t="e">
        <f>(BM29/'Finance Only'!B32)*100</f>
        <v>#DIV/0!</v>
      </c>
      <c r="BP29" s="262">
        <f t="shared" si="49"/>
        <v>0</v>
      </c>
      <c r="BQ29" s="262"/>
      <c r="BR29" s="263">
        <f t="shared" si="14"/>
        <v>0</v>
      </c>
      <c r="BS29" s="278">
        <f t="shared" si="50"/>
        <v>0</v>
      </c>
      <c r="BT29" s="279" t="e">
        <f>(BR29/'Finance Only'!B32)*100</f>
        <v>#DIV/0!</v>
      </c>
      <c r="BU29" s="262">
        <f t="shared" si="51"/>
        <v>0</v>
      </c>
      <c r="BV29" s="262"/>
      <c r="BW29" s="263">
        <f t="shared" si="15"/>
        <v>0</v>
      </c>
      <c r="BX29" s="278">
        <f t="shared" si="52"/>
        <v>0</v>
      </c>
      <c r="BY29" s="279" t="e">
        <f>(BW29/'Finance Only'!B32)*100</f>
        <v>#DIV/0!</v>
      </c>
      <c r="BZ29" s="262">
        <f t="shared" si="53"/>
        <v>0</v>
      </c>
      <c r="CA29" s="262"/>
      <c r="CB29" s="263">
        <f t="shared" si="16"/>
        <v>0</v>
      </c>
      <c r="CC29" s="278">
        <f t="shared" si="54"/>
        <v>0</v>
      </c>
      <c r="CD29" s="279" t="e">
        <f>(CB29/'Finance Only'!B32)*100</f>
        <v>#DIV/0!</v>
      </c>
      <c r="CE29" s="262">
        <f t="shared" si="55"/>
        <v>0</v>
      </c>
      <c r="CF29" s="262"/>
      <c r="CG29" s="263">
        <f t="shared" si="17"/>
        <v>0</v>
      </c>
      <c r="CH29" s="278">
        <f t="shared" si="56"/>
        <v>0</v>
      </c>
      <c r="CI29" s="279" t="e">
        <f>(CG29/'Finance Only'!B32)*100</f>
        <v>#DIV/0!</v>
      </c>
      <c r="CJ29" s="263">
        <f t="shared" si="57"/>
        <v>0</v>
      </c>
      <c r="CK29" s="263"/>
      <c r="CL29" s="263">
        <f t="shared" si="58"/>
        <v>0</v>
      </c>
      <c r="CM29" s="278">
        <f t="shared" si="59"/>
        <v>0</v>
      </c>
      <c r="CN29" s="279" t="e">
        <f>(CL29/'Finance Only'!B32)*100</f>
        <v>#DIV/0!</v>
      </c>
      <c r="CO29" s="262">
        <f t="shared" si="60"/>
        <v>0</v>
      </c>
      <c r="CP29" s="262"/>
      <c r="CQ29" s="264">
        <f t="shared" si="18"/>
        <v>0</v>
      </c>
      <c r="CR29" s="278">
        <f t="shared" si="61"/>
        <v>0</v>
      </c>
      <c r="CS29" s="279" t="e">
        <f>(CQ29/'Finance Only'!B32)*100</f>
        <v>#DIV/0!</v>
      </c>
      <c r="CT29" s="262">
        <f t="shared" si="62"/>
        <v>0</v>
      </c>
      <c r="CU29" s="262"/>
      <c r="CV29" s="263">
        <f t="shared" si="19"/>
        <v>0</v>
      </c>
      <c r="CW29" s="278">
        <f t="shared" si="63"/>
        <v>0</v>
      </c>
      <c r="CX29" s="279" t="e">
        <f>(CV29/'Finance Only'!B32)*100</f>
        <v>#DIV/0!</v>
      </c>
      <c r="CY29" s="262">
        <f t="shared" si="64"/>
        <v>0</v>
      </c>
      <c r="CZ29" s="262"/>
      <c r="DA29" s="263">
        <f t="shared" si="20"/>
        <v>0</v>
      </c>
      <c r="DB29" s="278">
        <f t="shared" si="65"/>
        <v>0</v>
      </c>
      <c r="DC29" s="279" t="e">
        <f>(DA29/'Finance Only'!B32)*100</f>
        <v>#DIV/0!</v>
      </c>
      <c r="DD29" s="262">
        <f t="shared" si="66"/>
        <v>0</v>
      </c>
      <c r="DE29" s="262"/>
      <c r="DF29" s="263">
        <f t="shared" si="21"/>
        <v>0</v>
      </c>
      <c r="DG29" s="278">
        <f t="shared" si="67"/>
        <v>0</v>
      </c>
      <c r="DH29" s="279" t="e">
        <f>(DF29/'Finance Only'!B32)*100</f>
        <v>#DIV/0!</v>
      </c>
      <c r="DI29" s="262">
        <f t="shared" si="68"/>
        <v>0</v>
      </c>
      <c r="DJ29" s="262"/>
      <c r="DK29" s="263">
        <f t="shared" si="22"/>
        <v>0</v>
      </c>
      <c r="DL29" s="278">
        <f t="shared" si="69"/>
        <v>0</v>
      </c>
      <c r="DM29" s="279" t="e">
        <f>(DK29/'Finance Only'!B32)*100</f>
        <v>#DIV/0!</v>
      </c>
      <c r="DN29" s="262">
        <f t="shared" si="70"/>
        <v>0</v>
      </c>
      <c r="DO29" s="262"/>
      <c r="DP29" s="263">
        <f t="shared" si="23"/>
        <v>0</v>
      </c>
      <c r="DQ29" s="278">
        <f t="shared" si="71"/>
        <v>0</v>
      </c>
      <c r="DR29" s="279" t="e">
        <f>(DP29/'Finance Only'!B32)*100</f>
        <v>#DIV/0!</v>
      </c>
      <c r="DS29" s="262">
        <f t="shared" si="72"/>
        <v>0</v>
      </c>
      <c r="DT29" s="262"/>
      <c r="DU29" s="263">
        <f t="shared" si="24"/>
        <v>0</v>
      </c>
      <c r="DV29" s="278">
        <f t="shared" si="73"/>
        <v>0</v>
      </c>
      <c r="DW29" s="279" t="e">
        <f>(DU29/'Finance Only'!B32)*100</f>
        <v>#DIV/0!</v>
      </c>
      <c r="DX29" s="262">
        <f t="shared" si="74"/>
        <v>0</v>
      </c>
      <c r="DY29" s="262"/>
      <c r="DZ29" s="263">
        <f t="shared" si="25"/>
        <v>0</v>
      </c>
      <c r="EA29" s="278">
        <f t="shared" si="75"/>
        <v>0</v>
      </c>
      <c r="EB29" s="279" t="e">
        <f>(DZ29/'Finance Only'!B32)*100</f>
        <v>#DIV/0!</v>
      </c>
      <c r="EC29" s="262">
        <f t="shared" si="76"/>
        <v>0</v>
      </c>
      <c r="ED29" s="262"/>
      <c r="EE29" s="263">
        <f t="shared" si="26"/>
        <v>0</v>
      </c>
      <c r="EF29" s="278">
        <f t="shared" si="77"/>
        <v>0</v>
      </c>
      <c r="EG29" s="279" t="e">
        <f>(EE29/'Finance Only'!B32)*100</f>
        <v>#DIV/0!</v>
      </c>
      <c r="EH29" s="262">
        <f t="shared" si="78"/>
        <v>0</v>
      </c>
      <c r="EI29" s="262"/>
      <c r="EJ29" s="263">
        <f t="shared" si="27"/>
        <v>0</v>
      </c>
      <c r="EK29" s="278">
        <f t="shared" si="79"/>
        <v>0</v>
      </c>
      <c r="EL29" s="279" t="e">
        <f>(EJ29/'Finance Only'!B32)*100</f>
        <v>#DIV/0!</v>
      </c>
      <c r="EM29" s="262">
        <f t="shared" si="80"/>
        <v>0</v>
      </c>
      <c r="EN29" s="262"/>
      <c r="EO29" s="263">
        <f t="shared" si="28"/>
        <v>0</v>
      </c>
      <c r="EP29" s="278">
        <f t="shared" si="81"/>
        <v>0</v>
      </c>
      <c r="EQ29" s="279" t="e">
        <f>(EO29/'Finance Only'!B32)*100</f>
        <v>#DIV/0!</v>
      </c>
      <c r="ER29" s="262">
        <f t="shared" si="82"/>
        <v>0</v>
      </c>
      <c r="ES29" s="262"/>
      <c r="ET29" s="263">
        <f t="shared" si="29"/>
        <v>0</v>
      </c>
      <c r="EU29" s="278">
        <f t="shared" si="83"/>
        <v>0</v>
      </c>
      <c r="EV29" s="279" t="e">
        <f>(ET29/'Finance Only'!B32)*100</f>
        <v>#DIV/0!</v>
      </c>
    </row>
    <row r="30" spans="1:1086" s="3" customFormat="1" ht="13.5" customHeight="1" x14ac:dyDescent="0.2">
      <c r="A30" s="325">
        <v>26</v>
      </c>
      <c r="B30" s="331">
        <f>'Finance Only'!G33</f>
        <v>0</v>
      </c>
      <c r="C30" s="323">
        <f t="shared" si="30"/>
        <v>0</v>
      </c>
      <c r="D30" s="260"/>
      <c r="E30" s="261">
        <f t="shared" si="0"/>
        <v>0</v>
      </c>
      <c r="F30" s="274">
        <f t="shared" si="31"/>
        <v>0</v>
      </c>
      <c r="G30" s="275" t="e">
        <f>(E30/'Finance Only'!B33)*100</f>
        <v>#DIV/0!</v>
      </c>
      <c r="H30" s="287">
        <f t="shared" si="84"/>
        <v>0</v>
      </c>
      <c r="I30" s="260"/>
      <c r="J30" s="260">
        <f t="shared" si="32"/>
        <v>0</v>
      </c>
      <c r="K30" s="288">
        <f t="shared" si="33"/>
        <v>0</v>
      </c>
      <c r="L30" s="289" t="e">
        <f>(J30/'Finance Only'!B33)*100</f>
        <v>#DIV/0!</v>
      </c>
      <c r="M30" s="270">
        <f t="shared" si="34"/>
        <v>0</v>
      </c>
      <c r="N30" s="262"/>
      <c r="O30" s="263">
        <f t="shared" si="1"/>
        <v>0</v>
      </c>
      <c r="P30" s="278">
        <f t="shared" si="35"/>
        <v>0</v>
      </c>
      <c r="Q30" s="279" t="e">
        <f>(O30/'Finance Only'!B33)*100</f>
        <v>#DIV/0!</v>
      </c>
      <c r="R30" s="269">
        <f t="shared" si="85"/>
        <v>0</v>
      </c>
      <c r="S30" s="262"/>
      <c r="T30" s="263">
        <f t="shared" si="2"/>
        <v>0</v>
      </c>
      <c r="U30" s="278">
        <f t="shared" si="36"/>
        <v>0</v>
      </c>
      <c r="V30" s="279" t="e">
        <f>(T30/'Finance Only'!B33)*100</f>
        <v>#DIV/0!</v>
      </c>
      <c r="W30" s="262">
        <f t="shared" si="90"/>
        <v>0</v>
      </c>
      <c r="X30" s="262"/>
      <c r="Y30" s="263">
        <f t="shared" si="3"/>
        <v>0</v>
      </c>
      <c r="Z30" s="278">
        <f t="shared" si="37"/>
        <v>0</v>
      </c>
      <c r="AA30" s="279" t="e">
        <f>(Y30/'Finance Only'!B33)*100</f>
        <v>#DIV/0!</v>
      </c>
      <c r="AB30" s="262">
        <f t="shared" si="38"/>
        <v>0</v>
      </c>
      <c r="AC30" s="262"/>
      <c r="AD30" s="263">
        <f t="shared" si="4"/>
        <v>0</v>
      </c>
      <c r="AE30" s="278">
        <f t="shared" si="39"/>
        <v>0</v>
      </c>
      <c r="AF30" s="279" t="e">
        <f>(AD30/'Finance Only'!B33)*100</f>
        <v>#DIV/0!</v>
      </c>
      <c r="AG30" s="262">
        <f t="shared" si="91"/>
        <v>0</v>
      </c>
      <c r="AH30" s="262"/>
      <c r="AI30" s="263">
        <f t="shared" si="5"/>
        <v>0</v>
      </c>
      <c r="AJ30" s="278">
        <f t="shared" si="40"/>
        <v>0</v>
      </c>
      <c r="AK30" s="279" t="e">
        <f>(AI30/'Finance Only'!B33)*100</f>
        <v>#DIV/0!</v>
      </c>
      <c r="AL30" s="262">
        <f t="shared" si="92"/>
        <v>0</v>
      </c>
      <c r="AM30" s="262"/>
      <c r="AN30" s="263">
        <f t="shared" si="6"/>
        <v>0</v>
      </c>
      <c r="AO30" s="278">
        <f t="shared" si="41"/>
        <v>0</v>
      </c>
      <c r="AP30" s="279" t="e">
        <f>(AN30/'Finance Only'!B33)*100</f>
        <v>#DIV/0!</v>
      </c>
      <c r="AQ30" s="262">
        <f t="shared" si="93"/>
        <v>0</v>
      </c>
      <c r="AR30" s="262"/>
      <c r="AS30" s="263">
        <f t="shared" si="7"/>
        <v>0</v>
      </c>
      <c r="AT30" s="278">
        <f t="shared" si="42"/>
        <v>0</v>
      </c>
      <c r="AU30" s="279" t="e">
        <f>(AS30/'Finance Only'!B33)*100</f>
        <v>#DIV/0!</v>
      </c>
      <c r="AV30" s="262">
        <f t="shared" si="8"/>
        <v>0</v>
      </c>
      <c r="AW30" s="262"/>
      <c r="AX30" s="263">
        <f t="shared" si="9"/>
        <v>0</v>
      </c>
      <c r="AY30" s="278">
        <f t="shared" si="43"/>
        <v>0</v>
      </c>
      <c r="AZ30" s="279" t="e">
        <f>(AX30/'Finance Only'!B33)*100</f>
        <v>#DIV/0!</v>
      </c>
      <c r="BA30" s="262">
        <f t="shared" si="10"/>
        <v>0</v>
      </c>
      <c r="BB30" s="262"/>
      <c r="BC30" s="263">
        <f t="shared" si="11"/>
        <v>0</v>
      </c>
      <c r="BD30" s="278">
        <f t="shared" si="44"/>
        <v>0</v>
      </c>
      <c r="BE30" s="279" t="e">
        <f>(BC30/'Finance Only'!B33)*100</f>
        <v>#DIV/0!</v>
      </c>
      <c r="BF30" s="262">
        <f t="shared" si="45"/>
        <v>0</v>
      </c>
      <c r="BG30" s="262"/>
      <c r="BH30" s="263">
        <f t="shared" si="12"/>
        <v>0</v>
      </c>
      <c r="BI30" s="278">
        <f t="shared" si="46"/>
        <v>0</v>
      </c>
      <c r="BJ30" s="279" t="e">
        <f>(BH30/'Finance Only'!B33)*100</f>
        <v>#DIV/0!</v>
      </c>
      <c r="BK30" s="262">
        <f t="shared" si="47"/>
        <v>0</v>
      </c>
      <c r="BL30" s="262"/>
      <c r="BM30" s="263">
        <f t="shared" si="13"/>
        <v>0</v>
      </c>
      <c r="BN30" s="278">
        <f t="shared" si="48"/>
        <v>0</v>
      </c>
      <c r="BO30" s="279" t="e">
        <f>(BM30/'Finance Only'!B33)*100</f>
        <v>#DIV/0!</v>
      </c>
      <c r="BP30" s="262">
        <f t="shared" si="49"/>
        <v>0</v>
      </c>
      <c r="BQ30" s="262"/>
      <c r="BR30" s="263">
        <f t="shared" si="14"/>
        <v>0</v>
      </c>
      <c r="BS30" s="278">
        <f t="shared" si="50"/>
        <v>0</v>
      </c>
      <c r="BT30" s="279" t="e">
        <f>(BR30/'Finance Only'!B33)*100</f>
        <v>#DIV/0!</v>
      </c>
      <c r="BU30" s="262">
        <f t="shared" si="51"/>
        <v>0</v>
      </c>
      <c r="BV30" s="262"/>
      <c r="BW30" s="263">
        <f t="shared" si="15"/>
        <v>0</v>
      </c>
      <c r="BX30" s="278">
        <f t="shared" si="52"/>
        <v>0</v>
      </c>
      <c r="BY30" s="279" t="e">
        <f>(BW30/'Finance Only'!B33)*100</f>
        <v>#DIV/0!</v>
      </c>
      <c r="BZ30" s="262">
        <f t="shared" si="53"/>
        <v>0</v>
      </c>
      <c r="CA30" s="262"/>
      <c r="CB30" s="263">
        <f t="shared" si="16"/>
        <v>0</v>
      </c>
      <c r="CC30" s="278">
        <f t="shared" si="54"/>
        <v>0</v>
      </c>
      <c r="CD30" s="279" t="e">
        <f>(CB30/'Finance Only'!B33)*100</f>
        <v>#DIV/0!</v>
      </c>
      <c r="CE30" s="262">
        <f t="shared" si="55"/>
        <v>0</v>
      </c>
      <c r="CF30" s="262"/>
      <c r="CG30" s="263">
        <f t="shared" si="17"/>
        <v>0</v>
      </c>
      <c r="CH30" s="278">
        <f t="shared" si="56"/>
        <v>0</v>
      </c>
      <c r="CI30" s="279" t="e">
        <f>(CG30/'Finance Only'!B33)*100</f>
        <v>#DIV/0!</v>
      </c>
      <c r="CJ30" s="263">
        <f t="shared" si="57"/>
        <v>0</v>
      </c>
      <c r="CK30" s="263"/>
      <c r="CL30" s="263">
        <f t="shared" si="58"/>
        <v>0</v>
      </c>
      <c r="CM30" s="278">
        <f t="shared" si="59"/>
        <v>0</v>
      </c>
      <c r="CN30" s="279" t="e">
        <f>(CL30/'Finance Only'!B33)*100</f>
        <v>#DIV/0!</v>
      </c>
      <c r="CO30" s="262">
        <f t="shared" si="60"/>
        <v>0</v>
      </c>
      <c r="CP30" s="262"/>
      <c r="CQ30" s="264">
        <f t="shared" si="18"/>
        <v>0</v>
      </c>
      <c r="CR30" s="278">
        <f t="shared" si="61"/>
        <v>0</v>
      </c>
      <c r="CS30" s="279" t="e">
        <f>(CQ30/'Finance Only'!B33)*100</f>
        <v>#DIV/0!</v>
      </c>
      <c r="CT30" s="262">
        <f t="shared" si="62"/>
        <v>0</v>
      </c>
      <c r="CU30" s="262"/>
      <c r="CV30" s="263">
        <f t="shared" si="19"/>
        <v>0</v>
      </c>
      <c r="CW30" s="278">
        <f t="shared" si="63"/>
        <v>0</v>
      </c>
      <c r="CX30" s="279" t="e">
        <f>(CV30/'Finance Only'!B33)*100</f>
        <v>#DIV/0!</v>
      </c>
      <c r="CY30" s="262">
        <f t="shared" si="64"/>
        <v>0</v>
      </c>
      <c r="CZ30" s="262"/>
      <c r="DA30" s="263">
        <f t="shared" si="20"/>
        <v>0</v>
      </c>
      <c r="DB30" s="278">
        <f t="shared" si="65"/>
        <v>0</v>
      </c>
      <c r="DC30" s="279" t="e">
        <f>(DA30/'Finance Only'!B33)*100</f>
        <v>#DIV/0!</v>
      </c>
      <c r="DD30" s="262">
        <f t="shared" si="66"/>
        <v>0</v>
      </c>
      <c r="DE30" s="262"/>
      <c r="DF30" s="263">
        <f t="shared" si="21"/>
        <v>0</v>
      </c>
      <c r="DG30" s="278">
        <f t="shared" si="67"/>
        <v>0</v>
      </c>
      <c r="DH30" s="279" t="e">
        <f>(DF30/'Finance Only'!B33)*100</f>
        <v>#DIV/0!</v>
      </c>
      <c r="DI30" s="262">
        <f t="shared" si="68"/>
        <v>0</v>
      </c>
      <c r="DJ30" s="262"/>
      <c r="DK30" s="263">
        <f t="shared" si="22"/>
        <v>0</v>
      </c>
      <c r="DL30" s="278">
        <f t="shared" si="69"/>
        <v>0</v>
      </c>
      <c r="DM30" s="279" t="e">
        <f>(DK30/'Finance Only'!B33)*100</f>
        <v>#DIV/0!</v>
      </c>
      <c r="DN30" s="262">
        <f t="shared" si="70"/>
        <v>0</v>
      </c>
      <c r="DO30" s="262"/>
      <c r="DP30" s="263">
        <f t="shared" si="23"/>
        <v>0</v>
      </c>
      <c r="DQ30" s="278">
        <f t="shared" si="71"/>
        <v>0</v>
      </c>
      <c r="DR30" s="279" t="e">
        <f>(DP30/'Finance Only'!B33)*100</f>
        <v>#DIV/0!</v>
      </c>
      <c r="DS30" s="262">
        <f t="shared" si="72"/>
        <v>0</v>
      </c>
      <c r="DT30" s="262"/>
      <c r="DU30" s="263">
        <f t="shared" si="24"/>
        <v>0</v>
      </c>
      <c r="DV30" s="278">
        <f t="shared" si="73"/>
        <v>0</v>
      </c>
      <c r="DW30" s="279" t="e">
        <f>(DU30/'Finance Only'!B33)*100</f>
        <v>#DIV/0!</v>
      </c>
      <c r="DX30" s="262">
        <f t="shared" si="74"/>
        <v>0</v>
      </c>
      <c r="DY30" s="262"/>
      <c r="DZ30" s="263">
        <f t="shared" si="25"/>
        <v>0</v>
      </c>
      <c r="EA30" s="278">
        <f t="shared" si="75"/>
        <v>0</v>
      </c>
      <c r="EB30" s="279" t="e">
        <f>(DZ30/'Finance Only'!B33)*100</f>
        <v>#DIV/0!</v>
      </c>
      <c r="EC30" s="262">
        <f t="shared" si="76"/>
        <v>0</v>
      </c>
      <c r="ED30" s="262"/>
      <c r="EE30" s="263">
        <f t="shared" si="26"/>
        <v>0</v>
      </c>
      <c r="EF30" s="278">
        <f t="shared" si="77"/>
        <v>0</v>
      </c>
      <c r="EG30" s="279" t="e">
        <f>(EE30/'Finance Only'!B33)*100</f>
        <v>#DIV/0!</v>
      </c>
      <c r="EH30" s="262">
        <f t="shared" si="78"/>
        <v>0</v>
      </c>
      <c r="EI30" s="262"/>
      <c r="EJ30" s="263">
        <f t="shared" si="27"/>
        <v>0</v>
      </c>
      <c r="EK30" s="278">
        <f t="shared" si="79"/>
        <v>0</v>
      </c>
      <c r="EL30" s="279" t="e">
        <f>(EJ30/'Finance Only'!B33)*100</f>
        <v>#DIV/0!</v>
      </c>
      <c r="EM30" s="262">
        <f t="shared" si="80"/>
        <v>0</v>
      </c>
      <c r="EN30" s="262"/>
      <c r="EO30" s="263">
        <f t="shared" si="28"/>
        <v>0</v>
      </c>
      <c r="EP30" s="278">
        <f t="shared" si="81"/>
        <v>0</v>
      </c>
      <c r="EQ30" s="279" t="e">
        <f>(EO30/'Finance Only'!B33)*100</f>
        <v>#DIV/0!</v>
      </c>
      <c r="ER30" s="262">
        <f t="shared" si="82"/>
        <v>0</v>
      </c>
      <c r="ES30" s="262"/>
      <c r="ET30" s="263">
        <f t="shared" si="29"/>
        <v>0</v>
      </c>
      <c r="EU30" s="278">
        <f t="shared" si="83"/>
        <v>0</v>
      </c>
      <c r="EV30" s="279" t="e">
        <f>(ET30/'Finance Only'!B33)*100</f>
        <v>#DIV/0!</v>
      </c>
    </row>
    <row r="31" spans="1:1086" s="3" customFormat="1" ht="13.5" customHeight="1" x14ac:dyDescent="0.2">
      <c r="A31" s="325">
        <v>27</v>
      </c>
      <c r="B31" s="331">
        <f>'Finance Only'!G34</f>
        <v>0</v>
      </c>
      <c r="C31" s="323">
        <f t="shared" si="30"/>
        <v>0</v>
      </c>
      <c r="D31" s="260"/>
      <c r="E31" s="261">
        <f t="shared" si="0"/>
        <v>0</v>
      </c>
      <c r="F31" s="274">
        <f t="shared" si="31"/>
        <v>0</v>
      </c>
      <c r="G31" s="275" t="e">
        <f>(E31/'Finance Only'!B34)*100</f>
        <v>#DIV/0!</v>
      </c>
      <c r="H31" s="287">
        <f t="shared" si="84"/>
        <v>0</v>
      </c>
      <c r="I31" s="260"/>
      <c r="J31" s="260">
        <f t="shared" si="32"/>
        <v>0</v>
      </c>
      <c r="K31" s="288">
        <f t="shared" si="33"/>
        <v>0</v>
      </c>
      <c r="L31" s="289" t="e">
        <f>(J31/'Finance Only'!B34)*100</f>
        <v>#DIV/0!</v>
      </c>
      <c r="M31" s="270">
        <f t="shared" si="34"/>
        <v>0</v>
      </c>
      <c r="N31" s="262"/>
      <c r="O31" s="263">
        <f t="shared" si="1"/>
        <v>0</v>
      </c>
      <c r="P31" s="278">
        <f t="shared" si="35"/>
        <v>0</v>
      </c>
      <c r="Q31" s="279" t="e">
        <f>(O31/'Finance Only'!B34)*100</f>
        <v>#DIV/0!</v>
      </c>
      <c r="R31" s="269">
        <f t="shared" si="85"/>
        <v>0</v>
      </c>
      <c r="S31" s="262"/>
      <c r="T31" s="263">
        <f t="shared" si="2"/>
        <v>0</v>
      </c>
      <c r="U31" s="278">
        <f t="shared" si="36"/>
        <v>0</v>
      </c>
      <c r="V31" s="279" t="e">
        <f>(T31/'Finance Only'!B34)*100</f>
        <v>#DIV/0!</v>
      </c>
      <c r="W31" s="262">
        <f t="shared" si="90"/>
        <v>0</v>
      </c>
      <c r="X31" s="262"/>
      <c r="Y31" s="263">
        <f t="shared" si="3"/>
        <v>0</v>
      </c>
      <c r="Z31" s="278">
        <f t="shared" si="37"/>
        <v>0</v>
      </c>
      <c r="AA31" s="279" t="e">
        <f>(Y31/'Finance Only'!B34)*100</f>
        <v>#DIV/0!</v>
      </c>
      <c r="AB31" s="262">
        <f t="shared" si="38"/>
        <v>0</v>
      </c>
      <c r="AC31" s="262"/>
      <c r="AD31" s="263">
        <f t="shared" si="4"/>
        <v>0</v>
      </c>
      <c r="AE31" s="278">
        <f t="shared" si="39"/>
        <v>0</v>
      </c>
      <c r="AF31" s="279" t="e">
        <f>(AD31/'Finance Only'!B34)*100</f>
        <v>#DIV/0!</v>
      </c>
      <c r="AG31" s="262">
        <f t="shared" si="91"/>
        <v>0</v>
      </c>
      <c r="AH31" s="262"/>
      <c r="AI31" s="263">
        <f t="shared" si="5"/>
        <v>0</v>
      </c>
      <c r="AJ31" s="278">
        <f t="shared" si="40"/>
        <v>0</v>
      </c>
      <c r="AK31" s="279" t="e">
        <f>(AI31/'Finance Only'!B34)*100</f>
        <v>#DIV/0!</v>
      </c>
      <c r="AL31" s="262">
        <f t="shared" si="92"/>
        <v>0</v>
      </c>
      <c r="AM31" s="262"/>
      <c r="AN31" s="263">
        <f t="shared" si="6"/>
        <v>0</v>
      </c>
      <c r="AO31" s="278">
        <f t="shared" si="41"/>
        <v>0</v>
      </c>
      <c r="AP31" s="279" t="e">
        <f>(AN31/'Finance Only'!B34)*100</f>
        <v>#DIV/0!</v>
      </c>
      <c r="AQ31" s="262">
        <f t="shared" si="93"/>
        <v>0</v>
      </c>
      <c r="AR31" s="262"/>
      <c r="AS31" s="263">
        <f t="shared" si="7"/>
        <v>0</v>
      </c>
      <c r="AT31" s="278">
        <f t="shared" si="42"/>
        <v>0</v>
      </c>
      <c r="AU31" s="279" t="e">
        <f>(AS31/'Finance Only'!B34)*100</f>
        <v>#DIV/0!</v>
      </c>
      <c r="AV31" s="262">
        <f t="shared" si="8"/>
        <v>0</v>
      </c>
      <c r="AW31" s="262"/>
      <c r="AX31" s="263">
        <f t="shared" si="9"/>
        <v>0</v>
      </c>
      <c r="AY31" s="278">
        <f t="shared" si="43"/>
        <v>0</v>
      </c>
      <c r="AZ31" s="279" t="e">
        <f>(AX31/'Finance Only'!B34)*100</f>
        <v>#DIV/0!</v>
      </c>
      <c r="BA31" s="262">
        <f t="shared" si="10"/>
        <v>0</v>
      </c>
      <c r="BB31" s="262"/>
      <c r="BC31" s="263">
        <f t="shared" si="11"/>
        <v>0</v>
      </c>
      <c r="BD31" s="278">
        <f t="shared" si="44"/>
        <v>0</v>
      </c>
      <c r="BE31" s="279" t="e">
        <f>(BC31/'Finance Only'!B34)*100</f>
        <v>#DIV/0!</v>
      </c>
      <c r="BF31" s="262">
        <f t="shared" si="45"/>
        <v>0</v>
      </c>
      <c r="BG31" s="262"/>
      <c r="BH31" s="263">
        <f t="shared" si="12"/>
        <v>0</v>
      </c>
      <c r="BI31" s="278">
        <f t="shared" si="46"/>
        <v>0</v>
      </c>
      <c r="BJ31" s="279" t="e">
        <f>(BH31/'Finance Only'!B34)*100</f>
        <v>#DIV/0!</v>
      </c>
      <c r="BK31" s="262">
        <f t="shared" si="47"/>
        <v>0</v>
      </c>
      <c r="BL31" s="262"/>
      <c r="BM31" s="263">
        <f t="shared" si="13"/>
        <v>0</v>
      </c>
      <c r="BN31" s="278">
        <f t="shared" si="48"/>
        <v>0</v>
      </c>
      <c r="BO31" s="279" t="e">
        <f>(BM31/'Finance Only'!B34)*100</f>
        <v>#DIV/0!</v>
      </c>
      <c r="BP31" s="262">
        <f t="shared" si="49"/>
        <v>0</v>
      </c>
      <c r="BQ31" s="262"/>
      <c r="BR31" s="263">
        <f t="shared" si="14"/>
        <v>0</v>
      </c>
      <c r="BS31" s="278">
        <f t="shared" si="50"/>
        <v>0</v>
      </c>
      <c r="BT31" s="279" t="e">
        <f>(BR31/'Finance Only'!B34)*100</f>
        <v>#DIV/0!</v>
      </c>
      <c r="BU31" s="262">
        <f t="shared" si="51"/>
        <v>0</v>
      </c>
      <c r="BV31" s="262"/>
      <c r="BW31" s="263">
        <f t="shared" si="15"/>
        <v>0</v>
      </c>
      <c r="BX31" s="278">
        <f t="shared" si="52"/>
        <v>0</v>
      </c>
      <c r="BY31" s="279" t="e">
        <f>(BW31/'Finance Only'!B34)*100</f>
        <v>#DIV/0!</v>
      </c>
      <c r="BZ31" s="262">
        <f t="shared" si="53"/>
        <v>0</v>
      </c>
      <c r="CA31" s="262"/>
      <c r="CB31" s="263">
        <f t="shared" si="16"/>
        <v>0</v>
      </c>
      <c r="CC31" s="278">
        <f t="shared" si="54"/>
        <v>0</v>
      </c>
      <c r="CD31" s="279" t="e">
        <f>(CB31/'Finance Only'!B34)*100</f>
        <v>#DIV/0!</v>
      </c>
      <c r="CE31" s="262">
        <f t="shared" si="55"/>
        <v>0</v>
      </c>
      <c r="CF31" s="262"/>
      <c r="CG31" s="263">
        <f t="shared" si="17"/>
        <v>0</v>
      </c>
      <c r="CH31" s="278">
        <f t="shared" si="56"/>
        <v>0</v>
      </c>
      <c r="CI31" s="279" t="e">
        <f>(CG31/'Finance Only'!B34)*100</f>
        <v>#DIV/0!</v>
      </c>
      <c r="CJ31" s="263">
        <f t="shared" si="57"/>
        <v>0</v>
      </c>
      <c r="CK31" s="263"/>
      <c r="CL31" s="263">
        <f t="shared" si="58"/>
        <v>0</v>
      </c>
      <c r="CM31" s="278">
        <f t="shared" si="59"/>
        <v>0</v>
      </c>
      <c r="CN31" s="279" t="e">
        <f>(CL31/'Finance Only'!B34)*100</f>
        <v>#DIV/0!</v>
      </c>
      <c r="CO31" s="262">
        <f t="shared" si="60"/>
        <v>0</v>
      </c>
      <c r="CP31" s="262"/>
      <c r="CQ31" s="264">
        <f t="shared" si="18"/>
        <v>0</v>
      </c>
      <c r="CR31" s="278">
        <f t="shared" si="61"/>
        <v>0</v>
      </c>
      <c r="CS31" s="279" t="e">
        <f>(CQ31/'Finance Only'!B34)*100</f>
        <v>#DIV/0!</v>
      </c>
      <c r="CT31" s="262">
        <f t="shared" si="62"/>
        <v>0</v>
      </c>
      <c r="CU31" s="262"/>
      <c r="CV31" s="263">
        <f t="shared" si="19"/>
        <v>0</v>
      </c>
      <c r="CW31" s="278">
        <f t="shared" si="63"/>
        <v>0</v>
      </c>
      <c r="CX31" s="279" t="e">
        <f>(CV31/'Finance Only'!B34)*100</f>
        <v>#DIV/0!</v>
      </c>
      <c r="CY31" s="262">
        <f t="shared" si="64"/>
        <v>0</v>
      </c>
      <c r="CZ31" s="262"/>
      <c r="DA31" s="263">
        <f t="shared" si="20"/>
        <v>0</v>
      </c>
      <c r="DB31" s="278">
        <f t="shared" si="65"/>
        <v>0</v>
      </c>
      <c r="DC31" s="279" t="e">
        <f>(DA31/'Finance Only'!B34)*100</f>
        <v>#DIV/0!</v>
      </c>
      <c r="DD31" s="262">
        <f t="shared" si="66"/>
        <v>0</v>
      </c>
      <c r="DE31" s="262"/>
      <c r="DF31" s="263">
        <f t="shared" si="21"/>
        <v>0</v>
      </c>
      <c r="DG31" s="278">
        <f t="shared" si="67"/>
        <v>0</v>
      </c>
      <c r="DH31" s="279" t="e">
        <f>(DF31/'Finance Only'!B34)*100</f>
        <v>#DIV/0!</v>
      </c>
      <c r="DI31" s="262">
        <f t="shared" si="68"/>
        <v>0</v>
      </c>
      <c r="DJ31" s="262"/>
      <c r="DK31" s="263">
        <f t="shared" si="22"/>
        <v>0</v>
      </c>
      <c r="DL31" s="278">
        <f t="shared" si="69"/>
        <v>0</v>
      </c>
      <c r="DM31" s="279" t="e">
        <f>(DK31/'Finance Only'!B34)*100</f>
        <v>#DIV/0!</v>
      </c>
      <c r="DN31" s="262">
        <f t="shared" si="70"/>
        <v>0</v>
      </c>
      <c r="DO31" s="262"/>
      <c r="DP31" s="263">
        <f t="shared" si="23"/>
        <v>0</v>
      </c>
      <c r="DQ31" s="278">
        <f t="shared" si="71"/>
        <v>0</v>
      </c>
      <c r="DR31" s="279" t="e">
        <f>(DP31/'Finance Only'!B34)*100</f>
        <v>#DIV/0!</v>
      </c>
      <c r="DS31" s="262">
        <f t="shared" si="72"/>
        <v>0</v>
      </c>
      <c r="DT31" s="262"/>
      <c r="DU31" s="263">
        <f t="shared" si="24"/>
        <v>0</v>
      </c>
      <c r="DV31" s="278">
        <f t="shared" si="73"/>
        <v>0</v>
      </c>
      <c r="DW31" s="279" t="e">
        <f>(DU31/'Finance Only'!B34)*100</f>
        <v>#DIV/0!</v>
      </c>
      <c r="DX31" s="262">
        <f t="shared" si="74"/>
        <v>0</v>
      </c>
      <c r="DY31" s="262"/>
      <c r="DZ31" s="263">
        <f t="shared" si="25"/>
        <v>0</v>
      </c>
      <c r="EA31" s="278">
        <f t="shared" si="75"/>
        <v>0</v>
      </c>
      <c r="EB31" s="279" t="e">
        <f>(DZ31/'Finance Only'!B34)*100</f>
        <v>#DIV/0!</v>
      </c>
      <c r="EC31" s="262">
        <f t="shared" si="76"/>
        <v>0</v>
      </c>
      <c r="ED31" s="262"/>
      <c r="EE31" s="263">
        <f t="shared" si="26"/>
        <v>0</v>
      </c>
      <c r="EF31" s="278">
        <f t="shared" si="77"/>
        <v>0</v>
      </c>
      <c r="EG31" s="279" t="e">
        <f>(EE31/'Finance Only'!B34)*100</f>
        <v>#DIV/0!</v>
      </c>
      <c r="EH31" s="262">
        <f t="shared" si="78"/>
        <v>0</v>
      </c>
      <c r="EI31" s="262"/>
      <c r="EJ31" s="263">
        <f t="shared" si="27"/>
        <v>0</v>
      </c>
      <c r="EK31" s="278">
        <f t="shared" si="79"/>
        <v>0</v>
      </c>
      <c r="EL31" s="279" t="e">
        <f>(EJ31/'Finance Only'!B34)*100</f>
        <v>#DIV/0!</v>
      </c>
      <c r="EM31" s="262">
        <f t="shared" si="80"/>
        <v>0</v>
      </c>
      <c r="EN31" s="262"/>
      <c r="EO31" s="263">
        <f t="shared" si="28"/>
        <v>0</v>
      </c>
      <c r="EP31" s="278">
        <f t="shared" si="81"/>
        <v>0</v>
      </c>
      <c r="EQ31" s="279" t="e">
        <f>(EO31/'Finance Only'!B34)*100</f>
        <v>#DIV/0!</v>
      </c>
      <c r="ER31" s="262">
        <f t="shared" si="82"/>
        <v>0</v>
      </c>
      <c r="ES31" s="262"/>
      <c r="ET31" s="263">
        <f t="shared" si="29"/>
        <v>0</v>
      </c>
      <c r="EU31" s="278">
        <f t="shared" si="83"/>
        <v>0</v>
      </c>
      <c r="EV31" s="279" t="e">
        <f>(ET31/'Finance Only'!B34)*100</f>
        <v>#DIV/0!</v>
      </c>
    </row>
    <row r="32" spans="1:1086" s="3" customFormat="1" ht="13.5" customHeight="1" x14ac:dyDescent="0.2">
      <c r="A32" s="325">
        <v>28</v>
      </c>
      <c r="B32" s="331">
        <f>'Finance Only'!G35</f>
        <v>0</v>
      </c>
      <c r="C32" s="323">
        <f t="shared" si="30"/>
        <v>0</v>
      </c>
      <c r="D32" s="260"/>
      <c r="E32" s="261">
        <f t="shared" si="0"/>
        <v>0</v>
      </c>
      <c r="F32" s="274">
        <f t="shared" si="31"/>
        <v>0</v>
      </c>
      <c r="G32" s="275" t="e">
        <f>(E32/'Finance Only'!B35)*100</f>
        <v>#DIV/0!</v>
      </c>
      <c r="H32" s="287">
        <f t="shared" si="84"/>
        <v>0</v>
      </c>
      <c r="I32" s="260"/>
      <c r="J32" s="260">
        <f>I32-H32</f>
        <v>0</v>
      </c>
      <c r="K32" s="288">
        <f t="shared" si="33"/>
        <v>0</v>
      </c>
      <c r="L32" s="289" t="e">
        <f>(J32/'Finance Only'!B35)*100</f>
        <v>#DIV/0!</v>
      </c>
      <c r="M32" s="270">
        <f t="shared" si="34"/>
        <v>0</v>
      </c>
      <c r="N32" s="262"/>
      <c r="O32" s="263">
        <f>N32-M32</f>
        <v>0</v>
      </c>
      <c r="P32" s="278">
        <f t="shared" si="35"/>
        <v>0</v>
      </c>
      <c r="Q32" s="279" t="e">
        <f>(O32/'Finance Only'!B35)*100</f>
        <v>#DIV/0!</v>
      </c>
      <c r="R32" s="269">
        <f t="shared" si="85"/>
        <v>0</v>
      </c>
      <c r="S32" s="262"/>
      <c r="T32" s="263">
        <f>S32-R32</f>
        <v>0</v>
      </c>
      <c r="U32" s="278">
        <f t="shared" si="36"/>
        <v>0</v>
      </c>
      <c r="V32" s="279" t="e">
        <f>(T32/'Finance Only'!B35)*100</f>
        <v>#DIV/0!</v>
      </c>
      <c r="W32" s="262">
        <f t="shared" si="90"/>
        <v>0</v>
      </c>
      <c r="X32" s="262"/>
      <c r="Y32" s="263">
        <f>X32-W32</f>
        <v>0</v>
      </c>
      <c r="Z32" s="278">
        <f t="shared" si="37"/>
        <v>0</v>
      </c>
      <c r="AA32" s="279" t="e">
        <f>(Y32/'Finance Only'!B35)*100</f>
        <v>#DIV/0!</v>
      </c>
      <c r="AB32" s="262">
        <f t="shared" si="38"/>
        <v>0</v>
      </c>
      <c r="AC32" s="262"/>
      <c r="AD32" s="263">
        <f>AC32-AB32</f>
        <v>0</v>
      </c>
      <c r="AE32" s="278">
        <f t="shared" si="39"/>
        <v>0</v>
      </c>
      <c r="AF32" s="279" t="e">
        <f>(AD32/'Finance Only'!B35)*100</f>
        <v>#DIV/0!</v>
      </c>
      <c r="AG32" s="262">
        <f t="shared" si="91"/>
        <v>0</v>
      </c>
      <c r="AH32" s="262"/>
      <c r="AI32" s="263">
        <f>AH32-AG32</f>
        <v>0</v>
      </c>
      <c r="AJ32" s="278">
        <f t="shared" si="40"/>
        <v>0</v>
      </c>
      <c r="AK32" s="279" t="e">
        <f>(AI32/'Finance Only'!B35)*100</f>
        <v>#DIV/0!</v>
      </c>
      <c r="AL32" s="262">
        <f t="shared" si="92"/>
        <v>0</v>
      </c>
      <c r="AM32" s="262"/>
      <c r="AN32" s="263">
        <f>AM32-AL32</f>
        <v>0</v>
      </c>
      <c r="AO32" s="278">
        <f t="shared" si="41"/>
        <v>0</v>
      </c>
      <c r="AP32" s="279" t="e">
        <f>(AN32/'Finance Only'!B35)*100</f>
        <v>#DIV/0!</v>
      </c>
      <c r="AQ32" s="262">
        <f t="shared" si="93"/>
        <v>0</v>
      </c>
      <c r="AR32" s="262"/>
      <c r="AS32" s="263">
        <f>AR32-AQ32</f>
        <v>0</v>
      </c>
      <c r="AT32" s="278">
        <f t="shared" si="42"/>
        <v>0</v>
      </c>
      <c r="AU32" s="279" t="e">
        <f>(AS32/'Finance Only'!B35)*100</f>
        <v>#DIV/0!</v>
      </c>
      <c r="AV32" s="262">
        <f t="shared" si="8"/>
        <v>0</v>
      </c>
      <c r="AW32" s="262"/>
      <c r="AX32" s="263">
        <f t="shared" si="9"/>
        <v>0</v>
      </c>
      <c r="AY32" s="278">
        <f t="shared" si="43"/>
        <v>0</v>
      </c>
      <c r="AZ32" s="279" t="e">
        <f>(AX32/'Finance Only'!B35)*100</f>
        <v>#DIV/0!</v>
      </c>
      <c r="BA32" s="262">
        <f t="shared" si="10"/>
        <v>0</v>
      </c>
      <c r="BB32" s="262"/>
      <c r="BC32" s="263">
        <f t="shared" si="11"/>
        <v>0</v>
      </c>
      <c r="BD32" s="278">
        <f t="shared" si="44"/>
        <v>0</v>
      </c>
      <c r="BE32" s="279" t="e">
        <f>(BC32/'Finance Only'!B35)*100</f>
        <v>#DIV/0!</v>
      </c>
      <c r="BF32" s="262">
        <f t="shared" si="45"/>
        <v>0</v>
      </c>
      <c r="BG32" s="262"/>
      <c r="BH32" s="263">
        <f t="shared" si="12"/>
        <v>0</v>
      </c>
      <c r="BI32" s="278">
        <f t="shared" si="46"/>
        <v>0</v>
      </c>
      <c r="BJ32" s="279" t="e">
        <f>(BH32/'Finance Only'!B35)*100</f>
        <v>#DIV/0!</v>
      </c>
      <c r="BK32" s="262">
        <f t="shared" si="47"/>
        <v>0</v>
      </c>
      <c r="BL32" s="262"/>
      <c r="BM32" s="263">
        <f t="shared" si="13"/>
        <v>0</v>
      </c>
      <c r="BN32" s="278">
        <f t="shared" si="48"/>
        <v>0</v>
      </c>
      <c r="BO32" s="279" t="e">
        <f>(BM32/'Finance Only'!B35)*100</f>
        <v>#DIV/0!</v>
      </c>
      <c r="BP32" s="262">
        <f t="shared" si="49"/>
        <v>0</v>
      </c>
      <c r="BQ32" s="262"/>
      <c r="BR32" s="263">
        <f t="shared" si="14"/>
        <v>0</v>
      </c>
      <c r="BS32" s="278">
        <f t="shared" si="50"/>
        <v>0</v>
      </c>
      <c r="BT32" s="279" t="e">
        <f>(BR32/'Finance Only'!B35)*100</f>
        <v>#DIV/0!</v>
      </c>
      <c r="BU32" s="262">
        <f t="shared" si="51"/>
        <v>0</v>
      </c>
      <c r="BV32" s="262"/>
      <c r="BW32" s="263">
        <f t="shared" si="15"/>
        <v>0</v>
      </c>
      <c r="BX32" s="278">
        <f t="shared" si="52"/>
        <v>0</v>
      </c>
      <c r="BY32" s="279" t="e">
        <f>(BW32/'Finance Only'!B35)*100</f>
        <v>#DIV/0!</v>
      </c>
      <c r="BZ32" s="262">
        <f t="shared" si="53"/>
        <v>0</v>
      </c>
      <c r="CA32" s="262"/>
      <c r="CB32" s="263">
        <f t="shared" si="16"/>
        <v>0</v>
      </c>
      <c r="CC32" s="278">
        <f t="shared" si="54"/>
        <v>0</v>
      </c>
      <c r="CD32" s="279" t="e">
        <f>(CB32/'Finance Only'!B35)*100</f>
        <v>#DIV/0!</v>
      </c>
      <c r="CE32" s="262">
        <f t="shared" si="55"/>
        <v>0</v>
      </c>
      <c r="CF32" s="262"/>
      <c r="CG32" s="263">
        <f t="shared" si="17"/>
        <v>0</v>
      </c>
      <c r="CH32" s="278">
        <f t="shared" si="56"/>
        <v>0</v>
      </c>
      <c r="CI32" s="279" t="e">
        <f>(CG32/'Finance Only'!B35)*100</f>
        <v>#DIV/0!</v>
      </c>
      <c r="CJ32" s="263">
        <f t="shared" si="57"/>
        <v>0</v>
      </c>
      <c r="CK32" s="263"/>
      <c r="CL32" s="263">
        <f t="shared" si="58"/>
        <v>0</v>
      </c>
      <c r="CM32" s="278">
        <f t="shared" si="59"/>
        <v>0</v>
      </c>
      <c r="CN32" s="279" t="e">
        <f>(CL32/'Finance Only'!B35)*100</f>
        <v>#DIV/0!</v>
      </c>
      <c r="CO32" s="262">
        <f t="shared" si="60"/>
        <v>0</v>
      </c>
      <c r="CP32" s="262"/>
      <c r="CQ32" s="264">
        <f t="shared" si="18"/>
        <v>0</v>
      </c>
      <c r="CR32" s="278">
        <f t="shared" si="61"/>
        <v>0</v>
      </c>
      <c r="CS32" s="279" t="e">
        <f>(CQ32/'Finance Only'!B35)*100</f>
        <v>#DIV/0!</v>
      </c>
      <c r="CT32" s="262">
        <f t="shared" si="62"/>
        <v>0</v>
      </c>
      <c r="CU32" s="262"/>
      <c r="CV32" s="263">
        <f t="shared" si="19"/>
        <v>0</v>
      </c>
      <c r="CW32" s="278">
        <f t="shared" si="63"/>
        <v>0</v>
      </c>
      <c r="CX32" s="279" t="e">
        <f>(CV32/'Finance Only'!B35)*100</f>
        <v>#DIV/0!</v>
      </c>
      <c r="CY32" s="262">
        <f>CZ31</f>
        <v>0</v>
      </c>
      <c r="CZ32" s="262"/>
      <c r="DA32" s="263">
        <f t="shared" si="20"/>
        <v>0</v>
      </c>
      <c r="DB32" s="278">
        <f t="shared" si="65"/>
        <v>0</v>
      </c>
      <c r="DC32" s="279" t="e">
        <f>(DA32/'Finance Only'!B35)*100</f>
        <v>#DIV/0!</v>
      </c>
      <c r="DD32" s="262">
        <f t="shared" si="66"/>
        <v>0</v>
      </c>
      <c r="DE32" s="262"/>
      <c r="DF32" s="263">
        <f t="shared" si="21"/>
        <v>0</v>
      </c>
      <c r="DG32" s="278">
        <f t="shared" si="67"/>
        <v>0</v>
      </c>
      <c r="DH32" s="279" t="e">
        <f>(DF32/'Finance Only'!B35)*100</f>
        <v>#DIV/0!</v>
      </c>
      <c r="DI32" s="262">
        <f t="shared" si="68"/>
        <v>0</v>
      </c>
      <c r="DJ32" s="262"/>
      <c r="DK32" s="263">
        <f t="shared" si="22"/>
        <v>0</v>
      </c>
      <c r="DL32" s="278">
        <f t="shared" si="69"/>
        <v>0</v>
      </c>
      <c r="DM32" s="279" t="e">
        <f>(DK32/'Finance Only'!B35)*100</f>
        <v>#DIV/0!</v>
      </c>
      <c r="DN32" s="262">
        <f t="shared" si="70"/>
        <v>0</v>
      </c>
      <c r="DO32" s="262"/>
      <c r="DP32" s="263">
        <f t="shared" si="23"/>
        <v>0</v>
      </c>
      <c r="DQ32" s="278">
        <f t="shared" si="71"/>
        <v>0</v>
      </c>
      <c r="DR32" s="279" t="e">
        <f>(DP32/'Finance Only'!B35)*100</f>
        <v>#DIV/0!</v>
      </c>
      <c r="DS32" s="262">
        <f t="shared" si="72"/>
        <v>0</v>
      </c>
      <c r="DT32" s="262"/>
      <c r="DU32" s="263">
        <f t="shared" si="24"/>
        <v>0</v>
      </c>
      <c r="DV32" s="278">
        <f t="shared" si="73"/>
        <v>0</v>
      </c>
      <c r="DW32" s="279" t="e">
        <f>(DU32/'Finance Only'!B35)*100</f>
        <v>#DIV/0!</v>
      </c>
      <c r="DX32" s="262">
        <f t="shared" si="74"/>
        <v>0</v>
      </c>
      <c r="DY32" s="262"/>
      <c r="DZ32" s="263">
        <f t="shared" si="25"/>
        <v>0</v>
      </c>
      <c r="EA32" s="278">
        <f t="shared" si="75"/>
        <v>0</v>
      </c>
      <c r="EB32" s="279" t="e">
        <f>(DZ32/'Finance Only'!B35)*100</f>
        <v>#DIV/0!</v>
      </c>
      <c r="EC32" s="262">
        <f t="shared" si="76"/>
        <v>0</v>
      </c>
      <c r="ED32" s="262"/>
      <c r="EE32" s="263">
        <f t="shared" si="26"/>
        <v>0</v>
      </c>
      <c r="EF32" s="278">
        <f t="shared" si="77"/>
        <v>0</v>
      </c>
      <c r="EG32" s="279" t="e">
        <f>(EE32/'Finance Only'!B35)*100</f>
        <v>#DIV/0!</v>
      </c>
      <c r="EH32" s="262">
        <f t="shared" si="78"/>
        <v>0</v>
      </c>
      <c r="EI32" s="262"/>
      <c r="EJ32" s="263">
        <f t="shared" si="27"/>
        <v>0</v>
      </c>
      <c r="EK32" s="278">
        <f t="shared" si="79"/>
        <v>0</v>
      </c>
      <c r="EL32" s="279" t="e">
        <f>(EJ32/'Finance Only'!B35)*100</f>
        <v>#DIV/0!</v>
      </c>
      <c r="EM32" s="262">
        <f t="shared" si="80"/>
        <v>0</v>
      </c>
      <c r="EN32" s="262"/>
      <c r="EO32" s="263">
        <f t="shared" si="28"/>
        <v>0</v>
      </c>
      <c r="EP32" s="278">
        <f t="shared" si="81"/>
        <v>0</v>
      </c>
      <c r="EQ32" s="279" t="e">
        <f>(EO32/'Finance Only'!B35)*100</f>
        <v>#DIV/0!</v>
      </c>
      <c r="ER32" s="262">
        <f t="shared" si="82"/>
        <v>0</v>
      </c>
      <c r="ES32" s="262"/>
      <c r="ET32" s="263">
        <f t="shared" si="29"/>
        <v>0</v>
      </c>
      <c r="EU32" s="278">
        <f t="shared" si="83"/>
        <v>0</v>
      </c>
      <c r="EV32" s="279" t="e">
        <f>(ET32/'Finance Only'!B35)*100</f>
        <v>#DIV/0!</v>
      </c>
    </row>
    <row r="33" spans="1:152" s="3" customFormat="1" ht="13.5" customHeight="1" x14ac:dyDescent="0.2">
      <c r="A33" s="325">
        <v>29</v>
      </c>
      <c r="B33" s="331">
        <f>'Finance Only'!G36</f>
        <v>0</v>
      </c>
      <c r="C33" s="323">
        <f t="shared" si="30"/>
        <v>0</v>
      </c>
      <c r="D33" s="260"/>
      <c r="E33" s="261">
        <f t="shared" si="0"/>
        <v>0</v>
      </c>
      <c r="F33" s="274">
        <f t="shared" si="31"/>
        <v>0</v>
      </c>
      <c r="G33" s="275" t="e">
        <f>(E33/'Finance Only'!B36)*100</f>
        <v>#DIV/0!</v>
      </c>
      <c r="H33" s="287">
        <f>I32</f>
        <v>0</v>
      </c>
      <c r="I33" s="260"/>
      <c r="J33" s="260">
        <f>I33-H33</f>
        <v>0</v>
      </c>
      <c r="K33" s="288">
        <f t="shared" si="33"/>
        <v>0</v>
      </c>
      <c r="L33" s="289" t="e">
        <f>(J33/'Finance Only'!B36)*100</f>
        <v>#DIV/0!</v>
      </c>
      <c r="M33" s="270">
        <f t="shared" si="34"/>
        <v>0</v>
      </c>
      <c r="N33" s="262"/>
      <c r="O33" s="263">
        <f t="shared" si="1"/>
        <v>0</v>
      </c>
      <c r="P33" s="278">
        <f t="shared" si="35"/>
        <v>0</v>
      </c>
      <c r="Q33" s="279" t="e">
        <f>(O33/'Finance Only'!B36)*100</f>
        <v>#DIV/0!</v>
      </c>
      <c r="R33" s="269">
        <f t="shared" si="85"/>
        <v>0</v>
      </c>
      <c r="S33" s="262"/>
      <c r="T33" s="263">
        <f t="shared" ref="T33:T34" si="94">S33-R33</f>
        <v>0</v>
      </c>
      <c r="U33" s="278">
        <f t="shared" si="36"/>
        <v>0</v>
      </c>
      <c r="V33" s="279" t="e">
        <f>(T33/'Finance Only'!B36)*100</f>
        <v>#DIV/0!</v>
      </c>
      <c r="W33" s="262">
        <f t="shared" si="90"/>
        <v>0</v>
      </c>
      <c r="X33" s="262"/>
      <c r="Y33" s="263">
        <f t="shared" ref="Y33:Y34" si="95">X33-W33</f>
        <v>0</v>
      </c>
      <c r="Z33" s="278">
        <f t="shared" si="37"/>
        <v>0</v>
      </c>
      <c r="AA33" s="279" t="e">
        <f>(Y33/'Finance Only'!B36)*100</f>
        <v>#DIV/0!</v>
      </c>
      <c r="AB33" s="262">
        <f t="shared" si="38"/>
        <v>0</v>
      </c>
      <c r="AC33" s="263"/>
      <c r="AD33" s="263">
        <f t="shared" ref="AD33:AD34" si="96">AC33-AB33</f>
        <v>0</v>
      </c>
      <c r="AE33" s="278">
        <f t="shared" si="39"/>
        <v>0</v>
      </c>
      <c r="AF33" s="279" t="e">
        <f>(AD33/'Finance Only'!B36)*100</f>
        <v>#DIV/0!</v>
      </c>
      <c r="AG33" s="262">
        <f t="shared" si="91"/>
        <v>0</v>
      </c>
      <c r="AH33" s="262"/>
      <c r="AI33" s="263">
        <f t="shared" ref="AI33:AI34" si="97">AH33-AG33</f>
        <v>0</v>
      </c>
      <c r="AJ33" s="278">
        <f t="shared" si="40"/>
        <v>0</v>
      </c>
      <c r="AK33" s="279" t="e">
        <f>(AI33/'Finance Only'!B36)*100</f>
        <v>#DIV/0!</v>
      </c>
      <c r="AL33" s="262">
        <f t="shared" si="92"/>
        <v>0</v>
      </c>
      <c r="AM33" s="262"/>
      <c r="AN33" s="263">
        <f t="shared" ref="AN33:AN34" si="98">AM33-AL33</f>
        <v>0</v>
      </c>
      <c r="AO33" s="278">
        <f t="shared" si="41"/>
        <v>0</v>
      </c>
      <c r="AP33" s="279" t="e">
        <f>(AN33/'Finance Only'!B36)*100</f>
        <v>#DIV/0!</v>
      </c>
      <c r="AQ33" s="262">
        <f t="shared" si="93"/>
        <v>0</v>
      </c>
      <c r="AR33" s="262"/>
      <c r="AS33" s="263">
        <f t="shared" ref="AS33:AS34" si="99">AR33-AQ33</f>
        <v>0</v>
      </c>
      <c r="AT33" s="278">
        <f t="shared" si="42"/>
        <v>0</v>
      </c>
      <c r="AU33" s="279" t="e">
        <f>(AS33/'Finance Only'!B36)*100</f>
        <v>#DIV/0!</v>
      </c>
      <c r="AV33" s="262">
        <f t="shared" si="8"/>
        <v>0</v>
      </c>
      <c r="AW33" s="262"/>
      <c r="AX33" s="263">
        <f t="shared" si="9"/>
        <v>0</v>
      </c>
      <c r="AY33" s="278">
        <f t="shared" si="43"/>
        <v>0</v>
      </c>
      <c r="AZ33" s="279" t="e">
        <f>(AX33/'Finance Only'!B36)*100</f>
        <v>#DIV/0!</v>
      </c>
      <c r="BA33" s="262">
        <f t="shared" si="10"/>
        <v>0</v>
      </c>
      <c r="BB33" s="262"/>
      <c r="BC33" s="263">
        <f t="shared" si="11"/>
        <v>0</v>
      </c>
      <c r="BD33" s="278">
        <f t="shared" si="44"/>
        <v>0</v>
      </c>
      <c r="BE33" s="279" t="e">
        <f>(BC33/'Finance Only'!B36)*100</f>
        <v>#DIV/0!</v>
      </c>
      <c r="BF33" s="262">
        <f t="shared" si="45"/>
        <v>0</v>
      </c>
      <c r="BG33" s="262"/>
      <c r="BH33" s="263">
        <f t="shared" si="12"/>
        <v>0</v>
      </c>
      <c r="BI33" s="278">
        <f t="shared" si="46"/>
        <v>0</v>
      </c>
      <c r="BJ33" s="279" t="e">
        <f>(BH33/'Finance Only'!B36)*100</f>
        <v>#DIV/0!</v>
      </c>
      <c r="BK33" s="262">
        <f t="shared" si="47"/>
        <v>0</v>
      </c>
      <c r="BL33" s="262"/>
      <c r="BM33" s="263">
        <f t="shared" si="13"/>
        <v>0</v>
      </c>
      <c r="BN33" s="278">
        <f t="shared" si="48"/>
        <v>0</v>
      </c>
      <c r="BO33" s="279" t="e">
        <f>(BM33/'Finance Only'!B36)*100</f>
        <v>#DIV/0!</v>
      </c>
      <c r="BP33" s="262">
        <f t="shared" si="49"/>
        <v>0</v>
      </c>
      <c r="BQ33" s="262"/>
      <c r="BR33" s="263">
        <f t="shared" si="14"/>
        <v>0</v>
      </c>
      <c r="BS33" s="278">
        <f t="shared" si="50"/>
        <v>0</v>
      </c>
      <c r="BT33" s="279" t="e">
        <f>(BR33/'Finance Only'!B36)*100</f>
        <v>#DIV/0!</v>
      </c>
      <c r="BU33" s="262">
        <f t="shared" si="51"/>
        <v>0</v>
      </c>
      <c r="BV33" s="262"/>
      <c r="BW33" s="263">
        <f t="shared" si="15"/>
        <v>0</v>
      </c>
      <c r="BX33" s="278">
        <f t="shared" si="52"/>
        <v>0</v>
      </c>
      <c r="BY33" s="279" t="e">
        <f>(BW33/'Finance Only'!B36)*100</f>
        <v>#DIV/0!</v>
      </c>
      <c r="BZ33" s="262">
        <f t="shared" si="53"/>
        <v>0</v>
      </c>
      <c r="CA33" s="262"/>
      <c r="CB33" s="263">
        <f t="shared" si="16"/>
        <v>0</v>
      </c>
      <c r="CC33" s="278">
        <f t="shared" si="54"/>
        <v>0</v>
      </c>
      <c r="CD33" s="279" t="e">
        <f>(CB33/'Finance Only'!B36)*100</f>
        <v>#DIV/0!</v>
      </c>
      <c r="CE33" s="262">
        <f t="shared" si="55"/>
        <v>0</v>
      </c>
      <c r="CF33" s="262"/>
      <c r="CG33" s="263">
        <f t="shared" si="17"/>
        <v>0</v>
      </c>
      <c r="CH33" s="278">
        <f t="shared" si="56"/>
        <v>0</v>
      </c>
      <c r="CI33" s="279" t="e">
        <f>(CG33/'Finance Only'!B36)*100</f>
        <v>#DIV/0!</v>
      </c>
      <c r="CJ33" s="263">
        <f t="shared" si="57"/>
        <v>0</v>
      </c>
      <c r="CK33" s="263"/>
      <c r="CL33" s="263">
        <f t="shared" si="58"/>
        <v>0</v>
      </c>
      <c r="CM33" s="278">
        <f t="shared" si="59"/>
        <v>0</v>
      </c>
      <c r="CN33" s="279" t="e">
        <f>(CL33/'Finance Only'!B36)*100</f>
        <v>#DIV/0!</v>
      </c>
      <c r="CO33" s="262">
        <f t="shared" si="60"/>
        <v>0</v>
      </c>
      <c r="CP33" s="262"/>
      <c r="CQ33" s="264">
        <f t="shared" si="18"/>
        <v>0</v>
      </c>
      <c r="CR33" s="278">
        <f t="shared" si="61"/>
        <v>0</v>
      </c>
      <c r="CS33" s="279" t="e">
        <f>(CQ33/'Finance Only'!B36)*100</f>
        <v>#DIV/0!</v>
      </c>
      <c r="CT33" s="262">
        <f t="shared" si="62"/>
        <v>0</v>
      </c>
      <c r="CU33" s="262"/>
      <c r="CV33" s="263">
        <f t="shared" si="19"/>
        <v>0</v>
      </c>
      <c r="CW33" s="278">
        <f t="shared" si="63"/>
        <v>0</v>
      </c>
      <c r="CX33" s="279" t="e">
        <f>(CV33/'Finance Only'!B36)*100</f>
        <v>#DIV/0!</v>
      </c>
      <c r="CY33" s="262">
        <f t="shared" ref="CY33:CY34" si="100">CZ32</f>
        <v>0</v>
      </c>
      <c r="CZ33" s="262"/>
      <c r="DA33" s="263">
        <f t="shared" si="20"/>
        <v>0</v>
      </c>
      <c r="DB33" s="278">
        <f t="shared" si="65"/>
        <v>0</v>
      </c>
      <c r="DC33" s="279" t="e">
        <f>(DA33/'Finance Only'!B36)*100</f>
        <v>#DIV/0!</v>
      </c>
      <c r="DD33" s="262">
        <f t="shared" si="66"/>
        <v>0</v>
      </c>
      <c r="DE33" s="262"/>
      <c r="DF33" s="263">
        <f t="shared" si="21"/>
        <v>0</v>
      </c>
      <c r="DG33" s="278">
        <f t="shared" si="67"/>
        <v>0</v>
      </c>
      <c r="DH33" s="279" t="e">
        <f>(DF33/'Finance Only'!B36)*100</f>
        <v>#DIV/0!</v>
      </c>
      <c r="DI33" s="262">
        <f t="shared" si="68"/>
        <v>0</v>
      </c>
      <c r="DJ33" s="262"/>
      <c r="DK33" s="263">
        <f t="shared" si="22"/>
        <v>0</v>
      </c>
      <c r="DL33" s="278">
        <f t="shared" si="69"/>
        <v>0</v>
      </c>
      <c r="DM33" s="279" t="e">
        <f>(DK33/'Finance Only'!B36)*100</f>
        <v>#DIV/0!</v>
      </c>
      <c r="DN33" s="262">
        <f t="shared" si="70"/>
        <v>0</v>
      </c>
      <c r="DO33" s="262"/>
      <c r="DP33" s="263">
        <f t="shared" si="23"/>
        <v>0</v>
      </c>
      <c r="DQ33" s="278">
        <f t="shared" si="71"/>
        <v>0</v>
      </c>
      <c r="DR33" s="279" t="e">
        <f>(DP33/'Finance Only'!B36)*100</f>
        <v>#DIV/0!</v>
      </c>
      <c r="DS33" s="262">
        <f t="shared" si="72"/>
        <v>0</v>
      </c>
      <c r="DT33" s="262"/>
      <c r="DU33" s="263">
        <f t="shared" si="24"/>
        <v>0</v>
      </c>
      <c r="DV33" s="278">
        <f t="shared" si="73"/>
        <v>0</v>
      </c>
      <c r="DW33" s="279" t="e">
        <f>(DU33/'Finance Only'!B36)*100</f>
        <v>#DIV/0!</v>
      </c>
      <c r="DX33" s="262">
        <f t="shared" si="74"/>
        <v>0</v>
      </c>
      <c r="DY33" s="262"/>
      <c r="DZ33" s="263">
        <f t="shared" si="25"/>
        <v>0</v>
      </c>
      <c r="EA33" s="278">
        <f t="shared" si="75"/>
        <v>0</v>
      </c>
      <c r="EB33" s="279" t="e">
        <f>(DZ33/'Finance Only'!B36)*100</f>
        <v>#DIV/0!</v>
      </c>
      <c r="EC33" s="262">
        <f t="shared" si="76"/>
        <v>0</v>
      </c>
      <c r="ED33" s="262"/>
      <c r="EE33" s="263">
        <f t="shared" si="26"/>
        <v>0</v>
      </c>
      <c r="EF33" s="278">
        <f t="shared" si="77"/>
        <v>0</v>
      </c>
      <c r="EG33" s="279" t="e">
        <f>(EE33/'Finance Only'!B36)*100</f>
        <v>#DIV/0!</v>
      </c>
      <c r="EH33" s="262">
        <f t="shared" si="78"/>
        <v>0</v>
      </c>
      <c r="EI33" s="262"/>
      <c r="EJ33" s="263">
        <f t="shared" si="27"/>
        <v>0</v>
      </c>
      <c r="EK33" s="278">
        <f t="shared" si="79"/>
        <v>0</v>
      </c>
      <c r="EL33" s="279" t="e">
        <f>(EJ33/'Finance Only'!B36)*100</f>
        <v>#DIV/0!</v>
      </c>
      <c r="EM33" s="262">
        <f t="shared" si="80"/>
        <v>0</v>
      </c>
      <c r="EN33" s="262"/>
      <c r="EO33" s="263">
        <f t="shared" si="28"/>
        <v>0</v>
      </c>
      <c r="EP33" s="278">
        <f t="shared" si="81"/>
        <v>0</v>
      </c>
      <c r="EQ33" s="279" t="e">
        <f>(EO33/'Finance Only'!B36)*100</f>
        <v>#DIV/0!</v>
      </c>
      <c r="ER33" s="262">
        <f t="shared" si="82"/>
        <v>0</v>
      </c>
      <c r="ES33" s="262"/>
      <c r="ET33" s="263">
        <f t="shared" si="29"/>
        <v>0</v>
      </c>
      <c r="EU33" s="278">
        <f t="shared" si="83"/>
        <v>0</v>
      </c>
      <c r="EV33" s="279" t="e">
        <f>(ET33/'Finance Only'!B36)*100</f>
        <v>#DIV/0!</v>
      </c>
    </row>
    <row r="34" spans="1:152" s="3" customFormat="1" ht="13.5" customHeight="1" x14ac:dyDescent="0.2">
      <c r="A34" s="325">
        <v>30</v>
      </c>
      <c r="B34" s="331">
        <f>'Finance Only'!G37</f>
        <v>0</v>
      </c>
      <c r="C34" s="323">
        <f t="shared" si="30"/>
        <v>0</v>
      </c>
      <c r="D34" s="260"/>
      <c r="E34" s="261">
        <f t="shared" si="0"/>
        <v>0</v>
      </c>
      <c r="F34" s="274">
        <f t="shared" si="31"/>
        <v>0</v>
      </c>
      <c r="G34" s="275" t="e">
        <f>(E34/'Finance Only'!B37)*100</f>
        <v>#DIV/0!</v>
      </c>
      <c r="H34" s="287">
        <f t="shared" ref="H34" si="101">I33</f>
        <v>0</v>
      </c>
      <c r="I34" s="290"/>
      <c r="J34" s="260">
        <f t="shared" ref="J34" si="102">I34-H34</f>
        <v>0</v>
      </c>
      <c r="K34" s="288">
        <f t="shared" si="33"/>
        <v>0</v>
      </c>
      <c r="L34" s="289" t="e">
        <f>(J34/'Finance Only'!B37)*100</f>
        <v>#DIV/0!</v>
      </c>
      <c r="M34" s="270">
        <f t="shared" si="34"/>
        <v>0</v>
      </c>
      <c r="N34" s="262"/>
      <c r="O34" s="263">
        <f t="shared" si="1"/>
        <v>0</v>
      </c>
      <c r="P34" s="278">
        <f t="shared" si="35"/>
        <v>0</v>
      </c>
      <c r="Q34" s="279" t="e">
        <f>(O34/'Finance Only'!B37)*100</f>
        <v>#DIV/0!</v>
      </c>
      <c r="R34" s="269">
        <f t="shared" si="85"/>
        <v>0</v>
      </c>
      <c r="S34" s="262"/>
      <c r="T34" s="263">
        <f t="shared" si="94"/>
        <v>0</v>
      </c>
      <c r="U34" s="278">
        <f t="shared" si="36"/>
        <v>0</v>
      </c>
      <c r="V34" s="279" t="e">
        <f>(T34/'Finance Only'!B37)*100</f>
        <v>#DIV/0!</v>
      </c>
      <c r="W34" s="262">
        <f t="shared" si="90"/>
        <v>0</v>
      </c>
      <c r="X34" s="262"/>
      <c r="Y34" s="263">
        <f t="shared" si="95"/>
        <v>0</v>
      </c>
      <c r="Z34" s="278">
        <f t="shared" si="37"/>
        <v>0</v>
      </c>
      <c r="AA34" s="279" t="e">
        <f>(Y34/'Finance Only'!B37)*100</f>
        <v>#DIV/0!</v>
      </c>
      <c r="AB34" s="262">
        <f t="shared" si="38"/>
        <v>0</v>
      </c>
      <c r="AC34" s="263"/>
      <c r="AD34" s="263">
        <f t="shared" si="96"/>
        <v>0</v>
      </c>
      <c r="AE34" s="278">
        <f t="shared" si="39"/>
        <v>0</v>
      </c>
      <c r="AF34" s="279" t="e">
        <f>(AD34/'Finance Only'!B37)*100</f>
        <v>#DIV/0!</v>
      </c>
      <c r="AG34" s="262">
        <f t="shared" si="91"/>
        <v>0</v>
      </c>
      <c r="AH34" s="262"/>
      <c r="AI34" s="263">
        <f t="shared" si="97"/>
        <v>0</v>
      </c>
      <c r="AJ34" s="278">
        <f t="shared" si="40"/>
        <v>0</v>
      </c>
      <c r="AK34" s="279" t="e">
        <f>(AI34/'Finance Only'!B37)*100</f>
        <v>#DIV/0!</v>
      </c>
      <c r="AL34" s="262">
        <f t="shared" si="92"/>
        <v>0</v>
      </c>
      <c r="AM34" s="262"/>
      <c r="AN34" s="263">
        <f t="shared" si="98"/>
        <v>0</v>
      </c>
      <c r="AO34" s="278">
        <f t="shared" si="41"/>
        <v>0</v>
      </c>
      <c r="AP34" s="279" t="e">
        <f>(AN34/'Finance Only'!B37)*100</f>
        <v>#DIV/0!</v>
      </c>
      <c r="AQ34" s="262">
        <f t="shared" si="93"/>
        <v>0</v>
      </c>
      <c r="AR34" s="262"/>
      <c r="AS34" s="263">
        <f t="shared" si="99"/>
        <v>0</v>
      </c>
      <c r="AT34" s="278">
        <f t="shared" si="42"/>
        <v>0</v>
      </c>
      <c r="AU34" s="279" t="e">
        <f>(AS34/'Finance Only'!B37)*100</f>
        <v>#DIV/0!</v>
      </c>
      <c r="AV34" s="262">
        <f t="shared" si="8"/>
        <v>0</v>
      </c>
      <c r="AW34" s="262"/>
      <c r="AX34" s="263">
        <f t="shared" si="9"/>
        <v>0</v>
      </c>
      <c r="AY34" s="278">
        <f t="shared" si="43"/>
        <v>0</v>
      </c>
      <c r="AZ34" s="279" t="e">
        <f>(AX34/'Finance Only'!B37)*100</f>
        <v>#DIV/0!</v>
      </c>
      <c r="BA34" s="262">
        <f t="shared" si="10"/>
        <v>0</v>
      </c>
      <c r="BB34" s="262"/>
      <c r="BC34" s="263">
        <f t="shared" si="11"/>
        <v>0</v>
      </c>
      <c r="BD34" s="278">
        <f t="shared" si="44"/>
        <v>0</v>
      </c>
      <c r="BE34" s="279" t="e">
        <f>(BC34/'Finance Only'!B37)*100</f>
        <v>#DIV/0!</v>
      </c>
      <c r="BF34" s="262">
        <f t="shared" si="45"/>
        <v>0</v>
      </c>
      <c r="BG34" s="262"/>
      <c r="BH34" s="263">
        <f t="shared" si="12"/>
        <v>0</v>
      </c>
      <c r="BI34" s="278">
        <f t="shared" si="46"/>
        <v>0</v>
      </c>
      <c r="BJ34" s="279" t="e">
        <f>(BH34/'Finance Only'!B37)*100</f>
        <v>#DIV/0!</v>
      </c>
      <c r="BK34" s="262">
        <f t="shared" si="47"/>
        <v>0</v>
      </c>
      <c r="BL34" s="262"/>
      <c r="BM34" s="263">
        <f t="shared" si="13"/>
        <v>0</v>
      </c>
      <c r="BN34" s="278">
        <f t="shared" si="48"/>
        <v>0</v>
      </c>
      <c r="BO34" s="279" t="e">
        <f>(BM34/'Finance Only'!B37)*100</f>
        <v>#DIV/0!</v>
      </c>
      <c r="BP34" s="262">
        <f t="shared" si="49"/>
        <v>0</v>
      </c>
      <c r="BQ34" s="262"/>
      <c r="BR34" s="263">
        <f t="shared" si="14"/>
        <v>0</v>
      </c>
      <c r="BS34" s="278">
        <f t="shared" si="50"/>
        <v>0</v>
      </c>
      <c r="BT34" s="279" t="e">
        <f>(BR34/'Finance Only'!B37)*100</f>
        <v>#DIV/0!</v>
      </c>
      <c r="BU34" s="262">
        <f t="shared" si="51"/>
        <v>0</v>
      </c>
      <c r="BV34" s="262"/>
      <c r="BW34" s="263">
        <f t="shared" si="15"/>
        <v>0</v>
      </c>
      <c r="BX34" s="278">
        <f t="shared" si="52"/>
        <v>0</v>
      </c>
      <c r="BY34" s="279" t="e">
        <f>(BW34/'Finance Only'!B37)*100</f>
        <v>#DIV/0!</v>
      </c>
      <c r="BZ34" s="262">
        <f t="shared" si="53"/>
        <v>0</v>
      </c>
      <c r="CA34" s="262"/>
      <c r="CB34" s="263">
        <f t="shared" si="16"/>
        <v>0</v>
      </c>
      <c r="CC34" s="278">
        <f t="shared" si="54"/>
        <v>0</v>
      </c>
      <c r="CD34" s="279" t="e">
        <f>(CB34/'Finance Only'!B37)*100</f>
        <v>#DIV/0!</v>
      </c>
      <c r="CE34" s="262">
        <f t="shared" si="55"/>
        <v>0</v>
      </c>
      <c r="CF34" s="262"/>
      <c r="CG34" s="263">
        <f t="shared" si="17"/>
        <v>0</v>
      </c>
      <c r="CH34" s="278">
        <f t="shared" si="56"/>
        <v>0</v>
      </c>
      <c r="CI34" s="279" t="e">
        <f>(CG34/'Finance Only'!B37)*100</f>
        <v>#DIV/0!</v>
      </c>
      <c r="CJ34" s="263">
        <f t="shared" si="57"/>
        <v>0</v>
      </c>
      <c r="CK34" s="263"/>
      <c r="CL34" s="263">
        <f t="shared" si="58"/>
        <v>0</v>
      </c>
      <c r="CM34" s="278">
        <f t="shared" si="59"/>
        <v>0</v>
      </c>
      <c r="CN34" s="279" t="e">
        <f>(CL34/'Finance Only'!B37)*100</f>
        <v>#DIV/0!</v>
      </c>
      <c r="CO34" s="262">
        <f t="shared" si="60"/>
        <v>0</v>
      </c>
      <c r="CP34" s="262"/>
      <c r="CQ34" s="264">
        <f t="shared" si="18"/>
        <v>0</v>
      </c>
      <c r="CR34" s="278">
        <f t="shared" si="61"/>
        <v>0</v>
      </c>
      <c r="CS34" s="279" t="e">
        <f>(CQ34/'Finance Only'!B37)*100</f>
        <v>#DIV/0!</v>
      </c>
      <c r="CT34" s="262">
        <f t="shared" si="62"/>
        <v>0</v>
      </c>
      <c r="CU34" s="262"/>
      <c r="CV34" s="263">
        <f t="shared" si="19"/>
        <v>0</v>
      </c>
      <c r="CW34" s="278">
        <f t="shared" si="63"/>
        <v>0</v>
      </c>
      <c r="CX34" s="279" t="e">
        <f>(CV34/'Finance Only'!B37)*100</f>
        <v>#DIV/0!</v>
      </c>
      <c r="CY34" s="262">
        <f t="shared" si="100"/>
        <v>0</v>
      </c>
      <c r="CZ34" s="262"/>
      <c r="DA34" s="263">
        <f t="shared" si="20"/>
        <v>0</v>
      </c>
      <c r="DB34" s="278">
        <f t="shared" si="65"/>
        <v>0</v>
      </c>
      <c r="DC34" s="279" t="e">
        <f>(DA34/'Finance Only'!B37)*100</f>
        <v>#DIV/0!</v>
      </c>
      <c r="DD34" s="262">
        <f t="shared" si="66"/>
        <v>0</v>
      </c>
      <c r="DE34" s="262"/>
      <c r="DF34" s="263">
        <f t="shared" si="21"/>
        <v>0</v>
      </c>
      <c r="DG34" s="278">
        <f t="shared" si="67"/>
        <v>0</v>
      </c>
      <c r="DH34" s="279" t="e">
        <f>(DF34/'Finance Only'!B37)*100</f>
        <v>#DIV/0!</v>
      </c>
      <c r="DI34" s="262">
        <f t="shared" si="68"/>
        <v>0</v>
      </c>
      <c r="DJ34" s="262"/>
      <c r="DK34" s="263">
        <f t="shared" si="22"/>
        <v>0</v>
      </c>
      <c r="DL34" s="278">
        <f t="shared" si="69"/>
        <v>0</v>
      </c>
      <c r="DM34" s="279" t="e">
        <f>(DK34/'Finance Only'!B37)*100</f>
        <v>#DIV/0!</v>
      </c>
      <c r="DN34" s="262">
        <f t="shared" si="70"/>
        <v>0</v>
      </c>
      <c r="DO34" s="262"/>
      <c r="DP34" s="263">
        <f t="shared" si="23"/>
        <v>0</v>
      </c>
      <c r="DQ34" s="278">
        <f t="shared" si="71"/>
        <v>0</v>
      </c>
      <c r="DR34" s="279" t="e">
        <f>(DP34/'Finance Only'!B37)*100</f>
        <v>#DIV/0!</v>
      </c>
      <c r="DS34" s="262">
        <f t="shared" si="72"/>
        <v>0</v>
      </c>
      <c r="DT34" s="262"/>
      <c r="DU34" s="263">
        <f t="shared" si="24"/>
        <v>0</v>
      </c>
      <c r="DV34" s="278">
        <f t="shared" si="73"/>
        <v>0</v>
      </c>
      <c r="DW34" s="279" t="e">
        <f>(DU34/'Finance Only'!B37)*100</f>
        <v>#DIV/0!</v>
      </c>
      <c r="DX34" s="262">
        <f t="shared" si="74"/>
        <v>0</v>
      </c>
      <c r="DY34" s="262"/>
      <c r="DZ34" s="263">
        <f t="shared" si="25"/>
        <v>0</v>
      </c>
      <c r="EA34" s="278">
        <f t="shared" si="75"/>
        <v>0</v>
      </c>
      <c r="EB34" s="279" t="e">
        <f>(DZ34/'Finance Only'!B37)*100</f>
        <v>#DIV/0!</v>
      </c>
      <c r="EC34" s="262">
        <f t="shared" si="76"/>
        <v>0</v>
      </c>
      <c r="ED34" s="262"/>
      <c r="EE34" s="263">
        <f t="shared" si="26"/>
        <v>0</v>
      </c>
      <c r="EF34" s="278">
        <f t="shared" si="77"/>
        <v>0</v>
      </c>
      <c r="EG34" s="279" t="e">
        <f>(EE34/'Finance Only'!B37)*100</f>
        <v>#DIV/0!</v>
      </c>
      <c r="EH34" s="262">
        <f t="shared" si="78"/>
        <v>0</v>
      </c>
      <c r="EI34" s="262"/>
      <c r="EJ34" s="263">
        <f t="shared" si="27"/>
        <v>0</v>
      </c>
      <c r="EK34" s="278">
        <f t="shared" si="79"/>
        <v>0</v>
      </c>
      <c r="EL34" s="279" t="e">
        <f>(EJ34/'Finance Only'!B37)*100</f>
        <v>#DIV/0!</v>
      </c>
      <c r="EM34" s="262">
        <f t="shared" si="80"/>
        <v>0</v>
      </c>
      <c r="EN34" s="262"/>
      <c r="EO34" s="263">
        <f t="shared" si="28"/>
        <v>0</v>
      </c>
      <c r="EP34" s="278">
        <f t="shared" si="81"/>
        <v>0</v>
      </c>
      <c r="EQ34" s="279" t="e">
        <f>(EO34/'Finance Only'!B37)*100</f>
        <v>#DIV/0!</v>
      </c>
      <c r="ER34" s="262">
        <f t="shared" si="82"/>
        <v>0</v>
      </c>
      <c r="ES34" s="262"/>
      <c r="ET34" s="263">
        <f t="shared" si="29"/>
        <v>0</v>
      </c>
      <c r="EU34" s="278">
        <f t="shared" si="83"/>
        <v>0</v>
      </c>
      <c r="EV34" s="279" t="e">
        <f>(ET34/'Finance Only'!B37)*100</f>
        <v>#DIV/0!</v>
      </c>
    </row>
    <row r="35" spans="1:152" s="3" customFormat="1" ht="13.5" customHeight="1" x14ac:dyDescent="0.2">
      <c r="A35" s="325">
        <v>31</v>
      </c>
      <c r="B35" s="331">
        <f>'Finance Only'!G38</f>
        <v>0</v>
      </c>
      <c r="C35" s="323">
        <f t="shared" ref="C35" si="103">D34</f>
        <v>0</v>
      </c>
      <c r="D35" s="260"/>
      <c r="E35" s="261">
        <f t="shared" ref="E35" si="104">D35-C35</f>
        <v>0</v>
      </c>
      <c r="F35" s="274">
        <f t="shared" ref="F35" si="105">E35-E34</f>
        <v>0</v>
      </c>
      <c r="G35" s="275">
        <f>(E35/'Finance Only'!B39)*100</f>
        <v>0</v>
      </c>
      <c r="H35" s="287">
        <f t="shared" ref="H35" si="106">I34</f>
        <v>0</v>
      </c>
      <c r="I35" s="290"/>
      <c r="J35" s="260">
        <f t="shared" ref="J35" si="107">I35-H35</f>
        <v>0</v>
      </c>
      <c r="K35" s="288">
        <f t="shared" ref="K35" si="108">J35-J34</f>
        <v>0</v>
      </c>
      <c r="L35" s="289">
        <f>(J35/'Finance Only'!B39)*100</f>
        <v>0</v>
      </c>
      <c r="M35" s="270">
        <f t="shared" ref="M35" si="109">N34</f>
        <v>0</v>
      </c>
      <c r="N35" s="262"/>
      <c r="O35" s="263">
        <f t="shared" ref="O35" si="110">N35-M35</f>
        <v>0</v>
      </c>
      <c r="P35" s="278">
        <f t="shared" ref="P35" si="111">O35-O34</f>
        <v>0</v>
      </c>
      <c r="Q35" s="279">
        <f>(O35/'Finance Only'!B39)*100</f>
        <v>0</v>
      </c>
      <c r="R35" s="269">
        <f t="shared" ref="R35" si="112">S34</f>
        <v>0</v>
      </c>
      <c r="S35" s="262"/>
      <c r="T35" s="263">
        <f t="shared" ref="T35" si="113">S35-R35</f>
        <v>0</v>
      </c>
      <c r="U35" s="278">
        <f t="shared" ref="U35" si="114">T35-T34</f>
        <v>0</v>
      </c>
      <c r="V35" s="279">
        <f>(T35/'Finance Only'!B39)*100</f>
        <v>0</v>
      </c>
      <c r="W35" s="262">
        <f t="shared" ref="W35" si="115">X34</f>
        <v>0</v>
      </c>
      <c r="X35" s="262"/>
      <c r="Y35" s="263">
        <f t="shared" ref="Y35" si="116">X35-W35</f>
        <v>0</v>
      </c>
      <c r="Z35" s="278">
        <f t="shared" ref="Z35" si="117">Y35-Y34</f>
        <v>0</v>
      </c>
      <c r="AA35" s="279">
        <f>(Y35/'Finance Only'!B39)*100</f>
        <v>0</v>
      </c>
      <c r="AB35" s="262">
        <f t="shared" ref="AB35" si="118">AC34</f>
        <v>0</v>
      </c>
      <c r="AC35" s="263"/>
      <c r="AD35" s="263">
        <f t="shared" ref="AD35" si="119">AC35-AB35</f>
        <v>0</v>
      </c>
      <c r="AE35" s="278">
        <f t="shared" ref="AE35" si="120">AD35-AD34</f>
        <v>0</v>
      </c>
      <c r="AF35" s="279">
        <f>(AD35/'Finance Only'!B39)*100</f>
        <v>0</v>
      </c>
      <c r="AG35" s="262">
        <f t="shared" ref="AG35" si="121">AH34</f>
        <v>0</v>
      </c>
      <c r="AH35" s="262"/>
      <c r="AI35" s="263">
        <f t="shared" ref="AI35" si="122">AH35-AG35</f>
        <v>0</v>
      </c>
      <c r="AJ35" s="278">
        <f t="shared" ref="AJ35" si="123">AI35-AI34</f>
        <v>0</v>
      </c>
      <c r="AK35" s="279">
        <f>(AI35/'Finance Only'!B39)*100</f>
        <v>0</v>
      </c>
      <c r="AL35" s="262">
        <f t="shared" ref="AL35" si="124">AM34</f>
        <v>0</v>
      </c>
      <c r="AM35" s="262"/>
      <c r="AN35" s="263">
        <f t="shared" ref="AN35" si="125">AM35-AL35</f>
        <v>0</v>
      </c>
      <c r="AO35" s="278">
        <f t="shared" ref="AO35" si="126">AN35-AN34</f>
        <v>0</v>
      </c>
      <c r="AP35" s="279">
        <f>(AN35/'Finance Only'!B39)*100</f>
        <v>0</v>
      </c>
      <c r="AQ35" s="262">
        <f t="shared" ref="AQ35" si="127">AR34</f>
        <v>0</v>
      </c>
      <c r="AR35" s="262"/>
      <c r="AS35" s="263">
        <f t="shared" ref="AS35" si="128">AR35-AQ35</f>
        <v>0</v>
      </c>
      <c r="AT35" s="278">
        <f t="shared" ref="AT35" si="129">AS35-AS34</f>
        <v>0</v>
      </c>
      <c r="AU35" s="279">
        <f>(AS35/'Finance Only'!B39)*100</f>
        <v>0</v>
      </c>
      <c r="AV35" s="262">
        <f t="shared" ref="AV35" si="130">AW34</f>
        <v>0</v>
      </c>
      <c r="AW35" s="262"/>
      <c r="AX35" s="263">
        <f t="shared" ref="AX35" si="131">AW35-AV35</f>
        <v>0</v>
      </c>
      <c r="AY35" s="278">
        <f t="shared" ref="AY35" si="132">AX35-AX34</f>
        <v>0</v>
      </c>
      <c r="AZ35" s="279">
        <f>(AX35/'Finance Only'!B39)*100</f>
        <v>0</v>
      </c>
      <c r="BA35" s="262">
        <f t="shared" ref="BA35" si="133">BB34</f>
        <v>0</v>
      </c>
      <c r="BB35" s="262"/>
      <c r="BC35" s="263">
        <f t="shared" ref="BC35" si="134">BB35-BA35</f>
        <v>0</v>
      </c>
      <c r="BD35" s="278">
        <f t="shared" ref="BD35" si="135">BC35-BC34</f>
        <v>0</v>
      </c>
      <c r="BE35" s="279">
        <f>(BC35/'Finance Only'!B39)*100</f>
        <v>0</v>
      </c>
      <c r="BF35" s="262">
        <f t="shared" ref="BF35" si="136">BG34</f>
        <v>0</v>
      </c>
      <c r="BG35" s="262"/>
      <c r="BH35" s="263">
        <f t="shared" ref="BH35" si="137">BG35-BF35</f>
        <v>0</v>
      </c>
      <c r="BI35" s="278">
        <f t="shared" ref="BI35" si="138">BH35-BH34</f>
        <v>0</v>
      </c>
      <c r="BJ35" s="279">
        <f>(BH35/'Finance Only'!B39)*100</f>
        <v>0</v>
      </c>
      <c r="BK35" s="262">
        <f t="shared" ref="BK35" si="139">BL34</f>
        <v>0</v>
      </c>
      <c r="BL35" s="262"/>
      <c r="BM35" s="263">
        <f t="shared" ref="BM35" si="140">BL35-BK35</f>
        <v>0</v>
      </c>
      <c r="BN35" s="278">
        <f t="shared" ref="BN35" si="141">BM35-BM34</f>
        <v>0</v>
      </c>
      <c r="BO35" s="279">
        <f>(BM35/'Finance Only'!B39)*100</f>
        <v>0</v>
      </c>
      <c r="BP35" s="262">
        <f t="shared" ref="BP35" si="142">BQ34</f>
        <v>0</v>
      </c>
      <c r="BQ35" s="262"/>
      <c r="BR35" s="263">
        <f t="shared" ref="BR35" si="143">BQ35-BP35</f>
        <v>0</v>
      </c>
      <c r="BS35" s="278">
        <f t="shared" ref="BS35" si="144">BR35-BR34</f>
        <v>0</v>
      </c>
      <c r="BT35" s="279">
        <f>(BR35/'Finance Only'!B39)*100</f>
        <v>0</v>
      </c>
      <c r="BU35" s="262">
        <f t="shared" ref="BU35" si="145">BV34</f>
        <v>0</v>
      </c>
      <c r="BV35" s="262"/>
      <c r="BW35" s="263">
        <f t="shared" ref="BW35" si="146">BV35-BU35</f>
        <v>0</v>
      </c>
      <c r="BX35" s="278">
        <f t="shared" ref="BX35" si="147">BW35-BW34</f>
        <v>0</v>
      </c>
      <c r="BY35" s="279">
        <f>(BW35/'Finance Only'!B39)*100</f>
        <v>0</v>
      </c>
      <c r="BZ35" s="262">
        <f t="shared" ref="BZ35" si="148">CA34</f>
        <v>0</v>
      </c>
      <c r="CA35" s="262"/>
      <c r="CB35" s="263">
        <f t="shared" ref="CB35" si="149">CA35-BZ35</f>
        <v>0</v>
      </c>
      <c r="CC35" s="278">
        <f t="shared" ref="CC35" si="150">CB35-CB34</f>
        <v>0</v>
      </c>
      <c r="CD35" s="279">
        <f>(CB35/'Finance Only'!B39)*100</f>
        <v>0</v>
      </c>
      <c r="CE35" s="262">
        <f t="shared" ref="CE35" si="151">CF34</f>
        <v>0</v>
      </c>
      <c r="CF35" s="262"/>
      <c r="CG35" s="263">
        <f t="shared" ref="CG35" si="152">CF35-CE35</f>
        <v>0</v>
      </c>
      <c r="CH35" s="278">
        <f t="shared" ref="CH35" si="153">CG35-CG34</f>
        <v>0</v>
      </c>
      <c r="CI35" s="279">
        <f>(CG35/'Finance Only'!B39)*100</f>
        <v>0</v>
      </c>
      <c r="CJ35" s="263">
        <f t="shared" ref="CJ35" si="154">CK34</f>
        <v>0</v>
      </c>
      <c r="CK35" s="263"/>
      <c r="CL35" s="263">
        <f t="shared" ref="CL35" si="155">CK35-CJ35</f>
        <v>0</v>
      </c>
      <c r="CM35" s="278">
        <f t="shared" ref="CM35" si="156">CL35-CL34</f>
        <v>0</v>
      </c>
      <c r="CN35" s="279">
        <f>(CL35/'Finance Only'!B39)*100</f>
        <v>0</v>
      </c>
      <c r="CO35" s="262">
        <f t="shared" ref="CO35" si="157">CP34</f>
        <v>0</v>
      </c>
      <c r="CP35" s="262"/>
      <c r="CQ35" s="264">
        <f t="shared" ref="CQ35" si="158">CP35-CO35</f>
        <v>0</v>
      </c>
      <c r="CR35" s="278">
        <f t="shared" ref="CR35" si="159">CQ35-CQ34</f>
        <v>0</v>
      </c>
      <c r="CS35" s="279">
        <f>(CQ35/'Finance Only'!B39)*100</f>
        <v>0</v>
      </c>
      <c r="CT35" s="262">
        <f t="shared" ref="CT35" si="160">CU34</f>
        <v>0</v>
      </c>
      <c r="CU35" s="262"/>
      <c r="CV35" s="263">
        <f t="shared" ref="CV35" si="161">CU35-CT35</f>
        <v>0</v>
      </c>
      <c r="CW35" s="278">
        <f t="shared" ref="CW35" si="162">CV35-CV34</f>
        <v>0</v>
      </c>
      <c r="CX35" s="279">
        <f>(CV35/'Finance Only'!B39)*100</f>
        <v>0</v>
      </c>
      <c r="CY35" s="262">
        <f t="shared" ref="CY35" si="163">CZ34</f>
        <v>0</v>
      </c>
      <c r="CZ35" s="262"/>
      <c r="DA35" s="263">
        <f t="shared" ref="DA35" si="164">CZ35-CY35</f>
        <v>0</v>
      </c>
      <c r="DB35" s="278">
        <f t="shared" ref="DB35" si="165">DA35-DA34</f>
        <v>0</v>
      </c>
      <c r="DC35" s="279">
        <f>(DA35/'Finance Only'!B39)*100</f>
        <v>0</v>
      </c>
      <c r="DD35" s="262">
        <f t="shared" ref="DD35" si="166">DE34</f>
        <v>0</v>
      </c>
      <c r="DE35" s="262"/>
      <c r="DF35" s="263">
        <f t="shared" ref="DF35" si="167">DE35-DD35</f>
        <v>0</v>
      </c>
      <c r="DG35" s="278">
        <f t="shared" ref="DG35" si="168">DF35-DF34</f>
        <v>0</v>
      </c>
      <c r="DH35" s="279">
        <f>(DF35/'Finance Only'!B39)*100</f>
        <v>0</v>
      </c>
      <c r="DI35" s="262">
        <f t="shared" ref="DI35" si="169">DJ34</f>
        <v>0</v>
      </c>
      <c r="DJ35" s="262"/>
      <c r="DK35" s="263">
        <f t="shared" ref="DK35" si="170">DJ35-DI35</f>
        <v>0</v>
      </c>
      <c r="DL35" s="278">
        <f t="shared" ref="DL35" si="171">DK35-DK34</f>
        <v>0</v>
      </c>
      <c r="DM35" s="279">
        <f>(DK35/'Finance Only'!B39)*100</f>
        <v>0</v>
      </c>
      <c r="DN35" s="262">
        <f t="shared" ref="DN35" si="172">DO34</f>
        <v>0</v>
      </c>
      <c r="DO35" s="262"/>
      <c r="DP35" s="263">
        <f t="shared" ref="DP35" si="173">DO35-DN35</f>
        <v>0</v>
      </c>
      <c r="DQ35" s="278">
        <f t="shared" ref="DQ35" si="174">DP35-DP34</f>
        <v>0</v>
      </c>
      <c r="DR35" s="279">
        <f>(DP35/'Finance Only'!B39)*100</f>
        <v>0</v>
      </c>
      <c r="DS35" s="262">
        <f t="shared" ref="DS35" si="175">DT34</f>
        <v>0</v>
      </c>
      <c r="DT35" s="262"/>
      <c r="DU35" s="263">
        <f t="shared" ref="DU35" si="176">DT35-DS35</f>
        <v>0</v>
      </c>
      <c r="DV35" s="278">
        <f t="shared" ref="DV35" si="177">DU35-DU34</f>
        <v>0</v>
      </c>
      <c r="DW35" s="279">
        <f>(DU35/'Finance Only'!B39)*100</f>
        <v>0</v>
      </c>
      <c r="DX35" s="262">
        <f t="shared" ref="DX35" si="178">DY34</f>
        <v>0</v>
      </c>
      <c r="DY35" s="262"/>
      <c r="DZ35" s="263">
        <f t="shared" ref="DZ35" si="179">DY35-DX35</f>
        <v>0</v>
      </c>
      <c r="EA35" s="278">
        <f t="shared" ref="EA35" si="180">DZ35-DZ34</f>
        <v>0</v>
      </c>
      <c r="EB35" s="279">
        <f>(DZ35/'Finance Only'!B39)*100</f>
        <v>0</v>
      </c>
      <c r="EC35" s="262">
        <f t="shared" ref="EC35" si="181">ED34</f>
        <v>0</v>
      </c>
      <c r="ED35" s="262"/>
      <c r="EE35" s="263">
        <f t="shared" ref="EE35" si="182">ED35-EC35</f>
        <v>0</v>
      </c>
      <c r="EF35" s="278">
        <f t="shared" ref="EF35" si="183">EE35-EE34</f>
        <v>0</v>
      </c>
      <c r="EG35" s="279">
        <f>(EE35/'Finance Only'!B39)*100</f>
        <v>0</v>
      </c>
      <c r="EH35" s="262">
        <f t="shared" ref="EH35" si="184">EI34</f>
        <v>0</v>
      </c>
      <c r="EI35" s="262"/>
      <c r="EJ35" s="263">
        <f t="shared" ref="EJ35" si="185">EI35-EH35</f>
        <v>0</v>
      </c>
      <c r="EK35" s="278">
        <f t="shared" ref="EK35" si="186">EJ35-EJ34</f>
        <v>0</v>
      </c>
      <c r="EL35" s="279">
        <f>(EJ35/'Finance Only'!B39)*100</f>
        <v>0</v>
      </c>
      <c r="EM35" s="262">
        <f t="shared" ref="EM35" si="187">EN34</f>
        <v>0</v>
      </c>
      <c r="EN35" s="262"/>
      <c r="EO35" s="263">
        <f t="shared" ref="EO35" si="188">EN35-EM35</f>
        <v>0</v>
      </c>
      <c r="EP35" s="278">
        <f t="shared" ref="EP35" si="189">EO35-EO34</f>
        <v>0</v>
      </c>
      <c r="EQ35" s="279">
        <f>(EO35/'Finance Only'!B39)*100</f>
        <v>0</v>
      </c>
      <c r="ER35" s="262">
        <f t="shared" ref="ER35" si="190">ES34</f>
        <v>0</v>
      </c>
      <c r="ES35" s="262"/>
      <c r="ET35" s="263">
        <f t="shared" ref="ET35" si="191">ES35-ER35</f>
        <v>0</v>
      </c>
      <c r="EU35" s="278">
        <f t="shared" ref="EU35" si="192">ET35-ET34</f>
        <v>0</v>
      </c>
      <c r="EV35" s="279">
        <f>(ET35/'Finance Only'!B39)*100</f>
        <v>0</v>
      </c>
    </row>
    <row r="36" spans="1:152" s="3" customFormat="1" ht="13.5" thickBot="1" x14ac:dyDescent="0.25">
      <c r="A36" s="3" t="s">
        <v>7</v>
      </c>
      <c r="C36" s="77"/>
      <c r="D36" s="77"/>
      <c r="E36" s="78">
        <f>SUM(E5:E34)</f>
        <v>-25725099</v>
      </c>
      <c r="F36" s="78"/>
      <c r="G36" s="78"/>
      <c r="H36" s="78"/>
      <c r="I36" s="78"/>
      <c r="J36" s="78">
        <f>SUM(J5:J34)</f>
        <v>-22880065</v>
      </c>
      <c r="K36" s="78"/>
      <c r="L36" s="78"/>
      <c r="M36" s="78"/>
      <c r="N36" s="78"/>
      <c r="O36" s="78">
        <f>SUM(O5:O34)</f>
        <v>-86299457</v>
      </c>
      <c r="P36" s="78"/>
      <c r="Q36" s="78"/>
      <c r="R36" s="78"/>
      <c r="S36" s="78"/>
      <c r="T36" s="78">
        <f>SUM(T5:T34)</f>
        <v>-20899</v>
      </c>
      <c r="U36" s="78"/>
      <c r="V36" s="78"/>
      <c r="W36" s="78"/>
      <c r="X36" s="78"/>
      <c r="Y36" s="78">
        <f>SUM(Y5:Y34)</f>
        <v>-2829237</v>
      </c>
      <c r="Z36" s="78"/>
      <c r="AA36" s="78"/>
      <c r="AB36" s="78"/>
      <c r="AC36" s="78"/>
      <c r="AD36" s="78">
        <f>SUM(AD5:AD34)</f>
        <v>-17304</v>
      </c>
      <c r="AE36" s="78"/>
      <c r="AF36" s="78"/>
      <c r="AG36" s="78"/>
      <c r="AH36" s="78"/>
      <c r="AI36" s="78">
        <f>SUM(AI5:AI34)</f>
        <v>-771494</v>
      </c>
      <c r="AJ36" s="78"/>
      <c r="AK36" s="78"/>
      <c r="AL36" s="78"/>
      <c r="AM36" s="78"/>
      <c r="AN36" s="78">
        <f>SUM(AN5:AN34)</f>
        <v>-79920</v>
      </c>
      <c r="AO36" s="78"/>
      <c r="AP36" s="78"/>
      <c r="AQ36" s="78"/>
      <c r="AR36" s="78"/>
      <c r="AS36" s="78">
        <f>SUM(AS5:AS34)</f>
        <v>-18111</v>
      </c>
      <c r="AT36" s="78"/>
      <c r="AU36" s="78"/>
      <c r="AV36" s="78"/>
      <c r="AW36" s="78"/>
      <c r="AX36" s="78">
        <f>SUM(AX5:AX34)</f>
        <v>-520127</v>
      </c>
      <c r="AY36" s="78"/>
      <c r="AZ36" s="78"/>
      <c r="BA36" s="78"/>
      <c r="BB36" s="78"/>
      <c r="BC36" s="78">
        <f>SUM(BC5:BC34)</f>
        <v>-68608</v>
      </c>
      <c r="BD36" s="78"/>
      <c r="BE36" s="78"/>
      <c r="BF36" s="78"/>
      <c r="BG36" s="78"/>
      <c r="BH36" s="78">
        <f>SUM(BH5:BH34)</f>
        <v>-78563</v>
      </c>
      <c r="BI36" s="78"/>
      <c r="BJ36" s="78"/>
      <c r="BK36" s="78"/>
      <c r="BL36" s="78"/>
      <c r="BM36" s="78">
        <f>SUM(BM5:BM34)</f>
        <v>-12247</v>
      </c>
      <c r="BN36" s="78"/>
      <c r="BO36" s="78"/>
      <c r="BP36" s="78"/>
      <c r="BQ36" s="78"/>
      <c r="BR36" s="78">
        <f>SUM(BR5:BR34)</f>
        <v>-69843</v>
      </c>
      <c r="BS36" s="78"/>
      <c r="BT36" s="78"/>
      <c r="BU36" s="78"/>
      <c r="BV36" s="78"/>
      <c r="BW36" s="78">
        <f>SUM(BW5:BW34)</f>
        <v>-38520</v>
      </c>
      <c r="BX36" s="78"/>
      <c r="BY36" s="78"/>
      <c r="BZ36" s="78"/>
      <c r="CA36" s="78"/>
      <c r="CB36" s="78">
        <f>SUM(CB5:CB34)</f>
        <v>-53178</v>
      </c>
      <c r="CC36" s="78"/>
      <c r="CD36" s="78"/>
      <c r="CE36" s="78"/>
      <c r="CF36" s="78"/>
      <c r="CG36" s="78">
        <f>SUM(CG5:CG34)</f>
        <v>-15858</v>
      </c>
      <c r="CH36" s="78"/>
      <c r="CI36" s="78"/>
      <c r="CJ36" s="78"/>
      <c r="CK36" s="78"/>
      <c r="CL36" s="78">
        <f>SUM(CL5:CL34)</f>
        <v>-36130</v>
      </c>
      <c r="CM36" s="78"/>
      <c r="CN36" s="78"/>
      <c r="CO36" s="78"/>
      <c r="CP36" s="78"/>
      <c r="CQ36" s="137">
        <f>SUM(CQ5:CQ34)</f>
        <v>-28858</v>
      </c>
      <c r="CR36" s="78"/>
      <c r="CS36" s="78"/>
      <c r="CT36" s="78"/>
      <c r="CU36" s="78"/>
      <c r="CV36" s="93">
        <f>SUM(CV5:CV34)</f>
        <v>-25486</v>
      </c>
      <c r="CW36" s="78"/>
      <c r="CX36" s="78"/>
      <c r="CY36" s="78"/>
      <c r="CZ36" s="78"/>
      <c r="DA36" s="93">
        <f>SUM(DA5:DA34)</f>
        <v>-42103</v>
      </c>
      <c r="DB36" s="78"/>
      <c r="DC36" s="78"/>
      <c r="DD36" s="78"/>
      <c r="DE36" s="78"/>
      <c r="DF36" s="93">
        <f>SUM(DF5:DF34)</f>
        <v>-31530</v>
      </c>
      <c r="DG36" s="78"/>
      <c r="DH36" s="78"/>
      <c r="DI36" s="78"/>
      <c r="DJ36" s="78"/>
      <c r="DK36" s="93">
        <f>SUM(DK5:DK34)</f>
        <v>-29237</v>
      </c>
      <c r="DL36" s="78"/>
      <c r="DM36" s="78"/>
      <c r="DN36" s="78"/>
      <c r="DO36" s="78"/>
      <c r="DP36" s="93">
        <f>SUM(DP5:DP34)</f>
        <v>-19542</v>
      </c>
      <c r="DQ36" s="78"/>
      <c r="DR36" s="78"/>
      <c r="DS36" s="78"/>
      <c r="DT36" s="78"/>
      <c r="DU36" s="93">
        <f>SUM(DU5:DU34)</f>
        <v>-52606</v>
      </c>
      <c r="DV36" s="78"/>
      <c r="DW36" s="78"/>
      <c r="DX36" s="78"/>
      <c r="DY36" s="78"/>
      <c r="DZ36" s="93">
        <f>SUM(DZ5:DZ34)</f>
        <v>-36398</v>
      </c>
      <c r="EA36" s="78"/>
      <c r="EB36" s="78"/>
      <c r="EC36" s="78"/>
      <c r="ED36" s="78"/>
      <c r="EE36" s="93">
        <f>SUM(EE5:EE34)</f>
        <v>-11211</v>
      </c>
      <c r="EF36" s="78"/>
      <c r="EG36" s="78"/>
      <c r="EH36" s="78"/>
      <c r="EI36" s="78"/>
      <c r="EJ36" s="93">
        <f>SUM(EJ5:EJ34)</f>
        <v>-98396</v>
      </c>
      <c r="EK36" s="78"/>
      <c r="EL36" s="78"/>
      <c r="EM36" s="78"/>
      <c r="EN36" s="78"/>
      <c r="EO36" s="93">
        <f>SUM(EO5:EO34)</f>
        <v>-19790</v>
      </c>
      <c r="EP36" s="78"/>
      <c r="EQ36" s="78"/>
      <c r="ER36" s="78"/>
      <c r="ES36" s="78"/>
      <c r="ET36" s="93">
        <f>SUM(ET5:ET34)</f>
        <v>-39170</v>
      </c>
      <c r="EU36" s="78"/>
      <c r="EV36" s="78"/>
    </row>
    <row r="37" spans="1:152" ht="13.5" thickTop="1" x14ac:dyDescent="0.2"/>
  </sheetData>
  <mergeCells count="32">
    <mergeCell ref="EM3:EQ3"/>
    <mergeCell ref="ER3:EV3"/>
    <mergeCell ref="BU3:BY3"/>
    <mergeCell ref="BZ3:CD3"/>
    <mergeCell ref="CJ3:CN3"/>
    <mergeCell ref="CO3:CS3"/>
    <mergeCell ref="CT3:CX3"/>
    <mergeCell ref="CY3:DC3"/>
    <mergeCell ref="CE3:CI3"/>
    <mergeCell ref="DX3:EB3"/>
    <mergeCell ref="DD3:DH3"/>
    <mergeCell ref="DI3:DM3"/>
    <mergeCell ref="DN3:DR3"/>
    <mergeCell ref="DS3:DW3"/>
    <mergeCell ref="BA3:BE3"/>
    <mergeCell ref="BK3:BO3"/>
    <mergeCell ref="BF3:BJ3"/>
    <mergeCell ref="EC3:EG3"/>
    <mergeCell ref="EH3:EL3"/>
    <mergeCell ref="BP3:BT3"/>
    <mergeCell ref="AQ3:AU3"/>
    <mergeCell ref="AV3:AZ3"/>
    <mergeCell ref="A1:C1"/>
    <mergeCell ref="C3:G3"/>
    <mergeCell ref="H3:L3"/>
    <mergeCell ref="M3:Q3"/>
    <mergeCell ref="R3:V3"/>
    <mergeCell ref="W3:AA3"/>
    <mergeCell ref="AB3:AF3"/>
    <mergeCell ref="AG3:AK3"/>
    <mergeCell ref="AL3:AP3"/>
    <mergeCell ref="D1:I1"/>
  </mergeCells>
  <pageMargins left="0.7" right="0.7" top="0.75" bottom="0.75" header="0.3" footer="0.3"/>
  <pageSetup scale="74" orientation="landscape" r:id="rId1"/>
  <colBreaks count="1" manualBreakCount="1">
    <brk id="37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CK38"/>
  <sheetViews>
    <sheetView topLeftCell="BM1" zoomScale="80" zoomScaleNormal="80" workbookViewId="0">
      <pane ySplit="5" topLeftCell="A6" activePane="bottomLeft" state="frozen"/>
      <selection activeCell="C1" sqref="C1"/>
      <selection pane="bottomLeft" activeCell="CK22" sqref="CK22"/>
    </sheetView>
  </sheetViews>
  <sheetFormatPr defaultColWidth="9.140625" defaultRowHeight="12.75" x14ac:dyDescent="0.2"/>
  <cols>
    <col min="1" max="1" width="4.7109375" style="171" customWidth="1"/>
    <col min="2" max="2" width="13.5703125" style="171" customWidth="1"/>
    <col min="3" max="3" width="8.85546875" style="171" customWidth="1"/>
    <col min="4" max="4" width="10.5703125" style="171" customWidth="1"/>
    <col min="5" max="5" width="2" style="175" customWidth="1"/>
    <col min="6" max="6" width="5.140625" style="171" customWidth="1"/>
    <col min="7" max="7" width="13.5703125" style="171" customWidth="1"/>
    <col min="8" max="8" width="10" style="171" customWidth="1"/>
    <col min="9" max="9" width="14" style="171" customWidth="1"/>
    <col min="10" max="10" width="2.85546875" style="175" customWidth="1"/>
    <col min="11" max="11" width="5.42578125" style="171" customWidth="1"/>
    <col min="12" max="13" width="13.5703125" style="171" customWidth="1"/>
    <col min="14" max="14" width="12.140625" style="171" customWidth="1"/>
    <col min="15" max="15" width="2.85546875" style="175" customWidth="1"/>
    <col min="16" max="16" width="5.85546875" style="171" customWidth="1"/>
    <col min="17" max="17" width="13.5703125" style="171" customWidth="1"/>
    <col min="18" max="18" width="8.85546875" style="171" customWidth="1"/>
    <col min="19" max="19" width="11.140625" style="171" customWidth="1"/>
    <col min="20" max="20" width="2.42578125" style="175" customWidth="1"/>
    <col min="21" max="21" width="6.42578125" style="147" customWidth="1"/>
    <col min="22" max="22" width="10.85546875" style="171" customWidth="1"/>
    <col min="23" max="23" width="13" style="174" bestFit="1" customWidth="1"/>
    <col min="24" max="24" width="11.85546875" style="147" customWidth="1"/>
    <col min="25" max="25" width="9.140625" style="147"/>
    <col min="26" max="26" width="7.7109375" style="147" customWidth="1"/>
    <col min="27" max="27" width="11.140625" style="195" customWidth="1"/>
    <col min="28" max="28" width="9.140625" style="195"/>
    <col min="29" max="29" width="11.42578125" style="195" customWidth="1"/>
    <col min="30" max="30" width="10.85546875" style="195" bestFit="1" customWidth="1"/>
    <col min="31" max="88" width="9.140625" style="195"/>
    <col min="89" max="16384" width="9.140625" style="147"/>
  </cols>
  <sheetData>
    <row r="1" spans="1:89" ht="12.75" customHeight="1" x14ac:dyDescent="0.2">
      <c r="A1" s="376" t="s">
        <v>122</v>
      </c>
      <c r="B1" s="376"/>
      <c r="C1" s="376"/>
      <c r="D1" s="376"/>
      <c r="E1" s="376"/>
      <c r="F1" s="376"/>
      <c r="G1" s="376"/>
      <c r="H1" s="376"/>
      <c r="I1" s="376"/>
      <c r="J1" s="376"/>
      <c r="K1" s="376"/>
      <c r="L1" s="376"/>
      <c r="M1" s="376"/>
      <c r="N1" s="376"/>
      <c r="O1" s="376"/>
      <c r="P1" s="376"/>
      <c r="Q1" s="376"/>
      <c r="R1" s="376"/>
      <c r="S1" s="376"/>
      <c r="T1" s="376"/>
      <c r="U1" s="376"/>
      <c r="V1" s="376"/>
      <c r="W1" s="376"/>
      <c r="X1" s="376"/>
      <c r="Z1" s="374" t="s">
        <v>160</v>
      </c>
      <c r="AA1" s="374"/>
      <c r="AB1" s="374"/>
      <c r="AC1" s="374"/>
      <c r="AD1" s="374"/>
      <c r="AE1" s="374"/>
      <c r="AF1" s="374"/>
      <c r="AG1" s="374"/>
      <c r="AH1" s="374"/>
      <c r="AI1" s="374"/>
      <c r="AJ1" s="374"/>
      <c r="AK1" s="374"/>
      <c r="AL1" s="374"/>
      <c r="AM1" s="374"/>
      <c r="AN1" s="374"/>
      <c r="AO1" s="374"/>
      <c r="AP1" s="374"/>
      <c r="AQ1" s="374"/>
      <c r="AR1" s="374"/>
      <c r="AS1" s="374"/>
      <c r="AT1" s="374"/>
      <c r="AU1" s="374"/>
      <c r="AV1" s="374"/>
      <c r="AW1" s="374"/>
      <c r="AX1" s="374"/>
      <c r="AY1" s="374"/>
      <c r="AZ1" s="374"/>
      <c r="BA1" s="374"/>
      <c r="BB1" s="374"/>
      <c r="BC1" s="374"/>
      <c r="BD1" s="374"/>
      <c r="BE1" s="374"/>
      <c r="BF1" s="374"/>
      <c r="BG1" s="374"/>
      <c r="BH1" s="374"/>
      <c r="BI1" s="374"/>
      <c r="BJ1" s="374"/>
      <c r="BK1" s="374"/>
      <c r="BL1" s="374"/>
      <c r="BM1" s="374"/>
      <c r="BN1" s="374"/>
      <c r="BO1" s="374"/>
      <c r="BP1" s="374"/>
      <c r="BQ1" s="374"/>
      <c r="BR1" s="374"/>
      <c r="BS1" s="374"/>
      <c r="BT1" s="374"/>
      <c r="BU1" s="374"/>
      <c r="BV1" s="374"/>
      <c r="BW1" s="374"/>
      <c r="BX1" s="374"/>
      <c r="BY1" s="374"/>
      <c r="BZ1" s="374"/>
      <c r="CA1" s="374"/>
      <c r="CB1" s="374"/>
      <c r="CC1" s="374"/>
      <c r="CD1" s="374"/>
      <c r="CE1" s="374"/>
      <c r="CF1" s="374"/>
      <c r="CG1" s="374"/>
      <c r="CH1" s="374"/>
      <c r="CI1" s="374"/>
      <c r="CJ1" s="374"/>
      <c r="CK1" s="374"/>
    </row>
    <row r="2" spans="1:89" s="148" customFormat="1" ht="24" customHeight="1" x14ac:dyDescent="0.2">
      <c r="A2" s="376"/>
      <c r="B2" s="376"/>
      <c r="C2" s="376"/>
      <c r="D2" s="376"/>
      <c r="E2" s="376"/>
      <c r="F2" s="376"/>
      <c r="G2" s="376"/>
      <c r="H2" s="376"/>
      <c r="I2" s="376"/>
      <c r="J2" s="376"/>
      <c r="K2" s="376"/>
      <c r="L2" s="376"/>
      <c r="M2" s="376"/>
      <c r="N2" s="376"/>
      <c r="O2" s="376"/>
      <c r="P2" s="376"/>
      <c r="Q2" s="376"/>
      <c r="R2" s="376"/>
      <c r="S2" s="376"/>
      <c r="T2" s="376"/>
      <c r="U2" s="376"/>
      <c r="V2" s="376"/>
      <c r="W2" s="376"/>
      <c r="X2" s="376"/>
      <c r="Z2" s="374"/>
      <c r="AA2" s="374"/>
      <c r="AB2" s="374"/>
      <c r="AC2" s="374"/>
      <c r="AD2" s="374"/>
      <c r="AE2" s="374"/>
      <c r="AF2" s="374"/>
      <c r="AG2" s="374"/>
      <c r="AH2" s="374"/>
      <c r="AI2" s="374"/>
      <c r="AJ2" s="374"/>
      <c r="AK2" s="374"/>
      <c r="AL2" s="374"/>
      <c r="AM2" s="374"/>
      <c r="AN2" s="374"/>
      <c r="AO2" s="374"/>
      <c r="AP2" s="374"/>
      <c r="AQ2" s="374"/>
      <c r="AR2" s="374"/>
      <c r="AS2" s="374"/>
      <c r="AT2" s="374"/>
      <c r="AU2" s="374"/>
      <c r="AV2" s="374"/>
      <c r="AW2" s="374"/>
      <c r="AX2" s="374"/>
      <c r="AY2" s="374"/>
      <c r="AZ2" s="374"/>
      <c r="BA2" s="374"/>
      <c r="BB2" s="374"/>
      <c r="BC2" s="374"/>
      <c r="BD2" s="374"/>
      <c r="BE2" s="374"/>
      <c r="BF2" s="374"/>
      <c r="BG2" s="374"/>
      <c r="BH2" s="374"/>
      <c r="BI2" s="374"/>
      <c r="BJ2" s="374"/>
      <c r="BK2" s="374"/>
      <c r="BL2" s="374"/>
      <c r="BM2" s="374"/>
      <c r="BN2" s="374"/>
      <c r="BO2" s="374"/>
      <c r="BP2" s="374"/>
      <c r="BQ2" s="374"/>
      <c r="BR2" s="374"/>
      <c r="BS2" s="374"/>
      <c r="BT2" s="374"/>
      <c r="BU2" s="374"/>
      <c r="BV2" s="374"/>
      <c r="BW2" s="374"/>
      <c r="BX2" s="374"/>
      <c r="BY2" s="374"/>
      <c r="BZ2" s="374"/>
      <c r="CA2" s="374"/>
      <c r="CB2" s="374"/>
      <c r="CC2" s="374"/>
      <c r="CD2" s="374"/>
      <c r="CE2" s="374"/>
      <c r="CF2" s="374"/>
      <c r="CG2" s="374"/>
      <c r="CH2" s="374"/>
      <c r="CI2" s="374"/>
      <c r="CJ2" s="374"/>
      <c r="CK2" s="374"/>
    </row>
    <row r="3" spans="1:89" s="171" customFormat="1" ht="24.75" customHeight="1" thickBot="1" x14ac:dyDescent="0.25">
      <c r="A3" s="377" t="s">
        <v>3</v>
      </c>
      <c r="B3" s="377"/>
      <c r="C3" s="244">
        <v>44378</v>
      </c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Z3" s="375" t="s">
        <v>161</v>
      </c>
      <c r="AA3" s="375"/>
      <c r="AB3" s="375"/>
      <c r="AC3" s="375"/>
      <c r="AD3" s="245">
        <v>44360</v>
      </c>
      <c r="AE3" s="246"/>
      <c r="AF3" s="246"/>
      <c r="AG3" s="246"/>
      <c r="AH3" s="246"/>
      <c r="AI3" s="246"/>
      <c r="AJ3" s="246"/>
      <c r="AK3" s="246"/>
      <c r="AL3" s="246"/>
      <c r="AM3" s="246"/>
      <c r="AN3" s="246"/>
      <c r="AO3" s="246"/>
      <c r="AP3" s="246"/>
      <c r="AQ3" s="246"/>
      <c r="AR3" s="246"/>
      <c r="AS3" s="246"/>
      <c r="AT3" s="246"/>
      <c r="AU3" s="246"/>
      <c r="AV3" s="246"/>
      <c r="AW3" s="246"/>
      <c r="AX3" s="246"/>
      <c r="AY3" s="246"/>
      <c r="AZ3" s="246"/>
      <c r="BA3" s="246"/>
      <c r="BB3" s="246"/>
      <c r="BC3" s="246"/>
      <c r="BD3" s="246"/>
      <c r="BE3" s="246"/>
      <c r="BF3" s="246"/>
      <c r="BG3" s="246"/>
      <c r="BH3" s="246"/>
      <c r="BI3" s="246"/>
      <c r="BJ3" s="246"/>
      <c r="BK3" s="246"/>
      <c r="BL3" s="246"/>
      <c r="BM3" s="246"/>
      <c r="BN3" s="246"/>
      <c r="BO3" s="246"/>
      <c r="BP3" s="246"/>
      <c r="BQ3" s="246"/>
      <c r="BR3" s="246"/>
      <c r="BS3" s="246"/>
      <c r="BT3" s="246"/>
      <c r="BU3" s="246"/>
      <c r="BV3" s="246"/>
      <c r="BW3" s="246"/>
      <c r="BX3" s="246"/>
      <c r="BY3" s="246"/>
      <c r="BZ3" s="246"/>
      <c r="CA3" s="246"/>
      <c r="CB3" s="246"/>
      <c r="CC3" s="246"/>
      <c r="CD3" s="246"/>
      <c r="CE3" s="246"/>
      <c r="CF3" s="246"/>
      <c r="CG3" s="246"/>
      <c r="CH3" s="246"/>
      <c r="CI3" s="246"/>
      <c r="CJ3" s="246"/>
      <c r="CK3" s="246"/>
    </row>
    <row r="4" spans="1:89" ht="15" customHeight="1" x14ac:dyDescent="0.2">
      <c r="A4" s="378" t="s">
        <v>123</v>
      </c>
      <c r="B4" s="379"/>
      <c r="C4" s="379"/>
      <c r="D4" s="380"/>
      <c r="E4" s="150"/>
      <c r="F4" s="378" t="s">
        <v>124</v>
      </c>
      <c r="G4" s="379"/>
      <c r="H4" s="379"/>
      <c r="I4" s="380"/>
      <c r="J4" s="150"/>
      <c r="K4" s="378" t="s">
        <v>125</v>
      </c>
      <c r="L4" s="379"/>
      <c r="M4" s="379"/>
      <c r="N4" s="380"/>
      <c r="O4" s="150"/>
      <c r="P4" s="378" t="s">
        <v>126</v>
      </c>
      <c r="Q4" s="379"/>
      <c r="R4" s="379"/>
      <c r="S4" s="380"/>
      <c r="T4" s="150"/>
      <c r="U4" s="381" t="s">
        <v>127</v>
      </c>
      <c r="V4" s="382"/>
      <c r="W4" s="382"/>
      <c r="X4" s="383"/>
      <c r="Z4" s="371" t="s">
        <v>138</v>
      </c>
      <c r="AA4" s="372"/>
      <c r="AB4" s="372"/>
      <c r="AC4" s="373"/>
      <c r="AD4" s="371" t="s">
        <v>140</v>
      </c>
      <c r="AE4" s="372"/>
      <c r="AF4" s="373"/>
      <c r="AG4" s="371" t="s">
        <v>141</v>
      </c>
      <c r="AH4" s="372"/>
      <c r="AI4" s="373"/>
      <c r="AJ4" s="371" t="s">
        <v>142</v>
      </c>
      <c r="AK4" s="372"/>
      <c r="AL4" s="373"/>
      <c r="AM4" s="371" t="s">
        <v>143</v>
      </c>
      <c r="AN4" s="372"/>
      <c r="AO4" s="373"/>
      <c r="AP4" s="371" t="s">
        <v>144</v>
      </c>
      <c r="AQ4" s="372"/>
      <c r="AR4" s="373"/>
      <c r="AS4" s="371" t="s">
        <v>145</v>
      </c>
      <c r="AT4" s="372"/>
      <c r="AU4" s="373"/>
      <c r="AV4" s="371" t="s">
        <v>146</v>
      </c>
      <c r="AW4" s="372"/>
      <c r="AX4" s="373"/>
      <c r="AY4" s="371" t="s">
        <v>147</v>
      </c>
      <c r="AZ4" s="372"/>
      <c r="BA4" s="373"/>
      <c r="BB4" s="371" t="s">
        <v>148</v>
      </c>
      <c r="BC4" s="372"/>
      <c r="BD4" s="373"/>
      <c r="BE4" s="371" t="s">
        <v>149</v>
      </c>
      <c r="BF4" s="372"/>
      <c r="BG4" s="373"/>
      <c r="BH4" s="371" t="s">
        <v>150</v>
      </c>
      <c r="BI4" s="372"/>
      <c r="BJ4" s="373"/>
      <c r="BK4" s="371" t="s">
        <v>151</v>
      </c>
      <c r="BL4" s="372"/>
      <c r="BM4" s="373"/>
      <c r="BN4" s="371" t="s">
        <v>152</v>
      </c>
      <c r="BO4" s="372"/>
      <c r="BP4" s="373"/>
      <c r="BQ4" s="371" t="s">
        <v>153</v>
      </c>
      <c r="BR4" s="372"/>
      <c r="BS4" s="373"/>
      <c r="BT4" s="371" t="s">
        <v>154</v>
      </c>
      <c r="BU4" s="372"/>
      <c r="BV4" s="373"/>
      <c r="BW4" s="371" t="s">
        <v>155</v>
      </c>
      <c r="BX4" s="372"/>
      <c r="BY4" s="373"/>
      <c r="BZ4" s="371" t="s">
        <v>156</v>
      </c>
      <c r="CA4" s="372"/>
      <c r="CB4" s="373"/>
      <c r="CC4" s="371" t="s">
        <v>157</v>
      </c>
      <c r="CD4" s="372"/>
      <c r="CE4" s="373"/>
      <c r="CF4" s="371" t="s">
        <v>158</v>
      </c>
      <c r="CG4" s="372"/>
      <c r="CH4" s="373"/>
      <c r="CI4" s="371" t="s">
        <v>159</v>
      </c>
      <c r="CJ4" s="372"/>
      <c r="CK4" s="373"/>
    </row>
    <row r="5" spans="1:89" ht="36" customHeight="1" x14ac:dyDescent="0.2">
      <c r="A5" s="151" t="s">
        <v>5</v>
      </c>
      <c r="B5" s="151" t="s">
        <v>19</v>
      </c>
      <c r="C5" s="151" t="s">
        <v>20</v>
      </c>
      <c r="D5" s="152" t="s">
        <v>128</v>
      </c>
      <c r="E5" s="152"/>
      <c r="F5" s="151" t="s">
        <v>5</v>
      </c>
      <c r="G5" s="151" t="s">
        <v>19</v>
      </c>
      <c r="H5" s="151" t="s">
        <v>20</v>
      </c>
      <c r="I5" s="152" t="s">
        <v>128</v>
      </c>
      <c r="J5" s="152"/>
      <c r="K5" s="151" t="s">
        <v>5</v>
      </c>
      <c r="L5" s="151" t="s">
        <v>19</v>
      </c>
      <c r="M5" s="151" t="s">
        <v>20</v>
      </c>
      <c r="N5" s="152" t="s">
        <v>128</v>
      </c>
      <c r="O5" s="152"/>
      <c r="P5" s="151" t="s">
        <v>5</v>
      </c>
      <c r="Q5" s="151" t="s">
        <v>19</v>
      </c>
      <c r="R5" s="151" t="s">
        <v>20</v>
      </c>
      <c r="S5" s="152" t="s">
        <v>128</v>
      </c>
      <c r="T5" s="152"/>
      <c r="U5" s="153" t="s">
        <v>42</v>
      </c>
      <c r="V5" s="154" t="s">
        <v>13</v>
      </c>
      <c r="W5" s="155" t="s">
        <v>129</v>
      </c>
      <c r="X5" s="153" t="s">
        <v>74</v>
      </c>
      <c r="Z5" s="238" t="s">
        <v>5</v>
      </c>
      <c r="AA5" s="237" t="s">
        <v>54</v>
      </c>
      <c r="AB5" s="237" t="s">
        <v>55</v>
      </c>
      <c r="AC5" s="239" t="s">
        <v>139</v>
      </c>
      <c r="AD5" s="238" t="s">
        <v>54</v>
      </c>
      <c r="AE5" s="237" t="s">
        <v>55</v>
      </c>
      <c r="AF5" s="239" t="s">
        <v>139</v>
      </c>
      <c r="AG5" s="238" t="s">
        <v>54</v>
      </c>
      <c r="AH5" s="237" t="s">
        <v>55</v>
      </c>
      <c r="AI5" s="239" t="s">
        <v>139</v>
      </c>
      <c r="AJ5" s="238" t="s">
        <v>54</v>
      </c>
      <c r="AK5" s="237" t="s">
        <v>55</v>
      </c>
      <c r="AL5" s="239" t="s">
        <v>139</v>
      </c>
      <c r="AM5" s="238" t="s">
        <v>54</v>
      </c>
      <c r="AN5" s="237" t="s">
        <v>55</v>
      </c>
      <c r="AO5" s="239" t="s">
        <v>139</v>
      </c>
      <c r="AP5" s="238" t="s">
        <v>54</v>
      </c>
      <c r="AQ5" s="237" t="s">
        <v>55</v>
      </c>
      <c r="AR5" s="239" t="s">
        <v>139</v>
      </c>
      <c r="AS5" s="238" t="s">
        <v>54</v>
      </c>
      <c r="AT5" s="237" t="s">
        <v>55</v>
      </c>
      <c r="AU5" s="239" t="s">
        <v>139</v>
      </c>
      <c r="AV5" s="238" t="s">
        <v>54</v>
      </c>
      <c r="AW5" s="237" t="s">
        <v>55</v>
      </c>
      <c r="AX5" s="239" t="s">
        <v>139</v>
      </c>
      <c r="AY5" s="238" t="s">
        <v>54</v>
      </c>
      <c r="AZ5" s="237" t="s">
        <v>55</v>
      </c>
      <c r="BA5" s="239" t="s">
        <v>139</v>
      </c>
      <c r="BB5" s="238" t="s">
        <v>54</v>
      </c>
      <c r="BC5" s="237" t="s">
        <v>55</v>
      </c>
      <c r="BD5" s="239" t="s">
        <v>139</v>
      </c>
      <c r="BE5" s="238" t="s">
        <v>54</v>
      </c>
      <c r="BF5" s="237" t="s">
        <v>55</v>
      </c>
      <c r="BG5" s="239" t="s">
        <v>139</v>
      </c>
      <c r="BH5" s="238" t="s">
        <v>54</v>
      </c>
      <c r="BI5" s="237" t="s">
        <v>55</v>
      </c>
      <c r="BJ5" s="239" t="s">
        <v>139</v>
      </c>
      <c r="BK5" s="238" t="s">
        <v>54</v>
      </c>
      <c r="BL5" s="237" t="s">
        <v>55</v>
      </c>
      <c r="BM5" s="239" t="s">
        <v>139</v>
      </c>
      <c r="BN5" s="238" t="s">
        <v>54</v>
      </c>
      <c r="BO5" s="237" t="s">
        <v>55</v>
      </c>
      <c r="BP5" s="239" t="s">
        <v>139</v>
      </c>
      <c r="BQ5" s="238" t="s">
        <v>54</v>
      </c>
      <c r="BR5" s="237" t="s">
        <v>55</v>
      </c>
      <c r="BS5" s="239" t="s">
        <v>139</v>
      </c>
      <c r="BT5" s="238" t="s">
        <v>54</v>
      </c>
      <c r="BU5" s="237" t="s">
        <v>55</v>
      </c>
      <c r="BV5" s="239" t="s">
        <v>139</v>
      </c>
      <c r="BW5" s="238" t="s">
        <v>54</v>
      </c>
      <c r="BX5" s="237" t="s">
        <v>55</v>
      </c>
      <c r="BY5" s="239" t="s">
        <v>139</v>
      </c>
      <c r="BZ5" s="238" t="s">
        <v>54</v>
      </c>
      <c r="CA5" s="237" t="s">
        <v>55</v>
      </c>
      <c r="CB5" s="239" t="s">
        <v>139</v>
      </c>
      <c r="CC5" s="238" t="s">
        <v>54</v>
      </c>
      <c r="CD5" s="237" t="s">
        <v>55</v>
      </c>
      <c r="CE5" s="239" t="s">
        <v>139</v>
      </c>
      <c r="CF5" s="238" t="s">
        <v>54</v>
      </c>
      <c r="CG5" s="237" t="s">
        <v>55</v>
      </c>
      <c r="CH5" s="239" t="s">
        <v>139</v>
      </c>
      <c r="CI5" s="238" t="s">
        <v>54</v>
      </c>
      <c r="CJ5" s="237" t="s">
        <v>55</v>
      </c>
      <c r="CK5" s="239" t="s">
        <v>139</v>
      </c>
    </row>
    <row r="6" spans="1:89" ht="15" customHeight="1" x14ac:dyDescent="0.2">
      <c r="A6" s="166">
        <v>1</v>
      </c>
      <c r="B6" s="156">
        <v>10958</v>
      </c>
      <c r="C6" s="156">
        <v>11032</v>
      </c>
      <c r="D6" s="157">
        <v>34</v>
      </c>
      <c r="E6" s="222"/>
      <c r="F6" s="166">
        <v>1</v>
      </c>
      <c r="G6" s="164">
        <v>5867</v>
      </c>
      <c r="H6" s="156">
        <v>5974</v>
      </c>
      <c r="I6" s="157">
        <f>H6-G6</f>
        <v>107</v>
      </c>
      <c r="J6" s="222"/>
      <c r="K6" s="166">
        <v>1</v>
      </c>
      <c r="L6" s="164">
        <v>746070</v>
      </c>
      <c r="M6" s="156">
        <v>746204</v>
      </c>
      <c r="N6" s="157">
        <f>M6-L6</f>
        <v>134</v>
      </c>
      <c r="O6" s="159"/>
      <c r="P6" s="166">
        <v>1</v>
      </c>
      <c r="Q6" s="164">
        <v>206112</v>
      </c>
      <c r="R6" s="156">
        <v>206112</v>
      </c>
      <c r="S6" s="157">
        <f>R6-Q6</f>
        <v>0</v>
      </c>
      <c r="T6" s="158"/>
      <c r="U6" s="160">
        <v>1</v>
      </c>
      <c r="V6" s="249">
        <f>SUM(S6+N6+I6+D6)</f>
        <v>275</v>
      </c>
      <c r="W6" s="161">
        <f>'Maldives at LG Daily'!I5</f>
        <v>18.399999999999999</v>
      </c>
      <c r="X6" s="162"/>
      <c r="Z6" s="242">
        <v>1</v>
      </c>
      <c r="AA6" s="165">
        <v>36972</v>
      </c>
      <c r="AB6" s="165">
        <v>36997</v>
      </c>
      <c r="AC6" s="240">
        <f>AB6-AA6</f>
        <v>25</v>
      </c>
      <c r="AD6" s="165">
        <v>7876</v>
      </c>
      <c r="AE6" s="165">
        <v>7885</v>
      </c>
      <c r="AF6" s="240">
        <f>AE6-AD6</f>
        <v>9</v>
      </c>
      <c r="AG6" s="165">
        <v>5645</v>
      </c>
      <c r="AH6" s="165">
        <v>5674</v>
      </c>
      <c r="AI6" s="240">
        <f>AH6-AG6</f>
        <v>29</v>
      </c>
      <c r="AJ6" s="165">
        <v>13833</v>
      </c>
      <c r="AK6" s="165">
        <v>13902</v>
      </c>
      <c r="AL6" s="240">
        <f t="shared" ref="AL6:AL36" si="0">AK6-AJ6</f>
        <v>69</v>
      </c>
      <c r="AM6" s="165">
        <v>31888</v>
      </c>
      <c r="AN6" s="165">
        <v>31853</v>
      </c>
      <c r="AO6" s="240">
        <f t="shared" ref="AO6:AO36" si="1">AN6-AM6</f>
        <v>-35</v>
      </c>
      <c r="AP6" s="165">
        <v>6004</v>
      </c>
      <c r="AQ6" s="165">
        <v>6018</v>
      </c>
      <c r="AR6" s="240">
        <f t="shared" ref="AR6:AR36" si="2">AQ6-AP6</f>
        <v>14</v>
      </c>
      <c r="AS6" s="165">
        <v>21868</v>
      </c>
      <c r="AT6" s="165">
        <v>21910</v>
      </c>
      <c r="AU6" s="240">
        <f t="shared" ref="AU6:AU36" si="3">AT6-AS6</f>
        <v>42</v>
      </c>
      <c r="AV6" s="165">
        <v>6004</v>
      </c>
      <c r="AW6" s="165">
        <v>6023</v>
      </c>
      <c r="AX6" s="240">
        <f t="shared" ref="AX6:AX36" si="4">AW6-AV6</f>
        <v>19</v>
      </c>
      <c r="AY6" s="165">
        <v>3340</v>
      </c>
      <c r="AZ6" s="165">
        <v>3344</v>
      </c>
      <c r="BA6" s="240">
        <f t="shared" ref="BA6:BA36" si="5">AZ6-AY6</f>
        <v>4</v>
      </c>
      <c r="BB6" s="165">
        <v>1522</v>
      </c>
      <c r="BC6" s="165">
        <v>1522</v>
      </c>
      <c r="BD6" s="240">
        <f t="shared" ref="BD6:BD36" si="6">BC6-BB6</f>
        <v>0</v>
      </c>
      <c r="BE6" s="165">
        <v>26579</v>
      </c>
      <c r="BF6" s="165">
        <v>26589</v>
      </c>
      <c r="BG6" s="240">
        <f t="shared" ref="BG6:BG36" si="7">BF6-BE6</f>
        <v>10</v>
      </c>
      <c r="BH6" s="165">
        <v>2400</v>
      </c>
      <c r="BI6" s="165">
        <v>2393</v>
      </c>
      <c r="BJ6" s="240">
        <f t="shared" ref="BJ6:BJ36" si="8">BI6-BH6</f>
        <v>-7</v>
      </c>
      <c r="BK6" s="165">
        <v>71292</v>
      </c>
      <c r="BL6" s="165">
        <v>71344</v>
      </c>
      <c r="BM6" s="240">
        <f t="shared" ref="BM6:BM36" si="9">BL6-BK6</f>
        <v>52</v>
      </c>
      <c r="BN6" s="165">
        <v>23187</v>
      </c>
      <c r="BO6" s="165">
        <v>23192</v>
      </c>
      <c r="BP6" s="240">
        <f t="shared" ref="BP6:BP36" si="10">BO6-BN6</f>
        <v>5</v>
      </c>
      <c r="BQ6" s="165">
        <v>12379</v>
      </c>
      <c r="BR6" s="165">
        <v>12381</v>
      </c>
      <c r="BS6" s="240">
        <f t="shared" ref="BS6:BS36" si="11">BR6-BQ6</f>
        <v>2</v>
      </c>
      <c r="BT6" s="165">
        <v>17036</v>
      </c>
      <c r="BU6" s="165">
        <v>17033</v>
      </c>
      <c r="BV6" s="240">
        <f t="shared" ref="BV6:BV36" si="12">BU6-BT6</f>
        <v>-3</v>
      </c>
      <c r="BW6" s="165">
        <v>19432</v>
      </c>
      <c r="BX6" s="165">
        <v>19439</v>
      </c>
      <c r="BY6" s="240">
        <f t="shared" ref="BY6:BY36" si="13">BX6-BW6</f>
        <v>7</v>
      </c>
      <c r="BZ6" s="165">
        <v>8370</v>
      </c>
      <c r="CA6" s="165">
        <v>8374</v>
      </c>
      <c r="CB6" s="240">
        <f t="shared" ref="CB6:CB36" si="14">CA6-BZ6</f>
        <v>4</v>
      </c>
      <c r="CC6" s="165">
        <v>18000</v>
      </c>
      <c r="CD6" s="165">
        <v>17974</v>
      </c>
      <c r="CE6" s="240">
        <f t="shared" ref="CE6:CE36" si="15">CD6-CC6</f>
        <v>-26</v>
      </c>
      <c r="CF6" s="165">
        <v>1798</v>
      </c>
      <c r="CG6" s="165">
        <v>1802</v>
      </c>
      <c r="CH6" s="240">
        <f t="shared" ref="CH6:CH36" si="16">CG6-CF6</f>
        <v>4</v>
      </c>
      <c r="CI6" s="165">
        <v>9561</v>
      </c>
      <c r="CJ6" s="165">
        <v>9564</v>
      </c>
      <c r="CK6" s="240">
        <f t="shared" ref="CK6:CK36" si="17">CJ6-CI6</f>
        <v>3</v>
      </c>
    </row>
    <row r="7" spans="1:89" ht="15" customHeight="1" x14ac:dyDescent="0.2">
      <c r="A7" s="166">
        <v>2</v>
      </c>
      <c r="B7" s="163">
        <f t="shared" ref="B7:B34" si="18">C6</f>
        <v>11032</v>
      </c>
      <c r="C7" s="164">
        <v>11032</v>
      </c>
      <c r="D7" s="157">
        <f>C7-B7</f>
        <v>0</v>
      </c>
      <c r="E7" s="222"/>
      <c r="F7" s="166">
        <v>2</v>
      </c>
      <c r="G7" s="163">
        <f t="shared" ref="G7:G34" si="19">H6</f>
        <v>5974</v>
      </c>
      <c r="H7" s="156">
        <v>6094</v>
      </c>
      <c r="I7" s="165">
        <f t="shared" ref="I7:I10" si="20">H7-G7</f>
        <v>120</v>
      </c>
      <c r="J7" s="222"/>
      <c r="K7" s="166">
        <v>2</v>
      </c>
      <c r="L7" s="163">
        <f t="shared" ref="L7:L34" si="21">M6</f>
        <v>746204</v>
      </c>
      <c r="M7" s="164">
        <v>746320</v>
      </c>
      <c r="N7" s="165">
        <f t="shared" ref="N7:N10" si="22">M7-L7</f>
        <v>116</v>
      </c>
      <c r="O7" s="159"/>
      <c r="P7" s="166">
        <v>2</v>
      </c>
      <c r="Q7" s="163">
        <f t="shared" ref="Q7:Q34" si="23">R6</f>
        <v>206112</v>
      </c>
      <c r="R7" s="164">
        <v>206192</v>
      </c>
      <c r="S7" s="165">
        <f t="shared" ref="S7:S10" si="24">R7-Q7</f>
        <v>80</v>
      </c>
      <c r="T7" s="158"/>
      <c r="U7" s="166">
        <v>2</v>
      </c>
      <c r="V7" s="250">
        <f t="shared" ref="V7:V36" si="25">SUM(S7+N7+I7+D7)</f>
        <v>316</v>
      </c>
      <c r="W7" s="161">
        <f>'Maldives at LG Daily'!I6</f>
        <v>12.7</v>
      </c>
      <c r="X7" s="167"/>
      <c r="Z7" s="242">
        <v>2</v>
      </c>
      <c r="AA7" s="165">
        <f>AB6</f>
        <v>36997</v>
      </c>
      <c r="AB7" s="165">
        <v>37018</v>
      </c>
      <c r="AC7" s="240">
        <f t="shared" ref="AC7:AC36" si="26">AB7-AA7</f>
        <v>21</v>
      </c>
      <c r="AD7" s="248">
        <f>AE6</f>
        <v>7885</v>
      </c>
      <c r="AE7" s="165">
        <v>7891</v>
      </c>
      <c r="AF7" s="240">
        <f t="shared" ref="AF7:AF36" si="27">AE7-AD7</f>
        <v>6</v>
      </c>
      <c r="AG7" s="248">
        <f>AH6</f>
        <v>5674</v>
      </c>
      <c r="AH7" s="165">
        <v>5683</v>
      </c>
      <c r="AI7" s="240">
        <f t="shared" ref="AI7:AI36" si="28">AH7-AG7</f>
        <v>9</v>
      </c>
      <c r="AJ7" s="248">
        <f>AK6</f>
        <v>13902</v>
      </c>
      <c r="AK7" s="165">
        <v>13914</v>
      </c>
      <c r="AL7" s="240">
        <f t="shared" si="0"/>
        <v>12</v>
      </c>
      <c r="AM7" s="248">
        <f>AN6</f>
        <v>31853</v>
      </c>
      <c r="AN7" s="165">
        <v>31860</v>
      </c>
      <c r="AO7" s="240">
        <f t="shared" si="1"/>
        <v>7</v>
      </c>
      <c r="AP7" s="248">
        <f>AQ6</f>
        <v>6018</v>
      </c>
      <c r="AQ7" s="165">
        <v>6024</v>
      </c>
      <c r="AR7" s="240">
        <f t="shared" si="2"/>
        <v>6</v>
      </c>
      <c r="AS7" s="248">
        <f>AT6</f>
        <v>21910</v>
      </c>
      <c r="AT7" s="165">
        <v>21919</v>
      </c>
      <c r="AU7" s="240">
        <f t="shared" si="3"/>
        <v>9</v>
      </c>
      <c r="AV7" s="248">
        <f>AW6</f>
        <v>6023</v>
      </c>
      <c r="AW7" s="165">
        <v>6031</v>
      </c>
      <c r="AX7" s="240">
        <f t="shared" si="4"/>
        <v>8</v>
      </c>
      <c r="AY7" s="248">
        <f>AZ6</f>
        <v>3344</v>
      </c>
      <c r="AZ7" s="165">
        <v>3345</v>
      </c>
      <c r="BA7" s="240">
        <f t="shared" si="5"/>
        <v>1</v>
      </c>
      <c r="BB7" s="248">
        <f>BC6</f>
        <v>1522</v>
      </c>
      <c r="BC7" s="165">
        <v>1522</v>
      </c>
      <c r="BD7" s="240">
        <f t="shared" si="6"/>
        <v>0</v>
      </c>
      <c r="BE7" s="248">
        <f>BF6</f>
        <v>26589</v>
      </c>
      <c r="BF7" s="165">
        <v>26591</v>
      </c>
      <c r="BG7" s="240">
        <f t="shared" si="7"/>
        <v>2</v>
      </c>
      <c r="BH7" s="248">
        <f>BI6</f>
        <v>2393</v>
      </c>
      <c r="BI7" s="165">
        <v>2395</v>
      </c>
      <c r="BJ7" s="240">
        <f t="shared" si="8"/>
        <v>2</v>
      </c>
      <c r="BK7" s="248">
        <f>BL6</f>
        <v>71344</v>
      </c>
      <c r="BL7" s="165">
        <v>71368</v>
      </c>
      <c r="BM7" s="240">
        <f t="shared" si="9"/>
        <v>24</v>
      </c>
      <c r="BN7" s="248">
        <f>BO6</f>
        <v>23192</v>
      </c>
      <c r="BO7" s="165">
        <v>23195</v>
      </c>
      <c r="BP7" s="240">
        <f t="shared" si="10"/>
        <v>3</v>
      </c>
      <c r="BQ7" s="248">
        <f>BR6</f>
        <v>12381</v>
      </c>
      <c r="BR7" s="165">
        <v>12382</v>
      </c>
      <c r="BS7" s="240">
        <f t="shared" si="11"/>
        <v>1</v>
      </c>
      <c r="BT7" s="248">
        <f>BU6</f>
        <v>17033</v>
      </c>
      <c r="BU7" s="165">
        <v>17035</v>
      </c>
      <c r="BV7" s="240">
        <f t="shared" si="12"/>
        <v>2</v>
      </c>
      <c r="BW7" s="248">
        <f>BX6</f>
        <v>19439</v>
      </c>
      <c r="BX7" s="165">
        <v>19442</v>
      </c>
      <c r="BY7" s="240">
        <f t="shared" si="13"/>
        <v>3</v>
      </c>
      <c r="BZ7" s="248">
        <f>CA6</f>
        <v>8374</v>
      </c>
      <c r="CA7" s="165">
        <v>8376</v>
      </c>
      <c r="CB7" s="240">
        <f t="shared" si="14"/>
        <v>2</v>
      </c>
      <c r="CC7" s="248">
        <f>CD6</f>
        <v>17974</v>
      </c>
      <c r="CD7" s="165">
        <v>17984</v>
      </c>
      <c r="CE7" s="240">
        <f t="shared" si="15"/>
        <v>10</v>
      </c>
      <c r="CF7" s="248">
        <f>CG6</f>
        <v>1802</v>
      </c>
      <c r="CG7" s="165">
        <v>1803</v>
      </c>
      <c r="CH7" s="240">
        <f t="shared" si="16"/>
        <v>1</v>
      </c>
      <c r="CI7" s="248">
        <f>CJ6</f>
        <v>9564</v>
      </c>
      <c r="CJ7" s="165">
        <v>9565</v>
      </c>
      <c r="CK7" s="240">
        <f t="shared" si="17"/>
        <v>1</v>
      </c>
    </row>
    <row r="8" spans="1:89" ht="15" customHeight="1" x14ac:dyDescent="0.2">
      <c r="A8" s="166">
        <v>3</v>
      </c>
      <c r="B8" s="160">
        <f t="shared" si="18"/>
        <v>11032</v>
      </c>
      <c r="C8" s="164">
        <v>11125</v>
      </c>
      <c r="D8" s="165">
        <f t="shared" ref="D8:D33" si="29">C8-B8</f>
        <v>93</v>
      </c>
      <c r="E8" s="222"/>
      <c r="F8" s="166">
        <v>3</v>
      </c>
      <c r="G8" s="160">
        <f t="shared" si="19"/>
        <v>6094</v>
      </c>
      <c r="H8" s="156">
        <v>6212</v>
      </c>
      <c r="I8" s="165">
        <f t="shared" si="20"/>
        <v>118</v>
      </c>
      <c r="J8" s="222"/>
      <c r="K8" s="166">
        <v>3</v>
      </c>
      <c r="L8" s="160">
        <f t="shared" si="21"/>
        <v>746320</v>
      </c>
      <c r="M8" s="164">
        <v>746439</v>
      </c>
      <c r="N8" s="165">
        <f t="shared" si="22"/>
        <v>119</v>
      </c>
      <c r="O8" s="159"/>
      <c r="P8" s="166">
        <v>3</v>
      </c>
      <c r="Q8" s="160">
        <f t="shared" si="23"/>
        <v>206192</v>
      </c>
      <c r="R8" s="164">
        <v>206192</v>
      </c>
      <c r="S8" s="165">
        <f t="shared" si="24"/>
        <v>0</v>
      </c>
      <c r="T8" s="158"/>
      <c r="U8" s="160">
        <v>3</v>
      </c>
      <c r="V8" s="250">
        <f t="shared" si="25"/>
        <v>330</v>
      </c>
      <c r="W8" s="161">
        <f>'Maldives at LG Daily'!I7</f>
        <v>12.6</v>
      </c>
      <c r="X8" s="167"/>
      <c r="Z8" s="242">
        <v>3</v>
      </c>
      <c r="AA8" s="165">
        <f t="shared" ref="AA8:AA36" si="30">AB7</f>
        <v>37018</v>
      </c>
      <c r="AB8" s="165">
        <v>37040</v>
      </c>
      <c r="AC8" s="240">
        <f t="shared" si="26"/>
        <v>22</v>
      </c>
      <c r="AD8" s="248">
        <f t="shared" ref="AD8:AD36" si="31">AE7</f>
        <v>7891</v>
      </c>
      <c r="AE8" s="165">
        <v>7897</v>
      </c>
      <c r="AF8" s="240">
        <f t="shared" si="27"/>
        <v>6</v>
      </c>
      <c r="AG8" s="248">
        <f t="shared" ref="AG8:AG15" si="32">AH7</f>
        <v>5683</v>
      </c>
      <c r="AH8" s="165">
        <v>5690</v>
      </c>
      <c r="AI8" s="240">
        <f t="shared" si="28"/>
        <v>7</v>
      </c>
      <c r="AJ8" s="248">
        <f t="shared" ref="AJ8:AJ36" si="33">AK7</f>
        <v>13914</v>
      </c>
      <c r="AK8" s="165">
        <v>13926</v>
      </c>
      <c r="AL8" s="240">
        <f t="shared" si="0"/>
        <v>12</v>
      </c>
      <c r="AM8" s="248">
        <f t="shared" ref="AM8:AM36" si="34">AN7</f>
        <v>31860</v>
      </c>
      <c r="AN8" s="165">
        <v>31867</v>
      </c>
      <c r="AO8" s="240">
        <f t="shared" si="1"/>
        <v>7</v>
      </c>
      <c r="AP8" s="248">
        <f t="shared" ref="AP8:AP36" si="35">AQ7</f>
        <v>6024</v>
      </c>
      <c r="AQ8" s="165">
        <v>6030</v>
      </c>
      <c r="AR8" s="240">
        <f t="shared" si="2"/>
        <v>6</v>
      </c>
      <c r="AS8" s="248">
        <f t="shared" ref="AS8:AS15" si="36">AT7</f>
        <v>21919</v>
      </c>
      <c r="AT8" s="165">
        <v>21928</v>
      </c>
      <c r="AU8" s="240">
        <f t="shared" si="3"/>
        <v>9</v>
      </c>
      <c r="AV8" s="248">
        <f t="shared" ref="AV8:AV15" si="37">AW7</f>
        <v>6031</v>
      </c>
      <c r="AW8" s="165">
        <v>6040</v>
      </c>
      <c r="AX8" s="240">
        <f t="shared" si="4"/>
        <v>9</v>
      </c>
      <c r="AY8" s="248">
        <f t="shared" ref="AY8:AY15" si="38">AZ7</f>
        <v>3345</v>
      </c>
      <c r="AZ8" s="165">
        <v>3346</v>
      </c>
      <c r="BA8" s="240">
        <f t="shared" si="5"/>
        <v>1</v>
      </c>
      <c r="BB8" s="248">
        <f t="shared" ref="BB8:BB36" si="39">BC7</f>
        <v>1522</v>
      </c>
      <c r="BC8" s="165">
        <v>1522</v>
      </c>
      <c r="BD8" s="240">
        <f t="shared" si="6"/>
        <v>0</v>
      </c>
      <c r="BE8" s="248">
        <f t="shared" ref="BE8:BE16" si="40">BF7</f>
        <v>26591</v>
      </c>
      <c r="BF8" s="165">
        <v>26594</v>
      </c>
      <c r="BG8" s="240">
        <f t="shared" si="7"/>
        <v>3</v>
      </c>
      <c r="BH8" s="248">
        <f t="shared" ref="BH8:BH16" si="41">BI7</f>
        <v>2395</v>
      </c>
      <c r="BI8" s="165">
        <v>2398</v>
      </c>
      <c r="BJ8" s="240">
        <f t="shared" si="8"/>
        <v>3</v>
      </c>
      <c r="BK8" s="248">
        <f t="shared" ref="BK8:BK18" si="42">BL7</f>
        <v>71368</v>
      </c>
      <c r="BL8" s="165">
        <v>71392</v>
      </c>
      <c r="BM8" s="240">
        <f t="shared" si="9"/>
        <v>24</v>
      </c>
      <c r="BN8" s="248">
        <f t="shared" ref="BN8:BN36" si="43">BO7</f>
        <v>23195</v>
      </c>
      <c r="BO8" s="165">
        <f>23195+3</f>
        <v>23198</v>
      </c>
      <c r="BP8" s="240">
        <f t="shared" si="10"/>
        <v>3</v>
      </c>
      <c r="BQ8" s="248">
        <f t="shared" ref="BQ8:BQ36" si="44">BR7</f>
        <v>12382</v>
      </c>
      <c r="BR8" s="165">
        <v>12383</v>
      </c>
      <c r="BS8" s="240">
        <f t="shared" si="11"/>
        <v>1</v>
      </c>
      <c r="BT8" s="248">
        <f t="shared" ref="BT8:BT15" si="45">BU7</f>
        <v>17035</v>
      </c>
      <c r="BU8" s="165">
        <v>17038</v>
      </c>
      <c r="BV8" s="240">
        <f t="shared" si="12"/>
        <v>3</v>
      </c>
      <c r="BW8" s="248">
        <f t="shared" ref="BW8:BW15" si="46">BX7</f>
        <v>19442</v>
      </c>
      <c r="BX8" s="165">
        <v>19445</v>
      </c>
      <c r="BY8" s="240">
        <f t="shared" si="13"/>
        <v>3</v>
      </c>
      <c r="BZ8" s="248">
        <f t="shared" ref="BZ8:BZ18" si="47">CA7</f>
        <v>8376</v>
      </c>
      <c r="CA8" s="165">
        <v>8379</v>
      </c>
      <c r="CB8" s="240">
        <f t="shared" si="14"/>
        <v>3</v>
      </c>
      <c r="CC8" s="248">
        <f t="shared" ref="CC8:CC19" si="48">CD7</f>
        <v>17984</v>
      </c>
      <c r="CD8" s="165">
        <v>17995</v>
      </c>
      <c r="CE8" s="240">
        <f t="shared" si="15"/>
        <v>11</v>
      </c>
      <c r="CF8" s="248">
        <f t="shared" ref="CF8:CF21" si="49">CG7</f>
        <v>1803</v>
      </c>
      <c r="CG8" s="165">
        <v>1806</v>
      </c>
      <c r="CH8" s="240">
        <f t="shared" si="16"/>
        <v>3</v>
      </c>
      <c r="CI8" s="248">
        <f t="shared" ref="CI8:CI19" si="50">CJ7</f>
        <v>9565</v>
      </c>
      <c r="CJ8" s="165">
        <v>9566</v>
      </c>
      <c r="CK8" s="240">
        <f t="shared" si="17"/>
        <v>1</v>
      </c>
    </row>
    <row r="9" spans="1:89" ht="15" customHeight="1" x14ac:dyDescent="0.2">
      <c r="A9" s="166">
        <v>4</v>
      </c>
      <c r="B9" s="160">
        <f t="shared" si="18"/>
        <v>11125</v>
      </c>
      <c r="C9" s="164">
        <v>11202</v>
      </c>
      <c r="D9" s="165">
        <f t="shared" si="29"/>
        <v>77</v>
      </c>
      <c r="E9" s="222"/>
      <c r="F9" s="166">
        <v>4</v>
      </c>
      <c r="G9" s="160">
        <f t="shared" si="19"/>
        <v>6212</v>
      </c>
      <c r="H9" s="156">
        <v>6242</v>
      </c>
      <c r="I9" s="165">
        <f t="shared" si="20"/>
        <v>30</v>
      </c>
      <c r="J9" s="222"/>
      <c r="K9" s="166">
        <v>4</v>
      </c>
      <c r="L9" s="160">
        <f t="shared" si="21"/>
        <v>746439</v>
      </c>
      <c r="M9" s="164">
        <v>746577</v>
      </c>
      <c r="N9" s="165">
        <f t="shared" si="22"/>
        <v>138</v>
      </c>
      <c r="O9" s="159"/>
      <c r="P9" s="166">
        <v>4</v>
      </c>
      <c r="Q9" s="160">
        <f t="shared" si="23"/>
        <v>206192</v>
      </c>
      <c r="R9" s="164">
        <v>206273</v>
      </c>
      <c r="S9" s="165">
        <f t="shared" si="24"/>
        <v>81</v>
      </c>
      <c r="T9" s="158"/>
      <c r="U9" s="160">
        <v>4</v>
      </c>
      <c r="V9" s="250">
        <f t="shared" si="25"/>
        <v>326</v>
      </c>
      <c r="W9" s="161">
        <f>'Maldives at LG Daily'!I8</f>
        <v>15.5</v>
      </c>
      <c r="X9" s="167"/>
      <c r="Z9" s="242">
        <v>4</v>
      </c>
      <c r="AA9" s="165">
        <f t="shared" si="30"/>
        <v>37040</v>
      </c>
      <c r="AB9" s="165">
        <v>37043</v>
      </c>
      <c r="AC9" s="240">
        <f t="shared" si="26"/>
        <v>3</v>
      </c>
      <c r="AD9" s="248">
        <f t="shared" si="31"/>
        <v>7897</v>
      </c>
      <c r="AE9" s="165">
        <v>7900</v>
      </c>
      <c r="AF9" s="240">
        <f t="shared" si="27"/>
        <v>3</v>
      </c>
      <c r="AG9" s="248">
        <f t="shared" si="32"/>
        <v>5690</v>
      </c>
      <c r="AH9" s="165">
        <v>5690</v>
      </c>
      <c r="AI9" s="240">
        <f t="shared" si="28"/>
        <v>0</v>
      </c>
      <c r="AJ9" s="248">
        <f t="shared" si="33"/>
        <v>13926</v>
      </c>
      <c r="AK9" s="165">
        <v>13934</v>
      </c>
      <c r="AL9" s="240">
        <f t="shared" si="0"/>
        <v>8</v>
      </c>
      <c r="AM9" s="248">
        <f t="shared" si="34"/>
        <v>31867</v>
      </c>
      <c r="AN9" s="165">
        <v>31871</v>
      </c>
      <c r="AO9" s="240">
        <f t="shared" si="1"/>
        <v>4</v>
      </c>
      <c r="AP9" s="248">
        <f t="shared" si="35"/>
        <v>6030</v>
      </c>
      <c r="AQ9" s="165">
        <v>6035</v>
      </c>
      <c r="AR9" s="240">
        <f t="shared" si="2"/>
        <v>5</v>
      </c>
      <c r="AS9" s="248">
        <f t="shared" si="36"/>
        <v>21928</v>
      </c>
      <c r="AT9" s="165">
        <v>21940</v>
      </c>
      <c r="AU9" s="240">
        <f t="shared" si="3"/>
        <v>12</v>
      </c>
      <c r="AV9" s="248">
        <f t="shared" si="37"/>
        <v>6040</v>
      </c>
      <c r="AW9" s="165">
        <v>6048</v>
      </c>
      <c r="AX9" s="240">
        <f t="shared" si="4"/>
        <v>8</v>
      </c>
      <c r="AY9" s="248">
        <f t="shared" si="38"/>
        <v>3346</v>
      </c>
      <c r="AZ9" s="165">
        <v>3348</v>
      </c>
      <c r="BA9" s="240">
        <f t="shared" si="5"/>
        <v>2</v>
      </c>
      <c r="BB9" s="248">
        <f t="shared" si="39"/>
        <v>1522</v>
      </c>
      <c r="BC9" s="165">
        <v>1523</v>
      </c>
      <c r="BD9" s="240">
        <f t="shared" si="6"/>
        <v>1</v>
      </c>
      <c r="BE9" s="248">
        <f t="shared" si="40"/>
        <v>26594</v>
      </c>
      <c r="BF9" s="165">
        <v>26596</v>
      </c>
      <c r="BG9" s="240">
        <f t="shared" si="7"/>
        <v>2</v>
      </c>
      <c r="BH9" s="248">
        <f t="shared" si="41"/>
        <v>2398</v>
      </c>
      <c r="BI9" s="165">
        <v>2398</v>
      </c>
      <c r="BJ9" s="240">
        <f t="shared" si="8"/>
        <v>0</v>
      </c>
      <c r="BK9" s="248">
        <f t="shared" si="42"/>
        <v>71392</v>
      </c>
      <c r="BL9" s="165">
        <v>71414</v>
      </c>
      <c r="BM9" s="240">
        <f t="shared" si="9"/>
        <v>22</v>
      </c>
      <c r="BN9" s="248">
        <f t="shared" si="43"/>
        <v>23198</v>
      </c>
      <c r="BO9" s="165">
        <v>23201</v>
      </c>
      <c r="BP9" s="240">
        <f t="shared" si="10"/>
        <v>3</v>
      </c>
      <c r="BQ9" s="248">
        <f t="shared" si="44"/>
        <v>12383</v>
      </c>
      <c r="BR9" s="165">
        <v>12385</v>
      </c>
      <c r="BS9" s="240">
        <f t="shared" si="11"/>
        <v>2</v>
      </c>
      <c r="BT9" s="248">
        <f t="shared" si="45"/>
        <v>17038</v>
      </c>
      <c r="BU9" s="165">
        <v>17051</v>
      </c>
      <c r="BV9" s="240">
        <f t="shared" si="12"/>
        <v>13</v>
      </c>
      <c r="BW9" s="248">
        <f t="shared" si="46"/>
        <v>19445</v>
      </c>
      <c r="BX9" s="165">
        <v>19446</v>
      </c>
      <c r="BY9" s="240">
        <f t="shared" si="13"/>
        <v>1</v>
      </c>
      <c r="BZ9" s="248">
        <f t="shared" si="47"/>
        <v>8379</v>
      </c>
      <c r="CA9" s="165">
        <v>8379</v>
      </c>
      <c r="CB9" s="240">
        <f t="shared" si="14"/>
        <v>0</v>
      </c>
      <c r="CC9" s="248">
        <f t="shared" si="48"/>
        <v>17995</v>
      </c>
      <c r="CD9" s="165">
        <v>17995</v>
      </c>
      <c r="CE9" s="240">
        <f t="shared" si="15"/>
        <v>0</v>
      </c>
      <c r="CF9" s="248">
        <f t="shared" si="49"/>
        <v>1806</v>
      </c>
      <c r="CG9" s="165">
        <v>1807</v>
      </c>
      <c r="CH9" s="240">
        <f t="shared" si="16"/>
        <v>1</v>
      </c>
      <c r="CI9" s="248">
        <f t="shared" si="50"/>
        <v>9566</v>
      </c>
      <c r="CJ9" s="165">
        <v>9566</v>
      </c>
      <c r="CK9" s="240">
        <f t="shared" si="17"/>
        <v>0</v>
      </c>
    </row>
    <row r="10" spans="1:89" ht="15" customHeight="1" x14ac:dyDescent="0.2">
      <c r="A10" s="166">
        <v>5</v>
      </c>
      <c r="B10" s="160">
        <f t="shared" si="18"/>
        <v>11202</v>
      </c>
      <c r="C10" s="164">
        <v>11226</v>
      </c>
      <c r="D10" s="165">
        <f t="shared" si="29"/>
        <v>24</v>
      </c>
      <c r="E10" s="222"/>
      <c r="F10" s="166">
        <v>5</v>
      </c>
      <c r="G10" s="160">
        <f t="shared" si="19"/>
        <v>6242</v>
      </c>
      <c r="H10" s="156">
        <v>6335</v>
      </c>
      <c r="I10" s="165">
        <f t="shared" si="20"/>
        <v>93</v>
      </c>
      <c r="J10" s="222"/>
      <c r="K10" s="166">
        <v>5</v>
      </c>
      <c r="L10" s="160">
        <f t="shared" si="21"/>
        <v>746577</v>
      </c>
      <c r="M10" s="164">
        <v>746718</v>
      </c>
      <c r="N10" s="165">
        <f t="shared" si="22"/>
        <v>141</v>
      </c>
      <c r="O10" s="159"/>
      <c r="P10" s="166">
        <v>5</v>
      </c>
      <c r="Q10" s="160">
        <f t="shared" si="23"/>
        <v>206273</v>
      </c>
      <c r="R10" s="164">
        <v>206321</v>
      </c>
      <c r="S10" s="165">
        <f t="shared" si="24"/>
        <v>48</v>
      </c>
      <c r="T10" s="158"/>
      <c r="U10" s="166">
        <v>5</v>
      </c>
      <c r="V10" s="250">
        <f t="shared" si="25"/>
        <v>306</v>
      </c>
      <c r="W10" s="161">
        <f>'Maldives at LG Daily'!I9</f>
        <v>13.6</v>
      </c>
      <c r="X10" s="167"/>
      <c r="Z10" s="242">
        <v>5</v>
      </c>
      <c r="AA10" s="165">
        <f t="shared" si="30"/>
        <v>37043</v>
      </c>
      <c r="AB10" s="165">
        <v>37060</v>
      </c>
      <c r="AC10" s="240">
        <f t="shared" si="26"/>
        <v>17</v>
      </c>
      <c r="AD10" s="248">
        <f t="shared" si="31"/>
        <v>7900</v>
      </c>
      <c r="AE10" s="165">
        <v>7905</v>
      </c>
      <c r="AF10" s="240">
        <f t="shared" si="27"/>
        <v>5</v>
      </c>
      <c r="AG10" s="248">
        <f t="shared" si="32"/>
        <v>5690</v>
      </c>
      <c r="AH10" s="165">
        <v>5704</v>
      </c>
      <c r="AI10" s="240">
        <f t="shared" si="28"/>
        <v>14</v>
      </c>
      <c r="AJ10" s="248">
        <f t="shared" si="33"/>
        <v>13934</v>
      </c>
      <c r="AK10" s="165">
        <v>13945</v>
      </c>
      <c r="AL10" s="240">
        <f t="shared" si="0"/>
        <v>11</v>
      </c>
      <c r="AM10" s="248">
        <f t="shared" si="34"/>
        <v>31871</v>
      </c>
      <c r="AN10" s="165">
        <v>31877</v>
      </c>
      <c r="AO10" s="240">
        <f t="shared" si="1"/>
        <v>6</v>
      </c>
      <c r="AP10" s="248">
        <f t="shared" si="35"/>
        <v>6035</v>
      </c>
      <c r="AQ10" s="165">
        <v>6042</v>
      </c>
      <c r="AR10" s="240">
        <f t="shared" si="2"/>
        <v>7</v>
      </c>
      <c r="AS10" s="248">
        <f t="shared" si="36"/>
        <v>21940</v>
      </c>
      <c r="AT10" s="165">
        <v>21951</v>
      </c>
      <c r="AU10" s="240">
        <f t="shared" si="3"/>
        <v>11</v>
      </c>
      <c r="AV10" s="248">
        <f t="shared" si="37"/>
        <v>6048</v>
      </c>
      <c r="AW10" s="165">
        <v>6057</v>
      </c>
      <c r="AX10" s="240">
        <f t="shared" si="4"/>
        <v>9</v>
      </c>
      <c r="AY10" s="248">
        <f t="shared" si="38"/>
        <v>3348</v>
      </c>
      <c r="AZ10" s="165">
        <v>3351</v>
      </c>
      <c r="BA10" s="240">
        <f t="shared" si="5"/>
        <v>3</v>
      </c>
      <c r="BB10" s="248">
        <f t="shared" si="39"/>
        <v>1523</v>
      </c>
      <c r="BC10" s="165">
        <v>1524</v>
      </c>
      <c r="BD10" s="240">
        <f t="shared" si="6"/>
        <v>1</v>
      </c>
      <c r="BE10" s="248">
        <f t="shared" si="40"/>
        <v>26596</v>
      </c>
      <c r="BF10" s="165">
        <v>26597</v>
      </c>
      <c r="BG10" s="240">
        <f t="shared" si="7"/>
        <v>1</v>
      </c>
      <c r="BH10" s="248">
        <f t="shared" si="41"/>
        <v>2398</v>
      </c>
      <c r="BI10" s="165">
        <v>2400</v>
      </c>
      <c r="BJ10" s="240">
        <f t="shared" si="8"/>
        <v>2</v>
      </c>
      <c r="BK10" s="248">
        <f t="shared" si="42"/>
        <v>71414</v>
      </c>
      <c r="BL10" s="165">
        <v>71440</v>
      </c>
      <c r="BM10" s="240">
        <f t="shared" si="9"/>
        <v>26</v>
      </c>
      <c r="BN10" s="248">
        <f t="shared" si="43"/>
        <v>23201</v>
      </c>
      <c r="BO10" s="165">
        <v>23202</v>
      </c>
      <c r="BP10" s="240">
        <f t="shared" si="10"/>
        <v>1</v>
      </c>
      <c r="BQ10" s="248">
        <f t="shared" si="44"/>
        <v>12385</v>
      </c>
      <c r="BR10" s="165">
        <v>12385</v>
      </c>
      <c r="BS10" s="240">
        <f t="shared" si="11"/>
        <v>0</v>
      </c>
      <c r="BT10" s="248">
        <f t="shared" si="45"/>
        <v>17051</v>
      </c>
      <c r="BU10" s="165">
        <v>17056</v>
      </c>
      <c r="BV10" s="240">
        <f t="shared" si="12"/>
        <v>5</v>
      </c>
      <c r="BW10" s="248">
        <f t="shared" si="46"/>
        <v>19446</v>
      </c>
      <c r="BX10" s="165">
        <v>19449</v>
      </c>
      <c r="BY10" s="240">
        <f t="shared" si="13"/>
        <v>3</v>
      </c>
      <c r="BZ10" s="248">
        <f t="shared" si="47"/>
        <v>8379</v>
      </c>
      <c r="CA10" s="165">
        <v>8381</v>
      </c>
      <c r="CB10" s="240">
        <f t="shared" si="14"/>
        <v>2</v>
      </c>
      <c r="CC10" s="248">
        <f t="shared" si="48"/>
        <v>17995</v>
      </c>
      <c r="CD10" s="165">
        <v>18028</v>
      </c>
      <c r="CE10" s="240">
        <f t="shared" si="15"/>
        <v>33</v>
      </c>
      <c r="CF10" s="248">
        <f t="shared" si="49"/>
        <v>1807</v>
      </c>
      <c r="CG10" s="165">
        <v>1808</v>
      </c>
      <c r="CH10" s="240">
        <f t="shared" si="16"/>
        <v>1</v>
      </c>
      <c r="CI10" s="248">
        <f t="shared" si="50"/>
        <v>9566</v>
      </c>
      <c r="CJ10" s="165">
        <v>9567</v>
      </c>
      <c r="CK10" s="240">
        <f t="shared" si="17"/>
        <v>1</v>
      </c>
    </row>
    <row r="11" spans="1:89" ht="15" customHeight="1" x14ac:dyDescent="0.2">
      <c r="A11" s="166">
        <v>6</v>
      </c>
      <c r="B11" s="160">
        <f t="shared" si="18"/>
        <v>11226</v>
      </c>
      <c r="C11" s="164">
        <v>11325</v>
      </c>
      <c r="D11" s="165">
        <f>C11-B11</f>
        <v>99</v>
      </c>
      <c r="E11" s="222"/>
      <c r="F11" s="166">
        <v>6</v>
      </c>
      <c r="G11" s="160">
        <f t="shared" si="19"/>
        <v>6335</v>
      </c>
      <c r="H11" s="156">
        <v>6416</v>
      </c>
      <c r="I11" s="165">
        <f>H11-G11</f>
        <v>81</v>
      </c>
      <c r="J11" s="222"/>
      <c r="K11" s="166">
        <v>6</v>
      </c>
      <c r="L11" s="160">
        <f t="shared" si="21"/>
        <v>746718</v>
      </c>
      <c r="M11" s="164">
        <v>746883</v>
      </c>
      <c r="N11" s="165">
        <f>M11-L11</f>
        <v>165</v>
      </c>
      <c r="O11" s="159"/>
      <c r="P11" s="166">
        <v>6</v>
      </c>
      <c r="Q11" s="160">
        <f t="shared" si="23"/>
        <v>206321</v>
      </c>
      <c r="R11" s="164">
        <v>206351</v>
      </c>
      <c r="S11" s="165">
        <f>R11-Q11</f>
        <v>30</v>
      </c>
      <c r="T11" s="158"/>
      <c r="U11" s="160">
        <v>6</v>
      </c>
      <c r="V11" s="250">
        <f t="shared" si="25"/>
        <v>375</v>
      </c>
      <c r="W11" s="161">
        <f>'Maldives at LG Daily'!I10</f>
        <v>15.5</v>
      </c>
      <c r="X11" s="167"/>
      <c r="Z11" s="242">
        <v>6</v>
      </c>
      <c r="AA11" s="165">
        <f t="shared" si="30"/>
        <v>37060</v>
      </c>
      <c r="AB11" s="165">
        <v>37075</v>
      </c>
      <c r="AC11" s="240">
        <f t="shared" si="26"/>
        <v>15</v>
      </c>
      <c r="AD11" s="248">
        <f t="shared" si="31"/>
        <v>7905</v>
      </c>
      <c r="AE11" s="165">
        <v>7910</v>
      </c>
      <c r="AF11" s="240">
        <f t="shared" si="27"/>
        <v>5</v>
      </c>
      <c r="AG11" s="248">
        <f t="shared" si="32"/>
        <v>5704</v>
      </c>
      <c r="AH11" s="165">
        <v>5711</v>
      </c>
      <c r="AI11" s="240">
        <f t="shared" si="28"/>
        <v>7</v>
      </c>
      <c r="AJ11" s="248">
        <f t="shared" si="33"/>
        <v>13945</v>
      </c>
      <c r="AK11" s="165">
        <v>13955</v>
      </c>
      <c r="AL11" s="240">
        <f t="shared" si="0"/>
        <v>10</v>
      </c>
      <c r="AM11" s="248">
        <f t="shared" si="34"/>
        <v>31877</v>
      </c>
      <c r="AN11" s="165">
        <v>31882</v>
      </c>
      <c r="AO11" s="240">
        <f t="shared" si="1"/>
        <v>5</v>
      </c>
      <c r="AP11" s="248">
        <f t="shared" si="35"/>
        <v>6042</v>
      </c>
      <c r="AQ11" s="165">
        <v>6048</v>
      </c>
      <c r="AR11" s="240">
        <f t="shared" si="2"/>
        <v>6</v>
      </c>
      <c r="AS11" s="248">
        <f t="shared" si="36"/>
        <v>21951</v>
      </c>
      <c r="AT11" s="165">
        <v>21961</v>
      </c>
      <c r="AU11" s="240">
        <f t="shared" si="3"/>
        <v>10</v>
      </c>
      <c r="AV11" s="248">
        <f t="shared" si="37"/>
        <v>6057</v>
      </c>
      <c r="AW11" s="165">
        <v>6067</v>
      </c>
      <c r="AX11" s="240">
        <f t="shared" si="4"/>
        <v>10</v>
      </c>
      <c r="AY11" s="248">
        <f t="shared" si="38"/>
        <v>3351</v>
      </c>
      <c r="AZ11" s="165">
        <v>3353</v>
      </c>
      <c r="BA11" s="240">
        <f t="shared" si="5"/>
        <v>2</v>
      </c>
      <c r="BB11" s="248">
        <f t="shared" si="39"/>
        <v>1524</v>
      </c>
      <c r="BC11" s="165">
        <v>1524</v>
      </c>
      <c r="BD11" s="240">
        <f t="shared" si="6"/>
        <v>0</v>
      </c>
      <c r="BE11" s="248">
        <f t="shared" si="40"/>
        <v>26597</v>
      </c>
      <c r="BF11" s="165">
        <v>26601</v>
      </c>
      <c r="BG11" s="240">
        <f t="shared" si="7"/>
        <v>4</v>
      </c>
      <c r="BH11" s="248">
        <f t="shared" si="41"/>
        <v>2400</v>
      </c>
      <c r="BI11" s="165">
        <v>2403</v>
      </c>
      <c r="BJ11" s="240">
        <f t="shared" si="8"/>
        <v>3</v>
      </c>
      <c r="BK11" s="248">
        <f t="shared" si="42"/>
        <v>71440</v>
      </c>
      <c r="BL11" s="165">
        <v>71462</v>
      </c>
      <c r="BM11" s="240">
        <f t="shared" si="9"/>
        <v>22</v>
      </c>
      <c r="BN11" s="248">
        <f t="shared" si="43"/>
        <v>23202</v>
      </c>
      <c r="BO11" s="165">
        <v>23203</v>
      </c>
      <c r="BP11" s="240">
        <f t="shared" si="10"/>
        <v>1</v>
      </c>
      <c r="BQ11" s="248">
        <f t="shared" si="44"/>
        <v>12385</v>
      </c>
      <c r="BR11" s="165">
        <v>12386</v>
      </c>
      <c r="BS11" s="240">
        <f t="shared" si="11"/>
        <v>1</v>
      </c>
      <c r="BT11" s="248">
        <f t="shared" si="45"/>
        <v>17056</v>
      </c>
      <c r="BU11" s="165">
        <v>17061</v>
      </c>
      <c r="BV11" s="240">
        <f t="shared" si="12"/>
        <v>5</v>
      </c>
      <c r="BW11" s="248">
        <f t="shared" si="46"/>
        <v>19449</v>
      </c>
      <c r="BX11" s="165">
        <v>19451</v>
      </c>
      <c r="BY11" s="240">
        <f t="shared" si="13"/>
        <v>2</v>
      </c>
      <c r="BZ11" s="248">
        <f t="shared" si="47"/>
        <v>8381</v>
      </c>
      <c r="CA11" s="165">
        <v>8383</v>
      </c>
      <c r="CB11" s="240">
        <f t="shared" si="14"/>
        <v>2</v>
      </c>
      <c r="CC11" s="248">
        <f t="shared" si="48"/>
        <v>18028</v>
      </c>
      <c r="CD11" s="165">
        <v>18042</v>
      </c>
      <c r="CE11" s="240">
        <f t="shared" si="15"/>
        <v>14</v>
      </c>
      <c r="CF11" s="248">
        <f t="shared" si="49"/>
        <v>1808</v>
      </c>
      <c r="CG11" s="165">
        <v>1810</v>
      </c>
      <c r="CH11" s="240">
        <f t="shared" si="16"/>
        <v>2</v>
      </c>
      <c r="CI11" s="248">
        <f t="shared" si="50"/>
        <v>9567</v>
      </c>
      <c r="CJ11" s="165">
        <v>9568</v>
      </c>
      <c r="CK11" s="240">
        <f t="shared" si="17"/>
        <v>1</v>
      </c>
    </row>
    <row r="12" spans="1:89" ht="15" customHeight="1" x14ac:dyDescent="0.2">
      <c r="A12" s="166">
        <v>7</v>
      </c>
      <c r="B12" s="160">
        <f t="shared" si="18"/>
        <v>11325</v>
      </c>
      <c r="C12" s="164">
        <v>11368</v>
      </c>
      <c r="D12" s="165">
        <f t="shared" si="29"/>
        <v>43</v>
      </c>
      <c r="E12" s="222"/>
      <c r="F12" s="166">
        <v>7</v>
      </c>
      <c r="G12" s="160">
        <f t="shared" si="19"/>
        <v>6416</v>
      </c>
      <c r="H12" s="156">
        <v>6487</v>
      </c>
      <c r="I12" s="165">
        <f t="shared" ref="I12:I24" si="51">H12-G12</f>
        <v>71</v>
      </c>
      <c r="J12" s="222"/>
      <c r="K12" s="166">
        <v>7</v>
      </c>
      <c r="L12" s="160">
        <f t="shared" si="21"/>
        <v>746883</v>
      </c>
      <c r="M12" s="164">
        <v>747060</v>
      </c>
      <c r="N12" s="165">
        <f t="shared" ref="N12:N24" si="52">M12-L12</f>
        <v>177</v>
      </c>
      <c r="O12" s="159"/>
      <c r="P12" s="166">
        <v>7</v>
      </c>
      <c r="Q12" s="160">
        <f t="shared" si="23"/>
        <v>206351</v>
      </c>
      <c r="R12" s="164">
        <v>206440</v>
      </c>
      <c r="S12" s="165">
        <f t="shared" ref="S12:S24" si="53">R12-Q12</f>
        <v>89</v>
      </c>
      <c r="T12" s="158"/>
      <c r="U12" s="160">
        <v>7</v>
      </c>
      <c r="V12" s="250">
        <f t="shared" si="25"/>
        <v>380</v>
      </c>
      <c r="W12" s="161">
        <f>'Maldives at LG Daily'!I11</f>
        <v>17.5</v>
      </c>
      <c r="X12" s="167"/>
      <c r="Z12" s="242">
        <v>7</v>
      </c>
      <c r="AA12" s="165">
        <f t="shared" si="30"/>
        <v>37075</v>
      </c>
      <c r="AB12" s="165">
        <v>37089</v>
      </c>
      <c r="AC12" s="240">
        <f t="shared" si="26"/>
        <v>14</v>
      </c>
      <c r="AD12" s="248">
        <f t="shared" si="31"/>
        <v>7910</v>
      </c>
      <c r="AE12" s="165">
        <v>7914</v>
      </c>
      <c r="AF12" s="240">
        <f t="shared" si="27"/>
        <v>4</v>
      </c>
      <c r="AG12" s="248">
        <f t="shared" si="32"/>
        <v>5711</v>
      </c>
      <c r="AH12" s="165">
        <v>5718</v>
      </c>
      <c r="AI12" s="240">
        <f t="shared" si="28"/>
        <v>7</v>
      </c>
      <c r="AJ12" s="248">
        <f t="shared" si="33"/>
        <v>13955</v>
      </c>
      <c r="AK12" s="165">
        <v>13965</v>
      </c>
      <c r="AL12" s="240">
        <f t="shared" si="0"/>
        <v>10</v>
      </c>
      <c r="AM12" s="248">
        <f t="shared" si="34"/>
        <v>31882</v>
      </c>
      <c r="AN12" s="165">
        <v>31888</v>
      </c>
      <c r="AO12" s="240">
        <f t="shared" si="1"/>
        <v>6</v>
      </c>
      <c r="AP12" s="248">
        <f t="shared" si="35"/>
        <v>6048</v>
      </c>
      <c r="AQ12" s="165">
        <v>6055</v>
      </c>
      <c r="AR12" s="240">
        <f t="shared" si="2"/>
        <v>7</v>
      </c>
      <c r="AS12" s="248">
        <f t="shared" si="36"/>
        <v>21961</v>
      </c>
      <c r="AT12" s="165">
        <v>21971</v>
      </c>
      <c r="AU12" s="240">
        <f t="shared" si="3"/>
        <v>10</v>
      </c>
      <c r="AV12" s="248">
        <f t="shared" si="37"/>
        <v>6067</v>
      </c>
      <c r="AW12" s="165">
        <v>6076</v>
      </c>
      <c r="AX12" s="240">
        <f t="shared" si="4"/>
        <v>9</v>
      </c>
      <c r="AY12" s="248">
        <f t="shared" si="38"/>
        <v>3353</v>
      </c>
      <c r="AZ12" s="165">
        <v>3353</v>
      </c>
      <c r="BA12" s="240">
        <f t="shared" si="5"/>
        <v>0</v>
      </c>
      <c r="BB12" s="248">
        <v>1516</v>
      </c>
      <c r="BC12" s="165">
        <v>1524</v>
      </c>
      <c r="BD12" s="240">
        <f t="shared" si="6"/>
        <v>8</v>
      </c>
      <c r="BE12" s="248">
        <f t="shared" si="40"/>
        <v>26601</v>
      </c>
      <c r="BF12" s="165">
        <v>26603</v>
      </c>
      <c r="BG12" s="240">
        <f t="shared" si="7"/>
        <v>2</v>
      </c>
      <c r="BH12" s="248">
        <f t="shared" si="41"/>
        <v>2403</v>
      </c>
      <c r="BI12" s="165">
        <v>2404</v>
      </c>
      <c r="BJ12" s="240">
        <f t="shared" si="8"/>
        <v>1</v>
      </c>
      <c r="BK12" s="248">
        <f t="shared" si="42"/>
        <v>71462</v>
      </c>
      <c r="BL12" s="165">
        <v>71462</v>
      </c>
      <c r="BM12" s="240">
        <f t="shared" si="9"/>
        <v>0</v>
      </c>
      <c r="BN12" s="248">
        <f t="shared" si="43"/>
        <v>23203</v>
      </c>
      <c r="BO12" s="165">
        <v>23205</v>
      </c>
      <c r="BP12" s="240">
        <f t="shared" si="10"/>
        <v>2</v>
      </c>
      <c r="BQ12" s="248">
        <f t="shared" si="44"/>
        <v>12386</v>
      </c>
      <c r="BR12" s="165">
        <v>12387</v>
      </c>
      <c r="BS12" s="240">
        <f t="shared" si="11"/>
        <v>1</v>
      </c>
      <c r="BT12" s="248">
        <f t="shared" si="45"/>
        <v>17061</v>
      </c>
      <c r="BU12" s="165">
        <v>17074</v>
      </c>
      <c r="BV12" s="240">
        <f t="shared" si="12"/>
        <v>13</v>
      </c>
      <c r="BW12" s="248">
        <f t="shared" si="46"/>
        <v>19451</v>
      </c>
      <c r="BX12" s="165">
        <v>19455</v>
      </c>
      <c r="BY12" s="240">
        <f t="shared" si="13"/>
        <v>4</v>
      </c>
      <c r="BZ12" s="248">
        <f t="shared" si="47"/>
        <v>8383</v>
      </c>
      <c r="CA12" s="165">
        <v>8385</v>
      </c>
      <c r="CB12" s="240">
        <f t="shared" si="14"/>
        <v>2</v>
      </c>
      <c r="CC12" s="248">
        <f t="shared" si="48"/>
        <v>18042</v>
      </c>
      <c r="CD12" s="165">
        <v>18059</v>
      </c>
      <c r="CE12" s="240">
        <f t="shared" si="15"/>
        <v>17</v>
      </c>
      <c r="CF12" s="248">
        <f t="shared" si="49"/>
        <v>1810</v>
      </c>
      <c r="CG12" s="165">
        <v>1812</v>
      </c>
      <c r="CH12" s="240">
        <f t="shared" si="16"/>
        <v>2</v>
      </c>
      <c r="CI12" s="248">
        <f t="shared" si="50"/>
        <v>9568</v>
      </c>
      <c r="CJ12" s="165">
        <v>9569</v>
      </c>
      <c r="CK12" s="240">
        <f t="shared" si="17"/>
        <v>1</v>
      </c>
    </row>
    <row r="13" spans="1:89" ht="15" customHeight="1" x14ac:dyDescent="0.2">
      <c r="A13" s="166">
        <v>8</v>
      </c>
      <c r="B13" s="160">
        <f t="shared" si="18"/>
        <v>11368</v>
      </c>
      <c r="C13" s="164">
        <v>11438</v>
      </c>
      <c r="D13" s="165">
        <f t="shared" si="29"/>
        <v>70</v>
      </c>
      <c r="E13" s="222"/>
      <c r="F13" s="166">
        <v>8</v>
      </c>
      <c r="G13" s="160">
        <f t="shared" si="19"/>
        <v>6487</v>
      </c>
      <c r="H13" s="156">
        <v>6526</v>
      </c>
      <c r="I13" s="165">
        <f t="shared" si="51"/>
        <v>39</v>
      </c>
      <c r="J13" s="222"/>
      <c r="K13" s="166">
        <v>8</v>
      </c>
      <c r="L13" s="160">
        <f t="shared" si="21"/>
        <v>747060</v>
      </c>
      <c r="M13" s="164">
        <v>747200</v>
      </c>
      <c r="N13" s="165">
        <f t="shared" si="52"/>
        <v>140</v>
      </c>
      <c r="O13" s="159"/>
      <c r="P13" s="166">
        <v>8</v>
      </c>
      <c r="Q13" s="160">
        <f t="shared" si="23"/>
        <v>206440</v>
      </c>
      <c r="R13" s="164">
        <v>206474</v>
      </c>
      <c r="S13" s="165">
        <f t="shared" si="53"/>
        <v>34</v>
      </c>
      <c r="T13" s="158"/>
      <c r="U13" s="166">
        <v>8</v>
      </c>
      <c r="V13" s="250">
        <f t="shared" si="25"/>
        <v>283</v>
      </c>
      <c r="W13" s="161">
        <f>'Maldives at LG Daily'!I12</f>
        <v>16.5</v>
      </c>
      <c r="X13" s="167"/>
      <c r="Z13" s="242">
        <v>8</v>
      </c>
      <c r="AA13" s="165">
        <f t="shared" si="30"/>
        <v>37089</v>
      </c>
      <c r="AB13" s="165">
        <v>37104</v>
      </c>
      <c r="AC13" s="240">
        <f>AB13-AA13</f>
        <v>15</v>
      </c>
      <c r="AD13" s="248">
        <f t="shared" si="31"/>
        <v>7914</v>
      </c>
      <c r="AE13" s="165">
        <v>7919</v>
      </c>
      <c r="AF13" s="240">
        <f>AE13-AD13</f>
        <v>5</v>
      </c>
      <c r="AG13" s="248">
        <f t="shared" si="32"/>
        <v>5718</v>
      </c>
      <c r="AH13" s="165">
        <v>5725</v>
      </c>
      <c r="AI13" s="240">
        <f t="shared" si="28"/>
        <v>7</v>
      </c>
      <c r="AJ13" s="248">
        <f t="shared" si="33"/>
        <v>13965</v>
      </c>
      <c r="AK13" s="165">
        <v>13976</v>
      </c>
      <c r="AL13" s="240">
        <f t="shared" si="0"/>
        <v>11</v>
      </c>
      <c r="AM13" s="248">
        <f t="shared" si="34"/>
        <v>31888</v>
      </c>
      <c r="AN13" s="165">
        <v>31895</v>
      </c>
      <c r="AO13" s="240">
        <f t="shared" si="1"/>
        <v>7</v>
      </c>
      <c r="AP13" s="248">
        <f t="shared" si="35"/>
        <v>6055</v>
      </c>
      <c r="AQ13" s="165">
        <v>6061</v>
      </c>
      <c r="AR13" s="240">
        <f t="shared" si="2"/>
        <v>6</v>
      </c>
      <c r="AS13" s="248">
        <f t="shared" si="36"/>
        <v>21971</v>
      </c>
      <c r="AT13" s="165">
        <v>21981</v>
      </c>
      <c r="AU13" s="240">
        <f t="shared" si="3"/>
        <v>10</v>
      </c>
      <c r="AV13" s="248">
        <f t="shared" si="37"/>
        <v>6076</v>
      </c>
      <c r="AW13" s="165">
        <v>6084</v>
      </c>
      <c r="AX13" s="240">
        <f t="shared" si="4"/>
        <v>8</v>
      </c>
      <c r="AY13" s="248">
        <f t="shared" si="38"/>
        <v>3353</v>
      </c>
      <c r="AZ13" s="165">
        <v>3356</v>
      </c>
      <c r="BA13" s="240">
        <f t="shared" si="5"/>
        <v>3</v>
      </c>
      <c r="BB13" s="248">
        <f t="shared" si="39"/>
        <v>1524</v>
      </c>
      <c r="BC13" s="165">
        <v>1525</v>
      </c>
      <c r="BD13" s="240">
        <f t="shared" si="6"/>
        <v>1</v>
      </c>
      <c r="BE13" s="248">
        <f t="shared" si="40"/>
        <v>26603</v>
      </c>
      <c r="BF13" s="165">
        <v>26605</v>
      </c>
      <c r="BG13" s="240">
        <f t="shared" si="7"/>
        <v>2</v>
      </c>
      <c r="BH13" s="248">
        <f t="shared" si="41"/>
        <v>2404</v>
      </c>
      <c r="BI13" s="165">
        <v>2406</v>
      </c>
      <c r="BJ13" s="240">
        <f t="shared" si="8"/>
        <v>2</v>
      </c>
      <c r="BK13" s="248">
        <f t="shared" si="42"/>
        <v>71462</v>
      </c>
      <c r="BL13" s="165">
        <v>71505</v>
      </c>
      <c r="BM13" s="240">
        <f t="shared" si="9"/>
        <v>43</v>
      </c>
      <c r="BN13" s="248">
        <f t="shared" si="43"/>
        <v>23205</v>
      </c>
      <c r="BO13" s="165">
        <v>23207</v>
      </c>
      <c r="BP13" s="240">
        <f t="shared" si="10"/>
        <v>2</v>
      </c>
      <c r="BQ13" s="248">
        <f t="shared" si="44"/>
        <v>12387</v>
      </c>
      <c r="BR13" s="165">
        <v>12388</v>
      </c>
      <c r="BS13" s="240">
        <f t="shared" si="11"/>
        <v>1</v>
      </c>
      <c r="BT13" s="248">
        <f t="shared" si="45"/>
        <v>17074</v>
      </c>
      <c r="BU13" s="165">
        <v>17077</v>
      </c>
      <c r="BV13" s="240">
        <f t="shared" si="12"/>
        <v>3</v>
      </c>
      <c r="BW13" s="248">
        <f t="shared" si="46"/>
        <v>19455</v>
      </c>
      <c r="BX13" s="165">
        <v>19458</v>
      </c>
      <c r="BY13" s="240">
        <f t="shared" si="13"/>
        <v>3</v>
      </c>
      <c r="BZ13" s="248">
        <f t="shared" si="47"/>
        <v>8385</v>
      </c>
      <c r="CA13" s="165">
        <v>8388</v>
      </c>
      <c r="CB13" s="240">
        <f t="shared" si="14"/>
        <v>3</v>
      </c>
      <c r="CC13" s="248">
        <f t="shared" si="48"/>
        <v>18059</v>
      </c>
      <c r="CD13" s="165">
        <v>18059</v>
      </c>
      <c r="CE13" s="240">
        <f t="shared" si="15"/>
        <v>0</v>
      </c>
      <c r="CF13" s="248">
        <f t="shared" si="49"/>
        <v>1812</v>
      </c>
      <c r="CG13" s="165">
        <v>1814</v>
      </c>
      <c r="CH13" s="240">
        <f t="shared" si="16"/>
        <v>2</v>
      </c>
      <c r="CI13" s="248">
        <f t="shared" si="50"/>
        <v>9569</v>
      </c>
      <c r="CJ13" s="165">
        <v>9570</v>
      </c>
      <c r="CK13" s="240">
        <f t="shared" si="17"/>
        <v>1</v>
      </c>
    </row>
    <row r="14" spans="1:89" ht="15" customHeight="1" x14ac:dyDescent="0.2">
      <c r="A14" s="166">
        <v>9</v>
      </c>
      <c r="B14" s="160">
        <f t="shared" si="18"/>
        <v>11438</v>
      </c>
      <c r="C14" s="164">
        <v>11454</v>
      </c>
      <c r="D14" s="165">
        <f t="shared" si="29"/>
        <v>16</v>
      </c>
      <c r="E14" s="222"/>
      <c r="F14" s="166">
        <v>9</v>
      </c>
      <c r="G14" s="160">
        <f t="shared" si="19"/>
        <v>6526</v>
      </c>
      <c r="H14" s="156">
        <v>6616</v>
      </c>
      <c r="I14" s="165">
        <f t="shared" si="51"/>
        <v>90</v>
      </c>
      <c r="J14" s="222"/>
      <c r="K14" s="166">
        <v>9</v>
      </c>
      <c r="L14" s="160">
        <f t="shared" si="21"/>
        <v>747200</v>
      </c>
      <c r="M14" s="164">
        <v>747340</v>
      </c>
      <c r="N14" s="165">
        <f t="shared" si="52"/>
        <v>140</v>
      </c>
      <c r="O14" s="159"/>
      <c r="P14" s="166">
        <v>9</v>
      </c>
      <c r="Q14" s="160">
        <f t="shared" si="23"/>
        <v>206474</v>
      </c>
      <c r="R14" s="164">
        <v>206546</v>
      </c>
      <c r="S14" s="165">
        <f t="shared" si="53"/>
        <v>72</v>
      </c>
      <c r="T14" s="158"/>
      <c r="U14" s="160">
        <v>9</v>
      </c>
      <c r="V14" s="250">
        <f t="shared" si="25"/>
        <v>318</v>
      </c>
      <c r="W14" s="161">
        <f>'Maldives at LG Daily'!I13</f>
        <v>16.5</v>
      </c>
      <c r="X14" s="167"/>
      <c r="Z14" s="242">
        <v>9</v>
      </c>
      <c r="AA14" s="165">
        <f t="shared" si="30"/>
        <v>37104</v>
      </c>
      <c r="AB14" s="165">
        <v>37119</v>
      </c>
      <c r="AC14" s="240">
        <f t="shared" si="26"/>
        <v>15</v>
      </c>
      <c r="AD14" s="248">
        <f t="shared" si="31"/>
        <v>7919</v>
      </c>
      <c r="AE14" s="165">
        <v>7924</v>
      </c>
      <c r="AF14" s="240">
        <f t="shared" si="27"/>
        <v>5</v>
      </c>
      <c r="AG14" s="248">
        <f t="shared" si="32"/>
        <v>5725</v>
      </c>
      <c r="AH14" s="165">
        <v>5732</v>
      </c>
      <c r="AI14" s="240">
        <f t="shared" si="28"/>
        <v>7</v>
      </c>
      <c r="AJ14" s="248">
        <f t="shared" si="33"/>
        <v>13976</v>
      </c>
      <c r="AK14" s="165">
        <v>13987</v>
      </c>
      <c r="AL14" s="240">
        <f t="shared" si="0"/>
        <v>11</v>
      </c>
      <c r="AM14" s="248">
        <f t="shared" si="34"/>
        <v>31895</v>
      </c>
      <c r="AN14" s="165">
        <v>31901</v>
      </c>
      <c r="AO14" s="240">
        <f t="shared" si="1"/>
        <v>6</v>
      </c>
      <c r="AP14" s="248">
        <f t="shared" si="35"/>
        <v>6061</v>
      </c>
      <c r="AQ14" s="165">
        <v>6067</v>
      </c>
      <c r="AR14" s="240">
        <f t="shared" si="2"/>
        <v>6</v>
      </c>
      <c r="AS14" s="248">
        <f t="shared" si="36"/>
        <v>21981</v>
      </c>
      <c r="AT14" s="165">
        <v>21981</v>
      </c>
      <c r="AU14" s="240">
        <f t="shared" si="3"/>
        <v>0</v>
      </c>
      <c r="AV14" s="248">
        <f t="shared" si="37"/>
        <v>6084</v>
      </c>
      <c r="AW14" s="165">
        <v>6084</v>
      </c>
      <c r="AX14" s="240">
        <f t="shared" si="4"/>
        <v>0</v>
      </c>
      <c r="AY14" s="248">
        <f t="shared" si="38"/>
        <v>3356</v>
      </c>
      <c r="AZ14" s="248">
        <v>3356</v>
      </c>
      <c r="BA14" s="240">
        <f t="shared" si="5"/>
        <v>0</v>
      </c>
      <c r="BB14" s="248">
        <f t="shared" si="39"/>
        <v>1525</v>
      </c>
      <c r="BC14" s="165">
        <v>1525</v>
      </c>
      <c r="BD14" s="240">
        <f t="shared" si="6"/>
        <v>0</v>
      </c>
      <c r="BE14" s="248">
        <f t="shared" si="40"/>
        <v>26605</v>
      </c>
      <c r="BF14" s="165">
        <v>26607</v>
      </c>
      <c r="BG14" s="240">
        <f t="shared" si="7"/>
        <v>2</v>
      </c>
      <c r="BH14" s="248">
        <f t="shared" si="41"/>
        <v>2406</v>
      </c>
      <c r="BI14" s="165">
        <v>2408</v>
      </c>
      <c r="BJ14" s="240">
        <f t="shared" si="8"/>
        <v>2</v>
      </c>
      <c r="BK14" s="248">
        <f t="shared" si="42"/>
        <v>71505</v>
      </c>
      <c r="BL14" s="165">
        <v>71525</v>
      </c>
      <c r="BM14" s="240">
        <f t="shared" si="9"/>
        <v>20</v>
      </c>
      <c r="BN14" s="248">
        <f t="shared" si="43"/>
        <v>23207</v>
      </c>
      <c r="BO14" s="165">
        <v>23208</v>
      </c>
      <c r="BP14" s="240">
        <f t="shared" si="10"/>
        <v>1</v>
      </c>
      <c r="BQ14" s="248">
        <f t="shared" si="44"/>
        <v>12388</v>
      </c>
      <c r="BR14" s="165">
        <v>12388</v>
      </c>
      <c r="BS14" s="240">
        <f t="shared" si="11"/>
        <v>0</v>
      </c>
      <c r="BT14" s="248">
        <f t="shared" si="45"/>
        <v>17077</v>
      </c>
      <c r="BU14" s="165">
        <v>17084</v>
      </c>
      <c r="BV14" s="240">
        <f t="shared" si="12"/>
        <v>7</v>
      </c>
      <c r="BW14" s="248">
        <f t="shared" si="46"/>
        <v>19458</v>
      </c>
      <c r="BX14" s="165">
        <v>19460</v>
      </c>
      <c r="BY14" s="240">
        <f t="shared" si="13"/>
        <v>2</v>
      </c>
      <c r="BZ14" s="248">
        <f t="shared" si="47"/>
        <v>8388</v>
      </c>
      <c r="CA14" s="165">
        <v>8391</v>
      </c>
      <c r="CB14" s="240">
        <f t="shared" si="14"/>
        <v>3</v>
      </c>
      <c r="CC14" s="248">
        <f t="shared" si="48"/>
        <v>18059</v>
      </c>
      <c r="CD14" s="165">
        <v>18059</v>
      </c>
      <c r="CE14" s="240">
        <f t="shared" si="15"/>
        <v>0</v>
      </c>
      <c r="CF14" s="248">
        <f t="shared" si="49"/>
        <v>1814</v>
      </c>
      <c r="CG14" s="165">
        <v>1815</v>
      </c>
      <c r="CH14" s="240">
        <f t="shared" si="16"/>
        <v>1</v>
      </c>
      <c r="CI14" s="248">
        <f t="shared" si="50"/>
        <v>9570</v>
      </c>
      <c r="CJ14" s="165">
        <v>9590</v>
      </c>
      <c r="CK14" s="240">
        <f t="shared" si="17"/>
        <v>20</v>
      </c>
    </row>
    <row r="15" spans="1:89" ht="15" customHeight="1" x14ac:dyDescent="0.2">
      <c r="A15" s="166">
        <v>10</v>
      </c>
      <c r="B15" s="160">
        <f t="shared" si="18"/>
        <v>11454</v>
      </c>
      <c r="C15" s="164">
        <v>11470</v>
      </c>
      <c r="D15" s="165">
        <f t="shared" si="29"/>
        <v>16</v>
      </c>
      <c r="E15" s="222"/>
      <c r="F15" s="166">
        <v>10</v>
      </c>
      <c r="G15" s="160">
        <f t="shared" si="19"/>
        <v>6616</v>
      </c>
      <c r="H15" s="156">
        <v>6670</v>
      </c>
      <c r="I15" s="165">
        <f t="shared" si="51"/>
        <v>54</v>
      </c>
      <c r="J15" s="222"/>
      <c r="K15" s="166">
        <v>10</v>
      </c>
      <c r="L15" s="160">
        <f t="shared" si="21"/>
        <v>747340</v>
      </c>
      <c r="M15" s="164">
        <v>747560</v>
      </c>
      <c r="N15" s="165">
        <f t="shared" si="52"/>
        <v>220</v>
      </c>
      <c r="O15" s="159"/>
      <c r="P15" s="166">
        <v>10</v>
      </c>
      <c r="Q15" s="160">
        <f t="shared" si="23"/>
        <v>206546</v>
      </c>
      <c r="R15" s="164">
        <v>206632</v>
      </c>
      <c r="S15" s="165">
        <f t="shared" si="53"/>
        <v>86</v>
      </c>
      <c r="T15" s="158"/>
      <c r="U15" s="160">
        <v>10</v>
      </c>
      <c r="V15" s="250">
        <f t="shared" si="25"/>
        <v>376</v>
      </c>
      <c r="W15" s="161">
        <f>'Maldives at LG Daily'!I14</f>
        <v>13.6</v>
      </c>
      <c r="X15" s="167"/>
      <c r="Z15" s="242">
        <v>10</v>
      </c>
      <c r="AA15" s="165">
        <f t="shared" si="30"/>
        <v>37119</v>
      </c>
      <c r="AB15" s="165">
        <v>37133</v>
      </c>
      <c r="AC15" s="240">
        <f t="shared" si="26"/>
        <v>14</v>
      </c>
      <c r="AD15" s="248">
        <f t="shared" si="31"/>
        <v>7924</v>
      </c>
      <c r="AE15" s="165">
        <v>7929</v>
      </c>
      <c r="AF15" s="240">
        <f t="shared" si="27"/>
        <v>5</v>
      </c>
      <c r="AG15" s="248">
        <f t="shared" si="32"/>
        <v>5732</v>
      </c>
      <c r="AH15" s="165">
        <v>5739</v>
      </c>
      <c r="AI15" s="240">
        <f t="shared" si="28"/>
        <v>7</v>
      </c>
      <c r="AJ15" s="248">
        <f t="shared" si="33"/>
        <v>13987</v>
      </c>
      <c r="AK15" s="165">
        <v>13997</v>
      </c>
      <c r="AL15" s="240">
        <f t="shared" si="0"/>
        <v>10</v>
      </c>
      <c r="AM15" s="248">
        <f t="shared" si="34"/>
        <v>31901</v>
      </c>
      <c r="AN15" s="165">
        <v>31907</v>
      </c>
      <c r="AO15" s="240">
        <f t="shared" si="1"/>
        <v>6</v>
      </c>
      <c r="AP15" s="248">
        <f t="shared" si="35"/>
        <v>6067</v>
      </c>
      <c r="AQ15" s="165">
        <v>6074</v>
      </c>
      <c r="AR15" s="240">
        <f t="shared" si="2"/>
        <v>7</v>
      </c>
      <c r="AS15" s="248">
        <f t="shared" si="36"/>
        <v>21981</v>
      </c>
      <c r="AT15" s="165">
        <v>21981</v>
      </c>
      <c r="AU15" s="240">
        <f t="shared" si="3"/>
        <v>0</v>
      </c>
      <c r="AV15" s="248">
        <f t="shared" si="37"/>
        <v>6084</v>
      </c>
      <c r="AW15" s="165">
        <v>6102</v>
      </c>
      <c r="AX15" s="240">
        <f t="shared" si="4"/>
        <v>18</v>
      </c>
      <c r="AY15" s="248">
        <f t="shared" si="38"/>
        <v>3356</v>
      </c>
      <c r="AZ15" s="165">
        <v>3356</v>
      </c>
      <c r="BA15" s="240">
        <f t="shared" si="5"/>
        <v>0</v>
      </c>
      <c r="BB15" s="248">
        <f t="shared" si="39"/>
        <v>1525</v>
      </c>
      <c r="BC15" s="165">
        <v>1525</v>
      </c>
      <c r="BD15" s="240">
        <f t="shared" si="6"/>
        <v>0</v>
      </c>
      <c r="BE15" s="248">
        <f t="shared" si="40"/>
        <v>26607</v>
      </c>
      <c r="BF15" s="165">
        <v>26607</v>
      </c>
      <c r="BG15" s="240">
        <f t="shared" si="7"/>
        <v>0</v>
      </c>
      <c r="BH15" s="248">
        <f t="shared" si="41"/>
        <v>2408</v>
      </c>
      <c r="BI15" s="165">
        <v>2409</v>
      </c>
      <c r="BJ15" s="240">
        <f t="shared" si="8"/>
        <v>1</v>
      </c>
      <c r="BK15" s="248">
        <f t="shared" si="42"/>
        <v>71525</v>
      </c>
      <c r="BL15" s="165">
        <v>71545</v>
      </c>
      <c r="BM15" s="240">
        <f t="shared" si="9"/>
        <v>20</v>
      </c>
      <c r="BN15" s="248">
        <f t="shared" si="43"/>
        <v>23208</v>
      </c>
      <c r="BO15" s="165">
        <v>23209</v>
      </c>
      <c r="BP15" s="240">
        <f t="shared" si="10"/>
        <v>1</v>
      </c>
      <c r="BQ15" s="248">
        <f t="shared" si="44"/>
        <v>12388</v>
      </c>
      <c r="BR15" s="165">
        <v>12389</v>
      </c>
      <c r="BS15" s="240">
        <f t="shared" si="11"/>
        <v>1</v>
      </c>
      <c r="BT15" s="248">
        <f t="shared" si="45"/>
        <v>17084</v>
      </c>
      <c r="BU15" s="165">
        <v>17089</v>
      </c>
      <c r="BV15" s="240">
        <f t="shared" si="12"/>
        <v>5</v>
      </c>
      <c r="BW15" s="248">
        <f t="shared" si="46"/>
        <v>19460</v>
      </c>
      <c r="BX15" s="165">
        <v>19461</v>
      </c>
      <c r="BY15" s="240">
        <f t="shared" si="13"/>
        <v>1</v>
      </c>
      <c r="BZ15" s="248">
        <f t="shared" si="47"/>
        <v>8391</v>
      </c>
      <c r="CA15" s="165">
        <v>8391</v>
      </c>
      <c r="CB15" s="240">
        <f t="shared" si="14"/>
        <v>0</v>
      </c>
      <c r="CC15" s="248">
        <f t="shared" si="48"/>
        <v>18059</v>
      </c>
      <c r="CD15" s="165">
        <v>18120</v>
      </c>
      <c r="CE15" s="240">
        <f t="shared" si="15"/>
        <v>61</v>
      </c>
      <c r="CF15" s="248">
        <f t="shared" si="49"/>
        <v>1815</v>
      </c>
      <c r="CG15" s="165">
        <v>1818</v>
      </c>
      <c r="CH15" s="240">
        <f t="shared" si="16"/>
        <v>3</v>
      </c>
      <c r="CI15" s="248">
        <f t="shared" si="50"/>
        <v>9590</v>
      </c>
      <c r="CJ15" s="165">
        <v>9600</v>
      </c>
      <c r="CK15" s="240">
        <f t="shared" si="17"/>
        <v>10</v>
      </c>
    </row>
    <row r="16" spans="1:89" ht="15" customHeight="1" x14ac:dyDescent="0.2">
      <c r="A16" s="166">
        <v>11</v>
      </c>
      <c r="B16" s="160">
        <f t="shared" si="18"/>
        <v>11470</v>
      </c>
      <c r="C16" s="164">
        <v>11520</v>
      </c>
      <c r="D16" s="165">
        <f t="shared" si="29"/>
        <v>50</v>
      </c>
      <c r="E16" s="222"/>
      <c r="F16" s="166">
        <v>11</v>
      </c>
      <c r="G16" s="160">
        <f t="shared" si="19"/>
        <v>6670</v>
      </c>
      <c r="H16" s="156">
        <v>6772</v>
      </c>
      <c r="I16" s="165">
        <f t="shared" si="51"/>
        <v>102</v>
      </c>
      <c r="J16" s="222"/>
      <c r="K16" s="166">
        <v>11</v>
      </c>
      <c r="L16" s="160">
        <f t="shared" si="21"/>
        <v>747560</v>
      </c>
      <c r="M16" s="164">
        <v>747678</v>
      </c>
      <c r="N16" s="165">
        <f t="shared" si="52"/>
        <v>118</v>
      </c>
      <c r="O16" s="159"/>
      <c r="P16" s="166">
        <v>11</v>
      </c>
      <c r="Q16" s="160">
        <f t="shared" si="23"/>
        <v>206632</v>
      </c>
      <c r="R16" s="164">
        <v>206648</v>
      </c>
      <c r="S16" s="165">
        <f t="shared" si="53"/>
        <v>16</v>
      </c>
      <c r="T16" s="158"/>
      <c r="U16" s="166">
        <v>11</v>
      </c>
      <c r="V16" s="250">
        <f t="shared" si="25"/>
        <v>286</v>
      </c>
      <c r="W16" s="161">
        <f>'Maldives at LG Daily'!I15</f>
        <v>11.7</v>
      </c>
      <c r="X16" s="167"/>
      <c r="Z16" s="242">
        <v>11</v>
      </c>
      <c r="AA16" s="165">
        <f t="shared" si="30"/>
        <v>37133</v>
      </c>
      <c r="AB16" s="165">
        <v>37150</v>
      </c>
      <c r="AC16" s="240">
        <f t="shared" si="26"/>
        <v>17</v>
      </c>
      <c r="AD16" s="248">
        <f t="shared" si="31"/>
        <v>7929</v>
      </c>
      <c r="AE16" s="165">
        <v>7934</v>
      </c>
      <c r="AF16" s="240">
        <f t="shared" si="27"/>
        <v>5</v>
      </c>
      <c r="AG16" s="248">
        <f t="shared" ref="AG16:AG36" si="54">AH15</f>
        <v>5739</v>
      </c>
      <c r="AH16" s="165">
        <v>5746</v>
      </c>
      <c r="AI16" s="240">
        <f t="shared" si="28"/>
        <v>7</v>
      </c>
      <c r="AJ16" s="248">
        <f t="shared" si="33"/>
        <v>13997</v>
      </c>
      <c r="AK16" s="165">
        <v>14009</v>
      </c>
      <c r="AL16" s="240">
        <f t="shared" si="0"/>
        <v>12</v>
      </c>
      <c r="AM16" s="248">
        <f t="shared" si="34"/>
        <v>31907</v>
      </c>
      <c r="AN16" s="165">
        <v>31915</v>
      </c>
      <c r="AO16" s="240">
        <f t="shared" si="1"/>
        <v>8</v>
      </c>
      <c r="AP16" s="248">
        <f t="shared" si="35"/>
        <v>6074</v>
      </c>
      <c r="AQ16" s="165">
        <v>6080</v>
      </c>
      <c r="AR16" s="240">
        <f t="shared" si="2"/>
        <v>6</v>
      </c>
      <c r="AS16" s="248">
        <f t="shared" ref="AS16:AS36" si="55">AT15</f>
        <v>21981</v>
      </c>
      <c r="AT16" s="165">
        <v>21981</v>
      </c>
      <c r="AU16" s="240">
        <f t="shared" si="3"/>
        <v>0</v>
      </c>
      <c r="AV16" s="248">
        <f t="shared" ref="AV16:AV36" si="56">AW15</f>
        <v>6102</v>
      </c>
      <c r="AW16" s="165">
        <v>6111</v>
      </c>
      <c r="AX16" s="240">
        <f t="shared" si="4"/>
        <v>9</v>
      </c>
      <c r="AY16" s="248">
        <f t="shared" ref="AY16:AY36" si="57">AZ15</f>
        <v>3356</v>
      </c>
      <c r="AZ16" s="165">
        <v>3361</v>
      </c>
      <c r="BA16" s="240">
        <f t="shared" si="5"/>
        <v>5</v>
      </c>
      <c r="BB16" s="248">
        <f t="shared" si="39"/>
        <v>1525</v>
      </c>
      <c r="BC16" s="165">
        <v>1525</v>
      </c>
      <c r="BD16" s="240">
        <f t="shared" si="6"/>
        <v>0</v>
      </c>
      <c r="BE16" s="248">
        <f t="shared" si="40"/>
        <v>26607</v>
      </c>
      <c r="BF16" s="165">
        <v>26608</v>
      </c>
      <c r="BG16" s="240">
        <f t="shared" si="7"/>
        <v>1</v>
      </c>
      <c r="BH16" s="248">
        <f t="shared" si="41"/>
        <v>2409</v>
      </c>
      <c r="BI16" s="165">
        <v>2409</v>
      </c>
      <c r="BJ16" s="240">
        <f t="shared" si="8"/>
        <v>0</v>
      </c>
      <c r="BK16" s="248">
        <f t="shared" si="42"/>
        <v>71545</v>
      </c>
      <c r="BL16" s="165">
        <v>71566</v>
      </c>
      <c r="BM16" s="240">
        <f t="shared" si="9"/>
        <v>21</v>
      </c>
      <c r="BN16" s="248">
        <f t="shared" si="43"/>
        <v>23209</v>
      </c>
      <c r="BO16" s="165">
        <v>23211</v>
      </c>
      <c r="BP16" s="240">
        <f t="shared" si="10"/>
        <v>2</v>
      </c>
      <c r="BQ16" s="248">
        <f t="shared" si="44"/>
        <v>12389</v>
      </c>
      <c r="BR16" s="165">
        <v>12390</v>
      </c>
      <c r="BS16" s="240">
        <f t="shared" si="11"/>
        <v>1</v>
      </c>
      <c r="BT16" s="248">
        <f t="shared" ref="BT16:BT36" si="58">BU15</f>
        <v>17089</v>
      </c>
      <c r="BU16" s="165">
        <v>17097</v>
      </c>
      <c r="BV16" s="240">
        <f t="shared" si="12"/>
        <v>8</v>
      </c>
      <c r="BW16" s="248">
        <f t="shared" ref="BW16:BW36" si="59">BX15</f>
        <v>19461</v>
      </c>
      <c r="BX16" s="165">
        <v>19464</v>
      </c>
      <c r="BY16" s="240">
        <f t="shared" si="13"/>
        <v>3</v>
      </c>
      <c r="BZ16" s="248">
        <f t="shared" si="47"/>
        <v>8391</v>
      </c>
      <c r="CA16" s="165">
        <v>8393</v>
      </c>
      <c r="CB16" s="240">
        <f t="shared" si="14"/>
        <v>2</v>
      </c>
      <c r="CC16" s="248">
        <f t="shared" si="48"/>
        <v>18120</v>
      </c>
      <c r="CD16" s="165">
        <v>18120</v>
      </c>
      <c r="CE16" s="240">
        <f t="shared" si="15"/>
        <v>0</v>
      </c>
      <c r="CF16" s="248">
        <f t="shared" si="49"/>
        <v>1818</v>
      </c>
      <c r="CG16" s="165">
        <v>1822</v>
      </c>
      <c r="CH16" s="240">
        <f t="shared" si="16"/>
        <v>4</v>
      </c>
      <c r="CI16" s="248">
        <f t="shared" si="50"/>
        <v>9600</v>
      </c>
      <c r="CJ16" s="165">
        <v>9600</v>
      </c>
      <c r="CK16" s="240">
        <f t="shared" si="17"/>
        <v>0</v>
      </c>
    </row>
    <row r="17" spans="1:89" ht="15" customHeight="1" x14ac:dyDescent="0.2">
      <c r="A17" s="166">
        <v>12</v>
      </c>
      <c r="B17" s="160">
        <f t="shared" si="18"/>
        <v>11520</v>
      </c>
      <c r="C17" s="164">
        <v>11542</v>
      </c>
      <c r="D17" s="165">
        <f t="shared" si="29"/>
        <v>22</v>
      </c>
      <c r="E17" s="222"/>
      <c r="F17" s="166">
        <v>12</v>
      </c>
      <c r="G17" s="160">
        <f t="shared" si="19"/>
        <v>6772</v>
      </c>
      <c r="H17" s="164">
        <v>6851</v>
      </c>
      <c r="I17" s="165">
        <f t="shared" si="51"/>
        <v>79</v>
      </c>
      <c r="J17" s="222"/>
      <c r="K17" s="166">
        <v>12</v>
      </c>
      <c r="L17" s="160">
        <f t="shared" si="21"/>
        <v>747678</v>
      </c>
      <c r="M17" s="164">
        <v>747836</v>
      </c>
      <c r="N17" s="165">
        <f t="shared" si="52"/>
        <v>158</v>
      </c>
      <c r="O17" s="159"/>
      <c r="P17" s="166">
        <v>12</v>
      </c>
      <c r="Q17" s="160">
        <f t="shared" si="23"/>
        <v>206648</v>
      </c>
      <c r="R17" s="164">
        <v>206689</v>
      </c>
      <c r="S17" s="165">
        <f t="shared" si="53"/>
        <v>41</v>
      </c>
      <c r="T17" s="158"/>
      <c r="U17" s="160">
        <v>12</v>
      </c>
      <c r="V17" s="250">
        <f t="shared" si="25"/>
        <v>300</v>
      </c>
      <c r="W17" s="161">
        <f>'Maldives at LG Daily'!I16</f>
        <v>11.7</v>
      </c>
      <c r="X17" s="167"/>
      <c r="Z17" s="242">
        <v>12</v>
      </c>
      <c r="AA17" s="165">
        <f t="shared" si="30"/>
        <v>37150</v>
      </c>
      <c r="AB17" s="165">
        <v>37167</v>
      </c>
      <c r="AC17" s="240">
        <f t="shared" si="26"/>
        <v>17</v>
      </c>
      <c r="AD17" s="248">
        <f t="shared" si="31"/>
        <v>7934</v>
      </c>
      <c r="AE17" s="165">
        <v>7939</v>
      </c>
      <c r="AF17" s="240">
        <f t="shared" si="27"/>
        <v>5</v>
      </c>
      <c r="AG17" s="248">
        <f t="shared" si="54"/>
        <v>5746</v>
      </c>
      <c r="AH17" s="165">
        <v>5753</v>
      </c>
      <c r="AI17" s="240">
        <f t="shared" si="28"/>
        <v>7</v>
      </c>
      <c r="AJ17" s="248">
        <f t="shared" si="33"/>
        <v>14009</v>
      </c>
      <c r="AK17" s="165">
        <v>14021</v>
      </c>
      <c r="AL17" s="240">
        <f t="shared" si="0"/>
        <v>12</v>
      </c>
      <c r="AM17" s="248">
        <f t="shared" si="34"/>
        <v>31915</v>
      </c>
      <c r="AN17" s="165">
        <v>31923</v>
      </c>
      <c r="AO17" s="240">
        <f t="shared" si="1"/>
        <v>8</v>
      </c>
      <c r="AP17" s="248">
        <f t="shared" si="35"/>
        <v>6080</v>
      </c>
      <c r="AQ17" s="165">
        <v>6086</v>
      </c>
      <c r="AR17" s="240">
        <f t="shared" si="2"/>
        <v>6</v>
      </c>
      <c r="AS17" s="248">
        <f t="shared" si="55"/>
        <v>21981</v>
      </c>
      <c r="AT17" s="252">
        <v>21981</v>
      </c>
      <c r="AU17" s="240">
        <f t="shared" si="3"/>
        <v>0</v>
      </c>
      <c r="AV17" s="248">
        <f t="shared" si="56"/>
        <v>6111</v>
      </c>
      <c r="AW17" s="165">
        <v>6120</v>
      </c>
      <c r="AX17" s="240">
        <f t="shared" si="4"/>
        <v>9</v>
      </c>
      <c r="AY17" s="248">
        <f t="shared" si="57"/>
        <v>3361</v>
      </c>
      <c r="AZ17" s="165">
        <v>3363</v>
      </c>
      <c r="BA17" s="240">
        <f t="shared" si="5"/>
        <v>2</v>
      </c>
      <c r="BB17" s="248">
        <f t="shared" si="39"/>
        <v>1525</v>
      </c>
      <c r="BC17" s="165">
        <v>1525</v>
      </c>
      <c r="BD17" s="240">
        <f t="shared" si="6"/>
        <v>0</v>
      </c>
      <c r="BE17" s="248">
        <f t="shared" ref="BE17:BE36" si="60">BF16</f>
        <v>26608</v>
      </c>
      <c r="BF17" s="165">
        <v>26609</v>
      </c>
      <c r="BG17" s="240">
        <f t="shared" si="7"/>
        <v>1</v>
      </c>
      <c r="BH17" s="248">
        <f t="shared" ref="BH17:BH36" si="61">BI16</f>
        <v>2409</v>
      </c>
      <c r="BI17" s="165">
        <v>2409</v>
      </c>
      <c r="BJ17" s="240">
        <f t="shared" si="8"/>
        <v>0</v>
      </c>
      <c r="BK17" s="248">
        <f t="shared" si="42"/>
        <v>71566</v>
      </c>
      <c r="BL17" s="165">
        <v>71587</v>
      </c>
      <c r="BM17" s="240">
        <f t="shared" si="9"/>
        <v>21</v>
      </c>
      <c r="BN17" s="248">
        <f t="shared" si="43"/>
        <v>23211</v>
      </c>
      <c r="BO17" s="165">
        <v>23213</v>
      </c>
      <c r="BP17" s="240">
        <f t="shared" si="10"/>
        <v>2</v>
      </c>
      <c r="BQ17" s="248">
        <f t="shared" si="44"/>
        <v>12390</v>
      </c>
      <c r="BR17" s="165">
        <v>12391</v>
      </c>
      <c r="BS17" s="240">
        <f t="shared" si="11"/>
        <v>1</v>
      </c>
      <c r="BT17" s="248">
        <f t="shared" si="58"/>
        <v>17097</v>
      </c>
      <c r="BU17" s="165">
        <v>17104</v>
      </c>
      <c r="BV17" s="240">
        <f t="shared" si="12"/>
        <v>7</v>
      </c>
      <c r="BW17" s="248">
        <f t="shared" si="59"/>
        <v>19464</v>
      </c>
      <c r="BX17" s="165">
        <v>19467</v>
      </c>
      <c r="BY17" s="240">
        <f t="shared" si="13"/>
        <v>3</v>
      </c>
      <c r="BZ17" s="248">
        <f t="shared" si="47"/>
        <v>8393</v>
      </c>
      <c r="CA17" s="165">
        <v>8395</v>
      </c>
      <c r="CB17" s="240">
        <f t="shared" si="14"/>
        <v>2</v>
      </c>
      <c r="CC17" s="248">
        <f t="shared" si="48"/>
        <v>18120</v>
      </c>
      <c r="CD17" s="165">
        <v>18120</v>
      </c>
      <c r="CE17" s="240">
        <f t="shared" si="15"/>
        <v>0</v>
      </c>
      <c r="CF17" s="248">
        <f t="shared" si="49"/>
        <v>1822</v>
      </c>
      <c r="CG17" s="165">
        <v>1824</v>
      </c>
      <c r="CH17" s="240">
        <f t="shared" si="16"/>
        <v>2</v>
      </c>
      <c r="CI17" s="248">
        <f t="shared" si="50"/>
        <v>9600</v>
      </c>
      <c r="CJ17" s="165">
        <v>9600</v>
      </c>
      <c r="CK17" s="240">
        <f t="shared" si="17"/>
        <v>0</v>
      </c>
    </row>
    <row r="18" spans="1:89" ht="15" customHeight="1" x14ac:dyDescent="0.2">
      <c r="A18" s="166">
        <v>13</v>
      </c>
      <c r="B18" s="160">
        <f t="shared" si="18"/>
        <v>11542</v>
      </c>
      <c r="C18" s="164">
        <v>11628</v>
      </c>
      <c r="D18" s="165">
        <f t="shared" si="29"/>
        <v>86</v>
      </c>
      <c r="E18" s="222"/>
      <c r="F18" s="166">
        <v>13</v>
      </c>
      <c r="G18" s="160">
        <f t="shared" si="19"/>
        <v>6851</v>
      </c>
      <c r="H18" s="164">
        <v>6913</v>
      </c>
      <c r="I18" s="165">
        <f t="shared" si="51"/>
        <v>62</v>
      </c>
      <c r="J18" s="222"/>
      <c r="K18" s="166">
        <v>13</v>
      </c>
      <c r="L18" s="160">
        <f t="shared" si="21"/>
        <v>747836</v>
      </c>
      <c r="M18" s="164">
        <v>748007</v>
      </c>
      <c r="N18" s="165">
        <f t="shared" si="52"/>
        <v>171</v>
      </c>
      <c r="O18" s="159"/>
      <c r="P18" s="166">
        <v>13</v>
      </c>
      <c r="Q18" s="160">
        <f t="shared" si="23"/>
        <v>206689</v>
      </c>
      <c r="R18" s="164">
        <v>206689</v>
      </c>
      <c r="S18" s="165">
        <f t="shared" si="53"/>
        <v>0</v>
      </c>
      <c r="T18" s="158"/>
      <c r="U18" s="160">
        <v>13</v>
      </c>
      <c r="V18" s="250">
        <f t="shared" si="25"/>
        <v>319</v>
      </c>
      <c r="W18" s="161">
        <f>'Maldives at LG Daily'!I17</f>
        <v>12.6</v>
      </c>
      <c r="X18" s="167"/>
      <c r="Z18" s="242">
        <v>13</v>
      </c>
      <c r="AA18" s="165">
        <f t="shared" si="30"/>
        <v>37167</v>
      </c>
      <c r="AB18" s="165">
        <v>37182</v>
      </c>
      <c r="AC18" s="240">
        <f t="shared" si="26"/>
        <v>15</v>
      </c>
      <c r="AD18" s="248">
        <f t="shared" si="31"/>
        <v>7939</v>
      </c>
      <c r="AE18" s="165">
        <v>7945</v>
      </c>
      <c r="AF18" s="240">
        <f t="shared" si="27"/>
        <v>6</v>
      </c>
      <c r="AG18" s="248">
        <f t="shared" si="54"/>
        <v>5753</v>
      </c>
      <c r="AH18" s="165">
        <v>5760</v>
      </c>
      <c r="AI18" s="240">
        <f t="shared" si="28"/>
        <v>7</v>
      </c>
      <c r="AJ18" s="248">
        <f t="shared" si="33"/>
        <v>14021</v>
      </c>
      <c r="AK18" s="165">
        <v>14030</v>
      </c>
      <c r="AL18" s="240">
        <f t="shared" si="0"/>
        <v>9</v>
      </c>
      <c r="AM18" s="248">
        <f t="shared" si="34"/>
        <v>31923</v>
      </c>
      <c r="AN18" s="165">
        <v>31928</v>
      </c>
      <c r="AO18" s="240">
        <f t="shared" si="1"/>
        <v>5</v>
      </c>
      <c r="AP18" s="248">
        <f t="shared" si="35"/>
        <v>6086</v>
      </c>
      <c r="AQ18" s="165">
        <v>6093</v>
      </c>
      <c r="AR18" s="240">
        <f t="shared" si="2"/>
        <v>7</v>
      </c>
      <c r="AS18" s="248">
        <f t="shared" si="55"/>
        <v>21981</v>
      </c>
      <c r="AT18" s="165">
        <v>21981</v>
      </c>
      <c r="AU18" s="240">
        <f t="shared" si="3"/>
        <v>0</v>
      </c>
      <c r="AV18" s="248">
        <f t="shared" si="56"/>
        <v>6120</v>
      </c>
      <c r="AW18" s="165">
        <v>6128</v>
      </c>
      <c r="AX18" s="240">
        <f t="shared" si="4"/>
        <v>8</v>
      </c>
      <c r="AY18" s="248">
        <f t="shared" si="57"/>
        <v>3363</v>
      </c>
      <c r="AZ18" s="165">
        <v>3365</v>
      </c>
      <c r="BA18" s="240">
        <f t="shared" si="5"/>
        <v>2</v>
      </c>
      <c r="BB18" s="248">
        <f t="shared" si="39"/>
        <v>1525</v>
      </c>
      <c r="BC18" s="165">
        <v>1525</v>
      </c>
      <c r="BD18" s="240">
        <f t="shared" si="6"/>
        <v>0</v>
      </c>
      <c r="BE18" s="248">
        <f t="shared" si="60"/>
        <v>26609</v>
      </c>
      <c r="BF18" s="165">
        <v>26611</v>
      </c>
      <c r="BG18" s="240">
        <f t="shared" si="7"/>
        <v>2</v>
      </c>
      <c r="BH18" s="248">
        <f t="shared" si="61"/>
        <v>2409</v>
      </c>
      <c r="BI18" s="165">
        <v>2414</v>
      </c>
      <c r="BJ18" s="240">
        <f t="shared" si="8"/>
        <v>5</v>
      </c>
      <c r="BK18" s="248">
        <f t="shared" si="42"/>
        <v>71587</v>
      </c>
      <c r="BL18" s="165">
        <v>71602</v>
      </c>
      <c r="BM18" s="240">
        <f t="shared" si="9"/>
        <v>15</v>
      </c>
      <c r="BN18" s="248">
        <f t="shared" si="43"/>
        <v>23213</v>
      </c>
      <c r="BO18" s="165">
        <v>23213</v>
      </c>
      <c r="BP18" s="240">
        <f t="shared" si="10"/>
        <v>0</v>
      </c>
      <c r="BQ18" s="248">
        <f t="shared" si="44"/>
        <v>12391</v>
      </c>
      <c r="BR18" s="165">
        <v>12391</v>
      </c>
      <c r="BS18" s="240">
        <f t="shared" si="11"/>
        <v>0</v>
      </c>
      <c r="BT18" s="248">
        <f t="shared" si="58"/>
        <v>17104</v>
      </c>
      <c r="BU18" s="165">
        <v>17104</v>
      </c>
      <c r="BV18" s="240">
        <f t="shared" si="12"/>
        <v>0</v>
      </c>
      <c r="BW18" s="248">
        <f t="shared" si="59"/>
        <v>19467</v>
      </c>
      <c r="BX18" s="165">
        <v>19468</v>
      </c>
      <c r="BY18" s="240">
        <f t="shared" si="13"/>
        <v>1</v>
      </c>
      <c r="BZ18" s="248">
        <f t="shared" si="47"/>
        <v>8395</v>
      </c>
      <c r="CA18" s="165">
        <v>8398</v>
      </c>
      <c r="CB18" s="240">
        <f t="shared" si="14"/>
        <v>3</v>
      </c>
      <c r="CC18" s="248">
        <f t="shared" si="48"/>
        <v>18120</v>
      </c>
      <c r="CD18" s="165">
        <v>18170</v>
      </c>
      <c r="CE18" s="240">
        <f t="shared" si="15"/>
        <v>50</v>
      </c>
      <c r="CF18" s="248">
        <f t="shared" si="49"/>
        <v>1824</v>
      </c>
      <c r="CG18" s="165">
        <v>1826</v>
      </c>
      <c r="CH18" s="240">
        <f t="shared" si="16"/>
        <v>2</v>
      </c>
      <c r="CI18" s="248">
        <f t="shared" si="50"/>
        <v>9600</v>
      </c>
      <c r="CJ18" s="165">
        <v>9601</v>
      </c>
      <c r="CK18" s="240">
        <f t="shared" si="17"/>
        <v>1</v>
      </c>
    </row>
    <row r="19" spans="1:89" ht="15" customHeight="1" x14ac:dyDescent="0.2">
      <c r="A19" s="166">
        <v>14</v>
      </c>
      <c r="B19" s="160">
        <f t="shared" si="18"/>
        <v>11628</v>
      </c>
      <c r="C19" s="164">
        <v>11628</v>
      </c>
      <c r="D19" s="165">
        <f t="shared" si="29"/>
        <v>0</v>
      </c>
      <c r="E19" s="222"/>
      <c r="F19" s="166">
        <v>14</v>
      </c>
      <c r="G19" s="160">
        <f t="shared" si="19"/>
        <v>6913</v>
      </c>
      <c r="H19" s="164">
        <v>6990</v>
      </c>
      <c r="I19" s="165">
        <f t="shared" si="51"/>
        <v>77</v>
      </c>
      <c r="J19" s="222"/>
      <c r="K19" s="166">
        <v>14</v>
      </c>
      <c r="L19" s="160">
        <f t="shared" si="21"/>
        <v>748007</v>
      </c>
      <c r="M19" s="164">
        <v>748155</v>
      </c>
      <c r="N19" s="165">
        <f t="shared" si="52"/>
        <v>148</v>
      </c>
      <c r="O19" s="159"/>
      <c r="P19" s="166">
        <v>14</v>
      </c>
      <c r="Q19" s="160">
        <f t="shared" si="23"/>
        <v>206689</v>
      </c>
      <c r="R19" s="164">
        <v>206762</v>
      </c>
      <c r="S19" s="165">
        <f t="shared" si="53"/>
        <v>73</v>
      </c>
      <c r="T19" s="158"/>
      <c r="U19" s="166">
        <v>14</v>
      </c>
      <c r="V19" s="250">
        <f t="shared" si="25"/>
        <v>298</v>
      </c>
      <c r="W19" s="161">
        <f>'Maldives at LG Daily'!I18</f>
        <v>13.6</v>
      </c>
      <c r="X19" s="167"/>
      <c r="Z19" s="242">
        <v>14</v>
      </c>
      <c r="AA19" s="165">
        <f t="shared" si="30"/>
        <v>37182</v>
      </c>
      <c r="AB19" s="165">
        <v>37197</v>
      </c>
      <c r="AC19" s="240">
        <f t="shared" si="26"/>
        <v>15</v>
      </c>
      <c r="AD19" s="248">
        <f t="shared" si="31"/>
        <v>7945</v>
      </c>
      <c r="AE19" s="165">
        <v>7950</v>
      </c>
      <c r="AF19" s="240">
        <f t="shared" si="27"/>
        <v>5</v>
      </c>
      <c r="AG19" s="248">
        <f t="shared" si="54"/>
        <v>5760</v>
      </c>
      <c r="AH19" s="165">
        <v>5764</v>
      </c>
      <c r="AI19" s="240">
        <f t="shared" si="28"/>
        <v>4</v>
      </c>
      <c r="AJ19" s="248">
        <f t="shared" si="33"/>
        <v>14030</v>
      </c>
      <c r="AK19" s="165">
        <v>14041</v>
      </c>
      <c r="AL19" s="240">
        <f t="shared" si="0"/>
        <v>11</v>
      </c>
      <c r="AM19" s="248">
        <f t="shared" si="34"/>
        <v>31928</v>
      </c>
      <c r="AN19" s="165">
        <v>31935</v>
      </c>
      <c r="AO19" s="240">
        <f t="shared" si="1"/>
        <v>7</v>
      </c>
      <c r="AP19" s="248">
        <f t="shared" si="35"/>
        <v>6093</v>
      </c>
      <c r="AQ19" s="165">
        <v>6098</v>
      </c>
      <c r="AR19" s="240">
        <f t="shared" si="2"/>
        <v>5</v>
      </c>
      <c r="AS19" s="248">
        <f t="shared" si="55"/>
        <v>21981</v>
      </c>
      <c r="AT19" s="165">
        <v>21981</v>
      </c>
      <c r="AU19" s="240">
        <f t="shared" si="3"/>
        <v>0</v>
      </c>
      <c r="AV19" s="248">
        <f t="shared" si="56"/>
        <v>6128</v>
      </c>
      <c r="AW19" s="165">
        <v>6136</v>
      </c>
      <c r="AX19" s="240">
        <f t="shared" si="4"/>
        <v>8</v>
      </c>
      <c r="AY19" s="248">
        <f t="shared" si="57"/>
        <v>3365</v>
      </c>
      <c r="AZ19" s="165">
        <v>3366</v>
      </c>
      <c r="BA19" s="240">
        <f t="shared" si="5"/>
        <v>1</v>
      </c>
      <c r="BB19" s="248">
        <f t="shared" si="39"/>
        <v>1525</v>
      </c>
      <c r="BC19" s="165">
        <v>1525</v>
      </c>
      <c r="BD19" s="240">
        <f t="shared" si="6"/>
        <v>0</v>
      </c>
      <c r="BE19" s="248">
        <f t="shared" si="60"/>
        <v>26611</v>
      </c>
      <c r="BF19" s="165">
        <v>26613</v>
      </c>
      <c r="BG19" s="240">
        <f t="shared" si="7"/>
        <v>2</v>
      </c>
      <c r="BH19" s="248">
        <f t="shared" si="61"/>
        <v>2414</v>
      </c>
      <c r="BI19" s="165">
        <v>2415</v>
      </c>
      <c r="BJ19" s="240">
        <f t="shared" si="8"/>
        <v>1</v>
      </c>
      <c r="BK19" s="248">
        <f t="shared" ref="BK19:BK36" si="62">BL18</f>
        <v>71602</v>
      </c>
      <c r="BL19" s="165">
        <v>71627</v>
      </c>
      <c r="BM19" s="240">
        <f t="shared" si="9"/>
        <v>25</v>
      </c>
      <c r="BN19" s="248">
        <f t="shared" si="43"/>
        <v>23213</v>
      </c>
      <c r="BO19" s="165">
        <v>23214</v>
      </c>
      <c r="BP19" s="240">
        <f t="shared" si="10"/>
        <v>1</v>
      </c>
      <c r="BQ19" s="248">
        <f t="shared" si="44"/>
        <v>12391</v>
      </c>
      <c r="BR19" s="165">
        <v>12392</v>
      </c>
      <c r="BS19" s="240">
        <f t="shared" si="11"/>
        <v>1</v>
      </c>
      <c r="BT19" s="248">
        <f t="shared" si="58"/>
        <v>17104</v>
      </c>
      <c r="BU19" s="165">
        <v>17111</v>
      </c>
      <c r="BV19" s="240">
        <f t="shared" si="12"/>
        <v>7</v>
      </c>
      <c r="BW19" s="248">
        <f t="shared" si="59"/>
        <v>19468</v>
      </c>
      <c r="BX19" s="165">
        <v>19469</v>
      </c>
      <c r="BY19" s="240">
        <f t="shared" si="13"/>
        <v>1</v>
      </c>
      <c r="BZ19" s="248">
        <f t="shared" ref="BZ19:BZ36" si="63">CA18</f>
        <v>8398</v>
      </c>
      <c r="CA19" s="165">
        <v>8399</v>
      </c>
      <c r="CB19" s="240">
        <f t="shared" si="14"/>
        <v>1</v>
      </c>
      <c r="CC19" s="248">
        <f t="shared" si="48"/>
        <v>18170</v>
      </c>
      <c r="CD19" s="165">
        <v>18170</v>
      </c>
      <c r="CE19" s="240">
        <f t="shared" si="15"/>
        <v>0</v>
      </c>
      <c r="CF19" s="248">
        <f t="shared" si="49"/>
        <v>1826</v>
      </c>
      <c r="CG19" s="165">
        <v>1830</v>
      </c>
      <c r="CH19" s="240">
        <f t="shared" si="16"/>
        <v>4</v>
      </c>
      <c r="CI19" s="248">
        <f t="shared" si="50"/>
        <v>9601</v>
      </c>
      <c r="CJ19" s="165">
        <v>9601</v>
      </c>
      <c r="CK19" s="240">
        <f t="shared" si="17"/>
        <v>0</v>
      </c>
    </row>
    <row r="20" spans="1:89" ht="15" customHeight="1" x14ac:dyDescent="0.2">
      <c r="A20" s="166">
        <v>15</v>
      </c>
      <c r="B20" s="160">
        <f t="shared" si="18"/>
        <v>11628</v>
      </c>
      <c r="C20" s="164">
        <v>11719</v>
      </c>
      <c r="D20" s="165">
        <f t="shared" si="29"/>
        <v>91</v>
      </c>
      <c r="E20" s="222"/>
      <c r="F20" s="166">
        <v>15</v>
      </c>
      <c r="G20" s="160">
        <f t="shared" si="19"/>
        <v>6990</v>
      </c>
      <c r="H20" s="164">
        <v>7085</v>
      </c>
      <c r="I20" s="165">
        <f t="shared" si="51"/>
        <v>95</v>
      </c>
      <c r="J20" s="222"/>
      <c r="K20" s="166">
        <v>15</v>
      </c>
      <c r="L20" s="160">
        <f t="shared" si="21"/>
        <v>748155</v>
      </c>
      <c r="M20" s="164">
        <v>748327</v>
      </c>
      <c r="N20" s="165">
        <f t="shared" si="52"/>
        <v>172</v>
      </c>
      <c r="O20" s="159"/>
      <c r="P20" s="166">
        <v>15</v>
      </c>
      <c r="Q20" s="160">
        <f t="shared" si="23"/>
        <v>206762</v>
      </c>
      <c r="R20" s="164">
        <v>206762</v>
      </c>
      <c r="S20" s="165">
        <f t="shared" si="53"/>
        <v>0</v>
      </c>
      <c r="T20" s="158"/>
      <c r="U20" s="160">
        <v>15</v>
      </c>
      <c r="V20" s="250">
        <f t="shared" si="25"/>
        <v>358</v>
      </c>
      <c r="W20" s="161">
        <f>'Maldives at LG Daily'!I19</f>
        <v>16.5</v>
      </c>
      <c r="X20" s="167"/>
      <c r="Z20" s="242">
        <v>15</v>
      </c>
      <c r="AA20" s="165">
        <f t="shared" si="30"/>
        <v>37197</v>
      </c>
      <c r="AB20" s="165">
        <v>37216</v>
      </c>
      <c r="AC20" s="240">
        <f t="shared" si="26"/>
        <v>19</v>
      </c>
      <c r="AD20" s="248">
        <f t="shared" si="31"/>
        <v>7950</v>
      </c>
      <c r="AE20" s="165">
        <v>7957</v>
      </c>
      <c r="AF20" s="240">
        <f t="shared" si="27"/>
        <v>7</v>
      </c>
      <c r="AG20" s="248">
        <f t="shared" si="54"/>
        <v>5764</v>
      </c>
      <c r="AH20" s="165">
        <v>5776</v>
      </c>
      <c r="AI20" s="240">
        <f t="shared" si="28"/>
        <v>12</v>
      </c>
      <c r="AJ20" s="248">
        <f t="shared" si="33"/>
        <v>14041</v>
      </c>
      <c r="AK20" s="165">
        <v>14053</v>
      </c>
      <c r="AL20" s="240">
        <f t="shared" si="0"/>
        <v>12</v>
      </c>
      <c r="AM20" s="248">
        <f t="shared" si="34"/>
        <v>31935</v>
      </c>
      <c r="AN20" s="165">
        <v>31943</v>
      </c>
      <c r="AO20" s="240">
        <f t="shared" si="1"/>
        <v>8</v>
      </c>
      <c r="AP20" s="248">
        <f t="shared" si="35"/>
        <v>6098</v>
      </c>
      <c r="AQ20" s="165">
        <v>6105</v>
      </c>
      <c r="AR20" s="240">
        <f t="shared" si="2"/>
        <v>7</v>
      </c>
      <c r="AS20" s="248">
        <f t="shared" si="55"/>
        <v>21981</v>
      </c>
      <c r="AT20" s="165">
        <v>22054</v>
      </c>
      <c r="AU20" s="240">
        <f t="shared" si="3"/>
        <v>73</v>
      </c>
      <c r="AV20" s="248">
        <f t="shared" si="56"/>
        <v>6136</v>
      </c>
      <c r="AW20" s="165">
        <v>6145</v>
      </c>
      <c r="AX20" s="240">
        <f t="shared" si="4"/>
        <v>9</v>
      </c>
      <c r="AY20" s="248">
        <f t="shared" si="57"/>
        <v>3366</v>
      </c>
      <c r="AZ20" s="165">
        <v>3368</v>
      </c>
      <c r="BA20" s="240">
        <f t="shared" si="5"/>
        <v>2</v>
      </c>
      <c r="BB20" s="248">
        <f t="shared" si="39"/>
        <v>1525</v>
      </c>
      <c r="BC20" s="165">
        <v>1526</v>
      </c>
      <c r="BD20" s="240">
        <f t="shared" si="6"/>
        <v>1</v>
      </c>
      <c r="BE20" s="248">
        <f t="shared" si="60"/>
        <v>26613</v>
      </c>
      <c r="BF20" s="165">
        <v>26615</v>
      </c>
      <c r="BG20" s="240">
        <f t="shared" si="7"/>
        <v>2</v>
      </c>
      <c r="BH20" s="248">
        <f t="shared" si="61"/>
        <v>2415</v>
      </c>
      <c r="BI20" s="165">
        <v>2417</v>
      </c>
      <c r="BJ20" s="240">
        <f t="shared" si="8"/>
        <v>2</v>
      </c>
      <c r="BK20" s="248">
        <f t="shared" si="62"/>
        <v>71627</v>
      </c>
      <c r="BL20" s="165">
        <v>71648</v>
      </c>
      <c r="BM20" s="240">
        <f t="shared" si="9"/>
        <v>21</v>
      </c>
      <c r="BN20" s="248">
        <f t="shared" si="43"/>
        <v>23214</v>
      </c>
      <c r="BO20" s="165">
        <v>23217</v>
      </c>
      <c r="BP20" s="240">
        <f t="shared" si="10"/>
        <v>3</v>
      </c>
      <c r="BQ20" s="248">
        <f t="shared" si="44"/>
        <v>12392</v>
      </c>
      <c r="BR20" s="165">
        <v>12397</v>
      </c>
      <c r="BS20" s="240">
        <f t="shared" si="11"/>
        <v>5</v>
      </c>
      <c r="BT20" s="248">
        <f t="shared" si="58"/>
        <v>17111</v>
      </c>
      <c r="BU20" s="165">
        <v>17115</v>
      </c>
      <c r="BV20" s="240">
        <f t="shared" si="12"/>
        <v>4</v>
      </c>
      <c r="BW20" s="248">
        <f t="shared" si="59"/>
        <v>19469</v>
      </c>
      <c r="BX20" s="165">
        <v>19475</v>
      </c>
      <c r="BY20" s="240">
        <f t="shared" si="13"/>
        <v>6</v>
      </c>
      <c r="BZ20" s="248">
        <f t="shared" si="63"/>
        <v>8399</v>
      </c>
      <c r="CA20" s="165">
        <v>8401</v>
      </c>
      <c r="CB20" s="240">
        <f t="shared" si="14"/>
        <v>2</v>
      </c>
      <c r="CC20" s="248">
        <f t="shared" ref="CC20:CC36" si="64">CD19</f>
        <v>18170</v>
      </c>
      <c r="CD20" s="165">
        <v>18197</v>
      </c>
      <c r="CE20" s="240">
        <f t="shared" si="15"/>
        <v>27</v>
      </c>
      <c r="CF20" s="248">
        <f t="shared" si="49"/>
        <v>1830</v>
      </c>
      <c r="CG20" s="165">
        <v>1830</v>
      </c>
      <c r="CH20" s="240">
        <f t="shared" si="16"/>
        <v>0</v>
      </c>
      <c r="CI20" s="248">
        <f t="shared" ref="CI20:CI36" si="65">CJ19</f>
        <v>9601</v>
      </c>
      <c r="CJ20" s="165">
        <v>9602</v>
      </c>
      <c r="CK20" s="240">
        <f t="shared" si="17"/>
        <v>1</v>
      </c>
    </row>
    <row r="21" spans="1:89" ht="15" customHeight="1" x14ac:dyDescent="0.2">
      <c r="A21" s="166">
        <v>16</v>
      </c>
      <c r="B21" s="160">
        <f t="shared" si="18"/>
        <v>11719</v>
      </c>
      <c r="C21" s="164">
        <v>11719</v>
      </c>
      <c r="D21" s="165">
        <f t="shared" si="29"/>
        <v>0</v>
      </c>
      <c r="E21" s="222"/>
      <c r="F21" s="166">
        <v>16</v>
      </c>
      <c r="G21" s="160">
        <f t="shared" si="19"/>
        <v>7085</v>
      </c>
      <c r="H21" s="164">
        <v>7158</v>
      </c>
      <c r="I21" s="165">
        <f t="shared" si="51"/>
        <v>73</v>
      </c>
      <c r="J21" s="222"/>
      <c r="K21" s="166">
        <v>16</v>
      </c>
      <c r="L21" s="160">
        <f t="shared" si="21"/>
        <v>748327</v>
      </c>
      <c r="M21" s="164">
        <v>748492</v>
      </c>
      <c r="N21" s="165">
        <f t="shared" si="52"/>
        <v>165</v>
      </c>
      <c r="O21" s="159"/>
      <c r="P21" s="166">
        <v>16</v>
      </c>
      <c r="Q21" s="160">
        <f t="shared" si="23"/>
        <v>206762</v>
      </c>
      <c r="R21" s="164">
        <v>206861</v>
      </c>
      <c r="S21" s="165">
        <f t="shared" si="53"/>
        <v>99</v>
      </c>
      <c r="T21" s="158"/>
      <c r="U21" s="160">
        <v>16</v>
      </c>
      <c r="V21" s="250">
        <f t="shared" si="25"/>
        <v>337</v>
      </c>
      <c r="W21" s="161">
        <f>'Maldives at LG Daily'!I20</f>
        <v>21</v>
      </c>
      <c r="X21" s="168"/>
      <c r="Z21" s="242">
        <v>16</v>
      </c>
      <c r="AA21" s="165">
        <f t="shared" si="30"/>
        <v>37216</v>
      </c>
      <c r="AB21" s="165">
        <v>37229</v>
      </c>
      <c r="AC21" s="240">
        <f t="shared" si="26"/>
        <v>13</v>
      </c>
      <c r="AD21" s="248">
        <f t="shared" si="31"/>
        <v>7957</v>
      </c>
      <c r="AE21" s="165">
        <v>7962</v>
      </c>
      <c r="AF21" s="240">
        <f t="shared" si="27"/>
        <v>5</v>
      </c>
      <c r="AG21" s="248">
        <f t="shared" si="54"/>
        <v>5776</v>
      </c>
      <c r="AH21" s="165">
        <v>5781</v>
      </c>
      <c r="AI21" s="240">
        <f t="shared" si="28"/>
        <v>5</v>
      </c>
      <c r="AJ21" s="248">
        <f t="shared" si="33"/>
        <v>14053</v>
      </c>
      <c r="AK21" s="165">
        <v>14063</v>
      </c>
      <c r="AL21" s="240">
        <f t="shared" si="0"/>
        <v>10</v>
      </c>
      <c r="AM21" s="248">
        <f t="shared" si="34"/>
        <v>31943</v>
      </c>
      <c r="AN21" s="165">
        <v>31949</v>
      </c>
      <c r="AO21" s="240">
        <f t="shared" si="1"/>
        <v>6</v>
      </c>
      <c r="AP21" s="248">
        <f t="shared" si="35"/>
        <v>6105</v>
      </c>
      <c r="AQ21" s="165">
        <v>6111</v>
      </c>
      <c r="AR21" s="240">
        <f t="shared" si="2"/>
        <v>6</v>
      </c>
      <c r="AS21" s="248">
        <f t="shared" si="55"/>
        <v>22054</v>
      </c>
      <c r="AT21" s="165">
        <v>22064</v>
      </c>
      <c r="AU21" s="240">
        <f t="shared" si="3"/>
        <v>10</v>
      </c>
      <c r="AV21" s="248">
        <f t="shared" si="56"/>
        <v>6145</v>
      </c>
      <c r="AW21" s="165">
        <v>6153</v>
      </c>
      <c r="AX21" s="240">
        <f t="shared" si="4"/>
        <v>8</v>
      </c>
      <c r="AY21" s="248">
        <f t="shared" si="57"/>
        <v>3368</v>
      </c>
      <c r="AZ21" s="165">
        <v>3369</v>
      </c>
      <c r="BA21" s="240">
        <f t="shared" si="5"/>
        <v>1</v>
      </c>
      <c r="BB21" s="248">
        <f t="shared" si="39"/>
        <v>1526</v>
      </c>
      <c r="BC21" s="165">
        <v>1526</v>
      </c>
      <c r="BD21" s="240">
        <f t="shared" si="6"/>
        <v>0</v>
      </c>
      <c r="BE21" s="248">
        <f t="shared" si="60"/>
        <v>26615</v>
      </c>
      <c r="BF21" s="165">
        <v>26618</v>
      </c>
      <c r="BG21" s="240">
        <f t="shared" si="7"/>
        <v>3</v>
      </c>
      <c r="BH21" s="248">
        <f t="shared" si="61"/>
        <v>2417</v>
      </c>
      <c r="BI21" s="165">
        <v>2419</v>
      </c>
      <c r="BJ21" s="240">
        <f t="shared" si="8"/>
        <v>2</v>
      </c>
      <c r="BK21" s="248">
        <f t="shared" si="62"/>
        <v>71648</v>
      </c>
      <c r="BL21" s="165">
        <v>71667</v>
      </c>
      <c r="BM21" s="240">
        <f t="shared" si="9"/>
        <v>19</v>
      </c>
      <c r="BN21" s="248">
        <f t="shared" si="43"/>
        <v>23217</v>
      </c>
      <c r="BO21" s="165">
        <v>23222</v>
      </c>
      <c r="BP21" s="240">
        <f t="shared" si="10"/>
        <v>5</v>
      </c>
      <c r="BQ21" s="248">
        <f t="shared" si="44"/>
        <v>12397</v>
      </c>
      <c r="BR21" s="165">
        <v>12397</v>
      </c>
      <c r="BS21" s="240">
        <f t="shared" si="11"/>
        <v>0</v>
      </c>
      <c r="BT21" s="248">
        <f t="shared" si="58"/>
        <v>17115</v>
      </c>
      <c r="BU21" s="165">
        <v>17118</v>
      </c>
      <c r="BV21" s="240">
        <f t="shared" si="12"/>
        <v>3</v>
      </c>
      <c r="BW21" s="248">
        <f t="shared" si="59"/>
        <v>19475</v>
      </c>
      <c r="BX21" s="165">
        <v>19475</v>
      </c>
      <c r="BY21" s="240">
        <f t="shared" si="13"/>
        <v>0</v>
      </c>
      <c r="BZ21" s="248">
        <f t="shared" si="63"/>
        <v>8401</v>
      </c>
      <c r="CA21" s="165">
        <v>8404</v>
      </c>
      <c r="CB21" s="240">
        <f t="shared" si="14"/>
        <v>3</v>
      </c>
      <c r="CC21" s="248">
        <f t="shared" si="64"/>
        <v>18197</v>
      </c>
      <c r="CD21" s="165">
        <v>18207</v>
      </c>
      <c r="CE21" s="240">
        <f t="shared" si="15"/>
        <v>10</v>
      </c>
      <c r="CF21" s="248">
        <f t="shared" si="49"/>
        <v>1830</v>
      </c>
      <c r="CG21" s="165">
        <v>1833</v>
      </c>
      <c r="CH21" s="240">
        <f t="shared" si="16"/>
        <v>3</v>
      </c>
      <c r="CI21" s="248">
        <f t="shared" si="65"/>
        <v>9602</v>
      </c>
      <c r="CJ21" s="165">
        <v>9604</v>
      </c>
      <c r="CK21" s="240">
        <f t="shared" si="17"/>
        <v>2</v>
      </c>
    </row>
    <row r="22" spans="1:89" ht="15" customHeight="1" x14ac:dyDescent="0.2">
      <c r="A22" s="166">
        <v>17</v>
      </c>
      <c r="B22" s="160">
        <f t="shared" si="18"/>
        <v>11719</v>
      </c>
      <c r="C22" s="164">
        <v>11768</v>
      </c>
      <c r="D22" s="165">
        <f t="shared" si="29"/>
        <v>49</v>
      </c>
      <c r="E22" s="222"/>
      <c r="F22" s="166">
        <v>17</v>
      </c>
      <c r="G22" s="160">
        <f t="shared" si="19"/>
        <v>7158</v>
      </c>
      <c r="H22" s="164">
        <v>7299</v>
      </c>
      <c r="I22" s="165">
        <f t="shared" si="51"/>
        <v>141</v>
      </c>
      <c r="J22" s="222"/>
      <c r="K22" s="166">
        <v>17</v>
      </c>
      <c r="L22" s="160">
        <f t="shared" si="21"/>
        <v>748492</v>
      </c>
      <c r="M22" s="164">
        <v>748574</v>
      </c>
      <c r="N22" s="165">
        <f t="shared" si="52"/>
        <v>82</v>
      </c>
      <c r="O22" s="159"/>
      <c r="P22" s="166">
        <v>17</v>
      </c>
      <c r="Q22" s="160">
        <f t="shared" si="23"/>
        <v>206861</v>
      </c>
      <c r="R22" s="164">
        <v>206925</v>
      </c>
      <c r="S22" s="165">
        <f t="shared" si="53"/>
        <v>64</v>
      </c>
      <c r="T22" s="158"/>
      <c r="U22" s="166">
        <v>17</v>
      </c>
      <c r="V22" s="250">
        <f t="shared" si="25"/>
        <v>336</v>
      </c>
      <c r="W22" s="161">
        <f>'Maldives at LG Daily'!I21</f>
        <v>0</v>
      </c>
      <c r="X22" s="168"/>
      <c r="Z22" s="242">
        <v>17</v>
      </c>
      <c r="AA22" s="165">
        <f t="shared" si="30"/>
        <v>37229</v>
      </c>
      <c r="AB22" s="165">
        <v>37249</v>
      </c>
      <c r="AC22" s="240">
        <f t="shared" si="26"/>
        <v>20</v>
      </c>
      <c r="AD22" s="248">
        <f t="shared" si="31"/>
        <v>7962</v>
      </c>
      <c r="AE22" s="165">
        <v>7968</v>
      </c>
      <c r="AF22" s="240">
        <f t="shared" si="27"/>
        <v>6</v>
      </c>
      <c r="AG22" s="248">
        <f t="shared" si="54"/>
        <v>5781</v>
      </c>
      <c r="AH22" s="165">
        <v>5789</v>
      </c>
      <c r="AI22" s="240">
        <f t="shared" si="28"/>
        <v>8</v>
      </c>
      <c r="AJ22" s="248">
        <f t="shared" si="33"/>
        <v>14063</v>
      </c>
      <c r="AK22" s="165">
        <v>14075</v>
      </c>
      <c r="AL22" s="240">
        <f t="shared" si="0"/>
        <v>12</v>
      </c>
      <c r="AM22" s="248">
        <f t="shared" si="34"/>
        <v>31949</v>
      </c>
      <c r="AN22" s="165">
        <v>31956</v>
      </c>
      <c r="AO22" s="240">
        <f t="shared" si="1"/>
        <v>7</v>
      </c>
      <c r="AP22" s="248">
        <f t="shared" si="35"/>
        <v>6111</v>
      </c>
      <c r="AQ22" s="165">
        <v>6117</v>
      </c>
      <c r="AR22" s="240">
        <f t="shared" si="2"/>
        <v>6</v>
      </c>
      <c r="AS22" s="248">
        <f t="shared" si="55"/>
        <v>22064</v>
      </c>
      <c r="AT22" s="165">
        <v>22076</v>
      </c>
      <c r="AU22" s="240">
        <f t="shared" si="3"/>
        <v>12</v>
      </c>
      <c r="AV22" s="248">
        <f t="shared" si="56"/>
        <v>6153</v>
      </c>
      <c r="AW22" s="165">
        <v>6161</v>
      </c>
      <c r="AX22" s="240">
        <f t="shared" si="4"/>
        <v>8</v>
      </c>
      <c r="AY22" s="248">
        <f t="shared" si="57"/>
        <v>3369</v>
      </c>
      <c r="AZ22" s="165">
        <v>3370</v>
      </c>
      <c r="BA22" s="240">
        <f t="shared" si="5"/>
        <v>1</v>
      </c>
      <c r="BB22" s="248">
        <f t="shared" si="39"/>
        <v>1526</v>
      </c>
      <c r="BC22" s="165">
        <v>1527</v>
      </c>
      <c r="BD22" s="240">
        <f t="shared" si="6"/>
        <v>1</v>
      </c>
      <c r="BE22" s="248">
        <f t="shared" si="60"/>
        <v>26618</v>
      </c>
      <c r="BF22" s="165">
        <v>26618</v>
      </c>
      <c r="BG22" s="240">
        <f t="shared" si="7"/>
        <v>0</v>
      </c>
      <c r="BH22" s="248">
        <f t="shared" si="61"/>
        <v>2419</v>
      </c>
      <c r="BI22" s="165">
        <v>2420</v>
      </c>
      <c r="BJ22" s="240">
        <f t="shared" si="8"/>
        <v>1</v>
      </c>
      <c r="BK22" s="248">
        <f t="shared" si="62"/>
        <v>71667</v>
      </c>
      <c r="BL22" s="165">
        <v>71689</v>
      </c>
      <c r="BM22" s="240">
        <f t="shared" si="9"/>
        <v>22</v>
      </c>
      <c r="BN22" s="248">
        <f t="shared" si="43"/>
        <v>23222</v>
      </c>
      <c r="BO22" s="165">
        <v>23224</v>
      </c>
      <c r="BP22" s="240">
        <f t="shared" si="10"/>
        <v>2</v>
      </c>
      <c r="BQ22" s="248">
        <f t="shared" si="44"/>
        <v>12397</v>
      </c>
      <c r="BR22" s="165">
        <v>12398</v>
      </c>
      <c r="BS22" s="240">
        <f t="shared" si="11"/>
        <v>1</v>
      </c>
      <c r="BT22" s="248">
        <f t="shared" si="58"/>
        <v>17118</v>
      </c>
      <c r="BU22" s="165">
        <v>17125</v>
      </c>
      <c r="BV22" s="240">
        <f t="shared" si="12"/>
        <v>7</v>
      </c>
      <c r="BW22" s="248">
        <f t="shared" si="59"/>
        <v>19475</v>
      </c>
      <c r="BX22" s="165">
        <v>19480</v>
      </c>
      <c r="BY22" s="240">
        <f t="shared" si="13"/>
        <v>5</v>
      </c>
      <c r="BZ22" s="248">
        <f t="shared" si="63"/>
        <v>8404</v>
      </c>
      <c r="CA22" s="165">
        <v>8404</v>
      </c>
      <c r="CB22" s="240">
        <f t="shared" si="14"/>
        <v>0</v>
      </c>
      <c r="CC22" s="248">
        <f t="shared" si="64"/>
        <v>18207</v>
      </c>
      <c r="CD22" s="165">
        <v>18207</v>
      </c>
      <c r="CE22" s="240">
        <f t="shared" si="15"/>
        <v>0</v>
      </c>
      <c r="CF22" s="248">
        <f t="shared" ref="CF22:CF36" si="66">CG21</f>
        <v>1833</v>
      </c>
      <c r="CG22" s="165">
        <v>1834</v>
      </c>
      <c r="CH22" s="240">
        <f t="shared" si="16"/>
        <v>1</v>
      </c>
      <c r="CI22" s="248">
        <f t="shared" si="65"/>
        <v>9604</v>
      </c>
      <c r="CJ22" s="165">
        <v>9605</v>
      </c>
      <c r="CK22" s="240">
        <f t="shared" si="17"/>
        <v>1</v>
      </c>
    </row>
    <row r="23" spans="1:89" ht="15" customHeight="1" x14ac:dyDescent="0.2">
      <c r="A23" s="166">
        <v>18</v>
      </c>
      <c r="B23" s="160">
        <f t="shared" si="18"/>
        <v>11768</v>
      </c>
      <c r="C23" s="164">
        <v>11821</v>
      </c>
      <c r="D23" s="165">
        <f t="shared" si="29"/>
        <v>53</v>
      </c>
      <c r="E23" s="222"/>
      <c r="F23" s="166">
        <v>18</v>
      </c>
      <c r="G23" s="160">
        <f t="shared" si="19"/>
        <v>7299</v>
      </c>
      <c r="H23" s="164">
        <v>7425</v>
      </c>
      <c r="I23" s="165">
        <f t="shared" si="51"/>
        <v>126</v>
      </c>
      <c r="J23" s="222"/>
      <c r="K23" s="166">
        <v>18</v>
      </c>
      <c r="L23" s="160">
        <f t="shared" si="21"/>
        <v>748574</v>
      </c>
      <c r="M23" s="164">
        <v>748631</v>
      </c>
      <c r="N23" s="165">
        <f t="shared" si="52"/>
        <v>57</v>
      </c>
      <c r="O23" s="159"/>
      <c r="P23" s="166">
        <v>18</v>
      </c>
      <c r="Q23" s="160">
        <f t="shared" si="23"/>
        <v>206925</v>
      </c>
      <c r="R23" s="164">
        <v>206999</v>
      </c>
      <c r="S23" s="165">
        <f t="shared" si="53"/>
        <v>74</v>
      </c>
      <c r="T23" s="158"/>
      <c r="U23" s="160">
        <v>18</v>
      </c>
      <c r="V23" s="250">
        <f t="shared" si="25"/>
        <v>310</v>
      </c>
      <c r="W23" s="161">
        <f>'Maldives at LG Daily'!I22</f>
        <v>0</v>
      </c>
      <c r="X23" s="168"/>
      <c r="Z23" s="242">
        <v>18</v>
      </c>
      <c r="AA23" s="165">
        <f t="shared" si="30"/>
        <v>37249</v>
      </c>
      <c r="AB23" s="165"/>
      <c r="AC23" s="240">
        <f t="shared" si="26"/>
        <v>-37249</v>
      </c>
      <c r="AD23" s="248">
        <f t="shared" si="31"/>
        <v>7968</v>
      </c>
      <c r="AE23" s="165"/>
      <c r="AF23" s="240">
        <f t="shared" si="27"/>
        <v>-7968</v>
      </c>
      <c r="AG23" s="248">
        <f t="shared" si="54"/>
        <v>5789</v>
      </c>
      <c r="AH23" s="165"/>
      <c r="AI23" s="240">
        <f t="shared" si="28"/>
        <v>-5789</v>
      </c>
      <c r="AJ23" s="248">
        <f t="shared" si="33"/>
        <v>14075</v>
      </c>
      <c r="AK23" s="165"/>
      <c r="AL23" s="240">
        <f t="shared" si="0"/>
        <v>-14075</v>
      </c>
      <c r="AM23" s="248">
        <f t="shared" si="34"/>
        <v>31956</v>
      </c>
      <c r="AN23" s="165"/>
      <c r="AO23" s="240">
        <f t="shared" si="1"/>
        <v>-31956</v>
      </c>
      <c r="AP23" s="248">
        <f t="shared" si="35"/>
        <v>6117</v>
      </c>
      <c r="AQ23" s="165"/>
      <c r="AR23" s="240">
        <f t="shared" si="2"/>
        <v>-6117</v>
      </c>
      <c r="AS23" s="248">
        <f t="shared" si="55"/>
        <v>22076</v>
      </c>
      <c r="AT23" s="165"/>
      <c r="AU23" s="240">
        <f t="shared" si="3"/>
        <v>-22076</v>
      </c>
      <c r="AV23" s="248">
        <f t="shared" si="56"/>
        <v>6161</v>
      </c>
      <c r="AW23" s="165"/>
      <c r="AX23" s="240">
        <f t="shared" si="4"/>
        <v>-6161</v>
      </c>
      <c r="AY23" s="248">
        <f t="shared" si="57"/>
        <v>3370</v>
      </c>
      <c r="AZ23" s="165"/>
      <c r="BA23" s="240">
        <f t="shared" si="5"/>
        <v>-3370</v>
      </c>
      <c r="BB23" s="248">
        <f t="shared" si="39"/>
        <v>1527</v>
      </c>
      <c r="BC23" s="165"/>
      <c r="BD23" s="240">
        <f t="shared" si="6"/>
        <v>-1527</v>
      </c>
      <c r="BE23" s="248">
        <f t="shared" si="60"/>
        <v>26618</v>
      </c>
      <c r="BF23" s="165"/>
      <c r="BG23" s="240">
        <f t="shared" si="7"/>
        <v>-26618</v>
      </c>
      <c r="BH23" s="248">
        <f t="shared" si="61"/>
        <v>2420</v>
      </c>
      <c r="BI23" s="165"/>
      <c r="BJ23" s="240">
        <f t="shared" si="8"/>
        <v>-2420</v>
      </c>
      <c r="BK23" s="248">
        <f t="shared" si="62"/>
        <v>71689</v>
      </c>
      <c r="BL23" s="165"/>
      <c r="BM23" s="240">
        <f t="shared" si="9"/>
        <v>-71689</v>
      </c>
      <c r="BN23" s="248">
        <f t="shared" si="43"/>
        <v>23224</v>
      </c>
      <c r="BO23" s="165"/>
      <c r="BP23" s="240">
        <f t="shared" si="10"/>
        <v>-23224</v>
      </c>
      <c r="BQ23" s="248">
        <f t="shared" si="44"/>
        <v>12398</v>
      </c>
      <c r="BR23" s="165"/>
      <c r="BS23" s="240">
        <f t="shared" si="11"/>
        <v>-12398</v>
      </c>
      <c r="BT23" s="248">
        <f t="shared" si="58"/>
        <v>17125</v>
      </c>
      <c r="BU23" s="165"/>
      <c r="BV23" s="240">
        <f t="shared" si="12"/>
        <v>-17125</v>
      </c>
      <c r="BW23" s="248">
        <f t="shared" si="59"/>
        <v>19480</v>
      </c>
      <c r="BX23" s="165"/>
      <c r="BY23" s="240">
        <f t="shared" si="13"/>
        <v>-19480</v>
      </c>
      <c r="BZ23" s="248">
        <f t="shared" si="63"/>
        <v>8404</v>
      </c>
      <c r="CA23" s="165"/>
      <c r="CB23" s="240">
        <f t="shared" si="14"/>
        <v>-8404</v>
      </c>
      <c r="CC23" s="248">
        <f t="shared" si="64"/>
        <v>18207</v>
      </c>
      <c r="CD23" s="165"/>
      <c r="CE23" s="240">
        <f t="shared" si="15"/>
        <v>-18207</v>
      </c>
      <c r="CF23" s="248">
        <f t="shared" si="66"/>
        <v>1834</v>
      </c>
      <c r="CG23" s="165"/>
      <c r="CH23" s="240">
        <f t="shared" si="16"/>
        <v>-1834</v>
      </c>
      <c r="CI23" s="248">
        <f t="shared" si="65"/>
        <v>9605</v>
      </c>
      <c r="CJ23" s="165"/>
      <c r="CK23" s="240">
        <f t="shared" si="17"/>
        <v>-9605</v>
      </c>
    </row>
    <row r="24" spans="1:89" ht="15" customHeight="1" x14ac:dyDescent="0.2">
      <c r="A24" s="166">
        <v>19</v>
      </c>
      <c r="B24" s="160">
        <f t="shared" si="18"/>
        <v>11821</v>
      </c>
      <c r="C24" s="164"/>
      <c r="D24" s="165">
        <f t="shared" si="29"/>
        <v>-11821</v>
      </c>
      <c r="E24" s="222"/>
      <c r="F24" s="166">
        <v>19</v>
      </c>
      <c r="G24" s="160">
        <f t="shared" si="19"/>
        <v>7425</v>
      </c>
      <c r="H24" s="164"/>
      <c r="I24" s="165">
        <f t="shared" si="51"/>
        <v>-7425</v>
      </c>
      <c r="J24" s="222"/>
      <c r="K24" s="166">
        <v>19</v>
      </c>
      <c r="L24" s="160">
        <f t="shared" si="21"/>
        <v>748631</v>
      </c>
      <c r="M24" s="164"/>
      <c r="N24" s="165">
        <f t="shared" si="52"/>
        <v>-748631</v>
      </c>
      <c r="O24" s="159"/>
      <c r="P24" s="166">
        <v>19</v>
      </c>
      <c r="Q24" s="160">
        <f t="shared" si="23"/>
        <v>206999</v>
      </c>
      <c r="R24" s="164"/>
      <c r="S24" s="165">
        <f t="shared" si="53"/>
        <v>-206999</v>
      </c>
      <c r="T24" s="158"/>
      <c r="U24" s="160">
        <v>19</v>
      </c>
      <c r="V24" s="250">
        <f t="shared" si="25"/>
        <v>-974876</v>
      </c>
      <c r="W24" s="161">
        <f>'Maldives at LG Daily'!I23</f>
        <v>0</v>
      </c>
      <c r="X24" s="168"/>
      <c r="Z24" s="242">
        <v>19</v>
      </c>
      <c r="AA24" s="165">
        <f t="shared" si="30"/>
        <v>0</v>
      </c>
      <c r="AB24" s="165"/>
      <c r="AC24" s="240">
        <f t="shared" si="26"/>
        <v>0</v>
      </c>
      <c r="AD24" s="248">
        <f t="shared" si="31"/>
        <v>0</v>
      </c>
      <c r="AE24" s="165"/>
      <c r="AF24" s="240">
        <f t="shared" si="27"/>
        <v>0</v>
      </c>
      <c r="AG24" s="248">
        <f t="shared" si="54"/>
        <v>0</v>
      </c>
      <c r="AH24" s="165"/>
      <c r="AI24" s="240">
        <f t="shared" si="28"/>
        <v>0</v>
      </c>
      <c r="AJ24" s="248">
        <f t="shared" si="33"/>
        <v>0</v>
      </c>
      <c r="AK24" s="165"/>
      <c r="AL24" s="240">
        <f t="shared" si="0"/>
        <v>0</v>
      </c>
      <c r="AM24" s="248">
        <f t="shared" si="34"/>
        <v>0</v>
      </c>
      <c r="AN24" s="165"/>
      <c r="AO24" s="240">
        <f t="shared" si="1"/>
        <v>0</v>
      </c>
      <c r="AP24" s="248">
        <f t="shared" si="35"/>
        <v>0</v>
      </c>
      <c r="AQ24" s="165"/>
      <c r="AR24" s="240">
        <f t="shared" si="2"/>
        <v>0</v>
      </c>
      <c r="AS24" s="248">
        <f t="shared" si="55"/>
        <v>0</v>
      </c>
      <c r="AT24" s="165"/>
      <c r="AU24" s="240">
        <f t="shared" si="3"/>
        <v>0</v>
      </c>
      <c r="AV24" s="248">
        <f t="shared" si="56"/>
        <v>0</v>
      </c>
      <c r="AW24" s="165"/>
      <c r="AX24" s="240">
        <f t="shared" si="4"/>
        <v>0</v>
      </c>
      <c r="AY24" s="248">
        <f t="shared" si="57"/>
        <v>0</v>
      </c>
      <c r="AZ24" s="165"/>
      <c r="BA24" s="240">
        <f t="shared" si="5"/>
        <v>0</v>
      </c>
      <c r="BB24" s="248">
        <f t="shared" si="39"/>
        <v>0</v>
      </c>
      <c r="BC24" s="165"/>
      <c r="BD24" s="240">
        <f t="shared" si="6"/>
        <v>0</v>
      </c>
      <c r="BE24" s="248">
        <f t="shared" si="60"/>
        <v>0</v>
      </c>
      <c r="BF24" s="165"/>
      <c r="BG24" s="240">
        <f t="shared" si="7"/>
        <v>0</v>
      </c>
      <c r="BH24" s="248">
        <f t="shared" si="61"/>
        <v>0</v>
      </c>
      <c r="BI24" s="165"/>
      <c r="BJ24" s="240">
        <f t="shared" si="8"/>
        <v>0</v>
      </c>
      <c r="BK24" s="248">
        <f t="shared" si="62"/>
        <v>0</v>
      </c>
      <c r="BL24" s="165"/>
      <c r="BM24" s="240">
        <f t="shared" si="9"/>
        <v>0</v>
      </c>
      <c r="BN24" s="248">
        <f t="shared" si="43"/>
        <v>0</v>
      </c>
      <c r="BO24" s="165"/>
      <c r="BP24" s="240">
        <f t="shared" si="10"/>
        <v>0</v>
      </c>
      <c r="BQ24" s="248">
        <f t="shared" si="44"/>
        <v>0</v>
      </c>
      <c r="BR24" s="165"/>
      <c r="BS24" s="240">
        <f t="shared" si="11"/>
        <v>0</v>
      </c>
      <c r="BT24" s="248">
        <f t="shared" si="58"/>
        <v>0</v>
      </c>
      <c r="BU24" s="165"/>
      <c r="BV24" s="240">
        <f t="shared" si="12"/>
        <v>0</v>
      </c>
      <c r="BW24" s="248">
        <f t="shared" si="59"/>
        <v>0</v>
      </c>
      <c r="BX24" s="165"/>
      <c r="BY24" s="240">
        <f t="shared" si="13"/>
        <v>0</v>
      </c>
      <c r="BZ24" s="248">
        <f t="shared" si="63"/>
        <v>0</v>
      </c>
      <c r="CA24" s="165"/>
      <c r="CB24" s="240">
        <f t="shared" si="14"/>
        <v>0</v>
      </c>
      <c r="CC24" s="248">
        <f t="shared" si="64"/>
        <v>0</v>
      </c>
      <c r="CD24" s="165"/>
      <c r="CE24" s="240">
        <f t="shared" si="15"/>
        <v>0</v>
      </c>
      <c r="CF24" s="248">
        <f t="shared" si="66"/>
        <v>0</v>
      </c>
      <c r="CG24" s="165"/>
      <c r="CH24" s="240">
        <f t="shared" si="16"/>
        <v>0</v>
      </c>
      <c r="CI24" s="248">
        <f t="shared" si="65"/>
        <v>0</v>
      </c>
      <c r="CJ24" s="165"/>
      <c r="CK24" s="240">
        <f t="shared" si="17"/>
        <v>0</v>
      </c>
    </row>
    <row r="25" spans="1:89" ht="15" customHeight="1" x14ac:dyDescent="0.2">
      <c r="A25" s="166">
        <v>20</v>
      </c>
      <c r="B25" s="160">
        <f t="shared" si="18"/>
        <v>0</v>
      </c>
      <c r="C25" s="164"/>
      <c r="D25" s="165">
        <f>C25-B25</f>
        <v>0</v>
      </c>
      <c r="E25" s="222"/>
      <c r="F25" s="166">
        <v>20</v>
      </c>
      <c r="G25" s="160">
        <f t="shared" si="19"/>
        <v>0</v>
      </c>
      <c r="H25" s="164"/>
      <c r="I25" s="165">
        <f>H25-G25</f>
        <v>0</v>
      </c>
      <c r="J25" s="222"/>
      <c r="K25" s="166">
        <v>20</v>
      </c>
      <c r="L25" s="160">
        <f t="shared" si="21"/>
        <v>0</v>
      </c>
      <c r="M25" s="164"/>
      <c r="N25" s="165">
        <f>M25-L25</f>
        <v>0</v>
      </c>
      <c r="O25" s="159"/>
      <c r="P25" s="166">
        <v>20</v>
      </c>
      <c r="Q25" s="160">
        <f t="shared" si="23"/>
        <v>0</v>
      </c>
      <c r="R25" s="164"/>
      <c r="S25" s="165">
        <f>R25-Q25</f>
        <v>0</v>
      </c>
      <c r="T25" s="158"/>
      <c r="U25" s="166">
        <v>20</v>
      </c>
      <c r="V25" s="250">
        <f t="shared" si="25"/>
        <v>0</v>
      </c>
      <c r="W25" s="161">
        <f>'Maldives at LG Daily'!I24</f>
        <v>0</v>
      </c>
      <c r="X25" s="168"/>
      <c r="Z25" s="242">
        <v>20</v>
      </c>
      <c r="AA25" s="165">
        <f t="shared" si="30"/>
        <v>0</v>
      </c>
      <c r="AB25" s="165"/>
      <c r="AC25" s="240">
        <f t="shared" si="26"/>
        <v>0</v>
      </c>
      <c r="AD25" s="248">
        <f t="shared" si="31"/>
        <v>0</v>
      </c>
      <c r="AE25" s="165"/>
      <c r="AF25" s="240">
        <f t="shared" si="27"/>
        <v>0</v>
      </c>
      <c r="AG25" s="248">
        <f t="shared" si="54"/>
        <v>0</v>
      </c>
      <c r="AH25" s="165"/>
      <c r="AI25" s="240">
        <f t="shared" si="28"/>
        <v>0</v>
      </c>
      <c r="AJ25" s="248">
        <f t="shared" si="33"/>
        <v>0</v>
      </c>
      <c r="AK25" s="165"/>
      <c r="AL25" s="240">
        <f t="shared" si="0"/>
        <v>0</v>
      </c>
      <c r="AM25" s="248">
        <f t="shared" si="34"/>
        <v>0</v>
      </c>
      <c r="AN25" s="165"/>
      <c r="AO25" s="240">
        <f t="shared" si="1"/>
        <v>0</v>
      </c>
      <c r="AP25" s="248">
        <f t="shared" si="35"/>
        <v>0</v>
      </c>
      <c r="AQ25" s="165"/>
      <c r="AR25" s="240">
        <f t="shared" si="2"/>
        <v>0</v>
      </c>
      <c r="AS25" s="248">
        <f t="shared" si="55"/>
        <v>0</v>
      </c>
      <c r="AT25" s="165"/>
      <c r="AU25" s="240">
        <f t="shared" si="3"/>
        <v>0</v>
      </c>
      <c r="AV25" s="248">
        <f t="shared" si="56"/>
        <v>0</v>
      </c>
      <c r="AW25" s="165"/>
      <c r="AX25" s="240">
        <f t="shared" si="4"/>
        <v>0</v>
      </c>
      <c r="AY25" s="248">
        <f t="shared" si="57"/>
        <v>0</v>
      </c>
      <c r="AZ25" s="165"/>
      <c r="BA25" s="240">
        <f t="shared" si="5"/>
        <v>0</v>
      </c>
      <c r="BB25" s="248">
        <f t="shared" si="39"/>
        <v>0</v>
      </c>
      <c r="BC25" s="165"/>
      <c r="BD25" s="240">
        <f t="shared" si="6"/>
        <v>0</v>
      </c>
      <c r="BE25" s="248">
        <f t="shared" si="60"/>
        <v>0</v>
      </c>
      <c r="BF25" s="165"/>
      <c r="BG25" s="240">
        <f t="shared" si="7"/>
        <v>0</v>
      </c>
      <c r="BH25" s="248">
        <f t="shared" si="61"/>
        <v>0</v>
      </c>
      <c r="BI25" s="165"/>
      <c r="BJ25" s="240">
        <f t="shared" si="8"/>
        <v>0</v>
      </c>
      <c r="BK25" s="248">
        <f t="shared" si="62"/>
        <v>0</v>
      </c>
      <c r="BL25" s="165"/>
      <c r="BM25" s="240">
        <f t="shared" si="9"/>
        <v>0</v>
      </c>
      <c r="BN25" s="248">
        <f t="shared" si="43"/>
        <v>0</v>
      </c>
      <c r="BO25" s="165"/>
      <c r="BP25" s="240">
        <f t="shared" si="10"/>
        <v>0</v>
      </c>
      <c r="BQ25" s="248">
        <f t="shared" si="44"/>
        <v>0</v>
      </c>
      <c r="BR25" s="165"/>
      <c r="BS25" s="240">
        <f t="shared" si="11"/>
        <v>0</v>
      </c>
      <c r="BT25" s="248">
        <f t="shared" si="58"/>
        <v>0</v>
      </c>
      <c r="BU25" s="165"/>
      <c r="BV25" s="240">
        <f t="shared" si="12"/>
        <v>0</v>
      </c>
      <c r="BW25" s="248">
        <f t="shared" si="59"/>
        <v>0</v>
      </c>
      <c r="BX25" s="165"/>
      <c r="BY25" s="240">
        <f t="shared" si="13"/>
        <v>0</v>
      </c>
      <c r="BZ25" s="248">
        <f t="shared" si="63"/>
        <v>0</v>
      </c>
      <c r="CA25" s="165"/>
      <c r="CB25" s="240">
        <f t="shared" si="14"/>
        <v>0</v>
      </c>
      <c r="CC25" s="248">
        <f t="shared" si="64"/>
        <v>0</v>
      </c>
      <c r="CD25" s="165"/>
      <c r="CE25" s="240">
        <f t="shared" si="15"/>
        <v>0</v>
      </c>
      <c r="CF25" s="248">
        <f t="shared" si="66"/>
        <v>0</v>
      </c>
      <c r="CG25" s="165"/>
      <c r="CH25" s="240">
        <f t="shared" si="16"/>
        <v>0</v>
      </c>
      <c r="CI25" s="248">
        <f t="shared" si="65"/>
        <v>0</v>
      </c>
      <c r="CJ25" s="165"/>
      <c r="CK25" s="240">
        <f t="shared" si="17"/>
        <v>0</v>
      </c>
    </row>
    <row r="26" spans="1:89" ht="15" customHeight="1" x14ac:dyDescent="0.2">
      <c r="A26" s="166">
        <v>21</v>
      </c>
      <c r="B26" s="160">
        <f t="shared" si="18"/>
        <v>0</v>
      </c>
      <c r="C26" s="164"/>
      <c r="D26" s="165">
        <f t="shared" si="29"/>
        <v>0</v>
      </c>
      <c r="E26" s="222"/>
      <c r="F26" s="166">
        <v>21</v>
      </c>
      <c r="G26" s="160">
        <f t="shared" si="19"/>
        <v>0</v>
      </c>
      <c r="H26" s="164"/>
      <c r="I26" s="165">
        <f t="shared" ref="I26:I29" si="67">H26-G26</f>
        <v>0</v>
      </c>
      <c r="J26" s="222"/>
      <c r="K26" s="166">
        <v>21</v>
      </c>
      <c r="L26" s="160">
        <f t="shared" si="21"/>
        <v>0</v>
      </c>
      <c r="M26" s="164"/>
      <c r="N26" s="165">
        <f t="shared" ref="N26:N29" si="68">M26-L26</f>
        <v>0</v>
      </c>
      <c r="O26" s="159"/>
      <c r="P26" s="166">
        <v>21</v>
      </c>
      <c r="Q26" s="160">
        <f t="shared" si="23"/>
        <v>0</v>
      </c>
      <c r="R26" s="164"/>
      <c r="S26" s="165">
        <f t="shared" ref="S26:S29" si="69">R26-Q26</f>
        <v>0</v>
      </c>
      <c r="T26" s="158"/>
      <c r="U26" s="160">
        <v>21</v>
      </c>
      <c r="V26" s="250">
        <f t="shared" si="25"/>
        <v>0</v>
      </c>
      <c r="W26" s="161">
        <f>'Maldives at LG Daily'!I25</f>
        <v>0</v>
      </c>
      <c r="X26" s="168"/>
      <c r="Z26" s="242">
        <v>21</v>
      </c>
      <c r="AA26" s="165">
        <f t="shared" si="30"/>
        <v>0</v>
      </c>
      <c r="AB26" s="165"/>
      <c r="AC26" s="240">
        <f t="shared" si="26"/>
        <v>0</v>
      </c>
      <c r="AD26" s="248">
        <f t="shared" si="31"/>
        <v>0</v>
      </c>
      <c r="AE26" s="165"/>
      <c r="AF26" s="240">
        <f t="shared" si="27"/>
        <v>0</v>
      </c>
      <c r="AG26" s="248">
        <f t="shared" si="54"/>
        <v>0</v>
      </c>
      <c r="AH26" s="165"/>
      <c r="AI26" s="240">
        <f t="shared" si="28"/>
        <v>0</v>
      </c>
      <c r="AJ26" s="248">
        <f t="shared" si="33"/>
        <v>0</v>
      </c>
      <c r="AK26" s="165"/>
      <c r="AL26" s="240">
        <f t="shared" si="0"/>
        <v>0</v>
      </c>
      <c r="AM26" s="248">
        <f t="shared" si="34"/>
        <v>0</v>
      </c>
      <c r="AN26" s="165"/>
      <c r="AO26" s="240">
        <f t="shared" si="1"/>
        <v>0</v>
      </c>
      <c r="AP26" s="248">
        <f t="shared" si="35"/>
        <v>0</v>
      </c>
      <c r="AQ26" s="165"/>
      <c r="AR26" s="240">
        <f t="shared" si="2"/>
        <v>0</v>
      </c>
      <c r="AS26" s="248">
        <f t="shared" si="55"/>
        <v>0</v>
      </c>
      <c r="AT26" s="165"/>
      <c r="AU26" s="240">
        <f t="shared" si="3"/>
        <v>0</v>
      </c>
      <c r="AV26" s="248">
        <f t="shared" si="56"/>
        <v>0</v>
      </c>
      <c r="AW26" s="165"/>
      <c r="AX26" s="240">
        <f t="shared" si="4"/>
        <v>0</v>
      </c>
      <c r="AY26" s="248">
        <f t="shared" si="57"/>
        <v>0</v>
      </c>
      <c r="AZ26" s="165"/>
      <c r="BA26" s="240">
        <f t="shared" si="5"/>
        <v>0</v>
      </c>
      <c r="BB26" s="248">
        <f t="shared" si="39"/>
        <v>0</v>
      </c>
      <c r="BC26" s="165"/>
      <c r="BD26" s="240">
        <f t="shared" si="6"/>
        <v>0</v>
      </c>
      <c r="BE26" s="248">
        <f t="shared" si="60"/>
        <v>0</v>
      </c>
      <c r="BF26" s="165"/>
      <c r="BG26" s="240">
        <f t="shared" si="7"/>
        <v>0</v>
      </c>
      <c r="BH26" s="248">
        <f t="shared" si="61"/>
        <v>0</v>
      </c>
      <c r="BI26" s="165"/>
      <c r="BJ26" s="240">
        <f t="shared" si="8"/>
        <v>0</v>
      </c>
      <c r="BK26" s="248">
        <f t="shared" si="62"/>
        <v>0</v>
      </c>
      <c r="BL26" s="165"/>
      <c r="BM26" s="240">
        <f t="shared" si="9"/>
        <v>0</v>
      </c>
      <c r="BN26" s="248">
        <f t="shared" si="43"/>
        <v>0</v>
      </c>
      <c r="BO26" s="165"/>
      <c r="BP26" s="240">
        <f t="shared" si="10"/>
        <v>0</v>
      </c>
      <c r="BQ26" s="248">
        <f t="shared" si="44"/>
        <v>0</v>
      </c>
      <c r="BR26" s="165"/>
      <c r="BS26" s="240">
        <f t="shared" si="11"/>
        <v>0</v>
      </c>
      <c r="BT26" s="248">
        <f t="shared" si="58"/>
        <v>0</v>
      </c>
      <c r="BU26" s="165"/>
      <c r="BV26" s="240">
        <f t="shared" si="12"/>
        <v>0</v>
      </c>
      <c r="BW26" s="248">
        <f t="shared" si="59"/>
        <v>0</v>
      </c>
      <c r="BX26" s="165"/>
      <c r="BY26" s="240">
        <f t="shared" si="13"/>
        <v>0</v>
      </c>
      <c r="BZ26" s="248">
        <f t="shared" si="63"/>
        <v>0</v>
      </c>
      <c r="CA26" s="165"/>
      <c r="CB26" s="240">
        <f t="shared" si="14"/>
        <v>0</v>
      </c>
      <c r="CC26" s="248">
        <f t="shared" si="64"/>
        <v>0</v>
      </c>
      <c r="CD26" s="165"/>
      <c r="CE26" s="240">
        <f t="shared" si="15"/>
        <v>0</v>
      </c>
      <c r="CF26" s="248">
        <f t="shared" si="66"/>
        <v>0</v>
      </c>
      <c r="CG26" s="165"/>
      <c r="CH26" s="240">
        <f t="shared" si="16"/>
        <v>0</v>
      </c>
      <c r="CI26" s="248">
        <f t="shared" si="65"/>
        <v>0</v>
      </c>
      <c r="CJ26" s="165"/>
      <c r="CK26" s="240">
        <f t="shared" si="17"/>
        <v>0</v>
      </c>
    </row>
    <row r="27" spans="1:89" ht="15" customHeight="1" x14ac:dyDescent="0.2">
      <c r="A27" s="166">
        <v>22</v>
      </c>
      <c r="B27" s="160">
        <f t="shared" si="18"/>
        <v>0</v>
      </c>
      <c r="C27" s="164"/>
      <c r="D27" s="165">
        <f>C27-B27</f>
        <v>0</v>
      </c>
      <c r="E27" s="222"/>
      <c r="F27" s="166">
        <v>22</v>
      </c>
      <c r="G27" s="160">
        <f t="shared" si="19"/>
        <v>0</v>
      </c>
      <c r="H27" s="164"/>
      <c r="I27" s="165">
        <f t="shared" si="67"/>
        <v>0</v>
      </c>
      <c r="J27" s="222"/>
      <c r="K27" s="166">
        <v>22</v>
      </c>
      <c r="L27" s="160">
        <f t="shared" si="21"/>
        <v>0</v>
      </c>
      <c r="M27" s="164"/>
      <c r="N27" s="165">
        <f t="shared" si="68"/>
        <v>0</v>
      </c>
      <c r="O27" s="159"/>
      <c r="P27" s="166">
        <v>22</v>
      </c>
      <c r="Q27" s="160">
        <f t="shared" si="23"/>
        <v>0</v>
      </c>
      <c r="R27" s="164"/>
      <c r="S27" s="165">
        <f t="shared" si="69"/>
        <v>0</v>
      </c>
      <c r="T27" s="158"/>
      <c r="U27" s="160">
        <v>22</v>
      </c>
      <c r="V27" s="250">
        <f t="shared" si="25"/>
        <v>0</v>
      </c>
      <c r="W27" s="161">
        <f>'Maldives at LG Daily'!I26</f>
        <v>0</v>
      </c>
      <c r="X27" s="168"/>
      <c r="Z27" s="242">
        <v>22</v>
      </c>
      <c r="AA27" s="165">
        <f t="shared" si="30"/>
        <v>0</v>
      </c>
      <c r="AB27" s="165"/>
      <c r="AC27" s="240">
        <f t="shared" si="26"/>
        <v>0</v>
      </c>
      <c r="AD27" s="248">
        <f t="shared" si="31"/>
        <v>0</v>
      </c>
      <c r="AE27" s="165"/>
      <c r="AF27" s="240">
        <f t="shared" si="27"/>
        <v>0</v>
      </c>
      <c r="AG27" s="248">
        <f t="shared" si="54"/>
        <v>0</v>
      </c>
      <c r="AH27" s="165"/>
      <c r="AI27" s="240">
        <f t="shared" si="28"/>
        <v>0</v>
      </c>
      <c r="AJ27" s="248">
        <f t="shared" si="33"/>
        <v>0</v>
      </c>
      <c r="AK27" s="165"/>
      <c r="AL27" s="240">
        <f t="shared" si="0"/>
        <v>0</v>
      </c>
      <c r="AM27" s="248">
        <f t="shared" si="34"/>
        <v>0</v>
      </c>
      <c r="AN27" s="165"/>
      <c r="AO27" s="240">
        <f t="shared" si="1"/>
        <v>0</v>
      </c>
      <c r="AP27" s="248">
        <f t="shared" si="35"/>
        <v>0</v>
      </c>
      <c r="AQ27" s="165"/>
      <c r="AR27" s="240">
        <f t="shared" si="2"/>
        <v>0</v>
      </c>
      <c r="AS27" s="248">
        <f t="shared" si="55"/>
        <v>0</v>
      </c>
      <c r="AT27" s="165"/>
      <c r="AU27" s="240">
        <f t="shared" si="3"/>
        <v>0</v>
      </c>
      <c r="AV27" s="248">
        <f t="shared" si="56"/>
        <v>0</v>
      </c>
      <c r="AW27" s="165"/>
      <c r="AX27" s="240">
        <f t="shared" si="4"/>
        <v>0</v>
      </c>
      <c r="AY27" s="248">
        <f t="shared" si="57"/>
        <v>0</v>
      </c>
      <c r="AZ27" s="165"/>
      <c r="BA27" s="240">
        <f t="shared" si="5"/>
        <v>0</v>
      </c>
      <c r="BB27" s="248">
        <f t="shared" si="39"/>
        <v>0</v>
      </c>
      <c r="BC27" s="165"/>
      <c r="BD27" s="240">
        <f t="shared" si="6"/>
        <v>0</v>
      </c>
      <c r="BE27" s="248">
        <f t="shared" si="60"/>
        <v>0</v>
      </c>
      <c r="BF27" s="165"/>
      <c r="BG27" s="240">
        <f t="shared" si="7"/>
        <v>0</v>
      </c>
      <c r="BH27" s="248">
        <f t="shared" si="61"/>
        <v>0</v>
      </c>
      <c r="BI27" s="165"/>
      <c r="BJ27" s="240">
        <f t="shared" si="8"/>
        <v>0</v>
      </c>
      <c r="BK27" s="248">
        <f t="shared" si="62"/>
        <v>0</v>
      </c>
      <c r="BL27" s="165"/>
      <c r="BM27" s="240">
        <f t="shared" si="9"/>
        <v>0</v>
      </c>
      <c r="BN27" s="248">
        <f t="shared" si="43"/>
        <v>0</v>
      </c>
      <c r="BO27" s="165"/>
      <c r="BP27" s="240">
        <f t="shared" si="10"/>
        <v>0</v>
      </c>
      <c r="BQ27" s="248">
        <f t="shared" si="44"/>
        <v>0</v>
      </c>
      <c r="BR27" s="165"/>
      <c r="BS27" s="240">
        <f t="shared" si="11"/>
        <v>0</v>
      </c>
      <c r="BT27" s="248">
        <f t="shared" si="58"/>
        <v>0</v>
      </c>
      <c r="BU27" s="165"/>
      <c r="BV27" s="240">
        <f t="shared" si="12"/>
        <v>0</v>
      </c>
      <c r="BW27" s="248">
        <f t="shared" si="59"/>
        <v>0</v>
      </c>
      <c r="BX27" s="165"/>
      <c r="BY27" s="240">
        <f t="shared" si="13"/>
        <v>0</v>
      </c>
      <c r="BZ27" s="248">
        <f t="shared" si="63"/>
        <v>0</v>
      </c>
      <c r="CA27" s="165"/>
      <c r="CB27" s="240">
        <f t="shared" si="14"/>
        <v>0</v>
      </c>
      <c r="CC27" s="248">
        <f t="shared" si="64"/>
        <v>0</v>
      </c>
      <c r="CD27" s="165"/>
      <c r="CE27" s="240">
        <f t="shared" si="15"/>
        <v>0</v>
      </c>
      <c r="CF27" s="248">
        <f t="shared" si="66"/>
        <v>0</v>
      </c>
      <c r="CG27" s="165"/>
      <c r="CH27" s="240">
        <f t="shared" si="16"/>
        <v>0</v>
      </c>
      <c r="CI27" s="248">
        <f t="shared" si="65"/>
        <v>0</v>
      </c>
      <c r="CJ27" s="165"/>
      <c r="CK27" s="240">
        <f t="shared" si="17"/>
        <v>0</v>
      </c>
    </row>
    <row r="28" spans="1:89" ht="15" customHeight="1" x14ac:dyDescent="0.2">
      <c r="A28" s="166">
        <v>23</v>
      </c>
      <c r="B28" s="160">
        <f t="shared" si="18"/>
        <v>0</v>
      </c>
      <c r="C28" s="164"/>
      <c r="D28" s="165">
        <f t="shared" si="29"/>
        <v>0</v>
      </c>
      <c r="E28" s="222"/>
      <c r="F28" s="166">
        <v>23</v>
      </c>
      <c r="G28" s="160">
        <f t="shared" si="19"/>
        <v>0</v>
      </c>
      <c r="H28" s="164"/>
      <c r="I28" s="165">
        <f t="shared" si="67"/>
        <v>0</v>
      </c>
      <c r="J28" s="222"/>
      <c r="K28" s="166">
        <v>23</v>
      </c>
      <c r="L28" s="160">
        <f t="shared" si="21"/>
        <v>0</v>
      </c>
      <c r="M28" s="164"/>
      <c r="N28" s="165">
        <f t="shared" si="68"/>
        <v>0</v>
      </c>
      <c r="O28" s="159"/>
      <c r="P28" s="166">
        <v>23</v>
      </c>
      <c r="Q28" s="160">
        <f t="shared" si="23"/>
        <v>0</v>
      </c>
      <c r="R28" s="164"/>
      <c r="S28" s="165">
        <f t="shared" si="69"/>
        <v>0</v>
      </c>
      <c r="T28" s="158"/>
      <c r="U28" s="166">
        <v>23</v>
      </c>
      <c r="V28" s="250">
        <f t="shared" si="25"/>
        <v>0</v>
      </c>
      <c r="W28" s="161">
        <f>'Maldives at LG Daily'!I27</f>
        <v>0</v>
      </c>
      <c r="X28" s="168"/>
      <c r="Z28" s="242">
        <v>23</v>
      </c>
      <c r="AA28" s="165">
        <f t="shared" si="30"/>
        <v>0</v>
      </c>
      <c r="AB28" s="165"/>
      <c r="AC28" s="240">
        <f t="shared" si="26"/>
        <v>0</v>
      </c>
      <c r="AD28" s="248">
        <f t="shared" si="31"/>
        <v>0</v>
      </c>
      <c r="AE28" s="165"/>
      <c r="AF28" s="240">
        <f t="shared" si="27"/>
        <v>0</v>
      </c>
      <c r="AG28" s="248">
        <f t="shared" si="54"/>
        <v>0</v>
      </c>
      <c r="AH28" s="165"/>
      <c r="AI28" s="240">
        <f t="shared" si="28"/>
        <v>0</v>
      </c>
      <c r="AJ28" s="248">
        <f t="shared" si="33"/>
        <v>0</v>
      </c>
      <c r="AK28" s="165"/>
      <c r="AL28" s="240">
        <f t="shared" si="0"/>
        <v>0</v>
      </c>
      <c r="AM28" s="248">
        <f t="shared" si="34"/>
        <v>0</v>
      </c>
      <c r="AN28" s="165"/>
      <c r="AO28" s="240">
        <f t="shared" si="1"/>
        <v>0</v>
      </c>
      <c r="AP28" s="248">
        <f t="shared" si="35"/>
        <v>0</v>
      </c>
      <c r="AQ28" s="165"/>
      <c r="AR28" s="240">
        <f t="shared" si="2"/>
        <v>0</v>
      </c>
      <c r="AS28" s="248">
        <f t="shared" si="55"/>
        <v>0</v>
      </c>
      <c r="AT28" s="165"/>
      <c r="AU28" s="240">
        <f t="shared" si="3"/>
        <v>0</v>
      </c>
      <c r="AV28" s="248">
        <f t="shared" si="56"/>
        <v>0</v>
      </c>
      <c r="AW28" s="165"/>
      <c r="AX28" s="240">
        <f t="shared" si="4"/>
        <v>0</v>
      </c>
      <c r="AY28" s="248">
        <f t="shared" si="57"/>
        <v>0</v>
      </c>
      <c r="AZ28" s="165"/>
      <c r="BA28" s="240">
        <f t="shared" si="5"/>
        <v>0</v>
      </c>
      <c r="BB28" s="248">
        <f t="shared" si="39"/>
        <v>0</v>
      </c>
      <c r="BC28" s="165"/>
      <c r="BD28" s="240">
        <f t="shared" si="6"/>
        <v>0</v>
      </c>
      <c r="BE28" s="248">
        <f t="shared" si="60"/>
        <v>0</v>
      </c>
      <c r="BF28" s="165"/>
      <c r="BG28" s="240">
        <f t="shared" si="7"/>
        <v>0</v>
      </c>
      <c r="BH28" s="248">
        <f t="shared" si="61"/>
        <v>0</v>
      </c>
      <c r="BI28" s="165"/>
      <c r="BJ28" s="240">
        <f t="shared" si="8"/>
        <v>0</v>
      </c>
      <c r="BK28" s="248">
        <f t="shared" si="62"/>
        <v>0</v>
      </c>
      <c r="BL28" s="165"/>
      <c r="BM28" s="240">
        <f t="shared" si="9"/>
        <v>0</v>
      </c>
      <c r="BN28" s="248">
        <f t="shared" si="43"/>
        <v>0</v>
      </c>
      <c r="BO28" s="165"/>
      <c r="BP28" s="240">
        <f t="shared" si="10"/>
        <v>0</v>
      </c>
      <c r="BQ28" s="248">
        <f t="shared" si="44"/>
        <v>0</v>
      </c>
      <c r="BR28" s="165"/>
      <c r="BS28" s="240">
        <f t="shared" si="11"/>
        <v>0</v>
      </c>
      <c r="BT28" s="248">
        <f t="shared" si="58"/>
        <v>0</v>
      </c>
      <c r="BU28" s="165"/>
      <c r="BV28" s="240">
        <f t="shared" si="12"/>
        <v>0</v>
      </c>
      <c r="BW28" s="248">
        <f t="shared" si="59"/>
        <v>0</v>
      </c>
      <c r="BX28" s="165"/>
      <c r="BY28" s="240">
        <f t="shared" si="13"/>
        <v>0</v>
      </c>
      <c r="BZ28" s="248">
        <f t="shared" si="63"/>
        <v>0</v>
      </c>
      <c r="CA28" s="165"/>
      <c r="CB28" s="240">
        <f t="shared" si="14"/>
        <v>0</v>
      </c>
      <c r="CC28" s="248">
        <f t="shared" si="64"/>
        <v>0</v>
      </c>
      <c r="CD28" s="165"/>
      <c r="CE28" s="240">
        <f t="shared" si="15"/>
        <v>0</v>
      </c>
      <c r="CF28" s="248">
        <f t="shared" si="66"/>
        <v>0</v>
      </c>
      <c r="CG28" s="165"/>
      <c r="CH28" s="240">
        <f t="shared" si="16"/>
        <v>0</v>
      </c>
      <c r="CI28" s="248">
        <f t="shared" si="65"/>
        <v>0</v>
      </c>
      <c r="CJ28" s="165"/>
      <c r="CK28" s="240">
        <f t="shared" si="17"/>
        <v>0</v>
      </c>
    </row>
    <row r="29" spans="1:89" ht="15" customHeight="1" x14ac:dyDescent="0.2">
      <c r="A29" s="166">
        <v>24</v>
      </c>
      <c r="B29" s="160">
        <f t="shared" si="18"/>
        <v>0</v>
      </c>
      <c r="C29" s="164"/>
      <c r="D29" s="165">
        <f t="shared" si="29"/>
        <v>0</v>
      </c>
      <c r="E29" s="222"/>
      <c r="F29" s="166">
        <v>24</v>
      </c>
      <c r="G29" s="160">
        <f t="shared" si="19"/>
        <v>0</v>
      </c>
      <c r="H29" s="164"/>
      <c r="I29" s="165">
        <f t="shared" si="67"/>
        <v>0</v>
      </c>
      <c r="J29" s="222"/>
      <c r="K29" s="166">
        <v>24</v>
      </c>
      <c r="L29" s="160">
        <f t="shared" si="21"/>
        <v>0</v>
      </c>
      <c r="M29" s="164"/>
      <c r="N29" s="165">
        <f t="shared" si="68"/>
        <v>0</v>
      </c>
      <c r="O29" s="159"/>
      <c r="P29" s="166">
        <v>24</v>
      </c>
      <c r="Q29" s="160">
        <f t="shared" si="23"/>
        <v>0</v>
      </c>
      <c r="R29" s="164"/>
      <c r="S29" s="165">
        <f t="shared" si="69"/>
        <v>0</v>
      </c>
      <c r="T29" s="158"/>
      <c r="U29" s="160">
        <v>24</v>
      </c>
      <c r="V29" s="250">
        <f t="shared" si="25"/>
        <v>0</v>
      </c>
      <c r="W29" s="161">
        <f>'Maldives at LG Daily'!I28</f>
        <v>0</v>
      </c>
      <c r="X29" s="168"/>
      <c r="Z29" s="242">
        <v>24</v>
      </c>
      <c r="AA29" s="165">
        <f t="shared" si="30"/>
        <v>0</v>
      </c>
      <c r="AB29" s="165"/>
      <c r="AC29" s="240">
        <f t="shared" si="26"/>
        <v>0</v>
      </c>
      <c r="AD29" s="248">
        <f t="shared" si="31"/>
        <v>0</v>
      </c>
      <c r="AE29" s="165"/>
      <c r="AF29" s="240">
        <f t="shared" si="27"/>
        <v>0</v>
      </c>
      <c r="AG29" s="248">
        <f t="shared" si="54"/>
        <v>0</v>
      </c>
      <c r="AH29" s="165"/>
      <c r="AI29" s="240">
        <f t="shared" si="28"/>
        <v>0</v>
      </c>
      <c r="AJ29" s="248">
        <f t="shared" si="33"/>
        <v>0</v>
      </c>
      <c r="AK29" s="165"/>
      <c r="AL29" s="240">
        <f t="shared" si="0"/>
        <v>0</v>
      </c>
      <c r="AM29" s="248">
        <f t="shared" si="34"/>
        <v>0</v>
      </c>
      <c r="AN29" s="165"/>
      <c r="AO29" s="240">
        <f t="shared" si="1"/>
        <v>0</v>
      </c>
      <c r="AP29" s="248">
        <f t="shared" si="35"/>
        <v>0</v>
      </c>
      <c r="AQ29" s="165"/>
      <c r="AR29" s="240">
        <f t="shared" si="2"/>
        <v>0</v>
      </c>
      <c r="AS29" s="248">
        <f t="shared" si="55"/>
        <v>0</v>
      </c>
      <c r="AT29" s="165"/>
      <c r="AU29" s="240">
        <f t="shared" si="3"/>
        <v>0</v>
      </c>
      <c r="AV29" s="248">
        <f t="shared" si="56"/>
        <v>0</v>
      </c>
      <c r="AW29" s="165"/>
      <c r="AX29" s="240">
        <f t="shared" si="4"/>
        <v>0</v>
      </c>
      <c r="AY29" s="248">
        <f t="shared" si="57"/>
        <v>0</v>
      </c>
      <c r="AZ29" s="165"/>
      <c r="BA29" s="240">
        <f t="shared" si="5"/>
        <v>0</v>
      </c>
      <c r="BB29" s="248">
        <f t="shared" si="39"/>
        <v>0</v>
      </c>
      <c r="BC29" s="165"/>
      <c r="BD29" s="240">
        <f t="shared" si="6"/>
        <v>0</v>
      </c>
      <c r="BE29" s="248">
        <f t="shared" si="60"/>
        <v>0</v>
      </c>
      <c r="BF29" s="165"/>
      <c r="BG29" s="240">
        <f t="shared" si="7"/>
        <v>0</v>
      </c>
      <c r="BH29" s="248">
        <f t="shared" si="61"/>
        <v>0</v>
      </c>
      <c r="BI29" s="165"/>
      <c r="BJ29" s="240">
        <f t="shared" si="8"/>
        <v>0</v>
      </c>
      <c r="BK29" s="248">
        <f t="shared" si="62"/>
        <v>0</v>
      </c>
      <c r="BL29" s="165"/>
      <c r="BM29" s="240">
        <f t="shared" si="9"/>
        <v>0</v>
      </c>
      <c r="BN29" s="248">
        <f t="shared" si="43"/>
        <v>0</v>
      </c>
      <c r="BO29" s="165"/>
      <c r="BP29" s="240">
        <f t="shared" si="10"/>
        <v>0</v>
      </c>
      <c r="BQ29" s="248">
        <f t="shared" si="44"/>
        <v>0</v>
      </c>
      <c r="BR29" s="165"/>
      <c r="BS29" s="240">
        <f t="shared" si="11"/>
        <v>0</v>
      </c>
      <c r="BT29" s="248">
        <f t="shared" si="58"/>
        <v>0</v>
      </c>
      <c r="BU29" s="165"/>
      <c r="BV29" s="240">
        <f t="shared" si="12"/>
        <v>0</v>
      </c>
      <c r="BW29" s="248">
        <f t="shared" si="59"/>
        <v>0</v>
      </c>
      <c r="BX29" s="165"/>
      <c r="BY29" s="240">
        <f t="shared" si="13"/>
        <v>0</v>
      </c>
      <c r="BZ29" s="248">
        <f t="shared" si="63"/>
        <v>0</v>
      </c>
      <c r="CA29" s="165"/>
      <c r="CB29" s="240">
        <f t="shared" si="14"/>
        <v>0</v>
      </c>
      <c r="CC29" s="248">
        <f t="shared" si="64"/>
        <v>0</v>
      </c>
      <c r="CD29" s="165"/>
      <c r="CE29" s="240">
        <f t="shared" si="15"/>
        <v>0</v>
      </c>
      <c r="CF29" s="248">
        <f t="shared" si="66"/>
        <v>0</v>
      </c>
      <c r="CG29" s="165"/>
      <c r="CH29" s="240">
        <f t="shared" si="16"/>
        <v>0</v>
      </c>
      <c r="CI29" s="248">
        <f t="shared" si="65"/>
        <v>0</v>
      </c>
      <c r="CJ29" s="165"/>
      <c r="CK29" s="240">
        <f t="shared" si="17"/>
        <v>0</v>
      </c>
    </row>
    <row r="30" spans="1:89" ht="15" customHeight="1" x14ac:dyDescent="0.2">
      <c r="A30" s="166">
        <v>25</v>
      </c>
      <c r="B30" s="160">
        <f t="shared" si="18"/>
        <v>0</v>
      </c>
      <c r="C30" s="169"/>
      <c r="D30" s="165">
        <f>C30-B30</f>
        <v>0</v>
      </c>
      <c r="E30" s="222"/>
      <c r="F30" s="166">
        <v>25</v>
      </c>
      <c r="G30" s="160">
        <f t="shared" si="19"/>
        <v>0</v>
      </c>
      <c r="H30" s="169"/>
      <c r="I30" s="165">
        <f>H30-G30</f>
        <v>0</v>
      </c>
      <c r="J30" s="222"/>
      <c r="K30" s="166">
        <v>25</v>
      </c>
      <c r="L30" s="160">
        <f t="shared" si="21"/>
        <v>0</v>
      </c>
      <c r="M30" s="169"/>
      <c r="N30" s="165">
        <f>M30-L30</f>
        <v>0</v>
      </c>
      <c r="O30" s="159"/>
      <c r="P30" s="166">
        <v>25</v>
      </c>
      <c r="Q30" s="160">
        <f t="shared" si="23"/>
        <v>0</v>
      </c>
      <c r="R30" s="169"/>
      <c r="S30" s="165">
        <f>R30-Q30</f>
        <v>0</v>
      </c>
      <c r="T30" s="158"/>
      <c r="U30" s="160">
        <v>25</v>
      </c>
      <c r="V30" s="250">
        <f t="shared" si="25"/>
        <v>0</v>
      </c>
      <c r="W30" s="161">
        <f>'Maldives at LG Daily'!I29</f>
        <v>0</v>
      </c>
      <c r="X30" s="168"/>
      <c r="Z30" s="242">
        <v>25</v>
      </c>
      <c r="AA30" s="165">
        <f t="shared" si="30"/>
        <v>0</v>
      </c>
      <c r="AB30" s="165"/>
      <c r="AC30" s="240">
        <f t="shared" si="26"/>
        <v>0</v>
      </c>
      <c r="AD30" s="248">
        <f t="shared" si="31"/>
        <v>0</v>
      </c>
      <c r="AE30" s="165"/>
      <c r="AF30" s="240">
        <f t="shared" si="27"/>
        <v>0</v>
      </c>
      <c r="AG30" s="248">
        <f t="shared" si="54"/>
        <v>0</v>
      </c>
      <c r="AH30" s="165"/>
      <c r="AI30" s="240">
        <f t="shared" si="28"/>
        <v>0</v>
      </c>
      <c r="AJ30" s="248">
        <f t="shared" si="33"/>
        <v>0</v>
      </c>
      <c r="AK30" s="165"/>
      <c r="AL30" s="240">
        <f t="shared" si="0"/>
        <v>0</v>
      </c>
      <c r="AM30" s="248">
        <f t="shared" si="34"/>
        <v>0</v>
      </c>
      <c r="AN30" s="165"/>
      <c r="AO30" s="240">
        <f t="shared" si="1"/>
        <v>0</v>
      </c>
      <c r="AP30" s="248">
        <f t="shared" si="35"/>
        <v>0</v>
      </c>
      <c r="AQ30" s="165"/>
      <c r="AR30" s="240">
        <f t="shared" si="2"/>
        <v>0</v>
      </c>
      <c r="AS30" s="248">
        <f t="shared" si="55"/>
        <v>0</v>
      </c>
      <c r="AT30" s="165"/>
      <c r="AU30" s="240">
        <f t="shared" si="3"/>
        <v>0</v>
      </c>
      <c r="AV30" s="248">
        <f t="shared" si="56"/>
        <v>0</v>
      </c>
      <c r="AW30" s="165"/>
      <c r="AX30" s="240">
        <f t="shared" si="4"/>
        <v>0</v>
      </c>
      <c r="AY30" s="248">
        <f t="shared" si="57"/>
        <v>0</v>
      </c>
      <c r="AZ30" s="165"/>
      <c r="BA30" s="240">
        <f t="shared" si="5"/>
        <v>0</v>
      </c>
      <c r="BB30" s="248">
        <f t="shared" si="39"/>
        <v>0</v>
      </c>
      <c r="BC30" s="165"/>
      <c r="BD30" s="240">
        <f t="shared" si="6"/>
        <v>0</v>
      </c>
      <c r="BE30" s="248">
        <f t="shared" si="60"/>
        <v>0</v>
      </c>
      <c r="BF30" s="165"/>
      <c r="BG30" s="240">
        <f t="shared" si="7"/>
        <v>0</v>
      </c>
      <c r="BH30" s="248">
        <f t="shared" si="61"/>
        <v>0</v>
      </c>
      <c r="BI30" s="165"/>
      <c r="BJ30" s="240">
        <f t="shared" si="8"/>
        <v>0</v>
      </c>
      <c r="BK30" s="248">
        <f t="shared" si="62"/>
        <v>0</v>
      </c>
      <c r="BL30" s="165"/>
      <c r="BM30" s="240">
        <f t="shared" si="9"/>
        <v>0</v>
      </c>
      <c r="BN30" s="248">
        <f t="shared" si="43"/>
        <v>0</v>
      </c>
      <c r="BO30" s="165"/>
      <c r="BP30" s="240">
        <f t="shared" si="10"/>
        <v>0</v>
      </c>
      <c r="BQ30" s="248">
        <f t="shared" si="44"/>
        <v>0</v>
      </c>
      <c r="BR30" s="165"/>
      <c r="BS30" s="240">
        <f t="shared" si="11"/>
        <v>0</v>
      </c>
      <c r="BT30" s="248">
        <f t="shared" si="58"/>
        <v>0</v>
      </c>
      <c r="BU30" s="165"/>
      <c r="BV30" s="240">
        <f t="shared" si="12"/>
        <v>0</v>
      </c>
      <c r="BW30" s="248">
        <f t="shared" si="59"/>
        <v>0</v>
      </c>
      <c r="BX30" s="165"/>
      <c r="BY30" s="240">
        <f t="shared" si="13"/>
        <v>0</v>
      </c>
      <c r="BZ30" s="248">
        <f t="shared" si="63"/>
        <v>0</v>
      </c>
      <c r="CA30" s="165"/>
      <c r="CB30" s="240">
        <f t="shared" si="14"/>
        <v>0</v>
      </c>
      <c r="CC30" s="248">
        <f t="shared" si="64"/>
        <v>0</v>
      </c>
      <c r="CD30" s="165"/>
      <c r="CE30" s="240">
        <f>CD30-CC30</f>
        <v>0</v>
      </c>
      <c r="CF30" s="248">
        <f t="shared" si="66"/>
        <v>0</v>
      </c>
      <c r="CG30" s="165"/>
      <c r="CH30" s="240">
        <f t="shared" si="16"/>
        <v>0</v>
      </c>
      <c r="CI30" s="248">
        <f t="shared" si="65"/>
        <v>0</v>
      </c>
      <c r="CJ30" s="165"/>
      <c r="CK30" s="240">
        <f t="shared" si="17"/>
        <v>0</v>
      </c>
    </row>
    <row r="31" spans="1:89" s="174" customFormat="1" ht="15" customHeight="1" x14ac:dyDescent="0.2">
      <c r="A31" s="166">
        <v>26</v>
      </c>
      <c r="B31" s="224">
        <f t="shared" si="18"/>
        <v>0</v>
      </c>
      <c r="C31" s="164"/>
      <c r="D31" s="225">
        <f t="shared" si="29"/>
        <v>0</v>
      </c>
      <c r="E31" s="226"/>
      <c r="F31" s="166">
        <v>26</v>
      </c>
      <c r="G31" s="224">
        <f t="shared" si="19"/>
        <v>0</v>
      </c>
      <c r="H31" s="164"/>
      <c r="I31" s="225">
        <f t="shared" ref="I31:I33" si="70">H31-G31</f>
        <v>0</v>
      </c>
      <c r="J31" s="226"/>
      <c r="K31" s="166">
        <v>26</v>
      </c>
      <c r="L31" s="224">
        <f t="shared" si="21"/>
        <v>0</v>
      </c>
      <c r="M31" s="164"/>
      <c r="N31" s="225">
        <f t="shared" ref="N31:N33" si="71">M31-L31</f>
        <v>0</v>
      </c>
      <c r="O31" s="227"/>
      <c r="P31" s="166">
        <v>26</v>
      </c>
      <c r="Q31" s="224">
        <f t="shared" si="23"/>
        <v>0</v>
      </c>
      <c r="R31" s="164"/>
      <c r="S31" s="225">
        <f t="shared" ref="S31:S33" si="72">R31-Q31</f>
        <v>0</v>
      </c>
      <c r="T31" s="228"/>
      <c r="U31" s="166">
        <v>26</v>
      </c>
      <c r="V31" s="251">
        <f t="shared" si="25"/>
        <v>0</v>
      </c>
      <c r="W31" s="161">
        <f>'Maldives at LG Daily'!I30</f>
        <v>0</v>
      </c>
      <c r="X31" s="229"/>
      <c r="Z31" s="242">
        <v>26</v>
      </c>
      <c r="AA31" s="165">
        <f t="shared" si="30"/>
        <v>0</v>
      </c>
      <c r="AB31" s="225"/>
      <c r="AC31" s="240">
        <f t="shared" si="26"/>
        <v>0</v>
      </c>
      <c r="AD31" s="248">
        <f t="shared" si="31"/>
        <v>0</v>
      </c>
      <c r="AE31" s="225"/>
      <c r="AF31" s="240">
        <f t="shared" si="27"/>
        <v>0</v>
      </c>
      <c r="AG31" s="248">
        <f t="shared" si="54"/>
        <v>0</v>
      </c>
      <c r="AH31" s="225"/>
      <c r="AI31" s="240">
        <f t="shared" si="28"/>
        <v>0</v>
      </c>
      <c r="AJ31" s="248">
        <f t="shared" si="33"/>
        <v>0</v>
      </c>
      <c r="AK31" s="225"/>
      <c r="AL31" s="240">
        <f t="shared" si="0"/>
        <v>0</v>
      </c>
      <c r="AM31" s="248">
        <f t="shared" si="34"/>
        <v>0</v>
      </c>
      <c r="AN31" s="225"/>
      <c r="AO31" s="240">
        <f t="shared" si="1"/>
        <v>0</v>
      </c>
      <c r="AP31" s="248">
        <f t="shared" si="35"/>
        <v>0</v>
      </c>
      <c r="AQ31" s="225"/>
      <c r="AR31" s="240">
        <f t="shared" si="2"/>
        <v>0</v>
      </c>
      <c r="AS31" s="248">
        <f t="shared" si="55"/>
        <v>0</v>
      </c>
      <c r="AT31" s="165"/>
      <c r="AU31" s="240">
        <f t="shared" si="3"/>
        <v>0</v>
      </c>
      <c r="AV31" s="248">
        <f t="shared" si="56"/>
        <v>0</v>
      </c>
      <c r="AW31" s="225"/>
      <c r="AX31" s="240">
        <f t="shared" si="4"/>
        <v>0</v>
      </c>
      <c r="AY31" s="248">
        <f t="shared" si="57"/>
        <v>0</v>
      </c>
      <c r="AZ31" s="225"/>
      <c r="BA31" s="240">
        <f t="shared" si="5"/>
        <v>0</v>
      </c>
      <c r="BB31" s="248">
        <f t="shared" si="39"/>
        <v>0</v>
      </c>
      <c r="BC31" s="225"/>
      <c r="BD31" s="240">
        <f t="shared" si="6"/>
        <v>0</v>
      </c>
      <c r="BE31" s="248">
        <f t="shared" si="60"/>
        <v>0</v>
      </c>
      <c r="BF31" s="225"/>
      <c r="BG31" s="240">
        <f t="shared" si="7"/>
        <v>0</v>
      </c>
      <c r="BH31" s="248">
        <f t="shared" si="61"/>
        <v>0</v>
      </c>
      <c r="BI31" s="225"/>
      <c r="BJ31" s="240">
        <f t="shared" si="8"/>
        <v>0</v>
      </c>
      <c r="BK31" s="248">
        <f t="shared" si="62"/>
        <v>0</v>
      </c>
      <c r="BL31" s="225"/>
      <c r="BM31" s="240">
        <f t="shared" si="9"/>
        <v>0</v>
      </c>
      <c r="BN31" s="248">
        <f t="shared" si="43"/>
        <v>0</v>
      </c>
      <c r="BO31" s="225"/>
      <c r="BP31" s="240">
        <f t="shared" si="10"/>
        <v>0</v>
      </c>
      <c r="BQ31" s="248">
        <f t="shared" si="44"/>
        <v>0</v>
      </c>
      <c r="BR31" s="225"/>
      <c r="BS31" s="240">
        <f t="shared" si="11"/>
        <v>0</v>
      </c>
      <c r="BT31" s="248">
        <f t="shared" si="58"/>
        <v>0</v>
      </c>
      <c r="BU31" s="225"/>
      <c r="BV31" s="240">
        <f t="shared" si="12"/>
        <v>0</v>
      </c>
      <c r="BW31" s="248">
        <f t="shared" si="59"/>
        <v>0</v>
      </c>
      <c r="BX31" s="225"/>
      <c r="BY31" s="240">
        <f t="shared" si="13"/>
        <v>0</v>
      </c>
      <c r="BZ31" s="248">
        <f t="shared" si="63"/>
        <v>0</v>
      </c>
      <c r="CA31" s="225"/>
      <c r="CB31" s="240">
        <f t="shared" si="14"/>
        <v>0</v>
      </c>
      <c r="CC31" s="248">
        <f>CD30</f>
        <v>0</v>
      </c>
      <c r="CD31" s="165"/>
      <c r="CE31" s="240">
        <f>CD31-CC31</f>
        <v>0</v>
      </c>
      <c r="CF31" s="248">
        <f t="shared" si="66"/>
        <v>0</v>
      </c>
      <c r="CG31" s="225"/>
      <c r="CH31" s="240">
        <f t="shared" si="16"/>
        <v>0</v>
      </c>
      <c r="CI31" s="248">
        <f t="shared" si="65"/>
        <v>0</v>
      </c>
      <c r="CJ31" s="225"/>
      <c r="CK31" s="240">
        <f t="shared" si="17"/>
        <v>0</v>
      </c>
    </row>
    <row r="32" spans="1:89" ht="15" customHeight="1" x14ac:dyDescent="0.2">
      <c r="A32" s="166">
        <v>27</v>
      </c>
      <c r="B32" s="160">
        <f t="shared" si="18"/>
        <v>0</v>
      </c>
      <c r="C32" s="164"/>
      <c r="D32" s="165">
        <f t="shared" si="29"/>
        <v>0</v>
      </c>
      <c r="E32" s="222"/>
      <c r="F32" s="166">
        <v>27</v>
      </c>
      <c r="G32" s="160">
        <f t="shared" si="19"/>
        <v>0</v>
      </c>
      <c r="H32" s="164"/>
      <c r="I32" s="165">
        <f t="shared" si="70"/>
        <v>0</v>
      </c>
      <c r="J32" s="222"/>
      <c r="K32" s="166">
        <v>27</v>
      </c>
      <c r="L32" s="160">
        <f t="shared" si="21"/>
        <v>0</v>
      </c>
      <c r="M32" s="164"/>
      <c r="N32" s="165">
        <f t="shared" si="71"/>
        <v>0</v>
      </c>
      <c r="O32" s="159"/>
      <c r="P32" s="166">
        <v>27</v>
      </c>
      <c r="Q32" s="160">
        <f t="shared" si="23"/>
        <v>0</v>
      </c>
      <c r="R32" s="164"/>
      <c r="S32" s="165">
        <f t="shared" si="72"/>
        <v>0</v>
      </c>
      <c r="T32" s="158"/>
      <c r="U32" s="160">
        <v>27</v>
      </c>
      <c r="V32" s="250">
        <f t="shared" si="25"/>
        <v>0</v>
      </c>
      <c r="W32" s="161">
        <f>'Maldives at LG Daily'!I31</f>
        <v>0</v>
      </c>
      <c r="X32" s="168"/>
      <c r="Z32" s="242">
        <v>27</v>
      </c>
      <c r="AA32" s="165">
        <f t="shared" si="30"/>
        <v>0</v>
      </c>
      <c r="AB32" s="165"/>
      <c r="AC32" s="240">
        <f t="shared" si="26"/>
        <v>0</v>
      </c>
      <c r="AD32" s="248">
        <f t="shared" si="31"/>
        <v>0</v>
      </c>
      <c r="AE32" s="165"/>
      <c r="AF32" s="240">
        <f t="shared" si="27"/>
        <v>0</v>
      </c>
      <c r="AG32" s="248">
        <f t="shared" si="54"/>
        <v>0</v>
      </c>
      <c r="AH32" s="165"/>
      <c r="AI32" s="240">
        <f t="shared" si="28"/>
        <v>0</v>
      </c>
      <c r="AJ32" s="248">
        <f t="shared" si="33"/>
        <v>0</v>
      </c>
      <c r="AK32" s="165"/>
      <c r="AL32" s="240">
        <f t="shared" si="0"/>
        <v>0</v>
      </c>
      <c r="AM32" s="248">
        <f t="shared" si="34"/>
        <v>0</v>
      </c>
      <c r="AN32" s="165"/>
      <c r="AO32" s="240">
        <f t="shared" si="1"/>
        <v>0</v>
      </c>
      <c r="AP32" s="248">
        <f t="shared" si="35"/>
        <v>0</v>
      </c>
      <c r="AQ32" s="165"/>
      <c r="AR32" s="240">
        <f t="shared" si="2"/>
        <v>0</v>
      </c>
      <c r="AS32" s="248">
        <f t="shared" si="55"/>
        <v>0</v>
      </c>
      <c r="AT32" s="165"/>
      <c r="AU32" s="240">
        <f t="shared" si="3"/>
        <v>0</v>
      </c>
      <c r="AV32" s="248">
        <f t="shared" si="56"/>
        <v>0</v>
      </c>
      <c r="AW32" s="165"/>
      <c r="AX32" s="240">
        <f t="shared" si="4"/>
        <v>0</v>
      </c>
      <c r="AY32" s="248">
        <f t="shared" si="57"/>
        <v>0</v>
      </c>
      <c r="AZ32" s="165"/>
      <c r="BA32" s="240">
        <f t="shared" si="5"/>
        <v>0</v>
      </c>
      <c r="BB32" s="248">
        <f t="shared" si="39"/>
        <v>0</v>
      </c>
      <c r="BC32" s="165"/>
      <c r="BD32" s="240">
        <f t="shared" si="6"/>
        <v>0</v>
      </c>
      <c r="BE32" s="248">
        <f t="shared" si="60"/>
        <v>0</v>
      </c>
      <c r="BF32" s="165"/>
      <c r="BG32" s="240">
        <f t="shared" si="7"/>
        <v>0</v>
      </c>
      <c r="BH32" s="248">
        <f t="shared" si="61"/>
        <v>0</v>
      </c>
      <c r="BI32" s="165"/>
      <c r="BJ32" s="240">
        <f t="shared" si="8"/>
        <v>0</v>
      </c>
      <c r="BK32" s="248">
        <f t="shared" si="62"/>
        <v>0</v>
      </c>
      <c r="BL32" s="165"/>
      <c r="BM32" s="240">
        <f t="shared" si="9"/>
        <v>0</v>
      </c>
      <c r="BN32" s="248">
        <f t="shared" si="43"/>
        <v>0</v>
      </c>
      <c r="BO32" s="165"/>
      <c r="BP32" s="240">
        <f t="shared" si="10"/>
        <v>0</v>
      </c>
      <c r="BQ32" s="248">
        <f t="shared" si="44"/>
        <v>0</v>
      </c>
      <c r="BR32" s="165"/>
      <c r="BS32" s="240">
        <f t="shared" si="11"/>
        <v>0</v>
      </c>
      <c r="BT32" s="248">
        <f t="shared" si="58"/>
        <v>0</v>
      </c>
      <c r="BU32" s="165"/>
      <c r="BV32" s="240">
        <f t="shared" si="12"/>
        <v>0</v>
      </c>
      <c r="BW32" s="248">
        <f t="shared" si="59"/>
        <v>0</v>
      </c>
      <c r="BX32" s="165"/>
      <c r="BY32" s="240">
        <f t="shared" si="13"/>
        <v>0</v>
      </c>
      <c r="BZ32" s="248">
        <f t="shared" si="63"/>
        <v>0</v>
      </c>
      <c r="CA32" s="165"/>
      <c r="CB32" s="240">
        <f t="shared" si="14"/>
        <v>0</v>
      </c>
      <c r="CC32" s="248">
        <f>CD31</f>
        <v>0</v>
      </c>
      <c r="CD32" s="165"/>
      <c r="CE32" s="240">
        <f t="shared" si="15"/>
        <v>0</v>
      </c>
      <c r="CF32" s="248">
        <f t="shared" si="66"/>
        <v>0</v>
      </c>
      <c r="CG32" s="165"/>
      <c r="CH32" s="240">
        <f t="shared" si="16"/>
        <v>0</v>
      </c>
      <c r="CI32" s="248">
        <f t="shared" si="65"/>
        <v>0</v>
      </c>
      <c r="CJ32" s="165"/>
      <c r="CK32" s="240">
        <f t="shared" si="17"/>
        <v>0</v>
      </c>
    </row>
    <row r="33" spans="1:89" ht="15" customHeight="1" x14ac:dyDescent="0.2">
      <c r="A33" s="166">
        <v>28</v>
      </c>
      <c r="B33" s="160">
        <f t="shared" si="18"/>
        <v>0</v>
      </c>
      <c r="C33" s="164"/>
      <c r="D33" s="165">
        <f t="shared" si="29"/>
        <v>0</v>
      </c>
      <c r="E33" s="222"/>
      <c r="F33" s="166">
        <v>28</v>
      </c>
      <c r="G33" s="160">
        <f t="shared" si="19"/>
        <v>0</v>
      </c>
      <c r="H33" s="164"/>
      <c r="I33" s="165">
        <f t="shared" si="70"/>
        <v>0</v>
      </c>
      <c r="J33" s="222"/>
      <c r="K33" s="166">
        <v>28</v>
      </c>
      <c r="L33" s="160">
        <f t="shared" si="21"/>
        <v>0</v>
      </c>
      <c r="M33" s="164"/>
      <c r="N33" s="165">
        <f t="shared" si="71"/>
        <v>0</v>
      </c>
      <c r="O33" s="159"/>
      <c r="P33" s="166">
        <v>28</v>
      </c>
      <c r="Q33" s="160">
        <f t="shared" si="23"/>
        <v>0</v>
      </c>
      <c r="R33" s="164"/>
      <c r="S33" s="165">
        <f t="shared" si="72"/>
        <v>0</v>
      </c>
      <c r="T33" s="158"/>
      <c r="U33" s="160">
        <v>28</v>
      </c>
      <c r="V33" s="250">
        <f t="shared" si="25"/>
        <v>0</v>
      </c>
      <c r="W33" s="161">
        <f>'Maldives at LG Daily'!I32</f>
        <v>0</v>
      </c>
      <c r="X33" s="168"/>
      <c r="Z33" s="242">
        <v>28</v>
      </c>
      <c r="AA33" s="165">
        <f t="shared" si="30"/>
        <v>0</v>
      </c>
      <c r="AB33" s="165"/>
      <c r="AC33" s="240">
        <f t="shared" si="26"/>
        <v>0</v>
      </c>
      <c r="AD33" s="248">
        <f t="shared" si="31"/>
        <v>0</v>
      </c>
      <c r="AE33" s="165"/>
      <c r="AF33" s="240">
        <f t="shared" si="27"/>
        <v>0</v>
      </c>
      <c r="AG33" s="248">
        <f t="shared" si="54"/>
        <v>0</v>
      </c>
      <c r="AH33" s="165"/>
      <c r="AI33" s="240">
        <f t="shared" si="28"/>
        <v>0</v>
      </c>
      <c r="AJ33" s="248">
        <f t="shared" si="33"/>
        <v>0</v>
      </c>
      <c r="AK33" s="165"/>
      <c r="AL33" s="240">
        <f t="shared" si="0"/>
        <v>0</v>
      </c>
      <c r="AM33" s="248">
        <f t="shared" si="34"/>
        <v>0</v>
      </c>
      <c r="AN33" s="165"/>
      <c r="AO33" s="240">
        <f t="shared" si="1"/>
        <v>0</v>
      </c>
      <c r="AP33" s="248">
        <f t="shared" si="35"/>
        <v>0</v>
      </c>
      <c r="AQ33" s="165"/>
      <c r="AR33" s="240">
        <f t="shared" si="2"/>
        <v>0</v>
      </c>
      <c r="AS33" s="248">
        <f t="shared" si="55"/>
        <v>0</v>
      </c>
      <c r="AT33" s="165"/>
      <c r="AU33" s="240">
        <f t="shared" si="3"/>
        <v>0</v>
      </c>
      <c r="AV33" s="248">
        <f t="shared" si="56"/>
        <v>0</v>
      </c>
      <c r="AW33" s="165"/>
      <c r="AX33" s="240">
        <f t="shared" si="4"/>
        <v>0</v>
      </c>
      <c r="AY33" s="248">
        <f t="shared" si="57"/>
        <v>0</v>
      </c>
      <c r="AZ33" s="165"/>
      <c r="BA33" s="240">
        <f t="shared" si="5"/>
        <v>0</v>
      </c>
      <c r="BB33" s="248">
        <f t="shared" si="39"/>
        <v>0</v>
      </c>
      <c r="BC33" s="165"/>
      <c r="BD33" s="240">
        <f t="shared" si="6"/>
        <v>0</v>
      </c>
      <c r="BE33" s="248">
        <f t="shared" si="60"/>
        <v>0</v>
      </c>
      <c r="BF33" s="165"/>
      <c r="BG33" s="240">
        <f t="shared" si="7"/>
        <v>0</v>
      </c>
      <c r="BH33" s="248">
        <f t="shared" si="61"/>
        <v>0</v>
      </c>
      <c r="BI33" s="165"/>
      <c r="BJ33" s="240">
        <f t="shared" si="8"/>
        <v>0</v>
      </c>
      <c r="BK33" s="248">
        <f t="shared" si="62"/>
        <v>0</v>
      </c>
      <c r="BL33" s="165"/>
      <c r="BM33" s="240">
        <f t="shared" si="9"/>
        <v>0</v>
      </c>
      <c r="BN33" s="248">
        <f t="shared" si="43"/>
        <v>0</v>
      </c>
      <c r="BO33" s="165"/>
      <c r="BP33" s="240">
        <f t="shared" si="10"/>
        <v>0</v>
      </c>
      <c r="BQ33" s="248">
        <f t="shared" si="44"/>
        <v>0</v>
      </c>
      <c r="BR33" s="165"/>
      <c r="BS33" s="240">
        <f t="shared" si="11"/>
        <v>0</v>
      </c>
      <c r="BT33" s="248">
        <f t="shared" si="58"/>
        <v>0</v>
      </c>
      <c r="BU33" s="165"/>
      <c r="BV33" s="240">
        <f t="shared" si="12"/>
        <v>0</v>
      </c>
      <c r="BW33" s="248">
        <f t="shared" si="59"/>
        <v>0</v>
      </c>
      <c r="BX33" s="165"/>
      <c r="BY33" s="240">
        <f t="shared" si="13"/>
        <v>0</v>
      </c>
      <c r="BZ33" s="248">
        <f t="shared" si="63"/>
        <v>0</v>
      </c>
      <c r="CA33" s="165"/>
      <c r="CB33" s="240">
        <f t="shared" si="14"/>
        <v>0</v>
      </c>
      <c r="CC33" s="248">
        <f t="shared" si="64"/>
        <v>0</v>
      </c>
      <c r="CD33" s="165"/>
      <c r="CE33" s="240">
        <f t="shared" si="15"/>
        <v>0</v>
      </c>
      <c r="CF33" s="248">
        <f t="shared" si="66"/>
        <v>0</v>
      </c>
      <c r="CG33" s="165"/>
      <c r="CH33" s="240">
        <f t="shared" si="16"/>
        <v>0</v>
      </c>
      <c r="CI33" s="248">
        <f t="shared" si="65"/>
        <v>0</v>
      </c>
      <c r="CJ33" s="165"/>
      <c r="CK33" s="240">
        <f t="shared" si="17"/>
        <v>0</v>
      </c>
    </row>
    <row r="34" spans="1:89" x14ac:dyDescent="0.2">
      <c r="A34" s="166">
        <v>29</v>
      </c>
      <c r="B34" s="160">
        <f t="shared" si="18"/>
        <v>0</v>
      </c>
      <c r="C34" s="164"/>
      <c r="D34" s="165">
        <f>C34-B34</f>
        <v>0</v>
      </c>
      <c r="E34" s="159"/>
      <c r="F34" s="166">
        <v>29</v>
      </c>
      <c r="G34" s="160">
        <f t="shared" si="19"/>
        <v>0</v>
      </c>
      <c r="H34" s="164"/>
      <c r="I34" s="165">
        <f>H34-G34</f>
        <v>0</v>
      </c>
      <c r="J34" s="159"/>
      <c r="K34" s="166">
        <v>29</v>
      </c>
      <c r="L34" s="160">
        <f t="shared" si="21"/>
        <v>0</v>
      </c>
      <c r="M34" s="164"/>
      <c r="N34" s="165">
        <f>M34-L34</f>
        <v>0</v>
      </c>
      <c r="O34" s="159"/>
      <c r="P34" s="166">
        <v>29</v>
      </c>
      <c r="Q34" s="160">
        <f t="shared" si="23"/>
        <v>0</v>
      </c>
      <c r="R34" s="164"/>
      <c r="S34" s="165">
        <f>R34-Q34</f>
        <v>0</v>
      </c>
      <c r="T34" s="158"/>
      <c r="U34" s="166">
        <v>29</v>
      </c>
      <c r="V34" s="250">
        <f t="shared" si="25"/>
        <v>0</v>
      </c>
      <c r="W34" s="161">
        <f>'Maldives at LG Daily'!I33</f>
        <v>0</v>
      </c>
      <c r="X34" s="168"/>
      <c r="Z34" s="242">
        <v>29</v>
      </c>
      <c r="AA34" s="165">
        <f t="shared" si="30"/>
        <v>0</v>
      </c>
      <c r="AB34" s="165"/>
      <c r="AC34" s="240">
        <f t="shared" si="26"/>
        <v>0</v>
      </c>
      <c r="AD34" s="248">
        <f t="shared" si="31"/>
        <v>0</v>
      </c>
      <c r="AE34" s="165"/>
      <c r="AF34" s="240">
        <f t="shared" si="27"/>
        <v>0</v>
      </c>
      <c r="AG34" s="248">
        <f t="shared" si="54"/>
        <v>0</v>
      </c>
      <c r="AH34" s="165"/>
      <c r="AI34" s="240">
        <f t="shared" si="28"/>
        <v>0</v>
      </c>
      <c r="AJ34" s="248">
        <f t="shared" si="33"/>
        <v>0</v>
      </c>
      <c r="AK34" s="165"/>
      <c r="AL34" s="240">
        <f t="shared" si="0"/>
        <v>0</v>
      </c>
      <c r="AM34" s="248">
        <f t="shared" si="34"/>
        <v>0</v>
      </c>
      <c r="AN34" s="165"/>
      <c r="AO34" s="240">
        <f t="shared" si="1"/>
        <v>0</v>
      </c>
      <c r="AP34" s="248">
        <f t="shared" si="35"/>
        <v>0</v>
      </c>
      <c r="AQ34" s="165"/>
      <c r="AR34" s="240">
        <f t="shared" si="2"/>
        <v>0</v>
      </c>
      <c r="AS34" s="248">
        <f t="shared" si="55"/>
        <v>0</v>
      </c>
      <c r="AT34" s="165"/>
      <c r="AU34" s="240">
        <f t="shared" si="3"/>
        <v>0</v>
      </c>
      <c r="AV34" s="248">
        <f t="shared" si="56"/>
        <v>0</v>
      </c>
      <c r="AW34" s="165"/>
      <c r="AX34" s="240">
        <f t="shared" si="4"/>
        <v>0</v>
      </c>
      <c r="AY34" s="248">
        <f t="shared" si="57"/>
        <v>0</v>
      </c>
      <c r="AZ34" s="165"/>
      <c r="BA34" s="240">
        <f t="shared" si="5"/>
        <v>0</v>
      </c>
      <c r="BB34" s="248">
        <f t="shared" si="39"/>
        <v>0</v>
      </c>
      <c r="BC34" s="165"/>
      <c r="BD34" s="240">
        <f t="shared" si="6"/>
        <v>0</v>
      </c>
      <c r="BE34" s="248">
        <f t="shared" si="60"/>
        <v>0</v>
      </c>
      <c r="BF34" s="165"/>
      <c r="BG34" s="240">
        <f t="shared" si="7"/>
        <v>0</v>
      </c>
      <c r="BH34" s="248">
        <f t="shared" si="61"/>
        <v>0</v>
      </c>
      <c r="BI34" s="165"/>
      <c r="BJ34" s="240">
        <f t="shared" si="8"/>
        <v>0</v>
      </c>
      <c r="BK34" s="248">
        <f t="shared" si="62"/>
        <v>0</v>
      </c>
      <c r="BL34" s="165"/>
      <c r="BM34" s="240">
        <f t="shared" si="9"/>
        <v>0</v>
      </c>
      <c r="BN34" s="248">
        <f t="shared" si="43"/>
        <v>0</v>
      </c>
      <c r="BO34" s="165"/>
      <c r="BP34" s="240">
        <f t="shared" si="10"/>
        <v>0</v>
      </c>
      <c r="BQ34" s="248">
        <f t="shared" si="44"/>
        <v>0</v>
      </c>
      <c r="BR34" s="165"/>
      <c r="BS34" s="240">
        <f t="shared" si="11"/>
        <v>0</v>
      </c>
      <c r="BT34" s="248">
        <f t="shared" si="58"/>
        <v>0</v>
      </c>
      <c r="BU34" s="165"/>
      <c r="BV34" s="240">
        <f t="shared" si="12"/>
        <v>0</v>
      </c>
      <c r="BW34" s="248">
        <f t="shared" si="59"/>
        <v>0</v>
      </c>
      <c r="BX34" s="165"/>
      <c r="BY34" s="240">
        <f t="shared" si="13"/>
        <v>0</v>
      </c>
      <c r="BZ34" s="248">
        <f t="shared" si="63"/>
        <v>0</v>
      </c>
      <c r="CA34" s="165"/>
      <c r="CB34" s="240">
        <f t="shared" si="14"/>
        <v>0</v>
      </c>
      <c r="CC34" s="248">
        <f t="shared" si="64"/>
        <v>0</v>
      </c>
      <c r="CD34" s="165"/>
      <c r="CE34" s="240">
        <f t="shared" si="15"/>
        <v>0</v>
      </c>
      <c r="CF34" s="248">
        <f t="shared" si="66"/>
        <v>0</v>
      </c>
      <c r="CG34" s="165"/>
      <c r="CH34" s="240">
        <f t="shared" si="16"/>
        <v>0</v>
      </c>
      <c r="CI34" s="248">
        <f t="shared" si="65"/>
        <v>0</v>
      </c>
      <c r="CJ34" s="165"/>
      <c r="CK34" s="240">
        <f t="shared" si="17"/>
        <v>0</v>
      </c>
    </row>
    <row r="35" spans="1:89" x14ac:dyDescent="0.2">
      <c r="A35" s="166">
        <v>30</v>
      </c>
      <c r="B35" s="160">
        <f>C34</f>
        <v>0</v>
      </c>
      <c r="C35" s="164"/>
      <c r="D35" s="165">
        <f>C35-B35</f>
        <v>0</v>
      </c>
      <c r="E35" s="159"/>
      <c r="F35" s="166">
        <v>30</v>
      </c>
      <c r="G35" s="160">
        <f>H34</f>
        <v>0</v>
      </c>
      <c r="H35" s="164"/>
      <c r="I35" s="165">
        <f>H35-G35</f>
        <v>0</v>
      </c>
      <c r="J35" s="159"/>
      <c r="K35" s="166">
        <v>30</v>
      </c>
      <c r="L35" s="160">
        <f>M34</f>
        <v>0</v>
      </c>
      <c r="M35" s="164"/>
      <c r="N35" s="165">
        <f>M35-L35</f>
        <v>0</v>
      </c>
      <c r="O35" s="159"/>
      <c r="P35" s="166">
        <v>30</v>
      </c>
      <c r="Q35" s="160">
        <f>R34</f>
        <v>0</v>
      </c>
      <c r="R35" s="164"/>
      <c r="S35" s="165">
        <f>R35-Q35</f>
        <v>0</v>
      </c>
      <c r="T35" s="158"/>
      <c r="U35" s="160">
        <v>30</v>
      </c>
      <c r="V35" s="250">
        <f t="shared" si="25"/>
        <v>0</v>
      </c>
      <c r="W35" s="161">
        <f>'Maldives at LG Daily'!I34</f>
        <v>0</v>
      </c>
      <c r="X35" s="168"/>
      <c r="Z35" s="242">
        <v>30</v>
      </c>
      <c r="AA35" s="165">
        <f t="shared" si="30"/>
        <v>0</v>
      </c>
      <c r="AB35" s="165"/>
      <c r="AC35" s="240"/>
      <c r="AD35" s="248">
        <f t="shared" si="31"/>
        <v>0</v>
      </c>
      <c r="AE35" s="165"/>
      <c r="AF35" s="240"/>
      <c r="AG35" s="248">
        <f t="shared" si="54"/>
        <v>0</v>
      </c>
      <c r="AH35" s="165"/>
      <c r="AI35" s="240">
        <f t="shared" si="28"/>
        <v>0</v>
      </c>
      <c r="AJ35" s="248">
        <f t="shared" si="33"/>
        <v>0</v>
      </c>
      <c r="AK35" s="165"/>
      <c r="AL35" s="240">
        <f t="shared" si="0"/>
        <v>0</v>
      </c>
      <c r="AM35" s="248">
        <f t="shared" si="34"/>
        <v>0</v>
      </c>
      <c r="AN35" s="165"/>
      <c r="AO35" s="240">
        <f t="shared" si="1"/>
        <v>0</v>
      </c>
      <c r="AP35" s="248">
        <f t="shared" si="35"/>
        <v>0</v>
      </c>
      <c r="AQ35" s="165"/>
      <c r="AR35" s="240">
        <f t="shared" si="2"/>
        <v>0</v>
      </c>
      <c r="AS35" s="248">
        <f t="shared" si="55"/>
        <v>0</v>
      </c>
      <c r="AT35" s="165"/>
      <c r="AU35" s="240">
        <f t="shared" si="3"/>
        <v>0</v>
      </c>
      <c r="AV35" s="248">
        <f t="shared" si="56"/>
        <v>0</v>
      </c>
      <c r="AW35" s="165"/>
      <c r="AX35" s="240">
        <f t="shared" si="4"/>
        <v>0</v>
      </c>
      <c r="AY35" s="248">
        <f t="shared" si="57"/>
        <v>0</v>
      </c>
      <c r="AZ35" s="165"/>
      <c r="BA35" s="240">
        <f t="shared" si="5"/>
        <v>0</v>
      </c>
      <c r="BB35" s="248">
        <f t="shared" si="39"/>
        <v>0</v>
      </c>
      <c r="BC35" s="165"/>
      <c r="BD35" s="240">
        <f t="shared" si="6"/>
        <v>0</v>
      </c>
      <c r="BE35" s="248">
        <f t="shared" si="60"/>
        <v>0</v>
      </c>
      <c r="BF35" s="165"/>
      <c r="BG35" s="240">
        <f t="shared" si="7"/>
        <v>0</v>
      </c>
      <c r="BH35" s="248">
        <f t="shared" si="61"/>
        <v>0</v>
      </c>
      <c r="BI35" s="165"/>
      <c r="BJ35" s="240">
        <f t="shared" si="8"/>
        <v>0</v>
      </c>
      <c r="BK35" s="248">
        <f t="shared" si="62"/>
        <v>0</v>
      </c>
      <c r="BL35" s="165"/>
      <c r="BM35" s="240">
        <f t="shared" si="9"/>
        <v>0</v>
      </c>
      <c r="BN35" s="248">
        <f t="shared" si="43"/>
        <v>0</v>
      </c>
      <c r="BO35" s="165"/>
      <c r="BP35" s="240">
        <f t="shared" si="10"/>
        <v>0</v>
      </c>
      <c r="BQ35" s="248">
        <f t="shared" si="44"/>
        <v>0</v>
      </c>
      <c r="BR35" s="165"/>
      <c r="BS35" s="240">
        <f t="shared" si="11"/>
        <v>0</v>
      </c>
      <c r="BT35" s="248">
        <f t="shared" si="58"/>
        <v>0</v>
      </c>
      <c r="BU35" s="165"/>
      <c r="BV35" s="240">
        <f t="shared" si="12"/>
        <v>0</v>
      </c>
      <c r="BW35" s="248">
        <f t="shared" si="59"/>
        <v>0</v>
      </c>
      <c r="BX35" s="165"/>
      <c r="BY35" s="240">
        <f t="shared" si="13"/>
        <v>0</v>
      </c>
      <c r="BZ35" s="248">
        <f t="shared" si="63"/>
        <v>0</v>
      </c>
      <c r="CA35" s="165"/>
      <c r="CB35" s="240"/>
      <c r="CC35" s="248">
        <f t="shared" si="64"/>
        <v>0</v>
      </c>
      <c r="CD35" s="165"/>
      <c r="CE35" s="240"/>
      <c r="CF35" s="248">
        <f t="shared" si="66"/>
        <v>0</v>
      </c>
      <c r="CG35" s="165"/>
      <c r="CH35" s="240"/>
      <c r="CI35" s="248">
        <f t="shared" si="65"/>
        <v>0</v>
      </c>
      <c r="CJ35" s="165"/>
      <c r="CK35" s="240"/>
    </row>
    <row r="36" spans="1:89" ht="13.5" thickBot="1" x14ac:dyDescent="0.25">
      <c r="A36" s="166">
        <v>31</v>
      </c>
      <c r="B36" s="160">
        <f>C35</f>
        <v>0</v>
      </c>
      <c r="C36" s="164"/>
      <c r="D36" s="165">
        <f>C36-B36</f>
        <v>0</v>
      </c>
      <c r="E36" s="159"/>
      <c r="F36" s="166">
        <v>31</v>
      </c>
      <c r="G36" s="160">
        <f>H35</f>
        <v>0</v>
      </c>
      <c r="H36" s="164"/>
      <c r="I36" s="165">
        <f>H36-G36</f>
        <v>0</v>
      </c>
      <c r="J36" s="159"/>
      <c r="K36" s="166">
        <v>31</v>
      </c>
      <c r="L36" s="160">
        <f>M35</f>
        <v>0</v>
      </c>
      <c r="M36" s="164"/>
      <c r="N36" s="165">
        <f>M36-L36</f>
        <v>0</v>
      </c>
      <c r="O36" s="159"/>
      <c r="P36" s="166">
        <v>31</v>
      </c>
      <c r="Q36" s="160">
        <f>R35</f>
        <v>0</v>
      </c>
      <c r="R36" s="164"/>
      <c r="S36" s="165">
        <f>R36-Q36</f>
        <v>0</v>
      </c>
      <c r="T36" s="170"/>
      <c r="U36" s="160">
        <v>31</v>
      </c>
      <c r="V36" s="250">
        <f t="shared" si="25"/>
        <v>0</v>
      </c>
      <c r="W36" s="161">
        <f>'Maldives at LG Daily'!I35</f>
        <v>0</v>
      </c>
      <c r="X36" s="168"/>
      <c r="Z36" s="243">
        <v>31</v>
      </c>
      <c r="AA36" s="165">
        <f t="shared" si="30"/>
        <v>0</v>
      </c>
      <c r="AB36" s="247"/>
      <c r="AC36" s="241">
        <f t="shared" si="26"/>
        <v>0</v>
      </c>
      <c r="AD36" s="248">
        <f t="shared" si="31"/>
        <v>0</v>
      </c>
      <c r="AE36" s="247"/>
      <c r="AF36" s="241">
        <f t="shared" si="27"/>
        <v>0</v>
      </c>
      <c r="AG36" s="248">
        <f t="shared" si="54"/>
        <v>0</v>
      </c>
      <c r="AH36" s="247"/>
      <c r="AI36" s="241">
        <f t="shared" si="28"/>
        <v>0</v>
      </c>
      <c r="AJ36" s="248">
        <f t="shared" si="33"/>
        <v>0</v>
      </c>
      <c r="AK36" s="247"/>
      <c r="AL36" s="241">
        <f t="shared" si="0"/>
        <v>0</v>
      </c>
      <c r="AM36" s="248">
        <f t="shared" si="34"/>
        <v>0</v>
      </c>
      <c r="AN36" s="247"/>
      <c r="AO36" s="241">
        <f t="shared" si="1"/>
        <v>0</v>
      </c>
      <c r="AP36" s="248">
        <f t="shared" si="35"/>
        <v>0</v>
      </c>
      <c r="AQ36" s="247"/>
      <c r="AR36" s="241">
        <f t="shared" si="2"/>
        <v>0</v>
      </c>
      <c r="AS36" s="248">
        <f t="shared" si="55"/>
        <v>0</v>
      </c>
      <c r="AT36" s="247"/>
      <c r="AU36" s="241">
        <f t="shared" si="3"/>
        <v>0</v>
      </c>
      <c r="AV36" s="248">
        <f t="shared" si="56"/>
        <v>0</v>
      </c>
      <c r="AW36" s="247"/>
      <c r="AX36" s="241">
        <f t="shared" si="4"/>
        <v>0</v>
      </c>
      <c r="AY36" s="248">
        <f t="shared" si="57"/>
        <v>0</v>
      </c>
      <c r="AZ36" s="247"/>
      <c r="BA36" s="241">
        <f t="shared" si="5"/>
        <v>0</v>
      </c>
      <c r="BB36" s="248">
        <f t="shared" si="39"/>
        <v>0</v>
      </c>
      <c r="BC36" s="247"/>
      <c r="BD36" s="241">
        <f t="shared" si="6"/>
        <v>0</v>
      </c>
      <c r="BE36" s="248">
        <f t="shared" si="60"/>
        <v>0</v>
      </c>
      <c r="BF36" s="247"/>
      <c r="BG36" s="241">
        <f t="shared" si="7"/>
        <v>0</v>
      </c>
      <c r="BH36" s="248">
        <f t="shared" si="61"/>
        <v>0</v>
      </c>
      <c r="BI36" s="247"/>
      <c r="BJ36" s="241">
        <f t="shared" si="8"/>
        <v>0</v>
      </c>
      <c r="BK36" s="248">
        <f t="shared" si="62"/>
        <v>0</v>
      </c>
      <c r="BL36" s="247"/>
      <c r="BM36" s="241">
        <f t="shared" si="9"/>
        <v>0</v>
      </c>
      <c r="BN36" s="248">
        <f t="shared" si="43"/>
        <v>0</v>
      </c>
      <c r="BO36" s="247"/>
      <c r="BP36" s="241">
        <f t="shared" si="10"/>
        <v>0</v>
      </c>
      <c r="BQ36" s="248">
        <f t="shared" si="44"/>
        <v>0</v>
      </c>
      <c r="BR36" s="247"/>
      <c r="BS36" s="241">
        <f t="shared" si="11"/>
        <v>0</v>
      </c>
      <c r="BT36" s="248">
        <f t="shared" si="58"/>
        <v>0</v>
      </c>
      <c r="BU36" s="247"/>
      <c r="BV36" s="241">
        <f t="shared" si="12"/>
        <v>0</v>
      </c>
      <c r="BW36" s="248">
        <f t="shared" si="59"/>
        <v>0</v>
      </c>
      <c r="BX36" s="247"/>
      <c r="BY36" s="241">
        <f t="shared" si="13"/>
        <v>0</v>
      </c>
      <c r="BZ36" s="248">
        <f t="shared" si="63"/>
        <v>0</v>
      </c>
      <c r="CA36" s="247"/>
      <c r="CB36" s="241">
        <f t="shared" si="14"/>
        <v>0</v>
      </c>
      <c r="CC36" s="248">
        <f t="shared" si="64"/>
        <v>0</v>
      </c>
      <c r="CD36" s="247"/>
      <c r="CE36" s="241">
        <f t="shared" si="15"/>
        <v>0</v>
      </c>
      <c r="CF36" s="248">
        <f t="shared" si="66"/>
        <v>0</v>
      </c>
      <c r="CG36" s="247"/>
      <c r="CH36" s="241">
        <f t="shared" si="16"/>
        <v>0</v>
      </c>
      <c r="CI36" s="248">
        <f t="shared" si="65"/>
        <v>0</v>
      </c>
      <c r="CJ36" s="247"/>
      <c r="CK36" s="241">
        <f t="shared" si="17"/>
        <v>0</v>
      </c>
    </row>
    <row r="37" spans="1:89" ht="13.5" thickBot="1" x14ac:dyDescent="0.25">
      <c r="A37" s="171" t="s">
        <v>7</v>
      </c>
      <c r="D37" s="172">
        <f>SUM(D6:D36)</f>
        <v>-10998</v>
      </c>
      <c r="E37" s="173"/>
      <c r="F37" s="171" t="s">
        <v>7</v>
      </c>
      <c r="I37" s="172">
        <f>SUM(I6:I36)</f>
        <v>-5867</v>
      </c>
      <c r="J37" s="173"/>
      <c r="K37" s="171" t="s">
        <v>7</v>
      </c>
      <c r="N37" s="172">
        <f>SUM(N6:N36)</f>
        <v>-746070</v>
      </c>
      <c r="O37" s="173"/>
      <c r="P37" s="171" t="s">
        <v>7</v>
      </c>
      <c r="S37" s="172">
        <f>SUM(S6:S36)</f>
        <v>-206112</v>
      </c>
      <c r="T37" s="173"/>
      <c r="W37" s="223">
        <f>SUM(W6:W36)</f>
        <v>239.49999999999997</v>
      </c>
    </row>
    <row r="38" spans="1:89" ht="13.5" thickTop="1" x14ac:dyDescent="0.2">
      <c r="W38" s="174">
        <f>W37/31</f>
        <v>7.7258064516129021</v>
      </c>
    </row>
  </sheetData>
  <mergeCells count="30">
    <mergeCell ref="A1:X2"/>
    <mergeCell ref="A3:B3"/>
    <mergeCell ref="A4:D4"/>
    <mergeCell ref="F4:I4"/>
    <mergeCell ref="K4:N4"/>
    <mergeCell ref="P4:S4"/>
    <mergeCell ref="U4:X4"/>
    <mergeCell ref="AV4:AX4"/>
    <mergeCell ref="AY4:BA4"/>
    <mergeCell ref="Z4:AC4"/>
    <mergeCell ref="Z3:AC3"/>
    <mergeCell ref="AD4:AF4"/>
    <mergeCell ref="AG4:AI4"/>
    <mergeCell ref="AJ4:AL4"/>
    <mergeCell ref="CF4:CH4"/>
    <mergeCell ref="CI4:CK4"/>
    <mergeCell ref="Z1:CK2"/>
    <mergeCell ref="BQ4:BS4"/>
    <mergeCell ref="BT4:BV4"/>
    <mergeCell ref="BW4:BY4"/>
    <mergeCell ref="BZ4:CB4"/>
    <mergeCell ref="CC4:CE4"/>
    <mergeCell ref="BB4:BD4"/>
    <mergeCell ref="BE4:BG4"/>
    <mergeCell ref="BH4:BJ4"/>
    <mergeCell ref="BK4:BM4"/>
    <mergeCell ref="BN4:BP4"/>
    <mergeCell ref="AM4:AO4"/>
    <mergeCell ref="AP4:AR4"/>
    <mergeCell ref="AS4:AU4"/>
  </mergeCells>
  <conditionalFormatting sqref="V6:V36">
    <cfRule type="cellIs" dxfId="23" priority="23" operator="greaterThan">
      <formula>400</formula>
    </cfRule>
    <cfRule type="cellIs" dxfId="22" priority="24" operator="greaterThan">
      <formula>400</formula>
    </cfRule>
  </conditionalFormatting>
  <conditionalFormatting sqref="AC6:AC36">
    <cfRule type="cellIs" dxfId="21" priority="22" operator="greaterThan">
      <formula>31</formula>
    </cfRule>
  </conditionalFormatting>
  <conditionalFormatting sqref="AF6:AF36">
    <cfRule type="cellIs" dxfId="20" priority="21" operator="greaterThan">
      <formula>6</formula>
    </cfRule>
  </conditionalFormatting>
  <conditionalFormatting sqref="AI6:AI36">
    <cfRule type="cellIs" dxfId="19" priority="20" operator="greaterThan">
      <formula>10</formula>
    </cfRule>
  </conditionalFormatting>
  <conditionalFormatting sqref="AL6:AL36">
    <cfRule type="cellIs" dxfId="18" priority="19" operator="greaterThan">
      <formula>13</formula>
    </cfRule>
  </conditionalFormatting>
  <conditionalFormatting sqref="AO6:AO36">
    <cfRule type="cellIs" dxfId="17" priority="18" operator="greaterThan">
      <formula>8</formula>
    </cfRule>
  </conditionalFormatting>
  <conditionalFormatting sqref="AR6:AR36">
    <cfRule type="cellIs" dxfId="16" priority="17" operator="greaterThan">
      <formula>7</formula>
    </cfRule>
  </conditionalFormatting>
  <conditionalFormatting sqref="AU6:AU36">
    <cfRule type="cellIs" dxfId="15" priority="15" operator="greaterThan">
      <formula>10</formula>
    </cfRule>
    <cfRule type="cellIs" dxfId="14" priority="16" operator="greaterThan">
      <formula>13</formula>
    </cfRule>
  </conditionalFormatting>
  <conditionalFormatting sqref="AX6:AX36">
    <cfRule type="cellIs" dxfId="13" priority="14" operator="greaterThan">
      <formula>7</formula>
    </cfRule>
  </conditionalFormatting>
  <conditionalFormatting sqref="BA6:BA36">
    <cfRule type="cellIs" dxfId="12" priority="13" operator="greaterThan">
      <formula>2</formula>
    </cfRule>
  </conditionalFormatting>
  <conditionalFormatting sqref="BD6:BD36">
    <cfRule type="cellIs" dxfId="11" priority="12" operator="greaterThan">
      <formula>1</formula>
    </cfRule>
  </conditionalFormatting>
  <conditionalFormatting sqref="BG6:BG36">
    <cfRule type="cellIs" dxfId="10" priority="11" operator="greaterThan">
      <formula>1.6</formula>
    </cfRule>
  </conditionalFormatting>
  <conditionalFormatting sqref="BJ6:BJ36">
    <cfRule type="cellIs" dxfId="9" priority="10" operator="greaterThan">
      <formula>2.5</formula>
    </cfRule>
  </conditionalFormatting>
  <conditionalFormatting sqref="BM6:BM36">
    <cfRule type="cellIs" dxfId="8" priority="9" operator="greaterThan">
      <formula>33</formula>
    </cfRule>
  </conditionalFormatting>
  <conditionalFormatting sqref="BP6:BP36">
    <cfRule type="cellIs" dxfId="7" priority="8" operator="greaterThan">
      <formula>3</formula>
    </cfRule>
  </conditionalFormatting>
  <conditionalFormatting sqref="BS6:BS36">
    <cfRule type="cellIs" dxfId="6" priority="7" operator="greaterThan">
      <formula>1</formula>
    </cfRule>
  </conditionalFormatting>
  <conditionalFormatting sqref="BV6:BV36">
    <cfRule type="cellIs" dxfId="5" priority="6" operator="greaterThan">
      <formula>5</formula>
    </cfRule>
  </conditionalFormatting>
  <conditionalFormatting sqref="BY6:BY36">
    <cfRule type="cellIs" dxfId="4" priority="5" operator="greaterThan">
      <formula>4</formula>
    </cfRule>
  </conditionalFormatting>
  <conditionalFormatting sqref="CB6:CB36">
    <cfRule type="cellIs" dxfId="3" priority="4" operator="greaterThan">
      <formula>2</formula>
    </cfRule>
  </conditionalFormatting>
  <conditionalFormatting sqref="CE6:CE36">
    <cfRule type="cellIs" dxfId="2" priority="3" operator="greaterThan">
      <formula>20</formula>
    </cfRule>
  </conditionalFormatting>
  <conditionalFormatting sqref="CH6:CH36">
    <cfRule type="cellIs" dxfId="1" priority="2" operator="greaterThan">
      <formula>2.3</formula>
    </cfRule>
  </conditionalFormatting>
  <conditionalFormatting sqref="CK6:CK36">
    <cfRule type="cellIs" dxfId="0" priority="1" operator="greaterThan">
      <formula>2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topLeftCell="A7" zoomScale="90" zoomScaleNormal="90" workbookViewId="0">
      <selection activeCell="K19" sqref="K19"/>
    </sheetView>
  </sheetViews>
  <sheetFormatPr defaultColWidth="9.140625" defaultRowHeight="12.75" x14ac:dyDescent="0.2"/>
  <cols>
    <col min="1" max="1" width="7" style="195" customWidth="1"/>
    <col min="2" max="2" width="17.7109375" style="171" customWidth="1"/>
    <col min="3" max="3" width="15.7109375" style="171" customWidth="1"/>
    <col min="4" max="5" width="16.140625" style="171" customWidth="1"/>
    <col min="6" max="6" width="16.140625" style="196" customWidth="1"/>
    <col min="7" max="7" width="14.5703125" style="196" customWidth="1"/>
    <col min="8" max="8" width="13" style="147" customWidth="1"/>
    <col min="9" max="16384" width="9.140625" style="147"/>
  </cols>
  <sheetData>
    <row r="1" spans="1:20" s="148" customFormat="1" x14ac:dyDescent="0.2">
      <c r="A1" s="384"/>
      <c r="B1" s="384"/>
      <c r="C1" s="176"/>
      <c r="D1" s="176"/>
      <c r="E1" s="176"/>
      <c r="F1" s="177"/>
      <c r="G1" s="177"/>
    </row>
    <row r="2" spans="1:20" ht="24.75" customHeight="1" x14ac:dyDescent="0.2">
      <c r="A2" s="385" t="s">
        <v>36</v>
      </c>
      <c r="B2" s="385"/>
      <c r="C2" s="385"/>
      <c r="D2" s="385"/>
      <c r="E2" s="385"/>
      <c r="F2" s="385"/>
      <c r="G2" s="385"/>
      <c r="H2" s="385"/>
    </row>
    <row r="3" spans="1:20" ht="26.25" customHeight="1" x14ac:dyDescent="0.2">
      <c r="A3" s="178" t="s">
        <v>130</v>
      </c>
      <c r="B3" s="179">
        <v>44378</v>
      </c>
      <c r="C3" s="180"/>
      <c r="D3" s="178"/>
      <c r="E3" s="178"/>
      <c r="F3" s="178"/>
      <c r="G3" s="181"/>
      <c r="H3" s="182"/>
    </row>
    <row r="4" spans="1:20" ht="42" customHeight="1" x14ac:dyDescent="0.2">
      <c r="A4" s="183" t="s">
        <v>5</v>
      </c>
      <c r="B4" s="184" t="s">
        <v>131</v>
      </c>
      <c r="C4" s="184" t="s">
        <v>132</v>
      </c>
      <c r="D4" s="184" t="s">
        <v>133</v>
      </c>
      <c r="E4" s="184" t="s">
        <v>134</v>
      </c>
      <c r="F4" s="185" t="s">
        <v>7</v>
      </c>
      <c r="G4" s="186" t="s">
        <v>37</v>
      </c>
      <c r="H4" s="186" t="s">
        <v>135</v>
      </c>
    </row>
    <row r="5" spans="1:20" ht="24" customHeight="1" x14ac:dyDescent="0.2">
      <c r="A5" s="386">
        <v>44377</v>
      </c>
      <c r="B5" s="387"/>
      <c r="C5" s="387"/>
      <c r="D5" s="387"/>
      <c r="E5" s="387"/>
      <c r="F5" s="388"/>
      <c r="G5" s="187"/>
      <c r="H5" s="187"/>
    </row>
    <row r="6" spans="1:20" ht="21.75" customHeight="1" x14ac:dyDescent="0.2">
      <c r="A6" s="188">
        <v>1</v>
      </c>
      <c r="B6" s="166">
        <v>1</v>
      </c>
      <c r="C6" s="166">
        <v>1</v>
      </c>
      <c r="D6" s="166">
        <v>1</v>
      </c>
      <c r="E6" s="115">
        <v>2</v>
      </c>
      <c r="F6" s="189">
        <f>SUM(B6:E6)</f>
        <v>5</v>
      </c>
      <c r="G6" s="190">
        <f>F6*45</f>
        <v>225</v>
      </c>
      <c r="H6" s="191">
        <f>WATER!W6</f>
        <v>18.399999999999999</v>
      </c>
    </row>
    <row r="7" spans="1:20" ht="21.75" customHeight="1" x14ac:dyDescent="0.2">
      <c r="A7" s="188">
        <v>2</v>
      </c>
      <c r="B7" s="166">
        <v>2</v>
      </c>
      <c r="C7" s="163">
        <v>0</v>
      </c>
      <c r="D7" s="166">
        <v>1</v>
      </c>
      <c r="E7" s="115">
        <v>2</v>
      </c>
      <c r="F7" s="189">
        <f t="shared" ref="F7:F36" si="0">SUM(B7:E7)</f>
        <v>5</v>
      </c>
      <c r="G7" s="190">
        <f t="shared" ref="G7:G36" si="1">F7*45</f>
        <v>225</v>
      </c>
      <c r="H7" s="191">
        <f>WATER!W7</f>
        <v>12.7</v>
      </c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</row>
    <row r="8" spans="1:20" ht="21.75" customHeight="1" x14ac:dyDescent="0.2">
      <c r="A8" s="188">
        <v>3</v>
      </c>
      <c r="B8" s="166">
        <v>2</v>
      </c>
      <c r="C8" s="163">
        <v>0</v>
      </c>
      <c r="D8" s="166">
        <v>1</v>
      </c>
      <c r="E8" s="115">
        <v>1</v>
      </c>
      <c r="F8" s="189">
        <f t="shared" si="0"/>
        <v>4</v>
      </c>
      <c r="G8" s="190">
        <f t="shared" si="1"/>
        <v>180</v>
      </c>
      <c r="H8" s="191">
        <f>WATER!W8</f>
        <v>12.6</v>
      </c>
    </row>
    <row r="9" spans="1:20" ht="21.75" customHeight="1" x14ac:dyDescent="0.2">
      <c r="A9" s="188">
        <v>4</v>
      </c>
      <c r="B9" s="166">
        <v>2</v>
      </c>
      <c r="C9" s="163">
        <v>1</v>
      </c>
      <c r="D9" s="166">
        <v>1</v>
      </c>
      <c r="E9" s="115">
        <v>2</v>
      </c>
      <c r="F9" s="189">
        <f t="shared" si="0"/>
        <v>6</v>
      </c>
      <c r="G9" s="190">
        <f t="shared" si="1"/>
        <v>270</v>
      </c>
      <c r="H9" s="191">
        <f>WATER!W9</f>
        <v>15.5</v>
      </c>
    </row>
    <row r="10" spans="1:20" ht="21.75" customHeight="1" x14ac:dyDescent="0.2">
      <c r="A10" s="188">
        <v>5</v>
      </c>
      <c r="B10" s="166">
        <v>2</v>
      </c>
      <c r="C10" s="163">
        <v>1</v>
      </c>
      <c r="D10" s="166">
        <v>1</v>
      </c>
      <c r="E10" s="115">
        <v>2</v>
      </c>
      <c r="F10" s="189">
        <f t="shared" si="0"/>
        <v>6</v>
      </c>
      <c r="G10" s="190">
        <f t="shared" si="1"/>
        <v>270</v>
      </c>
      <c r="H10" s="191">
        <f>WATER!W10</f>
        <v>13.6</v>
      </c>
    </row>
    <row r="11" spans="1:20" ht="21.75" customHeight="1" x14ac:dyDescent="0.2">
      <c r="A11" s="188">
        <v>6</v>
      </c>
      <c r="B11" s="166">
        <v>2</v>
      </c>
      <c r="C11" s="163">
        <v>0</v>
      </c>
      <c r="D11" s="166">
        <v>1</v>
      </c>
      <c r="E11" s="115">
        <v>2</v>
      </c>
      <c r="F11" s="189">
        <f t="shared" si="0"/>
        <v>5</v>
      </c>
      <c r="G11" s="190">
        <f t="shared" si="1"/>
        <v>225</v>
      </c>
      <c r="H11" s="191">
        <f>WATER!W11</f>
        <v>15.5</v>
      </c>
    </row>
    <row r="12" spans="1:20" ht="21.75" customHeight="1" x14ac:dyDescent="0.2">
      <c r="A12" s="188">
        <v>7</v>
      </c>
      <c r="B12" s="166">
        <v>2</v>
      </c>
      <c r="C12" s="163">
        <v>0</v>
      </c>
      <c r="D12" s="166">
        <v>1</v>
      </c>
      <c r="E12" s="115">
        <v>2</v>
      </c>
      <c r="F12" s="189">
        <f t="shared" si="0"/>
        <v>5</v>
      </c>
      <c r="G12" s="190">
        <f t="shared" si="1"/>
        <v>225</v>
      </c>
      <c r="H12" s="191">
        <f>WATER!W12</f>
        <v>17.5</v>
      </c>
    </row>
    <row r="13" spans="1:20" ht="21.75" customHeight="1" x14ac:dyDescent="0.2">
      <c r="A13" s="188">
        <v>8</v>
      </c>
      <c r="B13" s="166">
        <v>1</v>
      </c>
      <c r="C13" s="163">
        <v>1</v>
      </c>
      <c r="D13" s="166">
        <v>1</v>
      </c>
      <c r="E13" s="115">
        <v>2</v>
      </c>
      <c r="F13" s="189">
        <f t="shared" si="0"/>
        <v>5</v>
      </c>
      <c r="G13" s="190">
        <f t="shared" si="1"/>
        <v>225</v>
      </c>
      <c r="H13" s="191">
        <f>WATER!W13</f>
        <v>16.5</v>
      </c>
    </row>
    <row r="14" spans="1:20" ht="21.75" customHeight="1" x14ac:dyDescent="0.2">
      <c r="A14" s="188">
        <v>9</v>
      </c>
      <c r="B14" s="166">
        <v>2</v>
      </c>
      <c r="C14" s="163">
        <v>0</v>
      </c>
      <c r="D14" s="166">
        <v>1</v>
      </c>
      <c r="E14" s="115">
        <v>2</v>
      </c>
      <c r="F14" s="189">
        <f t="shared" si="0"/>
        <v>5</v>
      </c>
      <c r="G14" s="190">
        <f t="shared" si="1"/>
        <v>225</v>
      </c>
      <c r="H14" s="191">
        <f>WATER!W14</f>
        <v>16.5</v>
      </c>
    </row>
    <row r="15" spans="1:20" ht="21.75" customHeight="1" x14ac:dyDescent="0.2">
      <c r="A15" s="188">
        <v>10</v>
      </c>
      <c r="B15" s="166">
        <v>2</v>
      </c>
      <c r="C15" s="163">
        <v>1</v>
      </c>
      <c r="D15" s="166">
        <v>1</v>
      </c>
      <c r="E15" s="115">
        <v>2</v>
      </c>
      <c r="F15" s="189">
        <f t="shared" si="0"/>
        <v>6</v>
      </c>
      <c r="G15" s="190">
        <f t="shared" si="1"/>
        <v>270</v>
      </c>
      <c r="H15" s="191">
        <f>WATER!W15</f>
        <v>13.6</v>
      </c>
    </row>
    <row r="16" spans="1:20" ht="21.75" customHeight="1" x14ac:dyDescent="0.2">
      <c r="A16" s="188">
        <v>11</v>
      </c>
      <c r="B16" s="166">
        <v>2</v>
      </c>
      <c r="C16" s="163">
        <v>0</v>
      </c>
      <c r="D16" s="166">
        <v>1</v>
      </c>
      <c r="E16" s="115">
        <v>2</v>
      </c>
      <c r="F16" s="189">
        <f t="shared" si="0"/>
        <v>5</v>
      </c>
      <c r="G16" s="190">
        <f t="shared" si="1"/>
        <v>225</v>
      </c>
      <c r="H16" s="191">
        <f>WATER!W16</f>
        <v>11.7</v>
      </c>
    </row>
    <row r="17" spans="1:8" ht="21.75" customHeight="1" x14ac:dyDescent="0.2">
      <c r="A17" s="188">
        <v>12</v>
      </c>
      <c r="B17" s="166">
        <v>2</v>
      </c>
      <c r="C17" s="163">
        <v>0</v>
      </c>
      <c r="D17" s="166">
        <v>1</v>
      </c>
      <c r="E17" s="115">
        <v>2</v>
      </c>
      <c r="F17" s="189">
        <f t="shared" si="0"/>
        <v>5</v>
      </c>
      <c r="G17" s="190">
        <f t="shared" si="1"/>
        <v>225</v>
      </c>
      <c r="H17" s="191">
        <f>WATER!W17</f>
        <v>11.7</v>
      </c>
    </row>
    <row r="18" spans="1:8" ht="21.75" customHeight="1" x14ac:dyDescent="0.2">
      <c r="A18" s="188">
        <v>13</v>
      </c>
      <c r="B18" s="166">
        <v>1</v>
      </c>
      <c r="C18" s="166">
        <v>1</v>
      </c>
      <c r="D18" s="163">
        <v>1</v>
      </c>
      <c r="E18" s="115">
        <v>2</v>
      </c>
      <c r="F18" s="189">
        <f t="shared" si="0"/>
        <v>5</v>
      </c>
      <c r="G18" s="190">
        <f t="shared" si="1"/>
        <v>225</v>
      </c>
      <c r="H18" s="191">
        <f>WATER!W18</f>
        <v>12.6</v>
      </c>
    </row>
    <row r="19" spans="1:8" ht="21.75" customHeight="1" x14ac:dyDescent="0.2">
      <c r="A19" s="188">
        <v>14</v>
      </c>
      <c r="B19" s="163">
        <v>2</v>
      </c>
      <c r="C19" s="163">
        <v>0</v>
      </c>
      <c r="D19" s="163">
        <v>1</v>
      </c>
      <c r="E19" s="115">
        <v>2</v>
      </c>
      <c r="F19" s="189">
        <f t="shared" si="0"/>
        <v>5</v>
      </c>
      <c r="G19" s="190">
        <f t="shared" si="1"/>
        <v>225</v>
      </c>
      <c r="H19" s="191">
        <f>WATER!W19</f>
        <v>13.6</v>
      </c>
    </row>
    <row r="20" spans="1:8" ht="21.75" customHeight="1" x14ac:dyDescent="0.2">
      <c r="A20" s="188">
        <v>15</v>
      </c>
      <c r="B20" s="163">
        <v>2</v>
      </c>
      <c r="C20" s="163">
        <v>1</v>
      </c>
      <c r="D20" s="163">
        <v>1</v>
      </c>
      <c r="E20" s="115">
        <v>2</v>
      </c>
      <c r="F20" s="189">
        <f t="shared" si="0"/>
        <v>6</v>
      </c>
      <c r="G20" s="190">
        <f t="shared" si="1"/>
        <v>270</v>
      </c>
      <c r="H20" s="191">
        <f>WATER!W20</f>
        <v>16.5</v>
      </c>
    </row>
    <row r="21" spans="1:8" ht="21.75" customHeight="1" x14ac:dyDescent="0.2">
      <c r="A21" s="188">
        <v>16</v>
      </c>
      <c r="B21" s="163">
        <v>1</v>
      </c>
      <c r="C21" s="166">
        <v>0</v>
      </c>
      <c r="D21" s="163">
        <v>1</v>
      </c>
      <c r="E21" s="115">
        <v>2</v>
      </c>
      <c r="F21" s="189">
        <f t="shared" si="0"/>
        <v>4</v>
      </c>
      <c r="G21" s="190">
        <f t="shared" si="1"/>
        <v>180</v>
      </c>
      <c r="H21" s="191">
        <f>WATER!W21</f>
        <v>21</v>
      </c>
    </row>
    <row r="22" spans="1:8" ht="21.75" customHeight="1" x14ac:dyDescent="0.2">
      <c r="A22" s="188">
        <v>17</v>
      </c>
      <c r="B22" s="163">
        <v>1</v>
      </c>
      <c r="C22" s="163">
        <v>1</v>
      </c>
      <c r="D22" s="163">
        <v>1</v>
      </c>
      <c r="E22" s="115">
        <v>2</v>
      </c>
      <c r="F22" s="189">
        <f t="shared" si="0"/>
        <v>5</v>
      </c>
      <c r="G22" s="190">
        <f t="shared" si="1"/>
        <v>225</v>
      </c>
      <c r="H22" s="191">
        <f>WATER!W22</f>
        <v>0</v>
      </c>
    </row>
    <row r="23" spans="1:8" ht="21.75" customHeight="1" x14ac:dyDescent="0.2">
      <c r="A23" s="188">
        <v>18</v>
      </c>
      <c r="B23" s="163"/>
      <c r="C23" s="163"/>
      <c r="D23" s="163"/>
      <c r="E23" s="115"/>
      <c r="F23" s="189">
        <f t="shared" si="0"/>
        <v>0</v>
      </c>
      <c r="G23" s="190">
        <f t="shared" si="1"/>
        <v>0</v>
      </c>
      <c r="H23" s="191">
        <f>WATER!W23</f>
        <v>0</v>
      </c>
    </row>
    <row r="24" spans="1:8" ht="21.75" customHeight="1" x14ac:dyDescent="0.2">
      <c r="A24" s="188">
        <v>19</v>
      </c>
      <c r="B24" s="163"/>
      <c r="C24" s="166"/>
      <c r="D24" s="163"/>
      <c r="E24" s="115"/>
      <c r="F24" s="189">
        <f t="shared" si="0"/>
        <v>0</v>
      </c>
      <c r="G24" s="190">
        <f t="shared" si="1"/>
        <v>0</v>
      </c>
      <c r="H24" s="191">
        <f>WATER!W24</f>
        <v>0</v>
      </c>
    </row>
    <row r="25" spans="1:8" ht="21.75" customHeight="1" x14ac:dyDescent="0.2">
      <c r="A25" s="188">
        <v>20</v>
      </c>
      <c r="B25" s="163"/>
      <c r="C25" s="163"/>
      <c r="D25" s="163"/>
      <c r="E25" s="115"/>
      <c r="F25" s="189">
        <f t="shared" si="0"/>
        <v>0</v>
      </c>
      <c r="G25" s="190">
        <f t="shared" si="1"/>
        <v>0</v>
      </c>
      <c r="H25" s="191">
        <f>WATER!W25</f>
        <v>0</v>
      </c>
    </row>
    <row r="26" spans="1:8" ht="21.75" customHeight="1" x14ac:dyDescent="0.2">
      <c r="A26" s="188">
        <v>21</v>
      </c>
      <c r="B26" s="163"/>
      <c r="C26" s="163"/>
      <c r="D26" s="163"/>
      <c r="E26" s="115"/>
      <c r="F26" s="189">
        <f t="shared" si="0"/>
        <v>0</v>
      </c>
      <c r="G26" s="190">
        <f t="shared" si="1"/>
        <v>0</v>
      </c>
      <c r="H26" s="191">
        <f>WATER!W26</f>
        <v>0</v>
      </c>
    </row>
    <row r="27" spans="1:8" ht="21.75" customHeight="1" x14ac:dyDescent="0.2">
      <c r="A27" s="188">
        <v>22</v>
      </c>
      <c r="B27" s="163"/>
      <c r="C27" s="166"/>
      <c r="D27" s="163"/>
      <c r="E27" s="115"/>
      <c r="F27" s="189">
        <f t="shared" si="0"/>
        <v>0</v>
      </c>
      <c r="G27" s="190">
        <f t="shared" si="1"/>
        <v>0</v>
      </c>
      <c r="H27" s="191">
        <f>WATER!W27</f>
        <v>0</v>
      </c>
    </row>
    <row r="28" spans="1:8" ht="21.75" customHeight="1" x14ac:dyDescent="0.2">
      <c r="A28" s="188">
        <v>23</v>
      </c>
      <c r="B28" s="163"/>
      <c r="C28" s="163"/>
      <c r="D28" s="163"/>
      <c r="E28" s="115"/>
      <c r="F28" s="189">
        <f t="shared" si="0"/>
        <v>0</v>
      </c>
      <c r="G28" s="190">
        <f t="shared" si="1"/>
        <v>0</v>
      </c>
      <c r="H28" s="191">
        <f>WATER!W28</f>
        <v>0</v>
      </c>
    </row>
    <row r="29" spans="1:8" ht="21.75" customHeight="1" x14ac:dyDescent="0.2">
      <c r="A29" s="188">
        <v>24</v>
      </c>
      <c r="B29" s="163"/>
      <c r="C29" s="163"/>
      <c r="D29" s="163"/>
      <c r="E29" s="115"/>
      <c r="F29" s="189">
        <f t="shared" si="0"/>
        <v>0</v>
      </c>
      <c r="G29" s="190">
        <f t="shared" si="1"/>
        <v>0</v>
      </c>
      <c r="H29" s="191">
        <f>WATER!W29</f>
        <v>0</v>
      </c>
    </row>
    <row r="30" spans="1:8" ht="21.75" customHeight="1" x14ac:dyDescent="0.2">
      <c r="A30" s="188">
        <v>25</v>
      </c>
      <c r="B30" s="163"/>
      <c r="C30" s="166"/>
      <c r="D30" s="163"/>
      <c r="E30" s="115"/>
      <c r="F30" s="189">
        <f t="shared" si="0"/>
        <v>0</v>
      </c>
      <c r="G30" s="190">
        <f t="shared" si="1"/>
        <v>0</v>
      </c>
      <c r="H30" s="191">
        <f>WATER!W30</f>
        <v>0</v>
      </c>
    </row>
    <row r="31" spans="1:8" ht="21.75" customHeight="1" x14ac:dyDescent="0.2">
      <c r="A31" s="188">
        <v>26</v>
      </c>
      <c r="B31" s="163"/>
      <c r="C31" s="163"/>
      <c r="D31" s="163"/>
      <c r="E31" s="115"/>
      <c r="F31" s="189">
        <f t="shared" si="0"/>
        <v>0</v>
      </c>
      <c r="G31" s="190">
        <f t="shared" si="1"/>
        <v>0</v>
      </c>
      <c r="H31" s="191">
        <f>WATER!W31</f>
        <v>0</v>
      </c>
    </row>
    <row r="32" spans="1:8" ht="21.75" customHeight="1" x14ac:dyDescent="0.2">
      <c r="A32" s="188">
        <v>27</v>
      </c>
      <c r="B32" s="163"/>
      <c r="C32" s="163"/>
      <c r="D32" s="163"/>
      <c r="E32" s="115"/>
      <c r="F32" s="189">
        <f t="shared" si="0"/>
        <v>0</v>
      </c>
      <c r="G32" s="190">
        <f t="shared" si="1"/>
        <v>0</v>
      </c>
      <c r="H32" s="191">
        <f>WATER!W32</f>
        <v>0</v>
      </c>
    </row>
    <row r="33" spans="1:8" ht="21.75" customHeight="1" x14ac:dyDescent="0.2">
      <c r="A33" s="188">
        <v>28</v>
      </c>
      <c r="B33" s="163"/>
      <c r="C33" s="166"/>
      <c r="D33" s="163"/>
      <c r="E33" s="115"/>
      <c r="F33" s="189">
        <f t="shared" si="0"/>
        <v>0</v>
      </c>
      <c r="G33" s="190">
        <f t="shared" si="1"/>
        <v>0</v>
      </c>
      <c r="H33" s="191">
        <f>WATER!W33</f>
        <v>0</v>
      </c>
    </row>
    <row r="34" spans="1:8" ht="21.75" customHeight="1" x14ac:dyDescent="0.2">
      <c r="A34" s="188">
        <v>29</v>
      </c>
      <c r="B34" s="163"/>
      <c r="C34" s="163"/>
      <c r="D34" s="163"/>
      <c r="E34" s="115"/>
      <c r="F34" s="189">
        <f t="shared" si="0"/>
        <v>0</v>
      </c>
      <c r="G34" s="190">
        <f t="shared" si="1"/>
        <v>0</v>
      </c>
      <c r="H34" s="191">
        <f>WATER!W34</f>
        <v>0</v>
      </c>
    </row>
    <row r="35" spans="1:8" ht="21.75" customHeight="1" x14ac:dyDescent="0.2">
      <c r="A35" s="188">
        <v>30</v>
      </c>
      <c r="B35" s="163"/>
      <c r="C35" s="163"/>
      <c r="D35" s="163"/>
      <c r="E35" s="115"/>
      <c r="F35" s="189">
        <f t="shared" si="0"/>
        <v>0</v>
      </c>
      <c r="G35" s="190">
        <f t="shared" si="1"/>
        <v>0</v>
      </c>
      <c r="H35" s="191">
        <f>WATER!W35</f>
        <v>0</v>
      </c>
    </row>
    <row r="36" spans="1:8" ht="21.75" customHeight="1" x14ac:dyDescent="0.2">
      <c r="A36" s="188">
        <v>31</v>
      </c>
      <c r="B36" s="163"/>
      <c r="C36" s="163"/>
      <c r="D36" s="163"/>
      <c r="E36" s="115"/>
      <c r="F36" s="189">
        <f t="shared" si="0"/>
        <v>0</v>
      </c>
      <c r="G36" s="190">
        <f t="shared" si="1"/>
        <v>0</v>
      </c>
      <c r="H36" s="191">
        <f>WATER!W36</f>
        <v>0</v>
      </c>
    </row>
    <row r="37" spans="1:8" ht="21" customHeight="1" x14ac:dyDescent="0.2">
      <c r="A37" s="192" t="s">
        <v>7</v>
      </c>
      <c r="B37" s="192"/>
      <c r="C37" s="192"/>
      <c r="D37" s="193"/>
      <c r="E37" s="193">
        <f>SUM(E6:E36)</f>
        <v>33</v>
      </c>
      <c r="F37" s="194">
        <f>SUM(F6:F36)</f>
        <v>87</v>
      </c>
      <c r="G37" s="190">
        <f>SUM(G6:G36)</f>
        <v>3915</v>
      </c>
      <c r="H37" s="191">
        <f>SUM(H6:H36)/30</f>
        <v>7.9833333333333325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79" orientation="portrait" r:id="rId1"/>
  <colBreaks count="1" manualBreakCount="1">
    <brk id="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36"/>
  <sheetViews>
    <sheetView workbookViewId="0">
      <selection activeCell="M20" sqref="M20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390">
        <v>44256</v>
      </c>
      <c r="C1" s="390"/>
      <c r="D1" s="390"/>
      <c r="E1" s="390"/>
      <c r="F1" s="390"/>
      <c r="G1" s="390"/>
      <c r="H1" s="390"/>
    </row>
    <row r="2" spans="2:14" ht="15.75" customHeight="1" x14ac:dyDescent="0.2">
      <c r="B2" s="390"/>
      <c r="C2" s="390"/>
      <c r="D2" s="390"/>
      <c r="E2" s="390"/>
      <c r="F2" s="390"/>
      <c r="G2" s="390"/>
      <c r="H2" s="390"/>
    </row>
    <row r="3" spans="2:14" ht="28.5" customHeight="1" x14ac:dyDescent="0.2">
      <c r="B3" s="391" t="s">
        <v>86</v>
      </c>
      <c r="C3" s="391"/>
      <c r="D3" s="391"/>
      <c r="E3" s="391"/>
      <c r="F3" s="391"/>
      <c r="G3" s="391"/>
      <c r="H3" s="391"/>
    </row>
    <row r="4" spans="2:14" x14ac:dyDescent="0.2">
      <c r="B4" s="111" t="s">
        <v>42</v>
      </c>
      <c r="C4" s="111" t="s">
        <v>81</v>
      </c>
      <c r="D4" s="111" t="s">
        <v>82</v>
      </c>
      <c r="E4" s="111" t="s">
        <v>83</v>
      </c>
      <c r="F4" s="111" t="s">
        <v>84</v>
      </c>
      <c r="G4" s="111" t="s">
        <v>85</v>
      </c>
      <c r="H4" s="111" t="s">
        <v>7</v>
      </c>
    </row>
    <row r="5" spans="2:14" x14ac:dyDescent="0.2">
      <c r="B5" s="109">
        <v>1</v>
      </c>
      <c r="C5" s="110">
        <f>'GENSET #1'!D10</f>
        <v>10041</v>
      </c>
      <c r="D5" s="110">
        <f>'GENSET #2'!D10</f>
        <v>0</v>
      </c>
      <c r="E5" s="110">
        <f>'GENSET #3'!D10</f>
        <v>6071</v>
      </c>
      <c r="F5" s="110">
        <f>'GENSET #4'!D10</f>
        <v>1797</v>
      </c>
      <c r="G5" s="110">
        <f>'GENSET #5'!D10</f>
        <v>8023</v>
      </c>
      <c r="H5" s="114">
        <f>SUM(C5:G5)</f>
        <v>25932</v>
      </c>
    </row>
    <row r="6" spans="2:14" x14ac:dyDescent="0.2">
      <c r="B6" s="104">
        <v>2</v>
      </c>
      <c r="C6" s="18">
        <f>'GENSET #1'!D11</f>
        <v>8139</v>
      </c>
      <c r="D6" s="18">
        <f>'GENSET #2'!D11</f>
        <v>0</v>
      </c>
      <c r="E6" s="18">
        <f>'GENSET #3'!D11</f>
        <v>10275</v>
      </c>
      <c r="F6" s="18">
        <f>'GENSET #4'!D11</f>
        <v>3003</v>
      </c>
      <c r="G6" s="18">
        <f>'GENSET #5'!D11</f>
        <v>5429</v>
      </c>
      <c r="H6" s="114">
        <f>SUM(C6:G6)</f>
        <v>26846</v>
      </c>
    </row>
    <row r="7" spans="2:14" x14ac:dyDescent="0.2">
      <c r="B7" s="109">
        <v>3</v>
      </c>
      <c r="C7" s="110">
        <f>'GENSET #1'!D12</f>
        <v>11715</v>
      </c>
      <c r="D7" s="110">
        <f>'GENSET #2'!D12</f>
        <v>426</v>
      </c>
      <c r="E7" s="110">
        <f>'GENSET #3'!D12</f>
        <v>3557</v>
      </c>
      <c r="F7" s="110">
        <f>'GENSET #4'!D12</f>
        <v>3930</v>
      </c>
      <c r="G7" s="110">
        <f>'GENSET #5'!D12</f>
        <v>7702</v>
      </c>
      <c r="H7" s="114">
        <f t="shared" ref="H7:H35" si="0">SUM(C7:G7)</f>
        <v>27330</v>
      </c>
    </row>
    <row r="8" spans="2:14" x14ac:dyDescent="0.2">
      <c r="B8" s="104">
        <v>4</v>
      </c>
      <c r="C8" s="18">
        <f>'GENSET #1'!D13</f>
        <v>8197</v>
      </c>
      <c r="D8" s="18">
        <f>'GENSET #2'!D13</f>
        <v>0</v>
      </c>
      <c r="E8" s="18">
        <f>'GENSET #3'!D13</f>
        <v>6015</v>
      </c>
      <c r="F8" s="18">
        <f>'GENSET #4'!D13</f>
        <v>4691</v>
      </c>
      <c r="G8" s="18">
        <f>'GENSET #5'!D13</f>
        <v>8424</v>
      </c>
      <c r="H8" s="114">
        <f t="shared" si="0"/>
        <v>27327</v>
      </c>
    </row>
    <row r="9" spans="2:14" x14ac:dyDescent="0.2">
      <c r="B9" s="109">
        <v>5</v>
      </c>
      <c r="C9" s="110">
        <f>'GENSET #1'!D14</f>
        <v>3017</v>
      </c>
      <c r="D9" s="110">
        <f>'GENSET #2'!D14</f>
        <v>0</v>
      </c>
      <c r="E9" s="110">
        <f>'GENSET #3'!D14</f>
        <v>7807</v>
      </c>
      <c r="F9" s="110">
        <f>'GENSET #4'!D14</f>
        <v>3755</v>
      </c>
      <c r="G9" s="110">
        <f>'GENSET #5'!D14</f>
        <v>11626</v>
      </c>
      <c r="H9" s="114">
        <f t="shared" si="0"/>
        <v>26205</v>
      </c>
    </row>
    <row r="10" spans="2:14" x14ac:dyDescent="0.2">
      <c r="B10" s="104">
        <v>6</v>
      </c>
      <c r="C10" s="18">
        <f>'GENSET #1'!D15</f>
        <v>11766</v>
      </c>
      <c r="D10" s="18">
        <f>'GENSET #2'!D15</f>
        <v>0</v>
      </c>
      <c r="E10" s="18">
        <f>'GENSET #3'!D15</f>
        <v>7450</v>
      </c>
      <c r="F10" s="18">
        <f>'GENSET #4'!D15</f>
        <v>4362</v>
      </c>
      <c r="G10" s="18">
        <f>'GENSET #5'!D15</f>
        <v>3588</v>
      </c>
      <c r="H10" s="114">
        <f t="shared" si="0"/>
        <v>27166</v>
      </c>
      <c r="K10" s="113"/>
      <c r="L10" s="113"/>
      <c r="M10" s="113"/>
      <c r="N10" s="113"/>
    </row>
    <row r="11" spans="2:14" x14ac:dyDescent="0.2">
      <c r="B11" s="109">
        <v>7</v>
      </c>
      <c r="C11" s="110">
        <f>'GENSET #1'!D16</f>
        <v>696</v>
      </c>
      <c r="D11" s="110">
        <f>'GENSET #2'!D16</f>
        <v>0</v>
      </c>
      <c r="E11" s="110">
        <f>'GENSET #3'!D16</f>
        <v>9849</v>
      </c>
      <c r="F11" s="110">
        <f>'GENSET #4'!D16</f>
        <v>2565</v>
      </c>
      <c r="G11" s="110">
        <f>'GENSET #5'!D16</f>
        <v>11581</v>
      </c>
      <c r="H11" s="114">
        <f t="shared" si="0"/>
        <v>24691</v>
      </c>
      <c r="K11" s="113"/>
      <c r="L11" s="113"/>
      <c r="M11" s="113"/>
      <c r="N11" s="113"/>
    </row>
    <row r="12" spans="2:14" x14ac:dyDescent="0.2">
      <c r="B12" s="104">
        <v>8</v>
      </c>
      <c r="C12" s="18">
        <f>'GENSET #1'!D17</f>
        <v>10871</v>
      </c>
      <c r="D12" s="18">
        <f>'GENSET #2'!D17</f>
        <v>0</v>
      </c>
      <c r="E12" s="18">
        <f>'GENSET #3'!D17</f>
        <v>3531</v>
      </c>
      <c r="F12" s="18">
        <f>'GENSET #4'!D17</f>
        <v>2446</v>
      </c>
      <c r="G12" s="18">
        <f>'GENSET #5'!D17</f>
        <v>8602</v>
      </c>
      <c r="H12" s="114">
        <f t="shared" si="0"/>
        <v>25450</v>
      </c>
      <c r="K12" s="113"/>
      <c r="L12" s="113"/>
      <c r="M12" s="113"/>
      <c r="N12" s="113"/>
    </row>
    <row r="13" spans="2:14" x14ac:dyDescent="0.2">
      <c r="B13" s="109">
        <v>9</v>
      </c>
      <c r="C13" s="110">
        <f>'GENSET #1'!D18</f>
        <v>8334</v>
      </c>
      <c r="D13" s="110">
        <f>'GENSET #2'!D18</f>
        <v>0</v>
      </c>
      <c r="E13" s="110">
        <f>'GENSET #3'!D18</f>
        <v>10160</v>
      </c>
      <c r="F13" s="110">
        <f>'GENSET #4'!D18</f>
        <v>1144</v>
      </c>
      <c r="G13" s="110">
        <f>'GENSET #5'!D18</f>
        <v>3036</v>
      </c>
      <c r="H13" s="114">
        <f t="shared" si="0"/>
        <v>22674</v>
      </c>
      <c r="K13" s="113"/>
      <c r="L13" s="113"/>
      <c r="M13" s="113"/>
      <c r="N13" s="113"/>
    </row>
    <row r="14" spans="2:14" x14ac:dyDescent="0.2">
      <c r="B14" s="104">
        <v>10</v>
      </c>
      <c r="C14" s="18">
        <f>'GENSET #1'!D19</f>
        <v>7968</v>
      </c>
      <c r="D14" s="18">
        <f>'GENSET #2'!D19</f>
        <v>0</v>
      </c>
      <c r="E14" s="18">
        <f>'GENSET #3'!D19</f>
        <v>3878</v>
      </c>
      <c r="F14" s="18">
        <f>'GENSET #4'!D19</f>
        <v>2919</v>
      </c>
      <c r="G14" s="18">
        <f>'GENSET #5'!D19</f>
        <v>8591</v>
      </c>
      <c r="H14" s="114">
        <f t="shared" si="0"/>
        <v>23356</v>
      </c>
      <c r="K14" s="113"/>
      <c r="L14" s="113"/>
      <c r="M14" s="113"/>
      <c r="N14" s="113"/>
    </row>
    <row r="15" spans="2:14" x14ac:dyDescent="0.2">
      <c r="B15" s="109">
        <v>11</v>
      </c>
      <c r="C15" s="110">
        <f>'GENSET #1'!D20</f>
        <v>9058</v>
      </c>
      <c r="D15" s="110">
        <f>'GENSET #2'!D20</f>
        <v>0</v>
      </c>
      <c r="E15" s="110">
        <f>'GENSET #3'!D20</f>
        <v>8174</v>
      </c>
      <c r="F15" s="110">
        <f>'GENSET #4'!D20</f>
        <v>3551</v>
      </c>
      <c r="G15" s="110">
        <f>'GENSET #5'!D20</f>
        <v>2545</v>
      </c>
      <c r="H15" s="114">
        <f t="shared" si="0"/>
        <v>23328</v>
      </c>
      <c r="K15" s="113"/>
      <c r="L15" s="113"/>
      <c r="M15" s="113"/>
      <c r="N15" s="113"/>
    </row>
    <row r="16" spans="2:14" x14ac:dyDescent="0.2">
      <c r="B16" s="104">
        <v>12</v>
      </c>
      <c r="C16" s="18">
        <f>'GENSET #1'!D21</f>
        <v>4650</v>
      </c>
      <c r="D16" s="18">
        <f>'GENSET #2'!D21</f>
        <v>0</v>
      </c>
      <c r="E16" s="18">
        <f>'GENSET #3'!D21</f>
        <v>6384</v>
      </c>
      <c r="F16" s="18">
        <f>'GENSET #4'!D21</f>
        <v>3401</v>
      </c>
      <c r="G16" s="18">
        <f>'GENSET #5'!D21</f>
        <v>11069</v>
      </c>
      <c r="H16" s="114">
        <f t="shared" si="0"/>
        <v>25504</v>
      </c>
      <c r="K16" s="113"/>
      <c r="L16" s="113"/>
      <c r="M16" s="113"/>
      <c r="N16" s="113"/>
    </row>
    <row r="17" spans="2:14" x14ac:dyDescent="0.2">
      <c r="B17" s="109">
        <v>13</v>
      </c>
      <c r="C17" s="110">
        <f>'GENSET #1'!D22</f>
        <v>11285</v>
      </c>
      <c r="D17" s="110">
        <f>'GENSET #2'!D22</f>
        <v>0</v>
      </c>
      <c r="E17" s="110">
        <f>'GENSET #3'!D22</f>
        <v>7541</v>
      </c>
      <c r="F17" s="110">
        <f>'GENSET #4'!D22</f>
        <v>2327</v>
      </c>
      <c r="G17" s="110">
        <f>'GENSET #5'!D22</f>
        <v>3487</v>
      </c>
      <c r="H17" s="114">
        <f t="shared" si="0"/>
        <v>24640</v>
      </c>
      <c r="K17" s="113"/>
      <c r="L17" s="113"/>
      <c r="M17" s="113"/>
      <c r="N17" s="113"/>
    </row>
    <row r="18" spans="2:14" x14ac:dyDescent="0.2">
      <c r="B18" s="104">
        <v>14</v>
      </c>
      <c r="C18" s="18">
        <f>'GENSET #1'!D23</f>
        <v>3867</v>
      </c>
      <c r="D18" s="18">
        <f>'GENSET #2'!D23</f>
        <v>0</v>
      </c>
      <c r="E18" s="18">
        <f>'GENSET #3'!D23</f>
        <v>7391</v>
      </c>
      <c r="F18" s="18">
        <f>'GENSET #4'!D23</f>
        <v>2901</v>
      </c>
      <c r="G18" s="18">
        <f>'GENSET #5'!D23</f>
        <v>10884</v>
      </c>
      <c r="H18" s="114">
        <f t="shared" si="0"/>
        <v>25043</v>
      </c>
      <c r="K18" s="113"/>
      <c r="L18" s="113"/>
      <c r="M18" s="113"/>
      <c r="N18" s="113"/>
    </row>
    <row r="19" spans="2:14" x14ac:dyDescent="0.2">
      <c r="B19" s="109">
        <v>15</v>
      </c>
      <c r="C19" s="110">
        <f>'GENSET #1'!D24</f>
        <v>11432</v>
      </c>
      <c r="D19" s="110">
        <f>'GENSET #2'!D24</f>
        <v>0</v>
      </c>
      <c r="E19" s="110">
        <f>'GENSET #3'!D24</f>
        <v>7464</v>
      </c>
      <c r="F19" s="110">
        <f>'GENSET #4'!D24</f>
        <v>2560</v>
      </c>
      <c r="G19" s="110">
        <f>'GENSET #5'!D24</f>
        <v>3263</v>
      </c>
      <c r="H19" s="114">
        <f t="shared" si="0"/>
        <v>24719</v>
      </c>
      <c r="K19" s="113"/>
      <c r="L19" s="113"/>
      <c r="M19" s="113"/>
      <c r="N19" s="113"/>
    </row>
    <row r="20" spans="2:14" x14ac:dyDescent="0.2">
      <c r="B20" s="104">
        <v>16</v>
      </c>
      <c r="C20" s="18">
        <f>'GENSET #1'!D25</f>
        <v>3399</v>
      </c>
      <c r="D20" s="18">
        <f>'GENSET #2'!D25</f>
        <v>0</v>
      </c>
      <c r="E20" s="18">
        <f>'GENSET #3'!D25</f>
        <v>7316</v>
      </c>
      <c r="F20" s="18">
        <f>'GENSET #4'!D25</f>
        <v>3627</v>
      </c>
      <c r="G20" s="18">
        <f>'GENSET #5'!D25</f>
        <v>11313</v>
      </c>
      <c r="H20" s="114">
        <f t="shared" si="0"/>
        <v>25655</v>
      </c>
      <c r="K20" s="113"/>
      <c r="L20" s="113"/>
      <c r="M20" s="113"/>
      <c r="N20" s="113"/>
    </row>
    <row r="21" spans="2:14" x14ac:dyDescent="0.2">
      <c r="B21" s="109">
        <v>17</v>
      </c>
      <c r="C21" s="110">
        <f>'GENSET #1'!D26</f>
        <v>11456</v>
      </c>
      <c r="D21" s="110">
        <f>'GENSET #2'!D26</f>
        <v>0</v>
      </c>
      <c r="E21" s="110">
        <f>'GENSET #3'!D26</f>
        <v>7928</v>
      </c>
      <c r="F21" s="110">
        <f>'GENSET #4'!D26</f>
        <v>2928</v>
      </c>
      <c r="G21" s="110">
        <f>'GENSET #5'!D26</f>
        <v>2752</v>
      </c>
      <c r="H21" s="114">
        <f t="shared" si="0"/>
        <v>25064</v>
      </c>
      <c r="K21" s="113"/>
      <c r="L21" s="113"/>
      <c r="M21" s="113"/>
      <c r="N21" s="113"/>
    </row>
    <row r="22" spans="2:14" x14ac:dyDescent="0.2">
      <c r="B22" s="104">
        <v>18</v>
      </c>
      <c r="C22" s="18">
        <f>'GENSET #1'!D27</f>
        <v>-17524368</v>
      </c>
      <c r="D22" s="18">
        <f>'GENSET #2'!D27</f>
        <v>-30373162</v>
      </c>
      <c r="E22" s="18">
        <f>'GENSET #3'!D27</f>
        <v>-13479184</v>
      </c>
      <c r="F22" s="18">
        <f>'GENSET #4'!D27</f>
        <v>-11799998</v>
      </c>
      <c r="G22" s="18">
        <f>'GENSET #5'!D27</f>
        <v>-18554360</v>
      </c>
      <c r="H22" s="114">
        <f t="shared" si="0"/>
        <v>-91731072</v>
      </c>
    </row>
    <row r="23" spans="2:14" x14ac:dyDescent="0.2">
      <c r="B23" s="109">
        <v>19</v>
      </c>
      <c r="C23" s="110">
        <f>'GENSET #1'!D28</f>
        <v>0</v>
      </c>
      <c r="D23" s="110">
        <f>'GENSET #2'!D28</f>
        <v>0</v>
      </c>
      <c r="E23" s="110">
        <f>'GENSET #3'!D28</f>
        <v>0</v>
      </c>
      <c r="F23" s="110">
        <f>'GENSET #4'!D28</f>
        <v>0</v>
      </c>
      <c r="G23" s="110">
        <f>'GENSET #5'!D28</f>
        <v>0</v>
      </c>
      <c r="H23" s="114">
        <f t="shared" si="0"/>
        <v>0</v>
      </c>
    </row>
    <row r="24" spans="2:14" x14ac:dyDescent="0.2">
      <c r="B24" s="104">
        <v>20</v>
      </c>
      <c r="C24" s="18">
        <f>'GENSET #1'!D29</f>
        <v>0</v>
      </c>
      <c r="D24" s="18">
        <f>'GENSET #2'!D29</f>
        <v>0</v>
      </c>
      <c r="E24" s="18">
        <f>'GENSET #3'!D29</f>
        <v>0</v>
      </c>
      <c r="F24" s="18">
        <f>'GENSET #4'!D29</f>
        <v>0</v>
      </c>
      <c r="G24" s="18">
        <f>'GENSET #5'!D29</f>
        <v>0</v>
      </c>
      <c r="H24" s="114">
        <f t="shared" si="0"/>
        <v>0</v>
      </c>
    </row>
    <row r="25" spans="2:14" x14ac:dyDescent="0.2">
      <c r="B25" s="109">
        <v>21</v>
      </c>
      <c r="C25" s="110">
        <f>'GENSET #1'!D30</f>
        <v>0</v>
      </c>
      <c r="D25" s="110">
        <f>'GENSET #2'!D30</f>
        <v>0</v>
      </c>
      <c r="E25" s="110">
        <f>'GENSET #3'!D30</f>
        <v>0</v>
      </c>
      <c r="F25" s="110">
        <f>'GENSET #4'!D30</f>
        <v>0</v>
      </c>
      <c r="G25" s="110">
        <f>'GENSET #5'!D30</f>
        <v>0</v>
      </c>
      <c r="H25" s="114">
        <f t="shared" si="0"/>
        <v>0</v>
      </c>
    </row>
    <row r="26" spans="2:14" x14ac:dyDescent="0.2">
      <c r="B26" s="104">
        <v>22</v>
      </c>
      <c r="C26" s="18">
        <f>'GENSET #1'!D31</f>
        <v>0</v>
      </c>
      <c r="D26" s="18">
        <f>'GENSET #2'!D31</f>
        <v>0</v>
      </c>
      <c r="E26" s="18">
        <f>'GENSET #3'!D31</f>
        <v>0</v>
      </c>
      <c r="F26" s="18">
        <f>'GENSET #4'!D31</f>
        <v>0</v>
      </c>
      <c r="G26" s="18">
        <f>'GENSET #5'!D31</f>
        <v>0</v>
      </c>
      <c r="H26" s="114">
        <f t="shared" si="0"/>
        <v>0</v>
      </c>
    </row>
    <row r="27" spans="2:14" x14ac:dyDescent="0.2">
      <c r="B27" s="109">
        <v>23</v>
      </c>
      <c r="C27" s="110">
        <f>'GENSET #1'!D32</f>
        <v>0</v>
      </c>
      <c r="D27" s="110">
        <f>'GENSET #2'!D32</f>
        <v>0</v>
      </c>
      <c r="E27" s="110">
        <f>'GENSET #3'!D32</f>
        <v>0</v>
      </c>
      <c r="F27" s="110">
        <f>'GENSET #4'!D32</f>
        <v>0</v>
      </c>
      <c r="G27" s="110">
        <f>'GENSET #5'!D32</f>
        <v>0</v>
      </c>
      <c r="H27" s="114">
        <f t="shared" si="0"/>
        <v>0</v>
      </c>
    </row>
    <row r="28" spans="2:14" x14ac:dyDescent="0.2">
      <c r="B28" s="104">
        <v>24</v>
      </c>
      <c r="C28" s="18">
        <f>'GENSET #1'!D33</f>
        <v>0</v>
      </c>
      <c r="D28" s="18">
        <f>'GENSET #2'!D33</f>
        <v>0</v>
      </c>
      <c r="E28" s="18">
        <f>'GENSET #3'!D33</f>
        <v>0</v>
      </c>
      <c r="F28" s="18">
        <f>'GENSET #4'!D33</f>
        <v>0</v>
      </c>
      <c r="G28" s="18">
        <f>'GENSET #5'!D33</f>
        <v>0</v>
      </c>
      <c r="H28" s="114">
        <f t="shared" si="0"/>
        <v>0</v>
      </c>
    </row>
    <row r="29" spans="2:14" x14ac:dyDescent="0.2">
      <c r="B29" s="109">
        <v>25</v>
      </c>
      <c r="C29" s="110">
        <f>'GENSET #1'!D34</f>
        <v>0</v>
      </c>
      <c r="D29" s="110">
        <f>'GENSET #2'!D34</f>
        <v>0</v>
      </c>
      <c r="E29" s="110">
        <f>'GENSET #3'!D34</f>
        <v>0</v>
      </c>
      <c r="F29" s="110">
        <f>'GENSET #4'!D34</f>
        <v>0</v>
      </c>
      <c r="G29" s="110">
        <f>'GENSET #5'!D34</f>
        <v>0</v>
      </c>
      <c r="H29" s="114">
        <f t="shared" si="0"/>
        <v>0</v>
      </c>
    </row>
    <row r="30" spans="2:14" x14ac:dyDescent="0.2">
      <c r="B30" s="104">
        <v>26</v>
      </c>
      <c r="C30" s="18">
        <f>'GENSET #1'!D35</f>
        <v>0</v>
      </c>
      <c r="D30" s="18">
        <f>'GENSET #2'!D35</f>
        <v>0</v>
      </c>
      <c r="E30" s="18">
        <f>'GENSET #3'!D35</f>
        <v>0</v>
      </c>
      <c r="F30" s="18">
        <f>'GENSET #4'!D35</f>
        <v>0</v>
      </c>
      <c r="G30" s="18">
        <f>'GENSET #5'!D35</f>
        <v>0</v>
      </c>
      <c r="H30" s="114">
        <f t="shared" si="0"/>
        <v>0</v>
      </c>
    </row>
    <row r="31" spans="2:14" x14ac:dyDescent="0.2">
      <c r="B31" s="109">
        <v>27</v>
      </c>
      <c r="C31" s="110">
        <f>'GENSET #1'!D36</f>
        <v>0</v>
      </c>
      <c r="D31" s="110">
        <f>'GENSET #2'!D36</f>
        <v>0</v>
      </c>
      <c r="E31" s="110">
        <f>'GENSET #3'!D36</f>
        <v>0</v>
      </c>
      <c r="F31" s="110">
        <f>'GENSET #4'!D36</f>
        <v>0</v>
      </c>
      <c r="G31" s="110">
        <f>'GENSET #5'!D36</f>
        <v>0</v>
      </c>
      <c r="H31" s="114">
        <f t="shared" si="0"/>
        <v>0</v>
      </c>
    </row>
    <row r="32" spans="2:14" x14ac:dyDescent="0.2">
      <c r="B32" s="104">
        <v>28</v>
      </c>
      <c r="C32" s="18">
        <f>'GENSET #1'!D37</f>
        <v>0</v>
      </c>
      <c r="D32" s="18">
        <f>'GENSET #2'!D37</f>
        <v>0</v>
      </c>
      <c r="E32" s="18">
        <f>'GENSET #3'!D37</f>
        <v>0</v>
      </c>
      <c r="F32" s="18">
        <f>'GENSET #4'!D37</f>
        <v>0</v>
      </c>
      <c r="G32" s="18">
        <f>'GENSET #5'!D37</f>
        <v>0</v>
      </c>
      <c r="H32" s="114">
        <f t="shared" si="0"/>
        <v>0</v>
      </c>
    </row>
    <row r="33" spans="1:8" x14ac:dyDescent="0.2">
      <c r="B33" s="109">
        <v>29</v>
      </c>
      <c r="C33" s="110">
        <f>'GENSET #1'!D38</f>
        <v>0</v>
      </c>
      <c r="D33" s="110">
        <f>'GENSET #2'!D38</f>
        <v>0</v>
      </c>
      <c r="E33" s="110">
        <f>'GENSET #3'!D38</f>
        <v>0</v>
      </c>
      <c r="F33" s="110">
        <f>'GENSET #4'!D38</f>
        <v>0</v>
      </c>
      <c r="G33" s="110">
        <f>'GENSET #5'!D38</f>
        <v>0</v>
      </c>
      <c r="H33" s="114">
        <f t="shared" si="0"/>
        <v>0</v>
      </c>
    </row>
    <row r="34" spans="1:8" x14ac:dyDescent="0.2">
      <c r="B34" s="104">
        <v>30</v>
      </c>
      <c r="C34" s="18">
        <f>'GENSET #1'!D39</f>
        <v>0</v>
      </c>
      <c r="D34" s="18">
        <f>'GENSET #2'!D39</f>
        <v>0</v>
      </c>
      <c r="E34" s="18">
        <f>'GENSET #3'!D39</f>
        <v>0</v>
      </c>
      <c r="F34" s="18">
        <f>'GENSET #4'!D39</f>
        <v>0</v>
      </c>
      <c r="G34" s="18">
        <f>'GENSET #5'!D39</f>
        <v>0</v>
      </c>
      <c r="H34" s="114">
        <f t="shared" si="0"/>
        <v>0</v>
      </c>
    </row>
    <row r="35" spans="1:8" x14ac:dyDescent="0.2">
      <c r="B35" s="109">
        <v>31</v>
      </c>
      <c r="C35" s="18" t="e">
        <f>'GENSET #1'!#REF!</f>
        <v>#REF!</v>
      </c>
      <c r="D35" s="18" t="e">
        <f>'GENSET #2'!#REF!</f>
        <v>#REF!</v>
      </c>
      <c r="E35" s="18" t="e">
        <f>'GENSET #3'!#REF!</f>
        <v>#REF!</v>
      </c>
      <c r="F35" s="18" t="e">
        <f>'GENSET #4'!#REF!</f>
        <v>#REF!</v>
      </c>
      <c r="G35" s="18" t="e">
        <f>'GENSET #5'!#REF!</f>
        <v>#REF!</v>
      </c>
      <c r="H35" s="114" t="e">
        <f t="shared" si="0"/>
        <v>#REF!</v>
      </c>
    </row>
    <row r="36" spans="1:8" x14ac:dyDescent="0.2">
      <c r="A36" s="389" t="s">
        <v>87</v>
      </c>
      <c r="B36" s="389"/>
      <c r="C36" s="112" t="e">
        <f>SUM(C5:C35)</f>
        <v>#REF!</v>
      </c>
      <c r="D36" s="112" t="e">
        <f>SUM(D5:D35)</f>
        <v>#REF!</v>
      </c>
      <c r="E36" s="112" t="e">
        <f>SUM(E5:E35)</f>
        <v>#REF!</v>
      </c>
      <c r="F36" s="112" t="e">
        <f>SUM(F5:F35)</f>
        <v>#REF!</v>
      </c>
      <c r="G36" s="112" t="e">
        <f>SUM(G5:G35)</f>
        <v>#REF!</v>
      </c>
      <c r="H36" s="112"/>
    </row>
  </sheetData>
  <mergeCells count="3">
    <mergeCell ref="A36:B36"/>
    <mergeCell ref="B1:H2"/>
    <mergeCell ref="B3:H3"/>
  </mergeCells>
  <phoneticPr fontId="15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4:J41"/>
  <sheetViews>
    <sheetView workbookViewId="0">
      <selection activeCell="B29" sqref="B29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8" bestFit="1" customWidth="1"/>
    <col min="8" max="8" width="9.5703125" bestFit="1" customWidth="1"/>
    <col min="9" max="9" width="11.140625" bestFit="1" customWidth="1"/>
  </cols>
  <sheetData>
    <row r="4" spans="1:10" x14ac:dyDescent="0.2">
      <c r="B4" s="363">
        <v>44256</v>
      </c>
      <c r="C4" s="363"/>
      <c r="D4" s="10"/>
      <c r="E4" s="10"/>
      <c r="F4" s="105"/>
    </row>
    <row r="5" spans="1:10" ht="14.25" customHeight="1" x14ac:dyDescent="0.2">
      <c r="A5" s="6"/>
      <c r="B5" s="11"/>
      <c r="C5" s="11"/>
      <c r="D5" s="12"/>
      <c r="E5" s="10"/>
      <c r="F5" s="105"/>
    </row>
    <row r="7" spans="1:10" x14ac:dyDescent="0.2">
      <c r="A7" s="1" t="s">
        <v>8</v>
      </c>
    </row>
    <row r="8" spans="1:10" ht="24" customHeight="1" x14ac:dyDescent="0.2">
      <c r="A8" s="13" t="s">
        <v>58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73" t="s">
        <v>57</v>
      </c>
    </row>
    <row r="9" spans="1:10" x14ac:dyDescent="0.2">
      <c r="A9" s="6">
        <v>1</v>
      </c>
      <c r="B9" s="7">
        <f>SUM('GENSET #1:GENSET #5'!D10)</f>
        <v>25932</v>
      </c>
      <c r="C9" s="7">
        <f>'Diesel consumption'!D5</f>
        <v>7200</v>
      </c>
      <c r="D9" s="2">
        <f>'SOLAR METER READING'!D9</f>
        <v>2740</v>
      </c>
      <c r="E9" s="7">
        <f>'Gas-2'!G6</f>
        <v>225</v>
      </c>
      <c r="F9" s="106">
        <f>WATER!V6</f>
        <v>275</v>
      </c>
      <c r="G9" s="108">
        <f>WATER!W6</f>
        <v>18.399999999999999</v>
      </c>
      <c r="H9" s="15">
        <f>B9/C9</f>
        <v>3.6016666666666666</v>
      </c>
      <c r="I9" s="15">
        <f>SUM(B9,D9)</f>
        <v>28672</v>
      </c>
      <c r="J9" s="3"/>
    </row>
    <row r="10" spans="1:10" x14ac:dyDescent="0.2">
      <c r="A10" s="6">
        <v>2</v>
      </c>
      <c r="B10" s="7">
        <f>SUM('GENSET #1:GENSET #5'!D11)</f>
        <v>26846</v>
      </c>
      <c r="C10" s="7">
        <f>'Diesel consumption'!D6</f>
        <v>7510</v>
      </c>
      <c r="D10" s="2">
        <f>'SOLAR METER READING'!D10</f>
        <v>3146</v>
      </c>
      <c r="E10" s="7">
        <f>'Gas-2'!G7</f>
        <v>225</v>
      </c>
      <c r="F10" s="106">
        <f>WATER!V7</f>
        <v>316</v>
      </c>
      <c r="G10" s="108">
        <f>WATER!W7</f>
        <v>12.7</v>
      </c>
      <c r="H10" s="15">
        <f t="shared" ref="H10:H38" si="0">B10/C10</f>
        <v>3.5747003994673769</v>
      </c>
      <c r="I10" s="15">
        <f t="shared" ref="I10:I40" si="1">SUM(B10,D10)</f>
        <v>29992</v>
      </c>
    </row>
    <row r="11" spans="1:10" x14ac:dyDescent="0.2">
      <c r="A11" s="6">
        <v>3</v>
      </c>
      <c r="B11" s="7">
        <f>SUM('GENSET #1:GENSET #5'!D12)</f>
        <v>27330</v>
      </c>
      <c r="C11" s="7">
        <f>'Diesel consumption'!D7</f>
        <v>7520</v>
      </c>
      <c r="D11" s="2">
        <f>'SOLAR METER READING'!D11</f>
        <v>2802</v>
      </c>
      <c r="E11" s="7">
        <f>'Gas-2'!G8</f>
        <v>180</v>
      </c>
      <c r="F11" s="106">
        <f>WATER!V8</f>
        <v>330</v>
      </c>
      <c r="G11" s="108">
        <f>WATER!W8</f>
        <v>12.6</v>
      </c>
      <c r="H11" s="15">
        <f t="shared" si="0"/>
        <v>3.6343085106382977</v>
      </c>
      <c r="I11" s="15">
        <f t="shared" si="1"/>
        <v>30132</v>
      </c>
    </row>
    <row r="12" spans="1:10" x14ac:dyDescent="0.2">
      <c r="A12" s="6">
        <v>4</v>
      </c>
      <c r="B12" s="7">
        <f>SUM('GENSET #1:GENSET #5'!D13)</f>
        <v>27327</v>
      </c>
      <c r="C12" s="7">
        <f>'Diesel consumption'!D8</f>
        <v>7520</v>
      </c>
      <c r="D12" s="2">
        <f>'SOLAR METER READING'!D12</f>
        <v>2142</v>
      </c>
      <c r="E12" s="7">
        <f>'Gas-2'!G9</f>
        <v>270</v>
      </c>
      <c r="F12" s="106">
        <f>WATER!V9</f>
        <v>326</v>
      </c>
      <c r="G12" s="108">
        <f>WATER!W9</f>
        <v>15.5</v>
      </c>
      <c r="H12" s="15">
        <f t="shared" si="0"/>
        <v>3.6339095744680852</v>
      </c>
      <c r="I12" s="15">
        <f t="shared" si="1"/>
        <v>29469</v>
      </c>
    </row>
    <row r="13" spans="1:10" x14ac:dyDescent="0.2">
      <c r="A13" s="6">
        <v>5</v>
      </c>
      <c r="B13" s="7">
        <f>SUM('GENSET #1:GENSET #5'!D14)</f>
        <v>26205</v>
      </c>
      <c r="C13" s="7">
        <f>'Diesel consumption'!D9</f>
        <v>6980</v>
      </c>
      <c r="D13" s="2">
        <f>'SOLAR METER READING'!D13</f>
        <v>2063</v>
      </c>
      <c r="E13" s="7">
        <f>'Gas-2'!G10</f>
        <v>270</v>
      </c>
      <c r="F13" s="106">
        <f>WATER!V10</f>
        <v>306</v>
      </c>
      <c r="G13" s="108">
        <f>WATER!W10</f>
        <v>13.6</v>
      </c>
      <c r="H13" s="15">
        <f t="shared" si="0"/>
        <v>3.7542979942693409</v>
      </c>
      <c r="I13" s="15">
        <f t="shared" si="1"/>
        <v>28268</v>
      </c>
    </row>
    <row r="14" spans="1:10" x14ac:dyDescent="0.2">
      <c r="A14" s="6">
        <v>6</v>
      </c>
      <c r="B14" s="7">
        <f>SUM('GENSET #1:GENSET #5'!D15)</f>
        <v>27166</v>
      </c>
      <c r="C14" s="7">
        <f>'Diesel consumption'!D10</f>
        <v>7630</v>
      </c>
      <c r="D14" s="2">
        <f>'SOLAR METER READING'!D14</f>
        <v>3029</v>
      </c>
      <c r="E14" s="7">
        <f>'Gas-2'!G11</f>
        <v>225</v>
      </c>
      <c r="F14" s="106">
        <f>WATER!V11</f>
        <v>375</v>
      </c>
      <c r="G14" s="108">
        <f>WATER!W11</f>
        <v>15.5</v>
      </c>
      <c r="H14" s="15">
        <f t="shared" si="0"/>
        <v>3.5604193971166449</v>
      </c>
      <c r="I14" s="15">
        <f t="shared" si="1"/>
        <v>30195</v>
      </c>
    </row>
    <row r="15" spans="1:10" x14ac:dyDescent="0.2">
      <c r="A15" s="6">
        <v>7</v>
      </c>
      <c r="B15" s="7">
        <f>SUM('GENSET #1:GENSET #5'!D16)</f>
        <v>24691</v>
      </c>
      <c r="C15" s="7">
        <f>'Diesel consumption'!D11</f>
        <v>6480</v>
      </c>
      <c r="D15" s="2">
        <f>'SOLAR METER READING'!D15</f>
        <v>2160</v>
      </c>
      <c r="E15" s="7">
        <f>'Gas-2'!G12</f>
        <v>225</v>
      </c>
      <c r="F15" s="106">
        <f>WATER!V12</f>
        <v>380</v>
      </c>
      <c r="G15" s="108">
        <f>WATER!W12</f>
        <v>17.5</v>
      </c>
      <c r="H15" s="15">
        <f t="shared" si="0"/>
        <v>3.8103395061728396</v>
      </c>
      <c r="I15" s="15">
        <f t="shared" si="1"/>
        <v>26851</v>
      </c>
    </row>
    <row r="16" spans="1:10" x14ac:dyDescent="0.2">
      <c r="A16" s="6">
        <v>8</v>
      </c>
      <c r="B16" s="7">
        <f>SUM('GENSET #1:GENSET #5'!D17)</f>
        <v>25450</v>
      </c>
      <c r="C16" s="7">
        <f>'Diesel consumption'!D12</f>
        <v>7140</v>
      </c>
      <c r="D16" s="2">
        <f>'SOLAR METER READING'!D16</f>
        <v>2878</v>
      </c>
      <c r="E16" s="7">
        <f>'Gas-2'!G13</f>
        <v>225</v>
      </c>
      <c r="F16" s="106">
        <f>WATER!V13</f>
        <v>283</v>
      </c>
      <c r="G16" s="108">
        <f>WATER!W13</f>
        <v>16.5</v>
      </c>
      <c r="H16" s="15">
        <f t="shared" si="0"/>
        <v>3.5644257703081235</v>
      </c>
      <c r="I16" s="15">
        <f t="shared" si="1"/>
        <v>28328</v>
      </c>
    </row>
    <row r="17" spans="1:9" x14ac:dyDescent="0.2">
      <c r="A17" s="6">
        <v>9</v>
      </c>
      <c r="B17" s="7">
        <f>SUM('GENSET #1:GENSET #5'!D18)</f>
        <v>22674</v>
      </c>
      <c r="C17" s="7">
        <f>'Diesel consumption'!D13</f>
        <v>6290</v>
      </c>
      <c r="D17" s="2">
        <f>'SOLAR METER READING'!D17</f>
        <v>1357</v>
      </c>
      <c r="E17" s="7">
        <f>'Gas-2'!G14</f>
        <v>225</v>
      </c>
      <c r="F17" s="106">
        <f>WATER!V14</f>
        <v>318</v>
      </c>
      <c r="G17" s="108">
        <f>WATER!W14</f>
        <v>16.5</v>
      </c>
      <c r="H17" s="15">
        <f t="shared" si="0"/>
        <v>3.6047694753577106</v>
      </c>
      <c r="I17" s="15">
        <f t="shared" si="1"/>
        <v>24031</v>
      </c>
    </row>
    <row r="18" spans="1:9" x14ac:dyDescent="0.2">
      <c r="A18" s="6">
        <v>10</v>
      </c>
      <c r="B18" s="7">
        <f>SUM('GENSET #1:GENSET #5'!D19)</f>
        <v>23356</v>
      </c>
      <c r="C18" s="7">
        <f>'Diesel consumption'!D14</f>
        <v>6340</v>
      </c>
      <c r="D18" s="2">
        <f>'SOLAR METER READING'!D18</f>
        <v>1886</v>
      </c>
      <c r="E18" s="7">
        <f>'Gas-2'!G15</f>
        <v>270</v>
      </c>
      <c r="F18" s="106">
        <f>WATER!V15</f>
        <v>376</v>
      </c>
      <c r="G18" s="108">
        <f>WATER!W15</f>
        <v>13.6</v>
      </c>
      <c r="H18" s="15">
        <f t="shared" si="0"/>
        <v>3.6839116719242901</v>
      </c>
      <c r="I18" s="15">
        <f t="shared" si="1"/>
        <v>25242</v>
      </c>
    </row>
    <row r="19" spans="1:9" x14ac:dyDescent="0.2">
      <c r="A19" s="6">
        <v>11</v>
      </c>
      <c r="B19" s="7">
        <f>SUM('GENSET #1:GENSET #5'!D20)</f>
        <v>23328</v>
      </c>
      <c r="C19" s="7">
        <f>'Diesel consumption'!D15</f>
        <v>6440</v>
      </c>
      <c r="D19" s="2">
        <f>'SOLAR METER READING'!D19</f>
        <v>3046</v>
      </c>
      <c r="E19" s="7">
        <f>'Gas-2'!G16</f>
        <v>225</v>
      </c>
      <c r="F19" s="106">
        <f>WATER!V16</f>
        <v>286</v>
      </c>
      <c r="G19" s="108">
        <f>WATER!W16</f>
        <v>11.7</v>
      </c>
      <c r="H19" s="15">
        <f t="shared" si="0"/>
        <v>3.6223602484472051</v>
      </c>
      <c r="I19" s="15">
        <f t="shared" si="1"/>
        <v>26374</v>
      </c>
    </row>
    <row r="20" spans="1:9" x14ac:dyDescent="0.2">
      <c r="A20" s="6">
        <v>12</v>
      </c>
      <c r="B20" s="7">
        <f>SUM('GENSET #1:GENSET #5'!D21)</f>
        <v>25504</v>
      </c>
      <c r="C20" s="7">
        <f>'Diesel consumption'!D16</f>
        <v>6930</v>
      </c>
      <c r="D20" s="2">
        <f>'SOLAR METER READING'!D20</f>
        <v>3076</v>
      </c>
      <c r="E20" s="7">
        <f>'Gas-2'!G17</f>
        <v>225</v>
      </c>
      <c r="F20" s="106">
        <f>WATER!V17</f>
        <v>300</v>
      </c>
      <c r="G20" s="108">
        <f>WATER!W17</f>
        <v>11.7</v>
      </c>
      <c r="H20" s="15">
        <f t="shared" si="0"/>
        <v>3.6802308802308801</v>
      </c>
      <c r="I20" s="15">
        <f t="shared" si="1"/>
        <v>28580</v>
      </c>
    </row>
    <row r="21" spans="1:9" x14ac:dyDescent="0.2">
      <c r="A21" s="6">
        <v>13</v>
      </c>
      <c r="B21" s="7">
        <f>SUM('GENSET #1:GENSET #5'!D22)</f>
        <v>24640</v>
      </c>
      <c r="C21" s="7">
        <f>'Diesel consumption'!D17</f>
        <v>7030</v>
      </c>
      <c r="D21" s="2">
        <f>'SOLAR METER READING'!D21</f>
        <v>2917</v>
      </c>
      <c r="E21" s="7">
        <f>'Gas-2'!G18</f>
        <v>225</v>
      </c>
      <c r="F21" s="106">
        <f>WATER!V18</f>
        <v>319</v>
      </c>
      <c r="G21" s="108">
        <f>WATER!W18</f>
        <v>12.6</v>
      </c>
      <c r="H21" s="15">
        <f t="shared" si="0"/>
        <v>3.5049786628733997</v>
      </c>
      <c r="I21" s="15">
        <f t="shared" si="1"/>
        <v>27557</v>
      </c>
    </row>
    <row r="22" spans="1:9" x14ac:dyDescent="0.2">
      <c r="A22" s="6">
        <v>14</v>
      </c>
      <c r="B22" s="7">
        <f>SUM('GENSET #1:GENSET #5'!D23)</f>
        <v>25043</v>
      </c>
      <c r="C22" s="7">
        <f>'Diesel consumption'!D18</f>
        <v>6670</v>
      </c>
      <c r="D22" s="2">
        <f>'SOLAR METER READING'!D22</f>
        <v>3247</v>
      </c>
      <c r="E22" s="7">
        <f>'Gas-2'!G19</f>
        <v>225</v>
      </c>
      <c r="F22" s="106">
        <f>WATER!V19</f>
        <v>298</v>
      </c>
      <c r="G22" s="108">
        <f>WATER!W19</f>
        <v>13.6</v>
      </c>
      <c r="H22" s="15">
        <f t="shared" si="0"/>
        <v>3.7545727136431783</v>
      </c>
      <c r="I22" s="15">
        <f t="shared" si="1"/>
        <v>28290</v>
      </c>
    </row>
    <row r="23" spans="1:9" x14ac:dyDescent="0.2">
      <c r="A23" s="6">
        <v>15</v>
      </c>
      <c r="B23" s="7">
        <f>SUM('GENSET #1:GENSET #5'!D24)</f>
        <v>24719</v>
      </c>
      <c r="C23" s="7">
        <f>'Diesel consumption'!D19</f>
        <v>6910</v>
      </c>
      <c r="D23" s="2">
        <f>'SOLAR METER READING'!D23</f>
        <v>2877</v>
      </c>
      <c r="E23" s="7">
        <f>'Gas-2'!G20</f>
        <v>270</v>
      </c>
      <c r="F23" s="106">
        <f>WATER!V20</f>
        <v>358</v>
      </c>
      <c r="G23" s="108">
        <f>WATER!W20</f>
        <v>16.5</v>
      </c>
      <c r="H23" s="15">
        <f t="shared" si="0"/>
        <v>3.5772793053545584</v>
      </c>
      <c r="I23" s="15">
        <f t="shared" si="1"/>
        <v>27596</v>
      </c>
    </row>
    <row r="24" spans="1:9" x14ac:dyDescent="0.2">
      <c r="A24" s="6">
        <v>16</v>
      </c>
      <c r="B24" s="7">
        <f>SUM('GENSET #1:GENSET #5'!D25)</f>
        <v>25655</v>
      </c>
      <c r="C24" s="7">
        <f>'Diesel consumption'!D20</f>
        <v>6800</v>
      </c>
      <c r="D24" s="2">
        <f>'SOLAR METER READING'!D24</f>
        <v>3133</v>
      </c>
      <c r="E24" s="7">
        <f>'Gas-2'!G21</f>
        <v>180</v>
      </c>
      <c r="F24" s="106">
        <f>WATER!V21</f>
        <v>337</v>
      </c>
      <c r="G24" s="108">
        <f>WATER!W21</f>
        <v>21</v>
      </c>
      <c r="H24" s="15">
        <f t="shared" si="0"/>
        <v>3.772794117647059</v>
      </c>
      <c r="I24" s="15">
        <f t="shared" si="1"/>
        <v>28788</v>
      </c>
    </row>
    <row r="25" spans="1:9" x14ac:dyDescent="0.2">
      <c r="A25" s="6">
        <v>17</v>
      </c>
      <c r="B25" s="7">
        <f>SUM('GENSET #1:GENSET #5'!D26)</f>
        <v>25064</v>
      </c>
      <c r="C25" s="7">
        <f>'Diesel consumption'!D21</f>
        <v>7060</v>
      </c>
      <c r="D25" s="2">
        <f>'SOLAR METER READING'!D25</f>
        <v>2950</v>
      </c>
      <c r="E25" s="7">
        <f>'Gas-2'!G22</f>
        <v>225</v>
      </c>
      <c r="F25" s="106">
        <f>WATER!V22</f>
        <v>336</v>
      </c>
      <c r="G25" s="108">
        <f>WATER!W22</f>
        <v>0</v>
      </c>
      <c r="H25" s="15">
        <f t="shared" si="0"/>
        <v>3.5501416430594901</v>
      </c>
      <c r="I25" s="15">
        <f t="shared" si="1"/>
        <v>28014</v>
      </c>
    </row>
    <row r="26" spans="1:9" x14ac:dyDescent="0.2">
      <c r="A26" s="6">
        <v>18</v>
      </c>
      <c r="B26" s="7">
        <f>SUM('GENSET #1:GENSET #5'!D27)</f>
        <v>-91731072</v>
      </c>
      <c r="C26" s="7">
        <f>'Diesel consumption'!D22</f>
        <v>-44447810</v>
      </c>
      <c r="D26" s="2">
        <f>'SOLAR METER READING'!D26</f>
        <v>-2809644</v>
      </c>
      <c r="E26" s="7">
        <f>'Gas-2'!G23</f>
        <v>0</v>
      </c>
      <c r="F26" s="106">
        <f>WATER!V23</f>
        <v>310</v>
      </c>
      <c r="G26" s="108">
        <f>WATER!W23</f>
        <v>0</v>
      </c>
      <c r="H26" s="15">
        <f t="shared" si="0"/>
        <v>2.0637928392872449</v>
      </c>
      <c r="I26" s="15">
        <f t="shared" si="1"/>
        <v>-94540716</v>
      </c>
    </row>
    <row r="27" spans="1:9" x14ac:dyDescent="0.2">
      <c r="A27" s="6">
        <v>19</v>
      </c>
      <c r="B27" s="7">
        <f>SUM('GENSET #1:GENSET #5'!D28)</f>
        <v>0</v>
      </c>
      <c r="C27" s="7">
        <f>'Diesel consumption'!D23</f>
        <v>0</v>
      </c>
      <c r="D27" s="2">
        <f>'SOLAR METER READING'!D27</f>
        <v>0</v>
      </c>
      <c r="E27" s="7">
        <f>'Gas-2'!G24</f>
        <v>0</v>
      </c>
      <c r="F27" s="106">
        <f>WATER!V24</f>
        <v>-974876</v>
      </c>
      <c r="G27" s="108">
        <f>WATER!W24</f>
        <v>0</v>
      </c>
      <c r="H27" s="15" t="e">
        <f t="shared" si="0"/>
        <v>#DIV/0!</v>
      </c>
      <c r="I27" s="15">
        <f t="shared" si="1"/>
        <v>0</v>
      </c>
    </row>
    <row r="28" spans="1:9" x14ac:dyDescent="0.2">
      <c r="A28" s="6">
        <v>20</v>
      </c>
      <c r="B28" s="7">
        <f>SUM('GENSET #1:GENSET #5'!D29)</f>
        <v>0</v>
      </c>
      <c r="C28" s="7">
        <f>'Diesel consumption'!D24</f>
        <v>0</v>
      </c>
      <c r="D28" s="2">
        <f>'SOLAR METER READING'!D28</f>
        <v>0</v>
      </c>
      <c r="E28" s="7">
        <f>'Gas-2'!G25</f>
        <v>0</v>
      </c>
      <c r="F28" s="106">
        <f>WATER!V25</f>
        <v>0</v>
      </c>
      <c r="G28" s="108">
        <f>WATER!W25</f>
        <v>0</v>
      </c>
      <c r="H28" s="15" t="e">
        <f t="shared" si="0"/>
        <v>#DIV/0!</v>
      </c>
      <c r="I28" s="15">
        <f t="shared" si="1"/>
        <v>0</v>
      </c>
    </row>
    <row r="29" spans="1:9" x14ac:dyDescent="0.2">
      <c r="A29" s="6">
        <v>21</v>
      </c>
      <c r="B29" s="7">
        <f>SUM('GENSET #1:GENSET #5'!D30)</f>
        <v>0</v>
      </c>
      <c r="C29" s="7">
        <f>'Diesel consumption'!D25</f>
        <v>0</v>
      </c>
      <c r="D29" s="2">
        <f>'SOLAR METER READING'!D29</f>
        <v>0</v>
      </c>
      <c r="E29" s="7">
        <f>'Gas-2'!G26</f>
        <v>0</v>
      </c>
      <c r="F29" s="106">
        <f>WATER!V26</f>
        <v>0</v>
      </c>
      <c r="G29" s="108">
        <f>WATER!W26</f>
        <v>0</v>
      </c>
      <c r="H29" s="15" t="e">
        <f t="shared" si="0"/>
        <v>#DIV/0!</v>
      </c>
      <c r="I29" s="15">
        <f t="shared" si="1"/>
        <v>0</v>
      </c>
    </row>
    <row r="30" spans="1:9" x14ac:dyDescent="0.2">
      <c r="A30" s="6">
        <v>22</v>
      </c>
      <c r="B30" s="7">
        <f>SUM('GENSET #1:GENSET #5'!D31)</f>
        <v>0</v>
      </c>
      <c r="C30" s="7">
        <f>'Diesel consumption'!D26</f>
        <v>0</v>
      </c>
      <c r="D30" s="2">
        <f>'SOLAR METER READING'!D30</f>
        <v>0</v>
      </c>
      <c r="E30" s="7">
        <f>'Gas-2'!G27</f>
        <v>0</v>
      </c>
      <c r="F30" s="106">
        <f>WATER!V27</f>
        <v>0</v>
      </c>
      <c r="G30" s="108">
        <f>WATER!W27</f>
        <v>0</v>
      </c>
      <c r="H30" s="15" t="e">
        <f t="shared" si="0"/>
        <v>#DIV/0!</v>
      </c>
      <c r="I30" s="15">
        <f t="shared" si="1"/>
        <v>0</v>
      </c>
    </row>
    <row r="31" spans="1:9" x14ac:dyDescent="0.2">
      <c r="A31" s="6">
        <v>23</v>
      </c>
      <c r="B31" s="7">
        <f>SUM('GENSET #1:GENSET #5'!D32)</f>
        <v>0</v>
      </c>
      <c r="C31" s="7">
        <f>'Diesel consumption'!D27</f>
        <v>0</v>
      </c>
      <c r="D31" s="2">
        <f>'SOLAR METER READING'!D31</f>
        <v>0</v>
      </c>
      <c r="E31" s="7">
        <f>'Gas-2'!G28</f>
        <v>0</v>
      </c>
      <c r="F31" s="106">
        <f>WATER!V28</f>
        <v>0</v>
      </c>
      <c r="G31" s="108">
        <f>WATER!W28</f>
        <v>0</v>
      </c>
      <c r="H31" s="15" t="e">
        <f t="shared" si="0"/>
        <v>#DIV/0!</v>
      </c>
      <c r="I31" s="15">
        <f t="shared" si="1"/>
        <v>0</v>
      </c>
    </row>
    <row r="32" spans="1:9" x14ac:dyDescent="0.2">
      <c r="A32" s="6">
        <v>24</v>
      </c>
      <c r="B32" s="7">
        <f>SUM('GENSET #1:GENSET #5'!D33)</f>
        <v>0</v>
      </c>
      <c r="C32" s="7">
        <f>'Diesel consumption'!D28</f>
        <v>0</v>
      </c>
      <c r="D32" s="2">
        <f>'SOLAR METER READING'!D32</f>
        <v>0</v>
      </c>
      <c r="E32" s="7">
        <f>'Gas-2'!G29</f>
        <v>0</v>
      </c>
      <c r="F32" s="106">
        <f>WATER!V29</f>
        <v>0</v>
      </c>
      <c r="G32" s="108">
        <f>WATER!W29</f>
        <v>0</v>
      </c>
      <c r="H32" s="15" t="e">
        <f t="shared" si="0"/>
        <v>#DIV/0!</v>
      </c>
      <c r="I32" s="15">
        <f t="shared" si="1"/>
        <v>0</v>
      </c>
    </row>
    <row r="33" spans="1:9" x14ac:dyDescent="0.2">
      <c r="A33" s="6">
        <v>25</v>
      </c>
      <c r="B33" s="7">
        <f>SUM('GENSET #1:GENSET #5'!D34)</f>
        <v>0</v>
      </c>
      <c r="C33" s="7">
        <f>'Diesel consumption'!D29</f>
        <v>0</v>
      </c>
      <c r="D33" s="2">
        <f>'SOLAR METER READING'!D33</f>
        <v>0</v>
      </c>
      <c r="E33" s="7">
        <f>'Gas-2'!G30</f>
        <v>0</v>
      </c>
      <c r="F33" s="106">
        <f>WATER!V30</f>
        <v>0</v>
      </c>
      <c r="G33" s="108">
        <f>WATER!W30</f>
        <v>0</v>
      </c>
      <c r="H33" s="15" t="e">
        <f t="shared" si="0"/>
        <v>#DIV/0!</v>
      </c>
      <c r="I33" s="15">
        <f t="shared" si="1"/>
        <v>0</v>
      </c>
    </row>
    <row r="34" spans="1:9" x14ac:dyDescent="0.2">
      <c r="A34" s="6">
        <v>26</v>
      </c>
      <c r="B34" s="7">
        <f>SUM('GENSET #1:GENSET #5'!D35)</f>
        <v>0</v>
      </c>
      <c r="C34" s="7">
        <f>'Diesel consumption'!D30</f>
        <v>0</v>
      </c>
      <c r="D34" s="2">
        <f>'SOLAR METER READING'!D34</f>
        <v>0</v>
      </c>
      <c r="E34" s="7">
        <f>'Gas-2'!G31</f>
        <v>0</v>
      </c>
      <c r="F34" s="106">
        <f>WATER!V31</f>
        <v>0</v>
      </c>
      <c r="G34" s="108">
        <f>WATER!W31</f>
        <v>0</v>
      </c>
      <c r="H34" s="15" t="e">
        <f t="shared" si="0"/>
        <v>#DIV/0!</v>
      </c>
      <c r="I34" s="15">
        <f t="shared" si="1"/>
        <v>0</v>
      </c>
    </row>
    <row r="35" spans="1:9" x14ac:dyDescent="0.2">
      <c r="A35" s="6">
        <v>27</v>
      </c>
      <c r="B35" s="7">
        <f>SUM('GENSET #1:GENSET #5'!D36)</f>
        <v>0</v>
      </c>
      <c r="C35" s="7">
        <f>'Diesel consumption'!D31</f>
        <v>0</v>
      </c>
      <c r="D35" s="2">
        <f>'SOLAR METER READING'!D35</f>
        <v>0</v>
      </c>
      <c r="E35" s="7">
        <f>'Gas-2'!G32</f>
        <v>0</v>
      </c>
      <c r="F35" s="106">
        <f>WATER!V32</f>
        <v>0</v>
      </c>
      <c r="G35" s="108">
        <f>WATER!W32</f>
        <v>0</v>
      </c>
      <c r="H35" s="15" t="e">
        <f t="shared" si="0"/>
        <v>#DIV/0!</v>
      </c>
      <c r="I35" s="15">
        <f t="shared" si="1"/>
        <v>0</v>
      </c>
    </row>
    <row r="36" spans="1:9" x14ac:dyDescent="0.2">
      <c r="A36" s="6">
        <v>28</v>
      </c>
      <c r="B36" s="7">
        <f>SUM('GENSET #1:GENSET #5'!D37)</f>
        <v>0</v>
      </c>
      <c r="C36" s="7">
        <f>'Diesel consumption'!D32</f>
        <v>0</v>
      </c>
      <c r="D36" s="2">
        <f>'SOLAR METER READING'!D36</f>
        <v>0</v>
      </c>
      <c r="E36" s="7">
        <f>'Gas-2'!G33</f>
        <v>0</v>
      </c>
      <c r="F36" s="106">
        <f>WATER!V33</f>
        <v>0</v>
      </c>
      <c r="G36" s="108">
        <f>WATER!W33</f>
        <v>0</v>
      </c>
      <c r="H36" s="15" t="e">
        <f t="shared" si="0"/>
        <v>#DIV/0!</v>
      </c>
      <c r="I36" s="15">
        <f t="shared" si="1"/>
        <v>0</v>
      </c>
    </row>
    <row r="37" spans="1:9" x14ac:dyDescent="0.2">
      <c r="A37" s="6">
        <v>29</v>
      </c>
      <c r="B37" s="7">
        <f>SUM('GENSET #1:GENSET #5'!D38)</f>
        <v>0</v>
      </c>
      <c r="C37" s="7">
        <f>'Diesel consumption'!D33</f>
        <v>0</v>
      </c>
      <c r="D37" s="2">
        <f>'SOLAR METER READING'!D37</f>
        <v>0</v>
      </c>
      <c r="E37" s="7">
        <f>'Gas-2'!G34</f>
        <v>0</v>
      </c>
      <c r="F37" s="106">
        <f>WATER!V34</f>
        <v>0</v>
      </c>
      <c r="G37" s="108">
        <f>WATER!W34</f>
        <v>0</v>
      </c>
      <c r="H37" s="15" t="e">
        <f t="shared" si="0"/>
        <v>#DIV/0!</v>
      </c>
      <c r="I37" s="15">
        <f t="shared" si="1"/>
        <v>0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'Gas-2'!G35</f>
        <v>0</v>
      </c>
      <c r="F38" s="106">
        <f>WATER!V35</f>
        <v>0</v>
      </c>
      <c r="G38" s="108">
        <f>WATER!W35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6">
        <v>31</v>
      </c>
      <c r="B39" s="7">
        <f>SUM('GENSET #1:GENSET #5'!D40)</f>
        <v>0</v>
      </c>
      <c r="C39" s="7" t="e">
        <f>'Diesel consumption'!#REF!</f>
        <v>#REF!</v>
      </c>
      <c r="D39" s="2" t="e">
        <f>'SOLAR METER READING'!#REF!</f>
        <v>#REF!</v>
      </c>
      <c r="E39" s="7">
        <f>'Gas-2'!G36</f>
        <v>0</v>
      </c>
      <c r="F39" s="106">
        <f>WATER!V36</f>
        <v>0</v>
      </c>
      <c r="G39" s="108">
        <f>WATER!W36</f>
        <v>0</v>
      </c>
      <c r="H39" s="15"/>
      <c r="I39" s="15"/>
    </row>
    <row r="40" spans="1:9" ht="13.5" thickBot="1" x14ac:dyDescent="0.25">
      <c r="A40" s="1" t="s">
        <v>7</v>
      </c>
      <c r="B40" s="17">
        <f>SUM(B9:B39)</f>
        <v>-91300142</v>
      </c>
      <c r="C40" s="17" t="e">
        <f t="shared" ref="C40:D40" si="2">SUM(C9:C39)</f>
        <v>#REF!</v>
      </c>
      <c r="D40" s="17" t="e">
        <f t="shared" si="2"/>
        <v>#REF!</v>
      </c>
      <c r="E40" s="17">
        <f>SUM(E9:E39)</f>
        <v>3915</v>
      </c>
      <c r="F40" s="107">
        <f>SUM(F9:F39)</f>
        <v>-969047</v>
      </c>
      <c r="G40" s="6"/>
      <c r="I40" s="15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KWH Summary</vt:lpstr>
      <vt:lpstr>Focus Data</vt:lpstr>
      <vt:lpstr>Sheet1</vt:lpstr>
      <vt:lpstr>'Finance Only'!Print_Area</vt:lpstr>
      <vt:lpstr>'Gas-2'!Print_Area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2021-07-03T03:58:06Z</cp:lastPrinted>
  <dcterms:created xsi:type="dcterms:W3CDTF">2018-12-01T06:13:40Z</dcterms:created>
  <dcterms:modified xsi:type="dcterms:W3CDTF">2021-07-18T02:19:12Z</dcterms:modified>
</cp:coreProperties>
</file>