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158" documentId="13_ncr:1_{76C55D63-F869-4AF5-AAA3-3D809A91432B}" xr6:coauthVersionLast="47" xr6:coauthVersionMax="47" xr10:uidLastSave="{5D7163F6-6AA5-402E-9CF1-F5AD71D6E60C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7" l="1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<sst xmlns="http://schemas.openxmlformats.org/spreadsheetml/2006/main" count="72" uniqueCount="33">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</sst>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16785.000000004402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3941</v>
      </c>
      <c r="J2" s="80">
        <v>0.21186441</v>
      </c>
      <c r="K2" s="11">
        <f>IF('Water, Gas, Diesel'!F6&lt;0,0,'Water, Gas, Diesel'!F6)</f>
        <v>216</v>
      </c>
      <c r="L2" s="80">
        <v>1.6949000000000001</v>
      </c>
      <c r="M2" s="11">
        <f>Electricity!H8</f>
        <v>86</v>
      </c>
      <c r="O2" s="103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16152.499999993779</v>
      </c>
      <c r="F3" s="80">
        <v>9.3200000000000005E-2</v>
      </c>
      <c r="G3" s="11">
        <f>IF('Water, Gas, Diesel'!K7&lt;0,0,'Water, Gas, Diesel'!K7)</f>
        <v>10</v>
      </c>
      <c r="H3" s="80">
        <v>0.7</v>
      </c>
      <c r="I3" s="11">
        <f>IF('Water, Gas, Diesel'!C7&lt;0,0,'Water, Gas, Diesel'!C7)</f>
        <v>3821</v>
      </c>
      <c r="J3" s="80">
        <v>0.21186441</v>
      </c>
      <c r="K3" s="11">
        <f>IF('Water, Gas, Diesel'!F7&lt;0,0,'Water, Gas, Diesel'!F7)</f>
        <v>326</v>
      </c>
      <c r="L3" s="80">
        <v>1.6949000000000001</v>
      </c>
      <c r="M3" s="11">
        <f>Electricity!H9</f>
        <v>68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21560.000000004038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4956</v>
      </c>
      <c r="J4" s="80">
        <v>0.21186441</v>
      </c>
      <c r="K4" s="11">
        <f>IF('Water, Gas, Diesel'!F8&lt;0,0,'Water, Gas, Diesel'!F8)</f>
        <v>259</v>
      </c>
      <c r="L4" s="80">
        <v>1.6949000000000001</v>
      </c>
      <c r="M4" s="11">
        <f>Electricity!H10</f>
        <v>56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17694.999999994252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4204</v>
      </c>
      <c r="J5" s="80">
        <v>0.21186441</v>
      </c>
      <c r="K5" s="11">
        <f>IF('Water, Gas, Diesel'!F9&lt;0,0,'Water, Gas, Diesel'!F9)</f>
        <v>18</v>
      </c>
      <c r="L5" s="80">
        <v>1.6949000000000001</v>
      </c>
      <c r="M5" s="11">
        <f>Electricity!H11</f>
        <v>65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17485.000000006039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4039</v>
      </c>
      <c r="J6" s="80">
        <v>0.21186441</v>
      </c>
      <c r="K6" s="11">
        <f>IF('Water, Gas, Diesel'!F10&lt;0,0,'Water, Gas, Diesel'!F10)</f>
        <v>171</v>
      </c>
      <c r="L6" s="80">
        <v>1.6949000000000001</v>
      </c>
      <c r="M6" s="11">
        <f>Electricity!H12</f>
        <v>82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17967.499999999745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4756</v>
      </c>
      <c r="J7" s="80">
        <v>0.21186441</v>
      </c>
      <c r="K7" s="11">
        <f>IF('Water, Gas, Diesel'!F11&lt;0,0,'Water, Gas, Diesel'!F11)</f>
        <v>227</v>
      </c>
      <c r="L7" s="80">
        <v>1.6949000000000001</v>
      </c>
      <c r="M7" s="11">
        <f>Electricity!H13</f>
        <v>71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16657.499999996617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4763</v>
      </c>
      <c r="J8" s="80">
        <v>0.21186441</v>
      </c>
      <c r="K8" s="11">
        <f>IF('Water, Gas, Diesel'!F12&lt;0,0,'Water, Gas, Diesel'!F12)</f>
        <v>300</v>
      </c>
      <c r="L8" s="80">
        <v>1.6949000000000001</v>
      </c>
      <c r="M8" s="11">
        <f>Electricity!H14</f>
        <v>80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16790.000000000873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2797</v>
      </c>
      <c r="J9" s="80">
        <v>0.21186441</v>
      </c>
      <c r="K9" s="11">
        <f>IF('Water, Gas, Diesel'!F13&lt;0,0,'Water, Gas, Diesel'!F13)</f>
        <v>273</v>
      </c>
      <c r="L9" s="80">
        <v>1.6949000000000001</v>
      </c>
      <c r="M9" s="11">
        <f>Electricity!H15</f>
        <v>45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17249.999999999091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7254</v>
      </c>
      <c r="J10" s="80">
        <v>0.21186441</v>
      </c>
      <c r="K10" s="11">
        <f>IF('Water, Gas, Diesel'!F14&lt;0,0,'Water, Gas, Diesel'!F14)</f>
        <v>294</v>
      </c>
      <c r="L10" s="80">
        <v>1.6949000000000001</v>
      </c>
      <c r="M10" s="11">
        <f>Electricity!H16</f>
        <v>42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18665.000000000873</v>
      </c>
      <c r="F11" s="80">
        <v>9.3200000000000005E-2</v>
      </c>
      <c r="G11" s="11">
        <f>IF('Water, Gas, Diesel'!K15&lt;0,0,'Water, Gas, Diesel'!K15)</f>
        <v>11</v>
      </c>
      <c r="H11" s="80">
        <v>0.7</v>
      </c>
      <c r="I11" s="11">
        <f>IF('Water, Gas, Diesel'!C15&lt;0,0,'Water, Gas, Diesel'!C15)</f>
        <v>4036</v>
      </c>
      <c r="J11" s="80">
        <v>0.21186441</v>
      </c>
      <c r="K11" s="11">
        <f>IF('Water, Gas, Diesel'!F15&lt;0,0,'Water, Gas, Diesel'!F15)</f>
        <v>299</v>
      </c>
      <c r="L11" s="80">
        <v>1.6949000000000001</v>
      </c>
      <c r="M11" s="11">
        <f>Electricity!H17</f>
        <v>46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20247.5000000004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4973</v>
      </c>
      <c r="J12" s="80">
        <v>0.21186441</v>
      </c>
      <c r="K12" s="11">
        <f>IF('Water, Gas, Diesel'!F16&lt;0,0,'Water, Gas, Diesel'!F16)</f>
        <v>324</v>
      </c>
      <c r="L12" s="80">
        <v>1.6949000000000001</v>
      </c>
      <c r="M12" s="11">
        <f>Electricity!H18</f>
        <v>66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80">
        <v>9.3200000000000005E-2</v>
      </c>
      <c r="G13" s="11">
        <f>IF('Water, Gas, Diesel'!K17&lt;0,0,'Water, Gas, Diesel'!K17)</f>
        <v>16300</v>
      </c>
      <c r="H13" s="80">
        <v>0.7</v>
      </c>
      <c r="I13" s="11">
        <f>IF('Water, Gas, Diesel'!C17&lt;0,0,'Water, Gas, Diesel'!C17)</f>
        <v>0</v>
      </c>
      <c r="J13" s="80">
        <v>0.21186441</v>
      </c>
      <c r="K13" s="11">
        <f>IF('Water, Gas, Diesel'!F17&lt;0,0,'Water, Gas, Diesel'!F17)</f>
        <v>0</v>
      </c>
      <c r="L13" s="80">
        <v>1.6949000000000001</v>
      </c>
      <c r="M13" s="11">
        <f>Electricity!H19</f>
        <v>51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80">
        <v>9.3200000000000005E-2</v>
      </c>
      <c r="G14" s="11">
        <f>IF('Water, Gas, Diesel'!K18&lt;0,0,'Water, Gas, Diesel'!K18)</f>
        <v>0</v>
      </c>
      <c r="H14" s="80">
        <v>0.7</v>
      </c>
      <c r="I14" s="11">
        <f>IF('Water, Gas, Diesel'!C18&lt;0,0,'Water, Gas, Diesel'!C18)</f>
        <v>0</v>
      </c>
      <c r="J14" s="80">
        <v>0.21186441</v>
      </c>
      <c r="K14" s="11">
        <f>IF('Water, Gas, Diesel'!F18&lt;0,0,'Water, Gas, Diesel'!F18)</f>
        <v>0</v>
      </c>
      <c r="L14" s="80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0</v>
      </c>
      <c r="J15" s="80">
        <v>0.21186441</v>
      </c>
      <c r="K15" s="11">
        <f>IF('Water, Gas, Diesel'!F19&lt;0,0,'Water, Gas, Diesel'!F19)</f>
        <v>0</v>
      </c>
      <c r="L15" s="80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0</v>
      </c>
      <c r="J16" s="80">
        <v>0.21186441</v>
      </c>
      <c r="K16" s="11">
        <f>IF('Water, Gas, Diesel'!F20&lt;0,0,'Water, Gas, Diesel'!F20)</f>
        <v>0</v>
      </c>
      <c r="L16" s="80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80">
        <v>9.3200000000000005E-2</v>
      </c>
      <c r="G17" s="11">
        <f>IF('Water, Gas, Diesel'!K21&lt;0,0,'Water, Gas, Diesel'!K21)</f>
        <v>0</v>
      </c>
      <c r="H17" s="80">
        <v>0.7</v>
      </c>
      <c r="I17" s="11">
        <f>IF('Water, Gas, Diesel'!C21&lt;0,0,'Water, Gas, Diesel'!C21)</f>
        <v>0</v>
      </c>
      <c r="J17" s="80">
        <v>0.21186441</v>
      </c>
      <c r="K17" s="11">
        <f>IF('Water, Gas, Diesel'!F21&lt;0,0,'Water, Gas, Diesel'!F21)</f>
        <v>0</v>
      </c>
      <c r="L17" s="80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0</v>
      </c>
      <c r="J18" s="80">
        <v>0.21186441</v>
      </c>
      <c r="K18" s="11">
        <f>IF('Water, Gas, Diesel'!F22&lt;0,0,'Water, Gas, Diesel'!F22)</f>
        <v>0</v>
      </c>
      <c r="L18" s="80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0</v>
      </c>
      <c r="J19" s="80">
        <v>0.21186441</v>
      </c>
      <c r="K19" s="11">
        <f>IF('Water, Gas, Diesel'!F23&lt;0,0,'Water, Gas, Diesel'!F23)</f>
        <v>0</v>
      </c>
      <c r="L19" s="80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80">
        <v>9.3200000000000005E-2</v>
      </c>
      <c r="G20" s="11">
        <f>IF('Water, Gas, Diesel'!K24&lt;0,0,'Water, Gas, Diesel'!K24)</f>
        <v>0</v>
      </c>
      <c r="H20" s="80">
        <v>0.7</v>
      </c>
      <c r="I20" s="11">
        <f>IF('Water, Gas, Diesel'!C24&lt;0,0,'Water, Gas, Diesel'!C24)</f>
        <v>0</v>
      </c>
      <c r="J20" s="80">
        <v>0.21186441</v>
      </c>
      <c r="K20" s="11">
        <f>IF('Water, Gas, Diesel'!F24&lt;0,0,'Water, Gas, Diesel'!F24)</f>
        <v>0</v>
      </c>
      <c r="L20" s="80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0</v>
      </c>
      <c r="J21" s="80">
        <v>0.21186441</v>
      </c>
      <c r="K21" s="11">
        <f>IF('Water, Gas, Diesel'!F25&lt;0,0,'Water, Gas, Diesel'!F25)</f>
        <v>0</v>
      </c>
      <c r="L21" s="80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0</v>
      </c>
      <c r="J22" s="80">
        <v>0.21186441</v>
      </c>
      <c r="K22" s="11">
        <f>IF('Water, Gas, Diesel'!F26&lt;0,0,'Water, Gas, Diesel'!F26)</f>
        <v>0</v>
      </c>
      <c r="L22" s="80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0</v>
      </c>
      <c r="J23" s="80">
        <v>0.21186441</v>
      </c>
      <c r="K23" s="11">
        <f>IF('Water, Gas, Diesel'!F27&lt;0,0,'Water, Gas, Diesel'!F27)</f>
        <v>0</v>
      </c>
      <c r="L23" s="80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80">
        <v>9.3200000000000005E-2</v>
      </c>
      <c r="G24" s="11">
        <f>IF('Water, Gas, Diesel'!K28&lt;0,0,'Water, Gas, Diesel'!K28)</f>
        <v>0</v>
      </c>
      <c r="H24" s="80">
        <v>0.7</v>
      </c>
      <c r="I24" s="11">
        <f>IF('Water, Gas, Diesel'!C28&lt;0,0,'Water, Gas, Diesel'!C28)</f>
        <v>0</v>
      </c>
      <c r="J24" s="80">
        <v>0.21186441</v>
      </c>
      <c r="K24" s="11">
        <f>IF('Water, Gas, Diesel'!F28&lt;0,0,'Water, Gas, Diesel'!F28)</f>
        <v>0</v>
      </c>
      <c r="L24" s="80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0</v>
      </c>
      <c r="J25" s="80">
        <v>0.21186441</v>
      </c>
      <c r="K25" s="11">
        <f>IF('Water, Gas, Diesel'!F29&lt;0,0,'Water, Gas, Diesel'!F29)</f>
        <v>0</v>
      </c>
      <c r="L25" s="80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0</v>
      </c>
      <c r="J26" s="80">
        <v>0.21186441</v>
      </c>
      <c r="K26" s="11">
        <f>IF('Water, Gas, Diesel'!F30&lt;0,0,'Water, Gas, Diesel'!F30)</f>
        <v>0</v>
      </c>
      <c r="L26" s="80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0</v>
      </c>
      <c r="J27" s="80">
        <v>0.21186441</v>
      </c>
      <c r="K27" s="11">
        <f>IF('Water, Gas, Diesel'!F31&lt;0,0,'Water, Gas, Diesel'!F31)</f>
        <v>0</v>
      </c>
      <c r="L27" s="80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0</v>
      </c>
      <c r="J28" s="80">
        <v>0.21186441</v>
      </c>
      <c r="K28" s="11">
        <f>IF('Water, Gas, Diesel'!F32&lt;0,0,'Water, Gas, Diesel'!F32)</f>
        <v>0</v>
      </c>
      <c r="L28" s="80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0</v>
      </c>
      <c r="J29" s="80">
        <v>0.21186441</v>
      </c>
      <c r="K29" s="11">
        <f>IF('Water, Gas, Diesel'!F33&lt;0,0,'Water, Gas, Diesel'!F33)</f>
        <v>0</v>
      </c>
      <c r="L29" s="80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80">
        <v>9.3200000000000005E-2</v>
      </c>
      <c r="G30" s="11">
        <f>IF('Water, Gas, Diesel'!K34&lt;0,0,'Water, Gas, Diesel'!K34)</f>
        <v>0</v>
      </c>
      <c r="H30" s="80">
        <v>0.7</v>
      </c>
      <c r="I30" s="11">
        <f>IF('Water, Gas, Diesel'!C34&lt;0,0,'Water, Gas, Diesel'!C34)</f>
        <v>0</v>
      </c>
      <c r="J30" s="80">
        <v>0.21186441</v>
      </c>
      <c r="K30" s="11">
        <f>IF('Water, Gas, Diesel'!F34&lt;0,0,'Water, Gas, Diesel'!F34)</f>
        <v>0</v>
      </c>
      <c r="L30" s="80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80">
        <v>9.3200000000000005E-2</v>
      </c>
      <c r="G31" s="11">
        <f>IF('Water, Gas, Diesel'!K35&lt;0,0,'Water, Gas, Diesel'!K35)</f>
        <v>0</v>
      </c>
      <c r="H31" s="80">
        <v>0.7</v>
      </c>
      <c r="I31" s="11">
        <f>IF('Water, Gas, Diesel'!C35&lt;0,0,'Water, Gas, Diesel'!C35)</f>
        <v>0</v>
      </c>
      <c r="J31" s="80">
        <v>0.21186441</v>
      </c>
      <c r="K31" s="11">
        <f>IF('Water, Gas, Diesel'!F35&lt;0,0,'Water, Gas, Diesel'!F35)</f>
        <v>0</v>
      </c>
      <c r="L31" s="80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4" activePane="bottomLeft" state="frozen"/>
      <selection pane="bottomLeft" activeCell="J16" sqref="J16"/>
      <selection activeCell="E1" sqref="E1"/>
    </sheetView>
  </sheetViews>
  <sheetFormatPr defaultColWidth="9.140625" defaultRowHeight="15"/>
  <cols>
    <col min="1" max="1" width="11.85546875" style="55" customWidth="1"/>
    <col min="2" max="5" width="21.28515625" style="14" customWidth="1"/>
    <col min="6" max="6" width="21.28515625" style="56" customWidth="1"/>
    <col min="7" max="7" width="21.28515625" style="55" customWidth="1"/>
    <col min="8" max="8" width="11.28515625" style="14" bestFit="1" customWidth="1"/>
    <col min="9" max="16384" width="9.140625" style="14"/>
  </cols>
  <sheetData>
    <row r="1" spans="1:8" ht="28.5" customHeight="1">
      <c r="A1" s="92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5" t="s">
        <v>22</v>
      </c>
      <c r="C5" s="60" t="s">
        <v>23</v>
      </c>
      <c r="D5" s="61" t="s">
        <v>22</v>
      </c>
      <c r="E5" s="60" t="s">
        <v>23</v>
      </c>
      <c r="F5" s="151"/>
      <c r="G5" s="153"/>
      <c r="H5" s="143"/>
    </row>
    <row r="6" spans="1:8" ht="15.75" hidden="1">
      <c r="A6" s="93"/>
      <c r="B6" s="22"/>
      <c r="C6" s="62"/>
      <c r="D6" s="63"/>
      <c r="E6" s="62"/>
      <c r="F6" s="25"/>
      <c r="G6" s="64"/>
      <c r="H6" s="94"/>
    </row>
    <row r="7" spans="1:8" ht="27.75" customHeight="1">
      <c r="A7" s="95">
        <v>31</v>
      </c>
      <c r="B7" s="66">
        <v>16272.04</v>
      </c>
      <c r="C7" s="67">
        <f t="shared" ref="C7:C24" si="0">(B8-B7)*2500</f>
        <v>12717.499999998836</v>
      </c>
      <c r="D7" s="66">
        <v>16491.627</v>
      </c>
      <c r="E7" s="67">
        <f t="shared" ref="E7:E24" si="1">(D8-D7)*2500</f>
        <v>8294.9999999982538</v>
      </c>
      <c r="F7" s="91">
        <f t="shared" ref="F7:F38" si="2">C7+E7</f>
        <v>21012.49999999709</v>
      </c>
      <c r="G7" s="65">
        <f>F7*0.0932</f>
        <v>1958.3649999997288</v>
      </c>
      <c r="H7" s="137">
        <v>104</v>
      </c>
    </row>
    <row r="8" spans="1:8" ht="30.95" customHeight="1">
      <c r="A8" s="96">
        <v>1</v>
      </c>
      <c r="B8" s="90">
        <v>16277.127</v>
      </c>
      <c r="C8" s="68">
        <f t="shared" si="0"/>
        <v>10115.000000000691</v>
      </c>
      <c r="D8" s="69">
        <v>16494.945</v>
      </c>
      <c r="E8" s="68">
        <f t="shared" si="1"/>
        <v>6670.0000000037107</v>
      </c>
      <c r="F8" s="49">
        <f t="shared" si="2"/>
        <v>16785.000000004402</v>
      </c>
      <c r="G8" s="65">
        <f t="shared" ref="G8:G39" si="3">F8*0.0932</f>
        <v>1564.3620000004103</v>
      </c>
      <c r="H8" s="97">
        <v>86</v>
      </c>
    </row>
    <row r="9" spans="1:8" ht="30.95" customHeight="1">
      <c r="A9" s="98">
        <v>2</v>
      </c>
      <c r="B9" s="70">
        <v>16281.173000000001</v>
      </c>
      <c r="C9" s="37">
        <f t="shared" si="0"/>
        <v>9800.0000000001819</v>
      </c>
      <c r="D9" s="69">
        <v>16497.613000000001</v>
      </c>
      <c r="E9" s="37">
        <f t="shared" si="1"/>
        <v>6352.4999999935972</v>
      </c>
      <c r="F9" s="45">
        <f t="shared" si="2"/>
        <v>16152.499999993779</v>
      </c>
      <c r="G9" s="65">
        <f t="shared" si="3"/>
        <v>1505.4129999994202</v>
      </c>
      <c r="H9" s="99">
        <v>68</v>
      </c>
    </row>
    <row r="10" spans="1:8" ht="30.95" customHeight="1">
      <c r="A10" s="96">
        <v>3</v>
      </c>
      <c r="B10" s="71">
        <v>16285.093000000001</v>
      </c>
      <c r="C10" s="68">
        <f t="shared" si="0"/>
        <v>13084.999999996398</v>
      </c>
      <c r="D10" s="72">
        <v>16500.153999999999</v>
      </c>
      <c r="E10" s="68">
        <f t="shared" si="1"/>
        <v>8475.0000000076398</v>
      </c>
      <c r="F10" s="49">
        <f t="shared" si="2"/>
        <v>21560.000000004038</v>
      </c>
      <c r="G10" s="65">
        <f t="shared" si="3"/>
        <v>2009.3920000003764</v>
      </c>
      <c r="H10" s="99">
        <v>56</v>
      </c>
    </row>
    <row r="11" spans="1:8" ht="30.95" customHeight="1">
      <c r="A11" s="98">
        <v>4</v>
      </c>
      <c r="B11" s="73">
        <v>16290.326999999999</v>
      </c>
      <c r="C11" s="37">
        <f t="shared" si="0"/>
        <v>10765.000000001237</v>
      </c>
      <c r="D11" s="74">
        <v>16503.544000000002</v>
      </c>
      <c r="E11" s="37">
        <f t="shared" si="1"/>
        <v>6929.9999999930151</v>
      </c>
      <c r="F11" s="45">
        <f t="shared" si="2"/>
        <v>17694.999999994252</v>
      </c>
      <c r="G11" s="65">
        <f t="shared" si="3"/>
        <v>1649.1739999994643</v>
      </c>
      <c r="H11" s="99">
        <v>65</v>
      </c>
    </row>
    <row r="12" spans="1:8" ht="30.95" customHeight="1">
      <c r="A12" s="96">
        <v>5</v>
      </c>
      <c r="B12" s="75">
        <v>16294.633</v>
      </c>
      <c r="C12" s="68">
        <f t="shared" si="0"/>
        <v>10727.500000002692</v>
      </c>
      <c r="D12" s="72">
        <v>16506.315999999999</v>
      </c>
      <c r="E12" s="68">
        <f t="shared" si="1"/>
        <v>6757.5000000033469</v>
      </c>
      <c r="F12" s="49">
        <f t="shared" si="2"/>
        <v>17485.000000006039</v>
      </c>
      <c r="G12" s="65">
        <f t="shared" si="3"/>
        <v>1629.6020000005628</v>
      </c>
      <c r="H12" s="99">
        <v>82</v>
      </c>
    </row>
    <row r="13" spans="1:8" ht="30.95" customHeight="1">
      <c r="A13" s="98">
        <v>6</v>
      </c>
      <c r="B13" s="73">
        <v>16298.924000000001</v>
      </c>
      <c r="C13" s="37">
        <f t="shared" si="0"/>
        <v>9602.4999999963256</v>
      </c>
      <c r="D13" s="74">
        <v>16509.019</v>
      </c>
      <c r="E13" s="37">
        <f t="shared" si="1"/>
        <v>8365.0000000034197</v>
      </c>
      <c r="F13" s="45">
        <f t="shared" si="2"/>
        <v>17967.499999999745</v>
      </c>
      <c r="G13" s="65">
        <f t="shared" si="3"/>
        <v>1674.5709999999763</v>
      </c>
      <c r="H13" s="99">
        <v>71</v>
      </c>
    </row>
    <row r="14" spans="1:8" ht="30.95" customHeight="1">
      <c r="A14" s="96">
        <v>7</v>
      </c>
      <c r="B14" s="75">
        <v>16302.764999999999</v>
      </c>
      <c r="C14" s="68">
        <f t="shared" si="0"/>
        <v>8027.500000002874</v>
      </c>
      <c r="D14" s="100">
        <v>16512.365000000002</v>
      </c>
      <c r="E14" s="68">
        <f t="shared" si="1"/>
        <v>8629.9999999937427</v>
      </c>
      <c r="F14" s="49">
        <f t="shared" si="2"/>
        <v>16657.499999996617</v>
      </c>
      <c r="G14" s="65">
        <f t="shared" si="3"/>
        <v>1552.4789999996847</v>
      </c>
      <c r="H14" s="99">
        <v>80</v>
      </c>
    </row>
    <row r="15" spans="1:8" ht="30.95" customHeight="1">
      <c r="A15" s="98">
        <v>8</v>
      </c>
      <c r="B15" s="73">
        <v>16305.976000000001</v>
      </c>
      <c r="C15" s="37">
        <f t="shared" si="0"/>
        <v>7987.4999999992724</v>
      </c>
      <c r="D15" s="76">
        <v>16515.816999999999</v>
      </c>
      <c r="E15" s="37">
        <f t="shared" si="1"/>
        <v>8802.5000000016007</v>
      </c>
      <c r="F15" s="45">
        <f t="shared" si="2"/>
        <v>16790.000000000873</v>
      </c>
      <c r="G15" s="65">
        <f t="shared" si="3"/>
        <v>1564.8280000000814</v>
      </c>
      <c r="H15" s="99">
        <v>45</v>
      </c>
    </row>
    <row r="16" spans="1:8" ht="30.95" customHeight="1">
      <c r="A16" s="96">
        <v>9</v>
      </c>
      <c r="B16" s="138">
        <v>16309.171</v>
      </c>
      <c r="C16" s="68">
        <f t="shared" si="0"/>
        <v>8049.9999999983629</v>
      </c>
      <c r="D16" s="77">
        <v>16519.338</v>
      </c>
      <c r="E16" s="68">
        <f t="shared" si="1"/>
        <v>9200.0000000007276</v>
      </c>
      <c r="F16" s="49">
        <f t="shared" si="2"/>
        <v>17249.999999999091</v>
      </c>
      <c r="G16" s="65">
        <f t="shared" si="3"/>
        <v>1607.6999999999152</v>
      </c>
      <c r="H16" s="99">
        <v>42</v>
      </c>
    </row>
    <row r="17" spans="1:8" ht="30.95" customHeight="1">
      <c r="A17" s="98">
        <v>10</v>
      </c>
      <c r="B17" s="75">
        <v>16312.391</v>
      </c>
      <c r="C17" s="37">
        <f t="shared" si="0"/>
        <v>8220.0000000011642</v>
      </c>
      <c r="D17" s="100">
        <v>16523.018</v>
      </c>
      <c r="E17" s="37">
        <f t="shared" si="1"/>
        <v>10444.999999999709</v>
      </c>
      <c r="F17" s="45">
        <f t="shared" si="2"/>
        <v>18665.000000000873</v>
      </c>
      <c r="G17" s="65">
        <f t="shared" si="3"/>
        <v>1739.5780000000814</v>
      </c>
      <c r="H17" s="99">
        <v>46</v>
      </c>
    </row>
    <row r="18" spans="1:8" ht="30.95" customHeight="1">
      <c r="A18" s="96">
        <v>11</v>
      </c>
      <c r="B18" s="73">
        <v>16315.679</v>
      </c>
      <c r="C18" s="68">
        <f t="shared" si="0"/>
        <v>8719.9999999984357</v>
      </c>
      <c r="D18" s="76">
        <v>16527.196</v>
      </c>
      <c r="E18" s="68">
        <f t="shared" si="1"/>
        <v>11527.500000001965</v>
      </c>
      <c r="F18" s="49">
        <f t="shared" si="2"/>
        <v>20247.5000000004</v>
      </c>
      <c r="G18" s="65">
        <f t="shared" si="3"/>
        <v>1887.0670000000373</v>
      </c>
      <c r="H18" s="99">
        <v>66</v>
      </c>
    </row>
    <row r="19" spans="1:8" ht="30.95" customHeight="1">
      <c r="A19" s="98">
        <v>12</v>
      </c>
      <c r="B19" s="75">
        <v>16319.166999999999</v>
      </c>
      <c r="C19" s="37">
        <f t="shared" si="0"/>
        <v>-40797917.5</v>
      </c>
      <c r="D19" s="100">
        <v>16531.807000000001</v>
      </c>
      <c r="E19" s="37">
        <f t="shared" si="1"/>
        <v>-41329517.5</v>
      </c>
      <c r="F19" s="45">
        <f t="shared" si="2"/>
        <v>-82127435</v>
      </c>
      <c r="G19" s="65">
        <f t="shared" si="3"/>
        <v>-7654276.9420000007</v>
      </c>
      <c r="H19" s="99">
        <v>51</v>
      </c>
    </row>
    <row r="20" spans="1:8" ht="30.95" customHeight="1">
      <c r="A20" s="96">
        <v>13</v>
      </c>
      <c r="B20" s="73"/>
      <c r="C20" s="68">
        <f t="shared" si="0"/>
        <v>0</v>
      </c>
      <c r="D20" s="78"/>
      <c r="E20" s="68">
        <f t="shared" si="1"/>
        <v>0</v>
      </c>
      <c r="F20" s="49">
        <f t="shared" si="2"/>
        <v>0</v>
      </c>
      <c r="G20" s="65">
        <f t="shared" si="3"/>
        <v>0</v>
      </c>
      <c r="H20" s="99"/>
    </row>
    <row r="21" spans="1:8" ht="30.95" customHeight="1">
      <c r="A21" s="98">
        <v>14</v>
      </c>
      <c r="B21" s="73"/>
      <c r="C21" s="37">
        <f t="shared" si="0"/>
        <v>0</v>
      </c>
      <c r="D21" s="76"/>
      <c r="E21" s="37">
        <f t="shared" si="1"/>
        <v>0</v>
      </c>
      <c r="F21" s="45">
        <f t="shared" si="2"/>
        <v>0</v>
      </c>
      <c r="G21" s="65">
        <f t="shared" si="3"/>
        <v>0</v>
      </c>
      <c r="H21" s="99"/>
    </row>
    <row r="22" spans="1:8" ht="30.95" customHeight="1">
      <c r="A22" s="96">
        <v>15</v>
      </c>
      <c r="B22" s="73"/>
      <c r="C22" s="68">
        <f t="shared" si="0"/>
        <v>0</v>
      </c>
      <c r="D22" s="55"/>
      <c r="E22" s="68">
        <f t="shared" si="1"/>
        <v>0</v>
      </c>
      <c r="F22" s="49">
        <f t="shared" si="2"/>
        <v>0</v>
      </c>
      <c r="G22" s="65">
        <f t="shared" si="3"/>
        <v>0</v>
      </c>
      <c r="H22" s="99"/>
    </row>
    <row r="23" spans="1:8" ht="30.95" customHeight="1">
      <c r="A23" s="98">
        <v>16</v>
      </c>
      <c r="B23" s="81"/>
      <c r="C23" s="37">
        <f t="shared" si="0"/>
        <v>0</v>
      </c>
      <c r="D23" s="82"/>
      <c r="E23" s="37">
        <f t="shared" si="1"/>
        <v>0</v>
      </c>
      <c r="F23" s="45">
        <f t="shared" si="2"/>
        <v>0</v>
      </c>
      <c r="G23" s="65">
        <f t="shared" si="3"/>
        <v>0</v>
      </c>
      <c r="H23" s="99"/>
    </row>
    <row r="24" spans="1:8" ht="30.95" customHeight="1">
      <c r="A24" s="96">
        <v>17</v>
      </c>
      <c r="B24" s="83"/>
      <c r="C24" s="68">
        <f t="shared" si="0"/>
        <v>0</v>
      </c>
      <c r="D24" s="100"/>
      <c r="E24" s="68">
        <f t="shared" si="1"/>
        <v>0</v>
      </c>
      <c r="F24" s="49">
        <f t="shared" si="2"/>
        <v>0</v>
      </c>
      <c r="G24" s="65">
        <f t="shared" si="3"/>
        <v>0</v>
      </c>
      <c r="H24" s="99"/>
    </row>
    <row r="25" spans="1:8" ht="30.95" customHeight="1">
      <c r="A25" s="98">
        <v>18</v>
      </c>
      <c r="B25" s="73"/>
      <c r="C25" s="37">
        <f>(B26-B25)*2500</f>
        <v>0</v>
      </c>
      <c r="D25" s="76"/>
      <c r="E25" s="37">
        <f>(D26-D25)*2500</f>
        <v>0</v>
      </c>
      <c r="F25" s="45">
        <f t="shared" si="2"/>
        <v>0</v>
      </c>
      <c r="G25" s="65">
        <f t="shared" si="3"/>
        <v>0</v>
      </c>
      <c r="H25" s="99"/>
    </row>
    <row r="26" spans="1:8" ht="30.95" customHeight="1">
      <c r="A26" s="96">
        <v>19</v>
      </c>
      <c r="B26" s="75"/>
      <c r="C26" s="68">
        <f t="shared" ref="C26:C38" si="4">(B27-B26)*2500</f>
        <v>0</v>
      </c>
      <c r="D26" s="100"/>
      <c r="E26" s="68">
        <f t="shared" ref="E26:E38" si="5">(D27-D26)*2500</f>
        <v>0</v>
      </c>
      <c r="F26" s="45">
        <f t="shared" si="2"/>
        <v>0</v>
      </c>
      <c r="G26" s="65">
        <f t="shared" si="3"/>
        <v>0</v>
      </c>
      <c r="H26" s="99"/>
    </row>
    <row r="27" spans="1:8" ht="30.95" customHeight="1">
      <c r="A27" s="98">
        <v>20</v>
      </c>
      <c r="B27" s="73"/>
      <c r="C27" s="37">
        <f t="shared" si="4"/>
        <v>0</v>
      </c>
      <c r="D27" s="78"/>
      <c r="E27" s="37">
        <f t="shared" si="5"/>
        <v>0</v>
      </c>
      <c r="F27" s="49">
        <f t="shared" si="2"/>
        <v>0</v>
      </c>
      <c r="G27" s="65">
        <f t="shared" si="3"/>
        <v>0</v>
      </c>
      <c r="H27" s="99"/>
    </row>
    <row r="28" spans="1:8" ht="30.95" customHeight="1">
      <c r="A28" s="96">
        <v>21</v>
      </c>
      <c r="B28" s="75"/>
      <c r="C28" s="68">
        <f t="shared" si="4"/>
        <v>0</v>
      </c>
      <c r="D28" s="100"/>
      <c r="E28" s="68">
        <f t="shared" si="5"/>
        <v>0</v>
      </c>
      <c r="F28" s="45">
        <f t="shared" si="2"/>
        <v>0</v>
      </c>
      <c r="G28" s="65">
        <f t="shared" si="3"/>
        <v>0</v>
      </c>
      <c r="H28" s="99"/>
    </row>
    <row r="29" spans="1:8" ht="30.95" customHeight="1">
      <c r="A29" s="98">
        <v>22</v>
      </c>
      <c r="B29" s="73"/>
      <c r="C29" s="37">
        <f t="shared" si="4"/>
        <v>0</v>
      </c>
      <c r="D29" s="76"/>
      <c r="E29" s="37">
        <f t="shared" si="5"/>
        <v>0</v>
      </c>
      <c r="F29" s="49">
        <f t="shared" si="2"/>
        <v>0</v>
      </c>
      <c r="G29" s="65">
        <f t="shared" si="3"/>
        <v>0</v>
      </c>
      <c r="H29" s="99"/>
    </row>
    <row r="30" spans="1:8" ht="30.95" customHeight="1">
      <c r="A30" s="96">
        <v>23</v>
      </c>
      <c r="B30" s="75"/>
      <c r="C30" s="68">
        <f t="shared" si="4"/>
        <v>0</v>
      </c>
      <c r="D30" s="100"/>
      <c r="E30" s="68">
        <f t="shared" si="5"/>
        <v>0</v>
      </c>
      <c r="F30" s="45">
        <f t="shared" si="2"/>
        <v>0</v>
      </c>
      <c r="G30" s="65">
        <f t="shared" si="3"/>
        <v>0</v>
      </c>
      <c r="H30" s="99"/>
    </row>
    <row r="31" spans="1:8" ht="30.95" customHeight="1">
      <c r="A31" s="98">
        <v>24</v>
      </c>
      <c r="B31" s="73"/>
      <c r="C31" s="37">
        <f t="shared" si="4"/>
        <v>0</v>
      </c>
      <c r="D31" s="76"/>
      <c r="E31" s="37">
        <f t="shared" si="5"/>
        <v>0</v>
      </c>
      <c r="F31" s="49">
        <f t="shared" si="2"/>
        <v>0</v>
      </c>
      <c r="G31" s="65">
        <f t="shared" si="3"/>
        <v>0</v>
      </c>
      <c r="H31" s="99"/>
    </row>
    <row r="32" spans="1:8" ht="30.95" customHeight="1">
      <c r="A32" s="96">
        <v>25</v>
      </c>
      <c r="B32" s="75"/>
      <c r="C32" s="68">
        <f t="shared" si="4"/>
        <v>0</v>
      </c>
      <c r="D32" s="100"/>
      <c r="E32" s="68">
        <f t="shared" si="5"/>
        <v>0</v>
      </c>
      <c r="F32" s="45">
        <f t="shared" si="2"/>
        <v>0</v>
      </c>
      <c r="G32" s="65">
        <f t="shared" si="3"/>
        <v>0</v>
      </c>
      <c r="H32" s="99"/>
    </row>
    <row r="33" spans="1:8" ht="30.95" customHeight="1">
      <c r="A33" s="98">
        <v>26</v>
      </c>
      <c r="B33" s="73"/>
      <c r="C33" s="37">
        <f t="shared" si="4"/>
        <v>0</v>
      </c>
      <c r="D33" s="76"/>
      <c r="E33" s="37">
        <f t="shared" si="5"/>
        <v>0</v>
      </c>
      <c r="F33" s="49">
        <f t="shared" si="2"/>
        <v>0</v>
      </c>
      <c r="G33" s="65">
        <f t="shared" si="3"/>
        <v>0</v>
      </c>
      <c r="H33" s="99"/>
    </row>
    <row r="34" spans="1:8" ht="30.95" customHeight="1">
      <c r="A34" s="96">
        <v>27</v>
      </c>
      <c r="B34" s="75"/>
      <c r="C34" s="68">
        <f t="shared" si="4"/>
        <v>0</v>
      </c>
      <c r="D34" s="100"/>
      <c r="E34" s="37">
        <f t="shared" si="5"/>
        <v>0</v>
      </c>
      <c r="F34" s="45">
        <f t="shared" si="2"/>
        <v>0</v>
      </c>
      <c r="G34" s="65">
        <f t="shared" si="3"/>
        <v>0</v>
      </c>
      <c r="H34" s="99"/>
    </row>
    <row r="35" spans="1:8" ht="30.95" customHeight="1">
      <c r="A35" s="98">
        <v>28</v>
      </c>
      <c r="B35" s="79"/>
      <c r="C35" s="37">
        <f t="shared" si="4"/>
        <v>0</v>
      </c>
      <c r="D35" s="76"/>
      <c r="E35" s="37">
        <f t="shared" si="5"/>
        <v>0</v>
      </c>
      <c r="F35" s="45">
        <f t="shared" si="2"/>
        <v>0</v>
      </c>
      <c r="G35" s="65">
        <f t="shared" si="3"/>
        <v>0</v>
      </c>
      <c r="H35" s="99"/>
    </row>
    <row r="36" spans="1:8" ht="30.95" customHeight="1">
      <c r="A36" s="96">
        <v>29</v>
      </c>
      <c r="B36" s="75"/>
      <c r="C36" s="67">
        <f t="shared" si="4"/>
        <v>0</v>
      </c>
      <c r="D36" s="55"/>
      <c r="E36" s="67">
        <f t="shared" si="5"/>
        <v>0</v>
      </c>
      <c r="F36" s="40">
        <f t="shared" si="2"/>
        <v>0</v>
      </c>
      <c r="G36" s="65">
        <f t="shared" si="3"/>
        <v>0</v>
      </c>
      <c r="H36" s="97"/>
    </row>
    <row r="37" spans="1:8" ht="30.95" customHeight="1">
      <c r="A37" s="104">
        <v>30</v>
      </c>
      <c r="B37" s="105"/>
      <c r="C37" s="106">
        <f>(B38-B37)*2500</f>
        <v>0</v>
      </c>
      <c r="D37" s="107"/>
      <c r="E37" s="106">
        <f>(D38-D37)*2500</f>
        <v>0</v>
      </c>
      <c r="F37" s="108">
        <f t="shared" si="2"/>
        <v>0</v>
      </c>
      <c r="G37" s="65">
        <f t="shared" si="3"/>
        <v>0</v>
      </c>
      <c r="H37" s="109"/>
    </row>
    <row r="38" spans="1:8" ht="30.95" customHeight="1">
      <c r="A38" s="96">
        <v>31</v>
      </c>
      <c r="B38" s="72"/>
      <c r="C38" s="68">
        <f t="shared" si="4"/>
        <v>0</v>
      </c>
      <c r="D38" s="100"/>
      <c r="E38" s="68">
        <f t="shared" si="5"/>
        <v>0</v>
      </c>
      <c r="F38" s="49">
        <f t="shared" si="2"/>
        <v>0</v>
      </c>
      <c r="G38" s="135">
        <f t="shared" si="3"/>
        <v>0</v>
      </c>
      <c r="H38" s="136"/>
    </row>
    <row r="39" spans="1:8" ht="30.95" customHeight="1">
      <c r="A39" s="128">
        <v>1</v>
      </c>
      <c r="B39" s="129"/>
      <c r="C39" s="130">
        <f t="shared" ref="C39" si="6">(B40-B39)*2500</f>
        <v>0</v>
      </c>
      <c r="D39" s="131"/>
      <c r="E39" s="130">
        <f t="shared" ref="E39" si="7">(D40-D39)*2500</f>
        <v>0</v>
      </c>
      <c r="F39" s="132">
        <f t="shared" ref="F39" si="8">C39+E39</f>
        <v>0</v>
      </c>
      <c r="G39" s="133">
        <f t="shared" si="3"/>
        <v>0</v>
      </c>
      <c r="H39" s="134"/>
    </row>
    <row r="40" spans="1:8">
      <c r="B40" s="55"/>
      <c r="C40" s="55"/>
      <c r="D40" s="55"/>
      <c r="E40" s="55"/>
    </row>
    <row r="41" spans="1:8">
      <c r="B41" s="55"/>
      <c r="C41" s="55"/>
      <c r="D41" s="55"/>
      <c r="E41" s="55"/>
    </row>
    <row r="42" spans="1:8">
      <c r="B42" s="55"/>
      <c r="C42" s="55"/>
      <c r="D42" s="55"/>
      <c r="E42" s="55"/>
    </row>
    <row r="43" spans="1:8">
      <c r="B43" s="55"/>
      <c r="C43" s="55"/>
      <c r="D43" s="55"/>
      <c r="E43" s="55"/>
    </row>
    <row r="44" spans="1:8">
      <c r="B44" s="55"/>
      <c r="C44" s="55"/>
      <c r="D44" s="55"/>
      <c r="E44" s="55"/>
    </row>
    <row r="45" spans="1:8">
      <c r="B45" s="55"/>
      <c r="C45" s="55"/>
      <c r="D45" s="55"/>
      <c r="E45" s="55"/>
    </row>
    <row r="46" spans="1:8">
      <c r="B46" s="55"/>
      <c r="C46" s="55"/>
      <c r="D46" s="55"/>
      <c r="E46" s="55"/>
      <c r="F46" s="57"/>
      <c r="G46" s="14"/>
    </row>
    <row r="47" spans="1:8">
      <c r="B47" s="55"/>
      <c r="C47" s="55"/>
      <c r="D47" s="55"/>
      <c r="E47" s="55"/>
      <c r="F47" s="57"/>
      <c r="G47" s="14"/>
    </row>
    <row r="48" spans="1:8">
      <c r="B48" s="55"/>
      <c r="C48" s="55"/>
      <c r="D48" s="55"/>
      <c r="E48" s="55"/>
      <c r="F48" s="57"/>
      <c r="G48" s="14"/>
    </row>
    <row r="49" spans="1:7">
      <c r="B49" s="55"/>
      <c r="C49" s="55"/>
      <c r="D49" s="55"/>
      <c r="E49" s="55"/>
      <c r="F49" s="57"/>
      <c r="G49" s="14"/>
    </row>
    <row r="50" spans="1:7">
      <c r="B50" s="55"/>
      <c r="C50" s="55"/>
      <c r="D50" s="55"/>
      <c r="E50" s="55"/>
      <c r="F50" s="57"/>
      <c r="G50" s="14"/>
    </row>
    <row r="51" spans="1:7">
      <c r="A51" s="58"/>
      <c r="B51" s="55"/>
      <c r="C51" s="55"/>
      <c r="D51" s="55"/>
      <c r="E51" s="55"/>
      <c r="F51" s="57"/>
      <c r="G51" s="14"/>
    </row>
    <row r="52" spans="1:7">
      <c r="A52" s="58"/>
      <c r="B52" s="55"/>
      <c r="C52" s="55"/>
      <c r="D52" s="55"/>
      <c r="E52" s="55"/>
      <c r="F52" s="57"/>
      <c r="G52" s="14"/>
    </row>
    <row r="53" spans="1:7">
      <c r="A53" s="58"/>
      <c r="B53" s="55"/>
      <c r="C53" s="55"/>
      <c r="D53" s="55"/>
      <c r="E53" s="55"/>
      <c r="F53" s="57"/>
      <c r="G53" s="14"/>
    </row>
    <row r="54" spans="1:7">
      <c r="A54" s="58"/>
      <c r="B54" s="55"/>
      <c r="C54" s="55"/>
      <c r="D54" s="55"/>
      <c r="E54" s="55"/>
      <c r="F54" s="57"/>
      <c r="G54" s="14"/>
    </row>
    <row r="55" spans="1:7">
      <c r="A55" s="58"/>
      <c r="B55" s="55"/>
      <c r="C55" s="55"/>
      <c r="D55" s="55"/>
      <c r="E55" s="55"/>
      <c r="F55" s="57"/>
      <c r="G55" s="14"/>
    </row>
    <row r="56" spans="1:7">
      <c r="A56" s="58"/>
      <c r="B56" s="55"/>
      <c r="C56" s="55"/>
      <c r="D56" s="55"/>
      <c r="E56" s="55"/>
      <c r="F56" s="57"/>
      <c r="G56" s="14"/>
    </row>
    <row r="57" spans="1:7">
      <c r="A57" s="58"/>
      <c r="B57" s="55"/>
      <c r="C57" s="55"/>
      <c r="D57" s="55"/>
      <c r="E57" s="55"/>
      <c r="F57" s="57"/>
      <c r="G57" s="14"/>
    </row>
    <row r="58" spans="1:7">
      <c r="A58" s="58"/>
      <c r="B58" s="55"/>
      <c r="C58" s="55"/>
      <c r="D58" s="55"/>
      <c r="E58" s="55"/>
      <c r="F58" s="57"/>
      <c r="G58" s="14"/>
    </row>
    <row r="59" spans="1:7">
      <c r="A59" s="58"/>
      <c r="B59" s="55"/>
      <c r="C59" s="55"/>
      <c r="D59" s="55"/>
      <c r="E59" s="55"/>
      <c r="F59" s="57"/>
      <c r="G59" s="14"/>
    </row>
    <row r="60" spans="1:7">
      <c r="A60" s="58"/>
      <c r="B60" s="55"/>
      <c r="C60" s="55"/>
      <c r="D60" s="55"/>
      <c r="E60" s="55"/>
      <c r="F60" s="57"/>
      <c r="G60" s="14"/>
    </row>
    <row r="61" spans="1:7">
      <c r="A61" s="58"/>
      <c r="B61" s="55"/>
      <c r="C61" s="55"/>
      <c r="D61" s="55"/>
      <c r="E61" s="55"/>
      <c r="F61" s="57"/>
      <c r="G61" s="14"/>
    </row>
    <row r="62" spans="1:7">
      <c r="A62" s="58"/>
      <c r="B62" s="55"/>
      <c r="C62" s="55"/>
      <c r="D62" s="55"/>
      <c r="E62" s="55"/>
      <c r="F62" s="57"/>
      <c r="G62" s="14"/>
    </row>
    <row r="63" spans="1:7">
      <c r="A63" s="58"/>
      <c r="B63" s="55"/>
      <c r="C63" s="55"/>
      <c r="D63" s="55"/>
      <c r="E63" s="55"/>
      <c r="F63" s="57"/>
      <c r="G63" s="14"/>
    </row>
    <row r="64" spans="1:7">
      <c r="A64" s="58"/>
      <c r="B64" s="55"/>
      <c r="C64" s="55"/>
      <c r="D64" s="55"/>
      <c r="E64" s="55"/>
      <c r="F64" s="57"/>
      <c r="G64" s="14"/>
    </row>
    <row r="65" spans="1:7">
      <c r="A65" s="58"/>
      <c r="B65" s="55"/>
      <c r="C65" s="55"/>
      <c r="D65" s="55"/>
      <c r="E65" s="55"/>
      <c r="F65" s="57"/>
      <c r="G65" s="14"/>
    </row>
    <row r="66" spans="1:7">
      <c r="A66" s="58"/>
      <c r="B66" s="55"/>
      <c r="C66" s="55"/>
      <c r="D66" s="55"/>
      <c r="E66" s="55"/>
      <c r="F66" s="57"/>
      <c r="G66" s="14"/>
    </row>
    <row r="67" spans="1:7">
      <c r="A67" s="58"/>
      <c r="B67" s="55"/>
      <c r="C67" s="55"/>
      <c r="D67" s="55"/>
      <c r="E67" s="55"/>
      <c r="F67" s="57"/>
      <c r="G67" s="14"/>
    </row>
    <row r="68" spans="1:7">
      <c r="A68" s="58"/>
      <c r="B68" s="55"/>
      <c r="C68" s="55"/>
      <c r="D68" s="55"/>
      <c r="E68" s="55"/>
      <c r="F68" s="57"/>
      <c r="G68" s="14"/>
    </row>
    <row r="69" spans="1:7">
      <c r="A69" s="58"/>
      <c r="B69" s="55"/>
      <c r="C69" s="55"/>
      <c r="D69" s="55"/>
      <c r="E69" s="55"/>
      <c r="F69" s="57"/>
      <c r="G69" s="14"/>
    </row>
    <row r="70" spans="1:7">
      <c r="A70" s="58"/>
      <c r="B70" s="55"/>
      <c r="C70" s="55"/>
      <c r="D70" s="55"/>
      <c r="E70" s="55"/>
      <c r="F70" s="57"/>
      <c r="G70" s="14"/>
    </row>
    <row r="71" spans="1:7">
      <c r="A71" s="58"/>
      <c r="B71" s="55"/>
      <c r="C71" s="55"/>
      <c r="D71" s="55"/>
      <c r="E71" s="55"/>
      <c r="F71" s="57"/>
      <c r="G71" s="14"/>
    </row>
    <row r="72" spans="1:7">
      <c r="A72" s="58"/>
      <c r="B72" s="55"/>
      <c r="C72" s="55"/>
      <c r="D72" s="55"/>
      <c r="E72" s="55"/>
      <c r="F72" s="57"/>
      <c r="G72" s="14"/>
    </row>
    <row r="73" spans="1:7">
      <c r="A73" s="58"/>
      <c r="B73" s="55"/>
      <c r="C73" s="55"/>
      <c r="D73" s="55"/>
      <c r="E73" s="55"/>
      <c r="F73" s="57"/>
      <c r="G73" s="14"/>
    </row>
    <row r="74" spans="1:7">
      <c r="A74" s="58"/>
      <c r="B74" s="55"/>
      <c r="C74" s="55"/>
      <c r="D74" s="55"/>
      <c r="E74" s="55"/>
      <c r="F74" s="57"/>
      <c r="G74" s="14"/>
    </row>
    <row r="75" spans="1:7">
      <c r="A75" s="58"/>
      <c r="B75" s="55"/>
      <c r="C75" s="55"/>
      <c r="D75" s="55"/>
      <c r="E75" s="55"/>
      <c r="F75" s="57"/>
      <c r="G75" s="14"/>
    </row>
    <row r="76" spans="1:7">
      <c r="A76" s="58"/>
      <c r="B76" s="55"/>
      <c r="C76" s="55"/>
      <c r="D76" s="55"/>
      <c r="E76" s="55"/>
      <c r="F76" s="57"/>
      <c r="G76" s="14"/>
    </row>
    <row r="77" spans="1:7">
      <c r="A77" s="58"/>
      <c r="B77" s="55"/>
      <c r="C77" s="55"/>
      <c r="D77" s="55"/>
      <c r="E77" s="55"/>
      <c r="F77" s="57"/>
      <c r="G77" s="14"/>
    </row>
    <row r="78" spans="1:7">
      <c r="A78" s="58"/>
      <c r="B78" s="55"/>
      <c r="C78" s="55"/>
      <c r="D78" s="55"/>
      <c r="E78" s="55"/>
      <c r="F78" s="57"/>
      <c r="G78" s="14"/>
    </row>
    <row r="79" spans="1:7">
      <c r="A79" s="58"/>
      <c r="B79" s="55"/>
      <c r="C79" s="55"/>
      <c r="D79" s="55"/>
      <c r="E79" s="55"/>
      <c r="F79" s="57"/>
      <c r="G79" s="14"/>
    </row>
    <row r="80" spans="1:7">
      <c r="A80" s="58"/>
      <c r="B80" s="55"/>
      <c r="C80" s="55"/>
      <c r="D80" s="55"/>
      <c r="E80" s="55"/>
      <c r="F80" s="57"/>
      <c r="G80" s="14"/>
    </row>
    <row r="81" spans="1:7">
      <c r="A81" s="58"/>
      <c r="B81" s="55"/>
      <c r="C81" s="55"/>
      <c r="D81" s="55"/>
      <c r="E81" s="55"/>
      <c r="F81" s="57"/>
      <c r="G81" s="14"/>
    </row>
    <row r="82" spans="1:7">
      <c r="A82" s="58"/>
      <c r="B82" s="55"/>
      <c r="C82" s="55"/>
      <c r="D82" s="55"/>
      <c r="E82" s="55"/>
      <c r="F82" s="57"/>
      <c r="G82" s="14"/>
    </row>
    <row r="83" spans="1:7">
      <c r="A83" s="58"/>
      <c r="B83" s="55"/>
      <c r="C83" s="55"/>
      <c r="D83" s="55"/>
      <c r="E83" s="55"/>
      <c r="F83" s="57"/>
      <c r="G83" s="14"/>
    </row>
    <row r="84" spans="1:7">
      <c r="A84" s="58"/>
      <c r="B84" s="55"/>
      <c r="C84" s="55"/>
      <c r="D84" s="55"/>
      <c r="E84" s="55"/>
      <c r="F84" s="57"/>
      <c r="G84" s="14"/>
    </row>
    <row r="85" spans="1:7">
      <c r="A85" s="58"/>
      <c r="B85" s="55"/>
      <c r="C85" s="55"/>
      <c r="D85" s="55"/>
      <c r="E85" s="55"/>
      <c r="F85" s="57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5" activePane="bottomLeft" state="frozen"/>
      <selection pane="bottomLeft" activeCell="N16" sqref="N16"/>
    </sheetView>
  </sheetViews>
  <sheetFormatPr defaultRowHeight="15"/>
  <cols>
    <col min="1" max="1" width="10.7109375" style="55" customWidth="1"/>
    <col min="2" max="2" width="12.7109375" style="14" customWidth="1"/>
    <col min="3" max="6" width="12.7109375" style="57" customWidth="1"/>
    <col min="7" max="9" width="12.7109375" style="14" customWidth="1"/>
    <col min="10" max="12" width="12.7109375" style="59" customWidth="1"/>
    <col min="13" max="13" width="12.7109375" style="14" customWidth="1"/>
    <col min="14" max="16384" width="9.140625" style="14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89" t="s">
        <v>15</v>
      </c>
      <c r="B3" s="15" t="s">
        <v>22</v>
      </c>
      <c r="C3" s="16" t="s">
        <v>27</v>
      </c>
      <c r="D3" s="17" t="s">
        <v>28</v>
      </c>
      <c r="E3" s="86" t="s">
        <v>22</v>
      </c>
      <c r="F3" s="18" t="s">
        <v>23</v>
      </c>
      <c r="G3" s="19" t="s">
        <v>29</v>
      </c>
      <c r="H3" s="19" t="s">
        <v>30</v>
      </c>
      <c r="I3" s="85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7">
        <v>31</v>
      </c>
      <c r="B5" s="87">
        <v>7313440</v>
      </c>
      <c r="C5" s="101">
        <f>B6-B5</f>
        <v>4432</v>
      </c>
      <c r="D5" s="32">
        <f>C5*0.21186441</f>
        <v>938.98306511999999</v>
      </c>
      <c r="E5" s="33">
        <v>587640</v>
      </c>
      <c r="F5" s="102">
        <f>E6-E5</f>
        <v>305</v>
      </c>
      <c r="G5" s="34">
        <f>F5*0.84746</f>
        <v>258.4753</v>
      </c>
      <c r="H5" s="34">
        <f>F5*0.84746</f>
        <v>258.4753</v>
      </c>
      <c r="I5" s="88">
        <f>G5+H5</f>
        <v>516.95060000000001</v>
      </c>
      <c r="J5" s="35">
        <f>10000+6290</f>
        <v>16290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7">
        <v>7317872</v>
      </c>
      <c r="C6" s="51">
        <f t="shared" ref="C6:C15" si="0">B7-B6</f>
        <v>3941</v>
      </c>
      <c r="D6" s="39">
        <f>C6*0.21186441</f>
        <v>834.95763981000005</v>
      </c>
      <c r="E6" s="40">
        <v>587945</v>
      </c>
      <c r="F6" s="52">
        <f t="shared" ref="F6:F15" si="1">E7-E6</f>
        <v>216</v>
      </c>
      <c r="G6" s="41">
        <f>F6*0.84746</f>
        <v>183.05135999999999</v>
      </c>
      <c r="H6" s="41">
        <f>F6*0.84746</f>
        <v>183.05135999999999</v>
      </c>
      <c r="I6" s="42">
        <f t="shared" ref="I6:I36" si="2">G6+H6</f>
        <v>366.10271999999998</v>
      </c>
      <c r="J6" s="35">
        <f>10000+6290</f>
        <v>16290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7321813</v>
      </c>
      <c r="C7" s="53">
        <f t="shared" si="0"/>
        <v>3821</v>
      </c>
      <c r="D7" s="44">
        <f>C7*0.21186441</f>
        <v>809.53391061000002</v>
      </c>
      <c r="E7" s="45">
        <v>588161</v>
      </c>
      <c r="F7" s="54">
        <f t="shared" si="1"/>
        <v>326</v>
      </c>
      <c r="G7" s="46">
        <f t="shared" ref="G7:G36" si="4">F7*0.84746</f>
        <v>276.27195999999998</v>
      </c>
      <c r="H7" s="46">
        <f t="shared" ref="H7:H36" si="5">F7*0.84746</f>
        <v>276.27195999999998</v>
      </c>
      <c r="I7" s="47">
        <f t="shared" si="2"/>
        <v>552.54391999999996</v>
      </c>
      <c r="J7" s="35">
        <f>10000+6290</f>
        <v>16290</v>
      </c>
      <c r="K7" s="36">
        <f t="shared" si="3"/>
        <v>10</v>
      </c>
      <c r="L7" s="37">
        <f t="shared" ref="L7:L35" si="6">K7*0.7</f>
        <v>7</v>
      </c>
    </row>
    <row r="8" spans="1:12" ht="32.450000000000003" customHeight="1">
      <c r="A8" s="38">
        <v>3</v>
      </c>
      <c r="B8" s="38">
        <v>7325634</v>
      </c>
      <c r="C8" s="51">
        <f t="shared" si="0"/>
        <v>4956</v>
      </c>
      <c r="D8" s="44">
        <f t="shared" ref="D8:D36" si="7">C8*0.21186441</f>
        <v>1050.0000159599999</v>
      </c>
      <c r="E8" s="45">
        <v>588487</v>
      </c>
      <c r="F8" s="52">
        <f t="shared" si="1"/>
        <v>259</v>
      </c>
      <c r="G8" s="41">
        <f t="shared" si="4"/>
        <v>219.49214000000001</v>
      </c>
      <c r="H8" s="41">
        <f t="shared" si="5"/>
        <v>219.49214000000001</v>
      </c>
      <c r="I8" s="47">
        <f t="shared" si="2"/>
        <v>438.98428000000001</v>
      </c>
      <c r="J8" s="35">
        <f>9990+6290</f>
        <v>16280</v>
      </c>
      <c r="K8" s="36">
        <f t="shared" si="3"/>
        <v>-10</v>
      </c>
      <c r="L8" s="37">
        <f t="shared" si="6"/>
        <v>-7</v>
      </c>
    </row>
    <row r="9" spans="1:12" ht="32.450000000000003" customHeight="1">
      <c r="A9" s="43">
        <v>4</v>
      </c>
      <c r="B9" s="43">
        <v>7330590</v>
      </c>
      <c r="C9" s="53">
        <f t="shared" si="0"/>
        <v>4204</v>
      </c>
      <c r="D9" s="44">
        <f t="shared" si="7"/>
        <v>890.67797963999999</v>
      </c>
      <c r="E9" s="45">
        <v>588746</v>
      </c>
      <c r="F9" s="54">
        <f t="shared" si="1"/>
        <v>18</v>
      </c>
      <c r="G9" s="46">
        <f t="shared" si="4"/>
        <v>15.25428</v>
      </c>
      <c r="H9" s="46">
        <f t="shared" si="5"/>
        <v>15.25428</v>
      </c>
      <c r="I9" s="47">
        <f t="shared" si="2"/>
        <v>30.508559999999999</v>
      </c>
      <c r="J9" s="35">
        <f>10000+6290</f>
        <v>16290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7334794</v>
      </c>
      <c r="C10" s="51">
        <f t="shared" si="0"/>
        <v>4039</v>
      </c>
      <c r="D10" s="44">
        <f t="shared" si="7"/>
        <v>855.72035199000004</v>
      </c>
      <c r="E10" s="45">
        <v>588764</v>
      </c>
      <c r="F10" s="52">
        <f t="shared" si="1"/>
        <v>171</v>
      </c>
      <c r="G10" s="41">
        <f t="shared" si="4"/>
        <v>144.91566</v>
      </c>
      <c r="H10" s="41">
        <f t="shared" si="5"/>
        <v>144.91566</v>
      </c>
      <c r="I10" s="47">
        <f t="shared" si="2"/>
        <v>289.83132000000001</v>
      </c>
      <c r="J10" s="35">
        <f>10000+6290</f>
        <v>16290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7338833</v>
      </c>
      <c r="C11" s="53">
        <f t="shared" si="0"/>
        <v>4756</v>
      </c>
      <c r="D11" s="44">
        <f t="shared" si="7"/>
        <v>1007.62713396</v>
      </c>
      <c r="E11" s="45">
        <v>588935</v>
      </c>
      <c r="F11" s="54">
        <f t="shared" si="1"/>
        <v>227</v>
      </c>
      <c r="G11" s="46">
        <f t="shared" si="4"/>
        <v>192.37342000000001</v>
      </c>
      <c r="H11" s="46">
        <f t="shared" si="5"/>
        <v>192.37342000000001</v>
      </c>
      <c r="I11" s="47">
        <f t="shared" si="2"/>
        <v>384.74684000000002</v>
      </c>
      <c r="J11" s="35">
        <f>10000+6290</f>
        <v>16290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7343589</v>
      </c>
      <c r="C12" s="51">
        <f t="shared" si="0"/>
        <v>4763</v>
      </c>
      <c r="D12" s="44">
        <f t="shared" si="7"/>
        <v>1009.11018483</v>
      </c>
      <c r="E12" s="45">
        <v>589162</v>
      </c>
      <c r="F12" s="52">
        <f t="shared" si="1"/>
        <v>300</v>
      </c>
      <c r="G12" s="41">
        <f t="shared" si="4"/>
        <v>254.238</v>
      </c>
      <c r="H12" s="41">
        <f t="shared" si="5"/>
        <v>254.238</v>
      </c>
      <c r="I12" s="47">
        <f t="shared" si="2"/>
        <v>508.476</v>
      </c>
      <c r="J12" s="35">
        <f>10000+6290</f>
        <v>16290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7348352</v>
      </c>
      <c r="C13" s="53">
        <f t="shared" si="0"/>
        <v>2797</v>
      </c>
      <c r="D13" s="44">
        <f t="shared" si="7"/>
        <v>592.58475477000002</v>
      </c>
      <c r="E13" s="45">
        <v>589462</v>
      </c>
      <c r="F13" s="54">
        <f t="shared" si="1"/>
        <v>273</v>
      </c>
      <c r="G13" s="46">
        <f t="shared" si="4"/>
        <v>231.35658000000001</v>
      </c>
      <c r="H13" s="46">
        <f t="shared" si="5"/>
        <v>231.35658000000001</v>
      </c>
      <c r="I13" s="47">
        <f t="shared" si="2"/>
        <v>462.71316000000002</v>
      </c>
      <c r="J13" s="35">
        <f>10000+6290</f>
        <v>16290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7351149</v>
      </c>
      <c r="C14" s="51">
        <f t="shared" si="0"/>
        <v>7254</v>
      </c>
      <c r="D14" s="44">
        <f t="shared" si="7"/>
        <v>1536.86443014</v>
      </c>
      <c r="E14" s="45">
        <v>589735</v>
      </c>
      <c r="F14" s="52">
        <f t="shared" si="1"/>
        <v>294</v>
      </c>
      <c r="G14" s="46">
        <f t="shared" si="4"/>
        <v>249.15324000000001</v>
      </c>
      <c r="H14" s="41">
        <f t="shared" si="5"/>
        <v>249.15324000000001</v>
      </c>
      <c r="I14" s="47">
        <f t="shared" si="2"/>
        <v>498.30648000000002</v>
      </c>
      <c r="J14" s="35">
        <f>10000+6290</f>
        <v>16290</v>
      </c>
      <c r="K14" s="36">
        <f>J14-J15</f>
        <v>-21</v>
      </c>
      <c r="L14" s="37">
        <f t="shared" si="6"/>
        <v>-14.7</v>
      </c>
    </row>
    <row r="15" spans="1:12" ht="32.450000000000003" customHeight="1">
      <c r="A15" s="43">
        <v>10</v>
      </c>
      <c r="B15" s="43">
        <v>7358403</v>
      </c>
      <c r="C15" s="53">
        <f t="shared" si="0"/>
        <v>4036</v>
      </c>
      <c r="D15" s="44">
        <f t="shared" si="7"/>
        <v>855.08475876</v>
      </c>
      <c r="E15" s="45">
        <v>590029</v>
      </c>
      <c r="F15" s="54">
        <f t="shared" si="1"/>
        <v>299</v>
      </c>
      <c r="G15" s="46">
        <f t="shared" si="4"/>
        <v>253.39053999999999</v>
      </c>
      <c r="H15" s="46">
        <f t="shared" si="5"/>
        <v>253.39053999999999</v>
      </c>
      <c r="I15" s="47">
        <f t="shared" si="2"/>
        <v>506.78107999999997</v>
      </c>
      <c r="J15" s="35">
        <f>10001+6310</f>
        <v>16311</v>
      </c>
      <c r="K15" s="36">
        <f>J15-J16</f>
        <v>11</v>
      </c>
      <c r="L15" s="37">
        <f t="shared" si="6"/>
        <v>7.6999999999999993</v>
      </c>
    </row>
    <row r="16" spans="1:12" ht="32.450000000000003" customHeight="1">
      <c r="A16" s="38">
        <v>11</v>
      </c>
      <c r="B16" s="38">
        <v>7362439</v>
      </c>
      <c r="C16" s="51">
        <f>B17-B16</f>
        <v>4973</v>
      </c>
      <c r="D16" s="44">
        <f t="shared" si="7"/>
        <v>1053.6017109300001</v>
      </c>
      <c r="E16" s="45">
        <v>590328</v>
      </c>
      <c r="F16" s="52">
        <f>E17-E16</f>
        <v>324</v>
      </c>
      <c r="G16" s="41">
        <f t="shared" si="4"/>
        <v>274.57704000000001</v>
      </c>
      <c r="H16" s="41">
        <f t="shared" si="5"/>
        <v>274.57704000000001</v>
      </c>
      <c r="I16" s="47">
        <f t="shared" si="2"/>
        <v>549.15408000000002</v>
      </c>
      <c r="J16" s="35">
        <f>10000+6300</f>
        <v>16300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7367412</v>
      </c>
      <c r="C17" s="53">
        <f t="shared" ref="C17:C35" si="8">B18-B17</f>
        <v>-7367412</v>
      </c>
      <c r="D17" s="44">
        <f t="shared" si="7"/>
        <v>-1560892.3966069201</v>
      </c>
      <c r="E17" s="45">
        <v>590652</v>
      </c>
      <c r="F17" s="54">
        <f t="shared" ref="F17:F35" si="9">E18-E17</f>
        <v>-590652</v>
      </c>
      <c r="G17" s="46">
        <f t="shared" si="4"/>
        <v>-500553.94391999999</v>
      </c>
      <c r="H17" s="46">
        <f t="shared" si="5"/>
        <v>-500553.94391999999</v>
      </c>
      <c r="I17" s="47">
        <f t="shared" si="2"/>
        <v>-1001107.88784</v>
      </c>
      <c r="J17" s="35">
        <f>10000+6300</f>
        <v>16300</v>
      </c>
      <c r="K17" s="36">
        <f t="shared" si="3"/>
        <v>16300</v>
      </c>
      <c r="L17" s="37">
        <f t="shared" si="6"/>
        <v>11410</v>
      </c>
    </row>
    <row r="18" spans="1:12" ht="32.450000000000003" customHeight="1">
      <c r="A18" s="38">
        <v>13</v>
      </c>
      <c r="B18" s="38"/>
      <c r="C18" s="51">
        <f t="shared" si="8"/>
        <v>0</v>
      </c>
      <c r="D18" s="44">
        <f t="shared" si="7"/>
        <v>0</v>
      </c>
      <c r="E18" s="49"/>
      <c r="F18" s="52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3">
        <f t="shared" si="8"/>
        <v>0</v>
      </c>
      <c r="D19" s="44">
        <f t="shared" si="7"/>
        <v>0</v>
      </c>
      <c r="E19" s="50"/>
      <c r="F19" s="54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1">
        <f t="shared" si="8"/>
        <v>0</v>
      </c>
      <c r="D20" s="44">
        <f t="shared" si="7"/>
        <v>0</v>
      </c>
      <c r="E20" s="49"/>
      <c r="F20" s="52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3"/>
      <c r="C21" s="53">
        <f t="shared" si="8"/>
        <v>0</v>
      </c>
      <c r="D21" s="44">
        <f t="shared" si="7"/>
        <v>0</v>
      </c>
      <c r="E21" s="84"/>
      <c r="F21" s="54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1">
        <f t="shared" si="8"/>
        <v>0</v>
      </c>
      <c r="D22" s="44">
        <f t="shared" si="7"/>
        <v>0</v>
      </c>
      <c r="E22" s="50"/>
      <c r="F22" s="52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48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3">
        <f t="shared" si="8"/>
        <v>0</v>
      </c>
      <c r="D23" s="44">
        <f t="shared" si="7"/>
        <v>0</v>
      </c>
      <c r="E23" s="50"/>
      <c r="F23" s="54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48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1">
        <f t="shared" si="8"/>
        <v>0</v>
      </c>
      <c r="D24" s="44">
        <f t="shared" si="7"/>
        <v>0</v>
      </c>
      <c r="E24" s="50"/>
      <c r="F24" s="52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48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3">
        <f t="shared" si="8"/>
        <v>0</v>
      </c>
      <c r="D25" s="44">
        <f t="shared" si="7"/>
        <v>0</v>
      </c>
      <c r="E25" s="50"/>
      <c r="F25" s="54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48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1">
        <f t="shared" si="8"/>
        <v>0</v>
      </c>
      <c r="D26" s="44">
        <f t="shared" si="7"/>
        <v>0</v>
      </c>
      <c r="E26" s="50"/>
      <c r="F26" s="52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48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3">
        <f t="shared" si="8"/>
        <v>0</v>
      </c>
      <c r="D27" s="44">
        <f t="shared" si="7"/>
        <v>0</v>
      </c>
      <c r="E27" s="50"/>
      <c r="F27" s="54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48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1">
        <f t="shared" si="8"/>
        <v>0</v>
      </c>
      <c r="D28" s="44">
        <f t="shared" si="7"/>
        <v>0</v>
      </c>
      <c r="E28" s="50"/>
      <c r="F28" s="52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48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3">
        <f t="shared" si="8"/>
        <v>0</v>
      </c>
      <c r="D29" s="44">
        <f t="shared" si="7"/>
        <v>0</v>
      </c>
      <c r="E29" s="50"/>
      <c r="F29" s="54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48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1">
        <f t="shared" si="8"/>
        <v>0</v>
      </c>
      <c r="D30" s="44">
        <f t="shared" si="7"/>
        <v>0</v>
      </c>
      <c r="E30" s="50"/>
      <c r="F30" s="52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48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3">
        <f t="shared" si="8"/>
        <v>0</v>
      </c>
      <c r="D31" s="44">
        <f t="shared" si="7"/>
        <v>0</v>
      </c>
      <c r="E31" s="50"/>
      <c r="F31" s="54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48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1">
        <f t="shared" si="8"/>
        <v>0</v>
      </c>
      <c r="D32" s="44">
        <f t="shared" si="7"/>
        <v>0</v>
      </c>
      <c r="E32" s="50"/>
      <c r="F32" s="53">
        <f t="shared" si="9"/>
        <v>0</v>
      </c>
      <c r="G32" s="41">
        <f t="shared" si="4"/>
        <v>0</v>
      </c>
      <c r="H32" s="41">
        <f t="shared" si="5"/>
        <v>0</v>
      </c>
      <c r="I32" s="47">
        <f t="shared" si="2"/>
        <v>0</v>
      </c>
      <c r="J32" s="48"/>
      <c r="K32" s="36">
        <f t="shared" si="3"/>
        <v>0</v>
      </c>
      <c r="L32" s="37">
        <f t="shared" si="6"/>
        <v>0</v>
      </c>
    </row>
    <row r="33" spans="1:12" ht="32.450000000000003" customHeight="1">
      <c r="A33" s="43">
        <v>28</v>
      </c>
      <c r="B33" s="43"/>
      <c r="C33" s="53">
        <f t="shared" si="8"/>
        <v>0</v>
      </c>
      <c r="D33" s="44">
        <f t="shared" si="7"/>
        <v>0</v>
      </c>
      <c r="E33" s="50"/>
      <c r="F33" s="52">
        <f t="shared" si="9"/>
        <v>0</v>
      </c>
      <c r="G33" s="46">
        <f t="shared" si="4"/>
        <v>0</v>
      </c>
      <c r="H33" s="46">
        <f t="shared" si="5"/>
        <v>0</v>
      </c>
      <c r="I33" s="47">
        <f t="shared" si="2"/>
        <v>0</v>
      </c>
      <c r="J33" s="48"/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/>
      <c r="C34" s="53">
        <f t="shared" si="8"/>
        <v>0</v>
      </c>
      <c r="D34" s="44">
        <f t="shared" si="7"/>
        <v>0</v>
      </c>
      <c r="E34" s="50"/>
      <c r="F34" s="53">
        <f t="shared" si="9"/>
        <v>0</v>
      </c>
      <c r="G34" s="41">
        <f t="shared" si="4"/>
        <v>0</v>
      </c>
      <c r="H34" s="41">
        <f t="shared" si="5"/>
        <v>0</v>
      </c>
      <c r="I34" s="47">
        <f t="shared" si="2"/>
        <v>0</v>
      </c>
      <c r="J34" s="48"/>
      <c r="K34" s="36">
        <f t="shared" si="3"/>
        <v>0</v>
      </c>
      <c r="L34" s="37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8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7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5"/>
      <c r="C38" s="56"/>
      <c r="D38" s="56"/>
      <c r="J38" s="55"/>
      <c r="K38" s="55"/>
      <c r="L38" s="55"/>
    </row>
    <row r="39" spans="1:12">
      <c r="B39" s="55"/>
      <c r="C39" s="56"/>
      <c r="D39" s="56"/>
      <c r="J39" s="55"/>
      <c r="K39" s="55"/>
      <c r="L39" s="55"/>
    </row>
    <row r="40" spans="1:12">
      <c r="B40" s="55"/>
      <c r="C40" s="56"/>
      <c r="D40" s="56"/>
      <c r="J40" s="55"/>
      <c r="K40" s="55"/>
      <c r="L40" s="55"/>
    </row>
    <row r="41" spans="1:12">
      <c r="B41" s="55"/>
      <c r="C41" s="56"/>
      <c r="D41" s="56"/>
      <c r="J41" s="55"/>
      <c r="K41" s="55"/>
      <c r="L41" s="55"/>
    </row>
    <row r="42" spans="1:12">
      <c r="B42" s="55"/>
      <c r="C42" s="56"/>
      <c r="D42" s="56"/>
      <c r="J42" s="55"/>
      <c r="K42" s="55"/>
      <c r="L42" s="55"/>
    </row>
    <row r="43" spans="1:12">
      <c r="B43" s="55"/>
      <c r="C43" s="56"/>
      <c r="D43" s="56"/>
      <c r="J43" s="55"/>
      <c r="K43" s="55"/>
      <c r="L43" s="55"/>
    </row>
    <row r="44" spans="1:12">
      <c r="B44" s="55"/>
      <c r="C44" s="56"/>
      <c r="D44" s="56"/>
      <c r="J44" s="55"/>
      <c r="K44" s="55"/>
      <c r="L44" s="55"/>
    </row>
    <row r="45" spans="1:12">
      <c r="B45" s="55"/>
      <c r="C45" s="56"/>
      <c r="D45" s="56"/>
      <c r="J45" s="55"/>
      <c r="K45" s="55"/>
      <c r="L45" s="55"/>
    </row>
    <row r="46" spans="1:12">
      <c r="B46" s="55"/>
      <c r="C46" s="56"/>
      <c r="D46" s="56"/>
      <c r="J46" s="55"/>
      <c r="K46" s="55"/>
      <c r="L46" s="55"/>
    </row>
    <row r="47" spans="1:12">
      <c r="B47" s="55"/>
      <c r="C47" s="56"/>
      <c r="D47" s="56"/>
      <c r="J47" s="55"/>
      <c r="K47" s="55"/>
      <c r="L47" s="55"/>
    </row>
    <row r="48" spans="1:12">
      <c r="B48" s="55"/>
      <c r="C48" s="56"/>
      <c r="D48" s="56"/>
      <c r="J48" s="55"/>
      <c r="K48" s="55"/>
      <c r="L48" s="55"/>
    </row>
    <row r="49" spans="1:12">
      <c r="A49" s="58"/>
      <c r="B49" s="55"/>
      <c r="C49" s="56"/>
      <c r="D49" s="56"/>
      <c r="J49" s="55"/>
      <c r="K49" s="55"/>
      <c r="L49" s="55"/>
    </row>
    <row r="50" spans="1:12">
      <c r="A50" s="58"/>
      <c r="B50" s="55"/>
      <c r="C50" s="56"/>
      <c r="D50" s="56"/>
      <c r="J50" s="55"/>
      <c r="K50" s="55"/>
      <c r="L50" s="55"/>
    </row>
    <row r="51" spans="1:12">
      <c r="A51" s="58"/>
      <c r="B51" s="55"/>
      <c r="C51" s="56"/>
      <c r="D51" s="56"/>
      <c r="J51" s="55"/>
      <c r="K51" s="55"/>
      <c r="L51" s="55"/>
    </row>
    <row r="52" spans="1:12">
      <c r="A52" s="58"/>
      <c r="B52" s="55"/>
      <c r="C52" s="56"/>
      <c r="D52" s="56"/>
      <c r="J52" s="55"/>
      <c r="K52" s="55"/>
      <c r="L52" s="55"/>
    </row>
    <row r="53" spans="1:12">
      <c r="A53" s="58"/>
      <c r="B53" s="55"/>
      <c r="C53" s="56"/>
      <c r="D53" s="56"/>
      <c r="J53" s="55"/>
      <c r="K53" s="55"/>
      <c r="L53" s="55"/>
    </row>
    <row r="54" spans="1:12">
      <c r="A54" s="58"/>
      <c r="B54" s="55"/>
      <c r="C54" s="56"/>
      <c r="D54" s="56"/>
      <c r="J54" s="55"/>
      <c r="K54" s="55"/>
      <c r="L54" s="55"/>
    </row>
    <row r="55" spans="1:12">
      <c r="A55" s="58"/>
      <c r="B55" s="55"/>
      <c r="C55" s="56"/>
      <c r="D55" s="56"/>
      <c r="J55" s="55"/>
      <c r="K55" s="55"/>
      <c r="L55" s="55"/>
    </row>
    <row r="56" spans="1:12">
      <c r="A56" s="58"/>
      <c r="B56" s="55"/>
      <c r="C56" s="56"/>
      <c r="D56" s="56"/>
      <c r="J56" s="55"/>
      <c r="K56" s="55"/>
      <c r="L56" s="55"/>
    </row>
    <row r="57" spans="1:12">
      <c r="A57" s="58"/>
      <c r="B57" s="55"/>
      <c r="C57" s="56"/>
      <c r="D57" s="56"/>
      <c r="J57" s="55"/>
      <c r="K57" s="55"/>
      <c r="L57" s="55"/>
    </row>
    <row r="58" spans="1:12">
      <c r="A58" s="58"/>
      <c r="B58" s="55"/>
      <c r="C58" s="56"/>
      <c r="D58" s="56"/>
      <c r="J58" s="55"/>
      <c r="K58" s="55"/>
      <c r="L58" s="55"/>
    </row>
    <row r="59" spans="1:12">
      <c r="A59" s="58"/>
      <c r="B59" s="55"/>
      <c r="C59" s="56"/>
      <c r="D59" s="56"/>
      <c r="J59" s="55"/>
      <c r="K59" s="55"/>
      <c r="L59" s="55"/>
    </row>
    <row r="60" spans="1:12">
      <c r="A60" s="58"/>
      <c r="B60" s="55"/>
      <c r="C60" s="56"/>
      <c r="D60" s="56"/>
      <c r="J60" s="55"/>
      <c r="K60" s="55"/>
      <c r="L60" s="55"/>
    </row>
    <row r="61" spans="1:12">
      <c r="A61" s="58"/>
      <c r="B61" s="55"/>
      <c r="C61" s="56"/>
      <c r="D61" s="56"/>
      <c r="J61" s="55"/>
      <c r="K61" s="55"/>
      <c r="L61" s="55"/>
    </row>
    <row r="62" spans="1:12">
      <c r="A62" s="58"/>
      <c r="B62" s="55"/>
      <c r="C62" s="56"/>
      <c r="D62" s="56"/>
      <c r="J62" s="55"/>
      <c r="K62" s="55"/>
      <c r="L62" s="55"/>
    </row>
    <row r="63" spans="1:12">
      <c r="A63" s="58"/>
      <c r="B63" s="55"/>
      <c r="C63" s="56"/>
      <c r="D63" s="56"/>
      <c r="J63" s="55"/>
      <c r="K63" s="55"/>
      <c r="L63" s="55"/>
    </row>
    <row r="64" spans="1:12">
      <c r="A64" s="58"/>
      <c r="B64" s="55"/>
      <c r="C64" s="56"/>
      <c r="D64" s="56"/>
      <c r="J64" s="55"/>
      <c r="K64" s="55"/>
      <c r="L64" s="55"/>
    </row>
    <row r="65" spans="1:12">
      <c r="A65" s="58"/>
      <c r="B65" s="55"/>
      <c r="C65" s="56"/>
      <c r="D65" s="56"/>
      <c r="J65" s="55"/>
      <c r="K65" s="55"/>
      <c r="L65" s="55"/>
    </row>
    <row r="66" spans="1:12">
      <c r="A66" s="58"/>
      <c r="B66" s="55"/>
      <c r="C66" s="56"/>
      <c r="D66" s="56"/>
      <c r="J66" s="55"/>
      <c r="K66" s="55"/>
      <c r="L66" s="55"/>
    </row>
    <row r="67" spans="1:12">
      <c r="A67" s="58"/>
      <c r="B67" s="55"/>
      <c r="C67" s="56"/>
      <c r="D67" s="56"/>
      <c r="J67" s="55"/>
      <c r="K67" s="55"/>
      <c r="L67" s="55"/>
    </row>
    <row r="68" spans="1:12">
      <c r="A68" s="58"/>
      <c r="B68" s="55"/>
      <c r="C68" s="56"/>
      <c r="D68" s="56"/>
      <c r="J68" s="55"/>
      <c r="K68" s="55"/>
      <c r="L68" s="55"/>
    </row>
    <row r="69" spans="1:12">
      <c r="A69" s="58"/>
      <c r="B69" s="55"/>
      <c r="C69" s="56"/>
      <c r="D69" s="56"/>
      <c r="J69" s="55"/>
      <c r="K69" s="55"/>
      <c r="L69" s="55"/>
    </row>
    <row r="70" spans="1:12">
      <c r="A70" s="58"/>
      <c r="B70" s="55"/>
      <c r="C70" s="56"/>
      <c r="D70" s="56"/>
      <c r="J70" s="55"/>
      <c r="K70" s="55"/>
      <c r="L70" s="55"/>
    </row>
    <row r="71" spans="1:12">
      <c r="A71" s="58"/>
      <c r="B71" s="55"/>
      <c r="C71" s="56"/>
      <c r="D71" s="56"/>
      <c r="J71" s="55"/>
      <c r="K71" s="55"/>
      <c r="L71" s="55"/>
    </row>
    <row r="72" spans="1:12">
      <c r="A72" s="58"/>
      <c r="B72" s="55"/>
      <c r="C72" s="56"/>
      <c r="D72" s="56"/>
      <c r="J72" s="55"/>
      <c r="K72" s="55"/>
      <c r="L72" s="55"/>
    </row>
    <row r="73" spans="1:12">
      <c r="A73" s="58"/>
      <c r="B73" s="55"/>
      <c r="C73" s="56"/>
      <c r="D73" s="56"/>
      <c r="J73" s="55"/>
      <c r="K73" s="55"/>
      <c r="L73" s="55"/>
    </row>
    <row r="74" spans="1:12">
      <c r="A74" s="58"/>
      <c r="B74" s="55"/>
      <c r="C74" s="56"/>
      <c r="D74" s="56"/>
      <c r="J74" s="55"/>
      <c r="K74" s="55"/>
      <c r="L74" s="55"/>
    </row>
    <row r="75" spans="1:12">
      <c r="A75" s="58"/>
      <c r="B75" s="55"/>
      <c r="C75" s="56"/>
      <c r="D75" s="56"/>
      <c r="J75" s="55"/>
      <c r="K75" s="55"/>
      <c r="L75" s="55"/>
    </row>
    <row r="76" spans="1:12">
      <c r="A76" s="58"/>
      <c r="B76" s="55"/>
      <c r="C76" s="56"/>
      <c r="D76" s="56"/>
      <c r="J76" s="55"/>
      <c r="K76" s="55"/>
      <c r="L76" s="55"/>
    </row>
    <row r="77" spans="1:12">
      <c r="A77" s="58"/>
      <c r="B77" s="55"/>
      <c r="C77" s="56"/>
      <c r="D77" s="56"/>
      <c r="J77" s="55"/>
      <c r="K77" s="55"/>
      <c r="L77" s="55"/>
    </row>
    <row r="78" spans="1:12">
      <c r="A78" s="58"/>
      <c r="B78" s="55"/>
      <c r="C78" s="56"/>
      <c r="D78" s="56"/>
      <c r="J78" s="55"/>
      <c r="K78" s="55"/>
      <c r="L78" s="55"/>
    </row>
    <row r="79" spans="1:12">
      <c r="A79" s="58"/>
      <c r="B79" s="55"/>
      <c r="C79" s="56"/>
      <c r="D79" s="56"/>
      <c r="J79" s="55"/>
      <c r="K79" s="55"/>
      <c r="L79" s="55"/>
    </row>
    <row r="80" spans="1:12">
      <c r="A80" s="58"/>
      <c r="B80" s="55"/>
      <c r="C80" s="56"/>
      <c r="D80" s="56"/>
      <c r="J80" s="55"/>
      <c r="K80" s="55"/>
      <c r="L80" s="55"/>
    </row>
    <row r="81" spans="1:12">
      <c r="A81" s="58"/>
      <c r="B81" s="55"/>
      <c r="C81" s="56"/>
      <c r="D81" s="56"/>
      <c r="J81" s="55"/>
      <c r="K81" s="55"/>
      <c r="L81" s="55"/>
    </row>
    <row r="82" spans="1:12">
      <c r="A82" s="58"/>
      <c r="B82" s="55"/>
      <c r="C82" s="56"/>
      <c r="D82" s="56"/>
      <c r="J82" s="55"/>
      <c r="K82" s="55"/>
      <c r="L82" s="55"/>
    </row>
    <row r="83" spans="1:12">
      <c r="A83" s="58"/>
      <c r="B83" s="55"/>
      <c r="C83" s="56"/>
      <c r="D83" s="56"/>
      <c r="J83" s="55"/>
      <c r="K83" s="55"/>
      <c r="L83" s="5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8169A055-6880-4B7E-B153-32E81666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2023-01-13T06:38:46Z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