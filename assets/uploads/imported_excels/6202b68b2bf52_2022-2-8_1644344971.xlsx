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<sst xmlns="http://schemas.openxmlformats.org/spreadsheetml/2006/main" count="315" uniqueCount="148">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</sst>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21900.000000000029</v>
      </c>
      <c r="F33" s="17">
        <f t="shared" ref="F33:BC33" si="1">SUM(F2:F32)</f>
        <v>22100.000000000007</v>
      </c>
      <c r="G33" s="17">
        <f t="shared" si="1"/>
        <v>19299.999999999869</v>
      </c>
      <c r="H33" s="17">
        <f t="shared" si="1"/>
        <v>11400.000000000076</v>
      </c>
      <c r="I33" s="17">
        <f t="shared" si="1"/>
        <v>15200.000000000104</v>
      </c>
      <c r="J33" s="17">
        <f t="shared" si="1"/>
        <v>11099.999999999887</v>
      </c>
      <c r="K33" s="17">
        <f t="shared" si="1"/>
        <v>259</v>
      </c>
      <c r="L33" s="17">
        <f t="shared" si="1"/>
        <v>39</v>
      </c>
      <c r="M33" s="17">
        <f t="shared" si="1"/>
        <v>7.4000000000000909</v>
      </c>
      <c r="N33" s="17">
        <f t="shared" si="1"/>
        <v>2966.6000000000349</v>
      </c>
      <c r="O33" s="17">
        <f t="shared" si="1"/>
        <v>3060.0000000000023</v>
      </c>
      <c r="P33" s="17">
        <f t="shared" si="1"/>
        <v>19000.000000000124</v>
      </c>
      <c r="Q33" s="17">
        <f t="shared" si="1"/>
        <v>2590.0000000000318</v>
      </c>
      <c r="R33" s="17">
        <f t="shared" si="1"/>
        <v>4060.0000000000023</v>
      </c>
      <c r="S33" s="17">
        <f t="shared" si="1"/>
        <v>3740.0000000000091</v>
      </c>
      <c r="T33" s="17">
        <f t="shared" si="1"/>
        <v>320</v>
      </c>
      <c r="U33" s="35">
        <f t="shared" si="1"/>
        <v>5490.0000000000091</v>
      </c>
      <c r="V33" s="35">
        <f t="shared" si="1"/>
        <v>1129.9999999999955</v>
      </c>
      <c r="W33" s="35">
        <f t="shared" si="1"/>
        <v>1679.9999999999784</v>
      </c>
      <c r="X33" s="35">
        <f t="shared" si="1"/>
        <v>1539.999999999992</v>
      </c>
      <c r="Y33" s="35">
        <f t="shared" si="1"/>
        <v>1870.0000000000045</v>
      </c>
      <c r="Z33" s="35">
        <f t="shared" si="1"/>
        <v>1530.0000000000296</v>
      </c>
      <c r="AA33" s="35">
        <f t="shared" si="1"/>
        <v>1530.0000000000296</v>
      </c>
      <c r="AB33" s="35">
        <f t="shared" si="1"/>
        <v>1259.9999999999909</v>
      </c>
      <c r="AC33" s="35">
        <f t="shared" si="1"/>
        <v>890.0000000000432</v>
      </c>
      <c r="AD33" s="35">
        <f t="shared" si="1"/>
        <v>1550.0000000000114</v>
      </c>
      <c r="AE33" s="35">
        <f t="shared" si="1"/>
        <v>1160.000000000025</v>
      </c>
      <c r="AF33" s="17">
        <f t="shared" si="1"/>
        <v>289</v>
      </c>
      <c r="AG33" s="32">
        <f t="shared" si="1"/>
        <v>330.00000000001251</v>
      </c>
      <c r="AH33" s="32">
        <f t="shared" si="1"/>
        <v>240.00000000000909</v>
      </c>
      <c r="AI33" s="32">
        <f t="shared" si="1"/>
        <v>349.99999999999432</v>
      </c>
      <c r="AJ33" s="32">
        <f t="shared" si="1"/>
        <v>340.00000000000341</v>
      </c>
      <c r="AK33" s="32">
        <f t="shared" si="1"/>
        <v>430.00000000000682</v>
      </c>
      <c r="AL33" s="32">
        <f t="shared" si="1"/>
        <v>265</v>
      </c>
      <c r="AM33" s="32">
        <f t="shared" si="1"/>
        <v>439.99999999999773</v>
      </c>
      <c r="AN33" s="32">
        <f t="shared" si="1"/>
        <v>272</v>
      </c>
      <c r="AO33" s="32">
        <f t="shared" si="1"/>
        <v>280.00000000000114</v>
      </c>
      <c r="AP33" s="32">
        <f t="shared" si="1"/>
        <v>317</v>
      </c>
      <c r="AQ33" s="17">
        <f t="shared" si="1"/>
        <v>308.09999999999854</v>
      </c>
      <c r="AR33" s="17">
        <f t="shared" si="1"/>
        <v>45.400000000001455</v>
      </c>
      <c r="AS33" s="17">
        <f t="shared" si="1"/>
        <v>36.699999999999818</v>
      </c>
      <c r="AT33" s="17">
        <f t="shared" si="1"/>
        <v>275.80000000000291</v>
      </c>
      <c r="AU33" s="17">
        <f t="shared" si="1"/>
        <v>2046</v>
      </c>
      <c r="AV33" s="17">
        <f t="shared" si="1"/>
        <v>3929.99999999995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32.966999999999992</v>
      </c>
      <c r="BC33" s="17">
        <f t="shared" si="1"/>
        <v>162</v>
      </c>
    </row>
    <row r="35" spans="5:55" x14ac:dyDescent="0.25">
      <c r="E35" s="38">
        <f>E33/E37</f>
        <v>0.28464477891289175</v>
      </c>
      <c r="G35" s="29">
        <f>G33-M36</f>
        <v>16325.999999999834</v>
      </c>
      <c r="AE35" s="35">
        <f>SUM(U33:AE33)</f>
        <v>19630.000000000109</v>
      </c>
      <c r="AG35" s="32">
        <f>SUM(AG33:AP33)</f>
        <v>3264.0000000000246</v>
      </c>
    </row>
    <row r="36" spans="5:55" x14ac:dyDescent="0.25">
      <c r="G36" s="29">
        <f>G35-633*14</f>
        <v>7463.9999999998345</v>
      </c>
      <c r="M36" s="29">
        <f>M33+N33</f>
        <v>2974.000000000035</v>
      </c>
    </row>
    <row r="37" spans="5:55" x14ac:dyDescent="0.25">
      <c r="E37" s="17">
        <f>E33+F33+G33+H33+J33-633*14</f>
        <v>76937.999999999869</v>
      </c>
      <c r="G37" s="37">
        <f>M36/E37</f>
        <v>3.8654501026801319E-2</v>
      </c>
      <c r="M37" s="35">
        <f>AE35</f>
        <v>19630.000000000109</v>
      </c>
    </row>
    <row r="38" spans="5:55" x14ac:dyDescent="0.25">
      <c r="L38" s="27">
        <f>M38/E37</f>
        <v>4.2423769788661393E-2</v>
      </c>
      <c r="M38" s="29">
        <f>AG35</f>
        <v>3264.0000000000246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P1" zoomScale="82" zoomScaleNormal="82" workbookViewId="0">
      <pane ySplit="1" topLeftCell="A2" activePane="bottomLeft" state="frozen"/>
      <selection pane="bottomLeft" activeCell="CE11" sqref="CE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/>
      <c r="D11" s="64" t="str">
        <f t="shared" si="1"/>
        <v>0</v>
      </c>
      <c r="E11" s="58"/>
      <c r="F11" s="64" t="str">
        <f t="shared" si="2"/>
        <v>0</v>
      </c>
      <c r="G11" s="58"/>
      <c r="H11" s="64" t="str">
        <f t="shared" si="3"/>
        <v>0</v>
      </c>
      <c r="I11" s="58"/>
      <c r="J11" s="64" t="str">
        <f t="shared" si="4"/>
        <v>0</v>
      </c>
      <c r="K11" s="58"/>
      <c r="L11" s="64" t="str">
        <f t="shared" si="5"/>
        <v>0</v>
      </c>
      <c r="M11" s="58"/>
      <c r="N11" s="64" t="str">
        <f t="shared" si="6"/>
        <v/>
      </c>
      <c r="O11" s="58"/>
      <c r="P11" s="67" t="str">
        <f t="shared" si="7"/>
        <v/>
      </c>
      <c r="Q11" s="58"/>
      <c r="R11" s="67" t="str">
        <f t="shared" si="8"/>
        <v/>
      </c>
      <c r="S11" s="58"/>
      <c r="T11" s="67" t="str">
        <f t="shared" si="9"/>
        <v/>
      </c>
      <c r="U11" s="58"/>
      <c r="V11" s="67" t="str">
        <f t="shared" si="10"/>
        <v/>
      </c>
      <c r="W11" s="58"/>
      <c r="X11" s="65" t="str">
        <f t="shared" si="11"/>
        <v/>
      </c>
      <c r="Y11" s="58"/>
      <c r="Z11" s="65" t="str">
        <f t="shared" si="12"/>
        <v/>
      </c>
      <c r="AA11" s="58"/>
      <c r="AB11" s="65" t="str">
        <f t="shared" si="13"/>
        <v/>
      </c>
      <c r="AC11" s="58"/>
      <c r="AD11" s="65" t="str">
        <f t="shared" si="14"/>
        <v/>
      </c>
      <c r="AE11" s="58"/>
      <c r="AF11" s="65" t="str">
        <f t="shared" si="15"/>
        <v/>
      </c>
      <c r="AG11" s="58"/>
      <c r="AH11" s="67" t="str">
        <f t="shared" si="16"/>
        <v/>
      </c>
      <c r="AI11" s="58"/>
      <c r="AJ11" s="65" t="str">
        <f t="shared" si="17"/>
        <v/>
      </c>
      <c r="AK11" s="58"/>
      <c r="AL11" s="65" t="str">
        <f t="shared" si="18"/>
        <v/>
      </c>
      <c r="AM11" s="58"/>
      <c r="AN11" s="65" t="str">
        <f t="shared" si="19"/>
        <v/>
      </c>
      <c r="AO11" s="58"/>
      <c r="AP11" s="65" t="str">
        <f t="shared" si="20"/>
        <v/>
      </c>
      <c r="AQ11" s="58"/>
      <c r="AR11" s="65" t="str">
        <f t="shared" si="21"/>
        <v/>
      </c>
      <c r="AS11" s="58"/>
      <c r="AT11" s="65" t="str">
        <f t="shared" si="22"/>
        <v/>
      </c>
      <c r="AU11" s="58"/>
      <c r="AV11" s="65" t="str">
        <f t="shared" si="23"/>
        <v/>
      </c>
      <c r="AW11" s="58"/>
      <c r="AX11" s="65" t="str">
        <f t="shared" si="24"/>
        <v/>
      </c>
      <c r="AY11" s="58"/>
      <c r="AZ11" s="65" t="str">
        <f t="shared" si="25"/>
        <v/>
      </c>
      <c r="BA11" s="58"/>
      <c r="BB11" s="65" t="str">
        <f t="shared" si="26"/>
        <v/>
      </c>
      <c r="BC11" s="58"/>
      <c r="BD11" s="65" t="str">
        <f t="shared" si="27"/>
        <v/>
      </c>
      <c r="BE11" s="59"/>
      <c r="BF11" s="67" t="str">
        <f t="shared" si="28"/>
        <v/>
      </c>
      <c r="BG11" s="60"/>
      <c r="BH11" s="65" t="str">
        <f t="shared" si="29"/>
        <v/>
      </c>
      <c r="BI11" s="60"/>
      <c r="BJ11" s="65" t="str">
        <f t="shared" si="30"/>
        <v/>
      </c>
      <c r="BK11" s="60"/>
      <c r="BL11" s="65" t="str">
        <f t="shared" si="31"/>
        <v/>
      </c>
      <c r="BM11" s="60"/>
      <c r="BN11" s="65" t="str">
        <f t="shared" si="32"/>
        <v/>
      </c>
      <c r="BO11" s="60"/>
      <c r="BP11" s="65" t="str">
        <f t="shared" si="33"/>
        <v/>
      </c>
      <c r="BQ11" s="60"/>
      <c r="BR11" s="65" t="str">
        <f t="shared" si="34"/>
        <v/>
      </c>
      <c r="BS11" s="60"/>
      <c r="BT11" s="65" t="str">
        <f t="shared" si="35"/>
        <v/>
      </c>
      <c r="BU11" s="60"/>
      <c r="BV11" s="65" t="str">
        <f t="shared" si="36"/>
        <v/>
      </c>
      <c r="BW11" s="60"/>
      <c r="BX11" s="65" t="str">
        <f t="shared" si="37"/>
        <v/>
      </c>
      <c r="BY11" s="60"/>
      <c r="BZ11" s="67" t="str">
        <f t="shared" si="38"/>
        <v/>
      </c>
      <c r="CA11" s="60"/>
      <c r="CB11" s="67" t="str">
        <f t="shared" si="39"/>
        <v/>
      </c>
      <c r="CC11" s="60"/>
      <c r="CD11" s="67" t="str">
        <f t="shared" si="40"/>
        <v/>
      </c>
      <c r="CE11" s="60"/>
      <c r="CF11" s="67" t="str">
        <f t="shared" si="41"/>
        <v/>
      </c>
      <c r="CG11" s="60"/>
      <c r="CH11" s="67" t="str">
        <f t="shared" si="42"/>
        <v/>
      </c>
      <c r="CI11" s="60"/>
      <c r="CJ11" s="67" t="str">
        <f t="shared" si="43"/>
        <v/>
      </c>
      <c r="CK11" s="60"/>
      <c r="CL11" s="64" t="str">
        <f t="shared" si="44"/>
        <v/>
      </c>
      <c r="CM11" s="65" t="e">
        <f t="shared" si="45"/>
        <v>#VALUE!</v>
      </c>
      <c r="CN11" s="62"/>
      <c r="CO11" s="62"/>
      <c r="CP11" s="68"/>
      <c r="CQ11" s="67" t="str">
        <f t="shared" si="46"/>
        <v/>
      </c>
      <c r="CR11" s="68"/>
      <c r="CS11" s="67" t="str">
        <f t="shared" si="47"/>
        <v/>
      </c>
      <c r="CT11" s="75"/>
      <c r="CU11" s="67" t="str">
        <f t="shared" si="48"/>
        <v/>
      </c>
      <c r="CV11" s="68"/>
      <c r="CW11" s="67" t="str">
        <f t="shared" si="49"/>
        <v/>
      </c>
      <c r="CX11" s="58"/>
      <c r="CY11" s="67" t="str">
        <f t="shared" si="50"/>
        <v/>
      </c>
    </row>
    <row r="12" spans="1:103" ht="25.5" customHeight="1" thickBot="1" x14ac:dyDescent="0.45">
      <c r="A12" s="63">
        <v>44601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44602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44603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44604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44605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5" sqref="D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-220</v>
      </c>
    </row>
    <row r="16" spans="1:20" x14ac:dyDescent="0.25">
      <c r="A16" s="73">
        <v>44601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44602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44603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44604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2022-02-08T18:29:09Z</dcterms:modified>
</cp:coreProperties>
</file>