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2203" documentId="11_3BED31AB7A40F8CCF12F63B4977459FD7BE6FFE9" xr6:coauthVersionLast="47" xr6:coauthVersionMax="47" xr10:uidLastSave="{5F681E32-E3C5-4361-94E7-16FBE46C4C8B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D38" i="3"/>
  <c r="E38" i="3"/>
  <c r="F38" i="3"/>
  <c r="G38" i="3"/>
  <c r="H38" i="3"/>
  <c r="I38" i="3"/>
  <c r="J38" i="3"/>
  <c r="B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<sst xmlns="http://schemas.openxmlformats.org/spreadsheetml/2006/main" count="103" uniqueCount="31">
  <si>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</si>
  <si>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</si>
  <si>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</si>
  <si>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</si>
  <si>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</si>
  <si>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</si>
  <si>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</si>
  <si>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</si>
  <si>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</si>
  <si>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</si>
  <si>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</si>
  <si>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</si>
  <si>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</si>
  <si>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</si>
  <si>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</si>
  <si>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</si>
  <si>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</si>
  <si>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</si>
  <si>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</si>
  <si>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</si>
  <si>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</si>
  <si>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</si>
  <si>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JULY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</si>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</sst>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F2" sqref="F2:F32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7</v>
      </c>
      <c r="D2" s="12">
        <v>2022</v>
      </c>
      <c r="E2" s="13">
        <f>IF(('DAILY READINGS'!B7-'DAILY READINGS'!B6)&gt;0,('DAILY READINGS'!B7-'DAILY READINGS'!B6),0)</f>
        <v>9224</v>
      </c>
      <c r="F2" s="10">
        <v>0.63</v>
      </c>
      <c r="G2" s="13">
        <f>IF(('DAILY READINGS'!D7-'DAILY READINGS'!D6)+('DAILY READINGS'!E7-'DAILY READINGS'!E6)&gt;0,('DAILY READINGS'!D7-'DAILY READINGS'!D6)+('DAILY READINGS'!E7-'DAILY READINGS'!E6),0)</f>
        <v>231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0</v>
      </c>
      <c r="J2" s="10">
        <v>1.45</v>
      </c>
      <c r="K2" s="13">
        <f>'DAILY READINGS'!K7</f>
        <v>82</v>
      </c>
      <c r="L2" s="8">
        <f>'DAILY READINGS'!L7</f>
        <v>166</v>
      </c>
    </row>
    <row r="3" spans="1:23">
      <c r="A3" s="3" t="s">
        <v>12</v>
      </c>
      <c r="B3" s="11">
        <f t="shared" ref="B3:B32" si="0">B2+1</f>
        <v>2</v>
      </c>
      <c r="C3" s="12">
        <v>7</v>
      </c>
      <c r="D3" s="12">
        <v>2022</v>
      </c>
      <c r="E3" s="13">
        <f>IF(('DAILY READINGS'!B8-'DAILY READINGS'!B7)&gt;0,('DAILY READINGS'!B8-'DAILY READINGS'!B7),0)</f>
        <v>9882</v>
      </c>
      <c r="F3" s="10">
        <v>0.63</v>
      </c>
      <c r="G3" s="13">
        <f>IF(('DAILY READINGS'!D8-'DAILY READINGS'!D7)+('DAILY READINGS'!E8-'DAILY READINGS'!E7)&gt;0,('DAILY READINGS'!D8-'DAILY READINGS'!D7)+('DAILY READINGS'!E8-'DAILY READINGS'!E7),0)</f>
        <v>249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95</v>
      </c>
      <c r="J3" s="10">
        <v>1.45</v>
      </c>
      <c r="K3" s="13">
        <f>'DAILY READINGS'!K8</f>
        <v>102</v>
      </c>
      <c r="L3" s="8">
        <f>'DAILY READINGS'!L8</f>
        <v>205</v>
      </c>
      <c r="M3" s="13"/>
    </row>
    <row r="4" spans="1:23">
      <c r="A4" s="3" t="s">
        <v>12</v>
      </c>
      <c r="B4" s="11">
        <f t="shared" si="0"/>
        <v>3</v>
      </c>
      <c r="C4" s="12">
        <v>7</v>
      </c>
      <c r="D4" s="12">
        <v>2022</v>
      </c>
      <c r="E4" s="13">
        <f>IF(('DAILY READINGS'!B9-'DAILY READINGS'!B8)&gt;0,('DAILY READINGS'!B9-'DAILY READINGS'!B8),0)</f>
        <v>8774</v>
      </c>
      <c r="F4" s="10">
        <v>0.63</v>
      </c>
      <c r="G4" s="13">
        <f>IF(('DAILY READINGS'!D9-'DAILY READINGS'!D8)+('DAILY READINGS'!E9-'DAILY READINGS'!E8)&gt;0,('DAILY READINGS'!D9-'DAILY READINGS'!D8)+('DAILY READINGS'!E9-'DAILY READINGS'!E8),0)</f>
        <v>216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136</v>
      </c>
      <c r="J4" s="10">
        <v>1.45</v>
      </c>
      <c r="K4" s="13">
        <f>'DAILY READINGS'!K9</f>
        <v>90</v>
      </c>
      <c r="L4" s="8">
        <f>'DAILY READINGS'!L9</f>
        <v>189</v>
      </c>
    </row>
    <row r="5" spans="1:23">
      <c r="A5" s="3" t="s">
        <v>12</v>
      </c>
      <c r="B5" s="11">
        <f t="shared" si="0"/>
        <v>4</v>
      </c>
      <c r="C5" s="12">
        <v>7</v>
      </c>
      <c r="D5" s="12">
        <v>2022</v>
      </c>
      <c r="E5" s="13">
        <f>IF(('DAILY READINGS'!B10-'DAILY READINGS'!B9)&gt;0,('DAILY READINGS'!B10-'DAILY READINGS'!B9),0)</f>
        <v>10586</v>
      </c>
      <c r="F5" s="10">
        <v>0.63</v>
      </c>
      <c r="G5" s="13">
        <f>IF(('DAILY READINGS'!D10-'DAILY READINGS'!D9)+('DAILY READINGS'!E10-'DAILY READINGS'!E9)&gt;0,('DAILY READINGS'!D10-'DAILY READINGS'!D9)+('DAILY READINGS'!E10-'DAILY READINGS'!E9),0)</f>
        <v>256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134</v>
      </c>
      <c r="J5" s="10">
        <v>1.45</v>
      </c>
      <c r="K5" s="13">
        <f>'DAILY READINGS'!K10</f>
        <v>95</v>
      </c>
      <c r="L5" s="8">
        <f>'DAILY READINGS'!L10</f>
        <v>196</v>
      </c>
    </row>
    <row r="6" spans="1:23">
      <c r="A6" s="3" t="s">
        <v>12</v>
      </c>
      <c r="B6" s="11">
        <f t="shared" si="0"/>
        <v>5</v>
      </c>
      <c r="C6" s="12">
        <v>7</v>
      </c>
      <c r="D6" s="12">
        <v>2022</v>
      </c>
      <c r="E6" s="13">
        <f>IF(('DAILY READINGS'!B11-'DAILY READINGS'!B10)&gt;0,('DAILY READINGS'!B11-'DAILY READINGS'!B10),0)</f>
        <v>9572</v>
      </c>
      <c r="F6" s="10">
        <v>0.63</v>
      </c>
      <c r="G6" s="13">
        <f>IF(('DAILY READINGS'!D11-'DAILY READINGS'!D10)+('DAILY READINGS'!E11-'DAILY READINGS'!E10)&gt;0,('DAILY READINGS'!D11-'DAILY READINGS'!D10)+('DAILY READINGS'!E11-'DAILY READINGS'!E10),0)</f>
        <v>241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170</v>
      </c>
      <c r="J6" s="10">
        <v>1.45</v>
      </c>
      <c r="K6" s="13">
        <f>'DAILY READINGS'!K11</f>
        <v>87</v>
      </c>
      <c r="L6" s="8">
        <f>'DAILY READINGS'!L11</f>
        <v>181</v>
      </c>
    </row>
    <row r="7" spans="1:23">
      <c r="A7" s="3" t="s">
        <v>12</v>
      </c>
      <c r="B7" s="11">
        <f t="shared" si="0"/>
        <v>6</v>
      </c>
      <c r="C7" s="12">
        <v>7</v>
      </c>
      <c r="D7" s="12">
        <v>2022</v>
      </c>
      <c r="E7" s="13">
        <f>IF(('DAILY READINGS'!B12-'DAILY READINGS'!B11)&gt;0,('DAILY READINGS'!B12-'DAILY READINGS'!B11),0)</f>
        <v>10246</v>
      </c>
      <c r="F7" s="10">
        <v>0.63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99</v>
      </c>
      <c r="J7" s="10">
        <v>1.45</v>
      </c>
      <c r="K7" s="13">
        <f>'DAILY READINGS'!K12</f>
        <v>80</v>
      </c>
      <c r="L7" s="8">
        <f>'DAILY READINGS'!L12</f>
        <v>178</v>
      </c>
    </row>
    <row r="8" spans="1:23">
      <c r="A8" s="3" t="s">
        <v>12</v>
      </c>
      <c r="B8" s="11">
        <f t="shared" si="0"/>
        <v>7</v>
      </c>
      <c r="C8" s="12">
        <v>7</v>
      </c>
      <c r="D8" s="12">
        <v>2022</v>
      </c>
      <c r="E8" s="13">
        <f>IF(('DAILY READINGS'!B13-'DAILY READINGS'!B12)&gt;0,('DAILY READINGS'!B13-'DAILY READINGS'!B12),0)</f>
        <v>9724</v>
      </c>
      <c r="F8" s="10">
        <v>0.63</v>
      </c>
      <c r="G8" s="13">
        <f>IF(('DAILY READINGS'!D13-'DAILY READINGS'!D12)+('DAILY READINGS'!E13-'DAILY READINGS'!E12)&gt;0,('DAILY READINGS'!D13-'DAILY READINGS'!D12)+('DAILY READINGS'!E13-'DAILY READINGS'!E12),0)</f>
        <v>223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162</v>
      </c>
      <c r="J8" s="10">
        <v>1.45</v>
      </c>
      <c r="K8" s="13">
        <f>'DAILY READINGS'!K13</f>
        <v>97</v>
      </c>
      <c r="L8" s="8">
        <f>'DAILY READINGS'!L13</f>
        <v>197</v>
      </c>
    </row>
    <row r="9" spans="1:23">
      <c r="A9" s="3" t="s">
        <v>12</v>
      </c>
      <c r="B9" s="11">
        <f t="shared" si="0"/>
        <v>8</v>
      </c>
      <c r="C9" s="12">
        <v>7</v>
      </c>
      <c r="D9" s="12">
        <v>2022</v>
      </c>
      <c r="E9" s="13">
        <f>IF(('DAILY READINGS'!B14-'DAILY READINGS'!B13)&gt;0,('DAILY READINGS'!B14-'DAILY READINGS'!B13),0)</f>
        <v>10442</v>
      </c>
      <c r="F9" s="10">
        <v>0.63</v>
      </c>
      <c r="G9" s="13">
        <f>IF(('DAILY READINGS'!D14-'DAILY READINGS'!D13)+('DAILY READINGS'!E14-'DAILY READINGS'!E13)&gt;0,('DAILY READINGS'!D14-'DAILY READINGS'!D13)+('DAILY READINGS'!E14-'DAILY READINGS'!E13),0)</f>
        <v>247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70</v>
      </c>
      <c r="J9" s="10">
        <v>1.45</v>
      </c>
      <c r="K9" s="13">
        <f>'DAILY READINGS'!K14</f>
        <v>105</v>
      </c>
      <c r="L9" s="8">
        <f>'DAILY READINGS'!L14</f>
        <v>214</v>
      </c>
    </row>
    <row r="10" spans="1:23">
      <c r="A10" s="3" t="s">
        <v>12</v>
      </c>
      <c r="B10" s="11">
        <f t="shared" si="0"/>
        <v>9</v>
      </c>
      <c r="C10" s="12">
        <v>7</v>
      </c>
      <c r="D10" s="12">
        <v>2022</v>
      </c>
      <c r="E10" s="13">
        <f>IF(('DAILY READINGS'!B15-'DAILY READINGS'!B14)&gt;0,('DAILY READINGS'!B15-'DAILY READINGS'!B14),0)</f>
        <v>8338</v>
      </c>
      <c r="F10" s="10">
        <v>0.63</v>
      </c>
      <c r="G10" s="13">
        <f>IF(('DAILY READINGS'!D15-'DAILY READINGS'!D14)+('DAILY READINGS'!E15-'DAILY READINGS'!E14)&gt;0,('DAILY READINGS'!D15-'DAILY READINGS'!D14)+('DAILY READINGS'!E15-'DAILY READINGS'!E14),0)</f>
        <v>258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165</v>
      </c>
      <c r="J10" s="10">
        <v>1.45</v>
      </c>
      <c r="K10" s="13">
        <f>'DAILY READINGS'!K15</f>
        <v>102</v>
      </c>
      <c r="L10" s="8">
        <f>'DAILY READINGS'!L15</f>
        <v>207</v>
      </c>
    </row>
    <row r="11" spans="1:23">
      <c r="A11" s="3" t="s">
        <v>12</v>
      </c>
      <c r="B11" s="11">
        <f t="shared" si="0"/>
        <v>10</v>
      </c>
      <c r="C11" s="12">
        <v>7</v>
      </c>
      <c r="D11" s="12">
        <v>2022</v>
      </c>
      <c r="E11" s="13">
        <f>IF(('DAILY READINGS'!B16-'DAILY READINGS'!B15)&gt;0,('DAILY READINGS'!B16-'DAILY READINGS'!B15),0)</f>
        <v>10084</v>
      </c>
      <c r="F11" s="10">
        <v>0.63</v>
      </c>
      <c r="G11" s="13">
        <f>IF(('DAILY READINGS'!D16-'DAILY READINGS'!D15)+('DAILY READINGS'!E16-'DAILY READINGS'!E15)&gt;0,('DAILY READINGS'!D16-'DAILY READINGS'!D15)+('DAILY READINGS'!E16-'DAILY READINGS'!E15),0)</f>
        <v>279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174</v>
      </c>
      <c r="J11" s="10">
        <v>1.45</v>
      </c>
      <c r="K11" s="13">
        <f>'DAILY READINGS'!K16</f>
        <v>101</v>
      </c>
      <c r="L11" s="8">
        <f>'DAILY READINGS'!L16</f>
        <v>206</v>
      </c>
    </row>
    <row r="12" spans="1:23">
      <c r="A12" s="3" t="s">
        <v>12</v>
      </c>
      <c r="B12" s="11">
        <f t="shared" si="0"/>
        <v>11</v>
      </c>
      <c r="C12" s="12">
        <v>7</v>
      </c>
      <c r="D12" s="12">
        <v>2022</v>
      </c>
      <c r="E12" s="13">
        <f>IF(('DAILY READINGS'!B17-'DAILY READINGS'!B16)&gt;0,('DAILY READINGS'!B17-'DAILY READINGS'!B16),0)</f>
        <v>8608</v>
      </c>
      <c r="F12" s="10">
        <v>0.63</v>
      </c>
      <c r="G12" s="13">
        <f>IF(('DAILY READINGS'!D17-'DAILY READINGS'!D16)+('DAILY READINGS'!E17-'DAILY READINGS'!E16)&gt;0,('DAILY READINGS'!D17-'DAILY READINGS'!D16)+('DAILY READINGS'!E17-'DAILY READINGS'!E16),0)</f>
        <v>241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162</v>
      </c>
      <c r="J12" s="10">
        <v>1.45</v>
      </c>
      <c r="K12" s="13">
        <f>'DAILY READINGS'!K17</f>
        <v>98</v>
      </c>
      <c r="L12" s="8">
        <f>'DAILY READINGS'!L17</f>
        <v>192</v>
      </c>
    </row>
    <row r="13" spans="1:23">
      <c r="A13" s="3" t="s">
        <v>12</v>
      </c>
      <c r="B13" s="11">
        <f t="shared" si="0"/>
        <v>12</v>
      </c>
      <c r="C13" s="12">
        <v>7</v>
      </c>
      <c r="D13" s="12">
        <v>2022</v>
      </c>
      <c r="E13" s="13">
        <f>IF(('DAILY READINGS'!B18-'DAILY READINGS'!B17)&gt;0,('DAILY READINGS'!B18-'DAILY READINGS'!B17),0)</f>
        <v>9346</v>
      </c>
      <c r="F13" s="10">
        <v>0.63</v>
      </c>
      <c r="G13" s="13">
        <f>IF(('DAILY READINGS'!D18-'DAILY READINGS'!D17)+('DAILY READINGS'!E18-'DAILY READINGS'!E17)&gt;0,('DAILY READINGS'!D18-'DAILY READINGS'!D17)+('DAILY READINGS'!E18-'DAILY READINGS'!E17),0)</f>
        <v>255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202</v>
      </c>
      <c r="J13" s="10">
        <v>1.45</v>
      </c>
      <c r="K13" s="13">
        <f>'DAILY READINGS'!K18</f>
        <v>93</v>
      </c>
      <c r="L13" s="8">
        <f>'DAILY READINGS'!L18</f>
        <v>182</v>
      </c>
    </row>
    <row r="14" spans="1:23">
      <c r="A14" s="3" t="s">
        <v>12</v>
      </c>
      <c r="B14" s="11">
        <f t="shared" si="0"/>
        <v>13</v>
      </c>
      <c r="C14" s="12">
        <v>7</v>
      </c>
      <c r="D14" s="12">
        <v>2022</v>
      </c>
      <c r="E14" s="13">
        <f>IF(('DAILY READINGS'!B19-'DAILY READINGS'!B18)&gt;0,('DAILY READINGS'!B19-'DAILY READINGS'!B18),0)</f>
        <v>9076</v>
      </c>
      <c r="F14" s="10">
        <v>0.63</v>
      </c>
      <c r="G14" s="13">
        <f>IF(('DAILY READINGS'!D19-'DAILY READINGS'!D18)+('DAILY READINGS'!E19-'DAILY READINGS'!E18)&gt;0,('DAILY READINGS'!D19-'DAILY READINGS'!D18)+('DAILY READINGS'!E19-'DAILY READINGS'!E18),0)</f>
        <v>232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42</v>
      </c>
      <c r="J14" s="10">
        <v>1.45</v>
      </c>
      <c r="K14" s="13">
        <v>82</v>
      </c>
      <c r="L14" s="8">
        <f>'DAILY READINGS'!L19</f>
        <v>156</v>
      </c>
    </row>
    <row r="15" spans="1:23">
      <c r="A15" s="3" t="s">
        <v>12</v>
      </c>
      <c r="B15" s="11">
        <f t="shared" si="0"/>
        <v>14</v>
      </c>
      <c r="C15" s="12">
        <v>7</v>
      </c>
      <c r="D15" s="12">
        <v>2022</v>
      </c>
      <c r="E15" s="13">
        <f>IF(('DAILY READINGS'!B20-'DAILY READINGS'!B19)&gt;0,('DAILY READINGS'!B20-'DAILY READINGS'!B19),0)</f>
        <v>8814</v>
      </c>
      <c r="F15" s="10">
        <v>0.63</v>
      </c>
      <c r="G15" s="13">
        <f>IF(('DAILY READINGS'!D20-'DAILY READINGS'!D19)+('DAILY READINGS'!E20-'DAILY READINGS'!E19)&gt;0,('DAILY READINGS'!D20-'DAILY READINGS'!D19)+('DAILY READINGS'!E20-'DAILY READINGS'!E19),0)</f>
        <v>225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120</v>
      </c>
      <c r="J15" s="10">
        <v>1.45</v>
      </c>
      <c r="K15" s="13">
        <f>'DAILY READINGS'!K20</f>
        <v>81</v>
      </c>
      <c r="L15" s="8">
        <f>'DAILY READINGS'!L20</f>
        <v>160</v>
      </c>
    </row>
    <row r="16" spans="1:23">
      <c r="A16" s="3" t="s">
        <v>12</v>
      </c>
      <c r="B16" s="11">
        <f t="shared" si="0"/>
        <v>15</v>
      </c>
      <c r="C16" s="12">
        <v>7</v>
      </c>
      <c r="D16" s="12">
        <v>2022</v>
      </c>
      <c r="E16" s="13">
        <f>IF(('DAILY READINGS'!B21-'DAILY READINGS'!B20)&gt;0,('DAILY READINGS'!B21-'DAILY READINGS'!B20),0)</f>
        <v>7890</v>
      </c>
      <c r="F16" s="10">
        <v>0.63</v>
      </c>
      <c r="G16" s="13">
        <f>IF(('DAILY READINGS'!D21-'DAILY READINGS'!D20)+('DAILY READINGS'!E21-'DAILY READINGS'!E20)&gt;0,('DAILY READINGS'!D21-'DAILY READINGS'!D20)+('DAILY READINGS'!E21-'DAILY READINGS'!E20),0)</f>
        <v>218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156</v>
      </c>
      <c r="J16" s="10">
        <v>1.45</v>
      </c>
      <c r="K16" s="13">
        <f>'DAILY READINGS'!K21</f>
        <v>77</v>
      </c>
      <c r="L16" s="8">
        <f>'DAILY READINGS'!L21</f>
        <v>152</v>
      </c>
    </row>
    <row r="17" spans="1:12">
      <c r="A17" s="3" t="s">
        <v>12</v>
      </c>
      <c r="B17" s="11">
        <f t="shared" si="0"/>
        <v>16</v>
      </c>
      <c r="C17" s="12">
        <v>7</v>
      </c>
      <c r="D17" s="12">
        <v>2022</v>
      </c>
      <c r="E17" s="13">
        <f>IF(('DAILY READINGS'!B22-'DAILY READINGS'!B21)&gt;0,('DAILY READINGS'!B22-'DAILY READINGS'!B21),0)</f>
        <v>8662</v>
      </c>
      <c r="F17" s="10">
        <v>0.63</v>
      </c>
      <c r="G17" s="13">
        <f>IF(('DAILY READINGS'!D22-'DAILY READINGS'!D21)+('DAILY READINGS'!E22-'DAILY READINGS'!E21)&gt;0,('DAILY READINGS'!D22-'DAILY READINGS'!D21)+('DAILY READINGS'!E22-'DAILY READINGS'!E21),0)</f>
        <v>237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58</v>
      </c>
      <c r="J17" s="10">
        <v>1.45</v>
      </c>
      <c r="K17" s="13">
        <f>'DAILY READINGS'!K22</f>
        <v>85</v>
      </c>
      <c r="L17" s="8">
        <f>'DAILY READINGS'!L22</f>
        <v>177</v>
      </c>
    </row>
    <row r="18" spans="1:12">
      <c r="A18" s="3" t="s">
        <v>12</v>
      </c>
      <c r="B18" s="11">
        <f t="shared" si="0"/>
        <v>17</v>
      </c>
      <c r="C18" s="12">
        <v>7</v>
      </c>
      <c r="D18" s="12">
        <v>2022</v>
      </c>
      <c r="E18" s="13">
        <f>IF(('DAILY READINGS'!B23-'DAILY READINGS'!B22)&gt;0,('DAILY READINGS'!B23-'DAILY READINGS'!B22),0)</f>
        <v>9412</v>
      </c>
      <c r="F18" s="10">
        <v>0.63</v>
      </c>
      <c r="G18" s="13">
        <f>IF(('DAILY READINGS'!D23-'DAILY READINGS'!D22)+('DAILY READINGS'!E23-'DAILY READINGS'!E22)&gt;0,('DAILY READINGS'!D23-'DAILY READINGS'!D22)+('DAILY READINGS'!E23-'DAILY READINGS'!E22),0)</f>
        <v>255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167</v>
      </c>
      <c r="J18" s="10">
        <v>1.45</v>
      </c>
      <c r="K18" s="13">
        <f>'DAILY READINGS'!K23</f>
        <v>81</v>
      </c>
      <c r="L18" s="8">
        <f>'DAILY READINGS'!L23</f>
        <v>169</v>
      </c>
    </row>
    <row r="19" spans="1:12">
      <c r="A19" s="3" t="s">
        <v>12</v>
      </c>
      <c r="B19" s="11">
        <f t="shared" si="0"/>
        <v>18</v>
      </c>
      <c r="C19" s="12">
        <v>7</v>
      </c>
      <c r="D19" s="12">
        <v>2022</v>
      </c>
      <c r="E19" s="13">
        <f>IF(('DAILY READINGS'!B24-'DAILY READINGS'!B23)&gt;0,('DAILY READINGS'!B24-'DAILY READINGS'!B23),0)</f>
        <v>9504</v>
      </c>
      <c r="F19" s="10">
        <v>0.63</v>
      </c>
      <c r="G19" s="13">
        <f>IF(('DAILY READINGS'!D24-'DAILY READINGS'!D23)+('DAILY READINGS'!E24-'DAILY READINGS'!E23)&gt;0,('DAILY READINGS'!D24-'DAILY READINGS'!D23)+('DAILY READINGS'!E24-'DAILY READINGS'!E23),0)</f>
        <v>223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138</v>
      </c>
      <c r="J19" s="10">
        <v>1.45</v>
      </c>
      <c r="K19" s="13">
        <f>'DAILY READINGS'!K24</f>
        <v>78</v>
      </c>
      <c r="L19" s="8">
        <f>'DAILY READINGS'!L24</f>
        <v>160</v>
      </c>
    </row>
    <row r="20" spans="1:12">
      <c r="A20" s="3" t="s">
        <v>12</v>
      </c>
      <c r="B20" s="11">
        <f t="shared" si="0"/>
        <v>19</v>
      </c>
      <c r="C20" s="12">
        <v>7</v>
      </c>
      <c r="D20" s="12">
        <v>2022</v>
      </c>
      <c r="E20" s="13">
        <f>IF(('DAILY READINGS'!B25-'DAILY READINGS'!B24)&gt;0,('DAILY READINGS'!B25-'DAILY READINGS'!B24),0)</f>
        <v>9316</v>
      </c>
      <c r="F20" s="10">
        <v>0.63</v>
      </c>
      <c r="G20" s="13">
        <f>IF(('DAILY READINGS'!D25-'DAILY READINGS'!D24)+('DAILY READINGS'!E25-'DAILY READINGS'!E24)&gt;0,('DAILY READINGS'!D25-'DAILY READINGS'!D24)+('DAILY READINGS'!E25-'DAILY READINGS'!E24),0)</f>
        <v>245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175</v>
      </c>
      <c r="J20" s="10">
        <v>1.45</v>
      </c>
      <c r="K20" s="13">
        <f>'DAILY READINGS'!K25</f>
        <v>75</v>
      </c>
      <c r="L20" s="8">
        <f>'DAILY READINGS'!L25</f>
        <v>154</v>
      </c>
    </row>
    <row r="21" spans="1:12">
      <c r="A21" s="3" t="s">
        <v>12</v>
      </c>
      <c r="B21" s="11">
        <f t="shared" si="0"/>
        <v>20</v>
      </c>
      <c r="C21" s="12">
        <v>7</v>
      </c>
      <c r="D21" s="12">
        <v>2022</v>
      </c>
      <c r="E21" s="13">
        <f>IF(('DAILY READINGS'!B26-'DAILY READINGS'!B25)&gt;0,('DAILY READINGS'!B26-'DAILY READINGS'!B25),0)</f>
        <v>9486</v>
      </c>
      <c r="F21" s="10">
        <v>0.63</v>
      </c>
      <c r="G21" s="13">
        <f>IF(('DAILY READINGS'!D26-'DAILY READINGS'!D25)+('DAILY READINGS'!E26-'DAILY READINGS'!E25)&gt;0,('DAILY READINGS'!D26-'DAILY READINGS'!D25)+('DAILY READINGS'!E26-'DAILY READINGS'!E25),0)</f>
        <v>248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220</v>
      </c>
      <c r="J21" s="10">
        <v>1.45</v>
      </c>
      <c r="K21" s="13">
        <f>'DAILY READINGS'!K26</f>
        <v>77</v>
      </c>
      <c r="L21" s="8">
        <f>'DAILY READINGS'!L26</f>
        <v>151</v>
      </c>
    </row>
    <row r="22" spans="1:12">
      <c r="A22" s="3" t="s">
        <v>12</v>
      </c>
      <c r="B22" s="11">
        <f t="shared" si="0"/>
        <v>21</v>
      </c>
      <c r="C22" s="12">
        <v>7</v>
      </c>
      <c r="D22" s="12">
        <v>2022</v>
      </c>
      <c r="E22" s="13">
        <f>IF(('DAILY READINGS'!B27-'DAILY READINGS'!B26)&gt;0,('DAILY READINGS'!B27-'DAILY READINGS'!B26),0)</f>
        <v>18728</v>
      </c>
      <c r="F22" s="10">
        <v>0.63</v>
      </c>
      <c r="G22" s="13">
        <f>IF(('DAILY READINGS'!D27-'DAILY READINGS'!D26)+('DAILY READINGS'!E27-'DAILY READINGS'!E26)&gt;0,('DAILY READINGS'!D27-'DAILY READINGS'!D26)+('DAILY READINGS'!E27-'DAILY READINGS'!E26),0)</f>
        <v>502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85</v>
      </c>
      <c r="J22" s="10">
        <v>1.45</v>
      </c>
      <c r="K22" s="13">
        <f>'DAILY READINGS'!K27</f>
        <v>91</v>
      </c>
      <c r="L22" s="8">
        <f>'DAILY READINGS'!L27</f>
        <v>186</v>
      </c>
    </row>
    <row r="23" spans="1:12">
      <c r="A23" s="3" t="s">
        <v>12</v>
      </c>
      <c r="B23" s="11">
        <f t="shared" si="0"/>
        <v>22</v>
      </c>
      <c r="C23" s="12">
        <v>7</v>
      </c>
      <c r="D23" s="12">
        <v>2022</v>
      </c>
      <c r="E23" s="13">
        <f>IF(('DAILY READINGS'!B28-'DAILY READINGS'!B27)&gt;0,('DAILY READINGS'!B28-'DAILY READINGS'!B27),0)</f>
        <v>9322</v>
      </c>
      <c r="F23" s="10">
        <v>0.63</v>
      </c>
      <c r="G23" s="13">
        <f>IF(('DAILY READINGS'!D28-'DAILY READINGS'!D27)+('DAILY READINGS'!E28-'DAILY READINGS'!E27)&gt;0,('DAILY READINGS'!D28-'DAILY READINGS'!D27)+('DAILY READINGS'!E28-'DAILY READINGS'!E27),0)</f>
        <v>230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215</v>
      </c>
      <c r="J23" s="10">
        <v>1.45</v>
      </c>
      <c r="K23" s="13">
        <f>'DAILY READINGS'!K28</f>
        <v>81</v>
      </c>
      <c r="L23" s="8">
        <f>'DAILY READINGS'!L28</f>
        <v>168</v>
      </c>
    </row>
    <row r="24" spans="1:12">
      <c r="A24" s="3" t="s">
        <v>12</v>
      </c>
      <c r="B24" s="11">
        <f t="shared" si="0"/>
        <v>23</v>
      </c>
      <c r="C24" s="12">
        <v>7</v>
      </c>
      <c r="D24" s="12">
        <v>2022</v>
      </c>
      <c r="E24" s="13">
        <f>IF(('DAILY READINGS'!B29-'DAILY READINGS'!B28)&gt;0,('DAILY READINGS'!B29-'DAILY READINGS'!B28),0)</f>
        <v>10148</v>
      </c>
      <c r="F24" s="10">
        <v>0.63</v>
      </c>
      <c r="G24" s="13">
        <f>IF(('DAILY READINGS'!D29-'DAILY READINGS'!D28)+('DAILY READINGS'!E29-'DAILY READINGS'!E28)&gt;0,('DAILY READINGS'!D29-'DAILY READINGS'!D28)+('DAILY READINGS'!E29-'DAILY READINGS'!E28),0)</f>
        <v>241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222</v>
      </c>
      <c r="J24" s="10">
        <v>1.45</v>
      </c>
      <c r="K24" s="13">
        <f>'DAILY READINGS'!K29</f>
        <v>90</v>
      </c>
      <c r="L24" s="8">
        <f>'DAILY READINGS'!L29</f>
        <v>183</v>
      </c>
    </row>
    <row r="25" spans="1:12">
      <c r="A25" s="3" t="s">
        <v>12</v>
      </c>
      <c r="B25" s="11">
        <f t="shared" si="0"/>
        <v>24</v>
      </c>
      <c r="C25" s="12">
        <v>7</v>
      </c>
      <c r="D25" s="12">
        <v>2022</v>
      </c>
      <c r="E25" s="13">
        <f>IF(('DAILY READINGS'!B30-'DAILY READINGS'!B29)&gt;0,('DAILY READINGS'!B30-'DAILY READINGS'!B29),0)</f>
        <v>2002</v>
      </c>
      <c r="F25" s="10">
        <v>0.63</v>
      </c>
      <c r="G25" s="13">
        <f>IF(('DAILY READINGS'!D30-'DAILY READINGS'!D29)+('DAILY READINGS'!E30-'DAILY READINGS'!E29)&gt;0,('DAILY READINGS'!D30-'DAILY READINGS'!D29)+('DAILY READINGS'!E30-'DAILY READINGS'!E29),0)</f>
        <v>91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116</v>
      </c>
      <c r="J25" s="10">
        <v>1.45</v>
      </c>
      <c r="K25" s="13">
        <f>'DAILY READINGS'!K30</f>
        <v>82</v>
      </c>
      <c r="L25" s="8">
        <f>'DAILY READINGS'!L30</f>
        <v>172</v>
      </c>
    </row>
    <row r="26" spans="1:12">
      <c r="A26" s="3" t="s">
        <v>12</v>
      </c>
      <c r="B26" s="11">
        <f t="shared" si="0"/>
        <v>25</v>
      </c>
      <c r="C26" s="12">
        <v>7</v>
      </c>
      <c r="D26" s="12">
        <v>2022</v>
      </c>
      <c r="E26" s="13">
        <f>IF(('DAILY READINGS'!B31-'DAILY READINGS'!B30)&gt;0,('DAILY READINGS'!B31-'DAILY READINGS'!B30),0)</f>
        <v>3978</v>
      </c>
      <c r="F26" s="10">
        <v>0.63</v>
      </c>
      <c r="G26" s="13">
        <f>IF(('DAILY READINGS'!D31-'DAILY READINGS'!D30)+('DAILY READINGS'!E31-'DAILY READINGS'!E30)&gt;0,('DAILY READINGS'!D31-'DAILY READINGS'!D30)+('DAILY READINGS'!E31-'DAILY READINGS'!E30),0)</f>
        <v>132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43</v>
      </c>
      <c r="J26" s="10">
        <v>1.45</v>
      </c>
      <c r="K26" s="13">
        <f>'DAILY READINGS'!K31</f>
        <v>73</v>
      </c>
      <c r="L26" s="8">
        <f>'DAILY READINGS'!L31</f>
        <v>146</v>
      </c>
    </row>
    <row r="27" spans="1:12">
      <c r="A27" s="3" t="s">
        <v>12</v>
      </c>
      <c r="B27" s="11">
        <f t="shared" si="0"/>
        <v>26</v>
      </c>
      <c r="C27" s="12">
        <v>7</v>
      </c>
      <c r="D27" s="12">
        <v>2022</v>
      </c>
      <c r="E27" s="13">
        <f>IF(('DAILY READINGS'!B32-'DAILY READINGS'!B31)&gt;0,('DAILY READINGS'!B32-'DAILY READINGS'!B31),0)</f>
        <v>13038</v>
      </c>
      <c r="F27" s="10">
        <v>0.63</v>
      </c>
      <c r="G27" s="13">
        <f>IF(('DAILY READINGS'!D32-'DAILY READINGS'!D31)+('DAILY READINGS'!E32-'DAILY READINGS'!E31)&gt;0,('DAILY READINGS'!D32-'DAILY READINGS'!D31)+('DAILY READINGS'!E32-'DAILY READINGS'!E31),0)</f>
        <v>218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80</v>
      </c>
      <c r="J27" s="10">
        <v>1.45</v>
      </c>
      <c r="K27" s="13">
        <f>'DAILY READINGS'!K32</f>
        <v>71</v>
      </c>
      <c r="L27" s="8">
        <f>'DAILY READINGS'!L32</f>
        <v>143</v>
      </c>
    </row>
    <row r="28" spans="1:12">
      <c r="A28" s="3" t="s">
        <v>12</v>
      </c>
      <c r="B28" s="11">
        <f t="shared" si="0"/>
        <v>27</v>
      </c>
      <c r="C28" s="12">
        <v>7</v>
      </c>
      <c r="D28" s="12">
        <v>2022</v>
      </c>
      <c r="E28" s="13">
        <f>IF(('DAILY READINGS'!B33-'DAILY READINGS'!B32)&gt;0,('DAILY READINGS'!B33-'DAILY READINGS'!B32),0)</f>
        <v>10166</v>
      </c>
      <c r="F28" s="10">
        <v>0.63</v>
      </c>
      <c r="G28" s="13">
        <f>IF(('DAILY READINGS'!D33-'DAILY READINGS'!D32)+('DAILY READINGS'!E33-'DAILY READINGS'!E32)&gt;0,('DAILY READINGS'!D33-'DAILY READINGS'!D32)+('DAILY READINGS'!E33-'DAILY READINGS'!E32),0)</f>
        <v>204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141</v>
      </c>
      <c r="J28" s="10">
        <v>1.45</v>
      </c>
      <c r="K28" s="13">
        <f>'DAILY READINGS'!K33</f>
        <v>62</v>
      </c>
      <c r="L28" s="8">
        <f>'DAILY READINGS'!L33</f>
        <v>126</v>
      </c>
    </row>
    <row r="29" spans="1:12">
      <c r="A29" s="3" t="s">
        <v>12</v>
      </c>
      <c r="B29" s="11">
        <f t="shared" si="0"/>
        <v>28</v>
      </c>
      <c r="C29" s="12">
        <v>7</v>
      </c>
      <c r="D29" s="12">
        <v>2022</v>
      </c>
      <c r="E29" s="13">
        <f>IF(('DAILY READINGS'!B34-'DAILY READINGS'!B33)&gt;0,('DAILY READINGS'!B34-'DAILY READINGS'!B33),0)</f>
        <v>10150</v>
      </c>
      <c r="F29" s="10">
        <v>0.63</v>
      </c>
      <c r="G29" s="13">
        <f>IF(('DAILY READINGS'!D34-'DAILY READINGS'!D33)+('DAILY READINGS'!E34-'DAILY READINGS'!E33)&gt;0,('DAILY READINGS'!D34-'DAILY READINGS'!D33)+('DAILY READINGS'!E34-'DAILY READINGS'!E33),0)</f>
        <v>226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88</v>
      </c>
      <c r="J29" s="10">
        <v>1.45</v>
      </c>
      <c r="K29" s="13">
        <f>'DAILY READINGS'!K34</f>
        <v>67</v>
      </c>
      <c r="L29" s="8">
        <f>'DAILY READINGS'!L34</f>
        <v>128</v>
      </c>
    </row>
    <row r="30" spans="1:12">
      <c r="A30" s="3" t="s">
        <v>12</v>
      </c>
      <c r="B30" s="11">
        <f t="shared" si="0"/>
        <v>29</v>
      </c>
      <c r="C30" s="12">
        <v>7</v>
      </c>
      <c r="D30" s="12">
        <v>2022</v>
      </c>
      <c r="E30" s="13">
        <f>IF(('DAILY READINGS'!B35-'DAILY READINGS'!B34)&gt;0,('DAILY READINGS'!B35-'DAILY READINGS'!B34),0)</f>
        <v>9419</v>
      </c>
      <c r="F30" s="10">
        <v>0.63</v>
      </c>
      <c r="G30" s="13">
        <f>IF(('DAILY READINGS'!D35-'DAILY READINGS'!D34)+('DAILY READINGS'!E35-'DAILY READINGS'!E34)&gt;0,('DAILY READINGS'!D35-'DAILY READINGS'!D34)+('DAILY READINGS'!E35-'DAILY READINGS'!E34),0)</f>
        <v>214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64</v>
      </c>
      <c r="J30" s="10">
        <v>1.45</v>
      </c>
      <c r="K30" s="13">
        <f>'DAILY READINGS'!K35</f>
        <v>89</v>
      </c>
      <c r="L30" s="8">
        <f>'DAILY READINGS'!L35</f>
        <v>168</v>
      </c>
    </row>
    <row r="31" spans="1:12">
      <c r="A31" s="3" t="s">
        <v>12</v>
      </c>
      <c r="B31" s="11">
        <f t="shared" si="0"/>
        <v>30</v>
      </c>
      <c r="C31" s="12">
        <v>7</v>
      </c>
      <c r="D31" s="12">
        <v>2022</v>
      </c>
      <c r="E31" s="13">
        <f>IF(('DAILY READINGS'!B36-'DAILY READINGS'!B35)&gt;0,('DAILY READINGS'!B36-'DAILY READINGS'!B35),0)</f>
        <v>8401</v>
      </c>
      <c r="F31" s="10">
        <v>0.63</v>
      </c>
      <c r="G31" s="13">
        <f>IF(('DAILY READINGS'!D36-'DAILY READINGS'!D35)+('DAILY READINGS'!E36-'DAILY READINGS'!E35)&gt;0,('DAILY READINGS'!D36-'DAILY READINGS'!D35)+('DAILY READINGS'!E36-'DAILY READINGS'!E35),0)</f>
        <v>205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70</v>
      </c>
      <c r="J31" s="10">
        <v>1.45</v>
      </c>
      <c r="K31" s="13">
        <f>'DAILY READINGS'!K36</f>
        <v>88</v>
      </c>
      <c r="L31" s="8">
        <f>'DAILY READINGS'!L36</f>
        <v>162</v>
      </c>
    </row>
    <row r="32" spans="1:12">
      <c r="A32" s="3" t="s">
        <v>12</v>
      </c>
      <c r="B32" s="11">
        <f t="shared" si="0"/>
        <v>31</v>
      </c>
      <c r="C32" s="12">
        <v>7</v>
      </c>
      <c r="D32" s="12">
        <v>2022</v>
      </c>
      <c r="E32" s="13">
        <f>IF(('DAILY READINGS'!B37-'DAILY READINGS'!B36)&gt;0,('DAILY READINGS'!B37-'DAILY READINGS'!B36),0)</f>
        <v>9802</v>
      </c>
      <c r="F32" s="10">
        <v>0.63</v>
      </c>
      <c r="G32" s="13">
        <f>IF(('DAILY READINGS'!D37-'DAILY READINGS'!D36)+('DAILY READINGS'!E37-'DAILY READINGS'!E36)&gt;0,('DAILY READINGS'!D37-'DAILY READINGS'!D36)+('DAILY READINGS'!E37-'DAILY READINGS'!E36),0)</f>
        <v>213</v>
      </c>
      <c r="H32" s="10">
        <v>1.3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56</v>
      </c>
      <c r="J32" s="10">
        <v>1.45</v>
      </c>
      <c r="K32" s="13">
        <f>'DAILY READINGS'!K37</f>
        <v>88</v>
      </c>
      <c r="L32" s="8">
        <f>'DAILY READINGS'!L37</f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L23" sqref="L23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7</v>
      </c>
      <c r="D2" s="22">
        <v>2022</v>
      </c>
      <c r="E2" s="13">
        <f>IF(('DAILY READINGS'!B7-'DAILY READINGS'!B6)&gt;0,('DAILY READINGS'!B7-'DAILY READINGS'!B6),0)</f>
        <v>9224</v>
      </c>
      <c r="F2" s="13">
        <f>IF(('DAILY READINGS'!D7-'DAILY READINGS'!D6)&gt;0,('DAILY READINGS'!D7-'DAILY READINGS'!D6),0)</f>
        <v>100</v>
      </c>
      <c r="G2" s="13">
        <f>IF(('DAILY READINGS'!E7-'DAILY READINGS'!E6)&gt;0,('DAILY READINGS'!E7-'DAILY READINGS'!E6),0)</f>
        <v>131</v>
      </c>
      <c r="H2" s="13">
        <f>IF(('DAILY READINGS'!F7-'DAILY READINGS'!F6)&gt;0,('DAILY READINGS'!F7-'DAILY READINGS'!F6),0)</f>
        <v>3</v>
      </c>
      <c r="I2" s="13">
        <f>IF(('DAILY READINGS'!G7-'DAILY READINGS'!G6)&gt;0,('DAILY READINGS'!G7-'DAILY READINGS'!G6),0)</f>
        <v>0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79</v>
      </c>
      <c r="M2" s="13">
        <f>'DAILY READINGS'!K7</f>
        <v>82</v>
      </c>
      <c r="N2" s="8">
        <f>'DAILY READINGS'!L7</f>
        <v>166</v>
      </c>
    </row>
    <row r="3" spans="1:14">
      <c r="A3" s="8" t="s">
        <v>12</v>
      </c>
      <c r="B3" s="22">
        <f>B2+1</f>
        <v>2</v>
      </c>
      <c r="C3" s="22">
        <v>7</v>
      </c>
      <c r="D3" s="22">
        <v>2022</v>
      </c>
      <c r="E3" s="13">
        <f>IF(('DAILY READINGS'!B8-'DAILY READINGS'!B7)&gt;0,('DAILY READINGS'!B8-'DAILY READINGS'!B7),0)</f>
        <v>9882</v>
      </c>
      <c r="F3" s="13">
        <f>IF(('DAILY READINGS'!D8-'DAILY READINGS'!D7)&gt;0,('DAILY READINGS'!D8-'DAILY READINGS'!D7),0)</f>
        <v>103</v>
      </c>
      <c r="G3" s="13">
        <f>IF(('DAILY READINGS'!E8-'DAILY READINGS'!E7)&gt;0,('DAILY READINGS'!E8-'DAILY READINGS'!E7),0)</f>
        <v>146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53</v>
      </c>
      <c r="M3" s="13">
        <f>'DAILY READINGS'!K8</f>
        <v>102</v>
      </c>
      <c r="N3" s="8">
        <f>'DAILY READINGS'!L8</f>
        <v>205</v>
      </c>
    </row>
    <row r="4" spans="1:14">
      <c r="A4" s="8" t="s">
        <v>12</v>
      </c>
      <c r="B4" s="22">
        <f t="shared" ref="B4:B32" si="0">B3+1</f>
        <v>3</v>
      </c>
      <c r="C4" s="22">
        <v>7</v>
      </c>
      <c r="D4" s="22">
        <v>2022</v>
      </c>
      <c r="E4" s="13">
        <f>IF(('DAILY READINGS'!B9-'DAILY READINGS'!B8)&gt;0,('DAILY READINGS'!B9-'DAILY READINGS'!B8),0)</f>
        <v>8774</v>
      </c>
      <c r="F4" s="13">
        <f>IF(('DAILY READINGS'!D9-'DAILY READINGS'!D8)&gt;0,('DAILY READINGS'!D9-'DAILY READINGS'!D8),0)</f>
        <v>91</v>
      </c>
      <c r="G4" s="13">
        <f>IF(('DAILY READINGS'!E9-'DAILY READINGS'!E8)&gt;0,('DAILY READINGS'!E9-'DAILY READINGS'!E8),0)</f>
        <v>125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37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1</v>
      </c>
      <c r="L4" s="13">
        <f>IF(('DAILY READINGS'!J9-'DAILY READINGS'!J8)&gt;0,('DAILY READINGS'!J9-'DAILY READINGS'!J8),0)</f>
        <v>98</v>
      </c>
      <c r="M4" s="13">
        <f>'DAILY READINGS'!K9</f>
        <v>90</v>
      </c>
      <c r="N4" s="8">
        <f>'DAILY READINGS'!L9</f>
        <v>189</v>
      </c>
    </row>
    <row r="5" spans="1:14">
      <c r="A5" s="8" t="s">
        <v>12</v>
      </c>
      <c r="B5" s="22">
        <f t="shared" si="0"/>
        <v>4</v>
      </c>
      <c r="C5" s="22">
        <v>7</v>
      </c>
      <c r="D5" s="22">
        <v>2022</v>
      </c>
      <c r="E5" s="13">
        <f>IF(('DAILY READINGS'!B10-'DAILY READINGS'!B9)&gt;0,('DAILY READINGS'!B10-'DAILY READINGS'!B9),0)</f>
        <v>10586</v>
      </c>
      <c r="F5" s="13">
        <f>IF(('DAILY READINGS'!D10-'DAILY READINGS'!D9)&gt;0,('DAILY READINGS'!D10-'DAILY READINGS'!D9),0)</f>
        <v>109</v>
      </c>
      <c r="G5" s="13">
        <f>IF(('DAILY READINGS'!E10-'DAILY READINGS'!E9)&gt;0,('DAILY READINGS'!E10-'DAILY READINGS'!E9),0)</f>
        <v>147</v>
      </c>
      <c r="H5" s="13">
        <f>IF(('DAILY READINGS'!F10-'DAILY READINGS'!F9)&gt;0,('DAILY READINGS'!F10-'DAILY READINGS'!F9),0)</f>
        <v>3</v>
      </c>
      <c r="I5" s="13">
        <f>IF(('DAILY READINGS'!G10-'DAILY READINGS'!G9)&gt;0,('DAILY READINGS'!G10-'DAILY READINGS'!G9),0)</f>
        <v>41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95</v>
      </c>
      <c r="N5" s="8">
        <f>'DAILY READINGS'!L10</f>
        <v>196</v>
      </c>
    </row>
    <row r="6" spans="1:14">
      <c r="A6" s="8" t="s">
        <v>12</v>
      </c>
      <c r="B6" s="22">
        <f t="shared" si="0"/>
        <v>5</v>
      </c>
      <c r="C6" s="22">
        <v>7</v>
      </c>
      <c r="D6" s="22">
        <v>2022</v>
      </c>
      <c r="E6" s="13">
        <f>IF(('DAILY READINGS'!B11-'DAILY READINGS'!B10)&gt;0,('DAILY READINGS'!B11-'DAILY READINGS'!B10),0)</f>
        <v>9572</v>
      </c>
      <c r="F6" s="13">
        <f>IF(('DAILY READINGS'!D11-'DAILY READINGS'!D10)&gt;0,('DAILY READINGS'!D11-'DAILY READINGS'!D10),0)</f>
        <v>102</v>
      </c>
      <c r="G6" s="13">
        <f>IF(('DAILY READINGS'!E11-'DAILY READINGS'!E10)&gt;0,('DAILY READINGS'!E11-'DAILY READINGS'!E10),0)</f>
        <v>139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49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119</v>
      </c>
      <c r="M6" s="13">
        <f>'DAILY READINGS'!K11</f>
        <v>87</v>
      </c>
      <c r="N6" s="8">
        <f>'DAILY READINGS'!L11</f>
        <v>181</v>
      </c>
    </row>
    <row r="7" spans="1:14">
      <c r="A7" s="8" t="s">
        <v>12</v>
      </c>
      <c r="B7" s="22">
        <f t="shared" si="0"/>
        <v>6</v>
      </c>
      <c r="C7" s="22">
        <v>7</v>
      </c>
      <c r="D7" s="22">
        <v>2022</v>
      </c>
      <c r="E7" s="13">
        <f>IF(('DAILY READINGS'!B12-'DAILY READINGS'!B11)&gt;0,('DAILY READINGS'!B12-'DAILY READINGS'!B11),0)</f>
        <v>10246</v>
      </c>
      <c r="F7" s="13">
        <f>IF(('DAILY READINGS'!D12-'DAILY READINGS'!D11)&gt;0,('DAILY READINGS'!D12-'DAILY READINGS'!D11),0)</f>
        <v>102</v>
      </c>
      <c r="G7" s="13">
        <f>IF(('DAILY READINGS'!E12-'DAILY READINGS'!E11)&gt;0,('DAILY READINGS'!E12-'DAILY READINGS'!E11),0)</f>
        <v>137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38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1</v>
      </c>
      <c r="L7" s="13">
        <f>IF(('DAILY READINGS'!J12-'DAILY READINGS'!J11)&gt;0,('DAILY READINGS'!J12-'DAILY READINGS'!J11),0)</f>
        <v>59</v>
      </c>
      <c r="M7" s="13">
        <f>'DAILY READINGS'!K12</f>
        <v>80</v>
      </c>
      <c r="N7" s="8">
        <f>'DAILY READINGS'!L12</f>
        <v>178</v>
      </c>
    </row>
    <row r="8" spans="1:14">
      <c r="A8" s="8" t="s">
        <v>12</v>
      </c>
      <c r="B8" s="22">
        <f t="shared" si="0"/>
        <v>7</v>
      </c>
      <c r="C8" s="22">
        <v>7</v>
      </c>
      <c r="D8" s="22">
        <v>2022</v>
      </c>
      <c r="E8" s="13">
        <f>IF(('DAILY READINGS'!B13-'DAILY READINGS'!B12)&gt;0,('DAILY READINGS'!B13-'DAILY READINGS'!B12),0)</f>
        <v>9724</v>
      </c>
      <c r="F8" s="13">
        <f>IF(('DAILY READINGS'!D13-'DAILY READINGS'!D12)&gt;0,('DAILY READINGS'!D13-'DAILY READINGS'!D12),0)</f>
        <v>93</v>
      </c>
      <c r="G8" s="13">
        <f>IF(('DAILY READINGS'!E13-'DAILY READINGS'!E12)&gt;0,('DAILY READINGS'!E13-'DAILY READINGS'!E12),0)</f>
        <v>130</v>
      </c>
      <c r="H8" s="13">
        <f>IF(('DAILY READINGS'!F13-'DAILY READINGS'!F12)&gt;0,('DAILY READINGS'!F13-'DAILY READINGS'!F12),0)</f>
        <v>2</v>
      </c>
      <c r="I8" s="13">
        <f>IF(('DAILY READINGS'!G13-'DAILY READINGS'!G12)&gt;0,('DAILY READINGS'!G13-'DAILY READINGS'!G12),0)</f>
        <v>48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2</v>
      </c>
      <c r="L8" s="13">
        <f>IF(('DAILY READINGS'!J13-'DAILY READINGS'!J12)&gt;0,('DAILY READINGS'!J13-'DAILY READINGS'!J12),0)</f>
        <v>110</v>
      </c>
      <c r="M8" s="13">
        <f>'DAILY READINGS'!K13</f>
        <v>97</v>
      </c>
      <c r="N8" s="8">
        <f>'DAILY READINGS'!L13</f>
        <v>197</v>
      </c>
    </row>
    <row r="9" spans="1:14">
      <c r="A9" s="8" t="s">
        <v>12</v>
      </c>
      <c r="B9" s="22">
        <f t="shared" si="0"/>
        <v>8</v>
      </c>
      <c r="C9" s="22">
        <v>7</v>
      </c>
      <c r="D9" s="22">
        <v>2022</v>
      </c>
      <c r="E9" s="13">
        <f>IF(('DAILY READINGS'!B14-'DAILY READINGS'!B13)&gt;0,('DAILY READINGS'!B14-'DAILY READINGS'!B13),0)</f>
        <v>10442</v>
      </c>
      <c r="F9" s="13">
        <f>IF(('DAILY READINGS'!D14-'DAILY READINGS'!D13)&gt;0,('DAILY READINGS'!D14-'DAILY READINGS'!D13),0)</f>
        <v>95</v>
      </c>
      <c r="G9" s="13">
        <f>IF(('DAILY READINGS'!E14-'DAILY READINGS'!E13)&gt;0,('DAILY READINGS'!E14-'DAILY READINGS'!E13),0)</f>
        <v>152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38</v>
      </c>
      <c r="M9" s="13">
        <f>'DAILY READINGS'!K14</f>
        <v>105</v>
      </c>
      <c r="N9" s="8">
        <f>'DAILY READINGS'!L14</f>
        <v>214</v>
      </c>
    </row>
    <row r="10" spans="1:14">
      <c r="A10" s="8" t="s">
        <v>12</v>
      </c>
      <c r="B10" s="22">
        <f t="shared" si="0"/>
        <v>9</v>
      </c>
      <c r="C10" s="22">
        <v>7</v>
      </c>
      <c r="D10" s="22">
        <v>2022</v>
      </c>
      <c r="E10" s="13">
        <f>IF(('DAILY READINGS'!B15-'DAILY READINGS'!B14)&gt;0,('DAILY READINGS'!B15-'DAILY READINGS'!B14),0)</f>
        <v>8338</v>
      </c>
      <c r="F10" s="13">
        <f>IF(('DAILY READINGS'!D15-'DAILY READINGS'!D14)&gt;0,('DAILY READINGS'!D15-'DAILY READINGS'!D14),0)</f>
        <v>103</v>
      </c>
      <c r="G10" s="13">
        <f>IF(('DAILY READINGS'!E15-'DAILY READINGS'!E14)&gt;0,('DAILY READINGS'!E15-'DAILY READINGS'!E14),0)</f>
        <v>155</v>
      </c>
      <c r="H10" s="13">
        <f>IF(('DAILY READINGS'!F15-'DAILY READINGS'!F14)&gt;0,('DAILY READINGS'!F15-'DAILY READINGS'!F14),0)</f>
        <v>3</v>
      </c>
      <c r="I10" s="13">
        <f>IF(('DAILY READINGS'!G15-'DAILY READINGS'!G14)&gt;0,('DAILY READINGS'!G15-'DAILY READINGS'!G14),0)</f>
        <v>34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22</v>
      </c>
      <c r="L10" s="13">
        <f>IF(('DAILY READINGS'!J15-'DAILY READINGS'!J14)&gt;0,('DAILY READINGS'!J15-'DAILY READINGS'!J14),0)</f>
        <v>106</v>
      </c>
      <c r="M10" s="13">
        <f>'DAILY READINGS'!K15</f>
        <v>102</v>
      </c>
      <c r="N10" s="8">
        <f>'DAILY READINGS'!L15</f>
        <v>207</v>
      </c>
    </row>
    <row r="11" spans="1:14">
      <c r="A11" s="8" t="s">
        <v>12</v>
      </c>
      <c r="B11" s="22">
        <f t="shared" si="0"/>
        <v>10</v>
      </c>
      <c r="C11" s="22">
        <v>7</v>
      </c>
      <c r="D11" s="22">
        <v>2022</v>
      </c>
      <c r="E11" s="13">
        <f>IF(('DAILY READINGS'!B16-'DAILY READINGS'!B15)&gt;0,('DAILY READINGS'!B16-'DAILY READINGS'!B15),0)</f>
        <v>10084</v>
      </c>
      <c r="F11" s="13">
        <f>IF(('DAILY READINGS'!D16-'DAILY READINGS'!D15)&gt;0,('DAILY READINGS'!D16-'DAILY READINGS'!D15),0)</f>
        <v>107</v>
      </c>
      <c r="G11" s="13">
        <f>IF(('DAILY READINGS'!E16-'DAILY READINGS'!E15)&gt;0,('DAILY READINGS'!E16-'DAILY READINGS'!E15),0)</f>
        <v>172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49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37</v>
      </c>
      <c r="L11" s="13">
        <f>IF(('DAILY READINGS'!J16-'DAILY READINGS'!J15)&gt;0,('DAILY READINGS'!J16-'DAILY READINGS'!J15),0)</f>
        <v>88</v>
      </c>
      <c r="M11" s="13">
        <f>'DAILY READINGS'!K16</f>
        <v>101</v>
      </c>
      <c r="N11" s="8">
        <f>'DAILY READINGS'!L16</f>
        <v>206</v>
      </c>
    </row>
    <row r="12" spans="1:14">
      <c r="A12" s="8" t="s">
        <v>12</v>
      </c>
      <c r="B12" s="22">
        <f t="shared" si="0"/>
        <v>11</v>
      </c>
      <c r="C12" s="22">
        <v>7</v>
      </c>
      <c r="D12" s="22">
        <v>2022</v>
      </c>
      <c r="E12" s="13">
        <f>IF(('DAILY READINGS'!B17-'DAILY READINGS'!B16)&gt;0,('DAILY READINGS'!B17-'DAILY READINGS'!B16),0)</f>
        <v>8608</v>
      </c>
      <c r="F12" s="13">
        <f>IF(('DAILY READINGS'!D17-'DAILY READINGS'!D16)&gt;0,('DAILY READINGS'!D17-'DAILY READINGS'!D16),0)</f>
        <v>89</v>
      </c>
      <c r="G12" s="13">
        <f>IF(('DAILY READINGS'!E17-'DAILY READINGS'!E16)&gt;0,('DAILY READINGS'!E17-'DAILY READINGS'!E16),0)</f>
        <v>152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40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36</v>
      </c>
      <c r="L12" s="13">
        <f>IF(('DAILY READINGS'!J17-'DAILY READINGS'!J16)&gt;0,('DAILY READINGS'!J17-'DAILY READINGS'!J16),0)</f>
        <v>85</v>
      </c>
      <c r="M12" s="13">
        <f>'DAILY READINGS'!K17</f>
        <v>98</v>
      </c>
      <c r="N12" s="8">
        <f>'DAILY READINGS'!L17</f>
        <v>192</v>
      </c>
    </row>
    <row r="13" spans="1:14">
      <c r="A13" s="8" t="s">
        <v>12</v>
      </c>
      <c r="B13" s="22">
        <f t="shared" si="0"/>
        <v>12</v>
      </c>
      <c r="C13" s="22">
        <v>7</v>
      </c>
      <c r="D13" s="22">
        <v>2022</v>
      </c>
      <c r="E13" s="13">
        <f>IF(('DAILY READINGS'!B18-'DAILY READINGS'!B17)&gt;0,('DAILY READINGS'!B18-'DAILY READINGS'!B17),0)</f>
        <v>9346</v>
      </c>
      <c r="F13" s="13">
        <f>IF(('DAILY READINGS'!D18-'DAILY READINGS'!D17)&gt;0,('DAILY READINGS'!D18-'DAILY READINGS'!D17),0)</f>
        <v>94</v>
      </c>
      <c r="G13" s="13">
        <f>IF(('DAILY READINGS'!E18-'DAILY READINGS'!E17)&gt;0,('DAILY READINGS'!E18-'DAILY READINGS'!E17),0)</f>
        <v>161</v>
      </c>
      <c r="H13" s="13">
        <f>IF(('DAILY READINGS'!F18-'DAILY READINGS'!F17)&gt;0,('DAILY READINGS'!F18-'DAILY READINGS'!F17),0)</f>
        <v>3</v>
      </c>
      <c r="I13" s="13">
        <f>IF(('DAILY READINGS'!G18-'DAILY READINGS'!G17)&gt;0,('DAILY READINGS'!G18-'DAILY READINGS'!G17),0)</f>
        <v>57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14</v>
      </c>
      <c r="L13" s="13">
        <f>IF(('DAILY READINGS'!J18-'DAILY READINGS'!J17)&gt;0,('DAILY READINGS'!J18-'DAILY READINGS'!J17),0)</f>
        <v>128</v>
      </c>
      <c r="M13" s="13">
        <f>'DAILY READINGS'!K18</f>
        <v>93</v>
      </c>
      <c r="N13" s="8">
        <f>'DAILY READINGS'!L18</f>
        <v>182</v>
      </c>
    </row>
    <row r="14" spans="1:14">
      <c r="A14" s="8" t="s">
        <v>12</v>
      </c>
      <c r="B14" s="22">
        <f t="shared" si="0"/>
        <v>13</v>
      </c>
      <c r="C14" s="22">
        <v>7</v>
      </c>
      <c r="D14" s="22">
        <v>2022</v>
      </c>
      <c r="E14" s="13">
        <f>IF(('DAILY READINGS'!B19-'DAILY READINGS'!B18)&gt;0,('DAILY READINGS'!B19-'DAILY READINGS'!B18),0)</f>
        <v>9076</v>
      </c>
      <c r="F14" s="13">
        <f>IF(('DAILY READINGS'!D19-'DAILY READINGS'!D18)&gt;0,('DAILY READINGS'!D19-'DAILY READINGS'!D18),0)</f>
        <v>83</v>
      </c>
      <c r="G14" s="13">
        <f>IF(('DAILY READINGS'!E19-'DAILY READINGS'!E18)&gt;0,('DAILY READINGS'!E19-'DAILY READINGS'!E18),0)</f>
        <v>149</v>
      </c>
      <c r="H14" s="13">
        <f>IF(('DAILY READINGS'!F19-'DAILY READINGS'!F18)&gt;0,('DAILY READINGS'!F19-'DAILY READINGS'!F18),0)</f>
        <v>1</v>
      </c>
      <c r="I14" s="13">
        <f>IF(('DAILY READINGS'!G19-'DAILY READINGS'!G18)&gt;0,('DAILY READINGS'!G19-'DAILY READINGS'!G18),0)</f>
        <v>9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1</v>
      </c>
      <c r="L14" s="13">
        <f>IF(('DAILY READINGS'!J19-'DAILY READINGS'!J18)&gt;0,('DAILY READINGS'!J19-'DAILY READINGS'!J18),0)</f>
        <v>31</v>
      </c>
      <c r="M14" s="13">
        <f>'DAILY READINGS'!K19</f>
        <v>79</v>
      </c>
      <c r="N14" s="8">
        <f>'DAILY READINGS'!L19</f>
        <v>156</v>
      </c>
    </row>
    <row r="15" spans="1:14">
      <c r="A15" s="8" t="s">
        <v>12</v>
      </c>
      <c r="B15" s="22">
        <f t="shared" si="0"/>
        <v>14</v>
      </c>
      <c r="C15" s="22">
        <v>7</v>
      </c>
      <c r="D15" s="22">
        <v>2022</v>
      </c>
      <c r="E15" s="13">
        <f>IF(('DAILY READINGS'!B20-'DAILY READINGS'!B19)&gt;0,('DAILY READINGS'!B20-'DAILY READINGS'!B19),0)</f>
        <v>8814</v>
      </c>
      <c r="F15" s="13">
        <f>IF(('DAILY READINGS'!D20-'DAILY READINGS'!D19)&gt;0,('DAILY READINGS'!D20-'DAILY READINGS'!D19),0)</f>
        <v>84</v>
      </c>
      <c r="G15" s="13">
        <f>IF(('DAILY READINGS'!E20-'DAILY READINGS'!E19)&gt;0,('DAILY READINGS'!E20-'DAILY READINGS'!E19),0)</f>
        <v>141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37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81</v>
      </c>
      <c r="M15" s="13">
        <f>'DAILY READINGS'!K20</f>
        <v>81</v>
      </c>
      <c r="N15" s="8">
        <f>'DAILY READINGS'!L20</f>
        <v>160</v>
      </c>
    </row>
    <row r="16" spans="1:14">
      <c r="A16" s="8" t="s">
        <v>12</v>
      </c>
      <c r="B16" s="22">
        <f t="shared" si="0"/>
        <v>15</v>
      </c>
      <c r="C16" s="22">
        <v>7</v>
      </c>
      <c r="D16" s="22">
        <v>2022</v>
      </c>
      <c r="E16" s="13">
        <f>IF(('DAILY READINGS'!B21-'DAILY READINGS'!B20)&gt;0,('DAILY READINGS'!B21-'DAILY READINGS'!B20),0)</f>
        <v>7890</v>
      </c>
      <c r="F16" s="13">
        <f>IF(('DAILY READINGS'!D21-'DAILY READINGS'!D20)&gt;0,('DAILY READINGS'!D21-'DAILY READINGS'!D20),0)</f>
        <v>79</v>
      </c>
      <c r="G16" s="13">
        <f>IF(('DAILY READINGS'!E21-'DAILY READINGS'!E20)&gt;0,('DAILY READINGS'!E21-'DAILY READINGS'!E20),0)</f>
        <v>139</v>
      </c>
      <c r="H16" s="13">
        <f>IF(('DAILY READINGS'!F21-'DAILY READINGS'!F20)&gt;0,('DAILY READINGS'!F21-'DAILY READINGS'!F20),0)</f>
        <v>2</v>
      </c>
      <c r="I16" s="13">
        <f>IF(('DAILY READINGS'!G21-'DAILY READINGS'!G20)&gt;0,('DAILY READINGS'!G21-'DAILY READINGS'!G20),0)</f>
        <v>60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93</v>
      </c>
      <c r="M16" s="13">
        <f>'DAILY READINGS'!K21</f>
        <v>77</v>
      </c>
      <c r="N16" s="8">
        <f>'DAILY READINGS'!L21</f>
        <v>152</v>
      </c>
    </row>
    <row r="17" spans="1:14">
      <c r="A17" s="8" t="s">
        <v>12</v>
      </c>
      <c r="B17" s="22">
        <f t="shared" si="0"/>
        <v>16</v>
      </c>
      <c r="C17" s="22">
        <v>7</v>
      </c>
      <c r="D17" s="22">
        <v>2022</v>
      </c>
      <c r="E17" s="13">
        <f>IF(('DAILY READINGS'!B22-'DAILY READINGS'!B21)&gt;0,('DAILY READINGS'!B22-'DAILY READINGS'!B21),0)</f>
        <v>8662</v>
      </c>
      <c r="F17" s="13">
        <f>IF(('DAILY READINGS'!D22-'DAILY READINGS'!D21)&gt;0,('DAILY READINGS'!D22-'DAILY READINGS'!D21),0)</f>
        <v>82</v>
      </c>
      <c r="G17" s="13">
        <f>IF(('DAILY READINGS'!E22-'DAILY READINGS'!E21)&gt;0,('DAILY READINGS'!E22-'DAILY READINGS'!E21),0)</f>
        <v>155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23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35</v>
      </c>
      <c r="M17" s="13">
        <f>'DAILY READINGS'!K22</f>
        <v>85</v>
      </c>
      <c r="N17" s="8">
        <f>'DAILY READINGS'!L22</f>
        <v>177</v>
      </c>
    </row>
    <row r="18" spans="1:14">
      <c r="A18" s="8" t="s">
        <v>12</v>
      </c>
      <c r="B18" s="22">
        <f t="shared" si="0"/>
        <v>17</v>
      </c>
      <c r="C18" s="22">
        <v>7</v>
      </c>
      <c r="D18" s="22">
        <v>2022</v>
      </c>
      <c r="E18" s="13">
        <f>IF(('DAILY READINGS'!B23-'DAILY READINGS'!B22)&gt;0,('DAILY READINGS'!B23-'DAILY READINGS'!B22),0)</f>
        <v>9412</v>
      </c>
      <c r="F18" s="13">
        <f>IF(('DAILY READINGS'!D23-'DAILY READINGS'!D22)&gt;0,('DAILY READINGS'!D23-'DAILY READINGS'!D22),0)</f>
        <v>98</v>
      </c>
      <c r="G18" s="13">
        <f>IF(('DAILY READINGS'!E23-'DAILY READINGS'!E22)&gt;0,('DAILY READINGS'!E23-'DAILY READINGS'!E22),0)</f>
        <v>157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61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103</v>
      </c>
      <c r="M18" s="13">
        <f>'DAILY READINGS'!K23</f>
        <v>81</v>
      </c>
      <c r="N18" s="8">
        <f>'DAILY READINGS'!L23</f>
        <v>169</v>
      </c>
    </row>
    <row r="19" spans="1:14">
      <c r="A19" s="8" t="s">
        <v>12</v>
      </c>
      <c r="B19" s="22">
        <f t="shared" si="0"/>
        <v>18</v>
      </c>
      <c r="C19" s="22">
        <v>7</v>
      </c>
      <c r="D19" s="22">
        <v>2022</v>
      </c>
      <c r="E19" s="13">
        <f>IF(('DAILY READINGS'!B24-'DAILY READINGS'!B23)&gt;0,('DAILY READINGS'!B24-'DAILY READINGS'!B23),0)</f>
        <v>9504</v>
      </c>
      <c r="F19" s="13">
        <f>IF(('DAILY READINGS'!D24-'DAILY READINGS'!D23)&gt;0,('DAILY READINGS'!D24-'DAILY READINGS'!D23),0)</f>
        <v>79</v>
      </c>
      <c r="G19" s="13">
        <f>IF(('DAILY READINGS'!E24-'DAILY READINGS'!E23)&gt;0,('DAILY READINGS'!E24-'DAILY READINGS'!E23),0)</f>
        <v>144</v>
      </c>
      <c r="H19" s="13">
        <f>IF(('DAILY READINGS'!F24-'DAILY READINGS'!F23)&gt;0,('DAILY READINGS'!F24-'DAILY READINGS'!F23),0)</f>
        <v>2</v>
      </c>
      <c r="I19" s="13">
        <f>IF(('DAILY READINGS'!G24-'DAILY READINGS'!G23)&gt;0,('DAILY READINGS'!G24-'DAILY READINGS'!G23),0)</f>
        <v>54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81</v>
      </c>
      <c r="M19" s="13">
        <f>'DAILY READINGS'!K24</f>
        <v>78</v>
      </c>
      <c r="N19" s="8">
        <f>'DAILY READINGS'!L24</f>
        <v>160</v>
      </c>
    </row>
    <row r="20" spans="1:14">
      <c r="A20" s="8" t="s">
        <v>12</v>
      </c>
      <c r="B20" s="22">
        <f t="shared" si="0"/>
        <v>19</v>
      </c>
      <c r="C20" s="22">
        <v>7</v>
      </c>
      <c r="D20" s="22">
        <v>2022</v>
      </c>
      <c r="E20" s="13">
        <f>IF(('DAILY READINGS'!B25-'DAILY READINGS'!B24)&gt;0,('DAILY READINGS'!B25-'DAILY READINGS'!B24),0)</f>
        <v>9316</v>
      </c>
      <c r="F20" s="13">
        <f>IF(('DAILY READINGS'!D25-'DAILY READINGS'!D24)&gt;0,('DAILY READINGS'!D25-'DAILY READINGS'!D24),0)</f>
        <v>97</v>
      </c>
      <c r="G20" s="13">
        <f>IF(('DAILY READINGS'!E25-'DAILY READINGS'!E24)&gt;0,('DAILY READINGS'!E25-'DAILY READINGS'!E24),0)</f>
        <v>148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75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119</v>
      </c>
      <c r="M20" s="13">
        <f>'DAILY READINGS'!K25</f>
        <v>75</v>
      </c>
      <c r="N20" s="8">
        <f>'DAILY READINGS'!L25</f>
        <v>154</v>
      </c>
    </row>
    <row r="21" spans="1:14">
      <c r="A21" s="8" t="s">
        <v>12</v>
      </c>
      <c r="B21" s="22">
        <f t="shared" si="0"/>
        <v>20</v>
      </c>
      <c r="C21" s="22">
        <v>7</v>
      </c>
      <c r="D21" s="22">
        <v>2022</v>
      </c>
      <c r="E21" s="13">
        <f>IF(('DAILY READINGS'!B26-'DAILY READINGS'!B25)&gt;0,('DAILY READINGS'!B26-'DAILY READINGS'!B25),0)</f>
        <v>9486</v>
      </c>
      <c r="F21" s="13">
        <f>IF(('DAILY READINGS'!D26-'DAILY READINGS'!D25)&gt;0,('DAILY READINGS'!D26-'DAILY READINGS'!D25),0)</f>
        <v>96</v>
      </c>
      <c r="G21" s="13">
        <f>IF(('DAILY READINGS'!E26-'DAILY READINGS'!E25)&gt;0,('DAILY READINGS'!E26-'DAILY READINGS'!E25),0)</f>
        <v>152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74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21</v>
      </c>
      <c r="L21" s="13">
        <f>IF(('DAILY READINGS'!J26-'DAILY READINGS'!J25)&gt;0,('DAILY READINGS'!J26-'DAILY READINGS'!J25),0)</f>
        <v>125</v>
      </c>
      <c r="M21" s="13">
        <f>'DAILY READINGS'!K26</f>
        <v>77</v>
      </c>
      <c r="N21" s="8">
        <f>'DAILY READINGS'!L26</f>
        <v>151</v>
      </c>
    </row>
    <row r="22" spans="1:14">
      <c r="A22" s="8" t="s">
        <v>12</v>
      </c>
      <c r="B22" s="22">
        <f t="shared" si="0"/>
        <v>21</v>
      </c>
      <c r="C22" s="22">
        <v>7</v>
      </c>
      <c r="D22" s="22">
        <v>2022</v>
      </c>
      <c r="E22" s="13">
        <f>IF(('DAILY READINGS'!B27-'DAILY READINGS'!B26)&gt;0,('DAILY READINGS'!B27-'DAILY READINGS'!B26),0)</f>
        <v>18728</v>
      </c>
      <c r="F22" s="13">
        <f>IF(('DAILY READINGS'!D27-'DAILY READINGS'!D26)&gt;0,('DAILY READINGS'!D27-'DAILY READINGS'!D26),0)</f>
        <v>193</v>
      </c>
      <c r="G22" s="13">
        <f>IF(('DAILY READINGS'!E27-'DAILY READINGS'!E26)&gt;0,('DAILY READINGS'!E27-'DAILY READINGS'!E26),0)</f>
        <v>309</v>
      </c>
      <c r="H22" s="13">
        <f>IF(('DAILY READINGS'!F27-'DAILY READINGS'!F26)&gt;0,('DAILY READINGS'!F27-'DAILY READINGS'!F26),0)</f>
        <v>4</v>
      </c>
      <c r="I22" s="13">
        <f>IF(('DAILY READINGS'!G27-'DAILY READINGS'!G26)&gt;0,('DAILY READINGS'!G27-'DAILY READINGS'!G26),0)</f>
        <v>26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55</v>
      </c>
      <c r="M22" s="13">
        <f>'DAILY READINGS'!K27</f>
        <v>91</v>
      </c>
      <c r="N22" s="8">
        <f>'DAILY READINGS'!L27</f>
        <v>186</v>
      </c>
    </row>
    <row r="23" spans="1:14">
      <c r="A23" s="8" t="s">
        <v>12</v>
      </c>
      <c r="B23" s="22">
        <f t="shared" si="0"/>
        <v>22</v>
      </c>
      <c r="C23" s="22">
        <v>7</v>
      </c>
      <c r="D23" s="22">
        <v>2022</v>
      </c>
      <c r="E23" s="13">
        <f>IF(('DAILY READINGS'!B28-'DAILY READINGS'!B27)&gt;0,('DAILY READINGS'!B28-'DAILY READINGS'!B27),0)</f>
        <v>9322</v>
      </c>
      <c r="F23" s="13">
        <f>IF(('DAILY READINGS'!D28-'DAILY READINGS'!D27)&gt;0,('DAILY READINGS'!D28-'DAILY READINGS'!D27),0)</f>
        <v>86</v>
      </c>
      <c r="G23" s="13">
        <f>IF(('DAILY READINGS'!E28-'DAILY READINGS'!E27)&gt;0,('DAILY READINGS'!E28-'DAILY READINGS'!E27),0)</f>
        <v>144</v>
      </c>
      <c r="H23" s="13">
        <f>IF(('DAILY READINGS'!F28-'DAILY READINGS'!F27)&gt;0,('DAILY READINGS'!F28-'DAILY READINGS'!F27),0)</f>
        <v>0</v>
      </c>
      <c r="I23" s="13">
        <f>IF(('DAILY READINGS'!G28-'DAILY READINGS'!G27)&gt;0,('DAILY READINGS'!G28-'DAILY READINGS'!G27),0)</f>
        <v>115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99</v>
      </c>
      <c r="M23" s="13">
        <f>'DAILY READINGS'!K28</f>
        <v>81</v>
      </c>
      <c r="N23" s="8">
        <f>'DAILY READINGS'!L28</f>
        <v>168</v>
      </c>
    </row>
    <row r="24" spans="1:14">
      <c r="A24" s="8" t="s">
        <v>12</v>
      </c>
      <c r="B24" s="22">
        <f t="shared" si="0"/>
        <v>23</v>
      </c>
      <c r="C24" s="22">
        <v>7</v>
      </c>
      <c r="D24" s="22">
        <v>2022</v>
      </c>
      <c r="E24" s="13">
        <f>IF(('DAILY READINGS'!B29-'DAILY READINGS'!B28)&gt;0,('DAILY READINGS'!B29-'DAILY READINGS'!B28),0)</f>
        <v>10148</v>
      </c>
      <c r="F24" s="13">
        <f>IF(('DAILY READINGS'!D29-'DAILY READINGS'!D28)&gt;0,('DAILY READINGS'!D29-'DAILY READINGS'!D28),0)</f>
        <v>88</v>
      </c>
      <c r="G24" s="13">
        <f>IF(('DAILY READINGS'!E29-'DAILY READINGS'!E28)&gt;0,('DAILY READINGS'!E29-'DAILY READINGS'!E28),0)</f>
        <v>153</v>
      </c>
      <c r="H24" s="13">
        <f>IF(('DAILY READINGS'!F29-'DAILY READINGS'!F28)&gt;0,('DAILY READINGS'!F29-'DAILY READINGS'!F28),0)</f>
        <v>3</v>
      </c>
      <c r="I24" s="13">
        <f>IF(('DAILY READINGS'!G29-'DAILY READINGS'!G28)&gt;0,('DAILY READINGS'!G29-'DAILY READINGS'!G28),0)</f>
        <v>90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129</v>
      </c>
      <c r="M24" s="13">
        <f>'DAILY READINGS'!K29</f>
        <v>90</v>
      </c>
      <c r="N24" s="8">
        <f>'DAILY READINGS'!L29</f>
        <v>183</v>
      </c>
    </row>
    <row r="25" spans="1:14">
      <c r="A25" s="8" t="s">
        <v>12</v>
      </c>
      <c r="B25" s="22">
        <f t="shared" si="0"/>
        <v>24</v>
      </c>
      <c r="C25" s="22">
        <v>7</v>
      </c>
      <c r="D25" s="22">
        <v>2022</v>
      </c>
      <c r="E25" s="13">
        <f>IF(('DAILY READINGS'!B30-'DAILY READINGS'!B29)&gt;0,('DAILY READINGS'!B30-'DAILY READINGS'!B29),0)</f>
        <v>2002</v>
      </c>
      <c r="F25" s="13">
        <f>IF(('DAILY READINGS'!D30-'DAILY READINGS'!D29)&gt;0,('DAILY READINGS'!D30-'DAILY READINGS'!D29),0)</f>
        <v>19</v>
      </c>
      <c r="G25" s="13">
        <f>IF(('DAILY READINGS'!E30-'DAILY READINGS'!E29)&gt;0,('DAILY READINGS'!E30-'DAILY READINGS'!E29),0)</f>
        <v>72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16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100</v>
      </c>
      <c r="M25" s="13">
        <f>'DAILY READINGS'!K30</f>
        <v>82</v>
      </c>
      <c r="N25" s="8">
        <f>'DAILY READINGS'!L30</f>
        <v>172</v>
      </c>
    </row>
    <row r="26" spans="1:14">
      <c r="A26" s="8" t="s">
        <v>12</v>
      </c>
      <c r="B26" s="22">
        <f>B25+1</f>
        <v>25</v>
      </c>
      <c r="C26" s="22">
        <v>7</v>
      </c>
      <c r="D26" s="22">
        <v>2022</v>
      </c>
      <c r="E26" s="13">
        <f>IF(('DAILY READINGS'!B31-'DAILY READINGS'!B30)&gt;0,('DAILY READINGS'!B31-'DAILY READINGS'!B30),0)</f>
        <v>3978</v>
      </c>
      <c r="F26" s="13">
        <f>IF(('DAILY READINGS'!D31-'DAILY READINGS'!D30)&gt;0,('DAILY READINGS'!D31-'DAILY READINGS'!D30),0)</f>
        <v>60</v>
      </c>
      <c r="G26" s="13">
        <f>IF(('DAILY READINGS'!E31-'DAILY READINGS'!E30)&gt;0,('DAILY READINGS'!E31-'DAILY READINGS'!E30),0)</f>
        <v>72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10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32</v>
      </c>
      <c r="M26" s="13">
        <f>'DAILY READINGS'!K31</f>
        <v>73</v>
      </c>
      <c r="N26" s="8">
        <f>'DAILY READINGS'!L31</f>
        <v>146</v>
      </c>
    </row>
    <row r="27" spans="1:14">
      <c r="A27" s="8" t="s">
        <v>12</v>
      </c>
      <c r="B27" s="22">
        <f t="shared" si="0"/>
        <v>26</v>
      </c>
      <c r="C27" s="22">
        <v>7</v>
      </c>
      <c r="D27" s="22">
        <v>2022</v>
      </c>
      <c r="E27" s="13">
        <f>IF(('DAILY READINGS'!B32-'DAILY READINGS'!B31)&gt;0,('DAILY READINGS'!B32-'DAILY READINGS'!B31),0)</f>
        <v>13038</v>
      </c>
      <c r="F27" s="13">
        <f>IF(('DAILY READINGS'!D32-'DAILY READINGS'!D31)&gt;0,('DAILY READINGS'!D32-'DAILY READINGS'!D31),0)</f>
        <v>80</v>
      </c>
      <c r="G27" s="13">
        <f>IF(('DAILY READINGS'!E32-'DAILY READINGS'!E31)&gt;0,('DAILY READINGS'!E32-'DAILY READINGS'!E31),0)</f>
        <v>138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30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49</v>
      </c>
      <c r="M27" s="13">
        <f>'DAILY READINGS'!K32</f>
        <v>71</v>
      </c>
      <c r="N27" s="8">
        <f>'DAILY READINGS'!L32</f>
        <v>143</v>
      </c>
    </row>
    <row r="28" spans="1:14">
      <c r="A28" s="8" t="s">
        <v>12</v>
      </c>
      <c r="B28" s="22">
        <f t="shared" si="0"/>
        <v>27</v>
      </c>
      <c r="C28" s="22">
        <v>7</v>
      </c>
      <c r="D28" s="22">
        <v>2022</v>
      </c>
      <c r="E28" s="13">
        <f>IF(('DAILY READINGS'!B33-'DAILY READINGS'!B32)&gt;0,('DAILY READINGS'!B33-'DAILY READINGS'!B32),0)</f>
        <v>10166</v>
      </c>
      <c r="F28" s="13">
        <f>IF(('DAILY READINGS'!D33-'DAILY READINGS'!D32)&gt;0,('DAILY READINGS'!D33-'DAILY READINGS'!D32),0)</f>
        <v>69</v>
      </c>
      <c r="G28" s="13">
        <f>IF(('DAILY READINGS'!E33-'DAILY READINGS'!E32)&gt;0,('DAILY READINGS'!E33-'DAILY READINGS'!E32),0)</f>
        <v>135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23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116</v>
      </c>
      <c r="M28" s="13">
        <f>'DAILY READINGS'!K33</f>
        <v>62</v>
      </c>
      <c r="N28" s="8">
        <f>'DAILY READINGS'!L33</f>
        <v>126</v>
      </c>
    </row>
    <row r="29" spans="1:14">
      <c r="A29" s="8" t="s">
        <v>12</v>
      </c>
      <c r="B29" s="22">
        <f t="shared" si="0"/>
        <v>28</v>
      </c>
      <c r="C29" s="22">
        <v>7</v>
      </c>
      <c r="D29" s="22">
        <v>2022</v>
      </c>
      <c r="E29" s="13">
        <f>IF(('DAILY READINGS'!B34-'DAILY READINGS'!B33)&gt;0,('DAILY READINGS'!B34-'DAILY READINGS'!B33),0)</f>
        <v>10150</v>
      </c>
      <c r="F29" s="13">
        <f>IF(('DAILY READINGS'!D34-'DAILY READINGS'!D33)&gt;0,('DAILY READINGS'!D34-'DAILY READINGS'!D33),0)</f>
        <v>83</v>
      </c>
      <c r="G29" s="13">
        <f>IF(('DAILY READINGS'!E34-'DAILY READINGS'!E33)&gt;0,('DAILY READINGS'!E34-'DAILY READINGS'!E33),0)</f>
        <v>143</v>
      </c>
      <c r="H29" s="13">
        <f>IF(('DAILY READINGS'!F34-'DAILY READINGS'!F33)&gt;0,('DAILY READINGS'!F34-'DAILY READINGS'!F33),0)</f>
        <v>0</v>
      </c>
      <c r="I29" s="13">
        <f>IF(('DAILY READINGS'!G34-'DAILY READINGS'!G33)&gt;0,('DAILY READINGS'!G34-'DAILY READINGS'!G33),0)</f>
        <v>11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2</v>
      </c>
      <c r="L29" s="13">
        <f>IF(('DAILY READINGS'!J34-'DAILY READINGS'!J33)&gt;0,('DAILY READINGS'!J34-'DAILY READINGS'!J33),0)</f>
        <v>75</v>
      </c>
      <c r="M29" s="13">
        <f>'DAILY READINGS'!K34</f>
        <v>67</v>
      </c>
      <c r="N29" s="8">
        <f>'DAILY READINGS'!L34</f>
        <v>128</v>
      </c>
    </row>
    <row r="30" spans="1:14">
      <c r="A30" s="8" t="s">
        <v>12</v>
      </c>
      <c r="B30" s="22">
        <f t="shared" si="0"/>
        <v>29</v>
      </c>
      <c r="C30" s="22">
        <v>7</v>
      </c>
      <c r="D30" s="22">
        <v>2022</v>
      </c>
      <c r="E30" s="13">
        <f>IF(('DAILY READINGS'!B35-'DAILY READINGS'!B34)&gt;0,('DAILY READINGS'!B35-'DAILY READINGS'!B34),0)</f>
        <v>9419</v>
      </c>
      <c r="F30" s="13">
        <f>IF(('DAILY READINGS'!D35-'DAILY READINGS'!D34)&gt;0,('DAILY READINGS'!D35-'DAILY READINGS'!D34),0)</f>
        <v>79</v>
      </c>
      <c r="G30" s="13">
        <f>IF(('DAILY READINGS'!E35-'DAILY READINGS'!E34)&gt;0,('DAILY READINGS'!E35-'DAILY READINGS'!E34),0)</f>
        <v>135</v>
      </c>
      <c r="H30" s="13">
        <f>IF(('DAILY READINGS'!F35-'DAILY READINGS'!F34)&gt;0,('DAILY READINGS'!F35-'DAILY READINGS'!F34),0)</f>
        <v>3</v>
      </c>
      <c r="I30" s="13">
        <f>IF(('DAILY READINGS'!G35-'DAILY READINGS'!G34)&gt;0,('DAILY READINGS'!G35-'DAILY READINGS'!G34),0)</f>
        <v>13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2</v>
      </c>
      <c r="L30" s="13">
        <f>IF(('DAILY READINGS'!J35-'DAILY READINGS'!J34)&gt;0,('DAILY READINGS'!J35-'DAILY READINGS'!J34),0)</f>
        <v>46</v>
      </c>
      <c r="M30" s="13">
        <f>'DAILY READINGS'!K35</f>
        <v>89</v>
      </c>
      <c r="N30" s="8">
        <f>'DAILY READINGS'!L35</f>
        <v>168</v>
      </c>
    </row>
    <row r="31" spans="1:14">
      <c r="A31" s="8" t="s">
        <v>12</v>
      </c>
      <c r="B31" s="22">
        <f t="shared" si="0"/>
        <v>30</v>
      </c>
      <c r="C31" s="22">
        <v>7</v>
      </c>
      <c r="D31" s="22">
        <v>2022</v>
      </c>
      <c r="E31" s="13">
        <f>IF(('DAILY READINGS'!B36-'DAILY READINGS'!B35)&gt;0,('DAILY READINGS'!B36-'DAILY READINGS'!B35),0)</f>
        <v>8401</v>
      </c>
      <c r="F31" s="13">
        <f>IF(('DAILY READINGS'!D36-'DAILY READINGS'!D35)&gt;0,('DAILY READINGS'!D36-'DAILY READINGS'!D35),0)</f>
        <v>78</v>
      </c>
      <c r="G31" s="13">
        <f>IF(('DAILY READINGS'!E36-'DAILY READINGS'!E35)&gt;0,('DAILY READINGS'!E36-'DAILY READINGS'!E35),0)</f>
        <v>127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11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1</v>
      </c>
      <c r="L31" s="13">
        <f>IF(('DAILY READINGS'!J36-'DAILY READINGS'!J35)&gt;0,('DAILY READINGS'!J36-'DAILY READINGS'!J35),0)</f>
        <v>57</v>
      </c>
      <c r="M31" s="13">
        <f>'DAILY READINGS'!K36</f>
        <v>88</v>
      </c>
      <c r="N31" s="8">
        <f>'DAILY READINGS'!L36</f>
        <v>162</v>
      </c>
    </row>
    <row r="32" spans="1:14">
      <c r="A32" s="8" t="s">
        <v>12</v>
      </c>
      <c r="B32" s="22">
        <f t="shared" si="0"/>
        <v>31</v>
      </c>
      <c r="C32" s="22">
        <v>7</v>
      </c>
      <c r="D32" s="22">
        <v>2022</v>
      </c>
      <c r="E32" s="13">
        <f>IF(('DAILY READINGS'!B37-'DAILY READINGS'!B36)&gt;0,('DAILY READINGS'!B37-'DAILY READINGS'!B36),0)</f>
        <v>9802</v>
      </c>
      <c r="F32" s="13">
        <f>IF(('DAILY READINGS'!D37-'DAILY READINGS'!D36)&gt;0,('DAILY READINGS'!D37-'DAILY READINGS'!D36),0)</f>
        <v>78</v>
      </c>
      <c r="G32" s="13">
        <f>IF(('DAILY READINGS'!E37-'DAILY READINGS'!E36)&gt;0,('DAILY READINGS'!E37-'DAILY READINGS'!E36),0)</f>
        <v>135</v>
      </c>
      <c r="H32" s="13">
        <f>IF(('DAILY READINGS'!F37-'DAILY READINGS'!F36)&gt;0,('DAILY READINGS'!F37-'DAILY READINGS'!F36),0)</f>
        <v>0</v>
      </c>
      <c r="I32" s="13">
        <f>IF(('DAILY READINGS'!G37-'DAILY READINGS'!G36)&gt;0,('DAILY READINGS'!G37-'DAILY READINGS'!G36),0)</f>
        <v>13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0</v>
      </c>
      <c r="L32" s="13">
        <f>IF(('DAILY READINGS'!J37-'DAILY READINGS'!J36)&gt;0,('DAILY READINGS'!J37-'DAILY READINGS'!J36),0)</f>
        <v>43</v>
      </c>
      <c r="M32" s="13">
        <f>'DAILY READINGS'!K37</f>
        <v>88</v>
      </c>
      <c r="N32" s="8">
        <f>'DAILY READINGS'!L37</f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7" workbookViewId="0">
      <selection activeCell="F39" sqref="F39:J39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4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6">
        <v>3814424</v>
      </c>
      <c r="C6" s="27">
        <v>558196</v>
      </c>
      <c r="D6" s="27">
        <v>31038</v>
      </c>
      <c r="E6" s="27">
        <v>47472</v>
      </c>
      <c r="F6" s="27">
        <v>6785</v>
      </c>
      <c r="G6" s="27">
        <v>70857</v>
      </c>
      <c r="H6" s="27">
        <v>49451</v>
      </c>
      <c r="I6" s="27">
        <v>45134</v>
      </c>
      <c r="J6" s="27">
        <v>52783</v>
      </c>
      <c r="K6" s="5"/>
      <c r="L6" s="5"/>
    </row>
    <row r="7" spans="1:12" ht="30" customHeight="1">
      <c r="A7" s="1">
        <v>1</v>
      </c>
      <c r="B7" s="25">
        <v>3823648</v>
      </c>
      <c r="C7" s="25">
        <v>559367</v>
      </c>
      <c r="D7" s="25">
        <v>31138</v>
      </c>
      <c r="E7" s="25">
        <v>47603</v>
      </c>
      <c r="F7" s="25">
        <v>6788</v>
      </c>
      <c r="G7" s="25">
        <v>70394</v>
      </c>
      <c r="H7" s="25">
        <v>49451</v>
      </c>
      <c r="I7" s="25">
        <v>45134</v>
      </c>
      <c r="J7" s="25">
        <v>52862</v>
      </c>
      <c r="K7" s="25">
        <v>82</v>
      </c>
      <c r="L7" s="25">
        <v>166</v>
      </c>
    </row>
    <row r="8" spans="1:12" ht="30" customHeight="1">
      <c r="A8" s="1">
        <v>2</v>
      </c>
      <c r="B8" s="25">
        <v>3833530</v>
      </c>
      <c r="C8" s="25">
        <v>560597</v>
      </c>
      <c r="D8" s="25">
        <v>31241</v>
      </c>
      <c r="E8" s="25">
        <v>47749</v>
      </c>
      <c r="F8" s="25">
        <v>6789</v>
      </c>
      <c r="G8" s="25">
        <v>70435</v>
      </c>
      <c r="H8" s="25">
        <v>49451</v>
      </c>
      <c r="I8" s="25">
        <v>45134</v>
      </c>
      <c r="J8" s="25">
        <v>52915</v>
      </c>
      <c r="K8" s="25">
        <v>102</v>
      </c>
      <c r="L8" s="25">
        <v>205</v>
      </c>
    </row>
    <row r="9" spans="1:12" ht="30" customHeight="1">
      <c r="A9" s="1">
        <v>3</v>
      </c>
      <c r="B9" s="25">
        <v>3842304</v>
      </c>
      <c r="C9" s="25">
        <v>561736</v>
      </c>
      <c r="D9" s="25">
        <v>31332</v>
      </c>
      <c r="E9" s="25">
        <v>47874</v>
      </c>
      <c r="F9" s="25">
        <v>6789</v>
      </c>
      <c r="G9" s="25">
        <v>70472</v>
      </c>
      <c r="H9" s="25">
        <v>49451</v>
      </c>
      <c r="I9" s="25">
        <v>45135</v>
      </c>
      <c r="J9" s="25">
        <v>53013</v>
      </c>
      <c r="K9" s="25">
        <v>90</v>
      </c>
      <c r="L9" s="25">
        <v>189</v>
      </c>
    </row>
    <row r="10" spans="1:12" ht="30" customHeight="1">
      <c r="A10" s="1">
        <v>4</v>
      </c>
      <c r="B10" s="25">
        <v>3852890</v>
      </c>
      <c r="C10" s="25">
        <v>563063</v>
      </c>
      <c r="D10" s="25">
        <v>31441</v>
      </c>
      <c r="E10" s="25">
        <v>48021</v>
      </c>
      <c r="F10" s="25">
        <v>6792</v>
      </c>
      <c r="G10" s="25">
        <v>70513</v>
      </c>
      <c r="H10" s="25">
        <v>49451</v>
      </c>
      <c r="I10" s="25">
        <v>45136</v>
      </c>
      <c r="J10" s="25">
        <v>53102</v>
      </c>
      <c r="K10" s="25">
        <v>95</v>
      </c>
      <c r="L10" s="25">
        <v>196</v>
      </c>
    </row>
    <row r="11" spans="1:12" ht="30" customHeight="1">
      <c r="A11" s="1">
        <v>5</v>
      </c>
      <c r="B11" s="25">
        <v>3862462</v>
      </c>
      <c r="C11" s="25">
        <v>564263</v>
      </c>
      <c r="D11" s="25">
        <v>31543</v>
      </c>
      <c r="E11" s="25">
        <v>48160</v>
      </c>
      <c r="F11" s="25">
        <v>6793</v>
      </c>
      <c r="G11" s="25">
        <v>70562</v>
      </c>
      <c r="H11" s="25">
        <v>49451</v>
      </c>
      <c r="I11" s="25">
        <v>45137</v>
      </c>
      <c r="J11" s="25">
        <v>53221</v>
      </c>
      <c r="K11" s="25">
        <v>87</v>
      </c>
      <c r="L11" s="25">
        <v>181</v>
      </c>
    </row>
    <row r="12" spans="1:12" ht="30" customHeight="1">
      <c r="A12" s="1">
        <v>6</v>
      </c>
      <c r="B12" s="25">
        <v>3872708</v>
      </c>
      <c r="C12" s="25">
        <v>565537</v>
      </c>
      <c r="D12" s="25">
        <v>31645</v>
      </c>
      <c r="E12" s="25">
        <v>48297</v>
      </c>
      <c r="F12" s="25">
        <v>6794</v>
      </c>
      <c r="G12" s="25">
        <v>70600</v>
      </c>
      <c r="H12" s="25">
        <v>49451</v>
      </c>
      <c r="I12" s="25">
        <v>45138</v>
      </c>
      <c r="J12" s="25">
        <v>53280</v>
      </c>
      <c r="K12" s="25">
        <v>80</v>
      </c>
      <c r="L12" s="25">
        <v>178</v>
      </c>
    </row>
    <row r="13" spans="1:12" ht="30" customHeight="1">
      <c r="A13" s="1">
        <v>7</v>
      </c>
      <c r="B13" s="25">
        <v>3882432</v>
      </c>
      <c r="C13" s="25">
        <v>566738</v>
      </c>
      <c r="D13" s="25">
        <v>31738</v>
      </c>
      <c r="E13" s="25">
        <v>48427</v>
      </c>
      <c r="F13" s="25">
        <v>6796</v>
      </c>
      <c r="G13" s="25">
        <v>70648</v>
      </c>
      <c r="H13" s="25">
        <v>49451</v>
      </c>
      <c r="I13" s="25">
        <v>45140</v>
      </c>
      <c r="J13" s="25">
        <v>53390</v>
      </c>
      <c r="K13" s="25">
        <v>97</v>
      </c>
      <c r="L13" s="25">
        <v>197</v>
      </c>
    </row>
    <row r="14" spans="1:12" ht="30" customHeight="1">
      <c r="A14" s="1">
        <v>8</v>
      </c>
      <c r="B14" s="25">
        <v>3892874</v>
      </c>
      <c r="C14" s="25">
        <v>568041</v>
      </c>
      <c r="D14" s="25">
        <v>31833</v>
      </c>
      <c r="E14" s="25">
        <v>48579</v>
      </c>
      <c r="F14" s="25">
        <v>6796</v>
      </c>
      <c r="G14" s="25">
        <v>70679</v>
      </c>
      <c r="H14" s="25">
        <v>49451</v>
      </c>
      <c r="I14" s="25">
        <v>45141</v>
      </c>
      <c r="J14" s="25">
        <v>53428</v>
      </c>
      <c r="K14" s="25">
        <v>105</v>
      </c>
      <c r="L14" s="25">
        <v>214</v>
      </c>
    </row>
    <row r="15" spans="1:12" ht="30" customHeight="1">
      <c r="A15" s="1">
        <v>9</v>
      </c>
      <c r="B15" s="25">
        <v>3901212</v>
      </c>
      <c r="C15" s="25">
        <v>569057</v>
      </c>
      <c r="D15" s="25">
        <v>31936</v>
      </c>
      <c r="E15" s="25">
        <v>48734</v>
      </c>
      <c r="F15" s="25">
        <v>6799</v>
      </c>
      <c r="G15" s="25">
        <v>70713</v>
      </c>
      <c r="H15" s="25">
        <v>49451</v>
      </c>
      <c r="I15" s="25">
        <v>45163</v>
      </c>
      <c r="J15" s="25">
        <v>53534</v>
      </c>
      <c r="K15" s="25">
        <v>102</v>
      </c>
      <c r="L15" s="25">
        <v>207</v>
      </c>
    </row>
    <row r="16" spans="1:12" ht="30" customHeight="1">
      <c r="A16" s="1">
        <v>10</v>
      </c>
      <c r="B16" s="25">
        <v>3911296</v>
      </c>
      <c r="C16" s="25">
        <v>570251</v>
      </c>
      <c r="D16" s="25">
        <v>32043</v>
      </c>
      <c r="E16" s="25">
        <v>48906</v>
      </c>
      <c r="F16" s="25">
        <v>6799</v>
      </c>
      <c r="G16" s="25">
        <v>70762</v>
      </c>
      <c r="H16" s="25">
        <v>49451</v>
      </c>
      <c r="I16" s="25">
        <v>45200</v>
      </c>
      <c r="J16" s="25">
        <v>53622</v>
      </c>
      <c r="K16" s="25">
        <v>101</v>
      </c>
      <c r="L16" s="25">
        <v>206</v>
      </c>
    </row>
    <row r="17" spans="1:12" ht="30" customHeight="1">
      <c r="A17" s="1">
        <v>11</v>
      </c>
      <c r="B17" s="25">
        <v>3919904</v>
      </c>
      <c r="C17" s="4">
        <v>571265</v>
      </c>
      <c r="D17" s="4">
        <v>32132</v>
      </c>
      <c r="E17" s="4">
        <v>49058</v>
      </c>
      <c r="F17" s="4">
        <v>6800</v>
      </c>
      <c r="G17" s="4">
        <v>70802</v>
      </c>
      <c r="H17" s="25">
        <v>49451</v>
      </c>
      <c r="I17" s="25">
        <v>45236</v>
      </c>
      <c r="J17" s="4">
        <v>53707</v>
      </c>
      <c r="K17" s="25">
        <v>98</v>
      </c>
      <c r="L17" s="25">
        <v>192</v>
      </c>
    </row>
    <row r="18" spans="1:12" ht="30" customHeight="1">
      <c r="A18" s="1">
        <v>12</v>
      </c>
      <c r="B18" s="25">
        <v>3929250</v>
      </c>
      <c r="C18" s="4">
        <v>572338</v>
      </c>
      <c r="D18" s="4">
        <v>32226</v>
      </c>
      <c r="E18" s="4">
        <v>49219</v>
      </c>
      <c r="F18" s="4">
        <v>6803</v>
      </c>
      <c r="G18" s="4">
        <v>70859</v>
      </c>
      <c r="H18" s="25">
        <v>49451</v>
      </c>
      <c r="I18" s="25">
        <v>45250</v>
      </c>
      <c r="J18" s="4">
        <v>53835</v>
      </c>
      <c r="K18" s="25">
        <v>93</v>
      </c>
      <c r="L18" s="25">
        <v>182</v>
      </c>
    </row>
    <row r="19" spans="1:12" ht="30" customHeight="1">
      <c r="A19" s="1">
        <v>13</v>
      </c>
      <c r="B19" s="25">
        <v>3938326</v>
      </c>
      <c r="C19" s="4">
        <v>573396</v>
      </c>
      <c r="D19" s="4">
        <v>32309</v>
      </c>
      <c r="E19" s="4">
        <v>49368</v>
      </c>
      <c r="F19" s="4">
        <v>6804</v>
      </c>
      <c r="G19" s="4">
        <v>70868</v>
      </c>
      <c r="H19" s="4">
        <v>49451</v>
      </c>
      <c r="I19" s="4">
        <v>45251</v>
      </c>
      <c r="J19" s="4">
        <v>53866</v>
      </c>
      <c r="K19" s="25">
        <v>79</v>
      </c>
      <c r="L19" s="25">
        <v>156</v>
      </c>
    </row>
    <row r="20" spans="1:12" ht="30" customHeight="1">
      <c r="A20" s="1">
        <v>14</v>
      </c>
      <c r="B20" s="25">
        <v>3947140</v>
      </c>
      <c r="C20" s="4">
        <v>574406</v>
      </c>
      <c r="D20" s="4">
        <v>32393</v>
      </c>
      <c r="E20" s="4">
        <v>49509</v>
      </c>
      <c r="F20" s="4">
        <v>6805</v>
      </c>
      <c r="G20" s="4">
        <v>70905</v>
      </c>
      <c r="H20" s="4">
        <v>49451</v>
      </c>
      <c r="I20" s="4">
        <v>45252</v>
      </c>
      <c r="J20" s="4">
        <v>53947</v>
      </c>
      <c r="K20" s="25">
        <v>81</v>
      </c>
      <c r="L20" s="25">
        <v>160</v>
      </c>
    </row>
    <row r="21" spans="1:12" ht="30" customHeight="1">
      <c r="A21" s="1">
        <v>15</v>
      </c>
      <c r="B21" s="25">
        <v>3955030</v>
      </c>
      <c r="C21" s="4">
        <v>575320</v>
      </c>
      <c r="D21" s="4">
        <v>32472</v>
      </c>
      <c r="E21" s="4">
        <v>49648</v>
      </c>
      <c r="F21" s="4">
        <v>6807</v>
      </c>
      <c r="G21" s="4">
        <v>70965</v>
      </c>
      <c r="H21" s="4">
        <v>49451</v>
      </c>
      <c r="I21" s="4">
        <v>45253</v>
      </c>
      <c r="J21" s="4">
        <v>54040</v>
      </c>
      <c r="K21" s="25">
        <v>77</v>
      </c>
      <c r="L21" s="25">
        <v>152</v>
      </c>
    </row>
    <row r="22" spans="1:12" ht="30" customHeight="1">
      <c r="A22" s="1">
        <v>16</v>
      </c>
      <c r="B22" s="25">
        <v>3963692</v>
      </c>
      <c r="C22" s="4">
        <v>576312</v>
      </c>
      <c r="D22" s="4">
        <v>32554</v>
      </c>
      <c r="E22" s="4">
        <v>49803</v>
      </c>
      <c r="F22" s="4">
        <v>6807</v>
      </c>
      <c r="G22" s="4">
        <v>70988</v>
      </c>
      <c r="H22" s="4">
        <v>49451</v>
      </c>
      <c r="I22" s="4">
        <v>45253</v>
      </c>
      <c r="J22" s="4">
        <v>54075</v>
      </c>
      <c r="K22" s="25">
        <v>85</v>
      </c>
      <c r="L22" s="25">
        <v>177</v>
      </c>
    </row>
    <row r="23" spans="1:12" ht="30" customHeight="1">
      <c r="A23" s="1">
        <v>17</v>
      </c>
      <c r="B23" s="25">
        <v>3973104</v>
      </c>
      <c r="C23" s="4">
        <v>577410</v>
      </c>
      <c r="D23" s="4">
        <v>32652</v>
      </c>
      <c r="E23" s="4">
        <v>49960</v>
      </c>
      <c r="F23" s="4">
        <v>6809</v>
      </c>
      <c r="G23" s="4">
        <v>71049</v>
      </c>
      <c r="H23" s="4">
        <v>49451</v>
      </c>
      <c r="I23" s="4">
        <v>45254</v>
      </c>
      <c r="J23" s="4">
        <v>54178</v>
      </c>
      <c r="K23" s="25">
        <v>81</v>
      </c>
      <c r="L23" s="25">
        <v>169</v>
      </c>
    </row>
    <row r="24" spans="1:12" ht="30" customHeight="1">
      <c r="A24" s="1">
        <v>18</v>
      </c>
      <c r="B24" s="25">
        <v>3982608</v>
      </c>
      <c r="C24" s="4">
        <v>578569</v>
      </c>
      <c r="D24" s="4">
        <v>32731</v>
      </c>
      <c r="E24" s="4">
        <v>50104</v>
      </c>
      <c r="F24" s="24">
        <v>6811</v>
      </c>
      <c r="G24" s="4">
        <v>71103</v>
      </c>
      <c r="H24" s="4">
        <v>49451</v>
      </c>
      <c r="I24" s="4">
        <v>45255</v>
      </c>
      <c r="J24" s="4">
        <v>54259</v>
      </c>
      <c r="K24" s="25">
        <v>78</v>
      </c>
      <c r="L24" s="25">
        <v>160</v>
      </c>
    </row>
    <row r="25" spans="1:12" ht="30" customHeight="1">
      <c r="A25" s="1">
        <v>19</v>
      </c>
      <c r="B25" s="25">
        <v>3991924</v>
      </c>
      <c r="C25" s="4">
        <v>579698</v>
      </c>
      <c r="D25" s="4">
        <v>32828</v>
      </c>
      <c r="E25" s="4">
        <v>50252</v>
      </c>
      <c r="F25" s="4">
        <v>6812</v>
      </c>
      <c r="G25" s="4">
        <v>71178</v>
      </c>
      <c r="H25" s="4">
        <v>49451</v>
      </c>
      <c r="I25" s="4">
        <v>45235</v>
      </c>
      <c r="J25" s="4">
        <v>54378</v>
      </c>
      <c r="K25" s="25">
        <v>75</v>
      </c>
      <c r="L25" s="25">
        <v>154</v>
      </c>
    </row>
    <row r="26" spans="1:12" ht="30" customHeight="1">
      <c r="A26" s="1">
        <v>20</v>
      </c>
      <c r="B26" s="25">
        <v>4001410</v>
      </c>
      <c r="C26" s="4">
        <v>580839</v>
      </c>
      <c r="D26" s="4">
        <v>32924</v>
      </c>
      <c r="E26" s="4">
        <v>50404</v>
      </c>
      <c r="F26" s="4">
        <v>6812</v>
      </c>
      <c r="G26" s="4">
        <v>71252</v>
      </c>
      <c r="H26" s="4">
        <v>49451</v>
      </c>
      <c r="I26" s="4">
        <v>45256</v>
      </c>
      <c r="J26" s="4">
        <v>54503</v>
      </c>
      <c r="K26" s="25">
        <v>77</v>
      </c>
      <c r="L26" s="25">
        <v>151</v>
      </c>
    </row>
    <row r="27" spans="1:12" ht="30" customHeight="1">
      <c r="A27" s="1">
        <v>21</v>
      </c>
      <c r="B27" s="25">
        <v>4020138</v>
      </c>
      <c r="C27" s="4">
        <v>583120</v>
      </c>
      <c r="D27" s="4">
        <v>33117</v>
      </c>
      <c r="E27" s="4">
        <v>50713</v>
      </c>
      <c r="F27" s="4">
        <v>6816</v>
      </c>
      <c r="G27" s="4">
        <v>71278</v>
      </c>
      <c r="H27" s="4">
        <v>49451</v>
      </c>
      <c r="I27" s="4">
        <v>45256</v>
      </c>
      <c r="J27" s="4">
        <v>54558</v>
      </c>
      <c r="K27" s="25">
        <v>91</v>
      </c>
      <c r="L27" s="25">
        <v>186</v>
      </c>
    </row>
    <row r="28" spans="1:12" ht="30" customHeight="1">
      <c r="A28" s="1">
        <v>22</v>
      </c>
      <c r="B28" s="25">
        <v>4029460</v>
      </c>
      <c r="C28" s="4">
        <v>584268</v>
      </c>
      <c r="D28" s="4">
        <v>33203</v>
      </c>
      <c r="E28" s="4">
        <v>50857</v>
      </c>
      <c r="F28" s="4">
        <v>6816</v>
      </c>
      <c r="G28" s="4">
        <v>71393</v>
      </c>
      <c r="H28" s="4">
        <v>49451</v>
      </c>
      <c r="I28" s="4">
        <v>45257</v>
      </c>
      <c r="J28" s="4">
        <v>54657</v>
      </c>
      <c r="K28" s="25">
        <v>81</v>
      </c>
      <c r="L28" s="25">
        <v>168</v>
      </c>
    </row>
    <row r="29" spans="1:12" ht="30" customHeight="1">
      <c r="A29" s="1">
        <v>23</v>
      </c>
      <c r="B29" s="25">
        <v>4039608</v>
      </c>
      <c r="C29" s="4">
        <v>585531</v>
      </c>
      <c r="D29" s="4">
        <v>33291</v>
      </c>
      <c r="E29" s="4">
        <v>51010</v>
      </c>
      <c r="F29" s="4">
        <v>6819</v>
      </c>
      <c r="G29" s="4">
        <v>71483</v>
      </c>
      <c r="H29" s="4">
        <v>49451</v>
      </c>
      <c r="I29" s="4">
        <v>45257</v>
      </c>
      <c r="J29" s="4">
        <v>54786</v>
      </c>
      <c r="K29" s="25">
        <v>90</v>
      </c>
      <c r="L29" s="25">
        <v>183</v>
      </c>
    </row>
    <row r="30" spans="1:12" ht="30" customHeight="1">
      <c r="A30" s="1">
        <v>24</v>
      </c>
      <c r="B30" s="25">
        <v>4041610</v>
      </c>
      <c r="C30" s="4">
        <v>586120</v>
      </c>
      <c r="D30" s="4">
        <v>33310</v>
      </c>
      <c r="E30" s="4">
        <v>51082</v>
      </c>
      <c r="F30" s="4">
        <v>6819</v>
      </c>
      <c r="G30" s="4">
        <v>71499</v>
      </c>
      <c r="H30" s="4">
        <v>49451</v>
      </c>
      <c r="I30" s="4">
        <v>45257</v>
      </c>
      <c r="J30" s="4">
        <v>54886</v>
      </c>
      <c r="K30" s="25">
        <v>82</v>
      </c>
      <c r="L30" s="25">
        <v>172</v>
      </c>
    </row>
    <row r="31" spans="1:12" ht="30" customHeight="1">
      <c r="A31" s="1">
        <v>25</v>
      </c>
      <c r="B31" s="25">
        <v>4045588</v>
      </c>
      <c r="C31" s="4">
        <v>586785</v>
      </c>
      <c r="D31" s="4">
        <v>33370</v>
      </c>
      <c r="E31" s="4">
        <v>51154</v>
      </c>
      <c r="F31" s="4">
        <v>6820</v>
      </c>
      <c r="G31" s="4">
        <v>71509</v>
      </c>
      <c r="H31" s="4">
        <v>49451</v>
      </c>
      <c r="I31" s="4">
        <v>45257</v>
      </c>
      <c r="J31" s="4">
        <v>54918</v>
      </c>
      <c r="K31" s="25">
        <v>73</v>
      </c>
      <c r="L31" s="25">
        <v>146</v>
      </c>
    </row>
    <row r="32" spans="1:12" ht="30" customHeight="1">
      <c r="A32" s="1">
        <v>26</v>
      </c>
      <c r="B32" s="25">
        <v>4058626</v>
      </c>
      <c r="C32" s="4">
        <v>587929</v>
      </c>
      <c r="D32" s="4">
        <v>33450</v>
      </c>
      <c r="E32" s="4">
        <v>51292</v>
      </c>
      <c r="F32" s="4">
        <v>6820</v>
      </c>
      <c r="G32" s="4">
        <v>71539</v>
      </c>
      <c r="H32" s="4">
        <v>49451</v>
      </c>
      <c r="I32" s="4">
        <v>45258</v>
      </c>
      <c r="J32" s="4">
        <v>54967</v>
      </c>
      <c r="K32" s="25">
        <v>71</v>
      </c>
      <c r="L32" s="25">
        <v>143</v>
      </c>
    </row>
    <row r="33" spans="1:12" ht="30" customHeight="1">
      <c r="A33" s="1">
        <v>27</v>
      </c>
      <c r="B33" s="25">
        <v>4068792</v>
      </c>
      <c r="C33" s="4">
        <v>589189</v>
      </c>
      <c r="D33" s="4">
        <v>33519</v>
      </c>
      <c r="E33" s="4">
        <v>51427</v>
      </c>
      <c r="F33" s="4">
        <v>6822</v>
      </c>
      <c r="G33" s="4">
        <v>71562</v>
      </c>
      <c r="H33" s="4">
        <v>49451</v>
      </c>
      <c r="I33" s="4">
        <v>45258</v>
      </c>
      <c r="J33" s="4">
        <v>55083</v>
      </c>
      <c r="K33" s="25">
        <v>62</v>
      </c>
      <c r="L33" s="25">
        <v>126</v>
      </c>
    </row>
    <row r="34" spans="1:12" ht="30" customHeight="1">
      <c r="A34" s="1">
        <v>28</v>
      </c>
      <c r="B34" s="25">
        <v>4078942</v>
      </c>
      <c r="C34" s="4">
        <v>590468</v>
      </c>
      <c r="D34" s="4">
        <v>33602</v>
      </c>
      <c r="E34" s="4">
        <v>51570</v>
      </c>
      <c r="F34" s="4">
        <v>6822</v>
      </c>
      <c r="G34" s="4">
        <v>71573</v>
      </c>
      <c r="H34" s="4">
        <v>49451</v>
      </c>
      <c r="I34" s="4">
        <v>45260</v>
      </c>
      <c r="J34" s="4">
        <v>55158</v>
      </c>
      <c r="K34" s="25">
        <v>67</v>
      </c>
      <c r="L34" s="25">
        <v>128</v>
      </c>
    </row>
    <row r="35" spans="1:12" ht="30" customHeight="1">
      <c r="A35" s="2">
        <v>29</v>
      </c>
      <c r="B35" s="30">
        <v>4088361</v>
      </c>
      <c r="C35" s="4">
        <v>591655</v>
      </c>
      <c r="D35" s="4">
        <v>33681</v>
      </c>
      <c r="E35" s="4">
        <v>51705</v>
      </c>
      <c r="F35" s="4">
        <v>6825</v>
      </c>
      <c r="G35" s="4">
        <v>71586</v>
      </c>
      <c r="H35" s="4">
        <v>49451</v>
      </c>
      <c r="I35" s="4">
        <v>45262</v>
      </c>
      <c r="J35" s="4">
        <v>55204</v>
      </c>
      <c r="K35" s="25">
        <v>89</v>
      </c>
      <c r="L35" s="25">
        <v>168</v>
      </c>
    </row>
    <row r="36" spans="1:12" ht="30" customHeight="1">
      <c r="A36" s="1">
        <v>30</v>
      </c>
      <c r="B36" s="25">
        <v>4096762</v>
      </c>
      <c r="C36" s="35">
        <v>592722</v>
      </c>
      <c r="D36" s="7">
        <v>33759</v>
      </c>
      <c r="E36" s="7">
        <v>51832</v>
      </c>
      <c r="F36" s="7">
        <v>6826</v>
      </c>
      <c r="G36" s="7">
        <v>71597</v>
      </c>
      <c r="H36" s="7">
        <v>49451</v>
      </c>
      <c r="I36" s="7">
        <v>45263</v>
      </c>
      <c r="J36" s="7">
        <v>55261</v>
      </c>
      <c r="K36" s="25">
        <v>88</v>
      </c>
      <c r="L36" s="25">
        <v>162</v>
      </c>
    </row>
    <row r="37" spans="1:12" ht="30" customHeight="1">
      <c r="A37" s="1">
        <v>31</v>
      </c>
      <c r="B37" s="25">
        <v>4106564</v>
      </c>
      <c r="C37" s="29">
        <v>593963</v>
      </c>
      <c r="D37" s="4">
        <v>33837</v>
      </c>
      <c r="E37" s="4">
        <v>51967</v>
      </c>
      <c r="F37" s="4">
        <v>6826</v>
      </c>
      <c r="G37" s="4">
        <v>71610</v>
      </c>
      <c r="H37" s="4">
        <v>49451</v>
      </c>
      <c r="I37" s="4">
        <v>45263</v>
      </c>
      <c r="J37" s="4">
        <v>55304</v>
      </c>
      <c r="K37" s="28">
        <v>88</v>
      </c>
      <c r="L37" s="25">
        <v>177</v>
      </c>
    </row>
    <row r="38" spans="1:12" ht="30" customHeight="1">
      <c r="A38" s="33" t="s">
        <v>29</v>
      </c>
      <c r="B38" s="4">
        <f>B37-B6</f>
        <v>292140</v>
      </c>
      <c r="C38" s="4">
        <f t="shared" ref="C38:J38" si="0">C37-C6</f>
        <v>35767</v>
      </c>
      <c r="D38" s="4">
        <f t="shared" si="0"/>
        <v>2799</v>
      </c>
      <c r="E38" s="4">
        <f t="shared" si="0"/>
        <v>4495</v>
      </c>
      <c r="F38" s="4">
        <f t="shared" si="0"/>
        <v>41</v>
      </c>
      <c r="G38" s="4">
        <f t="shared" si="0"/>
        <v>753</v>
      </c>
      <c r="H38" s="4">
        <f t="shared" si="0"/>
        <v>0</v>
      </c>
      <c r="I38" s="4">
        <f t="shared" si="0"/>
        <v>129</v>
      </c>
      <c r="J38" s="4">
        <f t="shared" si="0"/>
        <v>2521</v>
      </c>
      <c r="K38" s="4">
        <f>SUM(K7:K37)</f>
        <v>2647</v>
      </c>
      <c r="L38" s="4">
        <f>SUM(L7:L37)</f>
        <v>5351</v>
      </c>
    </row>
    <row r="39" spans="1:12" ht="30" customHeight="1">
      <c r="A39" s="1" t="s">
        <v>30</v>
      </c>
      <c r="B39" s="31">
        <f>B38</f>
        <v>292140</v>
      </c>
      <c r="C39" s="32"/>
      <c r="D39" s="36">
        <f>SUM(D38:E38)</f>
        <v>7294</v>
      </c>
      <c r="E39" s="37"/>
      <c r="F39" s="36">
        <f>SUM(F38:J38)</f>
        <v>3444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ED93CF55-65F8-4E1F-A433-4C55E8344BA3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2022-08-09T08:25:17Z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