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227" documentId="13_ncr:1_{76C55D63-F869-4AF5-AAA3-3D809A91432B}" xr6:coauthVersionLast="47" xr6:coauthVersionMax="47" xr10:uidLastSave="{B2CF0254-FFBB-4C13-A1E1-7DCEBB3C1B30}"/>
  <bookViews>
    <workbookView xWindow="-120" yWindow="-120" windowWidth="20730" windowHeight="11160" firstSheet="2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27" l="1"/>
  <c r="J14" i="27"/>
  <c r="J13" i="27"/>
  <c r="J12" i="27"/>
  <c r="J11" i="27"/>
  <c r="J10" i="27"/>
  <c r="J9" i="27"/>
  <c r="J8" i="27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J7" i="27"/>
  <c r="J6" i="27"/>
  <c r="D37" i="27"/>
  <c r="D16" i="27"/>
  <c r="D17" i="27"/>
  <c r="D18" i="27"/>
  <c r="D19" i="27"/>
  <c r="D20" i="27"/>
  <c r="D21" i="27"/>
  <c r="D22" i="27"/>
  <c r="D23" i="27"/>
  <c r="D24" i="27"/>
  <c r="D25" i="27"/>
  <c r="D26" i="27"/>
  <c r="D27" i="27"/>
  <c r="D28" i="27"/>
  <c r="D29" i="27"/>
  <c r="D30" i="27"/>
  <c r="D31" i="27"/>
  <c r="D32" i="27"/>
  <c r="D33" i="27"/>
  <c r="D34" i="27"/>
  <c r="D35" i="27"/>
  <c r="D36" i="27"/>
  <c r="G26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C38" i="28"/>
  <c r="F38" i="28" s="1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7" i="27"/>
  <c r="L37" i="27" s="1"/>
  <c r="F37" i="27"/>
  <c r="H37" i="27" s="1"/>
  <c r="C37" i="27"/>
  <c r="K36" i="27"/>
  <c r="F36" i="27"/>
  <c r="C36" i="27"/>
  <c r="K35" i="27"/>
  <c r="F35" i="27"/>
  <c r="C35" i="27"/>
  <c r="K34" i="27"/>
  <c r="F34" i="27"/>
  <c r="C34" i="27"/>
  <c r="K33" i="27"/>
  <c r="F33" i="27"/>
  <c r="C33" i="27"/>
  <c r="K32" i="27"/>
  <c r="F32" i="27"/>
  <c r="C32" i="27"/>
  <c r="K31" i="27"/>
  <c r="F31" i="27"/>
  <c r="C31" i="27"/>
  <c r="K30" i="27"/>
  <c r="F30" i="27"/>
  <c r="C30" i="27"/>
  <c r="K29" i="27"/>
  <c r="F29" i="27"/>
  <c r="C29" i="27"/>
  <c r="K28" i="27"/>
  <c r="F28" i="27"/>
  <c r="C28" i="27"/>
  <c r="K27" i="27"/>
  <c r="F27" i="27"/>
  <c r="C27" i="27"/>
  <c r="K26" i="27"/>
  <c r="F26" i="27"/>
  <c r="C26" i="27"/>
  <c r="K25" i="27"/>
  <c r="F25" i="27"/>
  <c r="C25" i="27"/>
  <c r="K24" i="27"/>
  <c r="F24" i="27"/>
  <c r="C24" i="27"/>
  <c r="K23" i="27"/>
  <c r="F23" i="27"/>
  <c r="C23" i="27"/>
  <c r="K22" i="27"/>
  <c r="F22" i="27"/>
  <c r="C22" i="27"/>
  <c r="K21" i="27"/>
  <c r="F21" i="27"/>
  <c r="C21" i="27"/>
  <c r="K20" i="27"/>
  <c r="F20" i="27"/>
  <c r="C20" i="27"/>
  <c r="K19" i="27"/>
  <c r="F19" i="27"/>
  <c r="C19" i="27"/>
  <c r="K18" i="27"/>
  <c r="F18" i="27"/>
  <c r="C18" i="27"/>
  <c r="K17" i="27"/>
  <c r="F17" i="27"/>
  <c r="C17" i="27"/>
  <c r="K16" i="27"/>
  <c r="F16" i="27"/>
  <c r="C16" i="27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F10" i="27"/>
  <c r="C10" i="27"/>
  <c r="D10" i="27" s="1"/>
  <c r="K9" i="27"/>
  <c r="F9" i="27"/>
  <c r="C9" i="27"/>
  <c r="D9" i="27" s="1"/>
  <c r="F8" i="27"/>
  <c r="C8" i="27"/>
  <c r="D8" i="27" s="1"/>
  <c r="F7" i="27"/>
  <c r="C7" i="27"/>
  <c r="D7" i="27" s="1"/>
  <c r="K6" i="27"/>
  <c r="L6" i="27" s="1"/>
  <c r="F6" i="27"/>
  <c r="G6" i="27" s="1"/>
  <c r="C6" i="27"/>
  <c r="D6" i="27" s="1"/>
  <c r="I2" i="26" l="1"/>
  <c r="H7" i="27"/>
  <c r="K2" i="26"/>
  <c r="I3" i="26"/>
  <c r="G8" i="27"/>
  <c r="K3" i="26"/>
  <c r="H8" i="27"/>
  <c r="K7" i="27"/>
  <c r="I4" i="26"/>
  <c r="H9" i="27"/>
  <c r="K4" i="26"/>
  <c r="G9" i="27"/>
  <c r="L9" i="27"/>
  <c r="G4" i="26"/>
  <c r="I5" i="26"/>
  <c r="G10" i="27"/>
  <c r="K5" i="26"/>
  <c r="H10" i="27"/>
  <c r="L10" i="27"/>
  <c r="G5" i="26"/>
  <c r="I6" i="26"/>
  <c r="K6" i="26"/>
  <c r="H11" i="27"/>
  <c r="G11" i="27"/>
  <c r="I11" i="27" s="1"/>
  <c r="L11" i="27"/>
  <c r="G6" i="26"/>
  <c r="I7" i="26"/>
  <c r="H12" i="27"/>
  <c r="K7" i="26"/>
  <c r="L12" i="27"/>
  <c r="G7" i="26"/>
  <c r="I8" i="26"/>
  <c r="K8" i="26"/>
  <c r="H13" i="27"/>
  <c r="G13" i="27"/>
  <c r="I13" i="27" s="1"/>
  <c r="L13" i="27"/>
  <c r="G8" i="26"/>
  <c r="I9" i="26"/>
  <c r="G14" i="27"/>
  <c r="K9" i="26"/>
  <c r="L14" i="27"/>
  <c r="G9" i="26"/>
  <c r="I10" i="26"/>
  <c r="H15" i="27"/>
  <c r="K10" i="26"/>
  <c r="L15" i="27"/>
  <c r="G10" i="26"/>
  <c r="I11" i="26"/>
  <c r="G16" i="27"/>
  <c r="K11" i="26"/>
  <c r="H16" i="27"/>
  <c r="L16" i="27"/>
  <c r="G11" i="26"/>
  <c r="I12" i="26"/>
  <c r="H17" i="27"/>
  <c r="K12" i="26"/>
  <c r="G17" i="27"/>
  <c r="L17" i="27"/>
  <c r="G12" i="26"/>
  <c r="I13" i="26"/>
  <c r="G18" i="27"/>
  <c r="K13" i="26"/>
  <c r="H18" i="27"/>
  <c r="L18" i="27"/>
  <c r="G13" i="26"/>
  <c r="I14" i="26"/>
  <c r="K14" i="26"/>
  <c r="H19" i="27"/>
  <c r="G19" i="27"/>
  <c r="I19" i="27" s="1"/>
  <c r="L19" i="27"/>
  <c r="G14" i="26"/>
  <c r="I15" i="26"/>
  <c r="H20" i="27"/>
  <c r="K15" i="26"/>
  <c r="L20" i="27"/>
  <c r="G15" i="26"/>
  <c r="I16" i="26"/>
  <c r="K16" i="26"/>
  <c r="H21" i="27"/>
  <c r="G21" i="27"/>
  <c r="I21" i="27" s="1"/>
  <c r="L21" i="27"/>
  <c r="G16" i="26"/>
  <c r="I17" i="26"/>
  <c r="H22" i="27"/>
  <c r="K17" i="26"/>
  <c r="L22" i="27"/>
  <c r="G17" i="26"/>
  <c r="I18" i="26"/>
  <c r="H23" i="27"/>
  <c r="K18" i="26"/>
  <c r="L23" i="27"/>
  <c r="G18" i="26"/>
  <c r="I19" i="26"/>
  <c r="H24" i="27"/>
  <c r="K19" i="26"/>
  <c r="L24" i="27"/>
  <c r="G19" i="26"/>
  <c r="I20" i="26"/>
  <c r="H25" i="27"/>
  <c r="K20" i="26"/>
  <c r="L25" i="27"/>
  <c r="G20" i="26"/>
  <c r="I21" i="26"/>
  <c r="H26" i="27"/>
  <c r="K21" i="26"/>
  <c r="L26" i="27"/>
  <c r="G21" i="26"/>
  <c r="I22" i="26"/>
  <c r="H27" i="27"/>
  <c r="K22" i="26"/>
  <c r="L27" i="27"/>
  <c r="G22" i="26"/>
  <c r="I23" i="26"/>
  <c r="H28" i="27"/>
  <c r="K23" i="26"/>
  <c r="L28" i="27"/>
  <c r="G23" i="26"/>
  <c r="I24" i="26"/>
  <c r="H29" i="27"/>
  <c r="K24" i="26"/>
  <c r="L29" i="27"/>
  <c r="G24" i="26"/>
  <c r="I25" i="26"/>
  <c r="H30" i="27"/>
  <c r="K25" i="26"/>
  <c r="L30" i="27"/>
  <c r="G25" i="26"/>
  <c r="I26" i="26"/>
  <c r="H31" i="27"/>
  <c r="K26" i="26"/>
  <c r="L31" i="27"/>
  <c r="I27" i="26"/>
  <c r="H32" i="27"/>
  <c r="K27" i="26"/>
  <c r="L32" i="27"/>
  <c r="G27" i="26"/>
  <c r="I28" i="26"/>
  <c r="H33" i="27"/>
  <c r="K28" i="26"/>
  <c r="L33" i="27"/>
  <c r="G28" i="26"/>
  <c r="I29" i="26"/>
  <c r="H34" i="27"/>
  <c r="K29" i="26"/>
  <c r="L34" i="27"/>
  <c r="G29" i="26"/>
  <c r="I30" i="26"/>
  <c r="H35" i="27"/>
  <c r="K30" i="26"/>
  <c r="L35" i="27"/>
  <c r="G30" i="26"/>
  <c r="I31" i="26"/>
  <c r="H36" i="27"/>
  <c r="K31" i="26"/>
  <c r="L36" i="27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8" i="27"/>
  <c r="G12" i="27"/>
  <c r="I12" i="27" s="1"/>
  <c r="G20" i="27"/>
  <c r="I20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G36" i="27"/>
  <c r="I36" i="27" s="1"/>
  <c r="G37" i="27"/>
  <c r="I37" i="27" s="1"/>
  <c r="H6" i="27"/>
  <c r="I6" i="27" s="1"/>
  <c r="G7" i="27"/>
  <c r="I7" i="27" s="1"/>
  <c r="H14" i="27"/>
  <c r="I14" i="27" s="1"/>
  <c r="G15" i="27"/>
  <c r="I15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L8" i="27" l="1"/>
  <c r="G3" i="26"/>
  <c r="I18" i="27"/>
  <c r="I17" i="27"/>
  <c r="I16" i="27"/>
  <c r="I10" i="27"/>
  <c r="I9" i="27"/>
  <c r="L7" i="27"/>
  <c r="G2" i="26"/>
  <c r="I8" i="27"/>
</calcChain>
</file>

<file path=xl/sharedStrings.xml><?xml version="1.0" encoding="utf-8"?>
<sst xmlns="http://schemas.openxmlformats.org/spreadsheetml/2006/main" count="72" uniqueCount="34">
  <si>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</si>
  <si>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</si>
  <si>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</si>
  <si>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</si>
  <si>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</si>
  <si>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</si>
  <si>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</si>
  <si>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</si>
  <si>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</si>
  <si>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</si>
  <si>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</si>
  <si>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</si>
  <si>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</si>
  <si>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</si>
  <si>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</si>
  <si>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 xml:space="preserve">44200.93					</t>
  </si>
  <si>
    <t>November</t>
  </si>
  <si>
    <t xml:space="preserve">Electric (kwh) / 0.932 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</si>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</sst>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4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9" xfId="6" applyFont="1" applyBorder="1" applyAlignment="1">
      <alignment horizontal="center" vertical="center"/>
    </xf>
    <xf numFmtId="0" fontId="12" fillId="2" borderId="20" xfId="6" applyFont="1" applyFill="1" applyBorder="1" applyAlignment="1">
      <alignment horizontal="center" vertical="center" wrapText="1"/>
    </xf>
    <xf numFmtId="0" fontId="12" fillId="2" borderId="21" xfId="6" applyFont="1" applyFill="1" applyBorder="1" applyAlignment="1">
      <alignment horizontal="center" vertical="center" wrapText="1"/>
    </xf>
    <xf numFmtId="0" fontId="12" fillId="2" borderId="22" xfId="6" applyFont="1" applyFill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0" borderId="23" xfId="6" applyFont="1" applyBorder="1" applyAlignment="1">
      <alignment horizontal="center" vertical="center"/>
    </xf>
    <xf numFmtId="0" fontId="12" fillId="0" borderId="23" xfId="6" applyFont="1" applyBorder="1" applyAlignment="1">
      <alignment horizontal="center" vertical="center"/>
    </xf>
    <xf numFmtId="0" fontId="12" fillId="2" borderId="24" xfId="6" applyFont="1" applyFill="1" applyBorder="1" applyAlignment="1">
      <alignment horizontal="center" vertical="center" wrapText="1"/>
    </xf>
    <xf numFmtId="0" fontId="12" fillId="2" borderId="25" xfId="6" applyFont="1" applyFill="1" applyBorder="1" applyAlignment="1">
      <alignment horizontal="center" vertical="center" wrapText="1"/>
    </xf>
    <xf numFmtId="0" fontId="12" fillId="2" borderId="23" xfId="6" applyFont="1" applyFill="1" applyBorder="1" applyAlignment="1">
      <alignment horizontal="center" vertical="center"/>
    </xf>
    <xf numFmtId="0" fontId="12" fillId="2" borderId="26" xfId="6" applyFont="1" applyFill="1" applyBorder="1" applyAlignment="1">
      <alignment horizontal="center" vertical="center"/>
    </xf>
    <xf numFmtId="0" fontId="12" fillId="0" borderId="24" xfId="6" applyFont="1" applyBorder="1" applyAlignment="1">
      <alignment horizontal="center" vertical="center" wrapText="1"/>
    </xf>
    <xf numFmtId="0" fontId="10" fillId="0" borderId="25" xfId="6" applyFont="1" applyBorder="1" applyAlignment="1">
      <alignment horizontal="center" vertical="center"/>
    </xf>
    <xf numFmtId="0" fontId="12" fillId="0" borderId="27" xfId="6" applyFont="1" applyBorder="1" applyAlignment="1">
      <alignment horizontal="center" vertical="center"/>
    </xf>
    <xf numFmtId="0" fontId="12" fillId="0" borderId="28" xfId="6" applyFont="1" applyBorder="1" applyAlignment="1">
      <alignment horizontal="center" vertical="center" wrapText="1"/>
    </xf>
    <xf numFmtId="0" fontId="12" fillId="0" borderId="29" xfId="6" applyFont="1" applyBorder="1" applyAlignment="1">
      <alignment horizontal="center" vertical="center" wrapText="1"/>
    </xf>
    <xf numFmtId="0" fontId="10" fillId="2" borderId="12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0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10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39" xfId="6" applyFont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39" xfId="6" applyFont="1" applyFill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2" borderId="42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8" xfId="6" applyFont="1" applyFill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2" borderId="33" xfId="6" applyFont="1" applyFill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43" xfId="6" applyFont="1" applyFill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2" borderId="43" xfId="6" applyFont="1" applyFill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2" borderId="47" xfId="6" applyFont="1" applyFill="1" applyBorder="1" applyAlignment="1">
      <alignment horizontal="center" vertical="center"/>
    </xf>
    <xf numFmtId="0" fontId="10" fillId="2" borderId="48" xfId="6" applyFont="1" applyFill="1" applyBorder="1" applyAlignment="1">
      <alignment horizontal="center" vertical="center"/>
    </xf>
    <xf numFmtId="0" fontId="10" fillId="2" borderId="16" xfId="6" applyFont="1" applyFill="1" applyBorder="1" applyAlignment="1">
      <alignment horizontal="center" vertical="center"/>
    </xf>
    <xf numFmtId="0" fontId="10" fillId="2" borderId="49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51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2" fillId="0" borderId="54" xfId="6" applyFont="1" applyBorder="1" applyAlignment="1">
      <alignment horizontal="center" vertical="center"/>
    </xf>
    <xf numFmtId="0" fontId="12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164" fontId="10" fillId="0" borderId="11" xfId="6" applyNumberFormat="1" applyFont="1" applyBorder="1" applyAlignment="1">
      <alignment horizontal="center" vertical="center"/>
    </xf>
    <xf numFmtId="0" fontId="10" fillId="3" borderId="10" xfId="6" applyFont="1" applyFill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164" fontId="10" fillId="0" borderId="35" xfId="6" applyNumberFormat="1" applyFont="1" applyBorder="1" applyAlignment="1">
      <alignment horizontal="center" vertical="center"/>
    </xf>
    <xf numFmtId="164" fontId="10" fillId="3" borderId="39" xfId="6" applyNumberFormat="1" applyFont="1" applyFill="1" applyBorder="1" applyAlignment="1">
      <alignment horizontal="center" vertical="center"/>
    </xf>
    <xf numFmtId="164" fontId="10" fillId="0" borderId="39" xfId="6" applyNumberFormat="1" applyFont="1" applyBorder="1" applyAlignment="1">
      <alignment horizontal="center" vertical="center"/>
    </xf>
    <xf numFmtId="164" fontId="10" fillId="3" borderId="35" xfId="6" applyNumberFormat="1" applyFont="1" applyFill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164" fontId="10" fillId="0" borderId="59" xfId="6" applyNumberFormat="1" applyFont="1" applyBorder="1" applyAlignment="1">
      <alignment horizontal="center" vertical="center"/>
    </xf>
    <xf numFmtId="0" fontId="10" fillId="3" borderId="42" xfId="6" applyFont="1" applyFill="1" applyBorder="1" applyAlignment="1">
      <alignment horizontal="center" vertical="center"/>
    </xf>
    <xf numFmtId="164" fontId="10" fillId="0" borderId="42" xfId="6" applyNumberFormat="1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0" fontId="10" fillId="3" borderId="39" xfId="6" applyFont="1" applyFill="1" applyBorder="1" applyAlignment="1">
      <alignment horizontal="center" vertical="center"/>
    </xf>
    <xf numFmtId="0" fontId="10" fillId="0" borderId="19" xfId="6" applyFont="1" applyBorder="1" applyAlignment="1">
      <alignment horizontal="center" vertical="center"/>
    </xf>
    <xf numFmtId="164" fontId="10" fillId="3" borderId="19" xfId="6" applyNumberFormat="1" applyFont="1" applyFill="1" applyBorder="1" applyAlignment="1">
      <alignment horizontal="center" vertical="center"/>
    </xf>
    <xf numFmtId="0" fontId="10" fillId="0" borderId="51" xfId="6" applyFont="1" applyBorder="1" applyAlignment="1">
      <alignment horizontal="center" vertical="center"/>
    </xf>
    <xf numFmtId="164" fontId="10" fillId="0" borderId="52" xfId="6" applyNumberFormat="1" applyFont="1" applyBorder="1" applyAlignment="1">
      <alignment horizontal="center" vertical="center"/>
    </xf>
    <xf numFmtId="0" fontId="10" fillId="2" borderId="19" xfId="6" applyFont="1" applyFill="1" applyBorder="1" applyAlignment="1">
      <alignment horizontal="center" vertical="center"/>
    </xf>
    <xf numFmtId="164" fontId="10" fillId="0" borderId="17" xfId="6" applyNumberFormat="1" applyFont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0" fontId="10" fillId="0" borderId="16" xfId="6" applyFont="1" applyBorder="1" applyAlignment="1">
      <alignment horizontal="center" vertical="center"/>
    </xf>
    <xf numFmtId="0" fontId="10" fillId="0" borderId="18" xfId="6" applyFont="1" applyBorder="1" applyAlignment="1">
      <alignment horizontal="center" vertical="center"/>
    </xf>
    <xf numFmtId="164" fontId="10" fillId="3" borderId="39" xfId="0" applyNumberFormat="1" applyFont="1" applyFill="1" applyBorder="1" applyAlignment="1">
      <alignment horizontal="center" vertical="center"/>
    </xf>
    <xf numFmtId="0" fontId="10" fillId="0" borderId="59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56" xfId="6" applyFont="1" applyFill="1" applyBorder="1" applyAlignment="1">
      <alignment horizontal="center" vertical="center"/>
    </xf>
    <xf numFmtId="0" fontId="10" fillId="0" borderId="63" xfId="6" applyFont="1" applyBorder="1"/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2" fontId="10" fillId="0" borderId="60" xfId="6" applyNumberFormat="1" applyFont="1" applyBorder="1" applyAlignment="1">
      <alignment horizontal="center" vertical="center"/>
    </xf>
    <xf numFmtId="2" fontId="10" fillId="0" borderId="61" xfId="6" applyNumberFormat="1" applyFont="1" applyBorder="1" applyAlignment="1">
      <alignment horizontal="center" vertical="center"/>
    </xf>
    <xf numFmtId="2" fontId="10" fillId="0" borderId="68" xfId="6" applyNumberFormat="1" applyFont="1" applyBorder="1" applyAlignment="1">
      <alignment horizontal="center" vertical="center"/>
    </xf>
    <xf numFmtId="0" fontId="12" fillId="0" borderId="62" xfId="6" applyFont="1" applyBorder="1" applyAlignment="1">
      <alignment horizontal="center" vertical="center"/>
    </xf>
    <xf numFmtId="0" fontId="12" fillId="0" borderId="63" xfId="6" applyFont="1" applyBorder="1" applyAlignment="1">
      <alignment horizontal="center" vertical="center"/>
    </xf>
    <xf numFmtId="0" fontId="12" fillId="0" borderId="64" xfId="6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6" xfId="6" applyFont="1" applyBorder="1" applyAlignment="1">
      <alignment horizontal="center" vertical="center"/>
    </xf>
    <xf numFmtId="0" fontId="13" fillId="0" borderId="13" xfId="6" applyFont="1" applyBorder="1" applyAlignment="1">
      <alignment horizontal="center" vertical="center"/>
    </xf>
    <xf numFmtId="0" fontId="10" fillId="0" borderId="14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35" xfId="6" applyFont="1" applyFill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2" fillId="0" borderId="35" xfId="6" applyFont="1" applyBorder="1" applyAlignment="1">
      <alignment horizontal="center" vertical="center"/>
    </xf>
    <xf numFmtId="0" fontId="12" fillId="0" borderId="14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6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1" xfId="6" applyFont="1" applyBorder="1" applyAlignment="1">
      <alignment horizontal="center" vertical="center"/>
    </xf>
    <xf numFmtId="2" fontId="10" fillId="0" borderId="14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5" xfId="0" applyNumberFormat="1" applyFont="1" applyBorder="1" applyAlignment="1">
      <alignment horizontal="center" vertical="center"/>
    </xf>
    <xf numFmtId="2" fontId="10" fillId="0" borderId="16" xfId="0" applyNumberFormat="1" applyFont="1" applyBorder="1" applyAlignment="1">
      <alignment horizontal="center" vertical="center"/>
    </xf>
    <xf numFmtId="2" fontId="10" fillId="0" borderId="17" xfId="0" applyNumberFormat="1" applyFont="1" applyBorder="1" applyAlignment="1">
      <alignment horizontal="center" vertical="center"/>
    </xf>
    <xf numFmtId="2" fontId="10" fillId="0" borderId="18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M36"/>
  <sheetViews>
    <sheetView topLeftCell="A13" workbookViewId="0">
      <selection activeCell="A32" sqref="A32:XFD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3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3">
      <c r="A2" s="8" t="s">
        <v>13</v>
      </c>
      <c r="B2" s="9">
        <v>1</v>
      </c>
      <c r="C2" s="9">
        <v>11</v>
      </c>
      <c r="D2" s="10">
        <v>2021</v>
      </c>
      <c r="E2" s="11">
        <f>IF(Electricity!F8&lt;0,0,Electricity!F8)</f>
        <v>17812.5</v>
      </c>
      <c r="F2" s="14">
        <v>0.08</v>
      </c>
      <c r="G2" s="11">
        <f>IF('Water, Gas, Diesel'!K7&lt;0,0,'Water, Gas, Diesel'!K7)</f>
        <v>0</v>
      </c>
      <c r="H2" s="107">
        <v>0.58489999999999998</v>
      </c>
      <c r="I2" s="11">
        <f>IF('Water, Gas, Diesel'!C7&lt;0,0,'Water, Gas, Diesel'!C7)</f>
        <v>2399</v>
      </c>
      <c r="J2" s="107">
        <v>0.1694</v>
      </c>
      <c r="K2" s="11">
        <f>IF('Water, Gas, Diesel'!F7&lt;0,0,'Water, Gas, Diesel'!F7)</f>
        <v>187</v>
      </c>
      <c r="L2" s="107">
        <v>1.6949000000000001</v>
      </c>
      <c r="M2" s="11">
        <f>Electricity!H8</f>
        <v>35</v>
      </c>
    </row>
    <row r="3" spans="1:13">
      <c r="A3" s="8" t="s">
        <v>13</v>
      </c>
      <c r="B3" s="9">
        <f>B2+1</f>
        <v>2</v>
      </c>
      <c r="C3" s="9">
        <v>11</v>
      </c>
      <c r="D3" s="10">
        <v>2021</v>
      </c>
      <c r="E3" s="11">
        <f>IF(Electricity!F9&lt;0,0,Electricity!F9)</f>
        <v>22272.499999999127</v>
      </c>
      <c r="F3" s="14">
        <v>0.08</v>
      </c>
      <c r="G3" s="11">
        <f>IF('Water, Gas, Diesel'!K8&lt;0,0,'Water, Gas, Diesel'!K8)</f>
        <v>0</v>
      </c>
      <c r="H3" s="107">
        <v>0.58489999999999998</v>
      </c>
      <c r="I3" s="11">
        <f>IF('Water, Gas, Diesel'!C8&lt;0,0,'Water, Gas, Diesel'!C8)</f>
        <v>3565</v>
      </c>
      <c r="J3" s="107">
        <v>0.1694</v>
      </c>
      <c r="K3" s="11">
        <f>IF('Water, Gas, Diesel'!F8&lt;0,0,'Water, Gas, Diesel'!F8)</f>
        <v>188</v>
      </c>
      <c r="L3" s="107">
        <v>1.6949000000000001</v>
      </c>
      <c r="M3" s="11">
        <f>Electricity!H9</f>
        <v>113</v>
      </c>
    </row>
    <row r="4" spans="1:13">
      <c r="A4" s="8" t="s">
        <v>13</v>
      </c>
      <c r="B4" s="9">
        <f t="shared" ref="B4:B31" si="0">B3+1</f>
        <v>3</v>
      </c>
      <c r="C4" s="9">
        <v>11</v>
      </c>
      <c r="D4" s="10">
        <v>2021</v>
      </c>
      <c r="E4" s="11">
        <f>IF(Electricity!F10&lt;0,0,Electricity!F10)</f>
        <v>19402.500000001055</v>
      </c>
      <c r="F4" s="14">
        <v>0.08</v>
      </c>
      <c r="G4" s="11">
        <f>IF('Water, Gas, Diesel'!K9&lt;0,0,'Water, Gas, Diesel'!K9)</f>
        <v>0</v>
      </c>
      <c r="H4" s="107">
        <v>0.58489999999999998</v>
      </c>
      <c r="I4" s="11">
        <f>IF('Water, Gas, Diesel'!C9&lt;0,0,'Water, Gas, Diesel'!C9)</f>
        <v>3011</v>
      </c>
      <c r="J4" s="107">
        <v>0.1694</v>
      </c>
      <c r="K4" s="11">
        <f>IF('Water, Gas, Diesel'!F9&lt;0,0,'Water, Gas, Diesel'!F9)</f>
        <v>171</v>
      </c>
      <c r="L4" s="107">
        <v>1.6949000000000001</v>
      </c>
      <c r="M4" s="11">
        <f>Electricity!H10</f>
        <v>157</v>
      </c>
    </row>
    <row r="5" spans="1:13">
      <c r="A5" s="8" t="s">
        <v>13</v>
      </c>
      <c r="B5" s="9">
        <f t="shared" si="0"/>
        <v>4</v>
      </c>
      <c r="C5" s="9">
        <v>11</v>
      </c>
      <c r="D5" s="10">
        <v>2021</v>
      </c>
      <c r="E5" s="11">
        <f>IF(Electricity!F11&lt;0,0,Electricity!F11)</f>
        <v>21722.500000000764</v>
      </c>
      <c r="F5" s="14">
        <v>0.08</v>
      </c>
      <c r="G5" s="11">
        <f>IF('Water, Gas, Diesel'!K10&lt;0,0,'Water, Gas, Diesel'!K10)</f>
        <v>70</v>
      </c>
      <c r="H5" s="107">
        <v>0.58489999999999998</v>
      </c>
      <c r="I5" s="11">
        <f>IF('Water, Gas, Diesel'!C10&lt;0,0,'Water, Gas, Diesel'!C10)</f>
        <v>3442</v>
      </c>
      <c r="J5" s="107">
        <v>0.1694</v>
      </c>
      <c r="K5" s="11">
        <f>IF('Water, Gas, Diesel'!F10&lt;0,0,'Water, Gas, Diesel'!F10)</f>
        <v>226</v>
      </c>
      <c r="L5" s="107">
        <v>1.6949000000000001</v>
      </c>
      <c r="M5" s="11">
        <f>Electricity!H11</f>
        <v>167</v>
      </c>
    </row>
    <row r="6" spans="1:13">
      <c r="A6" s="8" t="s">
        <v>13</v>
      </c>
      <c r="B6" s="9">
        <f t="shared" si="0"/>
        <v>5</v>
      </c>
      <c r="C6" s="9">
        <v>11</v>
      </c>
      <c r="D6" s="10">
        <v>2021</v>
      </c>
      <c r="E6" s="11">
        <f>IF(Electricity!F12&lt;0,0,Electricity!F12)</f>
        <v>21314.9999999996</v>
      </c>
      <c r="F6" s="14">
        <v>0.08</v>
      </c>
      <c r="G6" s="11">
        <f>IF('Water, Gas, Diesel'!K11&lt;0,0,'Water, Gas, Diesel'!K11)</f>
        <v>0</v>
      </c>
      <c r="H6" s="107">
        <v>0.58489999999999998</v>
      </c>
      <c r="I6" s="11">
        <f>IF('Water, Gas, Diesel'!C11&lt;0,0,'Water, Gas, Diesel'!C11)</f>
        <v>3245</v>
      </c>
      <c r="J6" s="107">
        <v>0.1694</v>
      </c>
      <c r="K6" s="11">
        <f>IF('Water, Gas, Diesel'!F11&lt;0,0,'Water, Gas, Diesel'!F11)</f>
        <v>238</v>
      </c>
      <c r="L6" s="107">
        <v>1.6949000000000001</v>
      </c>
      <c r="M6" s="11">
        <f>Electricity!H12</f>
        <v>170</v>
      </c>
    </row>
    <row r="7" spans="1:13">
      <c r="A7" s="8" t="s">
        <v>13</v>
      </c>
      <c r="B7" s="9">
        <f t="shared" si="0"/>
        <v>6</v>
      </c>
      <c r="C7" s="9">
        <v>11</v>
      </c>
      <c r="D7" s="10">
        <v>2021</v>
      </c>
      <c r="E7" s="11">
        <f>IF(Electricity!F13&lt;0,0,Electricity!F13)</f>
        <v>18092.500000002474</v>
      </c>
      <c r="F7" s="14">
        <v>0.08</v>
      </c>
      <c r="G7" s="11">
        <f>IF('Water, Gas, Diesel'!K12&lt;0,0,'Water, Gas, Diesel'!K12)</f>
        <v>0</v>
      </c>
      <c r="H7" s="107">
        <v>0.58489999999999998</v>
      </c>
      <c r="I7" s="11">
        <f>IF('Water, Gas, Diesel'!C12&lt;0,0,'Water, Gas, Diesel'!C12)</f>
        <v>2454</v>
      </c>
      <c r="J7" s="107">
        <v>0.1694</v>
      </c>
      <c r="K7" s="11">
        <f>IF('Water, Gas, Diesel'!F12&lt;0,0,'Water, Gas, Diesel'!F12)</f>
        <v>240</v>
      </c>
      <c r="L7" s="107">
        <v>1.6949000000000001</v>
      </c>
      <c r="M7" s="11">
        <f>Electricity!H13</f>
        <v>144</v>
      </c>
    </row>
    <row r="8" spans="1:13">
      <c r="A8" s="8" t="s">
        <v>13</v>
      </c>
      <c r="B8" s="9">
        <f t="shared" si="0"/>
        <v>7</v>
      </c>
      <c r="C8" s="9">
        <v>11</v>
      </c>
      <c r="D8" s="10">
        <v>2021</v>
      </c>
      <c r="E8" s="11">
        <f>IF(Electricity!F14&lt;0,0,Electricity!F14)</f>
        <v>17259.99999999658</v>
      </c>
      <c r="F8" s="14">
        <v>0.08</v>
      </c>
      <c r="G8" s="11">
        <f>IF('Water, Gas, Diesel'!K13&lt;0,0,'Water, Gas, Diesel'!K13)</f>
        <v>0</v>
      </c>
      <c r="H8" s="107">
        <v>0.58489999999999998</v>
      </c>
      <c r="I8" s="11">
        <f>IF('Water, Gas, Diesel'!C13&lt;0,0,'Water, Gas, Diesel'!C13)</f>
        <v>2304</v>
      </c>
      <c r="J8" s="107">
        <v>0.1694</v>
      </c>
      <c r="K8" s="11">
        <f>IF('Water, Gas, Diesel'!F13&lt;0,0,'Water, Gas, Diesel'!F13)</f>
        <v>189</v>
      </c>
      <c r="L8" s="107">
        <v>1.6949000000000001</v>
      </c>
      <c r="M8" s="11">
        <f>Electricity!H14</f>
        <v>89</v>
      </c>
    </row>
    <row r="9" spans="1:13">
      <c r="A9" s="8" t="s">
        <v>13</v>
      </c>
      <c r="B9" s="9">
        <f t="shared" si="0"/>
        <v>8</v>
      </c>
      <c r="C9" s="9">
        <v>11</v>
      </c>
      <c r="D9" s="10">
        <v>2021</v>
      </c>
      <c r="E9" s="11">
        <f>IF(Electricity!F15&lt;0,0,Electricity!F15)</f>
        <v>17320.000000004256</v>
      </c>
      <c r="F9" s="14">
        <v>0.08</v>
      </c>
      <c r="G9" s="11">
        <f>IF('Water, Gas, Diesel'!K14&lt;0,0,'Water, Gas, Diesel'!K14)</f>
        <v>0</v>
      </c>
      <c r="H9" s="107">
        <v>0.58489999999999998</v>
      </c>
      <c r="I9" s="11">
        <f>IF('Water, Gas, Diesel'!C14&lt;0,0,'Water, Gas, Diesel'!C14)</f>
        <v>1984</v>
      </c>
      <c r="J9" s="107">
        <v>0.1694</v>
      </c>
      <c r="K9" s="11">
        <f>IF('Water, Gas, Diesel'!F14&lt;0,0,'Water, Gas, Diesel'!F14)</f>
        <v>188</v>
      </c>
      <c r="L9" s="107">
        <v>1.6949000000000001</v>
      </c>
      <c r="M9" s="11">
        <f>Electricity!H15</f>
        <v>23</v>
      </c>
    </row>
    <row r="10" spans="1:13">
      <c r="A10" s="8" t="s">
        <v>13</v>
      </c>
      <c r="B10" s="9">
        <f t="shared" si="0"/>
        <v>9</v>
      </c>
      <c r="C10" s="9">
        <v>11</v>
      </c>
      <c r="D10" s="10">
        <v>2021</v>
      </c>
      <c r="E10" s="11">
        <f>IF(Electricity!F16&lt;0,0,Electricity!F16)</f>
        <v>0</v>
      </c>
      <c r="F10" s="14">
        <v>0.08</v>
      </c>
      <c r="G10" s="11">
        <f>IF('Water, Gas, Diesel'!K15&lt;0,0,'Water, Gas, Diesel'!K15)</f>
        <v>13370</v>
      </c>
      <c r="H10" s="107">
        <v>0.58489999999999998</v>
      </c>
      <c r="I10" s="11">
        <f>IF('Water, Gas, Diesel'!C15&lt;0,0,'Water, Gas, Diesel'!C15)</f>
        <v>0</v>
      </c>
      <c r="J10" s="107">
        <v>0.1694</v>
      </c>
      <c r="K10" s="11">
        <f>IF('Water, Gas, Diesel'!F15&lt;0,0,'Water, Gas, Diesel'!F15)</f>
        <v>0</v>
      </c>
      <c r="L10" s="107">
        <v>1.6949000000000001</v>
      </c>
      <c r="M10" s="11">
        <f>Electricity!H16</f>
        <v>10</v>
      </c>
    </row>
    <row r="11" spans="1:13">
      <c r="A11" s="8" t="s">
        <v>13</v>
      </c>
      <c r="B11" s="9">
        <f t="shared" si="0"/>
        <v>10</v>
      </c>
      <c r="C11" s="9">
        <v>11</v>
      </c>
      <c r="D11" s="10">
        <v>2021</v>
      </c>
      <c r="E11" s="11">
        <f>IF(Electricity!F17&lt;0,0,Electricity!F17)</f>
        <v>0</v>
      </c>
      <c r="F11" s="14">
        <v>0.08</v>
      </c>
      <c r="G11" s="11">
        <f>IF('Water, Gas, Diesel'!K16&lt;0,0,'Water, Gas, Diesel'!K16)</f>
        <v>0</v>
      </c>
      <c r="H11" s="107">
        <v>0.58489999999999998</v>
      </c>
      <c r="I11" s="11">
        <f>IF('Water, Gas, Diesel'!C16&lt;0,0,'Water, Gas, Diesel'!C16)</f>
        <v>0</v>
      </c>
      <c r="J11" s="107">
        <v>0.1694</v>
      </c>
      <c r="K11" s="11">
        <f>IF('Water, Gas, Diesel'!F16&lt;0,0,'Water, Gas, Diesel'!F16)</f>
        <v>0</v>
      </c>
      <c r="L11" s="107">
        <v>1.6949000000000001</v>
      </c>
      <c r="M11" s="11">
        <f>Electricity!H17</f>
        <v>0</v>
      </c>
    </row>
    <row r="12" spans="1:13">
      <c r="A12" s="8" t="s">
        <v>13</v>
      </c>
      <c r="B12" s="9">
        <f t="shared" si="0"/>
        <v>11</v>
      </c>
      <c r="C12" s="9">
        <v>11</v>
      </c>
      <c r="D12" s="10">
        <v>2021</v>
      </c>
      <c r="E12" s="11">
        <f>IF(Electricity!F18&lt;0,0,Electricity!F18)</f>
        <v>0</v>
      </c>
      <c r="F12" s="14">
        <v>0.08</v>
      </c>
      <c r="G12" s="11">
        <f>IF('Water, Gas, Diesel'!K17&lt;0,0,'Water, Gas, Diesel'!K17)</f>
        <v>0</v>
      </c>
      <c r="H12" s="107">
        <v>0.58489999999999998</v>
      </c>
      <c r="I12" s="11">
        <f>IF('Water, Gas, Diesel'!C17&lt;0,0,'Water, Gas, Diesel'!C17)</f>
        <v>0</v>
      </c>
      <c r="J12" s="107">
        <v>0.1694</v>
      </c>
      <c r="K12" s="11">
        <f>IF('Water, Gas, Diesel'!F17&lt;0,0,'Water, Gas, Diesel'!F17)</f>
        <v>0</v>
      </c>
      <c r="L12" s="107">
        <v>1.6949000000000001</v>
      </c>
      <c r="M12" s="11">
        <f>Electricity!H18</f>
        <v>0</v>
      </c>
    </row>
    <row r="13" spans="1:13">
      <c r="A13" s="8" t="s">
        <v>13</v>
      </c>
      <c r="B13" s="9">
        <f t="shared" si="0"/>
        <v>12</v>
      </c>
      <c r="C13" s="9">
        <v>11</v>
      </c>
      <c r="D13" s="10">
        <v>2021</v>
      </c>
      <c r="E13" s="11">
        <f>IF(Electricity!F19&lt;0,0,Electricity!F19)</f>
        <v>0</v>
      </c>
      <c r="F13" s="14">
        <v>0.08</v>
      </c>
      <c r="G13" s="11">
        <f>IF('Water, Gas, Diesel'!K18&lt;0,0,'Water, Gas, Diesel'!K18)</f>
        <v>0</v>
      </c>
      <c r="H13" s="107">
        <v>0.58489999999999998</v>
      </c>
      <c r="I13" s="11">
        <f>IF('Water, Gas, Diesel'!C18&lt;0,0,'Water, Gas, Diesel'!C18)</f>
        <v>0</v>
      </c>
      <c r="J13" s="107">
        <v>0.1694</v>
      </c>
      <c r="K13" s="11">
        <f>IF('Water, Gas, Diesel'!F18&lt;0,0,'Water, Gas, Diesel'!F18)</f>
        <v>0</v>
      </c>
      <c r="L13" s="107">
        <v>1.6949000000000001</v>
      </c>
      <c r="M13" s="11">
        <f>Electricity!H19</f>
        <v>0</v>
      </c>
    </row>
    <row r="14" spans="1:13">
      <c r="A14" s="8" t="s">
        <v>13</v>
      </c>
      <c r="B14" s="9">
        <f t="shared" si="0"/>
        <v>13</v>
      </c>
      <c r="C14" s="9">
        <v>11</v>
      </c>
      <c r="D14" s="10">
        <v>2021</v>
      </c>
      <c r="E14" s="11">
        <f>IF(Electricity!F20&lt;0,0,Electricity!F20)</f>
        <v>0</v>
      </c>
      <c r="F14" s="14">
        <v>0.08</v>
      </c>
      <c r="G14" s="11">
        <f>IF('Water, Gas, Diesel'!K19&lt;0,0,'Water, Gas, Diesel'!K19)</f>
        <v>0</v>
      </c>
      <c r="H14" s="107">
        <v>0.58489999999999998</v>
      </c>
      <c r="I14" s="11">
        <f>IF('Water, Gas, Diesel'!C19&lt;0,0,'Water, Gas, Diesel'!C19)</f>
        <v>0</v>
      </c>
      <c r="J14" s="107">
        <v>0.1694</v>
      </c>
      <c r="K14" s="11">
        <f>IF('Water, Gas, Diesel'!F19&lt;0,0,'Water, Gas, Diesel'!F19)</f>
        <v>0</v>
      </c>
      <c r="L14" s="107">
        <v>1.6949000000000001</v>
      </c>
      <c r="M14" s="11">
        <f>Electricity!H20</f>
        <v>0</v>
      </c>
    </row>
    <row r="15" spans="1:13">
      <c r="A15" s="8" t="s">
        <v>13</v>
      </c>
      <c r="B15" s="9">
        <f t="shared" si="0"/>
        <v>14</v>
      </c>
      <c r="C15" s="9">
        <v>11</v>
      </c>
      <c r="D15" s="10">
        <v>2021</v>
      </c>
      <c r="E15" s="11">
        <f>IF(Electricity!F21&lt;0,0,Electricity!F21)</f>
        <v>0</v>
      </c>
      <c r="F15" s="14">
        <v>0.08</v>
      </c>
      <c r="G15" s="11">
        <f>IF('Water, Gas, Diesel'!K20&lt;0,0,'Water, Gas, Diesel'!K20)</f>
        <v>0</v>
      </c>
      <c r="H15" s="107">
        <v>0.58489999999999998</v>
      </c>
      <c r="I15" s="11">
        <f>IF('Water, Gas, Diesel'!C20&lt;0,0,'Water, Gas, Diesel'!C20)</f>
        <v>0</v>
      </c>
      <c r="J15" s="107">
        <v>0.1694</v>
      </c>
      <c r="K15" s="11">
        <f>IF('Water, Gas, Diesel'!F20&lt;0,0,'Water, Gas, Diesel'!F20)</f>
        <v>0</v>
      </c>
      <c r="L15" s="107">
        <v>1.6949000000000001</v>
      </c>
      <c r="M15" s="11">
        <f>Electricity!H21</f>
        <v>0</v>
      </c>
    </row>
    <row r="16" spans="1:13">
      <c r="A16" s="8" t="s">
        <v>13</v>
      </c>
      <c r="B16" s="9">
        <f t="shared" si="0"/>
        <v>15</v>
      </c>
      <c r="C16" s="9">
        <v>11</v>
      </c>
      <c r="D16" s="10">
        <v>2021</v>
      </c>
      <c r="E16" s="11">
        <f>IF(Electricity!F22&lt;0,0,Electricity!F22)</f>
        <v>0</v>
      </c>
      <c r="F16" s="14">
        <v>0.08</v>
      </c>
      <c r="G16" s="11">
        <f>IF('Water, Gas, Diesel'!K21&lt;0,0,'Water, Gas, Diesel'!K21)</f>
        <v>0</v>
      </c>
      <c r="H16" s="107">
        <v>0.58489999999999998</v>
      </c>
      <c r="I16" s="11">
        <f>IF('Water, Gas, Diesel'!C21&lt;0,0,'Water, Gas, Diesel'!C21)</f>
        <v>0</v>
      </c>
      <c r="J16" s="107">
        <v>0.1694</v>
      </c>
      <c r="K16" s="11">
        <f>IF('Water, Gas, Diesel'!F21&lt;0,0,'Water, Gas, Diesel'!F21)</f>
        <v>0</v>
      </c>
      <c r="L16" s="107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11</v>
      </c>
      <c r="D17" s="10">
        <v>2021</v>
      </c>
      <c r="E17" s="11">
        <f>IF(Electricity!F23&lt;0,0,Electricity!F23)</f>
        <v>0</v>
      </c>
      <c r="F17" s="14">
        <v>0.08</v>
      </c>
      <c r="G17" s="11">
        <f>IF('Water, Gas, Diesel'!K22&lt;0,0,'Water, Gas, Diesel'!K22)</f>
        <v>0</v>
      </c>
      <c r="H17" s="107">
        <v>0.58489999999999998</v>
      </c>
      <c r="I17" s="11">
        <f>IF('Water, Gas, Diesel'!C22&lt;0,0,'Water, Gas, Diesel'!C22)</f>
        <v>0</v>
      </c>
      <c r="J17" s="107">
        <v>0.1694</v>
      </c>
      <c r="K17" s="11">
        <f>IF('Water, Gas, Diesel'!F22&lt;0,0,'Water, Gas, Diesel'!F22)</f>
        <v>0</v>
      </c>
      <c r="L17" s="107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11</v>
      </c>
      <c r="D18" s="10">
        <v>2021</v>
      </c>
      <c r="E18" s="11">
        <f>IF(Electricity!F24&lt;0,0,Electricity!F24)</f>
        <v>0</v>
      </c>
      <c r="F18" s="14">
        <v>0.08</v>
      </c>
      <c r="G18" s="11">
        <f>IF('Water, Gas, Diesel'!K23&lt;0,0,'Water, Gas, Diesel'!K23)</f>
        <v>0</v>
      </c>
      <c r="H18" s="107">
        <v>0.58489999999999998</v>
      </c>
      <c r="I18" s="11">
        <f>IF('Water, Gas, Diesel'!C23&lt;0,0,'Water, Gas, Diesel'!C23)</f>
        <v>0</v>
      </c>
      <c r="J18" s="107">
        <v>0.1694</v>
      </c>
      <c r="K18" s="11">
        <f>IF('Water, Gas, Diesel'!F23&lt;0,0,'Water, Gas, Diesel'!F23)</f>
        <v>0</v>
      </c>
      <c r="L18" s="107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11</v>
      </c>
      <c r="D19" s="10">
        <v>2021</v>
      </c>
      <c r="E19" s="11">
        <f>IF(Electricity!F25&lt;0,0,Electricity!F25)</f>
        <v>0</v>
      </c>
      <c r="F19" s="14">
        <v>0.08</v>
      </c>
      <c r="G19" s="11">
        <f>IF('Water, Gas, Diesel'!K24&lt;0,0,'Water, Gas, Diesel'!K24)</f>
        <v>0</v>
      </c>
      <c r="H19" s="107">
        <v>0.58489999999999998</v>
      </c>
      <c r="I19" s="11">
        <f>IF('Water, Gas, Diesel'!C24&lt;0,0,'Water, Gas, Diesel'!C24)</f>
        <v>0</v>
      </c>
      <c r="J19" s="107">
        <v>0.1694</v>
      </c>
      <c r="K19" s="11">
        <f>IF('Water, Gas, Diesel'!F24&lt;0,0,'Water, Gas, Diesel'!F24)</f>
        <v>0</v>
      </c>
      <c r="L19" s="107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11</v>
      </c>
      <c r="D20" s="10">
        <v>2021</v>
      </c>
      <c r="E20" s="11">
        <f>IF(Electricity!F26&lt;0,0,Electricity!F26)</f>
        <v>0</v>
      </c>
      <c r="F20" s="14">
        <v>0.08</v>
      </c>
      <c r="G20" s="11">
        <f>IF('Water, Gas, Diesel'!K25&lt;0,0,'Water, Gas, Diesel'!K25)</f>
        <v>0</v>
      </c>
      <c r="H20" s="107">
        <v>0.58489999999999998</v>
      </c>
      <c r="I20" s="11">
        <f>IF('Water, Gas, Diesel'!C25&lt;0,0,'Water, Gas, Diesel'!C25)</f>
        <v>0</v>
      </c>
      <c r="J20" s="107">
        <v>0.1694</v>
      </c>
      <c r="K20" s="11">
        <f>IF('Water, Gas, Diesel'!F25&lt;0,0,'Water, Gas, Diesel'!F25)</f>
        <v>0</v>
      </c>
      <c r="L20" s="107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11</v>
      </c>
      <c r="D21" s="10">
        <v>2021</v>
      </c>
      <c r="E21" s="11">
        <f>IF(Electricity!F27&lt;0,0,Electricity!F27)</f>
        <v>0</v>
      </c>
      <c r="F21" s="14">
        <v>0.08</v>
      </c>
      <c r="G21" s="11">
        <f>IF('Water, Gas, Diesel'!K26&lt;0,0,'Water, Gas, Diesel'!K26)</f>
        <v>0</v>
      </c>
      <c r="H21" s="107">
        <v>0.58489999999999998</v>
      </c>
      <c r="I21" s="11">
        <f>IF('Water, Gas, Diesel'!C26&lt;0,0,'Water, Gas, Diesel'!C26)</f>
        <v>0</v>
      </c>
      <c r="J21" s="107">
        <v>0.1694</v>
      </c>
      <c r="K21" s="11">
        <f>IF('Water, Gas, Diesel'!F26&lt;0,0,'Water, Gas, Diesel'!F26)</f>
        <v>0</v>
      </c>
      <c r="L21" s="107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11</v>
      </c>
      <c r="D22" s="10">
        <v>2021</v>
      </c>
      <c r="E22" s="11">
        <f>IF(Electricity!F28&lt;0,0,Electricity!F28)</f>
        <v>0</v>
      </c>
      <c r="F22" s="14">
        <v>0.08</v>
      </c>
      <c r="G22" s="11">
        <f>IF('Water, Gas, Diesel'!K27&lt;0,0,'Water, Gas, Diesel'!K27)</f>
        <v>0</v>
      </c>
      <c r="H22" s="107">
        <v>0.58489999999999998</v>
      </c>
      <c r="I22" s="11">
        <f>IF('Water, Gas, Diesel'!C27&lt;0,0,'Water, Gas, Diesel'!C27)</f>
        <v>0</v>
      </c>
      <c r="J22" s="107">
        <v>0.1694</v>
      </c>
      <c r="K22" s="11">
        <f>IF('Water, Gas, Diesel'!F27&lt;0,0,'Water, Gas, Diesel'!F27)</f>
        <v>0</v>
      </c>
      <c r="L22" s="107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11</v>
      </c>
      <c r="D23" s="10">
        <v>2021</v>
      </c>
      <c r="E23" s="11">
        <f>IF(Electricity!F29&lt;0,0,Electricity!F29)</f>
        <v>0</v>
      </c>
      <c r="F23" s="14">
        <v>0.08</v>
      </c>
      <c r="G23" s="11">
        <f>IF('Water, Gas, Diesel'!K28&lt;0,0,'Water, Gas, Diesel'!K28)</f>
        <v>0</v>
      </c>
      <c r="H23" s="107">
        <v>0.58489999999999998</v>
      </c>
      <c r="I23" s="11">
        <f>IF('Water, Gas, Diesel'!C28&lt;0,0,'Water, Gas, Diesel'!C28)</f>
        <v>0</v>
      </c>
      <c r="J23" s="107">
        <v>0.1694</v>
      </c>
      <c r="K23" s="11">
        <f>IF('Water, Gas, Diesel'!F28&lt;0,0,'Water, Gas, Diesel'!F28)</f>
        <v>0</v>
      </c>
      <c r="L23" s="107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11</v>
      </c>
      <c r="D24" s="10">
        <v>2021</v>
      </c>
      <c r="E24" s="11">
        <f>IF(Electricity!F30&lt;0,0,Electricity!F30)</f>
        <v>0</v>
      </c>
      <c r="F24" s="14">
        <v>0.08</v>
      </c>
      <c r="G24" s="11">
        <f>IF('Water, Gas, Diesel'!K29&lt;0,0,'Water, Gas, Diesel'!K29)</f>
        <v>0</v>
      </c>
      <c r="H24" s="107">
        <v>0.58489999999999998</v>
      </c>
      <c r="I24" s="11">
        <f>IF('Water, Gas, Diesel'!C29&lt;0,0,'Water, Gas, Diesel'!C29)</f>
        <v>0</v>
      </c>
      <c r="J24" s="107">
        <v>0.1694</v>
      </c>
      <c r="K24" s="11">
        <f>IF('Water, Gas, Diesel'!F29&lt;0,0,'Water, Gas, Diesel'!F29)</f>
        <v>0</v>
      </c>
      <c r="L24" s="107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11</v>
      </c>
      <c r="D25" s="10">
        <v>2021</v>
      </c>
      <c r="E25" s="11">
        <f>IF(Electricity!F31&lt;0,0,Electricity!F31)</f>
        <v>0</v>
      </c>
      <c r="F25" s="14">
        <v>0.08</v>
      </c>
      <c r="G25" s="11">
        <f>IF('Water, Gas, Diesel'!K30&lt;0,0,'Water, Gas, Diesel'!K30)</f>
        <v>0</v>
      </c>
      <c r="H25" s="107">
        <v>0.58489999999999998</v>
      </c>
      <c r="I25" s="11">
        <f>IF('Water, Gas, Diesel'!C30&lt;0,0,'Water, Gas, Diesel'!C30)</f>
        <v>0</v>
      </c>
      <c r="J25" s="107">
        <v>0.1694</v>
      </c>
      <c r="K25" s="11">
        <f>IF('Water, Gas, Diesel'!F30&lt;0,0,'Water, Gas, Diesel'!F30)</f>
        <v>0</v>
      </c>
      <c r="L25" s="107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11</v>
      </c>
      <c r="D26" s="10">
        <v>2021</v>
      </c>
      <c r="E26" s="11">
        <f>IF(Electricity!F32&lt;0,0,Electricity!F32)</f>
        <v>0</v>
      </c>
      <c r="F26" s="14">
        <v>0.08</v>
      </c>
      <c r="G26" s="11">
        <f>IF('Water, Gas, Diesel'!K31&lt;0,0,'Water, Gas, Diesel'!K31)</f>
        <v>0</v>
      </c>
      <c r="H26" s="107">
        <v>0.58489999999999998</v>
      </c>
      <c r="I26" s="11">
        <f>IF('Water, Gas, Diesel'!C31&lt;0,0,'Water, Gas, Diesel'!C31)</f>
        <v>0</v>
      </c>
      <c r="J26" s="107">
        <v>0.1694</v>
      </c>
      <c r="K26" s="11">
        <f>IF('Water, Gas, Diesel'!F31&lt;0,0,'Water, Gas, Diesel'!F31)</f>
        <v>0</v>
      </c>
      <c r="L26" s="107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11</v>
      </c>
      <c r="D27" s="10">
        <v>2021</v>
      </c>
      <c r="E27" s="11">
        <f>IF(Electricity!F33&lt;0,0,Electricity!F33)</f>
        <v>0</v>
      </c>
      <c r="F27" s="14">
        <v>0.08</v>
      </c>
      <c r="G27" s="11">
        <f>IF('Water, Gas, Diesel'!K32&lt;0,0,'Water, Gas, Diesel'!K32)</f>
        <v>0</v>
      </c>
      <c r="H27" s="107">
        <v>0.58489999999999998</v>
      </c>
      <c r="I27" s="11">
        <f>IF('Water, Gas, Diesel'!C32&lt;0,0,'Water, Gas, Diesel'!C32)</f>
        <v>0</v>
      </c>
      <c r="J27" s="107">
        <v>0.1694</v>
      </c>
      <c r="K27" s="11">
        <f>IF('Water, Gas, Diesel'!F32&lt;0,0,'Water, Gas, Diesel'!F32)</f>
        <v>0</v>
      </c>
      <c r="L27" s="107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11</v>
      </c>
      <c r="D28" s="10">
        <v>2021</v>
      </c>
      <c r="E28" s="11">
        <f>IF(Electricity!F34&lt;0,0,Electricity!F34)</f>
        <v>0</v>
      </c>
      <c r="F28" s="14">
        <v>0.08</v>
      </c>
      <c r="G28" s="11">
        <f>IF('Water, Gas, Diesel'!K33&lt;0,0,'Water, Gas, Diesel'!K33)</f>
        <v>0</v>
      </c>
      <c r="H28" s="107">
        <v>0.58489999999999998</v>
      </c>
      <c r="I28" s="11">
        <f>IF('Water, Gas, Diesel'!C33&lt;0,0,'Water, Gas, Diesel'!C33)</f>
        <v>0</v>
      </c>
      <c r="J28" s="107">
        <v>0.1694</v>
      </c>
      <c r="K28" s="11">
        <f>IF('Water, Gas, Diesel'!F33&lt;0,0,'Water, Gas, Diesel'!F33)</f>
        <v>0</v>
      </c>
      <c r="L28" s="107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11</v>
      </c>
      <c r="D29" s="10">
        <v>2021</v>
      </c>
      <c r="E29" s="11">
        <f>IF(Electricity!F35&lt;0,0,Electricity!F35)</f>
        <v>0</v>
      </c>
      <c r="F29" s="14">
        <v>0.08</v>
      </c>
      <c r="G29" s="11">
        <f>IF('Water, Gas, Diesel'!K34&lt;0,0,'Water, Gas, Diesel'!K34)</f>
        <v>0</v>
      </c>
      <c r="H29" s="107">
        <v>0.58489999999999998</v>
      </c>
      <c r="I29" s="11">
        <f>IF('Water, Gas, Diesel'!C34&lt;0,0,'Water, Gas, Diesel'!C34)</f>
        <v>0</v>
      </c>
      <c r="J29" s="107">
        <v>0.1694</v>
      </c>
      <c r="K29" s="11">
        <f>IF('Water, Gas, Diesel'!F34&lt;0,0,'Water, Gas, Diesel'!F34)</f>
        <v>0</v>
      </c>
      <c r="L29" s="107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11</v>
      </c>
      <c r="D30" s="10">
        <v>2021</v>
      </c>
      <c r="E30" s="11">
        <f>IF(Electricity!F36&lt;0,0,Electricity!F36)</f>
        <v>0</v>
      </c>
      <c r="F30" s="14">
        <v>0.08</v>
      </c>
      <c r="G30" s="11">
        <f>IF('Water, Gas, Diesel'!K35&lt;0,0,'Water, Gas, Diesel'!K35)</f>
        <v>0</v>
      </c>
      <c r="H30" s="107">
        <v>0.58489999999999998</v>
      </c>
      <c r="I30" s="11">
        <f>IF('Water, Gas, Diesel'!C35&lt;0,0,'Water, Gas, Diesel'!C35)</f>
        <v>0</v>
      </c>
      <c r="J30" s="107">
        <v>0.1694</v>
      </c>
      <c r="K30" s="11">
        <f>IF('Water, Gas, Diesel'!F35&lt;0,0,'Water, Gas, Diesel'!F35)</f>
        <v>0</v>
      </c>
      <c r="L30" s="107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11</v>
      </c>
      <c r="D31" s="10">
        <v>2021</v>
      </c>
      <c r="E31" s="11">
        <f>IF(Electricity!F37&lt;0,0,Electricity!F37)</f>
        <v>0</v>
      </c>
      <c r="F31" s="14">
        <v>0.08</v>
      </c>
      <c r="G31" s="11">
        <f>IF('Water, Gas, Diesel'!K36&lt;0,0,'Water, Gas, Diesel'!K36)</f>
        <v>0</v>
      </c>
      <c r="H31" s="107">
        <v>0.58489999999999998</v>
      </c>
      <c r="I31" s="11">
        <f>IF('Water, Gas, Diesel'!C36&lt;0,0,'Water, Gas, Diesel'!C36)</f>
        <v>0</v>
      </c>
      <c r="J31" s="107">
        <v>0.1694</v>
      </c>
      <c r="K31" s="11">
        <f>IF('Water, Gas, Diesel'!F36&lt;0,0,'Water, Gas, Diesel'!F36)</f>
        <v>0</v>
      </c>
      <c r="L31" s="107">
        <v>1.6949000000000001</v>
      </c>
      <c r="M31" s="11">
        <f>Electricity!H37</f>
        <v>0</v>
      </c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  <row r="36" spans="6:12">
      <c r="F36" s="14"/>
      <c r="G36" s="12"/>
      <c r="H36" s="14"/>
      <c r="I36" s="12"/>
      <c r="J36" s="14"/>
      <c r="K36" s="12"/>
      <c r="L3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8" activePane="bottomLeft" state="frozen"/>
      <selection pane="bottomLeft" activeCell="N10" sqref="N10"/>
      <selection activeCell="E1" sqref="E1"/>
    </sheetView>
  </sheetViews>
  <sheetFormatPr defaultColWidth="9.140625" defaultRowHeight="15"/>
  <cols>
    <col min="1" max="1" width="11.85546875" style="74" customWidth="1"/>
    <col min="2" max="5" width="21.28515625" style="16" customWidth="1"/>
    <col min="6" max="6" width="21.28515625" style="75" customWidth="1"/>
    <col min="7" max="7" width="21.28515625" style="74" customWidth="1"/>
    <col min="8" max="8" width="11.28515625" style="16" bestFit="1" customWidth="1"/>
    <col min="9" max="16384" width="9.140625" style="16"/>
  </cols>
  <sheetData>
    <row r="1" spans="1:8" ht="28.5" customHeight="1">
      <c r="A1" s="108" t="s">
        <v>14</v>
      </c>
      <c r="B1" s="130" t="s">
        <v>15</v>
      </c>
      <c r="C1" s="131"/>
      <c r="D1" s="131"/>
      <c r="E1" s="131"/>
      <c r="F1" s="131"/>
      <c r="G1" s="131"/>
      <c r="H1" s="132"/>
    </row>
    <row r="2" spans="1:8" ht="15.75" customHeight="1">
      <c r="A2" s="136" t="s">
        <v>16</v>
      </c>
      <c r="B2" s="139" t="s">
        <v>17</v>
      </c>
      <c r="C2" s="140"/>
      <c r="D2" s="140"/>
      <c r="E2" s="141"/>
      <c r="F2" s="142" t="s">
        <v>18</v>
      </c>
      <c r="G2" s="144" t="s">
        <v>19</v>
      </c>
      <c r="H2" s="133" t="s">
        <v>20</v>
      </c>
    </row>
    <row r="3" spans="1:8">
      <c r="A3" s="137"/>
      <c r="B3" s="146" t="s">
        <v>21</v>
      </c>
      <c r="C3" s="147"/>
      <c r="D3" s="146" t="s">
        <v>22</v>
      </c>
      <c r="E3" s="147"/>
      <c r="F3" s="142"/>
      <c r="G3" s="144"/>
      <c r="H3" s="134"/>
    </row>
    <row r="4" spans="1:8">
      <c r="A4" s="137"/>
      <c r="B4" s="148"/>
      <c r="C4" s="149"/>
      <c r="D4" s="148"/>
      <c r="E4" s="149"/>
      <c r="F4" s="142"/>
      <c r="G4" s="144"/>
      <c r="H4" s="134"/>
    </row>
    <row r="5" spans="1:8">
      <c r="A5" s="138"/>
      <c r="B5" s="17" t="s">
        <v>23</v>
      </c>
      <c r="C5" s="79" t="s">
        <v>24</v>
      </c>
      <c r="D5" s="80" t="s">
        <v>23</v>
      </c>
      <c r="E5" s="79" t="s">
        <v>24</v>
      </c>
      <c r="F5" s="143"/>
      <c r="G5" s="145"/>
      <c r="H5" s="135"/>
    </row>
    <row r="6" spans="1:8" ht="15.75" hidden="1">
      <c r="A6" s="81"/>
      <c r="B6" s="24"/>
      <c r="C6" s="82"/>
      <c r="D6" s="83"/>
      <c r="E6" s="82"/>
      <c r="F6" s="27"/>
      <c r="G6" s="24"/>
      <c r="H6" s="123"/>
    </row>
    <row r="7" spans="1:8" ht="27.75" hidden="1" customHeight="1">
      <c r="A7" s="84">
        <v>31</v>
      </c>
      <c r="B7" s="85">
        <v>14547.002</v>
      </c>
      <c r="C7" s="86">
        <f t="shared" ref="C7:C24" si="0">(B8-B7)*2500</f>
        <v>7464.999999997417</v>
      </c>
      <c r="D7" s="85">
        <v>14784.403</v>
      </c>
      <c r="E7" s="86">
        <f t="shared" ref="E7:E24" si="1">(D8-D7)*2500</f>
        <v>9850.0000000012733</v>
      </c>
      <c r="F7" s="122">
        <f t="shared" ref="F7:F38" si="2">C7+E7</f>
        <v>17314.99999999869</v>
      </c>
      <c r="G7" s="117">
        <f>F7*0.08</f>
        <v>1385.1999999998952</v>
      </c>
      <c r="H7" s="127">
        <v>24</v>
      </c>
    </row>
    <row r="8" spans="1:8" ht="30.95" customHeight="1">
      <c r="A8" s="40">
        <v>1</v>
      </c>
      <c r="B8" s="117">
        <v>14549.987999999999</v>
      </c>
      <c r="C8" s="87">
        <f t="shared" si="0"/>
        <v>7735.0000000024011</v>
      </c>
      <c r="D8" s="88">
        <v>14788.343000000001</v>
      </c>
      <c r="E8" s="87">
        <f t="shared" si="1"/>
        <v>10077.499999997599</v>
      </c>
      <c r="F8" s="51">
        <f t="shared" si="2"/>
        <v>17812.5</v>
      </c>
      <c r="G8" s="117">
        <f>F8*0.932</f>
        <v>16601.25</v>
      </c>
      <c r="H8" s="124">
        <v>35</v>
      </c>
    </row>
    <row r="9" spans="1:8" ht="30.95" customHeight="1">
      <c r="A9" s="45">
        <v>2</v>
      </c>
      <c r="B9" s="89">
        <v>14553.082</v>
      </c>
      <c r="C9" s="39">
        <f t="shared" si="0"/>
        <v>9287.5000000003638</v>
      </c>
      <c r="D9" s="88">
        <v>14792.374</v>
      </c>
      <c r="E9" s="39">
        <f t="shared" si="1"/>
        <v>12984.999999998763</v>
      </c>
      <c r="F9" s="47">
        <f t="shared" si="2"/>
        <v>22272.499999999127</v>
      </c>
      <c r="G9" s="45">
        <f>F9*0.932</f>
        <v>20757.969999999186</v>
      </c>
      <c r="H9" s="125">
        <v>113</v>
      </c>
    </row>
    <row r="10" spans="1:8" ht="30.95" customHeight="1">
      <c r="A10" s="40">
        <v>3</v>
      </c>
      <c r="B10" s="90">
        <v>14556.797</v>
      </c>
      <c r="C10" s="87">
        <f t="shared" si="0"/>
        <v>8119.9999999989814</v>
      </c>
      <c r="D10" s="91">
        <v>14797.567999999999</v>
      </c>
      <c r="E10" s="87">
        <f t="shared" si="1"/>
        <v>11282.500000002074</v>
      </c>
      <c r="F10" s="51">
        <f t="shared" si="2"/>
        <v>19402.500000001055</v>
      </c>
      <c r="G10" s="45">
        <f t="shared" ref="G10:G38" si="3">F10*0.932</f>
        <v>18083.130000000983</v>
      </c>
      <c r="H10" s="125">
        <v>157</v>
      </c>
    </row>
    <row r="11" spans="1:8" ht="30.95" customHeight="1">
      <c r="A11" s="45">
        <v>4</v>
      </c>
      <c r="B11" s="92">
        <v>14560.045</v>
      </c>
      <c r="C11" s="39">
        <f t="shared" si="0"/>
        <v>9304.9999999993815</v>
      </c>
      <c r="D11" s="93">
        <v>14802.081</v>
      </c>
      <c r="E11" s="39">
        <f t="shared" si="1"/>
        <v>12417.500000001382</v>
      </c>
      <c r="F11" s="47">
        <f t="shared" si="2"/>
        <v>21722.500000000764</v>
      </c>
      <c r="G11" s="45">
        <f t="shared" si="3"/>
        <v>20245.370000000712</v>
      </c>
      <c r="H11" s="125">
        <v>167</v>
      </c>
    </row>
    <row r="12" spans="1:8" ht="30.95" customHeight="1">
      <c r="A12" s="40">
        <v>5</v>
      </c>
      <c r="B12" s="94">
        <v>14563.767</v>
      </c>
      <c r="C12" s="87">
        <f t="shared" si="0"/>
        <v>9165.0000000026921</v>
      </c>
      <c r="D12" s="91">
        <v>14807.048000000001</v>
      </c>
      <c r="E12" s="87">
        <f t="shared" si="1"/>
        <v>12149.999999996908</v>
      </c>
      <c r="F12" s="51">
        <f t="shared" si="2"/>
        <v>21314.9999999996</v>
      </c>
      <c r="G12" s="45">
        <f t="shared" si="3"/>
        <v>19865.579999999627</v>
      </c>
      <c r="H12" s="125">
        <v>170</v>
      </c>
    </row>
    <row r="13" spans="1:8" ht="30.95" customHeight="1">
      <c r="A13" s="45">
        <v>6</v>
      </c>
      <c r="B13" s="92">
        <v>14567.433000000001</v>
      </c>
      <c r="C13" s="39">
        <f t="shared" si="0"/>
        <v>7942.4999999991996</v>
      </c>
      <c r="D13" s="93">
        <v>14811.907999999999</v>
      </c>
      <c r="E13" s="39">
        <f t="shared" si="1"/>
        <v>10150.000000003274</v>
      </c>
      <c r="F13" s="47">
        <f t="shared" si="2"/>
        <v>18092.500000002474</v>
      </c>
      <c r="G13" s="45">
        <f t="shared" si="3"/>
        <v>16862.210000002306</v>
      </c>
      <c r="H13" s="125">
        <v>144</v>
      </c>
    </row>
    <row r="14" spans="1:8" ht="30.95" customHeight="1">
      <c r="A14" s="40">
        <v>7</v>
      </c>
      <c r="B14" s="94">
        <v>14570.61</v>
      </c>
      <c r="C14" s="87">
        <f t="shared" si="0"/>
        <v>7842.4999999970169</v>
      </c>
      <c r="D14" s="95">
        <v>14815.968000000001</v>
      </c>
      <c r="E14" s="87">
        <f t="shared" si="1"/>
        <v>9417.4999999995634</v>
      </c>
      <c r="F14" s="51">
        <f t="shared" si="2"/>
        <v>17259.99999999658</v>
      </c>
      <c r="G14" s="45">
        <f t="shared" si="3"/>
        <v>16086.319999996813</v>
      </c>
      <c r="H14" s="125">
        <v>89</v>
      </c>
    </row>
    <row r="15" spans="1:8" ht="30.95" customHeight="1">
      <c r="A15" s="45">
        <v>8</v>
      </c>
      <c r="B15" s="92">
        <v>14573.746999999999</v>
      </c>
      <c r="C15" s="39">
        <f t="shared" si="0"/>
        <v>7762.5000000034561</v>
      </c>
      <c r="D15" s="96">
        <v>14819.735000000001</v>
      </c>
      <c r="E15" s="39">
        <f t="shared" si="1"/>
        <v>9557.5000000008004</v>
      </c>
      <c r="F15" s="47">
        <f t="shared" si="2"/>
        <v>17320.000000004256</v>
      </c>
      <c r="G15" s="45">
        <f t="shared" si="3"/>
        <v>16142.240000003967</v>
      </c>
      <c r="H15" s="125">
        <v>23</v>
      </c>
    </row>
    <row r="16" spans="1:8" ht="30.95" customHeight="1">
      <c r="A16" s="40">
        <v>9</v>
      </c>
      <c r="B16" s="97">
        <v>14576.852000000001</v>
      </c>
      <c r="C16" s="87">
        <f t="shared" si="0"/>
        <v>-36442130</v>
      </c>
      <c r="D16" s="98">
        <v>14823.558000000001</v>
      </c>
      <c r="E16" s="87">
        <f t="shared" si="1"/>
        <v>-37058895</v>
      </c>
      <c r="F16" s="51">
        <f t="shared" si="2"/>
        <v>-73501025</v>
      </c>
      <c r="G16" s="45">
        <f t="shared" si="3"/>
        <v>-68502955.299999997</v>
      </c>
      <c r="H16" s="125">
        <v>10</v>
      </c>
    </row>
    <row r="17" spans="1:8" ht="30.95" customHeight="1">
      <c r="A17" s="45">
        <v>10</v>
      </c>
      <c r="B17" s="94"/>
      <c r="C17" s="39">
        <f t="shared" si="0"/>
        <v>0</v>
      </c>
      <c r="D17" s="95"/>
      <c r="E17" s="39">
        <f t="shared" si="1"/>
        <v>0</v>
      </c>
      <c r="F17" s="47">
        <f t="shared" si="2"/>
        <v>0</v>
      </c>
      <c r="G17" s="45">
        <f t="shared" si="3"/>
        <v>0</v>
      </c>
      <c r="H17" s="125"/>
    </row>
    <row r="18" spans="1:8" ht="30.95" customHeight="1">
      <c r="A18" s="40">
        <v>11</v>
      </c>
      <c r="B18" s="92"/>
      <c r="C18" s="87">
        <f t="shared" si="0"/>
        <v>0</v>
      </c>
      <c r="D18" s="96"/>
      <c r="E18" s="87">
        <f t="shared" si="1"/>
        <v>0</v>
      </c>
      <c r="F18" s="51">
        <f t="shared" si="2"/>
        <v>0</v>
      </c>
      <c r="G18" s="45">
        <f t="shared" si="3"/>
        <v>0</v>
      </c>
      <c r="H18" s="125"/>
    </row>
    <row r="19" spans="1:8" ht="30.95" customHeight="1">
      <c r="A19" s="45">
        <v>12</v>
      </c>
      <c r="B19" s="94"/>
      <c r="C19" s="39">
        <f t="shared" si="0"/>
        <v>0</v>
      </c>
      <c r="D19" s="95"/>
      <c r="E19" s="39">
        <f t="shared" si="1"/>
        <v>0</v>
      </c>
      <c r="F19" s="47">
        <f t="shared" si="2"/>
        <v>0</v>
      </c>
      <c r="G19" s="45">
        <f t="shared" si="3"/>
        <v>0</v>
      </c>
      <c r="H19" s="125"/>
    </row>
    <row r="20" spans="1:8" ht="30.95" customHeight="1">
      <c r="A20" s="40">
        <v>13</v>
      </c>
      <c r="B20" s="92"/>
      <c r="C20" s="87">
        <f t="shared" si="0"/>
        <v>0</v>
      </c>
      <c r="D20" s="99"/>
      <c r="E20" s="87">
        <f t="shared" si="1"/>
        <v>0</v>
      </c>
      <c r="F20" s="51">
        <f t="shared" si="2"/>
        <v>0</v>
      </c>
      <c r="G20" s="45">
        <f t="shared" si="3"/>
        <v>0</v>
      </c>
      <c r="H20" s="125"/>
    </row>
    <row r="21" spans="1:8" ht="30.95" customHeight="1">
      <c r="A21" s="45">
        <v>14</v>
      </c>
      <c r="B21" s="92"/>
      <c r="C21" s="39">
        <f t="shared" si="0"/>
        <v>0</v>
      </c>
      <c r="D21" s="96"/>
      <c r="E21" s="39">
        <f t="shared" si="1"/>
        <v>0</v>
      </c>
      <c r="F21" s="47">
        <f t="shared" si="2"/>
        <v>0</v>
      </c>
      <c r="G21" s="45">
        <f t="shared" si="3"/>
        <v>0</v>
      </c>
      <c r="H21" s="125"/>
    </row>
    <row r="22" spans="1:8" ht="30.95" customHeight="1">
      <c r="A22" s="40">
        <v>15</v>
      </c>
      <c r="B22" s="92"/>
      <c r="C22" s="87">
        <f t="shared" si="0"/>
        <v>0</v>
      </c>
      <c r="D22" s="74"/>
      <c r="E22" s="87">
        <f t="shared" si="1"/>
        <v>0</v>
      </c>
      <c r="F22" s="51">
        <f t="shared" si="2"/>
        <v>0</v>
      </c>
      <c r="G22" s="45">
        <f t="shared" si="3"/>
        <v>0</v>
      </c>
      <c r="H22" s="125"/>
    </row>
    <row r="23" spans="1:8" ht="30.95" customHeight="1">
      <c r="A23" s="45">
        <v>16</v>
      </c>
      <c r="B23" s="110"/>
      <c r="C23" s="39">
        <f t="shared" si="0"/>
        <v>0</v>
      </c>
      <c r="D23" s="111"/>
      <c r="E23" s="39">
        <f t="shared" si="1"/>
        <v>0</v>
      </c>
      <c r="F23" s="47">
        <f t="shared" si="2"/>
        <v>0</v>
      </c>
      <c r="G23" s="45">
        <f t="shared" si="3"/>
        <v>0</v>
      </c>
      <c r="H23" s="125"/>
    </row>
    <row r="24" spans="1:8" ht="30.95" customHeight="1">
      <c r="A24" s="40">
        <v>17</v>
      </c>
      <c r="B24" s="112"/>
      <c r="C24" s="87">
        <f t="shared" si="0"/>
        <v>0</v>
      </c>
      <c r="D24" s="95"/>
      <c r="E24" s="87">
        <f t="shared" si="1"/>
        <v>0</v>
      </c>
      <c r="F24" s="51">
        <f t="shared" si="2"/>
        <v>0</v>
      </c>
      <c r="G24" s="45">
        <f t="shared" si="3"/>
        <v>0</v>
      </c>
      <c r="H24" s="125"/>
    </row>
    <row r="25" spans="1:8" ht="30.95" customHeight="1">
      <c r="A25" s="45">
        <v>18</v>
      </c>
      <c r="B25" s="92"/>
      <c r="C25" s="39">
        <f>(B26-B25)*2500</f>
        <v>0</v>
      </c>
      <c r="D25" s="96"/>
      <c r="E25" s="39">
        <f>(D26-D25)*2500</f>
        <v>0</v>
      </c>
      <c r="F25" s="47">
        <f t="shared" si="2"/>
        <v>0</v>
      </c>
      <c r="G25" s="45">
        <f t="shared" si="3"/>
        <v>0</v>
      </c>
      <c r="H25" s="125"/>
    </row>
    <row r="26" spans="1:8" ht="30.95" customHeight="1">
      <c r="A26" s="40">
        <v>19</v>
      </c>
      <c r="B26" s="94"/>
      <c r="C26" s="87">
        <f t="shared" ref="C26:C38" si="4">(B27-B26)*2500</f>
        <v>0</v>
      </c>
      <c r="D26" s="95"/>
      <c r="E26" s="87">
        <f t="shared" ref="E26:E38" si="5">(D27-D26)*2500</f>
        <v>0</v>
      </c>
      <c r="F26" s="47">
        <f t="shared" si="2"/>
        <v>0</v>
      </c>
      <c r="G26" s="45">
        <f t="shared" si="3"/>
        <v>0</v>
      </c>
      <c r="H26" s="125"/>
    </row>
    <row r="27" spans="1:8" ht="30.95" customHeight="1">
      <c r="A27" s="45">
        <v>20</v>
      </c>
      <c r="B27" s="92"/>
      <c r="C27" s="39">
        <f t="shared" si="4"/>
        <v>0</v>
      </c>
      <c r="D27" s="99"/>
      <c r="E27" s="39">
        <f t="shared" si="5"/>
        <v>0</v>
      </c>
      <c r="F27" s="51">
        <f t="shared" si="2"/>
        <v>0</v>
      </c>
      <c r="G27" s="45">
        <f t="shared" si="3"/>
        <v>0</v>
      </c>
      <c r="H27" s="125"/>
    </row>
    <row r="28" spans="1:8" ht="30.95" customHeight="1">
      <c r="A28" s="40">
        <v>21</v>
      </c>
      <c r="B28" s="94"/>
      <c r="C28" s="87">
        <f t="shared" si="4"/>
        <v>0</v>
      </c>
      <c r="D28" s="95"/>
      <c r="E28" s="87">
        <f t="shared" si="5"/>
        <v>0</v>
      </c>
      <c r="F28" s="47">
        <f t="shared" si="2"/>
        <v>0</v>
      </c>
      <c r="G28" s="45">
        <f t="shared" si="3"/>
        <v>0</v>
      </c>
      <c r="H28" s="125"/>
    </row>
    <row r="29" spans="1:8" ht="30.95" customHeight="1">
      <c r="A29" s="45">
        <v>22</v>
      </c>
      <c r="B29" s="92"/>
      <c r="C29" s="39">
        <f t="shared" si="4"/>
        <v>0</v>
      </c>
      <c r="D29" s="96"/>
      <c r="E29" s="39">
        <f t="shared" si="5"/>
        <v>0</v>
      </c>
      <c r="F29" s="51">
        <f t="shared" si="2"/>
        <v>0</v>
      </c>
      <c r="G29" s="45">
        <f t="shared" si="3"/>
        <v>0</v>
      </c>
      <c r="H29" s="125"/>
    </row>
    <row r="30" spans="1:8" ht="30.95" customHeight="1">
      <c r="A30" s="40">
        <v>23</v>
      </c>
      <c r="B30" s="94"/>
      <c r="C30" s="87">
        <f t="shared" si="4"/>
        <v>0</v>
      </c>
      <c r="D30" s="95"/>
      <c r="E30" s="87">
        <f t="shared" si="5"/>
        <v>0</v>
      </c>
      <c r="F30" s="47">
        <f t="shared" si="2"/>
        <v>0</v>
      </c>
      <c r="G30" s="45">
        <f t="shared" si="3"/>
        <v>0</v>
      </c>
      <c r="H30" s="125"/>
    </row>
    <row r="31" spans="1:8" ht="30.95" customHeight="1">
      <c r="A31" s="45">
        <v>24</v>
      </c>
      <c r="B31" s="92"/>
      <c r="C31" s="39">
        <f t="shared" si="4"/>
        <v>0</v>
      </c>
      <c r="D31" s="96"/>
      <c r="E31" s="39">
        <f t="shared" si="5"/>
        <v>0</v>
      </c>
      <c r="F31" s="51">
        <f t="shared" si="2"/>
        <v>0</v>
      </c>
      <c r="G31" s="45">
        <f t="shared" si="3"/>
        <v>0</v>
      </c>
      <c r="H31" s="125"/>
    </row>
    <row r="32" spans="1:8" ht="30.95" customHeight="1">
      <c r="A32" s="40">
        <v>25</v>
      </c>
      <c r="B32" s="94"/>
      <c r="C32" s="87">
        <f t="shared" si="4"/>
        <v>0</v>
      </c>
      <c r="D32" s="95"/>
      <c r="E32" s="87">
        <f t="shared" si="5"/>
        <v>0</v>
      </c>
      <c r="F32" s="47">
        <f t="shared" si="2"/>
        <v>0</v>
      </c>
      <c r="G32" s="45">
        <f t="shared" si="3"/>
        <v>0</v>
      </c>
      <c r="H32" s="125"/>
    </row>
    <row r="33" spans="1:8" ht="30.95" customHeight="1">
      <c r="A33" s="45">
        <v>26</v>
      </c>
      <c r="B33" s="92"/>
      <c r="C33" s="39">
        <f t="shared" si="4"/>
        <v>0</v>
      </c>
      <c r="D33" s="96"/>
      <c r="E33" s="39">
        <f t="shared" si="5"/>
        <v>0</v>
      </c>
      <c r="F33" s="51">
        <f t="shared" si="2"/>
        <v>0</v>
      </c>
      <c r="G33" s="45">
        <f t="shared" si="3"/>
        <v>0</v>
      </c>
      <c r="H33" s="125"/>
    </row>
    <row r="34" spans="1:8" ht="30.95" customHeight="1">
      <c r="A34" s="40">
        <v>27</v>
      </c>
      <c r="B34" s="94"/>
      <c r="C34" s="87">
        <f t="shared" si="4"/>
        <v>0</v>
      </c>
      <c r="D34" s="95"/>
      <c r="E34" s="39">
        <f t="shared" si="5"/>
        <v>0</v>
      </c>
      <c r="F34" s="47">
        <f t="shared" si="2"/>
        <v>0</v>
      </c>
      <c r="G34" s="45">
        <f t="shared" si="3"/>
        <v>0</v>
      </c>
      <c r="H34" s="125"/>
    </row>
    <row r="35" spans="1:8" ht="30.95" customHeight="1">
      <c r="A35" s="45">
        <v>28</v>
      </c>
      <c r="B35" s="100"/>
      <c r="C35" s="39">
        <f t="shared" si="4"/>
        <v>0</v>
      </c>
      <c r="D35" s="96"/>
      <c r="E35" s="39">
        <f t="shared" si="5"/>
        <v>0</v>
      </c>
      <c r="F35" s="47">
        <f t="shared" si="2"/>
        <v>0</v>
      </c>
      <c r="G35" s="45">
        <f t="shared" si="3"/>
        <v>0</v>
      </c>
      <c r="H35" s="125"/>
    </row>
    <row r="36" spans="1:8" ht="30.95" customHeight="1">
      <c r="A36" s="40">
        <v>29</v>
      </c>
      <c r="B36" s="94"/>
      <c r="C36" s="86">
        <f t="shared" si="4"/>
        <v>0</v>
      </c>
      <c r="D36" s="74"/>
      <c r="E36" s="86">
        <f t="shared" si="5"/>
        <v>0</v>
      </c>
      <c r="F36" s="42">
        <f t="shared" si="2"/>
        <v>0</v>
      </c>
      <c r="G36" s="57">
        <f t="shared" si="3"/>
        <v>0</v>
      </c>
      <c r="H36" s="124"/>
    </row>
    <row r="37" spans="1:8" ht="30.95" customHeight="1">
      <c r="A37" s="101">
        <v>30</v>
      </c>
      <c r="B37" s="102"/>
      <c r="C37" s="103">
        <f t="shared" si="4"/>
        <v>0</v>
      </c>
      <c r="D37" s="104"/>
      <c r="E37" s="103">
        <f t="shared" si="5"/>
        <v>0</v>
      </c>
      <c r="F37" s="105">
        <f t="shared" si="2"/>
        <v>0</v>
      </c>
      <c r="G37" s="129">
        <f t="shared" si="3"/>
        <v>0</v>
      </c>
      <c r="H37" s="126"/>
    </row>
    <row r="38" spans="1:8" ht="30.95" customHeight="1">
      <c r="A38" s="108">
        <v>1</v>
      </c>
      <c r="B38" s="108"/>
      <c r="C38" s="73">
        <f t="shared" si="4"/>
        <v>0</v>
      </c>
      <c r="D38" s="106"/>
      <c r="E38" s="73">
        <f t="shared" si="5"/>
        <v>0</v>
      </c>
      <c r="F38" s="68">
        <f t="shared" si="2"/>
        <v>0</v>
      </c>
      <c r="G38" s="128">
        <f t="shared" si="3"/>
        <v>0</v>
      </c>
      <c r="H38" s="115"/>
    </row>
    <row r="39" spans="1:8">
      <c r="B39" s="74"/>
      <c r="C39" s="74"/>
      <c r="D39" s="74"/>
      <c r="E39" s="74"/>
    </row>
    <row r="40" spans="1:8">
      <c r="B40" s="74"/>
      <c r="C40" s="74"/>
      <c r="D40" s="74"/>
      <c r="E40" s="74"/>
    </row>
    <row r="41" spans="1:8">
      <c r="B41" s="74"/>
      <c r="C41" s="74"/>
      <c r="D41" s="74"/>
      <c r="E41" s="74"/>
    </row>
    <row r="42" spans="1:8">
      <c r="B42" s="74"/>
      <c r="C42" s="74"/>
      <c r="D42" s="74"/>
      <c r="E42" s="74"/>
    </row>
    <row r="43" spans="1:8">
      <c r="B43" s="74"/>
      <c r="C43" s="74"/>
      <c r="D43" s="74"/>
      <c r="E43" s="74"/>
    </row>
    <row r="44" spans="1:8">
      <c r="B44" s="74"/>
      <c r="C44" s="74"/>
      <c r="D44" s="74"/>
      <c r="E44" s="74"/>
    </row>
    <row r="45" spans="1:8">
      <c r="B45" s="74"/>
      <c r="C45" s="74"/>
      <c r="D45" s="74"/>
      <c r="E45" s="74"/>
    </row>
    <row r="46" spans="1:8">
      <c r="B46" s="74"/>
      <c r="C46" s="74"/>
      <c r="D46" s="74"/>
      <c r="E46" s="74"/>
      <c r="F46" s="76"/>
      <c r="G46" s="16"/>
    </row>
    <row r="47" spans="1:8">
      <c r="B47" s="74"/>
      <c r="C47" s="74"/>
      <c r="D47" s="74"/>
      <c r="E47" s="74"/>
      <c r="F47" s="76"/>
      <c r="G47" s="16"/>
    </row>
    <row r="48" spans="1:8">
      <c r="B48" s="74"/>
      <c r="C48" s="74"/>
      <c r="D48" s="74"/>
      <c r="E48" s="74"/>
      <c r="F48" s="76"/>
      <c r="G48" s="16"/>
    </row>
    <row r="49" spans="1:7">
      <c r="B49" s="74"/>
      <c r="C49" s="74"/>
      <c r="D49" s="74"/>
      <c r="E49" s="74"/>
      <c r="F49" s="76"/>
      <c r="G49" s="16"/>
    </row>
    <row r="50" spans="1:7">
      <c r="B50" s="74"/>
      <c r="C50" s="74"/>
      <c r="D50" s="74"/>
      <c r="E50" s="74"/>
      <c r="F50" s="76"/>
      <c r="G50" s="16"/>
    </row>
    <row r="51" spans="1:7">
      <c r="A51" s="77"/>
      <c r="B51" s="74"/>
      <c r="C51" s="74"/>
      <c r="D51" s="74"/>
      <c r="E51" s="74"/>
      <c r="F51" s="76"/>
      <c r="G51" s="16"/>
    </row>
    <row r="52" spans="1:7">
      <c r="A52" s="77"/>
      <c r="B52" s="74"/>
      <c r="C52" s="74"/>
      <c r="D52" s="74"/>
      <c r="E52" s="74"/>
      <c r="F52" s="76"/>
      <c r="G52" s="16"/>
    </row>
    <row r="53" spans="1:7">
      <c r="A53" s="77"/>
      <c r="B53" s="74"/>
      <c r="C53" s="74"/>
      <c r="D53" s="74"/>
      <c r="E53" s="74"/>
      <c r="F53" s="76"/>
      <c r="G53" s="16"/>
    </row>
    <row r="54" spans="1:7">
      <c r="A54" s="77"/>
      <c r="B54" s="74"/>
      <c r="C54" s="74"/>
      <c r="D54" s="74"/>
      <c r="E54" s="74"/>
      <c r="F54" s="76"/>
      <c r="G54" s="16"/>
    </row>
    <row r="55" spans="1:7">
      <c r="A55" s="77"/>
      <c r="B55" s="74"/>
      <c r="C55" s="74"/>
      <c r="D55" s="74"/>
      <c r="E55" s="74"/>
      <c r="F55" s="76"/>
      <c r="G55" s="16"/>
    </row>
    <row r="56" spans="1:7">
      <c r="A56" s="77"/>
      <c r="B56" s="74"/>
      <c r="C56" s="74"/>
      <c r="D56" s="74"/>
      <c r="E56" s="74"/>
      <c r="F56" s="76"/>
      <c r="G56" s="16"/>
    </row>
    <row r="57" spans="1:7">
      <c r="A57" s="77"/>
      <c r="B57" s="74"/>
      <c r="C57" s="74"/>
      <c r="D57" s="74"/>
      <c r="E57" s="74"/>
      <c r="F57" s="76"/>
      <c r="G57" s="16"/>
    </row>
    <row r="58" spans="1:7">
      <c r="A58" s="77"/>
      <c r="B58" s="74"/>
      <c r="C58" s="74"/>
      <c r="D58" s="74"/>
      <c r="E58" s="74"/>
      <c r="F58" s="76"/>
      <c r="G58" s="16"/>
    </row>
    <row r="59" spans="1:7">
      <c r="A59" s="77"/>
      <c r="B59" s="74"/>
      <c r="C59" s="74"/>
      <c r="D59" s="74"/>
      <c r="E59" s="74"/>
      <c r="F59" s="76"/>
      <c r="G59" s="16"/>
    </row>
    <row r="60" spans="1:7">
      <c r="A60" s="77"/>
      <c r="B60" s="74"/>
      <c r="C60" s="74"/>
      <c r="D60" s="74"/>
      <c r="E60" s="74"/>
      <c r="F60" s="76"/>
      <c r="G60" s="16"/>
    </row>
    <row r="61" spans="1:7">
      <c r="A61" s="77"/>
      <c r="B61" s="74"/>
      <c r="C61" s="74"/>
      <c r="D61" s="74"/>
      <c r="E61" s="74"/>
      <c r="F61" s="76"/>
      <c r="G61" s="16"/>
    </row>
    <row r="62" spans="1:7">
      <c r="A62" s="77"/>
      <c r="B62" s="74"/>
      <c r="C62" s="74"/>
      <c r="D62" s="74"/>
      <c r="E62" s="74"/>
      <c r="F62" s="76"/>
      <c r="G62" s="16"/>
    </row>
    <row r="63" spans="1:7">
      <c r="A63" s="77"/>
      <c r="B63" s="74"/>
      <c r="C63" s="74"/>
      <c r="D63" s="74"/>
      <c r="E63" s="74"/>
      <c r="F63" s="76"/>
      <c r="G63" s="16"/>
    </row>
    <row r="64" spans="1:7">
      <c r="A64" s="77"/>
      <c r="B64" s="74"/>
      <c r="C64" s="74"/>
      <c r="D64" s="74"/>
      <c r="E64" s="74"/>
      <c r="F64" s="76"/>
      <c r="G64" s="16"/>
    </row>
    <row r="65" spans="1:7">
      <c r="A65" s="77"/>
      <c r="B65" s="74"/>
      <c r="C65" s="74"/>
      <c r="D65" s="74"/>
      <c r="E65" s="74"/>
      <c r="F65" s="76"/>
      <c r="G65" s="16"/>
    </row>
    <row r="66" spans="1:7">
      <c r="A66" s="77"/>
      <c r="B66" s="74"/>
      <c r="C66" s="74"/>
      <c r="D66" s="74"/>
      <c r="E66" s="74"/>
      <c r="F66" s="76"/>
      <c r="G66" s="16"/>
    </row>
    <row r="67" spans="1:7">
      <c r="A67" s="77"/>
      <c r="B67" s="74"/>
      <c r="C67" s="74"/>
      <c r="D67" s="74"/>
      <c r="E67" s="74"/>
      <c r="F67" s="76"/>
      <c r="G67" s="16"/>
    </row>
    <row r="68" spans="1:7">
      <c r="A68" s="77"/>
      <c r="B68" s="74"/>
      <c r="C68" s="74"/>
      <c r="D68" s="74"/>
      <c r="E68" s="74"/>
      <c r="F68" s="76"/>
      <c r="G68" s="16"/>
    </row>
    <row r="69" spans="1:7">
      <c r="A69" s="77"/>
      <c r="B69" s="74"/>
      <c r="C69" s="74"/>
      <c r="D69" s="74"/>
      <c r="E69" s="74"/>
      <c r="F69" s="76"/>
      <c r="G69" s="16"/>
    </row>
    <row r="70" spans="1:7">
      <c r="A70" s="77"/>
      <c r="B70" s="74"/>
      <c r="C70" s="74"/>
      <c r="D70" s="74"/>
      <c r="E70" s="74"/>
      <c r="F70" s="76"/>
      <c r="G70" s="16"/>
    </row>
    <row r="71" spans="1:7">
      <c r="A71" s="77"/>
      <c r="B71" s="74"/>
      <c r="C71" s="74"/>
      <c r="D71" s="74"/>
      <c r="E71" s="74"/>
      <c r="F71" s="76"/>
      <c r="G71" s="16"/>
    </row>
    <row r="72" spans="1:7">
      <c r="A72" s="77"/>
      <c r="B72" s="74"/>
      <c r="C72" s="74"/>
      <c r="D72" s="74"/>
      <c r="E72" s="74"/>
      <c r="F72" s="76"/>
      <c r="G72" s="16"/>
    </row>
    <row r="73" spans="1:7">
      <c r="A73" s="77"/>
      <c r="B73" s="74"/>
      <c r="C73" s="74"/>
      <c r="D73" s="74"/>
      <c r="E73" s="74"/>
      <c r="F73" s="76"/>
      <c r="G73" s="16"/>
    </row>
    <row r="74" spans="1:7">
      <c r="A74" s="77"/>
      <c r="B74" s="74"/>
      <c r="C74" s="74"/>
      <c r="D74" s="74"/>
      <c r="E74" s="74"/>
      <c r="F74" s="76"/>
      <c r="G74" s="16"/>
    </row>
    <row r="75" spans="1:7">
      <c r="A75" s="77"/>
      <c r="B75" s="74"/>
      <c r="C75" s="74"/>
      <c r="D75" s="74"/>
      <c r="E75" s="74"/>
      <c r="F75" s="76"/>
      <c r="G75" s="16"/>
    </row>
    <row r="76" spans="1:7">
      <c r="A76" s="77"/>
      <c r="B76" s="74"/>
      <c r="C76" s="74"/>
      <c r="D76" s="74"/>
      <c r="E76" s="74"/>
      <c r="F76" s="76"/>
      <c r="G76" s="16"/>
    </row>
    <row r="77" spans="1:7">
      <c r="A77" s="77"/>
      <c r="B77" s="74"/>
      <c r="C77" s="74"/>
      <c r="D77" s="74"/>
      <c r="E77" s="74"/>
      <c r="F77" s="76"/>
      <c r="G77" s="16"/>
    </row>
    <row r="78" spans="1:7">
      <c r="A78" s="77"/>
      <c r="B78" s="74"/>
      <c r="C78" s="74"/>
      <c r="D78" s="74"/>
      <c r="E78" s="74"/>
      <c r="F78" s="76"/>
      <c r="G78" s="16"/>
    </row>
    <row r="79" spans="1:7">
      <c r="A79" s="77"/>
      <c r="B79" s="74"/>
      <c r="C79" s="74"/>
      <c r="D79" s="74"/>
      <c r="E79" s="74"/>
      <c r="F79" s="76"/>
      <c r="G79" s="16"/>
    </row>
    <row r="80" spans="1:7">
      <c r="A80" s="77"/>
      <c r="B80" s="74"/>
      <c r="C80" s="74"/>
      <c r="D80" s="74"/>
      <c r="E80" s="74"/>
      <c r="F80" s="76"/>
      <c r="G80" s="16"/>
    </row>
    <row r="81" spans="1:7">
      <c r="A81" s="77"/>
      <c r="B81" s="74"/>
      <c r="C81" s="74"/>
      <c r="D81" s="74"/>
      <c r="E81" s="74"/>
      <c r="F81" s="76"/>
      <c r="G81" s="16"/>
    </row>
    <row r="82" spans="1:7">
      <c r="A82" s="77"/>
      <c r="B82" s="74"/>
      <c r="C82" s="74"/>
      <c r="D82" s="74"/>
      <c r="E82" s="74"/>
      <c r="F82" s="76"/>
      <c r="G82" s="16"/>
    </row>
    <row r="83" spans="1:7">
      <c r="A83" s="77"/>
      <c r="B83" s="74"/>
      <c r="C83" s="74"/>
      <c r="D83" s="74"/>
      <c r="E83" s="74"/>
      <c r="F83" s="76"/>
      <c r="G83" s="16"/>
    </row>
    <row r="84" spans="1:7">
      <c r="A84" s="77"/>
      <c r="B84" s="74"/>
      <c r="C84" s="74"/>
      <c r="D84" s="74"/>
      <c r="E84" s="74"/>
      <c r="F84" s="76"/>
      <c r="G84" s="16"/>
    </row>
    <row r="85" spans="1:7">
      <c r="A85" s="77"/>
      <c r="B85" s="74"/>
      <c r="C85" s="74"/>
      <c r="D85" s="74"/>
      <c r="E85" s="74"/>
      <c r="F85" s="76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4"/>
  <sheetViews>
    <sheetView tabSelected="1" zoomScaleNormal="100" workbookViewId="0">
      <pane ySplit="4" topLeftCell="A7" activePane="bottomLeft" state="frozen"/>
      <selection pane="bottomLeft" activeCell="J15" sqref="J15"/>
    </sheetView>
  </sheetViews>
  <sheetFormatPr defaultRowHeight="15"/>
  <cols>
    <col min="1" max="1" width="10.7109375" style="74" customWidth="1"/>
    <col min="2" max="2" width="12.7109375" style="16" customWidth="1"/>
    <col min="3" max="6" width="12.7109375" style="76" customWidth="1"/>
    <col min="7" max="9" width="12.7109375" style="16" customWidth="1"/>
    <col min="10" max="12" width="12.7109375" style="78" customWidth="1"/>
    <col min="13" max="13" width="12.7109375" style="16" customWidth="1"/>
    <col min="14" max="16384" width="9.140625" style="16"/>
  </cols>
  <sheetData>
    <row r="1" spans="1:12">
      <c r="A1" s="150" t="s">
        <v>14</v>
      </c>
      <c r="B1" s="146" t="s">
        <v>25</v>
      </c>
      <c r="C1" s="153"/>
      <c r="D1" s="147"/>
      <c r="E1" s="146" t="s">
        <v>26</v>
      </c>
      <c r="F1" s="153"/>
      <c r="G1" s="153"/>
      <c r="H1" s="153"/>
      <c r="I1" s="147"/>
      <c r="J1" s="146" t="s">
        <v>27</v>
      </c>
      <c r="K1" s="153"/>
      <c r="L1" s="147"/>
    </row>
    <row r="2" spans="1:12">
      <c r="A2" s="151"/>
      <c r="B2" s="154"/>
      <c r="C2" s="155"/>
      <c r="D2" s="156"/>
      <c r="E2" s="148"/>
      <c r="F2" s="157"/>
      <c r="G2" s="157"/>
      <c r="H2" s="157"/>
      <c r="I2" s="149"/>
      <c r="J2" s="148"/>
      <c r="K2" s="157"/>
      <c r="L2" s="149"/>
    </row>
    <row r="3" spans="1:12" ht="27" customHeight="1">
      <c r="A3" s="152"/>
      <c r="B3" s="158">
        <v>10570.79</v>
      </c>
      <c r="C3" s="159"/>
      <c r="D3" s="160"/>
      <c r="E3" s="161">
        <v>6704.58</v>
      </c>
      <c r="F3" s="162"/>
      <c r="G3" s="162"/>
      <c r="H3" s="162"/>
      <c r="I3" s="163"/>
      <c r="J3" s="161">
        <v>0</v>
      </c>
      <c r="K3" s="162"/>
      <c r="L3" s="163"/>
    </row>
    <row r="4" spans="1:12" ht="59.25" customHeight="1">
      <c r="A4" s="119" t="s">
        <v>16</v>
      </c>
      <c r="B4" s="17" t="s">
        <v>23</v>
      </c>
      <c r="C4" s="18" t="s">
        <v>28</v>
      </c>
      <c r="D4" s="19" t="s">
        <v>29</v>
      </c>
      <c r="E4" s="116" t="s">
        <v>23</v>
      </c>
      <c r="F4" s="20" t="s">
        <v>24</v>
      </c>
      <c r="G4" s="21" t="s">
        <v>30</v>
      </c>
      <c r="H4" s="21" t="s">
        <v>31</v>
      </c>
      <c r="I4" s="115" t="s">
        <v>32</v>
      </c>
      <c r="J4" s="17" t="s">
        <v>23</v>
      </c>
      <c r="K4" s="21" t="s">
        <v>28</v>
      </c>
      <c r="L4" s="22" t="s">
        <v>33</v>
      </c>
    </row>
    <row r="5" spans="1:12" ht="17.25" hidden="1" customHeight="1">
      <c r="A5" s="23"/>
      <c r="B5" s="24"/>
      <c r="C5" s="25"/>
      <c r="D5" s="26"/>
      <c r="E5" s="27"/>
      <c r="F5" s="28"/>
      <c r="G5" s="29"/>
      <c r="H5" s="29"/>
      <c r="I5" s="30"/>
      <c r="J5" s="31"/>
      <c r="K5" s="32"/>
      <c r="L5" s="33"/>
    </row>
    <row r="6" spans="1:12" ht="32.450000000000003" hidden="1" customHeight="1">
      <c r="A6" s="117">
        <v>31</v>
      </c>
      <c r="B6" s="117">
        <v>6203863</v>
      </c>
      <c r="C6" s="120">
        <f>B7-B6</f>
        <v>2498</v>
      </c>
      <c r="D6" s="34">
        <f>C6*0.16949153</f>
        <v>423.38984194</v>
      </c>
      <c r="E6" s="35">
        <v>494061</v>
      </c>
      <c r="F6" s="121">
        <f>E7-E6</f>
        <v>181</v>
      </c>
      <c r="G6" s="36">
        <f>F6*0.84746</f>
        <v>153.39026000000001</v>
      </c>
      <c r="H6" s="36">
        <f>F6*0.84746</f>
        <v>153.39026000000001</v>
      </c>
      <c r="I6" s="118">
        <f>G6+H6</f>
        <v>306.78052000000002</v>
      </c>
      <c r="J6" s="37">
        <f>6910+6490</f>
        <v>13400</v>
      </c>
      <c r="K6" s="38">
        <f>J6-J7</f>
        <v>-40</v>
      </c>
      <c r="L6" s="39">
        <f>K6*0.59</f>
        <v>-23.599999999999998</v>
      </c>
    </row>
    <row r="7" spans="1:12" ht="32.450000000000003" customHeight="1">
      <c r="A7" s="40">
        <v>1</v>
      </c>
      <c r="B7" s="117">
        <v>6206361</v>
      </c>
      <c r="C7" s="53">
        <f t="shared" ref="C7:C16" si="0">B8-B7</f>
        <v>2399</v>
      </c>
      <c r="D7" s="41">
        <f>C7*0.21186441</f>
        <v>508.26271959000002</v>
      </c>
      <c r="E7" s="42">
        <v>494242</v>
      </c>
      <c r="F7" s="54">
        <f t="shared" ref="F7:F16" si="1">E8-E7</f>
        <v>187</v>
      </c>
      <c r="G7" s="43">
        <f>F7*0.84746</f>
        <v>158.47502</v>
      </c>
      <c r="H7" s="43">
        <f>F7*0.84746</f>
        <v>158.47502</v>
      </c>
      <c r="I7" s="44">
        <f t="shared" ref="I7:I37" si="2">G7+H7</f>
        <v>316.95004</v>
      </c>
      <c r="J7" s="37">
        <f>6950+6490</f>
        <v>13440</v>
      </c>
      <c r="K7" s="38">
        <f t="shared" ref="K7:K36" si="3">J7-J8</f>
        <v>0</v>
      </c>
      <c r="L7" s="39">
        <f t="shared" ref="L7:L37" si="4">K7*0.59</f>
        <v>0</v>
      </c>
    </row>
    <row r="8" spans="1:12" ht="32.450000000000003" customHeight="1">
      <c r="A8" s="45">
        <v>2</v>
      </c>
      <c r="B8" s="45">
        <v>6208760</v>
      </c>
      <c r="C8" s="55">
        <f t="shared" si="0"/>
        <v>3565</v>
      </c>
      <c r="D8" s="46">
        <f>C8*0.21186441</f>
        <v>755.29662165000002</v>
      </c>
      <c r="E8" s="47">
        <v>494429</v>
      </c>
      <c r="F8" s="56">
        <f t="shared" si="1"/>
        <v>188</v>
      </c>
      <c r="G8" s="48">
        <f t="shared" ref="G8:G37" si="5">F8*0.84746</f>
        <v>159.32247999999998</v>
      </c>
      <c r="H8" s="48">
        <f t="shared" ref="H8:H37" si="6">F8*0.84746</f>
        <v>159.32247999999998</v>
      </c>
      <c r="I8" s="49">
        <f t="shared" si="2"/>
        <v>318.64495999999997</v>
      </c>
      <c r="J8" s="50">
        <f>6950+6490</f>
        <v>13440</v>
      </c>
      <c r="K8" s="38">
        <f t="shared" si="3"/>
        <v>0</v>
      </c>
      <c r="L8" s="39">
        <f t="shared" si="4"/>
        <v>0</v>
      </c>
    </row>
    <row r="9" spans="1:12" ht="32.450000000000003" customHeight="1">
      <c r="A9" s="40">
        <v>3</v>
      </c>
      <c r="B9" s="40">
        <v>6212325</v>
      </c>
      <c r="C9" s="53">
        <f t="shared" si="0"/>
        <v>3011</v>
      </c>
      <c r="D9" s="46">
        <f t="shared" ref="D9:D36" si="7">C9*0.21186441</f>
        <v>637.92373851000002</v>
      </c>
      <c r="E9" s="47">
        <v>494617</v>
      </c>
      <c r="F9" s="54">
        <f t="shared" si="1"/>
        <v>171</v>
      </c>
      <c r="G9" s="43">
        <f t="shared" si="5"/>
        <v>144.91566</v>
      </c>
      <c r="H9" s="43">
        <f t="shared" si="6"/>
        <v>144.91566</v>
      </c>
      <c r="I9" s="49">
        <f t="shared" si="2"/>
        <v>289.83132000000001</v>
      </c>
      <c r="J9" s="50">
        <f>6950+6490</f>
        <v>13440</v>
      </c>
      <c r="K9" s="38">
        <f t="shared" si="3"/>
        <v>0</v>
      </c>
      <c r="L9" s="39">
        <f>K9*0.59</f>
        <v>0</v>
      </c>
    </row>
    <row r="10" spans="1:12" ht="32.450000000000003" customHeight="1">
      <c r="A10" s="45">
        <v>4</v>
      </c>
      <c r="B10" s="45">
        <v>6215336</v>
      </c>
      <c r="C10" s="55">
        <f t="shared" si="0"/>
        <v>3442</v>
      </c>
      <c r="D10" s="46">
        <f t="shared" si="7"/>
        <v>729.23729921999995</v>
      </c>
      <c r="E10" s="47">
        <v>494788</v>
      </c>
      <c r="F10" s="56">
        <f t="shared" si="1"/>
        <v>226</v>
      </c>
      <c r="G10" s="48">
        <f t="shared" si="5"/>
        <v>191.52596</v>
      </c>
      <c r="H10" s="48">
        <f t="shared" si="6"/>
        <v>191.52596</v>
      </c>
      <c r="I10" s="49">
        <f t="shared" si="2"/>
        <v>383.05192</v>
      </c>
      <c r="J10" s="50">
        <f>6950+6490</f>
        <v>13440</v>
      </c>
      <c r="K10" s="38">
        <f t="shared" si="3"/>
        <v>70</v>
      </c>
      <c r="L10" s="39">
        <f t="shared" si="4"/>
        <v>41.3</v>
      </c>
    </row>
    <row r="11" spans="1:12" ht="32.450000000000003" customHeight="1">
      <c r="A11" s="40">
        <v>5</v>
      </c>
      <c r="B11" s="40">
        <v>6218778</v>
      </c>
      <c r="C11" s="53">
        <f t="shared" si="0"/>
        <v>3245</v>
      </c>
      <c r="D11" s="46">
        <f t="shared" si="7"/>
        <v>687.50001044999999</v>
      </c>
      <c r="E11" s="47">
        <v>495014</v>
      </c>
      <c r="F11" s="54">
        <f t="shared" si="1"/>
        <v>238</v>
      </c>
      <c r="G11" s="43">
        <f t="shared" si="5"/>
        <v>201.69548</v>
      </c>
      <c r="H11" s="43">
        <f t="shared" si="6"/>
        <v>201.69548</v>
      </c>
      <c r="I11" s="49">
        <f t="shared" si="2"/>
        <v>403.39096000000001</v>
      </c>
      <c r="J11" s="50">
        <f>6950+6420</f>
        <v>13370</v>
      </c>
      <c r="K11" s="38">
        <f t="shared" si="3"/>
        <v>0</v>
      </c>
      <c r="L11" s="39">
        <f t="shared" si="4"/>
        <v>0</v>
      </c>
    </row>
    <row r="12" spans="1:12" ht="32.450000000000003" customHeight="1">
      <c r="A12" s="45">
        <v>6</v>
      </c>
      <c r="B12" s="45">
        <v>6222023</v>
      </c>
      <c r="C12" s="55">
        <f t="shared" si="0"/>
        <v>2454</v>
      </c>
      <c r="D12" s="46">
        <f t="shared" si="7"/>
        <v>519.91526213999998</v>
      </c>
      <c r="E12" s="47">
        <v>495252</v>
      </c>
      <c r="F12" s="56">
        <f t="shared" si="1"/>
        <v>240</v>
      </c>
      <c r="G12" s="48">
        <f t="shared" si="5"/>
        <v>203.3904</v>
      </c>
      <c r="H12" s="48">
        <f t="shared" si="6"/>
        <v>203.3904</v>
      </c>
      <c r="I12" s="49">
        <f t="shared" si="2"/>
        <v>406.7808</v>
      </c>
      <c r="J12" s="50">
        <f>6950+6420</f>
        <v>13370</v>
      </c>
      <c r="K12" s="38">
        <f t="shared" si="3"/>
        <v>0</v>
      </c>
      <c r="L12" s="39">
        <f t="shared" si="4"/>
        <v>0</v>
      </c>
    </row>
    <row r="13" spans="1:12" ht="32.450000000000003" customHeight="1">
      <c r="A13" s="40">
        <v>7</v>
      </c>
      <c r="B13" s="40">
        <v>6224477</v>
      </c>
      <c r="C13" s="53">
        <f t="shared" si="0"/>
        <v>2304</v>
      </c>
      <c r="D13" s="46">
        <f t="shared" si="7"/>
        <v>488.13560064000001</v>
      </c>
      <c r="E13" s="47">
        <v>495492</v>
      </c>
      <c r="F13" s="54">
        <f t="shared" si="1"/>
        <v>189</v>
      </c>
      <c r="G13" s="43">
        <f t="shared" si="5"/>
        <v>160.16994</v>
      </c>
      <c r="H13" s="43">
        <f t="shared" si="6"/>
        <v>160.16994</v>
      </c>
      <c r="I13" s="49">
        <f t="shared" si="2"/>
        <v>320.33987999999999</v>
      </c>
      <c r="J13" s="50">
        <f>6950+6420</f>
        <v>13370</v>
      </c>
      <c r="K13" s="38">
        <f t="shared" si="3"/>
        <v>0</v>
      </c>
      <c r="L13" s="39">
        <f t="shared" si="4"/>
        <v>0</v>
      </c>
    </row>
    <row r="14" spans="1:12" ht="32.450000000000003" customHeight="1">
      <c r="A14" s="45">
        <v>8</v>
      </c>
      <c r="B14" s="45">
        <v>6226781</v>
      </c>
      <c r="C14" s="55">
        <f t="shared" si="0"/>
        <v>1984</v>
      </c>
      <c r="D14" s="46">
        <f t="shared" si="7"/>
        <v>420.33898943999998</v>
      </c>
      <c r="E14" s="47">
        <v>495681</v>
      </c>
      <c r="F14" s="56">
        <f t="shared" si="1"/>
        <v>188</v>
      </c>
      <c r="G14" s="48">
        <f t="shared" si="5"/>
        <v>159.32247999999998</v>
      </c>
      <c r="H14" s="48">
        <f t="shared" si="6"/>
        <v>159.32247999999998</v>
      </c>
      <c r="I14" s="49">
        <f t="shared" si="2"/>
        <v>318.64495999999997</v>
      </c>
      <c r="J14" s="50">
        <f>6950+6420</f>
        <v>13370</v>
      </c>
      <c r="K14" s="38">
        <f>J14-J15</f>
        <v>0</v>
      </c>
      <c r="L14" s="39">
        <f t="shared" si="4"/>
        <v>0</v>
      </c>
    </row>
    <row r="15" spans="1:12" ht="32.450000000000003" customHeight="1">
      <c r="A15" s="40">
        <v>9</v>
      </c>
      <c r="B15" s="40">
        <v>6228765</v>
      </c>
      <c r="C15" s="53">
        <f t="shared" si="0"/>
        <v>-6228765</v>
      </c>
      <c r="D15" s="46">
        <f t="shared" si="7"/>
        <v>-1319653.62175365</v>
      </c>
      <c r="E15" s="47">
        <v>495869</v>
      </c>
      <c r="F15" s="54">
        <f t="shared" si="1"/>
        <v>-495869</v>
      </c>
      <c r="G15" s="48">
        <f t="shared" si="5"/>
        <v>-420229.14273999998</v>
      </c>
      <c r="H15" s="43">
        <f t="shared" si="6"/>
        <v>-420229.14273999998</v>
      </c>
      <c r="I15" s="49">
        <f t="shared" si="2"/>
        <v>-840458.28547999996</v>
      </c>
      <c r="J15" s="50">
        <f>6950+6420</f>
        <v>13370</v>
      </c>
      <c r="K15" s="38">
        <f>J15-J16</f>
        <v>13370</v>
      </c>
      <c r="L15" s="39">
        <f t="shared" si="4"/>
        <v>7888.2999999999993</v>
      </c>
    </row>
    <row r="16" spans="1:12" ht="32.450000000000003" customHeight="1">
      <c r="A16" s="45">
        <v>10</v>
      </c>
      <c r="B16" s="45"/>
      <c r="C16" s="55">
        <f t="shared" si="0"/>
        <v>0</v>
      </c>
      <c r="D16" s="46">
        <f t="shared" si="7"/>
        <v>0</v>
      </c>
      <c r="E16" s="47"/>
      <c r="F16" s="56">
        <f t="shared" si="1"/>
        <v>0</v>
      </c>
      <c r="G16" s="48">
        <f t="shared" si="5"/>
        <v>0</v>
      </c>
      <c r="H16" s="48">
        <f t="shared" si="6"/>
        <v>0</v>
      </c>
      <c r="I16" s="49">
        <f t="shared" si="2"/>
        <v>0</v>
      </c>
      <c r="J16" s="50"/>
      <c r="K16" s="38">
        <f>J16-J17</f>
        <v>0</v>
      </c>
      <c r="L16" s="39">
        <f t="shared" si="4"/>
        <v>0</v>
      </c>
    </row>
    <row r="17" spans="1:12" ht="32.450000000000003" customHeight="1">
      <c r="A17" s="40">
        <v>11</v>
      </c>
      <c r="B17" s="40"/>
      <c r="C17" s="53">
        <f>B18-B17</f>
        <v>0</v>
      </c>
      <c r="D17" s="46">
        <f t="shared" si="7"/>
        <v>0</v>
      </c>
      <c r="E17" s="47"/>
      <c r="F17" s="54">
        <f>E18-E17</f>
        <v>0</v>
      </c>
      <c r="G17" s="43">
        <f t="shared" si="5"/>
        <v>0</v>
      </c>
      <c r="H17" s="43">
        <f t="shared" si="6"/>
        <v>0</v>
      </c>
      <c r="I17" s="49">
        <f t="shared" si="2"/>
        <v>0</v>
      </c>
      <c r="J17" s="50"/>
      <c r="K17" s="38">
        <f t="shared" si="3"/>
        <v>0</v>
      </c>
      <c r="L17" s="39">
        <f t="shared" si="4"/>
        <v>0</v>
      </c>
    </row>
    <row r="18" spans="1:12" ht="32.450000000000003" customHeight="1">
      <c r="A18" s="45">
        <v>12</v>
      </c>
      <c r="B18" s="45"/>
      <c r="C18" s="55">
        <f t="shared" ref="C18:C36" si="8">B19-B18</f>
        <v>0</v>
      </c>
      <c r="D18" s="46">
        <f t="shared" si="7"/>
        <v>0</v>
      </c>
      <c r="E18" s="47"/>
      <c r="F18" s="56">
        <f t="shared" ref="F18:F36" si="9">E19-E18</f>
        <v>0</v>
      </c>
      <c r="G18" s="48">
        <f t="shared" si="5"/>
        <v>0</v>
      </c>
      <c r="H18" s="48">
        <f t="shared" si="6"/>
        <v>0</v>
      </c>
      <c r="I18" s="49">
        <f t="shared" si="2"/>
        <v>0</v>
      </c>
      <c r="J18" s="50"/>
      <c r="K18" s="38">
        <f t="shared" si="3"/>
        <v>0</v>
      </c>
      <c r="L18" s="39">
        <f t="shared" si="4"/>
        <v>0</v>
      </c>
    </row>
    <row r="19" spans="1:12" ht="32.450000000000003" customHeight="1">
      <c r="A19" s="40">
        <v>13</v>
      </c>
      <c r="B19" s="40"/>
      <c r="C19" s="53">
        <f t="shared" si="8"/>
        <v>0</v>
      </c>
      <c r="D19" s="46">
        <f t="shared" si="7"/>
        <v>0</v>
      </c>
      <c r="E19" s="51"/>
      <c r="F19" s="54">
        <f t="shared" si="9"/>
        <v>0</v>
      </c>
      <c r="G19" s="43">
        <f t="shared" si="5"/>
        <v>0</v>
      </c>
      <c r="H19" s="43">
        <f t="shared" si="6"/>
        <v>0</v>
      </c>
      <c r="I19" s="49">
        <f t="shared" si="2"/>
        <v>0</v>
      </c>
      <c r="J19" s="50"/>
      <c r="K19" s="38">
        <f t="shared" si="3"/>
        <v>0</v>
      </c>
      <c r="L19" s="39">
        <f t="shared" si="4"/>
        <v>0</v>
      </c>
    </row>
    <row r="20" spans="1:12" ht="32.450000000000003" customHeight="1">
      <c r="A20" s="45">
        <v>14</v>
      </c>
      <c r="B20" s="45"/>
      <c r="C20" s="55">
        <f t="shared" si="8"/>
        <v>0</v>
      </c>
      <c r="D20" s="46">
        <f t="shared" si="7"/>
        <v>0</v>
      </c>
      <c r="E20" s="52"/>
      <c r="F20" s="56">
        <f t="shared" si="9"/>
        <v>0</v>
      </c>
      <c r="G20" s="48">
        <f t="shared" si="5"/>
        <v>0</v>
      </c>
      <c r="H20" s="48">
        <f t="shared" si="6"/>
        <v>0</v>
      </c>
      <c r="I20" s="49">
        <f t="shared" si="2"/>
        <v>0</v>
      </c>
      <c r="J20" s="50"/>
      <c r="K20" s="38">
        <f t="shared" si="3"/>
        <v>0</v>
      </c>
      <c r="L20" s="39">
        <f t="shared" si="4"/>
        <v>0</v>
      </c>
    </row>
    <row r="21" spans="1:12" ht="32.450000000000003" customHeight="1">
      <c r="A21" s="40">
        <v>15</v>
      </c>
      <c r="B21" s="40"/>
      <c r="C21" s="53">
        <f t="shared" si="8"/>
        <v>0</v>
      </c>
      <c r="D21" s="46">
        <f t="shared" si="7"/>
        <v>0</v>
      </c>
      <c r="E21" s="51"/>
      <c r="F21" s="54">
        <f t="shared" si="9"/>
        <v>0</v>
      </c>
      <c r="G21" s="43">
        <f t="shared" si="5"/>
        <v>0</v>
      </c>
      <c r="H21" s="43">
        <f t="shared" si="6"/>
        <v>0</v>
      </c>
      <c r="I21" s="49">
        <f t="shared" si="2"/>
        <v>0</v>
      </c>
      <c r="J21" s="50"/>
      <c r="K21" s="38">
        <f t="shared" si="3"/>
        <v>0</v>
      </c>
      <c r="L21" s="39">
        <f t="shared" si="4"/>
        <v>0</v>
      </c>
    </row>
    <row r="22" spans="1:12" ht="32.450000000000003" customHeight="1">
      <c r="A22" s="45">
        <v>16</v>
      </c>
      <c r="B22" s="112"/>
      <c r="C22" s="55">
        <f t="shared" si="8"/>
        <v>0</v>
      </c>
      <c r="D22" s="46">
        <f t="shared" si="7"/>
        <v>0</v>
      </c>
      <c r="E22" s="113"/>
      <c r="F22" s="56">
        <f t="shared" si="9"/>
        <v>0</v>
      </c>
      <c r="G22" s="48">
        <f t="shared" si="5"/>
        <v>0</v>
      </c>
      <c r="H22" s="48">
        <f t="shared" si="6"/>
        <v>0</v>
      </c>
      <c r="I22" s="49">
        <f t="shared" si="2"/>
        <v>0</v>
      </c>
      <c r="J22" s="114"/>
      <c r="K22" s="38">
        <f t="shared" si="3"/>
        <v>0</v>
      </c>
      <c r="L22" s="39">
        <f t="shared" si="4"/>
        <v>0</v>
      </c>
    </row>
    <row r="23" spans="1:12" ht="32.450000000000003" customHeight="1">
      <c r="A23" s="40">
        <v>17</v>
      </c>
      <c r="B23" s="40"/>
      <c r="C23" s="53">
        <f t="shared" si="8"/>
        <v>0</v>
      </c>
      <c r="D23" s="46">
        <f t="shared" si="7"/>
        <v>0</v>
      </c>
      <c r="E23" s="52"/>
      <c r="F23" s="54">
        <f t="shared" si="9"/>
        <v>0</v>
      </c>
      <c r="G23" s="43">
        <f t="shared" si="5"/>
        <v>0</v>
      </c>
      <c r="H23" s="43">
        <f t="shared" si="6"/>
        <v>0</v>
      </c>
      <c r="I23" s="49">
        <f t="shared" si="2"/>
        <v>0</v>
      </c>
      <c r="J23" s="50"/>
      <c r="K23" s="38">
        <f t="shared" si="3"/>
        <v>0</v>
      </c>
      <c r="L23" s="39">
        <f t="shared" si="4"/>
        <v>0</v>
      </c>
    </row>
    <row r="24" spans="1:12" ht="32.450000000000003" customHeight="1">
      <c r="A24" s="45">
        <v>18</v>
      </c>
      <c r="B24" s="45"/>
      <c r="C24" s="55">
        <f t="shared" si="8"/>
        <v>0</v>
      </c>
      <c r="D24" s="46">
        <f t="shared" si="7"/>
        <v>0</v>
      </c>
      <c r="E24" s="52"/>
      <c r="F24" s="56">
        <f t="shared" si="9"/>
        <v>0</v>
      </c>
      <c r="G24" s="48">
        <f t="shared" si="5"/>
        <v>0</v>
      </c>
      <c r="H24" s="48">
        <f t="shared" si="6"/>
        <v>0</v>
      </c>
      <c r="I24" s="49">
        <f t="shared" si="2"/>
        <v>0</v>
      </c>
      <c r="J24" s="50"/>
      <c r="K24" s="38">
        <f t="shared" si="3"/>
        <v>0</v>
      </c>
      <c r="L24" s="39">
        <f t="shared" si="4"/>
        <v>0</v>
      </c>
    </row>
    <row r="25" spans="1:12" ht="32.450000000000003" customHeight="1">
      <c r="A25" s="40">
        <v>19</v>
      </c>
      <c r="B25" s="40"/>
      <c r="C25" s="53">
        <f t="shared" si="8"/>
        <v>0</v>
      </c>
      <c r="D25" s="46">
        <f t="shared" si="7"/>
        <v>0</v>
      </c>
      <c r="E25" s="52"/>
      <c r="F25" s="54">
        <f t="shared" si="9"/>
        <v>0</v>
      </c>
      <c r="G25" s="43">
        <f t="shared" si="5"/>
        <v>0</v>
      </c>
      <c r="H25" s="43">
        <f t="shared" si="6"/>
        <v>0</v>
      </c>
      <c r="I25" s="49">
        <f t="shared" si="2"/>
        <v>0</v>
      </c>
      <c r="J25" s="50"/>
      <c r="K25" s="38">
        <f t="shared" si="3"/>
        <v>0</v>
      </c>
      <c r="L25" s="39">
        <f t="shared" si="4"/>
        <v>0</v>
      </c>
    </row>
    <row r="26" spans="1:12" ht="32.450000000000003" customHeight="1">
      <c r="A26" s="45">
        <v>20</v>
      </c>
      <c r="B26" s="45"/>
      <c r="C26" s="55">
        <f t="shared" si="8"/>
        <v>0</v>
      </c>
      <c r="D26" s="46">
        <f t="shared" si="7"/>
        <v>0</v>
      </c>
      <c r="E26" s="52"/>
      <c r="F26" s="56">
        <f t="shared" si="9"/>
        <v>0</v>
      </c>
      <c r="G26" s="48">
        <f t="shared" si="5"/>
        <v>0</v>
      </c>
      <c r="H26" s="48">
        <f t="shared" si="6"/>
        <v>0</v>
      </c>
      <c r="I26" s="49">
        <f t="shared" si="2"/>
        <v>0</v>
      </c>
      <c r="J26" s="50"/>
      <c r="K26" s="38">
        <f t="shared" si="3"/>
        <v>0</v>
      </c>
      <c r="L26" s="39">
        <f t="shared" si="4"/>
        <v>0</v>
      </c>
    </row>
    <row r="27" spans="1:12" ht="32.450000000000003" customHeight="1">
      <c r="A27" s="40">
        <v>21</v>
      </c>
      <c r="B27" s="40"/>
      <c r="C27" s="53">
        <f t="shared" si="8"/>
        <v>0</v>
      </c>
      <c r="D27" s="46">
        <f t="shared" si="7"/>
        <v>0</v>
      </c>
      <c r="E27" s="52"/>
      <c r="F27" s="54">
        <f t="shared" si="9"/>
        <v>0</v>
      </c>
      <c r="G27" s="43">
        <f t="shared" si="5"/>
        <v>0</v>
      </c>
      <c r="H27" s="43">
        <f t="shared" si="6"/>
        <v>0</v>
      </c>
      <c r="I27" s="49">
        <f t="shared" si="2"/>
        <v>0</v>
      </c>
      <c r="J27" s="50"/>
      <c r="K27" s="38">
        <f t="shared" si="3"/>
        <v>0</v>
      </c>
      <c r="L27" s="39">
        <f t="shared" si="4"/>
        <v>0</v>
      </c>
    </row>
    <row r="28" spans="1:12" ht="32.450000000000003" customHeight="1">
      <c r="A28" s="45">
        <v>22</v>
      </c>
      <c r="B28" s="45"/>
      <c r="C28" s="55">
        <f t="shared" si="8"/>
        <v>0</v>
      </c>
      <c r="D28" s="46">
        <f t="shared" si="7"/>
        <v>0</v>
      </c>
      <c r="E28" s="52"/>
      <c r="F28" s="56">
        <f t="shared" si="9"/>
        <v>0</v>
      </c>
      <c r="G28" s="48">
        <f t="shared" si="5"/>
        <v>0</v>
      </c>
      <c r="H28" s="48">
        <f t="shared" si="6"/>
        <v>0</v>
      </c>
      <c r="I28" s="49">
        <f t="shared" si="2"/>
        <v>0</v>
      </c>
      <c r="J28" s="50"/>
      <c r="K28" s="38">
        <f t="shared" si="3"/>
        <v>0</v>
      </c>
      <c r="L28" s="39">
        <f t="shared" si="4"/>
        <v>0</v>
      </c>
    </row>
    <row r="29" spans="1:12" ht="32.450000000000003" customHeight="1">
      <c r="A29" s="40">
        <v>23</v>
      </c>
      <c r="B29" s="40"/>
      <c r="C29" s="53">
        <f t="shared" si="8"/>
        <v>0</v>
      </c>
      <c r="D29" s="46">
        <f t="shared" si="7"/>
        <v>0</v>
      </c>
      <c r="E29" s="52"/>
      <c r="F29" s="54">
        <f t="shared" si="9"/>
        <v>0</v>
      </c>
      <c r="G29" s="43">
        <f t="shared" si="5"/>
        <v>0</v>
      </c>
      <c r="H29" s="43">
        <f t="shared" si="6"/>
        <v>0</v>
      </c>
      <c r="I29" s="49">
        <f t="shared" si="2"/>
        <v>0</v>
      </c>
      <c r="J29" s="50"/>
      <c r="K29" s="38">
        <f t="shared" si="3"/>
        <v>0</v>
      </c>
      <c r="L29" s="39">
        <f t="shared" si="4"/>
        <v>0</v>
      </c>
    </row>
    <row r="30" spans="1:12" ht="32.450000000000003" customHeight="1">
      <c r="A30" s="45">
        <v>24</v>
      </c>
      <c r="B30" s="45"/>
      <c r="C30" s="55">
        <f t="shared" si="8"/>
        <v>0</v>
      </c>
      <c r="D30" s="46">
        <f t="shared" si="7"/>
        <v>0</v>
      </c>
      <c r="E30" s="52"/>
      <c r="F30" s="56">
        <f t="shared" si="9"/>
        <v>0</v>
      </c>
      <c r="G30" s="48">
        <f t="shared" si="5"/>
        <v>0</v>
      </c>
      <c r="H30" s="48">
        <f t="shared" si="6"/>
        <v>0</v>
      </c>
      <c r="I30" s="49">
        <f t="shared" si="2"/>
        <v>0</v>
      </c>
      <c r="J30" s="50"/>
      <c r="K30" s="38">
        <f t="shared" si="3"/>
        <v>0</v>
      </c>
      <c r="L30" s="39">
        <f t="shared" si="4"/>
        <v>0</v>
      </c>
    </row>
    <row r="31" spans="1:12" ht="32.450000000000003" customHeight="1">
      <c r="A31" s="40">
        <v>25</v>
      </c>
      <c r="B31" s="40"/>
      <c r="C31" s="53">
        <f t="shared" si="8"/>
        <v>0</v>
      </c>
      <c r="D31" s="46">
        <f t="shared" si="7"/>
        <v>0</v>
      </c>
      <c r="E31" s="52"/>
      <c r="F31" s="54">
        <f t="shared" si="9"/>
        <v>0</v>
      </c>
      <c r="G31" s="43">
        <f t="shared" si="5"/>
        <v>0</v>
      </c>
      <c r="H31" s="43">
        <f t="shared" si="6"/>
        <v>0</v>
      </c>
      <c r="I31" s="49">
        <f t="shared" si="2"/>
        <v>0</v>
      </c>
      <c r="J31" s="50"/>
      <c r="K31" s="38">
        <f t="shared" si="3"/>
        <v>0</v>
      </c>
      <c r="L31" s="39">
        <f t="shared" si="4"/>
        <v>0</v>
      </c>
    </row>
    <row r="32" spans="1:12" ht="32.450000000000003" customHeight="1">
      <c r="A32" s="45">
        <v>26</v>
      </c>
      <c r="B32" s="45"/>
      <c r="C32" s="55">
        <f t="shared" si="8"/>
        <v>0</v>
      </c>
      <c r="D32" s="46">
        <f t="shared" si="7"/>
        <v>0</v>
      </c>
      <c r="E32" s="52"/>
      <c r="F32" s="56">
        <f t="shared" si="9"/>
        <v>0</v>
      </c>
      <c r="G32" s="48">
        <f t="shared" si="5"/>
        <v>0</v>
      </c>
      <c r="H32" s="48">
        <f t="shared" si="6"/>
        <v>0</v>
      </c>
      <c r="I32" s="49">
        <f t="shared" si="2"/>
        <v>0</v>
      </c>
      <c r="J32" s="50"/>
      <c r="K32" s="38">
        <f t="shared" si="3"/>
        <v>0</v>
      </c>
      <c r="L32" s="39">
        <f t="shared" si="4"/>
        <v>0</v>
      </c>
    </row>
    <row r="33" spans="1:12" ht="32.450000000000003" customHeight="1">
      <c r="A33" s="40">
        <v>27</v>
      </c>
      <c r="B33" s="40"/>
      <c r="C33" s="53">
        <f t="shared" si="8"/>
        <v>0</v>
      </c>
      <c r="D33" s="46">
        <f t="shared" si="7"/>
        <v>0</v>
      </c>
      <c r="E33" s="52"/>
      <c r="F33" s="55">
        <f t="shared" si="9"/>
        <v>0</v>
      </c>
      <c r="G33" s="43">
        <f t="shared" si="5"/>
        <v>0</v>
      </c>
      <c r="H33" s="43">
        <f t="shared" si="6"/>
        <v>0</v>
      </c>
      <c r="I33" s="49">
        <f t="shared" si="2"/>
        <v>0</v>
      </c>
      <c r="J33" s="50"/>
      <c r="K33" s="38">
        <f t="shared" si="3"/>
        <v>0</v>
      </c>
      <c r="L33" s="39">
        <f t="shared" si="4"/>
        <v>0</v>
      </c>
    </row>
    <row r="34" spans="1:12" ht="32.450000000000003" customHeight="1">
      <c r="A34" s="45">
        <v>28</v>
      </c>
      <c r="B34" s="45"/>
      <c r="C34" s="55">
        <f t="shared" si="8"/>
        <v>0</v>
      </c>
      <c r="D34" s="46">
        <f t="shared" si="7"/>
        <v>0</v>
      </c>
      <c r="E34" s="52"/>
      <c r="F34" s="54">
        <f t="shared" si="9"/>
        <v>0</v>
      </c>
      <c r="G34" s="48">
        <f t="shared" si="5"/>
        <v>0</v>
      </c>
      <c r="H34" s="48">
        <f t="shared" si="6"/>
        <v>0</v>
      </c>
      <c r="I34" s="49">
        <f t="shared" si="2"/>
        <v>0</v>
      </c>
      <c r="J34" s="50"/>
      <c r="K34" s="38">
        <f t="shared" si="3"/>
        <v>0</v>
      </c>
      <c r="L34" s="39">
        <f t="shared" si="4"/>
        <v>0</v>
      </c>
    </row>
    <row r="35" spans="1:12" ht="32.450000000000003" customHeight="1">
      <c r="A35" s="40">
        <v>29</v>
      </c>
      <c r="B35" s="40"/>
      <c r="C35" s="55">
        <f t="shared" si="8"/>
        <v>0</v>
      </c>
      <c r="D35" s="46">
        <f t="shared" si="7"/>
        <v>0</v>
      </c>
      <c r="E35" s="52"/>
      <c r="F35" s="55">
        <f t="shared" si="9"/>
        <v>0</v>
      </c>
      <c r="G35" s="43">
        <f t="shared" si="5"/>
        <v>0</v>
      </c>
      <c r="H35" s="43">
        <f t="shared" si="6"/>
        <v>0</v>
      </c>
      <c r="I35" s="49">
        <f t="shared" si="2"/>
        <v>0</v>
      </c>
      <c r="J35" s="50"/>
      <c r="K35" s="38">
        <f t="shared" si="3"/>
        <v>0</v>
      </c>
      <c r="L35" s="39">
        <f t="shared" si="4"/>
        <v>0</v>
      </c>
    </row>
    <row r="36" spans="1:12" ht="32.450000000000003" customHeight="1">
      <c r="A36" s="57">
        <v>30</v>
      </c>
      <c r="B36" s="58"/>
      <c r="C36" s="59">
        <f t="shared" si="8"/>
        <v>0</v>
      </c>
      <c r="D36" s="46">
        <f t="shared" si="7"/>
        <v>0</v>
      </c>
      <c r="E36" s="60"/>
      <c r="F36" s="59">
        <f t="shared" si="9"/>
        <v>0</v>
      </c>
      <c r="G36" s="61">
        <f t="shared" si="5"/>
        <v>0</v>
      </c>
      <c r="H36" s="61">
        <f t="shared" si="6"/>
        <v>0</v>
      </c>
      <c r="I36" s="62">
        <f t="shared" si="2"/>
        <v>0</v>
      </c>
      <c r="J36" s="63"/>
      <c r="K36" s="64">
        <f t="shared" si="3"/>
        <v>0</v>
      </c>
      <c r="L36" s="65">
        <f t="shared" si="4"/>
        <v>0</v>
      </c>
    </row>
    <row r="37" spans="1:12" ht="32.450000000000003" customHeight="1">
      <c r="A37" s="108">
        <v>1</v>
      </c>
      <c r="B37" s="108"/>
      <c r="C37" s="66" t="e">
        <f>#REF!-B37</f>
        <v>#REF!</v>
      </c>
      <c r="D37" s="67" t="e">
        <f>C37*0.21186441</f>
        <v>#REF!</v>
      </c>
      <c r="E37" s="68"/>
      <c r="F37" s="69" t="e">
        <f>#REF!-E37</f>
        <v>#REF!</v>
      </c>
      <c r="G37" s="70" t="e">
        <f t="shared" si="5"/>
        <v>#REF!</v>
      </c>
      <c r="H37" s="70" t="e">
        <f t="shared" si="6"/>
        <v>#REF!</v>
      </c>
      <c r="I37" s="109" t="e">
        <f t="shared" si="2"/>
        <v>#REF!</v>
      </c>
      <c r="J37" s="71"/>
      <c r="K37" s="72" t="e">
        <f>J37-#REF!</f>
        <v>#REF!</v>
      </c>
      <c r="L37" s="73" t="e">
        <f t="shared" si="4"/>
        <v>#REF!</v>
      </c>
    </row>
    <row r="38" spans="1:12">
      <c r="B38" s="74"/>
      <c r="C38" s="75"/>
      <c r="D38" s="75"/>
      <c r="J38" s="74"/>
      <c r="K38" s="74"/>
      <c r="L38" s="74"/>
    </row>
    <row r="39" spans="1:12">
      <c r="B39" s="74"/>
      <c r="C39" s="75"/>
      <c r="D39" s="75"/>
      <c r="J39" s="74"/>
      <c r="K39" s="74"/>
      <c r="L39" s="74"/>
    </row>
    <row r="40" spans="1:12">
      <c r="B40" s="74"/>
      <c r="C40" s="75"/>
      <c r="D40" s="75"/>
      <c r="J40" s="74"/>
      <c r="K40" s="74"/>
      <c r="L40" s="74"/>
    </row>
    <row r="41" spans="1:12">
      <c r="B41" s="74"/>
      <c r="C41" s="75"/>
      <c r="D41" s="75"/>
      <c r="J41" s="74"/>
      <c r="K41" s="74"/>
      <c r="L41" s="74"/>
    </row>
    <row r="42" spans="1:12">
      <c r="B42" s="74"/>
      <c r="C42" s="75"/>
      <c r="D42" s="75"/>
      <c r="J42" s="74"/>
      <c r="K42" s="74"/>
      <c r="L42" s="74"/>
    </row>
    <row r="43" spans="1:12">
      <c r="B43" s="74"/>
      <c r="C43" s="75"/>
      <c r="D43" s="75"/>
      <c r="J43" s="74"/>
      <c r="K43" s="74"/>
      <c r="L43" s="74"/>
    </row>
    <row r="44" spans="1:12">
      <c r="B44" s="74"/>
      <c r="C44" s="75"/>
      <c r="D44" s="75"/>
      <c r="J44" s="74"/>
      <c r="K44" s="74"/>
      <c r="L44" s="74"/>
    </row>
    <row r="45" spans="1:12">
      <c r="B45" s="74"/>
      <c r="C45" s="75"/>
      <c r="D45" s="75"/>
      <c r="J45" s="74"/>
      <c r="K45" s="74"/>
      <c r="L45" s="74"/>
    </row>
    <row r="46" spans="1:12">
      <c r="B46" s="74"/>
      <c r="C46" s="75"/>
      <c r="D46" s="75"/>
      <c r="J46" s="74"/>
      <c r="K46" s="74"/>
      <c r="L46" s="74"/>
    </row>
    <row r="47" spans="1:12">
      <c r="B47" s="74"/>
      <c r="C47" s="75"/>
      <c r="D47" s="75"/>
      <c r="J47" s="74"/>
      <c r="K47" s="74"/>
      <c r="L47" s="74"/>
    </row>
    <row r="48" spans="1:12">
      <c r="B48" s="74"/>
      <c r="C48" s="75"/>
      <c r="D48" s="75"/>
      <c r="J48" s="74"/>
      <c r="K48" s="74"/>
      <c r="L48" s="74"/>
    </row>
    <row r="49" spans="1:12">
      <c r="B49" s="74"/>
      <c r="C49" s="75"/>
      <c r="D49" s="75"/>
      <c r="J49" s="74"/>
      <c r="K49" s="74"/>
      <c r="L49" s="74"/>
    </row>
    <row r="50" spans="1:12">
      <c r="A50" s="77"/>
      <c r="B50" s="74"/>
      <c r="C50" s="75"/>
      <c r="D50" s="75"/>
      <c r="J50" s="74"/>
      <c r="K50" s="74"/>
      <c r="L50" s="74"/>
    </row>
    <row r="51" spans="1:12">
      <c r="A51" s="77"/>
      <c r="B51" s="74"/>
      <c r="C51" s="75"/>
      <c r="D51" s="75"/>
      <c r="J51" s="74"/>
      <c r="K51" s="74"/>
      <c r="L51" s="74"/>
    </row>
    <row r="52" spans="1:12">
      <c r="A52" s="77"/>
      <c r="B52" s="74"/>
      <c r="C52" s="75"/>
      <c r="D52" s="75"/>
      <c r="J52" s="74"/>
      <c r="K52" s="74"/>
      <c r="L52" s="74"/>
    </row>
    <row r="53" spans="1:12">
      <c r="A53" s="77"/>
      <c r="B53" s="74"/>
      <c r="C53" s="75"/>
      <c r="D53" s="75"/>
      <c r="J53" s="74"/>
      <c r="K53" s="74"/>
      <c r="L53" s="74"/>
    </row>
    <row r="54" spans="1:12">
      <c r="A54" s="77"/>
      <c r="B54" s="74"/>
      <c r="C54" s="75"/>
      <c r="D54" s="75"/>
      <c r="J54" s="74"/>
      <c r="K54" s="74"/>
      <c r="L54" s="74"/>
    </row>
    <row r="55" spans="1:12">
      <c r="A55" s="77"/>
      <c r="B55" s="74"/>
      <c r="C55" s="75"/>
      <c r="D55" s="75"/>
      <c r="J55" s="74"/>
      <c r="K55" s="74"/>
      <c r="L55" s="74"/>
    </row>
    <row r="56" spans="1:12">
      <c r="A56" s="77"/>
      <c r="B56" s="74"/>
      <c r="C56" s="75"/>
      <c r="D56" s="75"/>
      <c r="J56" s="74"/>
      <c r="K56" s="74"/>
      <c r="L56" s="74"/>
    </row>
    <row r="57" spans="1:12">
      <c r="A57" s="77"/>
      <c r="B57" s="74"/>
      <c r="C57" s="75"/>
      <c r="D57" s="75"/>
      <c r="J57" s="74"/>
      <c r="K57" s="74"/>
      <c r="L57" s="74"/>
    </row>
    <row r="58" spans="1:12">
      <c r="A58" s="77"/>
      <c r="B58" s="74"/>
      <c r="C58" s="75"/>
      <c r="D58" s="75"/>
      <c r="J58" s="74"/>
      <c r="K58" s="74"/>
      <c r="L58" s="74"/>
    </row>
    <row r="59" spans="1:12">
      <c r="A59" s="77"/>
      <c r="B59" s="74"/>
      <c r="C59" s="75"/>
      <c r="D59" s="75"/>
      <c r="J59" s="74"/>
      <c r="K59" s="74"/>
      <c r="L59" s="74"/>
    </row>
    <row r="60" spans="1:12">
      <c r="A60" s="77"/>
      <c r="B60" s="74"/>
      <c r="C60" s="75"/>
      <c r="D60" s="75"/>
      <c r="J60" s="74"/>
      <c r="K60" s="74"/>
      <c r="L60" s="74"/>
    </row>
    <row r="61" spans="1:12">
      <c r="A61" s="77"/>
      <c r="B61" s="74"/>
      <c r="C61" s="75"/>
      <c r="D61" s="75"/>
      <c r="J61" s="74"/>
      <c r="K61" s="74"/>
      <c r="L61" s="74"/>
    </row>
    <row r="62" spans="1:12">
      <c r="A62" s="77"/>
      <c r="B62" s="74"/>
      <c r="C62" s="75"/>
      <c r="D62" s="75"/>
      <c r="J62" s="74"/>
      <c r="K62" s="74"/>
      <c r="L62" s="74"/>
    </row>
    <row r="63" spans="1:12">
      <c r="A63" s="77"/>
      <c r="B63" s="74"/>
      <c r="C63" s="75"/>
      <c r="D63" s="75"/>
      <c r="J63" s="74"/>
      <c r="K63" s="74"/>
      <c r="L63" s="74"/>
    </row>
    <row r="64" spans="1:12">
      <c r="A64" s="77"/>
      <c r="B64" s="74"/>
      <c r="C64" s="75"/>
      <c r="D64" s="75"/>
      <c r="J64" s="74"/>
      <c r="K64" s="74"/>
      <c r="L64" s="74"/>
    </row>
    <row r="65" spans="1:12">
      <c r="A65" s="77"/>
      <c r="B65" s="74"/>
      <c r="C65" s="75"/>
      <c r="D65" s="75"/>
      <c r="J65" s="74"/>
      <c r="K65" s="74"/>
      <c r="L65" s="74"/>
    </row>
    <row r="66" spans="1:12">
      <c r="A66" s="77"/>
      <c r="B66" s="74"/>
      <c r="C66" s="75"/>
      <c r="D66" s="75"/>
      <c r="J66" s="74"/>
      <c r="K66" s="74"/>
      <c r="L66" s="74"/>
    </row>
    <row r="67" spans="1:12">
      <c r="A67" s="77"/>
      <c r="B67" s="74"/>
      <c r="C67" s="75"/>
      <c r="D67" s="75"/>
      <c r="J67" s="74"/>
      <c r="K67" s="74"/>
      <c r="L67" s="74"/>
    </row>
    <row r="68" spans="1:12">
      <c r="A68" s="77"/>
      <c r="B68" s="74"/>
      <c r="C68" s="75"/>
      <c r="D68" s="75"/>
      <c r="J68" s="74"/>
      <c r="K68" s="74"/>
      <c r="L68" s="74"/>
    </row>
    <row r="69" spans="1:12">
      <c r="A69" s="77"/>
      <c r="B69" s="74"/>
      <c r="C69" s="75"/>
      <c r="D69" s="75"/>
      <c r="J69" s="74"/>
      <c r="K69" s="74"/>
      <c r="L69" s="74"/>
    </row>
    <row r="70" spans="1:12">
      <c r="A70" s="77"/>
      <c r="B70" s="74"/>
      <c r="C70" s="75"/>
      <c r="D70" s="75"/>
      <c r="J70" s="74"/>
      <c r="K70" s="74"/>
      <c r="L70" s="74"/>
    </row>
    <row r="71" spans="1:12">
      <c r="A71" s="77"/>
      <c r="B71" s="74"/>
      <c r="C71" s="75"/>
      <c r="D71" s="75"/>
      <c r="J71" s="74"/>
      <c r="K71" s="74"/>
      <c r="L71" s="74"/>
    </row>
    <row r="72" spans="1:12">
      <c r="A72" s="77"/>
      <c r="B72" s="74"/>
      <c r="C72" s="75"/>
      <c r="D72" s="75"/>
      <c r="J72" s="74"/>
      <c r="K72" s="74"/>
      <c r="L72" s="74"/>
    </row>
    <row r="73" spans="1:12">
      <c r="A73" s="77"/>
      <c r="B73" s="74"/>
      <c r="C73" s="75"/>
      <c r="D73" s="75"/>
      <c r="J73" s="74"/>
      <c r="K73" s="74"/>
      <c r="L73" s="74"/>
    </row>
    <row r="74" spans="1:12">
      <c r="A74" s="77"/>
      <c r="B74" s="74"/>
      <c r="C74" s="75"/>
      <c r="D74" s="75"/>
      <c r="J74" s="74"/>
      <c r="K74" s="74"/>
      <c r="L74" s="74"/>
    </row>
    <row r="75" spans="1:12">
      <c r="A75" s="77"/>
      <c r="B75" s="74"/>
      <c r="C75" s="75"/>
      <c r="D75" s="75"/>
      <c r="J75" s="74"/>
      <c r="K75" s="74"/>
      <c r="L75" s="74"/>
    </row>
    <row r="76" spans="1:12">
      <c r="A76" s="77"/>
      <c r="B76" s="74"/>
      <c r="C76" s="75"/>
      <c r="D76" s="75"/>
      <c r="J76" s="74"/>
      <c r="K76" s="74"/>
      <c r="L76" s="74"/>
    </row>
    <row r="77" spans="1:12">
      <c r="A77" s="77"/>
      <c r="B77" s="74"/>
      <c r="C77" s="75"/>
      <c r="D77" s="75"/>
      <c r="J77" s="74"/>
      <c r="K77" s="74"/>
      <c r="L77" s="74"/>
    </row>
    <row r="78" spans="1:12">
      <c r="A78" s="77"/>
      <c r="B78" s="74"/>
      <c r="C78" s="75"/>
      <c r="D78" s="75"/>
      <c r="J78" s="74"/>
      <c r="K78" s="74"/>
      <c r="L78" s="74"/>
    </row>
    <row r="79" spans="1:12">
      <c r="A79" s="77"/>
      <c r="B79" s="74"/>
      <c r="C79" s="75"/>
      <c r="D79" s="75"/>
      <c r="J79" s="74"/>
      <c r="K79" s="74"/>
      <c r="L79" s="74"/>
    </row>
    <row r="80" spans="1:12">
      <c r="A80" s="77"/>
      <c r="B80" s="74"/>
      <c r="C80" s="75"/>
      <c r="D80" s="75"/>
      <c r="J80" s="74"/>
      <c r="K80" s="74"/>
      <c r="L80" s="74"/>
    </row>
    <row r="81" spans="1:12">
      <c r="A81" s="77"/>
      <c r="B81" s="74"/>
      <c r="C81" s="75"/>
      <c r="D81" s="75"/>
      <c r="J81" s="74"/>
      <c r="K81" s="74"/>
      <c r="L81" s="74"/>
    </row>
    <row r="82" spans="1:12">
      <c r="A82" s="77"/>
      <c r="B82" s="74"/>
      <c r="C82" s="75"/>
      <c r="D82" s="75"/>
      <c r="J82" s="74"/>
      <c r="K82" s="74"/>
      <c r="L82" s="74"/>
    </row>
    <row r="83" spans="1:12">
      <c r="A83" s="77"/>
      <c r="B83" s="74"/>
      <c r="C83" s="75"/>
      <c r="D83" s="75"/>
      <c r="J83" s="74"/>
      <c r="K83" s="74"/>
      <c r="L83" s="74"/>
    </row>
    <row r="84" spans="1:12">
      <c r="A84" s="77"/>
      <c r="B84" s="74"/>
      <c r="C84" s="75"/>
      <c r="D84" s="75"/>
      <c r="J84" s="74"/>
      <c r="K84" s="74"/>
      <c r="L84" s="74"/>
    </row>
  </sheetData>
  <mergeCells count="7">
    <mergeCell ref="A1:A3"/>
    <mergeCell ref="B1:D2"/>
    <mergeCell ref="E1:I2"/>
    <mergeCell ref="J1:L2"/>
    <mergeCell ref="B3:D3"/>
    <mergeCell ref="E3:I3"/>
    <mergeCell ref="J3:L3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2021-11-10T05:51:46Z</dcterms:modified>
  <cp:category/>
  <cp:contentStatus/>
</cp:coreProperties>
</file>