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O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R30" i="7"/>
  <c r="AG30" i="7" s="1"/>
  <c r="Q30" i="7"/>
  <c r="AF30" i="7" s="1"/>
  <c r="AW29" i="7"/>
  <c r="AV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C20" i="7"/>
  <c r="AB20" i="7"/>
  <c r="AQ20" i="7" s="1"/>
  <c r="AA20" i="7"/>
  <c r="O15" i="9" s="1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F20" i="7" s="1"/>
  <c r="AV19" i="7"/>
  <c r="AW19" i="7" s="1"/>
  <c r="AH19" i="7"/>
  <c r="AC19" i="7"/>
  <c r="AB19" i="7"/>
  <c r="AQ19" i="7" s="1"/>
  <c r="AA19" i="7"/>
  <c r="AP19" i="7" s="1"/>
  <c r="Z19" i="7"/>
  <c r="AO19" i="7" s="1"/>
  <c r="Y19" i="7"/>
  <c r="X19" i="7"/>
  <c r="AM19" i="7" s="1"/>
  <c r="W19" i="7"/>
  <c r="K14" i="9" s="1"/>
  <c r="V19" i="7"/>
  <c r="AK19" i="7" s="1"/>
  <c r="U19" i="7"/>
  <c r="T19" i="7"/>
  <c r="AI19" i="7" s="1"/>
  <c r="S19" i="7"/>
  <c r="R19" i="7"/>
  <c r="AG19" i="7" s="1"/>
  <c r="Q19" i="7"/>
  <c r="AV18" i="7"/>
  <c r="AW18" i="7" s="1"/>
  <c r="AN18" i="7"/>
  <c r="AJ18" i="7"/>
  <c r="AC18" i="7"/>
  <c r="AR18" i="7" s="1"/>
  <c r="AB18" i="7"/>
  <c r="AQ18" i="7" s="1"/>
  <c r="AA18" i="7"/>
  <c r="AP18" i="7" s="1"/>
  <c r="Z18" i="7"/>
  <c r="AO18" i="7" s="1"/>
  <c r="Y18" i="7"/>
  <c r="X18" i="7"/>
  <c r="AM18" i="7" s="1"/>
  <c r="W18" i="7"/>
  <c r="AL18" i="7" s="1"/>
  <c r="V18" i="7"/>
  <c r="AK18" i="7" s="1"/>
  <c r="U18" i="7"/>
  <c r="T18" i="7"/>
  <c r="AI18" i="7" s="1"/>
  <c r="S18" i="7"/>
  <c r="AH18" i="7" s="1"/>
  <c r="R18" i="7"/>
  <c r="AG18" i="7" s="1"/>
  <c r="Q18" i="7"/>
  <c r="AF18" i="7" s="1"/>
  <c r="AV17" i="7"/>
  <c r="AW17" i="7" s="1"/>
  <c r="AH17" i="7"/>
  <c r="AC17" i="7"/>
  <c r="AB17" i="7"/>
  <c r="AQ17" i="7" s="1"/>
  <c r="AA17" i="7"/>
  <c r="O12" i="9" s="1"/>
  <c r="Z17" i="7"/>
  <c r="AO17" i="7" s="1"/>
  <c r="Y17" i="7"/>
  <c r="X17" i="7"/>
  <c r="AM17" i="7" s="1"/>
  <c r="W17" i="7"/>
  <c r="K12" i="9" s="1"/>
  <c r="V17" i="7"/>
  <c r="AK17" i="7" s="1"/>
  <c r="U17" i="7"/>
  <c r="T17" i="7"/>
  <c r="AI17" i="7" s="1"/>
  <c r="S17" i="7"/>
  <c r="G12" i="9" s="1"/>
  <c r="R17" i="7"/>
  <c r="AG17" i="7" s="1"/>
  <c r="Q17" i="7"/>
  <c r="AV16" i="7"/>
  <c r="AW16" i="7" s="1"/>
  <c r="AN16" i="7"/>
  <c r="AI16" i="7"/>
  <c r="AF16" i="7"/>
  <c r="AC16" i="7"/>
  <c r="AR16" i="7" s="1"/>
  <c r="AB16" i="7"/>
  <c r="AQ16" i="7" s="1"/>
  <c r="AA16" i="7"/>
  <c r="AP16" i="7" s="1"/>
  <c r="Z16" i="7"/>
  <c r="AO16" i="7" s="1"/>
  <c r="Y16" i="7"/>
  <c r="M11" i="9" s="1"/>
  <c r="X16" i="7"/>
  <c r="AM16" i="7" s="1"/>
  <c r="W16" i="7"/>
  <c r="AL16" i="7" s="1"/>
  <c r="V16" i="7"/>
  <c r="AK16" i="7" s="1"/>
  <c r="U16" i="7"/>
  <c r="AJ16" i="7" s="1"/>
  <c r="T16" i="7"/>
  <c r="S16" i="7"/>
  <c r="AH16" i="7" s="1"/>
  <c r="R16" i="7"/>
  <c r="AG16" i="7" s="1"/>
  <c r="Q16" i="7"/>
  <c r="AV15" i="7"/>
  <c r="AW15" i="7" s="1"/>
  <c r="AH15" i="7"/>
  <c r="AC15" i="7"/>
  <c r="AB15" i="7"/>
  <c r="AQ15" i="7" s="1"/>
  <c r="AA15" i="7"/>
  <c r="AP15" i="7" s="1"/>
  <c r="Z15" i="7"/>
  <c r="AO15" i="7" s="1"/>
  <c r="Y15" i="7"/>
  <c r="X15" i="7"/>
  <c r="AM15" i="7" s="1"/>
  <c r="W15" i="7"/>
  <c r="AL15" i="7" s="1"/>
  <c r="V15" i="7"/>
  <c r="AK15" i="7" s="1"/>
  <c r="U15" i="7"/>
  <c r="T15" i="7"/>
  <c r="AI15" i="7" s="1"/>
  <c r="S15" i="7"/>
  <c r="R15" i="7"/>
  <c r="F10" i="9" s="1"/>
  <c r="Q15" i="7"/>
  <c r="AV14" i="7"/>
  <c r="R9" i="9" s="1"/>
  <c r="G9" i="5" s="1"/>
  <c r="AR14" i="7"/>
  <c r="AJ14" i="7"/>
  <c r="AC14" i="7"/>
  <c r="AB14" i="7"/>
  <c r="AQ14" i="7" s="1"/>
  <c r="AA14" i="7"/>
  <c r="AP14" i="7" s="1"/>
  <c r="Z14" i="7"/>
  <c r="AO14" i="7" s="1"/>
  <c r="Y14" i="7"/>
  <c r="AN14" i="7" s="1"/>
  <c r="X14" i="7"/>
  <c r="AM14" i="7" s="1"/>
  <c r="W14" i="7"/>
  <c r="AL14" i="7" s="1"/>
  <c r="V14" i="7"/>
  <c r="AK14" i="7" s="1"/>
  <c r="U14" i="7"/>
  <c r="I9" i="9" s="1"/>
  <c r="T14" i="7"/>
  <c r="AI14" i="7" s="1"/>
  <c r="S14" i="7"/>
  <c r="AH14" i="7" s="1"/>
  <c r="R14" i="7"/>
  <c r="AG14" i="7" s="1"/>
  <c r="Q14" i="7"/>
  <c r="AF14" i="7" s="1"/>
  <c r="AV13" i="7"/>
  <c r="AW13" i="7" s="1"/>
  <c r="AL13" i="7"/>
  <c r="AC13" i="7"/>
  <c r="AR13" i="7" s="1"/>
  <c r="AB13" i="7"/>
  <c r="AQ13" i="7" s="1"/>
  <c r="AA13" i="7"/>
  <c r="AP13" i="7" s="1"/>
  <c r="Z13" i="7"/>
  <c r="AO13" i="7" s="1"/>
  <c r="Y13" i="7"/>
  <c r="AN13" i="7" s="1"/>
  <c r="X13" i="7"/>
  <c r="AM13" i="7" s="1"/>
  <c r="W13" i="7"/>
  <c r="V13" i="7"/>
  <c r="J8" i="9" s="1"/>
  <c r="U13" i="7"/>
  <c r="AJ13" i="7" s="1"/>
  <c r="T13" i="7"/>
  <c r="AI13" i="7" s="1"/>
  <c r="S13" i="7"/>
  <c r="AH13" i="7" s="1"/>
  <c r="R13" i="7"/>
  <c r="AG13" i="7" s="1"/>
  <c r="Q13" i="7"/>
  <c r="AV12" i="7"/>
  <c r="R7" i="9" s="1"/>
  <c r="G7" i="5" s="1"/>
  <c r="AM12" i="7"/>
  <c r="AC12" i="7"/>
  <c r="AR12" i="7" s="1"/>
  <c r="AB12" i="7"/>
  <c r="AQ12" i="7" s="1"/>
  <c r="AA12" i="7"/>
  <c r="AP12" i="7" s="1"/>
  <c r="Z12" i="7"/>
  <c r="AO12" i="7" s="1"/>
  <c r="Y12" i="7"/>
  <c r="M7" i="9" s="1"/>
  <c r="X12" i="7"/>
  <c r="L7" i="9" s="1"/>
  <c r="W12" i="7"/>
  <c r="AL12" i="7" s="1"/>
  <c r="V12" i="7"/>
  <c r="AK12" i="7" s="1"/>
  <c r="U12" i="7"/>
  <c r="AJ12" i="7" s="1"/>
  <c r="T12" i="7"/>
  <c r="AI12" i="7" s="1"/>
  <c r="S12" i="7"/>
  <c r="AH12" i="7" s="1"/>
  <c r="R12" i="7"/>
  <c r="AG12" i="7" s="1"/>
  <c r="Q12" i="7"/>
  <c r="AF12" i="7" s="1"/>
  <c r="AV11" i="7"/>
  <c r="AW11" i="7" s="1"/>
  <c r="AL11" i="7"/>
  <c r="AC11" i="7"/>
  <c r="AR11" i="7" s="1"/>
  <c r="AB11" i="7"/>
  <c r="AQ11" i="7" s="1"/>
  <c r="AA11" i="7"/>
  <c r="AP11" i="7" s="1"/>
  <c r="Z11" i="7"/>
  <c r="N6" i="9" s="1"/>
  <c r="Y11" i="7"/>
  <c r="AN11" i="7" s="1"/>
  <c r="X11" i="7"/>
  <c r="AM11" i="7" s="1"/>
  <c r="W11" i="7"/>
  <c r="K6" i="9" s="1"/>
  <c r="V11" i="7"/>
  <c r="AK11" i="7" s="1"/>
  <c r="U11" i="7"/>
  <c r="AJ11" i="7" s="1"/>
  <c r="T11" i="7"/>
  <c r="AI11" i="7" s="1"/>
  <c r="S11" i="7"/>
  <c r="AH11" i="7" s="1"/>
  <c r="R11" i="7"/>
  <c r="F6" i="9" s="1"/>
  <c r="Q11" i="7"/>
  <c r="E6" i="9" s="1"/>
  <c r="AV10" i="7"/>
  <c r="AW10" i="7" s="1"/>
  <c r="AF10" i="7"/>
  <c r="AC10" i="7"/>
  <c r="AR10" i="7" s="1"/>
  <c r="AB10" i="7"/>
  <c r="P5" i="9" s="1"/>
  <c r="AA10" i="7"/>
  <c r="AP10" i="7" s="1"/>
  <c r="Z10" i="7"/>
  <c r="AO10" i="7" s="1"/>
  <c r="Y10" i="7"/>
  <c r="AN10" i="7" s="1"/>
  <c r="X10" i="7"/>
  <c r="AM10" i="7" s="1"/>
  <c r="W10" i="7"/>
  <c r="AL10" i="7" s="1"/>
  <c r="V10" i="7"/>
  <c r="AK10" i="7" s="1"/>
  <c r="U10" i="7"/>
  <c r="AJ10" i="7" s="1"/>
  <c r="T10" i="7"/>
  <c r="AI10" i="7" s="1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I30" i="9"/>
  <c r="H30" i="9"/>
  <c r="B30" i="9"/>
  <c r="S29" i="9"/>
  <c r="R29" i="9"/>
  <c r="G29" i="5" s="1"/>
  <c r="P29" i="9"/>
  <c r="N29" i="9"/>
  <c r="I29" i="9"/>
  <c r="G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K27" i="9"/>
  <c r="J27" i="9"/>
  <c r="G27" i="9"/>
  <c r="B27" i="9"/>
  <c r="S26" i="9"/>
  <c r="R26" i="9"/>
  <c r="G26" i="5" s="1"/>
  <c r="M26" i="9"/>
  <c r="L26" i="9"/>
  <c r="K26" i="9"/>
  <c r="J26" i="9"/>
  <c r="I26" i="9"/>
  <c r="B26" i="9"/>
  <c r="S25" i="9"/>
  <c r="L25" i="9"/>
  <c r="J25" i="9"/>
  <c r="I25" i="9"/>
  <c r="F25" i="9"/>
  <c r="E25" i="9"/>
  <c r="B25" i="9"/>
  <c r="S24" i="9"/>
  <c r="R24" i="9"/>
  <c r="L24" i="9"/>
  <c r="K24" i="9"/>
  <c r="H24" i="9"/>
  <c r="B24" i="9"/>
  <c r="S23" i="9"/>
  <c r="R23" i="9"/>
  <c r="G23" i="5" s="1"/>
  <c r="P23" i="9"/>
  <c r="N23" i="9"/>
  <c r="L23" i="9"/>
  <c r="K23" i="9"/>
  <c r="B23" i="9"/>
  <c r="S22" i="9"/>
  <c r="O22" i="9"/>
  <c r="K22" i="9"/>
  <c r="H22" i="9"/>
  <c r="B22" i="9"/>
  <c r="S21" i="9"/>
  <c r="Q21" i="9"/>
  <c r="L21" i="9"/>
  <c r="K21" i="9"/>
  <c r="J21" i="9"/>
  <c r="I21" i="9"/>
  <c r="H21" i="9"/>
  <c r="G21" i="9"/>
  <c r="F21" i="9"/>
  <c r="B21" i="9"/>
  <c r="S20" i="9"/>
  <c r="R20" i="9"/>
  <c r="G20" i="5" s="1"/>
  <c r="H20" i="9"/>
  <c r="B20" i="9"/>
  <c r="S19" i="9"/>
  <c r="N19" i="9"/>
  <c r="L19" i="9"/>
  <c r="B19" i="9"/>
  <c r="S18" i="9"/>
  <c r="O18" i="9"/>
  <c r="G18" i="9"/>
  <c r="B18" i="9"/>
  <c r="R17" i="9"/>
  <c r="G17" i="5" s="1"/>
  <c r="N17" i="9"/>
  <c r="F17" i="9"/>
  <c r="B17" i="9"/>
  <c r="K16" i="9"/>
  <c r="I16" i="9"/>
  <c r="H16" i="9"/>
  <c r="B16" i="9"/>
  <c r="S15" i="9"/>
  <c r="Q15" i="9"/>
  <c r="I15" i="9"/>
  <c r="H15" i="9"/>
  <c r="E15" i="9"/>
  <c r="B15" i="9"/>
  <c r="S14" i="9"/>
  <c r="R14" i="9"/>
  <c r="G14" i="5" s="1"/>
  <c r="P14" i="9"/>
  <c r="O14" i="9"/>
  <c r="N14" i="9"/>
  <c r="G14" i="9"/>
  <c r="F14" i="9"/>
  <c r="B14" i="9"/>
  <c r="S13" i="9"/>
  <c r="P13" i="9"/>
  <c r="M13" i="9"/>
  <c r="L13" i="9"/>
  <c r="I13" i="9"/>
  <c r="H13" i="9"/>
  <c r="F13" i="9"/>
  <c r="B13" i="9"/>
  <c r="S12" i="9"/>
  <c r="L12" i="9"/>
  <c r="J12" i="9"/>
  <c r="B12" i="9"/>
  <c r="S11" i="9"/>
  <c r="Q11" i="9"/>
  <c r="H11" i="9"/>
  <c r="E11" i="9"/>
  <c r="B11" i="9"/>
  <c r="S10" i="9"/>
  <c r="P10" i="9"/>
  <c r="O10" i="9"/>
  <c r="N10" i="9"/>
  <c r="L10" i="9"/>
  <c r="K10" i="9"/>
  <c r="H10" i="9"/>
  <c r="G10" i="9"/>
  <c r="B10" i="9"/>
  <c r="S9" i="9"/>
  <c r="Q9" i="9"/>
  <c r="P9" i="9"/>
  <c r="N9" i="9"/>
  <c r="M9" i="9"/>
  <c r="K9" i="9"/>
  <c r="H9" i="9"/>
  <c r="F9" i="9"/>
  <c r="E9" i="9"/>
  <c r="B9" i="9"/>
  <c r="S8" i="9"/>
  <c r="Q8" i="9"/>
  <c r="N8" i="9"/>
  <c r="K8" i="9"/>
  <c r="I8" i="9"/>
  <c r="E8" i="9"/>
  <c r="B8" i="9"/>
  <c r="S7" i="9"/>
  <c r="Q7" i="9"/>
  <c r="N7" i="9"/>
  <c r="I7" i="9"/>
  <c r="G7" i="9"/>
  <c r="F7" i="9"/>
  <c r="B7" i="9"/>
  <c r="S6" i="9"/>
  <c r="R6" i="9"/>
  <c r="G6" i="5" s="1"/>
  <c r="Q6" i="9"/>
  <c r="M6" i="9"/>
  <c r="I6" i="9"/>
  <c r="B6" i="9"/>
  <c r="S5" i="9"/>
  <c r="M5" i="9"/>
  <c r="I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B12" i="5"/>
  <c r="I11" i="5"/>
  <c r="B11" i="5"/>
  <c r="I10" i="5"/>
  <c r="B10" i="5"/>
  <c r="I9" i="5"/>
  <c r="B9" i="5"/>
  <c r="I8" i="5"/>
  <c r="B8" i="5"/>
  <c r="I7" i="5"/>
  <c r="B7" i="5"/>
  <c r="I6" i="5"/>
  <c r="B6" i="5"/>
  <c r="I5" i="5"/>
  <c r="B5" i="5"/>
  <c r="I4" i="5"/>
  <c r="B4" i="5"/>
  <c r="I3" i="5"/>
  <c r="B3" i="5"/>
  <c r="I2" i="5"/>
  <c r="L20" i="9" l="1"/>
  <c r="Q18" i="9"/>
  <c r="O17" i="9"/>
  <c r="I17" i="9"/>
  <c r="E18" i="9"/>
  <c r="L17" i="9"/>
  <c r="K17" i="9"/>
  <c r="P15" i="9"/>
  <c r="N15" i="9"/>
  <c r="M15" i="9"/>
  <c r="L15" i="9"/>
  <c r="K15" i="9"/>
  <c r="J15" i="9"/>
  <c r="G15" i="9"/>
  <c r="F15" i="9"/>
  <c r="L14" i="9"/>
  <c r="AL19" i="7"/>
  <c r="J14" i="9"/>
  <c r="R12" i="9"/>
  <c r="G12" i="5" s="1"/>
  <c r="Q13" i="9"/>
  <c r="N13" i="9"/>
  <c r="J13" i="9"/>
  <c r="E13" i="9"/>
  <c r="P12" i="9"/>
  <c r="AP17" i="7"/>
  <c r="N12" i="9"/>
  <c r="L11" i="9"/>
  <c r="AL17" i="7"/>
  <c r="I11" i="9"/>
  <c r="H12" i="9"/>
  <c r="F12" i="9"/>
  <c r="R10" i="9"/>
  <c r="G10" i="5" s="1"/>
  <c r="R11" i="9"/>
  <c r="G11" i="5" s="1"/>
  <c r="P11" i="9"/>
  <c r="N11" i="9"/>
  <c r="J10" i="9"/>
  <c r="J11" i="9"/>
  <c r="AS16" i="7"/>
  <c r="F11" i="9"/>
  <c r="O9" i="9"/>
  <c r="L9" i="9"/>
  <c r="AG15" i="7"/>
  <c r="AW14" i="7"/>
  <c r="R8" i="9"/>
  <c r="G8" i="5" s="1"/>
  <c r="J9" i="9"/>
  <c r="G9" i="9"/>
  <c r="F8" i="9"/>
  <c r="O8" i="9"/>
  <c r="M8" i="9"/>
  <c r="AN12" i="7"/>
  <c r="AS12" i="7" s="1"/>
  <c r="AK13" i="7"/>
  <c r="J7" i="9"/>
  <c r="G8" i="9"/>
  <c r="P7" i="9"/>
  <c r="O7" i="9"/>
  <c r="O6" i="9"/>
  <c r="K7" i="9"/>
  <c r="J6" i="9"/>
  <c r="H7" i="9"/>
  <c r="G6" i="9"/>
  <c r="E7" i="9"/>
  <c r="Q5" i="9"/>
  <c r="AO11" i="7"/>
  <c r="H5" i="9"/>
  <c r="AG11" i="7"/>
  <c r="Q4" i="9"/>
  <c r="AQ10" i="7"/>
  <c r="O4" i="9"/>
  <c r="M4" i="9"/>
  <c r="L5" i="9"/>
  <c r="AW9" i="7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D14" i="7"/>
  <c r="AF19" i="7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AS32" i="7" s="1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L34" i="7"/>
  <c r="J29" i="9"/>
  <c r="F29" i="9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E25" i="5" s="1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S26" i="7" s="1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P16" i="9"/>
  <c r="AA38" i="7"/>
  <c r="N16" i="9"/>
  <c r="L16" i="9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Y38" i="7"/>
  <c r="X38" i="7"/>
  <c r="AD20" i="7"/>
  <c r="W38" i="7"/>
  <c r="AK21" i="7"/>
  <c r="AD21" i="7"/>
  <c r="V38" i="7"/>
  <c r="AS23" i="7" l="1"/>
  <c r="AM38" i="7"/>
  <c r="AS22" i="7"/>
  <c r="E15" i="5"/>
  <c r="AS21" i="7"/>
  <c r="AS19" i="7"/>
  <c r="E12" i="5"/>
  <c r="E9" i="5"/>
  <c r="AW38" i="7"/>
  <c r="E7" i="5"/>
  <c r="E4" i="5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<sst xmlns="http://schemas.openxmlformats.org/spreadsheetml/2006/main" count="128" uniqueCount="49">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</sst>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56730</v>
      </c>
      <c r="F5" s="11">
        <v>5.0000000000000001E-3</v>
      </c>
      <c r="G5" s="12">
        <f>Submetering!R5</f>
        <v>713.92832599999997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59880</v>
      </c>
      <c r="F6" s="11">
        <v>5.0000000000000001E-3</v>
      </c>
      <c r="G6" s="12">
        <f>Submetering!R6</f>
        <v>872.53700500000002</v>
      </c>
      <c r="H6" s="11">
        <v>0.52800000000000002</v>
      </c>
      <c r="I6" s="12">
        <f>Hotel!B11</f>
        <v>113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65770</v>
      </c>
      <c r="F7" s="11">
        <v>5.0000000000000001E-3</v>
      </c>
      <c r="G7" s="12">
        <f>Submetering!R7</f>
        <v>547.37028599999996</v>
      </c>
      <c r="H7" s="11">
        <v>0.52800000000000002</v>
      </c>
      <c r="I7" s="12">
        <f>Hotel!B12</f>
        <v>134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69230</v>
      </c>
      <c r="F8" s="11">
        <v>5.0000000000000001E-3</v>
      </c>
      <c r="G8" s="12">
        <f>Submetering!R8</f>
        <v>757.46054100000003</v>
      </c>
      <c r="H8" s="11">
        <v>0.52800000000000002</v>
      </c>
      <c r="I8" s="12">
        <f>Hotel!B13</f>
        <v>74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70470</v>
      </c>
      <c r="F9" s="11">
        <v>5.0000000000000001E-3</v>
      </c>
      <c r="G9" s="12">
        <f>Submetering!R9</f>
        <v>734.36953999999992</v>
      </c>
      <c r="H9" s="11">
        <v>0.52800000000000002</v>
      </c>
      <c r="I9" s="12">
        <f>Hotel!B14</f>
        <v>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66960</v>
      </c>
      <c r="F10" s="11">
        <v>5.0000000000000001E-3</v>
      </c>
      <c r="G10" s="12">
        <f>Submetering!R10</f>
        <v>651.46906100000001</v>
      </c>
      <c r="H10" s="11">
        <v>0.52800000000000002</v>
      </c>
      <c r="I10" s="12">
        <f>Hotel!B15</f>
        <v>58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65400</v>
      </c>
      <c r="F11" s="11">
        <v>5.0000000000000001E-3</v>
      </c>
      <c r="G11" s="12">
        <f>Submetering!R11</f>
        <v>718.84935900000005</v>
      </c>
      <c r="H11" s="11">
        <v>0.52800000000000002</v>
      </c>
      <c r="I11" s="12">
        <f>Hotel!B16</f>
        <v>53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67580</v>
      </c>
      <c r="F12" s="11">
        <v>5.0000000000000001E-3</v>
      </c>
      <c r="G12" s="12">
        <f>Submetering!R12</f>
        <v>701.05793199999994</v>
      </c>
      <c r="H12" s="11">
        <v>0.52800000000000002</v>
      </c>
      <c r="I12" s="12">
        <f>Hotel!B17</f>
        <v>72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72340</v>
      </c>
      <c r="F13" s="11">
        <v>5.0000000000000001E-3</v>
      </c>
      <c r="G13" s="12">
        <f>Submetering!R13</f>
        <v>782.82278799999995</v>
      </c>
      <c r="H13" s="11">
        <v>0.52800000000000002</v>
      </c>
      <c r="I13" s="12">
        <f>Hotel!B18</f>
        <v>121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64460</v>
      </c>
      <c r="F14" s="11">
        <v>5.0000000000000001E-3</v>
      </c>
      <c r="G14" s="12">
        <f>Submetering!R14</f>
        <v>521.25095699999997</v>
      </c>
      <c r="H14" s="11">
        <v>0.52800000000000002</v>
      </c>
      <c r="I14" s="12">
        <f>Hotel!B19</f>
        <v>126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59290</v>
      </c>
      <c r="F15" s="11">
        <v>5.0000000000000001E-3</v>
      </c>
      <c r="G15" s="12">
        <f>Submetering!R15</f>
        <v>648.44073300000002</v>
      </c>
      <c r="H15" s="11">
        <v>0.52800000000000002</v>
      </c>
      <c r="I15" s="12">
        <f>Hotel!B20</f>
        <v>56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57730</v>
      </c>
      <c r="F16" s="11">
        <v>5.0000000000000001E-3</v>
      </c>
      <c r="G16" s="12">
        <f>Submetering!R16</f>
        <v>739.29057299999999</v>
      </c>
      <c r="H16" s="11">
        <v>0.52800000000000002</v>
      </c>
      <c r="I16" s="12">
        <f>Hotel!B21</f>
        <v>53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57930</v>
      </c>
      <c r="F17" s="11">
        <v>5.0000000000000001E-3</v>
      </c>
      <c r="G17" s="12">
        <f>Submetering!R17</f>
        <v>710.1429159999999</v>
      </c>
      <c r="H17" s="11">
        <v>0.52800000000000002</v>
      </c>
      <c r="I17" s="12">
        <f>Hotel!B22</f>
        <v>52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50830</v>
      </c>
      <c r="F18" s="11">
        <v>5.0000000000000001E-3</v>
      </c>
      <c r="G18" s="12">
        <f>Submetering!R18</f>
        <v>628.75660100000005</v>
      </c>
      <c r="H18" s="11">
        <v>0.52800000000000002</v>
      </c>
      <c r="I18" s="12">
        <f>Hotel!B23</f>
        <v>62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52410</v>
      </c>
      <c r="F19" s="11">
        <v>5.0000000000000001E-3</v>
      </c>
      <c r="G19" s="12">
        <f>Submetering!R19</f>
        <v>617.77891199999999</v>
      </c>
      <c r="H19" s="11">
        <v>0.52800000000000002</v>
      </c>
      <c r="I19" s="12">
        <f>Hotel!B24</f>
        <v>49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>
        <f>Hotel!Q10</f>
        <v>490</v>
      </c>
      <c r="F5" s="4">
        <f>Hotel!R10</f>
        <v>14090</v>
      </c>
      <c r="G5" s="4">
        <f>Hotel!S10</f>
        <v>70</v>
      </c>
      <c r="H5" s="4">
        <f>Hotel!T10</f>
        <v>1450</v>
      </c>
      <c r="I5" s="4">
        <f>Hotel!U10</f>
        <v>4380</v>
      </c>
      <c r="J5" s="4">
        <f>Hotel!V10</f>
        <v>3190</v>
      </c>
      <c r="K5" s="4">
        <f>Hotel!W10</f>
        <v>2340</v>
      </c>
      <c r="L5" s="4">
        <f>Hotel!X10</f>
        <v>3910</v>
      </c>
      <c r="M5" s="4">
        <f>Hotel!Y10</f>
        <v>5130</v>
      </c>
      <c r="N5" s="4">
        <f>Hotel!Z10</f>
        <v>2480</v>
      </c>
      <c r="O5" s="4">
        <f>Hotel!AA10</f>
        <v>2960</v>
      </c>
      <c r="P5" s="4">
        <f>Hotel!AB10</f>
        <v>6780</v>
      </c>
      <c r="Q5" s="4">
        <f>Hotel!AC10</f>
        <v>9460</v>
      </c>
      <c r="R5" s="4">
        <f>Hotel!AV10*0.00378541*100</f>
        <v>713.92832599999997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>
        <f>Hotel!Q11</f>
        <v>500</v>
      </c>
      <c r="F6" s="4">
        <f>Hotel!R11</f>
        <v>14750</v>
      </c>
      <c r="G6" s="4">
        <f>Hotel!S11</f>
        <v>70</v>
      </c>
      <c r="H6" s="4">
        <f>Hotel!T11</f>
        <v>1490</v>
      </c>
      <c r="I6" s="4">
        <f>Hotel!U11</f>
        <v>4510</v>
      </c>
      <c r="J6" s="4">
        <f>Hotel!V11</f>
        <v>3280</v>
      </c>
      <c r="K6" s="4">
        <f>Hotel!W11</f>
        <v>2420</v>
      </c>
      <c r="L6" s="4">
        <f>Hotel!X11</f>
        <v>4090</v>
      </c>
      <c r="M6" s="4">
        <f>Hotel!Y11</f>
        <v>5290</v>
      </c>
      <c r="N6" s="4">
        <f>Hotel!Z11</f>
        <v>2580</v>
      </c>
      <c r="O6" s="4">
        <f>Hotel!AA11</f>
        <v>3200</v>
      </c>
      <c r="P6" s="4">
        <f>Hotel!AB11</f>
        <v>7110</v>
      </c>
      <c r="Q6" s="4">
        <f>Hotel!AC11</f>
        <v>10590</v>
      </c>
      <c r="R6" s="4">
        <f>Hotel!AV11*0.00378541*100</f>
        <v>872.53700500000002</v>
      </c>
      <c r="S6" s="4">
        <f>Hotel!B11</f>
        <v>113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3450</v>
      </c>
      <c r="F7" s="4">
        <f>Hotel!R12</f>
        <v>15040</v>
      </c>
      <c r="G7" s="4">
        <f>Hotel!S12</f>
        <v>90</v>
      </c>
      <c r="H7" s="4">
        <f>Hotel!T12</f>
        <v>1580</v>
      </c>
      <c r="I7" s="4">
        <f>Hotel!U12</f>
        <v>4860</v>
      </c>
      <c r="J7" s="4">
        <f>Hotel!V12</f>
        <v>3350</v>
      </c>
      <c r="K7" s="4">
        <f>Hotel!W12</f>
        <v>2480</v>
      </c>
      <c r="L7" s="4">
        <f>Hotel!X12</f>
        <v>4040</v>
      </c>
      <c r="M7" s="4">
        <f>Hotel!Y12</f>
        <v>5830</v>
      </c>
      <c r="N7" s="4">
        <f>Hotel!Z12</f>
        <v>2770</v>
      </c>
      <c r="O7" s="4">
        <f>Hotel!AA12</f>
        <v>3470</v>
      </c>
      <c r="P7" s="4">
        <f>Hotel!AB12</f>
        <v>7390</v>
      </c>
      <c r="Q7" s="4">
        <f>Hotel!AC12</f>
        <v>11420</v>
      </c>
      <c r="R7" s="4">
        <f>Hotel!AV12*0.00378541*100</f>
        <v>547.37028599999996</v>
      </c>
      <c r="S7" s="4">
        <f>Hotel!B12</f>
        <v>134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9690</v>
      </c>
      <c r="F8" s="4">
        <f>Hotel!R13</f>
        <v>12860</v>
      </c>
      <c r="G8" s="4">
        <f>Hotel!S13</f>
        <v>120</v>
      </c>
      <c r="H8" s="4">
        <f>Hotel!T13</f>
        <v>1600</v>
      </c>
      <c r="I8" s="4">
        <f>Hotel!U13</f>
        <v>4680</v>
      </c>
      <c r="J8" s="4">
        <f>Hotel!V13</f>
        <v>3280</v>
      </c>
      <c r="K8" s="4">
        <f>Hotel!W13</f>
        <v>2390</v>
      </c>
      <c r="L8" s="4">
        <f>Hotel!X13</f>
        <v>3910</v>
      </c>
      <c r="M8" s="4">
        <f>Hotel!Y13</f>
        <v>5910</v>
      </c>
      <c r="N8" s="4">
        <f>Hotel!Z13</f>
        <v>2650</v>
      </c>
      <c r="O8" s="4">
        <f>Hotel!AA13</f>
        <v>3460</v>
      </c>
      <c r="P8" s="4">
        <f>Hotel!AB13</f>
        <v>7300</v>
      </c>
      <c r="Q8" s="4">
        <f>Hotel!AC13</f>
        <v>11380</v>
      </c>
      <c r="R8" s="4">
        <f>Hotel!AV13*0.00378541*100</f>
        <v>757.46054100000003</v>
      </c>
      <c r="S8" s="4">
        <f>Hotel!B13</f>
        <v>74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>
        <f>Hotel!Q14</f>
        <v>10100</v>
      </c>
      <c r="F9" s="4">
        <f>Hotel!R14</f>
        <v>13360</v>
      </c>
      <c r="G9" s="4">
        <f>Hotel!S14</f>
        <v>130</v>
      </c>
      <c r="H9" s="4">
        <f>Hotel!T14</f>
        <v>1650</v>
      </c>
      <c r="I9" s="4">
        <f>Hotel!U14</f>
        <v>5120</v>
      </c>
      <c r="J9" s="4">
        <f>Hotel!V14</f>
        <v>3280</v>
      </c>
      <c r="K9" s="4">
        <f>Hotel!W14</f>
        <v>2480</v>
      </c>
      <c r="L9" s="4">
        <f>Hotel!X14</f>
        <v>3730</v>
      </c>
      <c r="M9" s="4">
        <f>Hotel!Y14</f>
        <v>5630</v>
      </c>
      <c r="N9" s="4">
        <f>Hotel!Z14</f>
        <v>2680</v>
      </c>
      <c r="O9" s="4">
        <f>Hotel!AA14</f>
        <v>3470</v>
      </c>
      <c r="P9" s="4">
        <f>Hotel!AB14</f>
        <v>7440</v>
      </c>
      <c r="Q9" s="4">
        <f>Hotel!AC14</f>
        <v>11400</v>
      </c>
      <c r="R9" s="4">
        <f>Hotel!AV14*0.00378541*100</f>
        <v>734.36953999999992</v>
      </c>
      <c r="S9" s="4">
        <f>Hotel!B14</f>
        <v>56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>
        <f>Hotel!Q15</f>
        <v>10180</v>
      </c>
      <c r="F10" s="4">
        <f>Hotel!R15</f>
        <v>13230</v>
      </c>
      <c r="G10" s="4">
        <f>Hotel!S15</f>
        <v>150</v>
      </c>
      <c r="H10" s="4">
        <f>Hotel!T15</f>
        <v>1590</v>
      </c>
      <c r="I10" s="4">
        <f>Hotel!U15</f>
        <v>4680</v>
      </c>
      <c r="J10" s="4">
        <f>Hotel!V15</f>
        <v>3260</v>
      </c>
      <c r="K10" s="4">
        <f>Hotel!W15</f>
        <v>2380</v>
      </c>
      <c r="L10" s="4">
        <f>Hotel!X15</f>
        <v>4000</v>
      </c>
      <c r="M10" s="4">
        <f>Hotel!Y15</f>
        <v>5440</v>
      </c>
      <c r="N10" s="4">
        <f>Hotel!Z15</f>
        <v>2510</v>
      </c>
      <c r="O10" s="4">
        <f>Hotel!AA15</f>
        <v>2960</v>
      </c>
      <c r="P10" s="4">
        <f>Hotel!AB15</f>
        <v>7070</v>
      </c>
      <c r="Q10" s="4">
        <f>Hotel!AC15</f>
        <v>9510</v>
      </c>
      <c r="R10" s="4">
        <f>Hotel!AV15*0.00378541*100</f>
        <v>651.46906100000001</v>
      </c>
      <c r="S10" s="4">
        <f>Hotel!B15</f>
        <v>58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>
        <f>Hotel!Q16</f>
        <v>9290</v>
      </c>
      <c r="F11" s="4">
        <f>Hotel!R16</f>
        <v>12350</v>
      </c>
      <c r="G11" s="4">
        <f>Hotel!S16</f>
        <v>120</v>
      </c>
      <c r="H11" s="4">
        <f>Hotel!T16</f>
        <v>1580</v>
      </c>
      <c r="I11" s="4">
        <f>Hotel!U16</f>
        <v>4550</v>
      </c>
      <c r="J11" s="4">
        <f>Hotel!V16</f>
        <v>3270</v>
      </c>
      <c r="K11" s="4">
        <f>Hotel!W16</f>
        <v>2350</v>
      </c>
      <c r="L11" s="4">
        <f>Hotel!X16</f>
        <v>3770</v>
      </c>
      <c r="M11" s="4">
        <f>Hotel!Y16</f>
        <v>5480</v>
      </c>
      <c r="N11" s="4">
        <f>Hotel!Z16</f>
        <v>2420</v>
      </c>
      <c r="O11" s="4">
        <f>Hotel!AA16</f>
        <v>2970</v>
      </c>
      <c r="P11" s="4">
        <f>Hotel!AB16</f>
        <v>7060</v>
      </c>
      <c r="Q11" s="4">
        <f>Hotel!AC16</f>
        <v>10190</v>
      </c>
      <c r="R11" s="4">
        <f>Hotel!AV16*0.00378541*100</f>
        <v>718.84935900000005</v>
      </c>
      <c r="S11" s="4">
        <f>Hotel!B16</f>
        <v>53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>
        <f>Hotel!Q17</f>
        <v>9310</v>
      </c>
      <c r="F12" s="4">
        <f>Hotel!R17</f>
        <v>12260</v>
      </c>
      <c r="G12" s="4">
        <f>Hotel!S17</f>
        <v>100</v>
      </c>
      <c r="H12" s="4">
        <f>Hotel!T17</f>
        <v>1610</v>
      </c>
      <c r="I12" s="4">
        <f>Hotel!U17</f>
        <v>4520</v>
      </c>
      <c r="J12" s="4">
        <f>Hotel!V17</f>
        <v>3370</v>
      </c>
      <c r="K12" s="4">
        <f>Hotel!W17</f>
        <v>2440</v>
      </c>
      <c r="L12" s="4">
        <f>Hotel!X17</f>
        <v>3790</v>
      </c>
      <c r="M12" s="4">
        <f>Hotel!Y17</f>
        <v>5620</v>
      </c>
      <c r="N12" s="4">
        <f>Hotel!Z17</f>
        <v>2510</v>
      </c>
      <c r="O12" s="4">
        <f>Hotel!AA17</f>
        <v>3100</v>
      </c>
      <c r="P12" s="4">
        <f>Hotel!AB17</f>
        <v>7280</v>
      </c>
      <c r="Q12" s="4">
        <f>Hotel!AC17</f>
        <v>11670</v>
      </c>
      <c r="R12" s="4">
        <f>Hotel!AV17*0.00378541*100</f>
        <v>701.05793199999994</v>
      </c>
      <c r="S12" s="4">
        <f>Hotel!B17</f>
        <v>72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>
        <f>Hotel!Q18</f>
        <v>9490</v>
      </c>
      <c r="F13" s="4">
        <f>Hotel!R18</f>
        <v>12500</v>
      </c>
      <c r="G13" s="4">
        <f>Hotel!S18</f>
        <v>90</v>
      </c>
      <c r="H13" s="4">
        <f>Hotel!T18</f>
        <v>1680</v>
      </c>
      <c r="I13" s="4">
        <f>Hotel!U18</f>
        <v>4620</v>
      </c>
      <c r="J13" s="4">
        <f>Hotel!V18</f>
        <v>3620</v>
      </c>
      <c r="K13" s="4">
        <f>Hotel!W18</f>
        <v>2470</v>
      </c>
      <c r="L13" s="4">
        <f>Hotel!X18</f>
        <v>4000</v>
      </c>
      <c r="M13" s="4">
        <f>Hotel!Y18</f>
        <v>6120</v>
      </c>
      <c r="N13" s="4">
        <f>Hotel!Z18</f>
        <v>2770</v>
      </c>
      <c r="O13" s="4">
        <f>Hotel!AA18</f>
        <v>3500</v>
      </c>
      <c r="P13" s="4">
        <f>Hotel!AB18</f>
        <v>7360</v>
      </c>
      <c r="Q13" s="4">
        <f>Hotel!AC18</f>
        <v>14120</v>
      </c>
      <c r="R13" s="4">
        <f>Hotel!AV18*0.00378541*100</f>
        <v>782.82278799999995</v>
      </c>
      <c r="S13" s="4">
        <f>Hotel!B18</f>
        <v>121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7500</v>
      </c>
      <c r="F14" s="4">
        <f>Hotel!R19</f>
        <v>10940</v>
      </c>
      <c r="G14" s="4">
        <f>Hotel!S19</f>
        <v>50</v>
      </c>
      <c r="H14" s="4">
        <f>Hotel!T19</f>
        <v>1520</v>
      </c>
      <c r="I14" s="4">
        <f>Hotel!U19</f>
        <v>4760</v>
      </c>
      <c r="J14" s="4">
        <f>Hotel!V19</f>
        <v>3350</v>
      </c>
      <c r="K14" s="4">
        <f>Hotel!W19</f>
        <v>2230</v>
      </c>
      <c r="L14" s="4">
        <f>Hotel!X19</f>
        <v>3740</v>
      </c>
      <c r="M14" s="4">
        <f>Hotel!Y19</f>
        <v>5740</v>
      </c>
      <c r="N14" s="4">
        <f>Hotel!Z19</f>
        <v>2640</v>
      </c>
      <c r="O14" s="4">
        <f>Hotel!AA19</f>
        <v>3320</v>
      </c>
      <c r="P14" s="4">
        <f>Hotel!AB19</f>
        <v>6830</v>
      </c>
      <c r="Q14" s="4">
        <f>Hotel!AC19</f>
        <v>11840</v>
      </c>
      <c r="R14" s="4">
        <f>Hotel!AV19*0.00378541*100</f>
        <v>521.25095699999997</v>
      </c>
      <c r="S14" s="4">
        <f>Hotel!B19</f>
        <v>126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510</v>
      </c>
      <c r="F15" s="4">
        <f>Hotel!R20</f>
        <v>12760</v>
      </c>
      <c r="G15" s="4">
        <f>Hotel!S20</f>
        <v>20</v>
      </c>
      <c r="H15" s="4">
        <f>Hotel!T20</f>
        <v>1570</v>
      </c>
      <c r="I15" s="4">
        <f>Hotel!U20</f>
        <v>5050</v>
      </c>
      <c r="J15" s="4">
        <f>Hotel!V20</f>
        <v>3380</v>
      </c>
      <c r="K15" s="4">
        <f>Hotel!W20</f>
        <v>2290</v>
      </c>
      <c r="L15" s="4">
        <f>Hotel!X20</f>
        <v>3690</v>
      </c>
      <c r="M15" s="4">
        <f>Hotel!Y20</f>
        <v>5820</v>
      </c>
      <c r="N15" s="4">
        <f>Hotel!Z20</f>
        <v>2540</v>
      </c>
      <c r="O15" s="4">
        <f>Hotel!AA20</f>
        <v>3410</v>
      </c>
      <c r="P15" s="4">
        <f>Hotel!AB20</f>
        <v>6970</v>
      </c>
      <c r="Q15" s="4">
        <f>Hotel!AC20</f>
        <v>11280</v>
      </c>
      <c r="R15" s="4">
        <f>Hotel!AV20*0.00378541*100</f>
        <v>648.44073300000002</v>
      </c>
      <c r="S15" s="4">
        <f>Hotel!B20</f>
        <v>56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>
        <f>Hotel!Q21</f>
        <v>510</v>
      </c>
      <c r="F16" s="4">
        <f>Hotel!R21</f>
        <v>12290</v>
      </c>
      <c r="G16" s="4">
        <f>Hotel!S21</f>
        <v>0</v>
      </c>
      <c r="H16" s="4">
        <f>Hotel!T21</f>
        <v>1560</v>
      </c>
      <c r="I16" s="4">
        <f>Hotel!U21</f>
        <v>4970</v>
      </c>
      <c r="J16" s="4">
        <f>Hotel!V21</f>
        <v>3250</v>
      </c>
      <c r="K16" s="4">
        <f>Hotel!W21</f>
        <v>2280</v>
      </c>
      <c r="L16" s="4">
        <f>Hotel!X21</f>
        <v>3550</v>
      </c>
      <c r="M16" s="4">
        <f>Hotel!Y21</f>
        <v>5410</v>
      </c>
      <c r="N16" s="4">
        <f>Hotel!Z21</f>
        <v>2490</v>
      </c>
      <c r="O16" s="4">
        <f>Hotel!AA21</f>
        <v>3220</v>
      </c>
      <c r="P16" s="4">
        <f>Hotel!AB21</f>
        <v>6710</v>
      </c>
      <c r="Q16" s="4">
        <f>Hotel!AC21</f>
        <v>11490</v>
      </c>
      <c r="R16" s="4">
        <f>Hotel!AV21*0.00378541*100</f>
        <v>739.29057299999999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>
        <f>Hotel!Q22</f>
        <v>560</v>
      </c>
      <c r="F17" s="4">
        <f>Hotel!R22</f>
        <v>8610</v>
      </c>
      <c r="G17" s="4">
        <f>Hotel!S22</f>
        <v>1830</v>
      </c>
      <c r="H17" s="4">
        <f>Hotel!T22</f>
        <v>1680</v>
      </c>
      <c r="I17" s="4">
        <f>Hotel!U22</f>
        <v>5030</v>
      </c>
      <c r="J17" s="4">
        <f>Hotel!V22</f>
        <v>3530</v>
      </c>
      <c r="K17" s="4">
        <f>Hotel!W22</f>
        <v>2450</v>
      </c>
      <c r="L17" s="4">
        <f>Hotel!X22</f>
        <v>3720</v>
      </c>
      <c r="M17" s="4">
        <f>Hotel!Y22</f>
        <v>5750</v>
      </c>
      <c r="N17" s="4">
        <f>Hotel!Z22</f>
        <v>2560</v>
      </c>
      <c r="O17" s="4">
        <f>Hotel!AA22</f>
        <v>3040</v>
      </c>
      <c r="P17" s="4">
        <f>Hotel!AB22</f>
        <v>7150</v>
      </c>
      <c r="Q17" s="4">
        <f>Hotel!AC22</f>
        <v>12020</v>
      </c>
      <c r="R17" s="4">
        <f>Hotel!AV22*0.00378541*100</f>
        <v>710.1429159999999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>
        <f>Hotel!Q23</f>
        <v>540</v>
      </c>
      <c r="F18" s="4">
        <f>Hotel!R23</f>
        <v>1870</v>
      </c>
      <c r="G18" s="4">
        <f>Hotel!S23</f>
        <v>3700</v>
      </c>
      <c r="H18" s="4">
        <f>Hotel!T23</f>
        <v>1580</v>
      </c>
      <c r="I18" s="4">
        <f>Hotel!U23</f>
        <v>4740</v>
      </c>
      <c r="J18" s="4">
        <f>Hotel!V23</f>
        <v>3350</v>
      </c>
      <c r="K18" s="4">
        <f>Hotel!W23</f>
        <v>2310</v>
      </c>
      <c r="L18" s="4">
        <f>Hotel!X23</f>
        <v>3540</v>
      </c>
      <c r="M18" s="4">
        <f>Hotel!Y23</f>
        <v>5550</v>
      </c>
      <c r="N18" s="4">
        <f>Hotel!Z23</f>
        <v>2470</v>
      </c>
      <c r="O18" s="4">
        <f>Hotel!AA23</f>
        <v>3080</v>
      </c>
      <c r="P18" s="4">
        <f>Hotel!AB23</f>
        <v>6780</v>
      </c>
      <c r="Q18" s="4">
        <f>Hotel!AC23</f>
        <v>11320</v>
      </c>
      <c r="R18" s="4">
        <f>Hotel!AV23*0.00378541*100</f>
        <v>628.75660100000005</v>
      </c>
      <c r="S18" s="4">
        <f>Hotel!B23</f>
        <v>62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>
        <f>Hotel!Q24</f>
        <v>550</v>
      </c>
      <c r="F19" s="4">
        <f>Hotel!R24</f>
        <v>1910</v>
      </c>
      <c r="G19" s="4">
        <f>Hotel!S24</f>
        <v>3550</v>
      </c>
      <c r="H19" s="4">
        <f>Hotel!T24</f>
        <v>1590</v>
      </c>
      <c r="I19" s="4">
        <f>Hotel!U24</f>
        <v>4540</v>
      </c>
      <c r="J19" s="4">
        <f>Hotel!V24</f>
        <v>3310</v>
      </c>
      <c r="K19" s="4">
        <f>Hotel!W24</f>
        <v>2360</v>
      </c>
      <c r="L19" s="4">
        <f>Hotel!X24</f>
        <v>3590</v>
      </c>
      <c r="M19" s="4">
        <f>Hotel!Y24</f>
        <v>5670</v>
      </c>
      <c r="N19" s="4">
        <f>Hotel!Z24</f>
        <v>2510</v>
      </c>
      <c r="O19" s="4">
        <f>Hotel!AA24</f>
        <v>2950</v>
      </c>
      <c r="P19" s="4">
        <f>Hotel!AB24</f>
        <v>7190</v>
      </c>
      <c r="Q19" s="4">
        <f>Hotel!AC24</f>
        <v>12690</v>
      </c>
      <c r="R19" s="4">
        <f>Hotel!AV24*0.00378541*100</f>
        <v>617.77891199999999</v>
      </c>
      <c r="S19" s="4">
        <f>Hotel!B24</f>
        <v>49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 t="str">
        <f>Hotel!Q25</f>
        <v>0</v>
      </c>
      <c r="F20" s="4" t="str">
        <f>Hotel!R25</f>
        <v>0</v>
      </c>
      <c r="G20" s="4" t="str">
        <f>Hotel!S25</f>
        <v>0</v>
      </c>
      <c r="H20" s="4" t="str">
        <f>Hotel!T25</f>
        <v>0</v>
      </c>
      <c r="I20" s="4" t="str">
        <f>Hotel!U25</f>
        <v>0</v>
      </c>
      <c r="J20" s="4" t="str">
        <f>Hotel!V25</f>
        <v>0</v>
      </c>
      <c r="K20" s="4" t="str">
        <f>Hotel!W25</f>
        <v>0</v>
      </c>
      <c r="L20" s="4" t="str">
        <f>Hotel!X25</f>
        <v>0</v>
      </c>
      <c r="M20" s="4" t="str">
        <f>Hotel!Y25</f>
        <v>0</v>
      </c>
      <c r="N20" s="4" t="str">
        <f>Hotel!Z25</f>
        <v>0</v>
      </c>
      <c r="O20" s="4" t="str">
        <f>Hotel!AA25</f>
        <v>0</v>
      </c>
      <c r="P20" s="4" t="str">
        <f>Hotel!AB25</f>
        <v>0</v>
      </c>
      <c r="Q20" s="4" t="str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K20" sqref="AK2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>
        <v>60</v>
      </c>
      <c r="C10" s="24">
        <v>6404640</v>
      </c>
      <c r="D10" s="24">
        <v>14796180</v>
      </c>
      <c r="E10" s="24">
        <v>2166180</v>
      </c>
      <c r="F10" s="24">
        <v>3102260</v>
      </c>
      <c r="G10" s="24">
        <v>9411310</v>
      </c>
      <c r="H10" s="24">
        <v>4819010</v>
      </c>
      <c r="I10" s="24">
        <v>4573130</v>
      </c>
      <c r="J10" s="24">
        <v>5167430</v>
      </c>
      <c r="K10" s="24">
        <v>8098410</v>
      </c>
      <c r="L10" s="24">
        <v>3294590</v>
      </c>
      <c r="M10" s="24">
        <v>7188720</v>
      </c>
      <c r="N10" s="24">
        <v>10562190</v>
      </c>
      <c r="O10" s="24">
        <v>14302740</v>
      </c>
      <c r="Q10" s="37">
        <f t="shared" si="16"/>
        <v>490</v>
      </c>
      <c r="R10" s="37">
        <f t="shared" si="17"/>
        <v>14090</v>
      </c>
      <c r="S10" s="37">
        <f t="shared" si="15"/>
        <v>70</v>
      </c>
      <c r="T10" s="37">
        <f t="shared" si="18"/>
        <v>1450</v>
      </c>
      <c r="U10" s="37">
        <f t="shared" si="19"/>
        <v>4380</v>
      </c>
      <c r="V10" s="37">
        <f t="shared" si="20"/>
        <v>3190</v>
      </c>
      <c r="W10" s="37">
        <f t="shared" si="21"/>
        <v>2340</v>
      </c>
      <c r="X10" s="37">
        <f t="shared" si="22"/>
        <v>3910</v>
      </c>
      <c r="Y10" s="37">
        <f t="shared" si="23"/>
        <v>5130</v>
      </c>
      <c r="Z10" s="37">
        <f t="shared" si="24"/>
        <v>2480</v>
      </c>
      <c r="AA10" s="37">
        <f t="shared" si="25"/>
        <v>2960</v>
      </c>
      <c r="AB10" s="37">
        <f t="shared" si="26"/>
        <v>6780</v>
      </c>
      <c r="AC10" s="37">
        <f t="shared" si="27"/>
        <v>9460</v>
      </c>
      <c r="AD10" s="35">
        <f t="shared" si="28"/>
        <v>56730</v>
      </c>
      <c r="AF10" s="20">
        <f t="shared" si="1"/>
        <v>2.4500000000000002</v>
      </c>
      <c r="AG10" s="20">
        <f t="shared" si="2"/>
        <v>70.45</v>
      </c>
      <c r="AH10" s="20">
        <f t="shared" si="3"/>
        <v>0.35000000000000003</v>
      </c>
      <c r="AI10" s="20">
        <f t="shared" si="4"/>
        <v>7.25</v>
      </c>
      <c r="AJ10" s="20">
        <f t="shared" si="5"/>
        <v>21.900000000000002</v>
      </c>
      <c r="AK10" s="20">
        <f t="shared" si="6"/>
        <v>15.950000000000001</v>
      </c>
      <c r="AL10" s="20">
        <f t="shared" si="7"/>
        <v>11.700000000000001</v>
      </c>
      <c r="AM10" s="20">
        <f t="shared" si="8"/>
        <v>19.55</v>
      </c>
      <c r="AN10" s="20">
        <f t="shared" si="9"/>
        <v>25.650000000000002</v>
      </c>
      <c r="AO10" s="20">
        <f t="shared" si="10"/>
        <v>12.4</v>
      </c>
      <c r="AP10" s="20">
        <f t="shared" si="11"/>
        <v>14.8</v>
      </c>
      <c r="AQ10" s="20">
        <f t="shared" si="12"/>
        <v>33.9</v>
      </c>
      <c r="AR10" s="20">
        <f t="shared" si="13"/>
        <v>47.300000000000004</v>
      </c>
      <c r="AS10" s="35">
        <f t="shared" si="29"/>
        <v>283.65000000000003</v>
      </c>
      <c r="AU10" s="47">
        <v>282898</v>
      </c>
      <c r="AV10" s="37">
        <f t="shared" ref="AV10:AV26" si="31">IF((AU10-AU9&lt;0),"0",AU10-AU9)</f>
        <v>1886</v>
      </c>
      <c r="AW10" s="35">
        <f t="shared" si="30"/>
        <v>3.7720000000000002</v>
      </c>
    </row>
    <row r="11" spans="1:49" x14ac:dyDescent="0.25">
      <c r="A11" s="23">
        <v>44140</v>
      </c>
      <c r="B11" s="40">
        <v>113</v>
      </c>
      <c r="C11" s="24">
        <v>6405140</v>
      </c>
      <c r="D11" s="24">
        <v>14810930</v>
      </c>
      <c r="E11" s="24">
        <v>2166250</v>
      </c>
      <c r="F11" s="24">
        <v>3103750</v>
      </c>
      <c r="G11" s="24">
        <v>9415820</v>
      </c>
      <c r="H11" s="24">
        <v>4822290</v>
      </c>
      <c r="I11" s="24">
        <v>4575550</v>
      </c>
      <c r="J11" s="24">
        <v>5171520</v>
      </c>
      <c r="K11" s="24">
        <v>8103700</v>
      </c>
      <c r="L11" s="24">
        <v>3297170</v>
      </c>
      <c r="M11" s="24">
        <v>7191920</v>
      </c>
      <c r="N11" s="24">
        <v>10569300</v>
      </c>
      <c r="O11" s="24">
        <v>14313330</v>
      </c>
      <c r="Q11" s="37">
        <f t="shared" si="16"/>
        <v>500</v>
      </c>
      <c r="R11" s="37">
        <f t="shared" si="17"/>
        <v>14750</v>
      </c>
      <c r="S11" s="37">
        <f t="shared" si="15"/>
        <v>70</v>
      </c>
      <c r="T11" s="37">
        <f t="shared" si="18"/>
        <v>1490</v>
      </c>
      <c r="U11" s="37">
        <f t="shared" si="19"/>
        <v>4510</v>
      </c>
      <c r="V11" s="37">
        <f t="shared" si="20"/>
        <v>3280</v>
      </c>
      <c r="W11" s="37">
        <f t="shared" si="21"/>
        <v>2420</v>
      </c>
      <c r="X11" s="37">
        <f t="shared" si="22"/>
        <v>4090</v>
      </c>
      <c r="Y11" s="37">
        <f t="shared" si="23"/>
        <v>5290</v>
      </c>
      <c r="Z11" s="37">
        <f t="shared" si="24"/>
        <v>2580</v>
      </c>
      <c r="AA11" s="37">
        <f t="shared" si="25"/>
        <v>3200</v>
      </c>
      <c r="AB11" s="37">
        <f t="shared" si="26"/>
        <v>7110</v>
      </c>
      <c r="AC11" s="37">
        <f t="shared" si="27"/>
        <v>10590</v>
      </c>
      <c r="AD11" s="35">
        <f t="shared" si="28"/>
        <v>59880</v>
      </c>
      <c r="AF11" s="20">
        <f t="shared" si="1"/>
        <v>2.5</v>
      </c>
      <c r="AG11" s="20">
        <f t="shared" si="2"/>
        <v>73.75</v>
      </c>
      <c r="AH11" s="20">
        <f t="shared" si="3"/>
        <v>0.35000000000000003</v>
      </c>
      <c r="AI11" s="20">
        <f t="shared" si="4"/>
        <v>7.45</v>
      </c>
      <c r="AJ11" s="20">
        <f t="shared" si="5"/>
        <v>22.55</v>
      </c>
      <c r="AK11" s="20">
        <f t="shared" si="6"/>
        <v>16.399999999999999</v>
      </c>
      <c r="AL11" s="20">
        <f t="shared" si="7"/>
        <v>12.1</v>
      </c>
      <c r="AM11" s="20">
        <f t="shared" si="8"/>
        <v>20.45</v>
      </c>
      <c r="AN11" s="20">
        <f t="shared" si="9"/>
        <v>26.45</v>
      </c>
      <c r="AO11" s="20">
        <f t="shared" si="10"/>
        <v>12.9</v>
      </c>
      <c r="AP11" s="20">
        <f t="shared" si="11"/>
        <v>16</v>
      </c>
      <c r="AQ11" s="20">
        <f t="shared" si="12"/>
        <v>35.550000000000004</v>
      </c>
      <c r="AR11" s="20">
        <f t="shared" si="13"/>
        <v>52.95</v>
      </c>
      <c r="AS11" s="35">
        <f t="shared" si="29"/>
        <v>299.39999999999998</v>
      </c>
      <c r="AU11" s="47">
        <v>285203</v>
      </c>
      <c r="AV11" s="37">
        <f t="shared" si="31"/>
        <v>2305</v>
      </c>
      <c r="AW11" s="35">
        <f t="shared" si="30"/>
        <v>4.6100000000000003</v>
      </c>
    </row>
    <row r="12" spans="1:49" x14ac:dyDescent="0.25">
      <c r="A12" s="23">
        <v>44141</v>
      </c>
      <c r="B12" s="40">
        <v>134</v>
      </c>
      <c r="C12" s="49">
        <v>6408590</v>
      </c>
      <c r="D12" s="24">
        <v>14825970</v>
      </c>
      <c r="E12" s="24">
        <v>2166340</v>
      </c>
      <c r="F12" s="24">
        <v>3105330</v>
      </c>
      <c r="G12" s="24">
        <v>9420680</v>
      </c>
      <c r="H12" s="24">
        <v>4825640</v>
      </c>
      <c r="I12" s="24">
        <v>4578030</v>
      </c>
      <c r="J12" s="24">
        <v>5175560</v>
      </c>
      <c r="K12" s="24">
        <v>8109530</v>
      </c>
      <c r="L12" s="24">
        <v>3299940</v>
      </c>
      <c r="M12" s="24">
        <v>7195390</v>
      </c>
      <c r="N12" s="24">
        <v>10576690</v>
      </c>
      <c r="O12" s="24">
        <v>14324750</v>
      </c>
      <c r="Q12" s="37">
        <f t="shared" si="16"/>
        <v>3450</v>
      </c>
      <c r="R12" s="37">
        <f t="shared" si="17"/>
        <v>15040</v>
      </c>
      <c r="S12" s="37">
        <f t="shared" si="15"/>
        <v>90</v>
      </c>
      <c r="T12" s="37">
        <f t="shared" ref="T12:W14" si="32">IF((F12-F11&lt;0), "0",F12-F11)</f>
        <v>1580</v>
      </c>
      <c r="U12" s="37">
        <f t="shared" si="32"/>
        <v>4860</v>
      </c>
      <c r="V12" s="37">
        <f t="shared" si="32"/>
        <v>3350</v>
      </c>
      <c r="W12" s="37">
        <f t="shared" si="32"/>
        <v>2480</v>
      </c>
      <c r="X12" s="37">
        <f t="shared" si="22"/>
        <v>4040</v>
      </c>
      <c r="Y12" s="37">
        <f t="shared" si="23"/>
        <v>5830</v>
      </c>
      <c r="Z12" s="37">
        <f>IF((L12-L11&lt;0), "0",L12-L11)</f>
        <v>2770</v>
      </c>
      <c r="AA12" s="37">
        <f t="shared" si="25"/>
        <v>3470</v>
      </c>
      <c r="AB12" s="37">
        <f t="shared" si="26"/>
        <v>7390</v>
      </c>
      <c r="AC12" s="37">
        <f t="shared" si="27"/>
        <v>11420</v>
      </c>
      <c r="AD12" s="35">
        <f t="shared" si="28"/>
        <v>65770</v>
      </c>
      <c r="AF12" s="20">
        <f t="shared" si="1"/>
        <v>17.25</v>
      </c>
      <c r="AG12" s="20">
        <f t="shared" si="2"/>
        <v>75.2</v>
      </c>
      <c r="AH12" s="20">
        <f t="shared" si="3"/>
        <v>0.45</v>
      </c>
      <c r="AI12" s="20">
        <f t="shared" si="4"/>
        <v>7.9</v>
      </c>
      <c r="AJ12" s="20">
        <f t="shared" si="5"/>
        <v>24.3</v>
      </c>
      <c r="AK12" s="20">
        <f t="shared" si="6"/>
        <v>16.75</v>
      </c>
      <c r="AL12" s="20">
        <f t="shared" si="7"/>
        <v>12.4</v>
      </c>
      <c r="AM12" s="20">
        <f t="shared" si="8"/>
        <v>20.2</v>
      </c>
      <c r="AN12" s="20">
        <f t="shared" si="9"/>
        <v>29.150000000000002</v>
      </c>
      <c r="AO12" s="20">
        <f t="shared" si="10"/>
        <v>13.85</v>
      </c>
      <c r="AP12" s="20">
        <f t="shared" si="11"/>
        <v>17.350000000000001</v>
      </c>
      <c r="AQ12" s="20">
        <f t="shared" si="12"/>
        <v>36.950000000000003</v>
      </c>
      <c r="AR12" s="20">
        <f t="shared" si="13"/>
        <v>57.1</v>
      </c>
      <c r="AS12" s="35">
        <f t="shared" si="29"/>
        <v>328.85</v>
      </c>
      <c r="AU12" s="47">
        <v>286649</v>
      </c>
      <c r="AV12" s="37">
        <f t="shared" si="31"/>
        <v>1446</v>
      </c>
      <c r="AW12" s="35">
        <f t="shared" si="30"/>
        <v>2.8919999999999999</v>
      </c>
    </row>
    <row r="13" spans="1:49" x14ac:dyDescent="0.25">
      <c r="A13" s="23">
        <v>44142</v>
      </c>
      <c r="B13" s="40">
        <v>74</v>
      </c>
      <c r="C13" s="24">
        <v>6418280</v>
      </c>
      <c r="D13" s="24">
        <v>14838830</v>
      </c>
      <c r="E13" s="24">
        <v>2166460</v>
      </c>
      <c r="F13" s="24">
        <v>3106930</v>
      </c>
      <c r="G13" s="24">
        <v>9425360</v>
      </c>
      <c r="H13" s="24">
        <v>4828920</v>
      </c>
      <c r="I13" s="24">
        <v>4580420</v>
      </c>
      <c r="J13" s="24">
        <v>5179470</v>
      </c>
      <c r="K13" s="24">
        <v>8115440</v>
      </c>
      <c r="L13" s="24">
        <v>3302590</v>
      </c>
      <c r="M13" s="24">
        <v>7198850</v>
      </c>
      <c r="N13" s="24">
        <v>10583990</v>
      </c>
      <c r="O13" s="24">
        <v>14336130</v>
      </c>
      <c r="Q13" s="37">
        <f t="shared" si="16"/>
        <v>9690</v>
      </c>
      <c r="R13" s="37">
        <f t="shared" si="17"/>
        <v>12860</v>
      </c>
      <c r="S13" s="37">
        <f t="shared" si="15"/>
        <v>120</v>
      </c>
      <c r="T13" s="37">
        <f t="shared" si="32"/>
        <v>1600</v>
      </c>
      <c r="U13" s="37">
        <f t="shared" si="32"/>
        <v>4680</v>
      </c>
      <c r="V13" s="37">
        <f t="shared" si="32"/>
        <v>3280</v>
      </c>
      <c r="W13" s="37">
        <f t="shared" si="32"/>
        <v>2390</v>
      </c>
      <c r="X13" s="37">
        <f t="shared" si="22"/>
        <v>3910</v>
      </c>
      <c r="Y13" s="37">
        <f t="shared" si="23"/>
        <v>5910</v>
      </c>
      <c r="Z13" s="37">
        <f>IF((L13-L12&lt;0), "0",L13-L12)</f>
        <v>2650</v>
      </c>
      <c r="AA13" s="37">
        <f t="shared" si="25"/>
        <v>3460</v>
      </c>
      <c r="AB13" s="37">
        <f t="shared" si="26"/>
        <v>7300</v>
      </c>
      <c r="AC13" s="37">
        <f t="shared" si="27"/>
        <v>11380</v>
      </c>
      <c r="AD13" s="35">
        <f t="shared" si="28"/>
        <v>69230</v>
      </c>
      <c r="AF13" s="20">
        <f t="shared" si="1"/>
        <v>48.45</v>
      </c>
      <c r="AG13" s="20">
        <f t="shared" si="2"/>
        <v>64.3</v>
      </c>
      <c r="AH13" s="20">
        <f t="shared" si="3"/>
        <v>0.6</v>
      </c>
      <c r="AI13" s="20">
        <f t="shared" si="4"/>
        <v>8</v>
      </c>
      <c r="AJ13" s="20">
        <f t="shared" si="5"/>
        <v>23.400000000000002</v>
      </c>
      <c r="AK13" s="20">
        <f t="shared" si="6"/>
        <v>16.399999999999999</v>
      </c>
      <c r="AL13" s="20">
        <f t="shared" si="7"/>
        <v>11.950000000000001</v>
      </c>
      <c r="AM13" s="20">
        <f t="shared" si="8"/>
        <v>19.55</v>
      </c>
      <c r="AN13" s="20">
        <f t="shared" si="9"/>
        <v>29.55</v>
      </c>
      <c r="AO13" s="20">
        <f t="shared" si="10"/>
        <v>13.25</v>
      </c>
      <c r="AP13" s="20">
        <f t="shared" si="11"/>
        <v>17.3</v>
      </c>
      <c r="AQ13" s="20">
        <f t="shared" si="12"/>
        <v>36.5</v>
      </c>
      <c r="AR13" s="20">
        <f t="shared" si="13"/>
        <v>56.9</v>
      </c>
      <c r="AS13" s="35">
        <f t="shared" si="29"/>
        <v>346.15</v>
      </c>
      <c r="AU13" s="47">
        <v>288650</v>
      </c>
      <c r="AV13" s="37">
        <f t="shared" si="31"/>
        <v>2001</v>
      </c>
      <c r="AW13" s="35">
        <f t="shared" si="30"/>
        <v>4.0019999999999998</v>
      </c>
    </row>
    <row r="14" spans="1:49" x14ac:dyDescent="0.25">
      <c r="A14" s="23">
        <v>44143</v>
      </c>
      <c r="B14" s="40">
        <v>56</v>
      </c>
      <c r="C14" s="24">
        <v>6428380</v>
      </c>
      <c r="D14" s="24">
        <v>14852190</v>
      </c>
      <c r="E14" s="24">
        <v>2166590</v>
      </c>
      <c r="F14" s="24">
        <v>3108580</v>
      </c>
      <c r="G14" s="24">
        <v>9430480</v>
      </c>
      <c r="H14" s="24">
        <v>4832200</v>
      </c>
      <c r="I14" s="24">
        <v>4582900</v>
      </c>
      <c r="J14" s="24">
        <v>5183200</v>
      </c>
      <c r="K14" s="24">
        <v>8121070</v>
      </c>
      <c r="L14" s="24">
        <v>3305270</v>
      </c>
      <c r="M14" s="24">
        <v>7202320</v>
      </c>
      <c r="N14" s="24">
        <v>10591430</v>
      </c>
      <c r="O14" s="24">
        <v>14347530</v>
      </c>
      <c r="P14" s="54"/>
      <c r="Q14" s="37">
        <f t="shared" si="16"/>
        <v>10100</v>
      </c>
      <c r="R14" s="37">
        <f t="shared" si="17"/>
        <v>13360</v>
      </c>
      <c r="S14" s="37">
        <f t="shared" si="15"/>
        <v>130</v>
      </c>
      <c r="T14" s="37">
        <f t="shared" si="32"/>
        <v>1650</v>
      </c>
      <c r="U14" s="37">
        <f t="shared" si="32"/>
        <v>5120</v>
      </c>
      <c r="V14" s="37">
        <f t="shared" si="32"/>
        <v>3280</v>
      </c>
      <c r="W14" s="37">
        <f t="shared" si="32"/>
        <v>2480</v>
      </c>
      <c r="X14" s="37">
        <f t="shared" si="22"/>
        <v>3730</v>
      </c>
      <c r="Y14" s="37">
        <f t="shared" si="23"/>
        <v>5630</v>
      </c>
      <c r="Z14" s="37">
        <f>IF((L14-L13&lt;0), "0",L14-L13)</f>
        <v>2680</v>
      </c>
      <c r="AA14" s="37">
        <f t="shared" si="25"/>
        <v>3470</v>
      </c>
      <c r="AB14" s="37">
        <f t="shared" si="26"/>
        <v>7440</v>
      </c>
      <c r="AC14" s="37">
        <f t="shared" si="27"/>
        <v>11400</v>
      </c>
      <c r="AD14" s="35">
        <f t="shared" si="28"/>
        <v>70470</v>
      </c>
      <c r="AF14" s="20">
        <f t="shared" si="1"/>
        <v>50.5</v>
      </c>
      <c r="AG14" s="20">
        <f t="shared" si="2"/>
        <v>66.8</v>
      </c>
      <c r="AH14" s="20">
        <f t="shared" si="3"/>
        <v>0.65</v>
      </c>
      <c r="AI14" s="20">
        <f t="shared" si="4"/>
        <v>8.25</v>
      </c>
      <c r="AJ14" s="20">
        <f t="shared" si="5"/>
        <v>25.6</v>
      </c>
      <c r="AK14" s="20">
        <f t="shared" si="6"/>
        <v>16.399999999999999</v>
      </c>
      <c r="AL14" s="20">
        <f t="shared" si="7"/>
        <v>12.4</v>
      </c>
      <c r="AM14" s="20">
        <f t="shared" si="8"/>
        <v>18.650000000000002</v>
      </c>
      <c r="AN14" s="20">
        <f t="shared" si="9"/>
        <v>28.150000000000002</v>
      </c>
      <c r="AO14" s="20">
        <f t="shared" si="10"/>
        <v>13.4</v>
      </c>
      <c r="AP14" s="20">
        <f t="shared" si="11"/>
        <v>17.350000000000001</v>
      </c>
      <c r="AQ14" s="20">
        <f t="shared" si="12"/>
        <v>37.200000000000003</v>
      </c>
      <c r="AR14" s="20">
        <f t="shared" si="13"/>
        <v>57</v>
      </c>
      <c r="AS14" s="35">
        <f t="shared" si="29"/>
        <v>352.35</v>
      </c>
      <c r="AU14" s="47">
        <v>290590</v>
      </c>
      <c r="AV14" s="37">
        <f t="shared" si="31"/>
        <v>1940</v>
      </c>
      <c r="AW14" s="35">
        <f t="shared" si="30"/>
        <v>3.88</v>
      </c>
    </row>
    <row r="15" spans="1:49" x14ac:dyDescent="0.25">
      <c r="A15" s="23">
        <v>44144</v>
      </c>
      <c r="B15" s="40">
        <v>58</v>
      </c>
      <c r="C15" s="24">
        <v>6438560</v>
      </c>
      <c r="D15" s="24">
        <v>14865420</v>
      </c>
      <c r="E15" s="24">
        <v>2166740</v>
      </c>
      <c r="F15" s="24">
        <v>3110170</v>
      </c>
      <c r="G15" s="24">
        <v>9435160</v>
      </c>
      <c r="H15" s="24">
        <v>4835460</v>
      </c>
      <c r="I15" s="24">
        <v>4585280</v>
      </c>
      <c r="J15" s="24">
        <v>5187200</v>
      </c>
      <c r="K15" s="24">
        <v>8126510</v>
      </c>
      <c r="L15" s="24">
        <v>3307780</v>
      </c>
      <c r="M15" s="24">
        <v>7205280</v>
      </c>
      <c r="N15" s="24">
        <v>10598500</v>
      </c>
      <c r="O15" s="24">
        <v>14357040</v>
      </c>
      <c r="Q15" s="37">
        <f t="shared" si="16"/>
        <v>10180</v>
      </c>
      <c r="R15" s="37">
        <f t="shared" si="17"/>
        <v>13230</v>
      </c>
      <c r="S15" s="37">
        <f t="shared" si="15"/>
        <v>150</v>
      </c>
      <c r="T15" s="37">
        <f t="shared" si="18"/>
        <v>1590</v>
      </c>
      <c r="U15" s="37">
        <f t="shared" si="19"/>
        <v>4680</v>
      </c>
      <c r="V15" s="37">
        <f t="shared" si="20"/>
        <v>3260</v>
      </c>
      <c r="W15" s="37">
        <f t="shared" si="21"/>
        <v>2380</v>
      </c>
      <c r="X15" s="37">
        <f t="shared" si="22"/>
        <v>4000</v>
      </c>
      <c r="Y15" s="37">
        <f t="shared" si="23"/>
        <v>5440</v>
      </c>
      <c r="Z15" s="37">
        <f t="shared" si="24"/>
        <v>2510</v>
      </c>
      <c r="AA15" s="37">
        <f t="shared" si="25"/>
        <v>2960</v>
      </c>
      <c r="AB15" s="37">
        <f t="shared" si="26"/>
        <v>7070</v>
      </c>
      <c r="AC15" s="37">
        <f t="shared" si="27"/>
        <v>9510</v>
      </c>
      <c r="AD15" s="35">
        <f t="shared" si="28"/>
        <v>66960</v>
      </c>
      <c r="AF15" s="20">
        <f t="shared" si="1"/>
        <v>50.9</v>
      </c>
      <c r="AG15" s="20">
        <f t="shared" si="2"/>
        <v>66.150000000000006</v>
      </c>
      <c r="AH15" s="20">
        <f t="shared" si="3"/>
        <v>0.75</v>
      </c>
      <c r="AI15" s="20">
        <f t="shared" si="4"/>
        <v>7.95</v>
      </c>
      <c r="AJ15" s="20">
        <f t="shared" si="5"/>
        <v>23.400000000000002</v>
      </c>
      <c r="AK15" s="20">
        <f t="shared" si="6"/>
        <v>16.3</v>
      </c>
      <c r="AL15" s="20">
        <f t="shared" si="7"/>
        <v>11.9</v>
      </c>
      <c r="AM15" s="20">
        <f t="shared" si="8"/>
        <v>20</v>
      </c>
      <c r="AN15" s="20">
        <f t="shared" si="9"/>
        <v>27.2</v>
      </c>
      <c r="AO15" s="20">
        <f t="shared" si="10"/>
        <v>12.55</v>
      </c>
      <c r="AP15" s="20">
        <f t="shared" si="11"/>
        <v>14.8</v>
      </c>
      <c r="AQ15" s="20">
        <f t="shared" si="12"/>
        <v>35.35</v>
      </c>
      <c r="AR15" s="20">
        <f t="shared" si="13"/>
        <v>47.550000000000004</v>
      </c>
      <c r="AS15" s="35">
        <f t="shared" si="29"/>
        <v>334.80000000000007</v>
      </c>
      <c r="AU15" s="47">
        <v>292311</v>
      </c>
      <c r="AV15" s="37">
        <f t="shared" si="31"/>
        <v>1721</v>
      </c>
      <c r="AW15" s="35">
        <f t="shared" si="30"/>
        <v>3.4420000000000002</v>
      </c>
    </row>
    <row r="16" spans="1:49" x14ac:dyDescent="0.25">
      <c r="A16" s="23">
        <v>44145</v>
      </c>
      <c r="B16" s="40">
        <v>53</v>
      </c>
      <c r="C16" s="24">
        <v>6447850</v>
      </c>
      <c r="D16" s="24">
        <v>14877770</v>
      </c>
      <c r="E16" s="24">
        <v>2166860</v>
      </c>
      <c r="F16" s="24">
        <v>3111750</v>
      </c>
      <c r="G16" s="24">
        <v>9439710</v>
      </c>
      <c r="H16" s="24">
        <v>4838730</v>
      </c>
      <c r="I16" s="24">
        <v>4587630</v>
      </c>
      <c r="J16" s="24">
        <v>5190970</v>
      </c>
      <c r="K16" s="24">
        <v>8131990</v>
      </c>
      <c r="L16" s="24">
        <v>3310200</v>
      </c>
      <c r="M16" s="24">
        <v>7208250</v>
      </c>
      <c r="N16" s="24">
        <v>10605560</v>
      </c>
      <c r="O16" s="24">
        <v>14367230</v>
      </c>
      <c r="Q16" s="37">
        <f t="shared" si="16"/>
        <v>9290</v>
      </c>
      <c r="R16" s="37">
        <f t="shared" si="17"/>
        <v>12350</v>
      </c>
      <c r="S16" s="37">
        <f t="shared" si="15"/>
        <v>120</v>
      </c>
      <c r="T16" s="37">
        <f t="shared" si="18"/>
        <v>1580</v>
      </c>
      <c r="U16" s="37">
        <f t="shared" si="19"/>
        <v>4550</v>
      </c>
      <c r="V16" s="37">
        <f t="shared" si="20"/>
        <v>3270</v>
      </c>
      <c r="W16" s="37">
        <f t="shared" si="21"/>
        <v>2350</v>
      </c>
      <c r="X16" s="37">
        <f t="shared" si="22"/>
        <v>3770</v>
      </c>
      <c r="Y16" s="37">
        <f t="shared" si="23"/>
        <v>5480</v>
      </c>
      <c r="Z16" s="37">
        <f t="shared" si="24"/>
        <v>2420</v>
      </c>
      <c r="AA16" s="37">
        <f t="shared" si="25"/>
        <v>2970</v>
      </c>
      <c r="AB16" s="37">
        <f t="shared" si="26"/>
        <v>7060</v>
      </c>
      <c r="AC16" s="37">
        <f t="shared" si="27"/>
        <v>10190</v>
      </c>
      <c r="AD16" s="35">
        <f t="shared" si="28"/>
        <v>65400</v>
      </c>
      <c r="AF16" s="20">
        <f t="shared" si="1"/>
        <v>46.45</v>
      </c>
      <c r="AG16" s="20">
        <f t="shared" si="2"/>
        <v>61.75</v>
      </c>
      <c r="AH16" s="20">
        <f t="shared" si="3"/>
        <v>0.6</v>
      </c>
      <c r="AI16" s="20">
        <f t="shared" si="4"/>
        <v>7.9</v>
      </c>
      <c r="AJ16" s="20">
        <f t="shared" si="5"/>
        <v>22.75</v>
      </c>
      <c r="AK16" s="20">
        <f t="shared" si="6"/>
        <v>16.350000000000001</v>
      </c>
      <c r="AL16" s="20">
        <f t="shared" si="7"/>
        <v>11.75</v>
      </c>
      <c r="AM16" s="20">
        <f t="shared" si="8"/>
        <v>18.850000000000001</v>
      </c>
      <c r="AN16" s="20">
        <f t="shared" si="9"/>
        <v>27.400000000000002</v>
      </c>
      <c r="AO16" s="20">
        <f t="shared" si="10"/>
        <v>12.1</v>
      </c>
      <c r="AP16" s="20">
        <f t="shared" si="11"/>
        <v>14.85</v>
      </c>
      <c r="AQ16" s="20">
        <f t="shared" si="12"/>
        <v>35.300000000000004</v>
      </c>
      <c r="AR16" s="20">
        <f t="shared" si="13"/>
        <v>50.95</v>
      </c>
      <c r="AS16" s="35">
        <f t="shared" si="29"/>
        <v>326.99999999999994</v>
      </c>
      <c r="AU16" s="47">
        <v>294210</v>
      </c>
      <c r="AV16" s="37">
        <f t="shared" si="31"/>
        <v>1899</v>
      </c>
      <c r="AW16" s="35">
        <f t="shared" si="30"/>
        <v>3.798</v>
      </c>
    </row>
    <row r="17" spans="1:49" x14ac:dyDescent="0.25">
      <c r="A17" s="23">
        <v>44146</v>
      </c>
      <c r="B17" s="40">
        <v>72</v>
      </c>
      <c r="C17" s="24">
        <v>6457160</v>
      </c>
      <c r="D17" s="24">
        <v>14890030</v>
      </c>
      <c r="E17" s="24">
        <v>2166960</v>
      </c>
      <c r="F17" s="24">
        <v>3113360</v>
      </c>
      <c r="G17" s="24">
        <v>9444230</v>
      </c>
      <c r="H17" s="24">
        <v>4842100</v>
      </c>
      <c r="I17" s="24">
        <v>4590070</v>
      </c>
      <c r="J17" s="24">
        <v>5194760</v>
      </c>
      <c r="K17" s="24">
        <v>8137610</v>
      </c>
      <c r="L17" s="24">
        <v>3312710</v>
      </c>
      <c r="M17" s="24">
        <v>7211350</v>
      </c>
      <c r="N17" s="24">
        <v>10612840</v>
      </c>
      <c r="O17" s="24">
        <v>14378900</v>
      </c>
      <c r="Q17" s="37">
        <f t="shared" si="16"/>
        <v>9310</v>
      </c>
      <c r="R17" s="37">
        <f t="shared" si="17"/>
        <v>12260</v>
      </c>
      <c r="S17" s="37">
        <f t="shared" si="15"/>
        <v>100</v>
      </c>
      <c r="T17" s="37">
        <f t="shared" si="18"/>
        <v>1610</v>
      </c>
      <c r="U17" s="37">
        <f t="shared" si="19"/>
        <v>4520</v>
      </c>
      <c r="V17" s="37">
        <f t="shared" si="20"/>
        <v>3370</v>
      </c>
      <c r="W17" s="37">
        <f t="shared" si="21"/>
        <v>2440</v>
      </c>
      <c r="X17" s="37">
        <f t="shared" si="22"/>
        <v>3790</v>
      </c>
      <c r="Y17" s="37">
        <f t="shared" si="23"/>
        <v>5620</v>
      </c>
      <c r="Z17" s="37">
        <f t="shared" si="24"/>
        <v>2510</v>
      </c>
      <c r="AA17" s="37">
        <f t="shared" si="25"/>
        <v>3100</v>
      </c>
      <c r="AB17" s="37">
        <f t="shared" si="26"/>
        <v>7280</v>
      </c>
      <c r="AC17" s="37">
        <f t="shared" si="27"/>
        <v>11670</v>
      </c>
      <c r="AD17" s="35">
        <f t="shared" si="28"/>
        <v>67580</v>
      </c>
      <c r="AF17" s="20">
        <f t="shared" si="1"/>
        <v>46.550000000000004</v>
      </c>
      <c r="AG17" s="20">
        <f t="shared" si="2"/>
        <v>61.300000000000004</v>
      </c>
      <c r="AH17" s="20">
        <f t="shared" si="3"/>
        <v>0.5</v>
      </c>
      <c r="AI17" s="20">
        <f t="shared" si="4"/>
        <v>8.0500000000000007</v>
      </c>
      <c r="AJ17" s="20">
        <f t="shared" si="5"/>
        <v>22.6</v>
      </c>
      <c r="AK17" s="20">
        <f t="shared" si="6"/>
        <v>16.850000000000001</v>
      </c>
      <c r="AL17" s="20">
        <f t="shared" si="7"/>
        <v>12.200000000000001</v>
      </c>
      <c r="AM17" s="20">
        <f t="shared" si="8"/>
        <v>18.95</v>
      </c>
      <c r="AN17" s="20">
        <f t="shared" si="9"/>
        <v>28.1</v>
      </c>
      <c r="AO17" s="20">
        <f t="shared" si="10"/>
        <v>12.55</v>
      </c>
      <c r="AP17" s="20">
        <f t="shared" si="11"/>
        <v>15.5</v>
      </c>
      <c r="AQ17" s="20">
        <f t="shared" si="12"/>
        <v>36.4</v>
      </c>
      <c r="AR17" s="20">
        <f t="shared" si="13"/>
        <v>58.35</v>
      </c>
      <c r="AS17" s="35">
        <f t="shared" si="29"/>
        <v>337.9</v>
      </c>
      <c r="AU17" s="47">
        <v>296062</v>
      </c>
      <c r="AV17" s="37">
        <f t="shared" si="31"/>
        <v>1852</v>
      </c>
      <c r="AW17" s="35">
        <f t="shared" si="30"/>
        <v>3.7040000000000002</v>
      </c>
    </row>
    <row r="18" spans="1:49" x14ac:dyDescent="0.25">
      <c r="A18" s="23">
        <v>44147</v>
      </c>
      <c r="B18" s="40">
        <v>121</v>
      </c>
      <c r="C18" s="24">
        <v>6466650</v>
      </c>
      <c r="D18" s="24">
        <v>14902530</v>
      </c>
      <c r="E18" s="24">
        <v>2167050</v>
      </c>
      <c r="F18" s="24">
        <v>3115040</v>
      </c>
      <c r="G18" s="24">
        <v>9448850</v>
      </c>
      <c r="H18" s="24">
        <v>4845720</v>
      </c>
      <c r="I18" s="24">
        <v>4592540</v>
      </c>
      <c r="J18" s="24">
        <v>5198760</v>
      </c>
      <c r="K18" s="24">
        <v>8143730</v>
      </c>
      <c r="L18" s="24">
        <v>3315480</v>
      </c>
      <c r="M18" s="24">
        <v>7214850</v>
      </c>
      <c r="N18" s="24">
        <v>10620200</v>
      </c>
      <c r="O18" s="24">
        <v>14393020</v>
      </c>
      <c r="Q18" s="37">
        <f t="shared" si="16"/>
        <v>9490</v>
      </c>
      <c r="R18" s="37">
        <f t="shared" si="17"/>
        <v>12500</v>
      </c>
      <c r="S18" s="37">
        <f t="shared" si="15"/>
        <v>90</v>
      </c>
      <c r="T18" s="37">
        <f t="shared" si="18"/>
        <v>1680</v>
      </c>
      <c r="U18" s="37">
        <f t="shared" si="19"/>
        <v>4620</v>
      </c>
      <c r="V18" s="37">
        <f t="shared" si="20"/>
        <v>3620</v>
      </c>
      <c r="W18" s="37">
        <f t="shared" si="21"/>
        <v>2470</v>
      </c>
      <c r="X18" s="37">
        <f t="shared" si="22"/>
        <v>4000</v>
      </c>
      <c r="Y18" s="37">
        <f t="shared" si="23"/>
        <v>6120</v>
      </c>
      <c r="Z18" s="37">
        <f t="shared" si="24"/>
        <v>2770</v>
      </c>
      <c r="AA18" s="37">
        <f t="shared" si="25"/>
        <v>3500</v>
      </c>
      <c r="AB18" s="37">
        <f t="shared" si="26"/>
        <v>7360</v>
      </c>
      <c r="AC18" s="37">
        <f t="shared" si="27"/>
        <v>14120</v>
      </c>
      <c r="AD18" s="35">
        <f t="shared" si="28"/>
        <v>72340</v>
      </c>
      <c r="AF18" s="20">
        <f t="shared" si="1"/>
        <v>47.45</v>
      </c>
      <c r="AG18" s="20">
        <f t="shared" si="2"/>
        <v>62.5</v>
      </c>
      <c r="AH18" s="20">
        <f t="shared" si="3"/>
        <v>0.45</v>
      </c>
      <c r="AI18" s="20">
        <f t="shared" si="4"/>
        <v>8.4</v>
      </c>
      <c r="AJ18" s="20">
        <f t="shared" si="5"/>
        <v>23.1</v>
      </c>
      <c r="AK18" s="20">
        <f t="shared" si="6"/>
        <v>18.100000000000001</v>
      </c>
      <c r="AL18" s="20">
        <f t="shared" si="7"/>
        <v>12.35</v>
      </c>
      <c r="AM18" s="20">
        <f t="shared" si="8"/>
        <v>20</v>
      </c>
      <c r="AN18" s="20">
        <f t="shared" si="9"/>
        <v>30.6</v>
      </c>
      <c r="AO18" s="20">
        <f t="shared" si="10"/>
        <v>13.85</v>
      </c>
      <c r="AP18" s="20">
        <f t="shared" si="11"/>
        <v>17.5</v>
      </c>
      <c r="AQ18" s="20">
        <f t="shared" si="12"/>
        <v>36.800000000000004</v>
      </c>
      <c r="AR18" s="20">
        <f t="shared" si="13"/>
        <v>70.600000000000009</v>
      </c>
      <c r="AS18" s="35">
        <f t="shared" si="29"/>
        <v>361.7</v>
      </c>
      <c r="AU18" s="47">
        <v>298130</v>
      </c>
      <c r="AV18" s="37">
        <f t="shared" si="31"/>
        <v>2068</v>
      </c>
      <c r="AW18" s="35">
        <f t="shared" si="30"/>
        <v>4.1360000000000001</v>
      </c>
    </row>
    <row r="19" spans="1:49" x14ac:dyDescent="0.25">
      <c r="A19" s="23">
        <v>44148</v>
      </c>
      <c r="B19" s="40">
        <v>126</v>
      </c>
      <c r="C19" s="24">
        <v>6474150</v>
      </c>
      <c r="D19" s="24">
        <v>14913470</v>
      </c>
      <c r="E19" s="24">
        <v>2167100</v>
      </c>
      <c r="F19" s="24">
        <v>3116560</v>
      </c>
      <c r="G19" s="24">
        <v>9453610</v>
      </c>
      <c r="H19" s="24">
        <v>4849070</v>
      </c>
      <c r="I19" s="24">
        <v>4594770</v>
      </c>
      <c r="J19" s="24">
        <v>5202500</v>
      </c>
      <c r="K19" s="24">
        <v>8149470</v>
      </c>
      <c r="L19" s="24">
        <v>3318120</v>
      </c>
      <c r="M19" s="24">
        <v>7218170</v>
      </c>
      <c r="N19" s="24">
        <v>10627030</v>
      </c>
      <c r="O19" s="24">
        <v>14404860</v>
      </c>
      <c r="Q19" s="37">
        <f t="shared" si="16"/>
        <v>7500</v>
      </c>
      <c r="R19" s="37">
        <f t="shared" si="17"/>
        <v>10940</v>
      </c>
      <c r="S19" s="37">
        <f t="shared" si="15"/>
        <v>50</v>
      </c>
      <c r="T19" s="37">
        <f t="shared" si="18"/>
        <v>1520</v>
      </c>
      <c r="U19" s="37">
        <f t="shared" si="19"/>
        <v>4760</v>
      </c>
      <c r="V19" s="37">
        <f t="shared" si="20"/>
        <v>3350</v>
      </c>
      <c r="W19" s="37">
        <f t="shared" si="21"/>
        <v>2230</v>
      </c>
      <c r="X19" s="37">
        <f t="shared" si="22"/>
        <v>3740</v>
      </c>
      <c r="Y19" s="37">
        <f t="shared" si="23"/>
        <v>5740</v>
      </c>
      <c r="Z19" s="37">
        <f t="shared" si="24"/>
        <v>2640</v>
      </c>
      <c r="AA19" s="37">
        <f t="shared" si="25"/>
        <v>3320</v>
      </c>
      <c r="AB19" s="37">
        <f t="shared" si="26"/>
        <v>6830</v>
      </c>
      <c r="AC19" s="37">
        <f t="shared" si="27"/>
        <v>11840</v>
      </c>
      <c r="AD19" s="35">
        <f t="shared" si="28"/>
        <v>64460</v>
      </c>
      <c r="AF19" s="20">
        <f t="shared" si="1"/>
        <v>37.5</v>
      </c>
      <c r="AG19" s="20">
        <f t="shared" si="2"/>
        <v>54.7</v>
      </c>
      <c r="AH19" s="20">
        <f t="shared" si="3"/>
        <v>0.25</v>
      </c>
      <c r="AI19" s="20">
        <f t="shared" si="4"/>
        <v>7.6000000000000005</v>
      </c>
      <c r="AJ19" s="20">
        <f t="shared" si="5"/>
        <v>23.8</v>
      </c>
      <c r="AK19" s="20">
        <f t="shared" si="6"/>
        <v>16.75</v>
      </c>
      <c r="AL19" s="20">
        <f t="shared" si="7"/>
        <v>11.15</v>
      </c>
      <c r="AM19" s="20">
        <f t="shared" si="8"/>
        <v>18.7</v>
      </c>
      <c r="AN19" s="20">
        <f t="shared" si="9"/>
        <v>28.7</v>
      </c>
      <c r="AO19" s="20">
        <f t="shared" si="10"/>
        <v>13.200000000000001</v>
      </c>
      <c r="AP19" s="20">
        <f t="shared" si="11"/>
        <v>16.600000000000001</v>
      </c>
      <c r="AQ19" s="20">
        <f t="shared" si="12"/>
        <v>34.15</v>
      </c>
      <c r="AR19" s="20">
        <f t="shared" si="13"/>
        <v>59.2</v>
      </c>
      <c r="AS19" s="35">
        <f t="shared" si="29"/>
        <v>322.29999999999995</v>
      </c>
      <c r="AU19" s="47">
        <v>299507</v>
      </c>
      <c r="AV19" s="37">
        <f t="shared" si="31"/>
        <v>1377</v>
      </c>
      <c r="AW19" s="35">
        <f t="shared" si="30"/>
        <v>2.754</v>
      </c>
    </row>
    <row r="20" spans="1:49" x14ac:dyDescent="0.25">
      <c r="A20" s="23">
        <v>44149</v>
      </c>
      <c r="B20" s="40">
        <v>56</v>
      </c>
      <c r="C20" s="24">
        <v>6474660</v>
      </c>
      <c r="D20" s="24">
        <v>14926230</v>
      </c>
      <c r="E20" s="24">
        <v>2167120</v>
      </c>
      <c r="F20" s="24">
        <v>3118130</v>
      </c>
      <c r="G20" s="24">
        <v>9458660</v>
      </c>
      <c r="H20" s="24">
        <v>4852450</v>
      </c>
      <c r="I20" s="24">
        <v>4597060</v>
      </c>
      <c r="J20" s="24">
        <v>5206190</v>
      </c>
      <c r="K20" s="24">
        <v>8155290</v>
      </c>
      <c r="L20" s="24">
        <v>3320660</v>
      </c>
      <c r="M20" s="24">
        <v>7221580</v>
      </c>
      <c r="N20" s="24">
        <v>10634000</v>
      </c>
      <c r="O20" s="24">
        <v>14416140</v>
      </c>
      <c r="Q20" s="37">
        <f t="shared" si="16"/>
        <v>510</v>
      </c>
      <c r="R20" s="37">
        <f t="shared" si="17"/>
        <v>12760</v>
      </c>
      <c r="S20" s="37">
        <f t="shared" si="15"/>
        <v>20</v>
      </c>
      <c r="T20" s="37">
        <f t="shared" si="18"/>
        <v>1570</v>
      </c>
      <c r="U20" s="37">
        <f t="shared" si="19"/>
        <v>5050</v>
      </c>
      <c r="V20" s="37">
        <f t="shared" si="20"/>
        <v>3380</v>
      </c>
      <c r="W20" s="37">
        <f t="shared" si="21"/>
        <v>2290</v>
      </c>
      <c r="X20" s="37">
        <f t="shared" si="22"/>
        <v>3690</v>
      </c>
      <c r="Y20" s="37">
        <f t="shared" si="23"/>
        <v>5820</v>
      </c>
      <c r="Z20" s="37">
        <f t="shared" si="24"/>
        <v>2540</v>
      </c>
      <c r="AA20" s="37">
        <f t="shared" si="25"/>
        <v>3410</v>
      </c>
      <c r="AB20" s="37">
        <f t="shared" si="26"/>
        <v>6970</v>
      </c>
      <c r="AC20" s="37">
        <f t="shared" si="27"/>
        <v>11280</v>
      </c>
      <c r="AD20" s="35">
        <f t="shared" si="28"/>
        <v>59290</v>
      </c>
      <c r="AF20" s="20">
        <f t="shared" si="1"/>
        <v>2.5500000000000003</v>
      </c>
      <c r="AG20" s="20">
        <f t="shared" si="2"/>
        <v>63.800000000000004</v>
      </c>
      <c r="AH20" s="20">
        <f t="shared" si="3"/>
        <v>0.1</v>
      </c>
      <c r="AI20" s="20">
        <f t="shared" si="4"/>
        <v>7.8500000000000005</v>
      </c>
      <c r="AJ20" s="20">
        <f t="shared" si="5"/>
        <v>25.25</v>
      </c>
      <c r="AK20" s="20">
        <f t="shared" si="6"/>
        <v>16.899999999999999</v>
      </c>
      <c r="AL20" s="20">
        <f t="shared" si="7"/>
        <v>11.450000000000001</v>
      </c>
      <c r="AM20" s="20">
        <f t="shared" si="8"/>
        <v>18.45</v>
      </c>
      <c r="AN20" s="20">
        <f t="shared" si="9"/>
        <v>29.1</v>
      </c>
      <c r="AO20" s="20">
        <f t="shared" si="10"/>
        <v>12.700000000000001</v>
      </c>
      <c r="AP20" s="20">
        <f t="shared" si="11"/>
        <v>17.05</v>
      </c>
      <c r="AQ20" s="20">
        <f t="shared" si="12"/>
        <v>34.85</v>
      </c>
      <c r="AR20" s="20">
        <f t="shared" si="13"/>
        <v>56.4</v>
      </c>
      <c r="AS20" s="35">
        <f t="shared" si="29"/>
        <v>296.45</v>
      </c>
      <c r="AU20" s="47">
        <v>301220</v>
      </c>
      <c r="AV20" s="37">
        <f t="shared" si="31"/>
        <v>1713</v>
      </c>
      <c r="AW20" s="35">
        <f t="shared" si="30"/>
        <v>3.4260000000000002</v>
      </c>
    </row>
    <row r="21" spans="1:49" x14ac:dyDescent="0.25">
      <c r="A21" s="23">
        <v>44150</v>
      </c>
      <c r="B21" s="40">
        <v>53</v>
      </c>
      <c r="C21" s="24">
        <v>6475170</v>
      </c>
      <c r="D21" s="24">
        <v>14938520</v>
      </c>
      <c r="E21" s="24">
        <v>2167120</v>
      </c>
      <c r="F21" s="24">
        <v>3119690</v>
      </c>
      <c r="G21" s="24">
        <v>9463630</v>
      </c>
      <c r="H21" s="24">
        <v>4855700</v>
      </c>
      <c r="I21" s="24">
        <v>4599340</v>
      </c>
      <c r="J21" s="24">
        <v>5209740</v>
      </c>
      <c r="K21" s="24">
        <v>8160700</v>
      </c>
      <c r="L21" s="24">
        <v>3323150</v>
      </c>
      <c r="M21" s="24">
        <v>7224800</v>
      </c>
      <c r="N21" s="24">
        <v>10640710</v>
      </c>
      <c r="O21" s="24">
        <v>14427630</v>
      </c>
      <c r="Q21" s="37">
        <f t="shared" si="16"/>
        <v>510</v>
      </c>
      <c r="R21" s="37">
        <f t="shared" si="17"/>
        <v>12290</v>
      </c>
      <c r="S21" s="37">
        <f t="shared" si="15"/>
        <v>0</v>
      </c>
      <c r="T21" s="37">
        <f t="shared" si="18"/>
        <v>1560</v>
      </c>
      <c r="U21" s="37">
        <f t="shared" si="19"/>
        <v>4970</v>
      </c>
      <c r="V21" s="37">
        <f t="shared" si="20"/>
        <v>3250</v>
      </c>
      <c r="W21" s="37">
        <f t="shared" si="21"/>
        <v>2280</v>
      </c>
      <c r="X21" s="37">
        <f t="shared" si="22"/>
        <v>3550</v>
      </c>
      <c r="Y21" s="37">
        <f t="shared" si="23"/>
        <v>5410</v>
      </c>
      <c r="Z21" s="37">
        <f t="shared" si="24"/>
        <v>2490</v>
      </c>
      <c r="AA21" s="37">
        <f t="shared" si="25"/>
        <v>3220</v>
      </c>
      <c r="AB21" s="37">
        <f t="shared" si="26"/>
        <v>6710</v>
      </c>
      <c r="AC21" s="37">
        <f t="shared" si="27"/>
        <v>11490</v>
      </c>
      <c r="AD21" s="35">
        <f t="shared" si="28"/>
        <v>57730</v>
      </c>
      <c r="AF21" s="20">
        <f t="shared" si="1"/>
        <v>2.5500000000000003</v>
      </c>
      <c r="AG21" s="20">
        <f t="shared" si="2"/>
        <v>61.45</v>
      </c>
      <c r="AH21" s="20">
        <f t="shared" si="3"/>
        <v>0</v>
      </c>
      <c r="AI21" s="20">
        <f t="shared" si="4"/>
        <v>7.8</v>
      </c>
      <c r="AJ21" s="20">
        <f t="shared" si="5"/>
        <v>24.85</v>
      </c>
      <c r="AK21" s="20">
        <f t="shared" si="6"/>
        <v>16.25</v>
      </c>
      <c r="AL21" s="20">
        <f t="shared" si="7"/>
        <v>11.4</v>
      </c>
      <c r="AM21" s="20">
        <f t="shared" si="8"/>
        <v>17.75</v>
      </c>
      <c r="AN21" s="20">
        <f t="shared" si="9"/>
        <v>27.05</v>
      </c>
      <c r="AO21" s="20">
        <f t="shared" si="10"/>
        <v>12.450000000000001</v>
      </c>
      <c r="AP21" s="20">
        <f t="shared" si="11"/>
        <v>16.100000000000001</v>
      </c>
      <c r="AQ21" s="20">
        <f t="shared" si="12"/>
        <v>33.549999999999997</v>
      </c>
      <c r="AR21" s="20">
        <f t="shared" si="13"/>
        <v>57.45</v>
      </c>
      <c r="AS21" s="35">
        <f t="shared" si="29"/>
        <v>288.64999999999998</v>
      </c>
      <c r="AU21" s="47">
        <v>303173</v>
      </c>
      <c r="AV21" s="37">
        <f t="shared" si="31"/>
        <v>1953</v>
      </c>
      <c r="AW21" s="35">
        <f t="shared" si="30"/>
        <v>3.9060000000000001</v>
      </c>
    </row>
    <row r="22" spans="1:49" x14ac:dyDescent="0.25">
      <c r="A22" s="23">
        <v>44151</v>
      </c>
      <c r="B22" s="40">
        <v>52</v>
      </c>
      <c r="C22" s="24">
        <v>6475730</v>
      </c>
      <c r="D22" s="24">
        <v>14947130</v>
      </c>
      <c r="E22" s="24">
        <v>2168950</v>
      </c>
      <c r="F22" s="24">
        <v>3121370</v>
      </c>
      <c r="G22" s="24">
        <v>9468660</v>
      </c>
      <c r="H22" s="24">
        <v>4859230</v>
      </c>
      <c r="I22" s="24">
        <v>4601790</v>
      </c>
      <c r="J22" s="44">
        <v>5213460</v>
      </c>
      <c r="K22" s="24">
        <v>8166450</v>
      </c>
      <c r="L22" s="24">
        <v>3325710</v>
      </c>
      <c r="M22" s="24">
        <v>7227840</v>
      </c>
      <c r="N22" s="24">
        <v>10647860</v>
      </c>
      <c r="O22" s="44">
        <v>14439650</v>
      </c>
      <c r="Q22" s="37">
        <f t="shared" si="16"/>
        <v>560</v>
      </c>
      <c r="R22" s="37">
        <f t="shared" si="17"/>
        <v>8610</v>
      </c>
      <c r="S22" s="37">
        <f t="shared" si="15"/>
        <v>1830</v>
      </c>
      <c r="T22" s="37">
        <f t="shared" si="18"/>
        <v>1680</v>
      </c>
      <c r="U22" s="37">
        <f t="shared" si="19"/>
        <v>5030</v>
      </c>
      <c r="V22" s="37">
        <f t="shared" si="20"/>
        <v>3530</v>
      </c>
      <c r="W22" s="37">
        <f t="shared" si="21"/>
        <v>2450</v>
      </c>
      <c r="X22" s="37">
        <f t="shared" si="22"/>
        <v>3720</v>
      </c>
      <c r="Y22" s="37">
        <f t="shared" si="23"/>
        <v>5750</v>
      </c>
      <c r="Z22" s="37">
        <f t="shared" si="24"/>
        <v>2560</v>
      </c>
      <c r="AA22" s="37">
        <f t="shared" si="25"/>
        <v>3040</v>
      </c>
      <c r="AB22" s="37">
        <f t="shared" si="26"/>
        <v>7150</v>
      </c>
      <c r="AC22" s="37">
        <f t="shared" si="27"/>
        <v>12020</v>
      </c>
      <c r="AD22" s="35">
        <f t="shared" si="28"/>
        <v>57930</v>
      </c>
      <c r="AF22" s="20">
        <f t="shared" si="1"/>
        <v>2.8000000000000003</v>
      </c>
      <c r="AG22" s="20">
        <f t="shared" si="2"/>
        <v>43.050000000000004</v>
      </c>
      <c r="AH22" s="20">
        <f t="shared" si="3"/>
        <v>9.15</v>
      </c>
      <c r="AI22" s="20">
        <f t="shared" si="4"/>
        <v>8.4</v>
      </c>
      <c r="AJ22" s="20">
        <f t="shared" si="5"/>
        <v>25.150000000000002</v>
      </c>
      <c r="AK22" s="20">
        <f t="shared" si="6"/>
        <v>17.650000000000002</v>
      </c>
      <c r="AL22" s="20">
        <f t="shared" si="7"/>
        <v>12.25</v>
      </c>
      <c r="AM22" s="20">
        <f t="shared" si="8"/>
        <v>18.600000000000001</v>
      </c>
      <c r="AN22" s="20">
        <f t="shared" si="9"/>
        <v>28.75</v>
      </c>
      <c r="AO22" s="20">
        <f t="shared" si="10"/>
        <v>12.8</v>
      </c>
      <c r="AP22" s="20">
        <f t="shared" si="11"/>
        <v>15.200000000000001</v>
      </c>
      <c r="AQ22" s="20">
        <f t="shared" si="12"/>
        <v>35.75</v>
      </c>
      <c r="AR22" s="20">
        <f t="shared" si="13"/>
        <v>60.1</v>
      </c>
      <c r="AS22" s="35">
        <f t="shared" si="29"/>
        <v>289.65000000000003</v>
      </c>
      <c r="AU22" s="47">
        <v>305049</v>
      </c>
      <c r="AV22" s="37">
        <f t="shared" si="31"/>
        <v>1876</v>
      </c>
      <c r="AW22" s="35">
        <f t="shared" si="30"/>
        <v>3.7520000000000002</v>
      </c>
    </row>
    <row r="23" spans="1:49" x14ac:dyDescent="0.25">
      <c r="A23" s="23">
        <v>44152</v>
      </c>
      <c r="B23" s="40">
        <v>62</v>
      </c>
      <c r="C23" s="24">
        <v>6476270</v>
      </c>
      <c r="D23" s="24">
        <v>14949000</v>
      </c>
      <c r="E23" s="24">
        <v>2172650</v>
      </c>
      <c r="F23" s="24">
        <v>3122950</v>
      </c>
      <c r="G23" s="24">
        <v>9473400</v>
      </c>
      <c r="H23" s="24">
        <v>4862580</v>
      </c>
      <c r="I23" s="24">
        <v>4604100</v>
      </c>
      <c r="J23" s="24">
        <v>5217000</v>
      </c>
      <c r="K23" s="24">
        <v>8172000</v>
      </c>
      <c r="L23" s="24">
        <v>3328180</v>
      </c>
      <c r="M23" s="24">
        <v>7230920</v>
      </c>
      <c r="N23" s="24">
        <v>10654640</v>
      </c>
      <c r="O23" s="24">
        <v>14450970</v>
      </c>
      <c r="Q23" s="37">
        <f t="shared" si="16"/>
        <v>540</v>
      </c>
      <c r="R23" s="37">
        <f t="shared" si="17"/>
        <v>1870</v>
      </c>
      <c r="S23" s="37">
        <f t="shared" si="15"/>
        <v>3700</v>
      </c>
      <c r="T23" s="37">
        <f t="shared" si="18"/>
        <v>1580</v>
      </c>
      <c r="U23" s="37">
        <f t="shared" si="19"/>
        <v>4740</v>
      </c>
      <c r="V23" s="37">
        <f t="shared" si="20"/>
        <v>3350</v>
      </c>
      <c r="W23" s="37">
        <f t="shared" si="21"/>
        <v>2310</v>
      </c>
      <c r="X23" s="37">
        <f t="shared" si="22"/>
        <v>3540</v>
      </c>
      <c r="Y23" s="37">
        <f t="shared" si="23"/>
        <v>5550</v>
      </c>
      <c r="Z23" s="37">
        <f t="shared" si="24"/>
        <v>2470</v>
      </c>
      <c r="AA23" s="37">
        <f t="shared" si="25"/>
        <v>3080</v>
      </c>
      <c r="AB23" s="37">
        <f t="shared" si="26"/>
        <v>6780</v>
      </c>
      <c r="AC23" s="37">
        <f t="shared" si="27"/>
        <v>11320</v>
      </c>
      <c r="AD23" s="35">
        <f t="shared" si="28"/>
        <v>50830</v>
      </c>
      <c r="AF23" s="20">
        <f t="shared" si="1"/>
        <v>2.7</v>
      </c>
      <c r="AG23" s="20">
        <f t="shared" si="2"/>
        <v>9.35</v>
      </c>
      <c r="AH23" s="20">
        <f t="shared" si="3"/>
        <v>18.5</v>
      </c>
      <c r="AI23" s="20">
        <f t="shared" si="4"/>
        <v>7.9</v>
      </c>
      <c r="AJ23" s="20">
        <f t="shared" si="5"/>
        <v>23.7</v>
      </c>
      <c r="AK23" s="20">
        <f t="shared" si="6"/>
        <v>16.75</v>
      </c>
      <c r="AL23" s="20">
        <f t="shared" si="7"/>
        <v>11.55</v>
      </c>
      <c r="AM23" s="20">
        <f t="shared" si="8"/>
        <v>17.7</v>
      </c>
      <c r="AN23" s="20">
        <f t="shared" si="9"/>
        <v>27.75</v>
      </c>
      <c r="AO23" s="20">
        <f t="shared" si="10"/>
        <v>12.35</v>
      </c>
      <c r="AP23" s="20">
        <f t="shared" si="11"/>
        <v>15.4</v>
      </c>
      <c r="AQ23" s="20">
        <f t="shared" si="12"/>
        <v>33.9</v>
      </c>
      <c r="AR23" s="20">
        <f t="shared" si="13"/>
        <v>56.6</v>
      </c>
      <c r="AS23" s="35">
        <f t="shared" si="29"/>
        <v>254.15</v>
      </c>
      <c r="AU23" s="47">
        <v>306710</v>
      </c>
      <c r="AV23" s="37">
        <f t="shared" si="31"/>
        <v>1661</v>
      </c>
      <c r="AW23" s="35">
        <f t="shared" si="30"/>
        <v>3.3220000000000001</v>
      </c>
    </row>
    <row r="24" spans="1:49" x14ac:dyDescent="0.25">
      <c r="A24" s="23">
        <v>44153</v>
      </c>
      <c r="B24" s="40">
        <v>49</v>
      </c>
      <c r="C24" s="24">
        <v>6476820</v>
      </c>
      <c r="D24" s="24">
        <v>14950910</v>
      </c>
      <c r="E24" s="24">
        <v>2176200</v>
      </c>
      <c r="F24" s="24">
        <v>3124540</v>
      </c>
      <c r="G24" s="24">
        <v>9477940</v>
      </c>
      <c r="H24" s="24">
        <v>4865890</v>
      </c>
      <c r="I24" s="24">
        <v>4606460</v>
      </c>
      <c r="J24" s="24">
        <v>5220590</v>
      </c>
      <c r="K24" s="24">
        <v>8177670</v>
      </c>
      <c r="L24" s="24">
        <v>3330690</v>
      </c>
      <c r="M24" s="24">
        <v>7233870</v>
      </c>
      <c r="N24" s="24">
        <v>10661830</v>
      </c>
      <c r="O24" s="24">
        <v>14463660</v>
      </c>
      <c r="Q24" s="37">
        <f t="shared" si="16"/>
        <v>550</v>
      </c>
      <c r="R24" s="37">
        <f t="shared" si="17"/>
        <v>1910</v>
      </c>
      <c r="S24" s="37">
        <f t="shared" si="15"/>
        <v>3550</v>
      </c>
      <c r="T24" s="37">
        <f t="shared" si="18"/>
        <v>1590</v>
      </c>
      <c r="U24" s="37">
        <f t="shared" si="19"/>
        <v>4540</v>
      </c>
      <c r="V24" s="37">
        <f t="shared" si="20"/>
        <v>3310</v>
      </c>
      <c r="W24" s="37">
        <f t="shared" si="21"/>
        <v>2360</v>
      </c>
      <c r="X24" s="37">
        <f t="shared" si="22"/>
        <v>3590</v>
      </c>
      <c r="Y24" s="37">
        <f t="shared" si="23"/>
        <v>5670</v>
      </c>
      <c r="Z24" s="37">
        <f t="shared" si="24"/>
        <v>2510</v>
      </c>
      <c r="AA24" s="37">
        <f t="shared" si="25"/>
        <v>2950</v>
      </c>
      <c r="AB24" s="37">
        <f t="shared" si="26"/>
        <v>7190</v>
      </c>
      <c r="AC24" s="37">
        <f t="shared" si="27"/>
        <v>12690</v>
      </c>
      <c r="AD24" s="35">
        <f t="shared" si="28"/>
        <v>52410</v>
      </c>
      <c r="AF24" s="20">
        <f t="shared" si="1"/>
        <v>2.75</v>
      </c>
      <c r="AG24" s="20">
        <f t="shared" si="2"/>
        <v>9.5500000000000007</v>
      </c>
      <c r="AH24" s="20">
        <f t="shared" si="3"/>
        <v>17.75</v>
      </c>
      <c r="AI24" s="20">
        <f t="shared" si="4"/>
        <v>7.95</v>
      </c>
      <c r="AJ24" s="20">
        <f t="shared" si="5"/>
        <v>22.7</v>
      </c>
      <c r="AK24" s="20">
        <f t="shared" si="6"/>
        <v>16.55</v>
      </c>
      <c r="AL24" s="20">
        <f t="shared" si="7"/>
        <v>11.8</v>
      </c>
      <c r="AM24" s="20">
        <f t="shared" si="8"/>
        <v>17.95</v>
      </c>
      <c r="AN24" s="20">
        <f t="shared" si="9"/>
        <v>28.35</v>
      </c>
      <c r="AO24" s="20">
        <f t="shared" si="10"/>
        <v>12.55</v>
      </c>
      <c r="AP24" s="20">
        <f t="shared" si="11"/>
        <v>14.75</v>
      </c>
      <c r="AQ24" s="20">
        <f t="shared" si="12"/>
        <v>35.950000000000003</v>
      </c>
      <c r="AR24" s="20">
        <f t="shared" si="13"/>
        <v>63.45</v>
      </c>
      <c r="AS24" s="35">
        <f t="shared" si="29"/>
        <v>262.05</v>
      </c>
      <c r="AU24" s="47">
        <v>308342</v>
      </c>
      <c r="AV24" s="37">
        <f t="shared" si="31"/>
        <v>1632</v>
      </c>
      <c r="AW24" s="35">
        <f t="shared" si="30"/>
        <v>3.2640000000000002</v>
      </c>
    </row>
    <row r="25" spans="1:49" x14ac:dyDescent="0.25">
      <c r="A25" s="23">
        <v>44154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 t="str">
        <f t="shared" ref="Q25:AC27" si="33">IF((C25-C24&lt;0), "0",C25-C24)</f>
        <v>0</v>
      </c>
      <c r="R25" s="37" t="str">
        <f t="shared" si="33"/>
        <v>0</v>
      </c>
      <c r="S25" s="37" t="str">
        <f t="shared" si="33"/>
        <v>0</v>
      </c>
      <c r="T25" s="37" t="str">
        <f t="shared" si="33"/>
        <v>0</v>
      </c>
      <c r="U25" s="37" t="str">
        <f t="shared" si="33"/>
        <v>0</v>
      </c>
      <c r="V25" s="37" t="str">
        <f t="shared" si="33"/>
        <v>0</v>
      </c>
      <c r="W25" s="37" t="str">
        <f t="shared" si="33"/>
        <v>0</v>
      </c>
      <c r="X25" s="37" t="str">
        <f t="shared" si="33"/>
        <v>0</v>
      </c>
      <c r="Y25" s="37" t="str">
        <f t="shared" si="33"/>
        <v>0</v>
      </c>
      <c r="Z25" s="37" t="str">
        <f t="shared" si="33"/>
        <v>0</v>
      </c>
      <c r="AA25" s="37" t="str">
        <f t="shared" si="33"/>
        <v>0</v>
      </c>
      <c r="AB25" s="37" t="str">
        <f t="shared" si="33"/>
        <v>0</v>
      </c>
      <c r="AC25" s="37" t="str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 t="str">
        <f t="shared" si="31"/>
        <v>0</v>
      </c>
      <c r="AW25" s="35">
        <f t="shared" si="30"/>
        <v>0</v>
      </c>
    </row>
    <row r="26" spans="1:49" x14ac:dyDescent="0.25">
      <c r="A26" s="23">
        <v>44155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44156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44157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44158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44159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44160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44161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44162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44163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>IF((AU34-AU33&lt;0),"0",AU34-AU33)</f>
        <v>0</v>
      </c>
      <c r="AW34" s="35">
        <f t="shared" si="30"/>
        <v>0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74180</v>
      </c>
      <c r="R38" s="30">
        <f t="shared" si="38"/>
        <v>214000</v>
      </c>
      <c r="S38" s="30">
        <f t="shared" si="38"/>
        <v>10280</v>
      </c>
      <c r="T38" s="30">
        <f t="shared" si="38"/>
        <v>28300</v>
      </c>
      <c r="U38" s="30">
        <f t="shared" si="38"/>
        <v>84460</v>
      </c>
      <c r="V38" s="30">
        <f t="shared" si="38"/>
        <v>59848</v>
      </c>
      <c r="W38" s="30">
        <f t="shared" si="38"/>
        <v>42860</v>
      </c>
      <c r="X38" s="30">
        <f t="shared" si="38"/>
        <v>67840</v>
      </c>
      <c r="Y38" s="30">
        <f t="shared" si="38"/>
        <v>100690</v>
      </c>
      <c r="Z38" s="30">
        <f t="shared" si="38"/>
        <v>46040</v>
      </c>
      <c r="AA38" s="30">
        <f t="shared" si="38"/>
        <v>57850</v>
      </c>
      <c r="AB38" s="30">
        <f t="shared" si="38"/>
        <v>127330</v>
      </c>
      <c r="AC38" s="30">
        <f t="shared" si="38"/>
        <v>201110</v>
      </c>
      <c r="AD38" s="35">
        <f t="shared" si="38"/>
        <v>1114788</v>
      </c>
      <c r="AF38" s="35">
        <f t="shared" ref="AF38:AS38" si="39">SUM(AF7:AF34)</f>
        <v>370.90000000000003</v>
      </c>
      <c r="AG38" s="35">
        <f t="shared" si="39"/>
        <v>1069.9999999999998</v>
      </c>
      <c r="AH38" s="35">
        <f t="shared" si="39"/>
        <v>51.4</v>
      </c>
      <c r="AI38" s="35">
        <f t="shared" si="39"/>
        <v>141.5</v>
      </c>
      <c r="AJ38" s="35">
        <f t="shared" si="39"/>
        <v>422.3</v>
      </c>
      <c r="AK38" s="35">
        <f t="shared" si="39"/>
        <v>299.24</v>
      </c>
      <c r="AL38" s="35">
        <f t="shared" si="39"/>
        <v>214.30000000000004</v>
      </c>
      <c r="AM38" s="35">
        <f t="shared" si="39"/>
        <v>339.2</v>
      </c>
      <c r="AN38" s="35">
        <f t="shared" si="39"/>
        <v>503.4500000000001</v>
      </c>
      <c r="AO38" s="35">
        <f t="shared" si="39"/>
        <v>230.2</v>
      </c>
      <c r="AP38" s="35">
        <f t="shared" si="39"/>
        <v>289.25</v>
      </c>
      <c r="AQ38" s="35">
        <f t="shared" si="39"/>
        <v>636.65</v>
      </c>
      <c r="AR38" s="35">
        <f t="shared" si="39"/>
        <v>1005.5500000000003</v>
      </c>
      <c r="AS38" s="35">
        <f t="shared" si="39"/>
        <v>5573.9399999999987</v>
      </c>
      <c r="AU38" s="48"/>
      <c r="AV38" s="35">
        <f>SUM(AV7:AV34)</f>
        <v>33002</v>
      </c>
      <c r="AW38" s="35">
        <f>SUM(AW7:AW34)</f>
        <v>58.224000000000011</v>
      </c>
    </row>
    <row r="39" spans="1:49" x14ac:dyDescent="0.25">
      <c r="D39">
        <v>5.0000000000000001E-3</v>
      </c>
      <c r="AV39" s="36">
        <f>AV38*0.00378541*1000</f>
        <v>124926.10082000001</v>
      </c>
    </row>
    <row r="40" spans="1:49" x14ac:dyDescent="0.25">
      <c r="D40">
        <v>2E-3</v>
      </c>
      <c r="AV40">
        <f>AV39/31</f>
        <v>4029.8742200000002</v>
      </c>
    </row>
    <row r="41" spans="1:49" x14ac:dyDescent="0.25">
      <c r="AV41">
        <f>AV38*0.00378541</f>
        <v>124.92610082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2020-11-19T06:43:19Z</dcterms:modified>
</cp:coreProperties>
</file>