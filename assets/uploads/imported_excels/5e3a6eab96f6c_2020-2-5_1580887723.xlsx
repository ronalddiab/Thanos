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0" i="6" l="1"/>
  <c r="E20" i="6"/>
  <c r="C20" i="6"/>
  <c r="G15" i="4"/>
  <c r="E15" i="4"/>
  <c r="C15" i="4"/>
  <c r="G19" i="6" l="1"/>
  <c r="E19" i="6"/>
  <c r="C19" i="6"/>
  <c r="E10" i="4" l="1"/>
  <c r="E11" i="4"/>
  <c r="E12" i="4"/>
  <c r="E13" i="4"/>
  <c r="E14" i="4"/>
  <c r="E16" i="4"/>
  <c r="I10" i="4"/>
  <c r="I11" i="4"/>
  <c r="I12" i="4"/>
  <c r="I13" i="4"/>
  <c r="I14" i="4"/>
  <c r="I15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26" i="4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6" i="4"/>
  <c r="J16" i="4"/>
  <c r="K16" i="4" s="1"/>
  <c r="M15" i="4"/>
  <c r="J15" i="4"/>
  <c r="K15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 l="1"/>
  <c r="E27" i="6"/>
  <c r="C27" i="6"/>
  <c r="G26" i="6" l="1"/>
  <c r="E26" i="6"/>
  <c r="C26" i="6"/>
  <c r="G25" i="6"/>
  <c r="E25" i="6"/>
  <c r="C25" i="6"/>
  <c r="G24" i="6" l="1"/>
  <c r="E24" i="6"/>
  <c r="C24" i="6"/>
  <c r="G23" i="6" l="1"/>
  <c r="E23" i="6"/>
  <c r="C23" i="6"/>
  <c r="G22" i="6" l="1"/>
  <c r="E22" i="6"/>
  <c r="C22" i="6"/>
  <c r="G21" i="6" l="1"/>
  <c r="E21" i="6"/>
  <c r="C21" i="6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C33" i="6"/>
  <c r="E33" i="6"/>
  <c r="J27" i="1" s="1"/>
  <c r="G33" i="6"/>
  <c r="K27" i="1" s="1"/>
  <c r="C34" i="6"/>
  <c r="E34" i="6"/>
  <c r="J28" i="1" s="1"/>
  <c r="G34" i="6"/>
  <c r="K28" i="1" s="1"/>
  <c r="C35" i="6"/>
  <c r="E35" i="6"/>
  <c r="J29" i="1" s="1"/>
  <c r="G35" i="6"/>
  <c r="K29" i="1" s="1"/>
  <c r="C36" i="6"/>
  <c r="E36" i="6"/>
  <c r="G36" i="6"/>
  <c r="K30" i="1" s="1"/>
  <c r="C37" i="6"/>
  <c r="K23" i="10" s="1"/>
  <c r="E37" i="6"/>
  <c r="J31" i="1" s="1"/>
  <c r="G37" i="6"/>
  <c r="K31" i="1" s="1"/>
  <c r="C38" i="6"/>
  <c r="K24" i="10" s="1"/>
  <c r="E38" i="6"/>
  <c r="J32" i="1" s="1"/>
  <c r="G38" i="6"/>
  <c r="K32" i="1" s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s="1"/>
  <c r="I48" i="6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43" i="4" l="1"/>
  <c r="C13" i="4"/>
  <c r="C43" i="4" s="1"/>
  <c r="G43" i="4"/>
  <c r="AC43" i="4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32" i="4"/>
  <c r="N32" i="4" s="1"/>
  <c r="O32" i="4" s="1"/>
  <c r="P32" i="4" s="1"/>
  <c r="C32" i="4"/>
  <c r="I32" i="4"/>
  <c r="G32" i="4"/>
  <c r="E32" i="4"/>
  <c r="I30" i="4"/>
  <c r="G30" i="4"/>
  <c r="E30" i="4"/>
  <c r="L30" i="4"/>
  <c r="N30" i="4" s="1"/>
  <c r="O30" i="4" s="1"/>
  <c r="P30" i="4" s="1"/>
  <c r="C30" i="4"/>
  <c r="G28" i="4"/>
  <c r="E28" i="4"/>
  <c r="L28" i="4"/>
  <c r="N28" i="4" s="1"/>
  <c r="O28" i="4" s="1"/>
  <c r="P28" i="4" s="1"/>
  <c r="C28" i="4"/>
  <c r="I28" i="4"/>
  <c r="L26" i="4"/>
  <c r="N26" i="4" s="1"/>
  <c r="O26" i="4" s="1"/>
  <c r="P26" i="4" s="1"/>
  <c r="I26" i="4"/>
  <c r="E26" i="4"/>
  <c r="C26" i="4"/>
  <c r="I24" i="4"/>
  <c r="G24" i="4"/>
  <c r="E24" i="4"/>
  <c r="L24" i="4"/>
  <c r="N24" i="4" s="1"/>
  <c r="O24" i="4" s="1"/>
  <c r="P24" i="4" s="1"/>
  <c r="C24" i="4"/>
  <c r="E22" i="4"/>
  <c r="L22" i="4"/>
  <c r="N22" i="4" s="1"/>
  <c r="O22" i="4" s="1"/>
  <c r="P22" i="4" s="1"/>
  <c r="C22" i="4"/>
  <c r="I22" i="4"/>
  <c r="G22" i="4"/>
  <c r="I20" i="4"/>
  <c r="G20" i="4"/>
  <c r="E20" i="4"/>
  <c r="L20" i="4"/>
  <c r="N20" i="4" s="1"/>
  <c r="O20" i="4" s="1"/>
  <c r="P20" i="4" s="1"/>
  <c r="C20" i="4"/>
  <c r="I18" i="4"/>
  <c r="G18" i="4"/>
  <c r="E18" i="4"/>
  <c r="L18" i="4"/>
  <c r="N18" i="4" s="1"/>
  <c r="O18" i="4" s="1"/>
  <c r="P18" i="4" s="1"/>
  <c r="C18" i="4"/>
  <c r="L16" i="4"/>
  <c r="N16" i="4" s="1"/>
  <c r="O16" i="4" s="1"/>
  <c r="P16" i="4" s="1"/>
  <c r="C16" i="4"/>
  <c r="I16" i="4"/>
  <c r="G16" i="4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E33" i="4"/>
  <c r="L33" i="4"/>
  <c r="N33" i="4" s="1"/>
  <c r="O33" i="4" s="1"/>
  <c r="P33" i="4" s="1"/>
  <c r="C33" i="4"/>
  <c r="I33" i="4"/>
  <c r="G33" i="4"/>
  <c r="I31" i="4"/>
  <c r="G31" i="4"/>
  <c r="E31" i="4"/>
  <c r="L31" i="4"/>
  <c r="N31" i="4" s="1"/>
  <c r="O31" i="4" s="1"/>
  <c r="P31" i="4" s="1"/>
  <c r="C31" i="4"/>
  <c r="I29" i="4"/>
  <c r="G29" i="4"/>
  <c r="E29" i="4"/>
  <c r="L29" i="4"/>
  <c r="N29" i="4" s="1"/>
  <c r="O29" i="4" s="1"/>
  <c r="P29" i="4" s="1"/>
  <c r="C29" i="4"/>
  <c r="E27" i="4"/>
  <c r="L27" i="4"/>
  <c r="N27" i="4" s="1"/>
  <c r="O27" i="4" s="1"/>
  <c r="P27" i="4" s="1"/>
  <c r="C27" i="4"/>
  <c r="I27" i="4"/>
  <c r="G27" i="4"/>
  <c r="I25" i="4"/>
  <c r="G25" i="4"/>
  <c r="E25" i="4"/>
  <c r="L25" i="4"/>
  <c r="N25" i="4" s="1"/>
  <c r="O25" i="4" s="1"/>
  <c r="P25" i="4" s="1"/>
  <c r="C25" i="4"/>
  <c r="G23" i="4"/>
  <c r="E23" i="4"/>
  <c r="L23" i="4"/>
  <c r="N23" i="4" s="1"/>
  <c r="O23" i="4" s="1"/>
  <c r="P23" i="4" s="1"/>
  <c r="C23" i="4"/>
  <c r="I23" i="4"/>
  <c r="L21" i="4"/>
  <c r="N21" i="4" s="1"/>
  <c r="O21" i="4" s="1"/>
  <c r="P21" i="4" s="1"/>
  <c r="C21" i="4"/>
  <c r="I21" i="4"/>
  <c r="G21" i="4"/>
  <c r="E21" i="4"/>
  <c r="I19" i="4"/>
  <c r="G19" i="4"/>
  <c r="E19" i="4"/>
  <c r="L19" i="4"/>
  <c r="N19" i="4" s="1"/>
  <c r="O19" i="4" s="1"/>
  <c r="P19" i="4" s="1"/>
  <c r="C19" i="4"/>
  <c r="G17" i="4"/>
  <c r="E17" i="4"/>
  <c r="L17" i="4"/>
  <c r="N17" i="4" s="1"/>
  <c r="O17" i="4" s="1"/>
  <c r="P17" i="4" s="1"/>
  <c r="C17" i="4"/>
  <c r="I17" i="4"/>
  <c r="L15" i="4"/>
  <c r="N15" i="4" s="1"/>
  <c r="O15" i="4" s="1"/>
  <c r="P15" i="4" s="1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K48" i="4"/>
  <c r="L48" i="4" s="1"/>
  <c r="M48" i="4" s="1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E3" i="10" l="1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G29" i="10" l="1"/>
  <c r="O29" i="10" s="1"/>
  <c r="W37" i="1"/>
  <c r="G15" i="10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O15" i="10"/>
  <c r="O20" i="10"/>
  <c r="K47" i="4"/>
  <c r="O43" i="4"/>
  <c r="P43" i="4" s="1"/>
  <c r="O24" i="10"/>
  <c r="W41" i="1" l="1"/>
  <c r="U41" i="1"/>
  <c r="G2" i="10"/>
  <c r="O2" i="10" s="1"/>
  <c r="O3" i="10"/>
  <c r="G47" i="1"/>
  <c r="J47" i="1" s="1"/>
  <c r="L47" i="1" s="1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<sst xmlns="http://schemas.openxmlformats.org/spreadsheetml/2006/main" count="123" uniqueCount="82">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</sst>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451648"/>
        <c:axId val="227453184"/>
      </c:lineChart>
      <c:dateAx>
        <c:axId val="22745164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53184"/>
        <c:crosses val="autoZero"/>
        <c:auto val="1"/>
        <c:lblOffset val="100"/>
        <c:baseTimeUnit val="days"/>
      </c:dateAx>
      <c:valAx>
        <c:axId val="22745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516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10944"/>
        <c:axId val="204212480"/>
      </c:lineChart>
      <c:dateAx>
        <c:axId val="20421094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12480"/>
        <c:crosses val="autoZero"/>
        <c:auto val="1"/>
        <c:lblOffset val="100"/>
        <c:baseTimeUnit val="days"/>
      </c:dateAx>
      <c:valAx>
        <c:axId val="2042124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56512"/>
        <c:axId val="204239232"/>
      </c:lineChart>
      <c:dateAx>
        <c:axId val="20385651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39232"/>
        <c:crosses val="autoZero"/>
        <c:auto val="1"/>
        <c:lblOffset val="100"/>
        <c:baseTimeUnit val="days"/>
      </c:dateAx>
      <c:valAx>
        <c:axId val="204239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8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5" sqref="A5:XFD5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0</v>
      </c>
      <c r="F6" s="108">
        <v>1.002</v>
      </c>
      <c r="G6" s="108">
        <f>'Consommation du 01.02 au 29.02'!U14</f>
        <v>0</v>
      </c>
      <c r="H6" s="108">
        <v>9.3657000000000004</v>
      </c>
      <c r="I6" s="108">
        <f>'Consommation du 01.02 au 29.02'!Y14*1000</f>
        <v>0</v>
      </c>
      <c r="J6" s="108">
        <v>0.53</v>
      </c>
      <c r="K6" s="108">
        <f>'Consommation du 01.02 au 29.02'!D14</f>
        <v>0</v>
      </c>
      <c r="L6" s="108">
        <v>12.67</v>
      </c>
      <c r="M6" s="122">
        <f>'Consommation du 01.02 au 29.02'!AC14</f>
        <v>0</v>
      </c>
      <c r="N6" s="122"/>
      <c r="O6" s="108">
        <f t="shared" si="0"/>
        <v>0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0</v>
      </c>
      <c r="F7" s="108">
        <v>1.002</v>
      </c>
      <c r="G7" s="108">
        <f>'Consommation du 01.02 au 29.02'!U15</f>
        <v>0</v>
      </c>
      <c r="H7" s="108">
        <v>9.3657000000000004</v>
      </c>
      <c r="I7" s="108">
        <f>'Consommation du 01.02 au 29.02'!Y15*1000</f>
        <v>0</v>
      </c>
      <c r="J7" s="108">
        <v>0.53</v>
      </c>
      <c r="K7" s="108">
        <f>'Consommation du 01.02 au 29.02'!D15</f>
        <v>0</v>
      </c>
      <c r="L7" s="108">
        <v>12.67</v>
      </c>
      <c r="M7" s="122">
        <f>'Consommation du 01.02 au 29.02'!AC15</f>
        <v>0</v>
      </c>
      <c r="N7" s="122"/>
      <c r="O7" s="108">
        <f t="shared" si="0"/>
        <v>0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0</v>
      </c>
      <c r="F8" s="108">
        <v>1.002</v>
      </c>
      <c r="G8" s="108">
        <f>'Consommation du 01.02 au 29.02'!U16</f>
        <v>0</v>
      </c>
      <c r="H8" s="108">
        <v>9.3657000000000004</v>
      </c>
      <c r="I8" s="108">
        <f>'Consommation du 01.02 au 29.02'!Y16*1000</f>
        <v>0</v>
      </c>
      <c r="J8" s="108">
        <v>0.53</v>
      </c>
      <c r="K8" s="108">
        <f>'Consommation du 01.02 au 29.02'!D16</f>
        <v>0</v>
      </c>
      <c r="L8" s="108">
        <v>12.67</v>
      </c>
      <c r="M8" s="122">
        <f>'Consommation du 01.02 au 29.02'!AC16</f>
        <v>0</v>
      </c>
      <c r="N8" s="122"/>
      <c r="O8" s="108">
        <f t="shared" si="0"/>
        <v>0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0</v>
      </c>
      <c r="F9" s="108">
        <v>1.002</v>
      </c>
      <c r="G9" s="108">
        <f>'Consommation du 01.02 au 29.02'!U17</f>
        <v>0</v>
      </c>
      <c r="H9" s="108">
        <v>9.3657000000000004</v>
      </c>
      <c r="I9" s="108">
        <f>'Consommation du 01.02 au 29.02'!Y17*1000</f>
        <v>0</v>
      </c>
      <c r="J9" s="108">
        <v>0.53</v>
      </c>
      <c r="K9" s="108">
        <f>'Consommation du 01.02 au 29.02'!D17</f>
        <v>0</v>
      </c>
      <c r="L9" s="108">
        <v>12.67</v>
      </c>
      <c r="M9" s="122">
        <f>'Consommation du 01.02 au 29.02'!AC17</f>
        <v>0</v>
      </c>
      <c r="N9" s="122"/>
      <c r="O9" s="108">
        <f t="shared" si="0"/>
        <v>0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0</v>
      </c>
      <c r="F10" s="108">
        <v>1.002</v>
      </c>
      <c r="G10" s="108">
        <f>'Consommation du 01.02 au 29.02'!U18</f>
        <v>0</v>
      </c>
      <c r="H10" s="108">
        <v>9.3657000000000004</v>
      </c>
      <c r="I10" s="108">
        <f>'Consommation du 01.02 au 29.02'!Y18*1000</f>
        <v>0</v>
      </c>
      <c r="J10" s="108">
        <v>0.53</v>
      </c>
      <c r="K10" s="108">
        <f>'Consommation du 01.02 au 29.02'!D18</f>
        <v>0</v>
      </c>
      <c r="L10" s="108">
        <v>12.67</v>
      </c>
      <c r="M10" s="122">
        <f>'Consommation du 01.02 au 29.02'!AC18</f>
        <v>0</v>
      </c>
      <c r="N10" s="122"/>
      <c r="O10" s="108">
        <f t="shared" si="0"/>
        <v>0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0</v>
      </c>
      <c r="F11" s="108">
        <v>1.002</v>
      </c>
      <c r="G11" s="108">
        <f>'Consommation du 01.02 au 29.02'!U19</f>
        <v>0</v>
      </c>
      <c r="H11" s="108">
        <v>9.3657000000000004</v>
      </c>
      <c r="I11" s="108">
        <f>'Consommation du 01.02 au 29.02'!Y19*1000</f>
        <v>0</v>
      </c>
      <c r="J11" s="108">
        <v>0.53</v>
      </c>
      <c r="K11" s="108">
        <f>'Consommation du 01.02 au 29.02'!D19</f>
        <v>0</v>
      </c>
      <c r="L11" s="108">
        <v>12.67</v>
      </c>
      <c r="M11" s="122">
        <f>'Consommation du 01.02 au 29.02'!AC19</f>
        <v>0</v>
      </c>
      <c r="N11" s="122"/>
      <c r="O11" s="108">
        <f t="shared" si="0"/>
        <v>0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0</v>
      </c>
      <c r="F12" s="108">
        <v>1.002</v>
      </c>
      <c r="G12" s="108">
        <f>'Consommation du 01.02 au 29.02'!U20</f>
        <v>0</v>
      </c>
      <c r="H12" s="108">
        <v>9.3657000000000004</v>
      </c>
      <c r="I12" s="108">
        <f>'Consommation du 01.02 au 29.02'!Y20*1000</f>
        <v>0</v>
      </c>
      <c r="J12" s="108">
        <v>0.53</v>
      </c>
      <c r="K12" s="108">
        <f>'Consommation du 01.02 au 29.02'!D20</f>
        <v>0</v>
      </c>
      <c r="L12" s="108">
        <v>12.67</v>
      </c>
      <c r="M12" s="122">
        <f>'Consommation du 01.02 au 29.02'!AC20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0</v>
      </c>
      <c r="F13" s="108">
        <v>1.002</v>
      </c>
      <c r="G13" s="108">
        <f>'Consommation du 01.02 au 29.02'!U21</f>
        <v>0</v>
      </c>
      <c r="H13" s="108">
        <v>9.3657000000000004</v>
      </c>
      <c r="I13" s="108">
        <f>'Consommation du 01.02 au 29.02'!Y21*1000</f>
        <v>0</v>
      </c>
      <c r="J13" s="108">
        <v>0.53</v>
      </c>
      <c r="K13" s="108">
        <f>'Consommation du 01.02 au 29.02'!D21</f>
        <v>0</v>
      </c>
      <c r="L13" s="108">
        <v>12.67</v>
      </c>
      <c r="M13" s="122">
        <f>'Consommation du 01.02 au 29.02'!AC21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0</v>
      </c>
      <c r="F14" s="108">
        <v>1.002</v>
      </c>
      <c r="G14" s="108">
        <f>'Consommation du 01.02 au 29.02'!U22</f>
        <v>0</v>
      </c>
      <c r="H14" s="108">
        <v>9.3657000000000004</v>
      </c>
      <c r="I14" s="108">
        <f>'Consommation du 01.02 au 29.02'!Y22*1000</f>
        <v>0</v>
      </c>
      <c r="J14" s="108">
        <v>0.53</v>
      </c>
      <c r="K14" s="108">
        <f>'Consommation du 01.02 au 29.02'!D22</f>
        <v>0</v>
      </c>
      <c r="L14" s="108">
        <v>12.67</v>
      </c>
      <c r="M14" s="122">
        <f>'Consommation du 01.02 au 29.02'!AC22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0</v>
      </c>
      <c r="F15" s="108">
        <v>1.002</v>
      </c>
      <c r="G15" s="108">
        <f>'Consommation du 01.02 au 29.02'!U23</f>
        <v>0</v>
      </c>
      <c r="H15" s="108">
        <v>9.3657000000000004</v>
      </c>
      <c r="I15" s="108">
        <f>'Consommation du 01.02 au 29.02'!Y23*1000</f>
        <v>0</v>
      </c>
      <c r="J15" s="108">
        <v>0.53</v>
      </c>
      <c r="K15" s="108">
        <f>'Consommation du 01.02 au 29.02'!D23</f>
        <v>0</v>
      </c>
      <c r="L15" s="108">
        <v>12.67</v>
      </c>
      <c r="M15" s="122">
        <f>'Consommation du 01.02 au 29.02'!AC23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0</v>
      </c>
      <c r="F16" s="108">
        <v>1.002</v>
      </c>
      <c r="G16" s="108">
        <f>'Consommation du 01.02 au 29.02'!U24</f>
        <v>0</v>
      </c>
      <c r="H16" s="108">
        <v>9.3657000000000004</v>
      </c>
      <c r="I16" s="108">
        <f>'Consommation du 01.02 au 29.02'!Y24*1000</f>
        <v>0</v>
      </c>
      <c r="J16" s="108">
        <v>0.53</v>
      </c>
      <c r="K16" s="108">
        <f>'Consommation du 01.02 au 29.02'!D24</f>
        <v>0</v>
      </c>
      <c r="L16" s="108">
        <v>12.67</v>
      </c>
      <c r="M16" s="122">
        <f>'Consommation du 01.02 au 29.02'!AC24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0</v>
      </c>
      <c r="F17" s="108">
        <v>1.002</v>
      </c>
      <c r="G17" s="108">
        <f>'Consommation du 01.02 au 29.02'!U25</f>
        <v>0</v>
      </c>
      <c r="H17" s="108">
        <v>9.3657000000000004</v>
      </c>
      <c r="I17" s="108">
        <f>'Consommation du 01.02 au 29.02'!Y25*1000</f>
        <v>0</v>
      </c>
      <c r="J17" s="108">
        <v>0.53</v>
      </c>
      <c r="K17" s="108">
        <f>'Consommation du 01.02 au 29.02'!D25</f>
        <v>0</v>
      </c>
      <c r="L17" s="108">
        <v>12.67</v>
      </c>
      <c r="M17" s="122">
        <f>'Consommation du 01.02 au 29.02'!AC25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0</v>
      </c>
      <c r="F18" s="108">
        <v>1.002</v>
      </c>
      <c r="G18" s="108">
        <f>'Consommation du 01.02 au 29.02'!U26</f>
        <v>0</v>
      </c>
      <c r="H18" s="108">
        <v>9.3657000000000004</v>
      </c>
      <c r="I18" s="108">
        <f>'Consommation du 01.02 au 29.02'!Y26*1000</f>
        <v>0</v>
      </c>
      <c r="J18" s="108">
        <v>0.53</v>
      </c>
      <c r="K18" s="108">
        <f>'Consommation du 01.02 au 29.02'!D26</f>
        <v>0</v>
      </c>
      <c r="L18" s="108">
        <v>12.67</v>
      </c>
      <c r="M18" s="122">
        <f>'Consommation du 01.02 au 29.02'!AC26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0</v>
      </c>
      <c r="F19" s="108">
        <v>1.002</v>
      </c>
      <c r="G19" s="108">
        <f>'Consommation du 01.02 au 29.02'!U27</f>
        <v>0</v>
      </c>
      <c r="H19" s="108">
        <v>9.3657000000000004</v>
      </c>
      <c r="I19" s="108">
        <f>'Consommation du 01.02 au 29.02'!Y27*1000</f>
        <v>0</v>
      </c>
      <c r="J19" s="108">
        <v>0.53</v>
      </c>
      <c r="K19" s="108">
        <f>'Consommation du 01.02 au 29.02'!D27</f>
        <v>0</v>
      </c>
      <c r="L19" s="108">
        <v>12.67</v>
      </c>
      <c r="M19" s="122">
        <f>'Consommation du 01.02 au 29.02'!AC27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0</v>
      </c>
      <c r="F20" s="108">
        <v>1.002</v>
      </c>
      <c r="G20" s="108">
        <f>'Consommation du 01.02 au 29.02'!U28</f>
        <v>0</v>
      </c>
      <c r="H20" s="108">
        <v>9.3657000000000004</v>
      </c>
      <c r="I20" s="108">
        <f>'Consommation du 01.02 au 29.02'!Y28*1000</f>
        <v>0</v>
      </c>
      <c r="J20" s="108">
        <v>0.53</v>
      </c>
      <c r="K20" s="108">
        <f>'Consommation du 01.02 au 29.02'!D28</f>
        <v>0</v>
      </c>
      <c r="L20" s="108">
        <v>12.67</v>
      </c>
      <c r="M20" s="122">
        <f>'Consommation du 01.02 au 29.02'!AC28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0</v>
      </c>
      <c r="F21" s="108">
        <v>1.002</v>
      </c>
      <c r="G21" s="108">
        <f>'Consommation du 01.02 au 29.02'!U29</f>
        <v>0</v>
      </c>
      <c r="H21" s="108">
        <v>9.3657000000000004</v>
      </c>
      <c r="I21" s="108">
        <f>'Consommation du 01.02 au 29.02'!Y29*1000</f>
        <v>0</v>
      </c>
      <c r="J21" s="108">
        <v>0.53</v>
      </c>
      <c r="K21" s="108">
        <f>'Consommation du 01.02 au 29.02'!D29</f>
        <v>0</v>
      </c>
      <c r="L21" s="108">
        <v>12.67</v>
      </c>
      <c r="M21" s="122">
        <f>'Consommation du 01.02 au 29.02'!AC29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0</v>
      </c>
      <c r="F22" s="108">
        <v>1.002</v>
      </c>
      <c r="G22" s="108">
        <f>'Consommation du 01.02 au 29.02'!U30</f>
        <v>0</v>
      </c>
      <c r="H22" s="108">
        <v>9.3657000000000004</v>
      </c>
      <c r="I22" s="108">
        <f>'Consommation du 01.02 au 29.02'!Y30*1000</f>
        <v>0</v>
      </c>
      <c r="J22" s="108">
        <v>0.53</v>
      </c>
      <c r="K22" s="108">
        <f>'Consommation du 01.02 au 29.02'!D30</f>
        <v>0</v>
      </c>
      <c r="L22" s="108">
        <v>12.67</v>
      </c>
      <c r="M22" s="122">
        <f>'Consommation du 01.02 au 29.02'!AC30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0</v>
      </c>
      <c r="F23" s="108">
        <v>1.002</v>
      </c>
      <c r="G23" s="108">
        <f>'Consommation du 01.02 au 29.02'!U31</f>
        <v>0</v>
      </c>
      <c r="H23" s="108">
        <v>9.3657000000000004</v>
      </c>
      <c r="I23" s="108">
        <f>'Consommation du 01.02 au 29.02'!Y31*1000</f>
        <v>0</v>
      </c>
      <c r="J23" s="108">
        <v>0.53</v>
      </c>
      <c r="K23" s="108">
        <f>'Consommation du 01.02 au 29.02'!D31</f>
        <v>0</v>
      </c>
      <c r="L23" s="108">
        <v>12.67</v>
      </c>
      <c r="M23" s="122">
        <f>'Consommation du 01.02 au 29.02'!AC31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15" sqref="X1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4"/>
      <c r="B2" s="225"/>
      <c r="C2" s="225"/>
      <c r="D2" s="225"/>
      <c r="E2" s="225"/>
      <c r="F2" s="226"/>
      <c r="G2" s="213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5"/>
      <c r="AD2" s="189"/>
      <c r="AE2" s="189"/>
      <c r="AF2" s="189"/>
      <c r="AJ2" s="63"/>
    </row>
    <row r="3" spans="1:37" ht="1.5" customHeight="1" x14ac:dyDescent="0.2"/>
    <row r="4" spans="1:37" ht="39" hidden="1" customHeight="1" x14ac:dyDescent="0.2">
      <c r="A4" s="227"/>
      <c r="B4" s="227"/>
      <c r="C4" s="22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7"/>
      <c r="B5" s="227"/>
      <c r="C5" s="227"/>
      <c r="D5" s="6"/>
      <c r="E5" s="6"/>
      <c r="F5" s="6"/>
      <c r="G5" s="6"/>
      <c r="H5" s="6"/>
      <c r="I5" s="6"/>
      <c r="J5" s="6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9"/>
      <c r="E7" s="169"/>
      <c r="F7" s="169"/>
      <c r="G7" s="169"/>
      <c r="H7" s="169"/>
      <c r="I7" s="169"/>
      <c r="J7" s="169"/>
      <c r="K7" s="169"/>
      <c r="L7" s="170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4"/>
      <c r="AC7" s="14"/>
      <c r="AI7" s="6"/>
      <c r="AJ7" s="6"/>
      <c r="AK7" s="6"/>
    </row>
    <row r="8" spans="1:37" ht="2.25" customHeight="1" thickBot="1" x14ac:dyDescent="0.25">
      <c r="A8" s="169"/>
      <c r="B8" s="229" t="s">
        <v>1</v>
      </c>
      <c r="C8" s="4"/>
      <c r="D8" s="230" t="s">
        <v>4</v>
      </c>
      <c r="E8" s="5"/>
      <c r="F8" s="216" t="s">
        <v>12</v>
      </c>
      <c r="G8" s="217"/>
      <c r="H8" s="218"/>
      <c r="I8" s="5"/>
      <c r="J8" s="173" t="s">
        <v>3</v>
      </c>
      <c r="K8" s="173"/>
      <c r="L8" s="173"/>
      <c r="M8" s="173" t="s">
        <v>2</v>
      </c>
      <c r="N8" s="5"/>
      <c r="O8" s="222" t="s">
        <v>12</v>
      </c>
      <c r="P8" s="5"/>
      <c r="Q8" s="222" t="s">
        <v>5</v>
      </c>
      <c r="R8" s="5"/>
      <c r="S8" s="222" t="s">
        <v>6</v>
      </c>
      <c r="T8" s="5"/>
      <c r="U8" s="171" t="s">
        <v>39</v>
      </c>
      <c r="V8" s="5"/>
      <c r="W8" s="222" t="s">
        <v>12</v>
      </c>
      <c r="X8" s="70"/>
      <c r="Y8" s="70"/>
      <c r="Z8" s="70"/>
      <c r="AA8" s="234"/>
      <c r="AB8" s="232" t="s">
        <v>80</v>
      </c>
      <c r="AC8" s="222" t="s">
        <v>75</v>
      </c>
      <c r="AD8" s="239" t="s">
        <v>54</v>
      </c>
      <c r="AE8" s="237" t="s">
        <v>59</v>
      </c>
      <c r="AF8" s="237" t="s">
        <v>60</v>
      </c>
      <c r="AG8" s="235" t="s">
        <v>61</v>
      </c>
      <c r="AH8" s="235" t="s">
        <v>62</v>
      </c>
      <c r="AI8" s="74"/>
      <c r="AJ8" s="74"/>
      <c r="AK8" s="74"/>
    </row>
    <row r="9" spans="1:37" ht="116.25" customHeight="1" thickBot="1" x14ac:dyDescent="0.25">
      <c r="A9" s="169"/>
      <c r="B9" s="229"/>
      <c r="C9" s="4"/>
      <c r="D9" s="231"/>
      <c r="E9" s="5"/>
      <c r="F9" s="219"/>
      <c r="G9" s="220"/>
      <c r="H9" s="221"/>
      <c r="I9" s="5"/>
      <c r="J9" s="86" t="s">
        <v>7</v>
      </c>
      <c r="K9" s="86" t="s">
        <v>8</v>
      </c>
      <c r="L9" s="86" t="s">
        <v>9</v>
      </c>
      <c r="M9" s="173"/>
      <c r="N9" s="5"/>
      <c r="O9" s="223"/>
      <c r="P9" s="5"/>
      <c r="Q9" s="223"/>
      <c r="R9" s="5"/>
      <c r="S9" s="223"/>
      <c r="T9" s="5"/>
      <c r="U9" s="172"/>
      <c r="V9" s="5"/>
      <c r="W9" s="223"/>
      <c r="X9" s="132" t="s">
        <v>81</v>
      </c>
      <c r="Y9" s="101" t="s">
        <v>55</v>
      </c>
      <c r="Z9" s="102" t="s">
        <v>56</v>
      </c>
      <c r="AA9" s="234"/>
      <c r="AB9" s="233"/>
      <c r="AC9" s="228"/>
      <c r="AD9" s="240"/>
      <c r="AE9" s="238"/>
      <c r="AF9" s="238"/>
      <c r="AG9" s="236"/>
      <c r="AH9" s="236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163">
        <f>D10*12.67</f>
        <v>5954.9</v>
      </c>
      <c r="G10" s="163"/>
      <c r="H10" s="164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163">
        <f t="shared" ref="F11:F40" si="0">D11*12.67</f>
        <v>6841.8</v>
      </c>
      <c r="G11" s="163"/>
      <c r="H11" s="164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163">
        <f t="shared" si="0"/>
        <v>5954.9</v>
      </c>
      <c r="G12" s="163"/>
      <c r="H12" s="164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163">
        <f t="shared" si="0"/>
        <v>6335</v>
      </c>
      <c r="G13" s="163"/>
      <c r="H13" s="164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0</v>
      </c>
      <c r="E14" s="112"/>
      <c r="F14" s="163">
        <f t="shared" si="0"/>
        <v>0</v>
      </c>
      <c r="G14" s="163"/>
      <c r="H14" s="164"/>
      <c r="I14" s="93"/>
      <c r="J14" s="117">
        <f>'Suivi EAU-ELEC'!E20</f>
        <v>0</v>
      </c>
      <c r="K14" s="118">
        <f>'Suivi EAU-ELEC'!G20</f>
        <v>0</v>
      </c>
      <c r="L14" s="118">
        <f>'Suivi EAU-ELEC'!I20</f>
        <v>0</v>
      </c>
      <c r="M14" s="119">
        <f t="shared" si="1"/>
        <v>0</v>
      </c>
      <c r="N14" s="92"/>
      <c r="O14" s="95">
        <f t="shared" si="2"/>
        <v>0</v>
      </c>
      <c r="P14" s="91"/>
      <c r="Q14" s="90"/>
      <c r="R14" s="89"/>
      <c r="S14" s="90"/>
      <c r="T14" s="97"/>
      <c r="U14" s="96">
        <f>'Suvi Gaz'!O15</f>
        <v>0</v>
      </c>
      <c r="V14" s="93"/>
      <c r="W14" s="95">
        <f t="shared" si="3"/>
        <v>0</v>
      </c>
      <c r="X14" s="137">
        <v>16439.16</v>
      </c>
      <c r="Y14" s="99">
        <f>IF(X15&lt;X14,0,X15-X14)</f>
        <v>0</v>
      </c>
      <c r="Z14" s="100">
        <f t="shared" si="5"/>
        <v>0</v>
      </c>
      <c r="AA14" s="92"/>
      <c r="AB14" s="115"/>
      <c r="AC14" s="129"/>
      <c r="AD14" s="125"/>
      <c r="AE14" s="136"/>
      <c r="AF14" s="136"/>
      <c r="AG14" s="134"/>
      <c r="AH14" s="135"/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0</v>
      </c>
      <c r="E15" s="89"/>
      <c r="F15" s="163">
        <f t="shared" si="0"/>
        <v>0</v>
      </c>
      <c r="G15" s="163"/>
      <c r="H15" s="164"/>
      <c r="I15" s="92"/>
      <c r="J15" s="117">
        <f>'Suivi EAU-ELEC'!E21</f>
        <v>0</v>
      </c>
      <c r="K15" s="118">
        <f>'Suivi EAU-ELEC'!G21</f>
        <v>0</v>
      </c>
      <c r="L15" s="118">
        <f>'Suivi EAU-ELEC'!I21</f>
        <v>0</v>
      </c>
      <c r="M15" s="119">
        <f t="shared" si="1"/>
        <v>0</v>
      </c>
      <c r="N15" s="92"/>
      <c r="O15" s="95">
        <f t="shared" si="2"/>
        <v>0</v>
      </c>
      <c r="P15" s="91"/>
      <c r="Q15" s="90"/>
      <c r="R15" s="89"/>
      <c r="S15" s="90"/>
      <c r="T15" s="97"/>
      <c r="U15" s="96">
        <f>'Suvi Gaz'!O16</f>
        <v>0</v>
      </c>
      <c r="V15" s="93"/>
      <c r="W15" s="95">
        <f t="shared" si="3"/>
        <v>0</v>
      </c>
      <c r="X15" s="137"/>
      <c r="Y15" s="99">
        <f t="shared" si="4"/>
        <v>0</v>
      </c>
      <c r="Z15" s="100">
        <f t="shared" si="5"/>
        <v>0</v>
      </c>
      <c r="AA15" s="92"/>
      <c r="AB15" s="115"/>
      <c r="AC15" s="129"/>
      <c r="AD15" s="125"/>
      <c r="AE15" s="136"/>
      <c r="AF15" s="136"/>
      <c r="AG15" s="134"/>
      <c r="AH15" s="135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0</v>
      </c>
      <c r="E16" s="112"/>
      <c r="F16" s="163">
        <f t="shared" si="0"/>
        <v>0</v>
      </c>
      <c r="G16" s="163"/>
      <c r="H16" s="164"/>
      <c r="I16" s="93"/>
      <c r="J16" s="117">
        <f>'Suivi EAU-ELEC'!E22</f>
        <v>0</v>
      </c>
      <c r="K16" s="118">
        <f>'Suivi EAU-ELEC'!G22</f>
        <v>0</v>
      </c>
      <c r="L16" s="118">
        <f>'Suivi EAU-ELEC'!I22</f>
        <v>0</v>
      </c>
      <c r="M16" s="119">
        <f t="shared" si="1"/>
        <v>0</v>
      </c>
      <c r="N16" s="92"/>
      <c r="O16" s="95">
        <f t="shared" si="2"/>
        <v>0</v>
      </c>
      <c r="P16" s="91"/>
      <c r="Q16" s="90"/>
      <c r="R16" s="89"/>
      <c r="S16" s="90"/>
      <c r="T16" s="97"/>
      <c r="U16" s="96">
        <f>'Suvi Gaz'!O17</f>
        <v>0</v>
      </c>
      <c r="V16" s="93"/>
      <c r="W16" s="95">
        <f t="shared" si="3"/>
        <v>0</v>
      </c>
      <c r="X16" s="137"/>
      <c r="Y16" s="99">
        <f t="shared" si="4"/>
        <v>0</v>
      </c>
      <c r="Z16" s="100">
        <f t="shared" si="5"/>
        <v>0</v>
      </c>
      <c r="AA16" s="92"/>
      <c r="AB16" s="115"/>
      <c r="AC16" s="129"/>
      <c r="AD16" s="125"/>
      <c r="AE16" s="136"/>
      <c r="AF16" s="136"/>
      <c r="AG16" s="134"/>
      <c r="AH16" s="135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0</v>
      </c>
      <c r="E17" s="112"/>
      <c r="F17" s="163">
        <f t="shared" si="0"/>
        <v>0</v>
      </c>
      <c r="G17" s="163"/>
      <c r="H17" s="164"/>
      <c r="I17" s="93"/>
      <c r="J17" s="117">
        <f>'Suivi EAU-ELEC'!E23</f>
        <v>0</v>
      </c>
      <c r="K17" s="118">
        <f>'Suivi EAU-ELEC'!G23</f>
        <v>0</v>
      </c>
      <c r="L17" s="118">
        <f>'Suivi EAU-ELEC'!I23</f>
        <v>0</v>
      </c>
      <c r="M17" s="119">
        <f t="shared" si="1"/>
        <v>0</v>
      </c>
      <c r="N17" s="92"/>
      <c r="O17" s="95">
        <f t="shared" si="2"/>
        <v>0</v>
      </c>
      <c r="P17" s="91"/>
      <c r="Q17" s="90"/>
      <c r="R17" s="89"/>
      <c r="S17" s="90"/>
      <c r="T17" s="97"/>
      <c r="U17" s="96">
        <f>'Suvi Gaz'!O18</f>
        <v>0</v>
      </c>
      <c r="V17" s="93"/>
      <c r="W17" s="95">
        <f t="shared" si="3"/>
        <v>0</v>
      </c>
      <c r="X17" s="137"/>
      <c r="Y17" s="99">
        <f t="shared" si="4"/>
        <v>0</v>
      </c>
      <c r="Z17" s="100">
        <f t="shared" si="5"/>
        <v>0</v>
      </c>
      <c r="AA17" s="98"/>
      <c r="AB17" s="115"/>
      <c r="AC17" s="129"/>
      <c r="AD17" s="125"/>
      <c r="AE17" s="136"/>
      <c r="AF17" s="136"/>
      <c r="AG17" s="134"/>
      <c r="AH17" s="135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0</v>
      </c>
      <c r="E18" s="112"/>
      <c r="F18" s="163">
        <f t="shared" si="0"/>
        <v>0</v>
      </c>
      <c r="G18" s="163"/>
      <c r="H18" s="164"/>
      <c r="I18" s="93"/>
      <c r="J18" s="117">
        <f>'Suivi EAU-ELEC'!E24</f>
        <v>0</v>
      </c>
      <c r="K18" s="118">
        <f>'Suivi EAU-ELEC'!G24</f>
        <v>0</v>
      </c>
      <c r="L18" s="118">
        <f>'Suivi EAU-ELEC'!I24</f>
        <v>0</v>
      </c>
      <c r="M18" s="119">
        <f t="shared" si="1"/>
        <v>0</v>
      </c>
      <c r="N18" s="92"/>
      <c r="O18" s="95">
        <f t="shared" si="2"/>
        <v>0</v>
      </c>
      <c r="P18" s="91"/>
      <c r="Q18" s="90"/>
      <c r="R18" s="89"/>
      <c r="S18" s="90"/>
      <c r="T18" s="97"/>
      <c r="U18" s="96">
        <f>'Suvi Gaz'!O19</f>
        <v>0</v>
      </c>
      <c r="V18" s="93"/>
      <c r="W18" s="95">
        <f t="shared" si="3"/>
        <v>0</v>
      </c>
      <c r="X18" s="137"/>
      <c r="Y18" s="99">
        <f t="shared" si="4"/>
        <v>0</v>
      </c>
      <c r="Z18" s="100">
        <f t="shared" si="5"/>
        <v>0</v>
      </c>
      <c r="AA18" s="98"/>
      <c r="AB18" s="115"/>
      <c r="AC18" s="129"/>
      <c r="AD18" s="125"/>
      <c r="AE18" s="136"/>
      <c r="AF18" s="136"/>
      <c r="AG18" s="134"/>
      <c r="AH18" s="135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0</v>
      </c>
      <c r="E19" s="112"/>
      <c r="F19" s="163">
        <f t="shared" si="0"/>
        <v>0</v>
      </c>
      <c r="G19" s="163"/>
      <c r="H19" s="164"/>
      <c r="I19" s="93"/>
      <c r="J19" s="117">
        <f>'Suivi EAU-ELEC'!E25</f>
        <v>0</v>
      </c>
      <c r="K19" s="118">
        <f>'Suivi EAU-ELEC'!G25</f>
        <v>0</v>
      </c>
      <c r="L19" s="118">
        <f>'Suivi EAU-ELEC'!I25</f>
        <v>0</v>
      </c>
      <c r="M19" s="119">
        <f t="shared" si="1"/>
        <v>0</v>
      </c>
      <c r="N19" s="92"/>
      <c r="O19" s="95">
        <f t="shared" si="2"/>
        <v>0</v>
      </c>
      <c r="P19" s="91"/>
      <c r="Q19" s="90"/>
      <c r="R19" s="89"/>
      <c r="S19" s="90"/>
      <c r="T19" s="97"/>
      <c r="U19" s="96">
        <f>'Suvi Gaz'!O20</f>
        <v>0</v>
      </c>
      <c r="V19" s="93"/>
      <c r="W19" s="95">
        <f t="shared" si="3"/>
        <v>0</v>
      </c>
      <c r="X19" s="137"/>
      <c r="Y19" s="99">
        <f t="shared" si="4"/>
        <v>0</v>
      </c>
      <c r="Z19" s="100">
        <f t="shared" si="5"/>
        <v>0</v>
      </c>
      <c r="AA19" s="98"/>
      <c r="AB19" s="115"/>
      <c r="AC19" s="129"/>
      <c r="AD19" s="125"/>
      <c r="AE19" s="136"/>
      <c r="AF19" s="136"/>
      <c r="AG19" s="134"/>
      <c r="AH19" s="135"/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0</v>
      </c>
      <c r="E20" s="112"/>
      <c r="F20" s="163">
        <f t="shared" si="0"/>
        <v>0</v>
      </c>
      <c r="G20" s="163"/>
      <c r="H20" s="164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7"/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6"/>
      <c r="AF20" s="136"/>
      <c r="AG20" s="134"/>
      <c r="AH20" s="135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0</v>
      </c>
      <c r="E21" s="112"/>
      <c r="F21" s="163">
        <f t="shared" si="0"/>
        <v>0</v>
      </c>
      <c r="G21" s="163"/>
      <c r="H21" s="164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7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6"/>
      <c r="AF21" s="130"/>
      <c r="AG21" s="134"/>
      <c r="AH21" s="135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0</v>
      </c>
      <c r="E22" s="112"/>
      <c r="F22" s="163">
        <f t="shared" si="0"/>
        <v>0</v>
      </c>
      <c r="G22" s="163"/>
      <c r="H22" s="164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7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6"/>
      <c r="AF22" s="130"/>
      <c r="AG22" s="134"/>
      <c r="AH22" s="135"/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0</v>
      </c>
      <c r="E23" s="112"/>
      <c r="F23" s="163">
        <f t="shared" si="0"/>
        <v>0</v>
      </c>
      <c r="G23" s="163"/>
      <c r="H23" s="164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7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6"/>
      <c r="AF23" s="130"/>
      <c r="AG23" s="134"/>
      <c r="AH23" s="135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0</v>
      </c>
      <c r="E24" s="112"/>
      <c r="F24" s="163">
        <f t="shared" si="0"/>
        <v>0</v>
      </c>
      <c r="G24" s="163"/>
      <c r="H24" s="164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7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6"/>
      <c r="AF24" s="136"/>
      <c r="AG24" s="134"/>
      <c r="AH24" s="135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0</v>
      </c>
      <c r="E25" s="112"/>
      <c r="F25" s="163">
        <f t="shared" si="0"/>
        <v>0</v>
      </c>
      <c r="G25" s="163"/>
      <c r="H25" s="164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7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6"/>
      <c r="AF25" s="136"/>
      <c r="AG25" s="134"/>
      <c r="AH25" s="135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0</v>
      </c>
      <c r="E26" s="113"/>
      <c r="F26" s="163">
        <f t="shared" si="0"/>
        <v>0</v>
      </c>
      <c r="G26" s="163"/>
      <c r="H26" s="164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7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6"/>
      <c r="AF26" s="130"/>
      <c r="AG26" s="134"/>
      <c r="AH26" s="135"/>
      <c r="AI26" s="71"/>
      <c r="AJ26" s="78"/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0</v>
      </c>
      <c r="E27" s="113"/>
      <c r="F27" s="163">
        <f t="shared" si="0"/>
        <v>0</v>
      </c>
      <c r="G27" s="163"/>
      <c r="H27" s="164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7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6"/>
      <c r="AF27" s="130"/>
      <c r="AG27" s="134"/>
      <c r="AH27" s="135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0</v>
      </c>
      <c r="E28" s="113"/>
      <c r="F28" s="163">
        <f t="shared" si="0"/>
        <v>0</v>
      </c>
      <c r="G28" s="163"/>
      <c r="H28" s="164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7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6"/>
      <c r="AF28" s="130"/>
      <c r="AG28" s="134"/>
      <c r="AH28" s="135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0</v>
      </c>
      <c r="E29" s="113"/>
      <c r="F29" s="163">
        <f t="shared" si="0"/>
        <v>0</v>
      </c>
      <c r="G29" s="163"/>
      <c r="H29" s="164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7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6"/>
      <c r="AF29" s="130"/>
      <c r="AG29" s="134"/>
      <c r="AH29" s="135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0</v>
      </c>
      <c r="E30" s="113"/>
      <c r="F30" s="163">
        <f t="shared" si="0"/>
        <v>0</v>
      </c>
      <c r="G30" s="163"/>
      <c r="H30" s="164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7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6"/>
      <c r="AF30" s="130"/>
      <c r="AG30" s="134"/>
      <c r="AH30" s="135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0</v>
      </c>
      <c r="E31" s="89"/>
      <c r="F31" s="163">
        <f t="shared" si="0"/>
        <v>0</v>
      </c>
      <c r="G31" s="163"/>
      <c r="H31" s="164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7"/>
      <c r="Y31" s="154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6"/>
      <c r="AF31" s="130"/>
      <c r="AG31" s="134"/>
      <c r="AH31" s="135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163">
        <f t="shared" si="0"/>
        <v>0</v>
      </c>
      <c r="G32" s="163"/>
      <c r="H32" s="164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163">
        <f t="shared" si="0"/>
        <v>0</v>
      </c>
      <c r="G33" s="163"/>
      <c r="H33" s="164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163">
        <f t="shared" si="0"/>
        <v>0</v>
      </c>
      <c r="G34" s="163"/>
      <c r="H34" s="164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163">
        <f t="shared" si="0"/>
        <v>0</v>
      </c>
      <c r="G35" s="163"/>
      <c r="H35" s="164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163">
        <f t="shared" si="0"/>
        <v>0</v>
      </c>
      <c r="G36" s="163"/>
      <c r="H36" s="164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163">
        <f t="shared" si="0"/>
        <v>0</v>
      </c>
      <c r="G37" s="163"/>
      <c r="H37" s="164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163">
        <f t="shared" si="0"/>
        <v>0</v>
      </c>
      <c r="G38" s="163"/>
      <c r="H38" s="164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163">
        <f t="shared" si="0"/>
        <v>0</v>
      </c>
      <c r="G39" s="163"/>
      <c r="H39" s="164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163">
        <f t="shared" si="0"/>
        <v>0</v>
      </c>
      <c r="G40" s="163"/>
      <c r="H40" s="164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1980</v>
      </c>
      <c r="E41" s="1"/>
      <c r="F41" s="180">
        <v>470</v>
      </c>
      <c r="G41" s="181"/>
      <c r="H41" s="182"/>
      <c r="I41" s="1"/>
      <c r="J41" s="87">
        <f>SUM(J10:J38)</f>
        <v>18503</v>
      </c>
      <c r="K41" s="87">
        <f>SUM(K10:K38)</f>
        <v>27343</v>
      </c>
      <c r="L41" s="87">
        <f>SUM(L10:L38)</f>
        <v>13509</v>
      </c>
      <c r="M41" s="87">
        <f>SUM(M10:M38)</f>
        <v>59355</v>
      </c>
      <c r="N41" s="28"/>
      <c r="O41" s="180">
        <f>SUM(O10:O38)</f>
        <v>59473.71</v>
      </c>
      <c r="P41" s="181"/>
      <c r="Q41" s="182"/>
      <c r="R41" s="28"/>
      <c r="S41" s="88">
        <f>SUM(S10:S40)</f>
        <v>0</v>
      </c>
      <c r="T41" s="28"/>
      <c r="U41" s="87">
        <f>SUM(U10:U38)</f>
        <v>5342.4000000000005</v>
      </c>
      <c r="V41" s="28"/>
      <c r="W41" s="87">
        <f>SUM(W10:W38)</f>
        <v>50035.315680000007</v>
      </c>
      <c r="X41" s="128"/>
      <c r="Y41" s="87">
        <f>SUM(Y10:Y38)</f>
        <v>44.990000000001601</v>
      </c>
      <c r="Z41" s="87">
        <f>SUM(Z10:Z38)</f>
        <v>23844.700000000848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6"/>
      <c r="G42" s="176"/>
      <c r="H42" s="17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83" t="s">
        <v>10</v>
      </c>
      <c r="B43" s="184"/>
      <c r="C43" s="185"/>
      <c r="D43" s="19" t="s">
        <v>7</v>
      </c>
      <c r="E43" s="53"/>
      <c r="F43" s="20">
        <v>1.002</v>
      </c>
      <c r="G43" s="165">
        <f>J41</f>
        <v>18503</v>
      </c>
      <c r="H43" s="166"/>
      <c r="I43" s="167"/>
      <c r="J43" s="174">
        <f>G43*F43</f>
        <v>18540.006000000001</v>
      </c>
      <c r="K43" s="175"/>
      <c r="L43" s="204">
        <f>J43+J44+J45</f>
        <v>59473.710000000006</v>
      </c>
      <c r="M43" s="205"/>
      <c r="N43" s="205"/>
      <c r="O43" s="205"/>
      <c r="P43" s="205"/>
      <c r="Q43" s="205"/>
      <c r="R43" s="205"/>
      <c r="S43" s="205"/>
      <c r="T43" s="205"/>
      <c r="U43" s="206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6"/>
      <c r="B44" s="187"/>
      <c r="C44" s="188"/>
      <c r="D44" s="17" t="s">
        <v>8</v>
      </c>
      <c r="E44" s="53"/>
      <c r="F44" s="20">
        <v>1.002</v>
      </c>
      <c r="G44" s="165">
        <f>K41</f>
        <v>27343</v>
      </c>
      <c r="H44" s="166"/>
      <c r="I44" s="167"/>
      <c r="J44" s="174">
        <f>G44*F44</f>
        <v>27397.686000000002</v>
      </c>
      <c r="K44" s="175"/>
      <c r="L44" s="207"/>
      <c r="M44" s="208"/>
      <c r="N44" s="208"/>
      <c r="O44" s="208"/>
      <c r="P44" s="208"/>
      <c r="Q44" s="208"/>
      <c r="R44" s="208"/>
      <c r="S44" s="208"/>
      <c r="T44" s="208"/>
      <c r="U44" s="20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6"/>
      <c r="B45" s="187"/>
      <c r="C45" s="188"/>
      <c r="D45" s="23" t="s">
        <v>9</v>
      </c>
      <c r="E45" s="54"/>
      <c r="F45" s="20">
        <v>1.002</v>
      </c>
      <c r="G45" s="165">
        <f>L41</f>
        <v>13509</v>
      </c>
      <c r="H45" s="166"/>
      <c r="I45" s="167"/>
      <c r="J45" s="174">
        <f>G45*F45</f>
        <v>13536.018</v>
      </c>
      <c r="K45" s="175"/>
      <c r="L45" s="210"/>
      <c r="M45" s="211"/>
      <c r="N45" s="211"/>
      <c r="O45" s="211"/>
      <c r="P45" s="211"/>
      <c r="Q45" s="211"/>
      <c r="R45" s="211"/>
      <c r="S45" s="211"/>
      <c r="T45" s="211"/>
      <c r="U45" s="21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7" t="s">
        <v>11</v>
      </c>
      <c r="B46" s="178"/>
      <c r="C46" s="178"/>
      <c r="D46" s="179"/>
      <c r="E46" s="53"/>
      <c r="F46" s="24">
        <v>12.67</v>
      </c>
      <c r="G46" s="177">
        <f>D41</f>
        <v>1980</v>
      </c>
      <c r="H46" s="178"/>
      <c r="I46" s="179"/>
      <c r="J46" s="190">
        <f>G46*F46</f>
        <v>25086.6</v>
      </c>
      <c r="K46" s="191"/>
      <c r="L46" s="198">
        <f>J46</f>
        <v>25086.6</v>
      </c>
      <c r="M46" s="199"/>
      <c r="N46" s="199"/>
      <c r="O46" s="199"/>
      <c r="P46" s="199"/>
      <c r="Q46" s="199"/>
      <c r="R46" s="199"/>
      <c r="S46" s="199"/>
      <c r="T46" s="199"/>
      <c r="U46" s="20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5" t="s">
        <v>13</v>
      </c>
      <c r="B47" s="196"/>
      <c r="C47" s="196"/>
      <c r="D47" s="197"/>
      <c r="E47" s="53"/>
      <c r="F47" s="26">
        <v>9.3657000000000004</v>
      </c>
      <c r="G47" s="192">
        <f>U41</f>
        <v>5342.4000000000005</v>
      </c>
      <c r="H47" s="193"/>
      <c r="I47" s="194"/>
      <c r="J47" s="192">
        <f>G47*F47</f>
        <v>50035.315680000007</v>
      </c>
      <c r="K47" s="194"/>
      <c r="L47" s="201">
        <f>J47</f>
        <v>50035.315680000007</v>
      </c>
      <c r="M47" s="202"/>
      <c r="N47" s="202"/>
      <c r="O47" s="202"/>
      <c r="P47" s="202"/>
      <c r="Q47" s="202"/>
      <c r="R47" s="202"/>
      <c r="S47" s="202"/>
      <c r="T47" s="202"/>
      <c r="U47" s="20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26" sqref="I2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1" t="s">
        <v>0</v>
      </c>
      <c r="B1" s="241"/>
      <c r="C1" s="242"/>
      <c r="D1" s="243" t="s">
        <v>57</v>
      </c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5"/>
      <c r="AA1" s="246"/>
      <c r="AB1" s="247"/>
      <c r="AC1" s="247"/>
    </row>
    <row r="2" spans="1:31" ht="41.25" customHeight="1" thickBot="1" x14ac:dyDescent="0.4">
      <c r="A2" s="79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8">
        <v>803</v>
      </c>
      <c r="R2" s="249"/>
      <c r="S2" s="249"/>
      <c r="T2" s="249">
        <v>519</v>
      </c>
      <c r="U2" s="249"/>
      <c r="V2" s="249"/>
      <c r="W2" s="249">
        <v>800</v>
      </c>
      <c r="X2" s="249"/>
      <c r="Y2" s="249"/>
      <c r="Z2" s="249">
        <v>802</v>
      </c>
      <c r="AA2" s="249"/>
      <c r="AB2" s="25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15" si="0">IF(AC4&gt;0,((B4-R4)+(S4-B5)),IF(B5=0, ,(B4-B5)))</f>
        <v>11</v>
      </c>
      <c r="D4" s="138">
        <v>74</v>
      </c>
      <c r="E4" s="139">
        <f t="shared" ref="E4:E16" si="1">IF(AC4&gt;0,((D4-U4)+(V4-D5)),IF(D5=0, ,(D4-D5)))</f>
        <v>10</v>
      </c>
      <c r="F4" s="138">
        <v>68</v>
      </c>
      <c r="G4" s="139">
        <f t="shared" ref="G4:G15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0</v>
      </c>
      <c r="D15" s="138">
        <v>69</v>
      </c>
      <c r="E15" s="139">
        <f t="shared" si="1"/>
        <v>0</v>
      </c>
      <c r="F15" s="138">
        <v>66</v>
      </c>
      <c r="G15" s="139">
        <f t="shared" si="2"/>
        <v>0</v>
      </c>
      <c r="H15" s="138">
        <v>66</v>
      </c>
      <c r="I15" s="139">
        <f t="shared" si="3"/>
        <v>0</v>
      </c>
      <c r="J15" s="139">
        <f t="shared" si="4"/>
        <v>269</v>
      </c>
      <c r="K15" s="139">
        <f t="shared" si="5"/>
        <v>67.25</v>
      </c>
      <c r="L15" s="139">
        <f t="shared" si="6"/>
        <v>0</v>
      </c>
      <c r="M15" s="139">
        <f t="shared" si="7"/>
        <v>28000</v>
      </c>
      <c r="N15" s="139">
        <f t="shared" si="8"/>
        <v>0</v>
      </c>
      <c r="O15" s="139">
        <f t="shared" si="9"/>
        <v>0</v>
      </c>
      <c r="P15" s="38">
        <f t="shared" si="18"/>
        <v>0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43867</v>
      </c>
      <c r="B16" s="138"/>
      <c r="C16" s="139">
        <f t="shared" ref="C15:C42" si="19">IF(AC16&gt;0,((B16-R16)+(S16-B17)),IF(B17=0, ,(B16-B17)))</f>
        <v>0</v>
      </c>
      <c r="D16" s="138"/>
      <c r="E16" s="139">
        <f t="shared" si="1"/>
        <v>0</v>
      </c>
      <c r="F16" s="138"/>
      <c r="G16" s="139">
        <f t="shared" ref="G16:G42" si="20">IF(AC16&gt;0,((F16-X16)+(Y16-F17)),IF(F17=0, ,(F16-F17)))</f>
        <v>0</v>
      </c>
      <c r="H16" s="138"/>
      <c r="I16" s="139">
        <f t="shared" si="3"/>
        <v>0</v>
      </c>
      <c r="J16" s="139">
        <f t="shared" si="4"/>
        <v>0</v>
      </c>
      <c r="K16" s="139">
        <f t="shared" si="5"/>
        <v>0</v>
      </c>
      <c r="L16" s="139">
        <f t="shared" si="6"/>
        <v>0</v>
      </c>
      <c r="M16" s="139">
        <f t="shared" si="7"/>
        <v>28000</v>
      </c>
      <c r="N16" s="139">
        <f t="shared" si="8"/>
        <v>0</v>
      </c>
      <c r="O16" s="139">
        <f t="shared" si="9"/>
        <v>0</v>
      </c>
      <c r="P16" s="38">
        <f t="shared" si="18"/>
        <v>0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/>
      <c r="C17" s="139">
        <f t="shared" si="19"/>
        <v>0</v>
      </c>
      <c r="D17" s="138"/>
      <c r="E17" s="139">
        <f t="shared" ref="E17:E42" si="21">IF(AC17&gt;0,((D17-U17)+(V17-D18)),IF(D18=0, ,(D17-D18)))</f>
        <v>0</v>
      </c>
      <c r="F17" s="138"/>
      <c r="G17" s="139">
        <f t="shared" si="20"/>
        <v>0</v>
      </c>
      <c r="H17" s="138"/>
      <c r="I17" s="139">
        <f t="shared" si="3"/>
        <v>0</v>
      </c>
      <c r="J17" s="139">
        <f t="shared" si="4"/>
        <v>0</v>
      </c>
      <c r="K17" s="139">
        <f t="shared" si="5"/>
        <v>0</v>
      </c>
      <c r="L17" s="139">
        <f t="shared" si="6"/>
        <v>0</v>
      </c>
      <c r="M17" s="139">
        <f t="shared" si="7"/>
        <v>28000</v>
      </c>
      <c r="N17" s="139">
        <f t="shared" si="8"/>
        <v>0</v>
      </c>
      <c r="O17" s="139">
        <f t="shared" si="9"/>
        <v>0</v>
      </c>
      <c r="P17" s="38">
        <f t="shared" si="18"/>
        <v>0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/>
      <c r="C18" s="139">
        <f t="shared" si="19"/>
        <v>0</v>
      </c>
      <c r="D18" s="138"/>
      <c r="E18" s="139">
        <f t="shared" si="21"/>
        <v>0</v>
      </c>
      <c r="F18" s="138"/>
      <c r="G18" s="139">
        <f t="shared" si="20"/>
        <v>0</v>
      </c>
      <c r="H18" s="138"/>
      <c r="I18" s="139">
        <f t="shared" si="3"/>
        <v>0</v>
      </c>
      <c r="J18" s="139">
        <f t="shared" si="4"/>
        <v>0</v>
      </c>
      <c r="K18" s="139">
        <f t="shared" si="5"/>
        <v>0</v>
      </c>
      <c r="L18" s="139">
        <f t="shared" si="6"/>
        <v>0</v>
      </c>
      <c r="M18" s="139">
        <f t="shared" si="7"/>
        <v>28000</v>
      </c>
      <c r="N18" s="139">
        <f t="shared" si="8"/>
        <v>0</v>
      </c>
      <c r="O18" s="139">
        <f t="shared" si="9"/>
        <v>0</v>
      </c>
      <c r="P18" s="38">
        <f t="shared" si="18"/>
        <v>0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/>
      <c r="C19" s="139">
        <f t="shared" si="19"/>
        <v>0</v>
      </c>
      <c r="D19" s="138"/>
      <c r="E19" s="139">
        <f t="shared" si="21"/>
        <v>0</v>
      </c>
      <c r="F19" s="138"/>
      <c r="G19" s="139">
        <f t="shared" si="20"/>
        <v>0</v>
      </c>
      <c r="H19" s="138"/>
      <c r="I19" s="139">
        <f t="shared" si="3"/>
        <v>0</v>
      </c>
      <c r="J19" s="139">
        <f t="shared" si="4"/>
        <v>0</v>
      </c>
      <c r="K19" s="139">
        <f t="shared" si="5"/>
        <v>0</v>
      </c>
      <c r="L19" s="139">
        <f t="shared" si="6"/>
        <v>0</v>
      </c>
      <c r="M19" s="139">
        <f t="shared" si="7"/>
        <v>28000</v>
      </c>
      <c r="N19" s="139">
        <f t="shared" si="8"/>
        <v>0</v>
      </c>
      <c r="O19" s="139">
        <f t="shared" si="9"/>
        <v>0</v>
      </c>
      <c r="P19" s="38">
        <f t="shared" si="18"/>
        <v>0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/>
      <c r="C20" s="139">
        <f t="shared" si="19"/>
        <v>0</v>
      </c>
      <c r="D20" s="138"/>
      <c r="E20" s="139">
        <f t="shared" si="21"/>
        <v>0</v>
      </c>
      <c r="F20" s="138"/>
      <c r="G20" s="139">
        <f t="shared" si="20"/>
        <v>0</v>
      </c>
      <c r="H20" s="138"/>
      <c r="I20" s="139">
        <f t="shared" si="3"/>
        <v>0</v>
      </c>
      <c r="J20" s="139">
        <f t="shared" si="4"/>
        <v>0</v>
      </c>
      <c r="K20" s="139">
        <f t="shared" si="5"/>
        <v>0</v>
      </c>
      <c r="L20" s="139">
        <f t="shared" si="6"/>
        <v>0</v>
      </c>
      <c r="M20" s="139">
        <f t="shared" si="7"/>
        <v>28000</v>
      </c>
      <c r="N20" s="139">
        <f t="shared" si="8"/>
        <v>0</v>
      </c>
      <c r="O20" s="139">
        <f t="shared" si="9"/>
        <v>0</v>
      </c>
      <c r="P20" s="38">
        <f t="shared" si="18"/>
        <v>0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/>
      <c r="C21" s="139">
        <f t="shared" si="19"/>
        <v>0</v>
      </c>
      <c r="D21" s="138"/>
      <c r="E21" s="139">
        <f t="shared" si="21"/>
        <v>0</v>
      </c>
      <c r="F21" s="138"/>
      <c r="G21" s="139">
        <f t="shared" si="20"/>
        <v>0</v>
      </c>
      <c r="H21" s="138"/>
      <c r="I21" s="139">
        <f t="shared" si="3"/>
        <v>0</v>
      </c>
      <c r="J21" s="139">
        <f t="shared" si="4"/>
        <v>0</v>
      </c>
      <c r="K21" s="139">
        <f t="shared" si="5"/>
        <v>0</v>
      </c>
      <c r="L21" s="139">
        <f t="shared" si="6"/>
        <v>0</v>
      </c>
      <c r="M21" s="139">
        <f t="shared" si="7"/>
        <v>28000</v>
      </c>
      <c r="N21" s="139">
        <f t="shared" si="8"/>
        <v>0</v>
      </c>
      <c r="O21" s="139">
        <f t="shared" si="9"/>
        <v>0</v>
      </c>
      <c r="P21" s="38">
        <f t="shared" si="18"/>
        <v>0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/>
      <c r="C22" s="139">
        <f t="shared" si="19"/>
        <v>0</v>
      </c>
      <c r="D22" s="138"/>
      <c r="E22" s="139">
        <f t="shared" si="21"/>
        <v>0</v>
      </c>
      <c r="F22" s="138"/>
      <c r="G22" s="139">
        <f t="shared" si="20"/>
        <v>0</v>
      </c>
      <c r="H22" s="138"/>
      <c r="I22" s="139">
        <f t="shared" si="3"/>
        <v>0</v>
      </c>
      <c r="J22" s="139">
        <f t="shared" si="4"/>
        <v>0</v>
      </c>
      <c r="K22" s="139">
        <f t="shared" si="5"/>
        <v>0</v>
      </c>
      <c r="L22" s="139">
        <f t="shared" si="6"/>
        <v>0</v>
      </c>
      <c r="M22" s="139">
        <f t="shared" si="7"/>
        <v>28000</v>
      </c>
      <c r="N22" s="139">
        <f t="shared" si="8"/>
        <v>0</v>
      </c>
      <c r="O22" s="139">
        <f t="shared" si="9"/>
        <v>0</v>
      </c>
      <c r="P22" s="38">
        <f t="shared" si="18"/>
        <v>0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43874</v>
      </c>
      <c r="B23" s="138"/>
      <c r="C23" s="139">
        <f t="shared" si="19"/>
        <v>0</v>
      </c>
      <c r="D23" s="138"/>
      <c r="E23" s="139">
        <f t="shared" si="21"/>
        <v>0</v>
      </c>
      <c r="F23" s="138"/>
      <c r="G23" s="139">
        <f t="shared" si="20"/>
        <v>0</v>
      </c>
      <c r="H23" s="138"/>
      <c r="I23" s="139">
        <f t="shared" si="3"/>
        <v>0</v>
      </c>
      <c r="J23" s="139">
        <f t="shared" si="4"/>
        <v>0</v>
      </c>
      <c r="K23" s="139">
        <f t="shared" si="5"/>
        <v>0</v>
      </c>
      <c r="L23" s="139">
        <f t="shared" si="6"/>
        <v>0</v>
      </c>
      <c r="M23" s="139">
        <f t="shared" si="7"/>
        <v>28000</v>
      </c>
      <c r="N23" s="139">
        <f t="shared" si="8"/>
        <v>0</v>
      </c>
      <c r="O23" s="139">
        <f t="shared" si="9"/>
        <v>0</v>
      </c>
      <c r="P23" s="38">
        <f t="shared" si="18"/>
        <v>0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/>
      <c r="C24" s="139">
        <f t="shared" si="19"/>
        <v>0</v>
      </c>
      <c r="D24" s="138"/>
      <c r="E24" s="139">
        <f t="shared" si="21"/>
        <v>0</v>
      </c>
      <c r="F24" s="138"/>
      <c r="G24" s="139">
        <f t="shared" si="20"/>
        <v>0</v>
      </c>
      <c r="H24" s="138"/>
      <c r="I24" s="139">
        <f t="shared" si="3"/>
        <v>0</v>
      </c>
      <c r="J24" s="139">
        <f t="shared" si="4"/>
        <v>0</v>
      </c>
      <c r="K24" s="139">
        <f t="shared" si="5"/>
        <v>0</v>
      </c>
      <c r="L24" s="139">
        <f t="shared" si="6"/>
        <v>0</v>
      </c>
      <c r="M24" s="139">
        <f t="shared" si="7"/>
        <v>28000</v>
      </c>
      <c r="N24" s="139">
        <f t="shared" si="8"/>
        <v>0</v>
      </c>
      <c r="O24" s="139">
        <f t="shared" si="9"/>
        <v>0</v>
      </c>
      <c r="P24" s="38">
        <f t="shared" si="18"/>
        <v>0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/>
      <c r="C25" s="139">
        <f t="shared" si="19"/>
        <v>0</v>
      </c>
      <c r="D25" s="138"/>
      <c r="E25" s="139">
        <f t="shared" si="21"/>
        <v>0</v>
      </c>
      <c r="F25" s="138"/>
      <c r="G25" s="139">
        <f t="shared" si="20"/>
        <v>0</v>
      </c>
      <c r="H25" s="138"/>
      <c r="I25" s="139">
        <f t="shared" si="3"/>
        <v>0</v>
      </c>
      <c r="J25" s="139">
        <f t="shared" si="4"/>
        <v>0</v>
      </c>
      <c r="K25" s="139">
        <f t="shared" si="5"/>
        <v>0</v>
      </c>
      <c r="L25" s="139">
        <f t="shared" si="6"/>
        <v>0</v>
      </c>
      <c r="M25" s="139">
        <f t="shared" si="7"/>
        <v>28000</v>
      </c>
      <c r="N25" s="139">
        <f t="shared" si="8"/>
        <v>0</v>
      </c>
      <c r="O25" s="139">
        <f t="shared" si="9"/>
        <v>0</v>
      </c>
      <c r="P25" s="38">
        <f t="shared" si="18"/>
        <v>0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/>
      <c r="C26" s="139">
        <f t="shared" si="19"/>
        <v>0</v>
      </c>
      <c r="D26" s="138"/>
      <c r="E26" s="139">
        <f t="shared" si="21"/>
        <v>0</v>
      </c>
      <c r="F26" s="138"/>
      <c r="G26" s="139">
        <f t="shared" si="20"/>
        <v>0</v>
      </c>
      <c r="H26" s="138"/>
      <c r="I26" s="139">
        <f t="shared" si="3"/>
        <v>0</v>
      </c>
      <c r="J26" s="139">
        <f t="shared" si="4"/>
        <v>0</v>
      </c>
      <c r="K26" s="139">
        <f t="shared" si="5"/>
        <v>0</v>
      </c>
      <c r="L26" s="139">
        <f t="shared" si="6"/>
        <v>0</v>
      </c>
      <c r="M26" s="139">
        <f t="shared" si="7"/>
        <v>28000</v>
      </c>
      <c r="N26" s="139">
        <f t="shared" si="8"/>
        <v>0</v>
      </c>
      <c r="O26" s="139">
        <f t="shared" si="9"/>
        <v>0</v>
      </c>
      <c r="P26" s="38">
        <f t="shared" si="18"/>
        <v>0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/>
      <c r="C27" s="139">
        <f t="shared" si="19"/>
        <v>0</v>
      </c>
      <c r="D27" s="138"/>
      <c r="E27" s="139">
        <f t="shared" si="21"/>
        <v>0</v>
      </c>
      <c r="F27" s="138"/>
      <c r="G27" s="139">
        <f t="shared" si="20"/>
        <v>0</v>
      </c>
      <c r="H27" s="138"/>
      <c r="I27" s="139">
        <f t="shared" si="3"/>
        <v>0</v>
      </c>
      <c r="J27" s="139">
        <f t="shared" si="4"/>
        <v>0</v>
      </c>
      <c r="K27" s="139">
        <f t="shared" si="5"/>
        <v>0</v>
      </c>
      <c r="L27" s="139">
        <f t="shared" si="6"/>
        <v>0</v>
      </c>
      <c r="M27" s="139">
        <f t="shared" si="7"/>
        <v>28000</v>
      </c>
      <c r="N27" s="139">
        <f t="shared" si="8"/>
        <v>0</v>
      </c>
      <c r="O27" s="139">
        <f t="shared" si="9"/>
        <v>0</v>
      </c>
      <c r="P27" s="38">
        <f t="shared" si="18"/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/>
      <c r="C28" s="139">
        <f t="shared" si="19"/>
        <v>0</v>
      </c>
      <c r="D28" s="138"/>
      <c r="E28" s="139">
        <f t="shared" si="21"/>
        <v>0</v>
      </c>
      <c r="F28" s="138"/>
      <c r="G28" s="139">
        <f t="shared" si="20"/>
        <v>0</v>
      </c>
      <c r="H28" s="138"/>
      <c r="I28" s="139">
        <f t="shared" si="3"/>
        <v>0</v>
      </c>
      <c r="J28" s="139">
        <f t="shared" si="4"/>
        <v>0</v>
      </c>
      <c r="K28" s="139">
        <f t="shared" si="5"/>
        <v>0</v>
      </c>
      <c r="L28" s="139">
        <f t="shared" si="6"/>
        <v>0</v>
      </c>
      <c r="M28" s="139">
        <f t="shared" si="7"/>
        <v>28000</v>
      </c>
      <c r="N28" s="139">
        <f t="shared" si="8"/>
        <v>0</v>
      </c>
      <c r="O28" s="139">
        <f t="shared" si="9"/>
        <v>0</v>
      </c>
      <c r="P28" s="38">
        <f t="shared" si="18"/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/>
      <c r="C29" s="139">
        <f t="shared" si="19"/>
        <v>0</v>
      </c>
      <c r="D29" s="138"/>
      <c r="E29" s="139">
        <f t="shared" si="21"/>
        <v>0</v>
      </c>
      <c r="F29" s="138"/>
      <c r="G29" s="139">
        <f t="shared" si="20"/>
        <v>0</v>
      </c>
      <c r="H29" s="138"/>
      <c r="I29" s="139">
        <f t="shared" si="3"/>
        <v>0</v>
      </c>
      <c r="J29" s="139">
        <f t="shared" si="4"/>
        <v>0</v>
      </c>
      <c r="K29" s="139">
        <f t="shared" si="5"/>
        <v>0</v>
      </c>
      <c r="L29" s="139">
        <f t="shared" si="6"/>
        <v>0</v>
      </c>
      <c r="M29" s="139">
        <f t="shared" si="7"/>
        <v>28000</v>
      </c>
      <c r="N29" s="139">
        <f t="shared" si="8"/>
        <v>0</v>
      </c>
      <c r="O29" s="139">
        <f t="shared" si="9"/>
        <v>0</v>
      </c>
      <c r="P29" s="38">
        <f t="shared" si="18"/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43881</v>
      </c>
      <c r="B30" s="138"/>
      <c r="C30" s="139">
        <f t="shared" si="19"/>
        <v>0</v>
      </c>
      <c r="D30" s="138"/>
      <c r="E30" s="139">
        <f t="shared" si="21"/>
        <v>0</v>
      </c>
      <c r="F30" s="138"/>
      <c r="G30" s="139">
        <f t="shared" si="20"/>
        <v>0</v>
      </c>
      <c r="H30" s="138"/>
      <c r="I30" s="139">
        <f t="shared" si="3"/>
        <v>0</v>
      </c>
      <c r="J30" s="139">
        <f t="shared" si="4"/>
        <v>0</v>
      </c>
      <c r="K30" s="139">
        <f t="shared" si="5"/>
        <v>0</v>
      </c>
      <c r="L30" s="139">
        <f t="shared" si="6"/>
        <v>0</v>
      </c>
      <c r="M30" s="139">
        <f t="shared" si="7"/>
        <v>28000</v>
      </c>
      <c r="N30" s="139">
        <f t="shared" si="8"/>
        <v>0</v>
      </c>
      <c r="O30" s="139">
        <f t="shared" si="9"/>
        <v>0</v>
      </c>
      <c r="P30" s="38">
        <f t="shared" si="18"/>
        <v>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/>
      <c r="C31" s="139">
        <f t="shared" si="19"/>
        <v>0</v>
      </c>
      <c r="D31" s="138"/>
      <c r="E31" s="139">
        <f t="shared" si="21"/>
        <v>0</v>
      </c>
      <c r="F31" s="138"/>
      <c r="G31" s="139">
        <f t="shared" si="20"/>
        <v>0</v>
      </c>
      <c r="H31" s="138"/>
      <c r="I31" s="139">
        <f t="shared" si="3"/>
        <v>0</v>
      </c>
      <c r="J31" s="139">
        <f t="shared" si="4"/>
        <v>0</v>
      </c>
      <c r="K31" s="139">
        <f t="shared" si="5"/>
        <v>0</v>
      </c>
      <c r="L31" s="139">
        <f t="shared" si="6"/>
        <v>0</v>
      </c>
      <c r="M31" s="139">
        <f t="shared" si="7"/>
        <v>28000</v>
      </c>
      <c r="N31" s="139">
        <f t="shared" si="8"/>
        <v>0</v>
      </c>
      <c r="O31" s="139">
        <f t="shared" si="9"/>
        <v>0</v>
      </c>
      <c r="P31" s="38">
        <f t="shared" si="18"/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/>
      <c r="C32" s="139">
        <f t="shared" si="19"/>
        <v>0</v>
      </c>
      <c r="D32" s="138"/>
      <c r="E32" s="139">
        <f t="shared" si="21"/>
        <v>0</v>
      </c>
      <c r="F32" s="138"/>
      <c r="G32" s="139">
        <f t="shared" si="20"/>
        <v>0</v>
      </c>
      <c r="H32" s="138"/>
      <c r="I32" s="139">
        <f t="shared" si="3"/>
        <v>0</v>
      </c>
      <c r="J32" s="139">
        <f t="shared" si="4"/>
        <v>0</v>
      </c>
      <c r="K32" s="139">
        <f t="shared" si="5"/>
        <v>0</v>
      </c>
      <c r="L32" s="139">
        <f t="shared" si="6"/>
        <v>0</v>
      </c>
      <c r="M32" s="139">
        <f t="shared" si="7"/>
        <v>28000</v>
      </c>
      <c r="N32" s="139">
        <f t="shared" si="8"/>
        <v>0</v>
      </c>
      <c r="O32" s="139">
        <f t="shared" si="9"/>
        <v>0</v>
      </c>
      <c r="P32" s="38">
        <f t="shared" si="18"/>
        <v>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43884</v>
      </c>
      <c r="B33" s="138"/>
      <c r="C33" s="139">
        <f t="shared" si="19"/>
        <v>0</v>
      </c>
      <c r="D33" s="138"/>
      <c r="E33" s="139">
        <f t="shared" si="21"/>
        <v>0</v>
      </c>
      <c r="F33" s="138"/>
      <c r="G33" s="139">
        <f t="shared" si="20"/>
        <v>0</v>
      </c>
      <c r="H33" s="138"/>
      <c r="I33" s="139">
        <f t="shared" si="3"/>
        <v>0</v>
      </c>
      <c r="J33" s="139">
        <f t="shared" si="4"/>
        <v>0</v>
      </c>
      <c r="K33" s="139">
        <f t="shared" si="5"/>
        <v>0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8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si="19"/>
        <v>0</v>
      </c>
      <c r="D34" s="138"/>
      <c r="E34" s="139">
        <f t="shared" si="21"/>
        <v>0</v>
      </c>
      <c r="F34" s="138"/>
      <c r="G34" s="139">
        <f t="shared" si="20"/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19"/>
        <v>0</v>
      </c>
      <c r="D35" s="138"/>
      <c r="E35" s="139">
        <f t="shared" si="21"/>
        <v>0</v>
      </c>
      <c r="F35" s="138"/>
      <c r="G35" s="139">
        <f t="shared" si="20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19"/>
        <v>0</v>
      </c>
      <c r="D36" s="138"/>
      <c r="E36" s="139">
        <f t="shared" si="21"/>
        <v>0</v>
      </c>
      <c r="F36" s="138"/>
      <c r="G36" s="139">
        <f t="shared" si="20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19"/>
        <v>0</v>
      </c>
      <c r="D37" s="138"/>
      <c r="E37" s="139">
        <f t="shared" si="21"/>
        <v>0</v>
      </c>
      <c r="F37" s="138"/>
      <c r="G37" s="139">
        <f t="shared" si="20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19"/>
        <v>0</v>
      </c>
      <c r="D38" s="138"/>
      <c r="E38" s="139">
        <f t="shared" si="21"/>
        <v>0</v>
      </c>
      <c r="F38" s="138"/>
      <c r="G38" s="139">
        <f t="shared" si="20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19"/>
        <v>0</v>
      </c>
      <c r="D39" s="138"/>
      <c r="E39" s="139">
        <f t="shared" si="21"/>
        <v>0</v>
      </c>
      <c r="F39" s="138"/>
      <c r="G39" s="139">
        <f t="shared" si="20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19"/>
        <v>0</v>
      </c>
      <c r="D40" s="138"/>
      <c r="E40" s="139">
        <f t="shared" si="21"/>
        <v>0</v>
      </c>
      <c r="F40" s="138"/>
      <c r="G40" s="139">
        <f t="shared" si="20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19"/>
        <v>0</v>
      </c>
      <c r="D41" s="138"/>
      <c r="E41" s="139">
        <f t="shared" si="21"/>
        <v>0</v>
      </c>
      <c r="F41" s="138"/>
      <c r="G41" s="139">
        <f t="shared" si="20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19"/>
        <v>0</v>
      </c>
      <c r="D42" s="138"/>
      <c r="E42" s="139">
        <f t="shared" si="21"/>
        <v>0</v>
      </c>
      <c r="F42" s="138"/>
      <c r="G42" s="139">
        <f t="shared" si="20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48</v>
      </c>
      <c r="D43" s="37"/>
      <c r="E43" s="139">
        <f>SUM(E11:E39)</f>
        <v>9</v>
      </c>
      <c r="F43" s="37"/>
      <c r="G43" s="139">
        <f>SUM(G11:G39)</f>
        <v>45</v>
      </c>
      <c r="H43" s="37"/>
      <c r="I43" s="139">
        <f>SUM(I11:I39)</f>
        <v>42</v>
      </c>
      <c r="J43" s="33"/>
      <c r="K43" s="33"/>
      <c r="L43" s="33"/>
      <c r="M43" s="33"/>
      <c r="N43" s="139">
        <f>SUM(N11:N39)</f>
        <v>10080</v>
      </c>
      <c r="O43" s="35">
        <f>N43*0.53</f>
        <v>5342.4000000000005</v>
      </c>
      <c r="P43" s="38">
        <f>O43*9.3657</f>
        <v>50035.315680000007</v>
      </c>
      <c r="Q43" s="256">
        <f>SUM(Q11:Q39)</f>
        <v>4157</v>
      </c>
      <c r="R43" s="257"/>
      <c r="S43" s="258"/>
      <c r="T43" s="256">
        <f>SUM(T11:T39)</f>
        <v>0</v>
      </c>
      <c r="U43" s="257"/>
      <c r="V43" s="258"/>
      <c r="W43" s="256">
        <f>SUM(W11:W39)</f>
        <v>3528</v>
      </c>
      <c r="X43" s="257"/>
      <c r="Y43" s="258"/>
      <c r="Z43" s="256">
        <f>SUM(Z11:Z39)</f>
        <v>2079</v>
      </c>
      <c r="AA43" s="257"/>
      <c r="AB43" s="258"/>
      <c r="AC43" s="35">
        <f>SUM(AC11:AC39)</f>
        <v>9764</v>
      </c>
      <c r="AD43" s="33"/>
      <c r="AE43" s="33"/>
    </row>
    <row r="44" spans="1:31" ht="35.25" customHeight="1" thickBot="1" x14ac:dyDescent="0.35">
      <c r="B44" s="259"/>
      <c r="C44" s="260"/>
      <c r="D44" s="260"/>
      <c r="E44" s="260"/>
      <c r="F44" s="260"/>
      <c r="G44" s="260"/>
      <c r="H44" s="260"/>
      <c r="I44" s="261"/>
      <c r="J44" s="33"/>
      <c r="K44" s="33"/>
      <c r="L44" s="33"/>
      <c r="M44" s="33"/>
      <c r="N44" s="33"/>
      <c r="O44" s="33"/>
      <c r="P44" s="33"/>
      <c r="Q44" s="262">
        <f>Q43+T43+W43+Z43</f>
        <v>9764</v>
      </c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4"/>
      <c r="AC44" s="35">
        <f>Q43+T43+W43+Z43</f>
        <v>9764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5" t="s">
        <v>37</v>
      </c>
      <c r="I47" s="266"/>
      <c r="J47" s="267"/>
      <c r="K47" s="45">
        <f>N43</f>
        <v>10080</v>
      </c>
      <c r="L47" s="46">
        <f>O43</f>
        <v>5342.4000000000005</v>
      </c>
      <c r="M47" s="46">
        <f>P43</f>
        <v>50035.315680000007</v>
      </c>
    </row>
    <row r="48" spans="1:31" ht="54.75" customHeight="1" thickBot="1" x14ac:dyDescent="0.35">
      <c r="H48" s="253" t="s">
        <v>38</v>
      </c>
      <c r="I48" s="254"/>
      <c r="J48" s="255"/>
      <c r="K48" s="43">
        <f>AC43</f>
        <v>9764</v>
      </c>
      <c r="L48" s="44">
        <f>K48*0.53</f>
        <v>5174.92</v>
      </c>
      <c r="M48" s="44">
        <f>L48*9.3657</f>
        <v>48466.748244000002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0" sqref="B20:H20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0" si="5">IF(B18&lt;B17,0,B18-B17)*10</f>
        <v>540</v>
      </c>
      <c r="D17" s="142">
        <v>18141145</v>
      </c>
      <c r="E17" s="141">
        <f t="shared" ref="E17:E20" si="6">IF(D18&lt;D17,0,D18-D17)</f>
        <v>4712</v>
      </c>
      <c r="F17" s="142">
        <v>32698628</v>
      </c>
      <c r="G17" s="141">
        <f t="shared" ref="G17:G20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0</v>
      </c>
      <c r="D20" s="142">
        <v>18155633</v>
      </c>
      <c r="E20" s="141">
        <f t="shared" si="6"/>
        <v>0</v>
      </c>
      <c r="F20" s="142">
        <v>32719733</v>
      </c>
      <c r="G20" s="141">
        <f t="shared" si="7"/>
        <v>0</v>
      </c>
      <c r="H20" s="142">
        <v>14473483</v>
      </c>
      <c r="I20" s="141">
        <f t="shared" ref="I20:I46" si="8">IF(H21&lt;H20,0,H21-H20)</f>
        <v>0</v>
      </c>
    </row>
    <row r="21" spans="1:9" ht="21" thickTop="1" thickBot="1" x14ac:dyDescent="0.35">
      <c r="A21" s="59">
        <f t="shared" si="4"/>
        <v>43867</v>
      </c>
      <c r="B21" s="140"/>
      <c r="C21" s="141">
        <f t="shared" ref="C20:C32" si="9">IF(B22&lt;B21,0,B22-B21)*10</f>
        <v>0</v>
      </c>
      <c r="D21" s="142"/>
      <c r="E21" s="141">
        <f t="shared" ref="E20:E32" si="10">IF(D22&lt;D21,0,D22-D21)</f>
        <v>0</v>
      </c>
      <c r="F21" s="142"/>
      <c r="G21" s="141">
        <f t="shared" ref="G20:G32" si="11">IF(F22&lt;F21,0,F22-F21)</f>
        <v>0</v>
      </c>
      <c r="H21" s="142"/>
      <c r="I21" s="141">
        <f t="shared" si="8"/>
        <v>0</v>
      </c>
    </row>
    <row r="22" spans="1:9" ht="21" thickTop="1" thickBot="1" x14ac:dyDescent="0.35">
      <c r="A22" s="59">
        <f t="shared" si="4"/>
        <v>43868</v>
      </c>
      <c r="B22" s="140"/>
      <c r="C22" s="141">
        <f t="shared" si="9"/>
        <v>0</v>
      </c>
      <c r="D22" s="142"/>
      <c r="E22" s="141">
        <f t="shared" si="10"/>
        <v>0</v>
      </c>
      <c r="F22" s="142"/>
      <c r="G22" s="141">
        <f t="shared" si="11"/>
        <v>0</v>
      </c>
      <c r="H22" s="142"/>
      <c r="I22" s="141">
        <f t="shared" si="8"/>
        <v>0</v>
      </c>
    </row>
    <row r="23" spans="1:9" ht="21" thickTop="1" thickBot="1" x14ac:dyDescent="0.35">
      <c r="A23" s="59">
        <f t="shared" si="4"/>
        <v>43869</v>
      </c>
      <c r="B23" s="140"/>
      <c r="C23" s="141">
        <f t="shared" si="9"/>
        <v>0</v>
      </c>
      <c r="D23" s="142"/>
      <c r="E23" s="141">
        <f t="shared" si="10"/>
        <v>0</v>
      </c>
      <c r="F23" s="142"/>
      <c r="G23" s="141">
        <f t="shared" si="11"/>
        <v>0</v>
      </c>
      <c r="H23" s="142"/>
      <c r="I23" s="141">
        <f t="shared" si="8"/>
        <v>0</v>
      </c>
    </row>
    <row r="24" spans="1:9" ht="21" thickTop="1" thickBot="1" x14ac:dyDescent="0.35">
      <c r="A24" s="59">
        <f t="shared" si="4"/>
        <v>43870</v>
      </c>
      <c r="B24" s="140"/>
      <c r="C24" s="141">
        <f t="shared" si="9"/>
        <v>0</v>
      </c>
      <c r="D24" s="142"/>
      <c r="E24" s="141">
        <f t="shared" si="10"/>
        <v>0</v>
      </c>
      <c r="F24" s="142"/>
      <c r="G24" s="141">
        <f t="shared" si="11"/>
        <v>0</v>
      </c>
      <c r="H24" s="142"/>
      <c r="I24" s="141">
        <f t="shared" si="8"/>
        <v>0</v>
      </c>
    </row>
    <row r="25" spans="1:9" ht="21" thickTop="1" thickBot="1" x14ac:dyDescent="0.35">
      <c r="A25" s="59">
        <f t="shared" si="4"/>
        <v>43871</v>
      </c>
      <c r="B25" s="140"/>
      <c r="C25" s="141">
        <f t="shared" si="9"/>
        <v>0</v>
      </c>
      <c r="D25" s="142"/>
      <c r="E25" s="141">
        <f t="shared" si="10"/>
        <v>0</v>
      </c>
      <c r="F25" s="142"/>
      <c r="G25" s="141">
        <f t="shared" si="11"/>
        <v>0</v>
      </c>
      <c r="H25" s="142"/>
      <c r="I25" s="141">
        <f t="shared" si="8"/>
        <v>0</v>
      </c>
    </row>
    <row r="26" spans="1:9" ht="21" thickTop="1" thickBot="1" x14ac:dyDescent="0.35">
      <c r="A26" s="59">
        <f t="shared" si="4"/>
        <v>43872</v>
      </c>
      <c r="B26" s="140"/>
      <c r="C26" s="141">
        <f t="shared" si="9"/>
        <v>0</v>
      </c>
      <c r="D26" s="142"/>
      <c r="E26" s="141">
        <f t="shared" si="10"/>
        <v>0</v>
      </c>
      <c r="F26" s="142"/>
      <c r="G26" s="141">
        <f t="shared" si="11"/>
        <v>0</v>
      </c>
      <c r="H26" s="142"/>
      <c r="I26" s="141">
        <f t="shared" si="8"/>
        <v>0</v>
      </c>
    </row>
    <row r="27" spans="1:9" ht="21" thickTop="1" thickBot="1" x14ac:dyDescent="0.35">
      <c r="A27" s="59">
        <f t="shared" si="4"/>
        <v>43873</v>
      </c>
      <c r="B27" s="140"/>
      <c r="C27" s="141">
        <f t="shared" si="9"/>
        <v>0</v>
      </c>
      <c r="D27" s="142"/>
      <c r="E27" s="141">
        <f t="shared" si="10"/>
        <v>0</v>
      </c>
      <c r="F27" s="142"/>
      <c r="G27" s="141">
        <f t="shared" si="11"/>
        <v>0</v>
      </c>
      <c r="H27" s="142"/>
      <c r="I27" s="141">
        <f t="shared" si="8"/>
        <v>0</v>
      </c>
    </row>
    <row r="28" spans="1:9" ht="21" thickTop="1" thickBot="1" x14ac:dyDescent="0.35">
      <c r="A28" s="59">
        <f t="shared" si="4"/>
        <v>43874</v>
      </c>
      <c r="B28" s="140"/>
      <c r="C28" s="141">
        <f t="shared" si="9"/>
        <v>0</v>
      </c>
      <c r="D28" s="142"/>
      <c r="E28" s="141">
        <f t="shared" si="10"/>
        <v>0</v>
      </c>
      <c r="F28" s="142"/>
      <c r="G28" s="141">
        <f t="shared" si="11"/>
        <v>0</v>
      </c>
      <c r="H28" s="142"/>
      <c r="I28" s="141">
        <f t="shared" si="8"/>
        <v>0</v>
      </c>
    </row>
    <row r="29" spans="1:9" ht="21" thickTop="1" thickBot="1" x14ac:dyDescent="0.35">
      <c r="A29" s="59">
        <f t="shared" si="4"/>
        <v>43875</v>
      </c>
      <c r="B29" s="140"/>
      <c r="C29" s="141">
        <f t="shared" si="9"/>
        <v>0</v>
      </c>
      <c r="D29" s="142"/>
      <c r="E29" s="141">
        <f t="shared" si="10"/>
        <v>0</v>
      </c>
      <c r="F29" s="142"/>
      <c r="G29" s="141">
        <f t="shared" si="11"/>
        <v>0</v>
      </c>
      <c r="H29" s="142"/>
      <c r="I29" s="141">
        <f t="shared" si="8"/>
        <v>0</v>
      </c>
    </row>
    <row r="30" spans="1:9" ht="21" thickTop="1" thickBot="1" x14ac:dyDescent="0.35">
      <c r="A30" s="59">
        <f t="shared" si="4"/>
        <v>43876</v>
      </c>
      <c r="B30" s="140"/>
      <c r="C30" s="141">
        <f t="shared" si="9"/>
        <v>0</v>
      </c>
      <c r="D30" s="142"/>
      <c r="E30" s="141">
        <f t="shared" si="10"/>
        <v>0</v>
      </c>
      <c r="F30" s="142"/>
      <c r="G30" s="141">
        <f t="shared" si="11"/>
        <v>0</v>
      </c>
      <c r="H30" s="142"/>
      <c r="I30" s="141">
        <f t="shared" si="8"/>
        <v>0</v>
      </c>
    </row>
    <row r="31" spans="1:9" ht="21" thickTop="1" thickBot="1" x14ac:dyDescent="0.35">
      <c r="A31" s="59">
        <f>A30+1</f>
        <v>43877</v>
      </c>
      <c r="B31" s="140"/>
      <c r="C31" s="141">
        <f t="shared" si="9"/>
        <v>0</v>
      </c>
      <c r="D31" s="142"/>
      <c r="E31" s="141">
        <f t="shared" si="10"/>
        <v>0</v>
      </c>
      <c r="F31" s="142"/>
      <c r="G31" s="141">
        <f t="shared" si="11"/>
        <v>0</v>
      </c>
      <c r="H31" s="142"/>
      <c r="I31" s="141">
        <f t="shared" si="8"/>
        <v>0</v>
      </c>
    </row>
    <row r="32" spans="1:9" ht="21" thickTop="1" thickBot="1" x14ac:dyDescent="0.35">
      <c r="A32" s="59">
        <f t="shared" si="4"/>
        <v>43878</v>
      </c>
      <c r="B32" s="140"/>
      <c r="C32" s="141">
        <f t="shared" si="9"/>
        <v>0</v>
      </c>
      <c r="D32" s="142"/>
      <c r="E32" s="141">
        <f t="shared" si="10"/>
        <v>0</v>
      </c>
      <c r="F32" s="142"/>
      <c r="G32" s="141">
        <f t="shared" si="11"/>
        <v>0</v>
      </c>
      <c r="H32" s="142"/>
      <c r="I32" s="141">
        <f t="shared" si="8"/>
        <v>0</v>
      </c>
    </row>
    <row r="33" spans="1:9" ht="21" thickTop="1" thickBot="1" x14ac:dyDescent="0.35">
      <c r="A33" s="59">
        <f t="shared" si="4"/>
        <v>43879</v>
      </c>
      <c r="B33" s="140"/>
      <c r="C33" s="141">
        <f t="shared" ref="C33:C46" si="12">IF(B34&lt;B33,0,B34-B33)*10</f>
        <v>0</v>
      </c>
      <c r="D33" s="142"/>
      <c r="E33" s="141">
        <f t="shared" ref="E33:E46" si="13">IF(D34&lt;D33,0,D34-D33)</f>
        <v>0</v>
      </c>
      <c r="F33" s="142"/>
      <c r="G33" s="141">
        <f t="shared" ref="G33:G46" si="14">IF(F34&lt;F33,0,F34-F33)</f>
        <v>0</v>
      </c>
      <c r="H33" s="142"/>
      <c r="I33" s="141">
        <f t="shared" si="8"/>
        <v>0</v>
      </c>
    </row>
    <row r="34" spans="1:9" ht="21" thickTop="1" thickBot="1" x14ac:dyDescent="0.35">
      <c r="A34" s="59">
        <f t="shared" si="4"/>
        <v>43880</v>
      </c>
      <c r="B34" s="140"/>
      <c r="C34" s="141">
        <f t="shared" si="12"/>
        <v>0</v>
      </c>
      <c r="D34" s="142"/>
      <c r="E34" s="141">
        <f t="shared" si="13"/>
        <v>0</v>
      </c>
      <c r="F34" s="142"/>
      <c r="G34" s="141">
        <f t="shared" si="14"/>
        <v>0</v>
      </c>
      <c r="H34" s="142"/>
      <c r="I34" s="141">
        <f t="shared" si="8"/>
        <v>0</v>
      </c>
    </row>
    <row r="35" spans="1:9" ht="21" thickTop="1" thickBot="1" x14ac:dyDescent="0.35">
      <c r="A35" s="59">
        <f t="shared" si="4"/>
        <v>43881</v>
      </c>
      <c r="B35" s="140"/>
      <c r="C35" s="141">
        <f t="shared" si="12"/>
        <v>0</v>
      </c>
      <c r="D35" s="142"/>
      <c r="E35" s="141">
        <f t="shared" si="13"/>
        <v>0</v>
      </c>
      <c r="F35" s="142"/>
      <c r="G35" s="141">
        <f t="shared" si="14"/>
        <v>0</v>
      </c>
      <c r="H35" s="142"/>
      <c r="I35" s="141">
        <f t="shared" si="8"/>
        <v>0</v>
      </c>
    </row>
    <row r="36" spans="1:9" ht="21" thickTop="1" thickBot="1" x14ac:dyDescent="0.35">
      <c r="A36" s="59">
        <f t="shared" si="4"/>
        <v>43882</v>
      </c>
      <c r="B36" s="140"/>
      <c r="C36" s="141">
        <f t="shared" si="12"/>
        <v>0</v>
      </c>
      <c r="D36" s="142"/>
      <c r="E36" s="141">
        <f t="shared" si="13"/>
        <v>0</v>
      </c>
      <c r="F36" s="142"/>
      <c r="G36" s="141">
        <f t="shared" si="14"/>
        <v>0</v>
      </c>
      <c r="H36" s="142"/>
      <c r="I36" s="141">
        <f t="shared" si="8"/>
        <v>0</v>
      </c>
    </row>
    <row r="37" spans="1:9" ht="21" thickTop="1" thickBot="1" x14ac:dyDescent="0.35">
      <c r="A37" s="59">
        <f t="shared" si="4"/>
        <v>43883</v>
      </c>
      <c r="B37" s="140"/>
      <c r="C37" s="141">
        <f t="shared" si="12"/>
        <v>0</v>
      </c>
      <c r="D37" s="142"/>
      <c r="E37" s="141">
        <f t="shared" si="13"/>
        <v>0</v>
      </c>
      <c r="F37" s="142"/>
      <c r="G37" s="141">
        <f t="shared" si="14"/>
        <v>0</v>
      </c>
      <c r="H37" s="142"/>
      <c r="I37" s="141">
        <f t="shared" si="8"/>
        <v>0</v>
      </c>
    </row>
    <row r="38" spans="1:9" ht="21" thickTop="1" thickBot="1" x14ac:dyDescent="0.35">
      <c r="A38" s="59">
        <f t="shared" si="4"/>
        <v>43884</v>
      </c>
      <c r="B38" s="140"/>
      <c r="C38" s="141">
        <f t="shared" si="12"/>
        <v>0</v>
      </c>
      <c r="D38" s="142"/>
      <c r="E38" s="141">
        <f t="shared" si="13"/>
        <v>0</v>
      </c>
      <c r="F38" s="142"/>
      <c r="G38" s="141">
        <f t="shared" si="14"/>
        <v>0</v>
      </c>
      <c r="H38" s="142"/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si="12"/>
        <v>0</v>
      </c>
      <c r="D39" s="142"/>
      <c r="E39" s="141">
        <f t="shared" si="13"/>
        <v>0</v>
      </c>
      <c r="F39" s="142"/>
      <c r="G39" s="141">
        <f t="shared" si="14"/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2"/>
        <v>0</v>
      </c>
      <c r="D40" s="142"/>
      <c r="E40" s="141">
        <f t="shared" si="13"/>
        <v>0</v>
      </c>
      <c r="F40" s="142"/>
      <c r="G40" s="141">
        <f t="shared" si="14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2"/>
        <v>0</v>
      </c>
      <c r="D41" s="142"/>
      <c r="E41" s="141">
        <f t="shared" si="13"/>
        <v>0</v>
      </c>
      <c r="F41" s="142"/>
      <c r="G41" s="141">
        <f t="shared" si="14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2"/>
        <v>0</v>
      </c>
      <c r="D42" s="142"/>
      <c r="E42" s="141">
        <f t="shared" si="13"/>
        <v>0</v>
      </c>
      <c r="F42" s="142"/>
      <c r="G42" s="141">
        <f t="shared" si="14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2"/>
        <v>0</v>
      </c>
      <c r="D43" s="142"/>
      <c r="E43" s="141">
        <f t="shared" si="13"/>
        <v>0</v>
      </c>
      <c r="F43" s="142"/>
      <c r="G43" s="141">
        <f t="shared" si="14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2"/>
        <v>0</v>
      </c>
      <c r="D44" s="142"/>
      <c r="E44" s="141">
        <f t="shared" si="13"/>
        <v>0</v>
      </c>
      <c r="F44" s="142"/>
      <c r="G44" s="141">
        <f t="shared" si="14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2"/>
        <v>0</v>
      </c>
      <c r="D45" s="142"/>
      <c r="E45" s="141">
        <f t="shared" si="13"/>
        <v>0</v>
      </c>
      <c r="F45" s="142"/>
      <c r="G45" s="141">
        <f t="shared" si="14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2"/>
        <v>0</v>
      </c>
      <c r="D46" s="142"/>
      <c r="E46" s="141">
        <f t="shared" si="13"/>
        <v>0</v>
      </c>
      <c r="F46" s="142"/>
      <c r="G46" s="141">
        <f t="shared" si="14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1980</v>
      </c>
      <c r="E48" s="141">
        <f>SUM(E16:E44)</f>
        <v>18503</v>
      </c>
      <c r="F48" s="84"/>
      <c r="G48" s="141">
        <f>SUM(G16:G44)</f>
        <v>27343</v>
      </c>
      <c r="H48" s="84"/>
      <c r="I48" s="141">
        <f>SUM(I16:I44)</f>
        <v>13509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92" priority="3010" stopIfTrue="1" operator="lessThanOrEqual">
      <formula>0</formula>
    </cfRule>
  </conditionalFormatting>
  <conditionalFormatting sqref="C48">
    <cfRule type="cellIs" dxfId="91" priority="120" stopIfTrue="1" operator="lessThanOrEqual">
      <formula>0</formula>
    </cfRule>
  </conditionalFormatting>
  <conditionalFormatting sqref="C48">
    <cfRule type="cellIs" dxfId="90" priority="119" stopIfTrue="1" operator="lessThanOrEqual">
      <formula>0</formula>
    </cfRule>
  </conditionalFormatting>
  <conditionalFormatting sqref="C48">
    <cfRule type="cellIs" dxfId="89" priority="118" stopIfTrue="1" operator="lessThanOrEqual">
      <formula>0</formula>
    </cfRule>
  </conditionalFormatting>
  <conditionalFormatting sqref="C48">
    <cfRule type="cellIs" dxfId="88" priority="117" stopIfTrue="1" operator="lessThanOrEqual">
      <formula>0</formula>
    </cfRule>
  </conditionalFormatting>
  <conditionalFormatting sqref="C33:C46">
    <cfRule type="cellIs" dxfId="87" priority="108" stopIfTrue="1" operator="lessThanOrEqual">
      <formula>0</formula>
    </cfRule>
  </conditionalFormatting>
  <conditionalFormatting sqref="C33:C46">
    <cfRule type="cellIs" dxfId="86" priority="107" stopIfTrue="1" operator="lessThanOrEqual">
      <formula>0</formula>
    </cfRule>
  </conditionalFormatting>
  <conditionalFormatting sqref="C33:C46">
    <cfRule type="cellIs" dxfId="85" priority="106" stopIfTrue="1" operator="lessThanOrEqual">
      <formula>0</formula>
    </cfRule>
  </conditionalFormatting>
  <conditionalFormatting sqref="C33:C46">
    <cfRule type="cellIs" dxfId="84" priority="105" stopIfTrue="1" operator="lessThanOrEqual">
      <formula>0</formula>
    </cfRule>
  </conditionalFormatting>
  <conditionalFormatting sqref="C21">
    <cfRule type="cellIs" dxfId="83" priority="80" stopIfTrue="1" operator="lessThanOrEqual">
      <formula>0</formula>
    </cfRule>
  </conditionalFormatting>
  <conditionalFormatting sqref="C21">
    <cfRule type="cellIs" dxfId="82" priority="79" stopIfTrue="1" operator="lessThanOrEqual">
      <formula>0</formula>
    </cfRule>
  </conditionalFormatting>
  <conditionalFormatting sqref="C21">
    <cfRule type="cellIs" dxfId="81" priority="78" stopIfTrue="1" operator="lessThanOrEqual">
      <formula>0</formula>
    </cfRule>
  </conditionalFormatting>
  <conditionalFormatting sqref="C21">
    <cfRule type="cellIs" dxfId="80" priority="77" stopIfTrue="1" operator="lessThanOrEqual">
      <formula>0</formula>
    </cfRule>
  </conditionalFormatting>
  <conditionalFormatting sqref="C22">
    <cfRule type="cellIs" dxfId="79" priority="76" stopIfTrue="1" operator="lessThanOrEqual">
      <formula>0</formula>
    </cfRule>
  </conditionalFormatting>
  <conditionalFormatting sqref="C22">
    <cfRule type="cellIs" dxfId="78" priority="75" stopIfTrue="1" operator="lessThanOrEqual">
      <formula>0</formula>
    </cfRule>
  </conditionalFormatting>
  <conditionalFormatting sqref="C22">
    <cfRule type="cellIs" dxfId="77" priority="74" stopIfTrue="1" operator="lessThanOrEqual">
      <formula>0</formula>
    </cfRule>
  </conditionalFormatting>
  <conditionalFormatting sqref="C22">
    <cfRule type="cellIs" dxfId="76" priority="73" stopIfTrue="1" operator="lessThanOrEqual">
      <formula>0</formula>
    </cfRule>
  </conditionalFormatting>
  <conditionalFormatting sqref="C23">
    <cfRule type="cellIs" dxfId="75" priority="72" stopIfTrue="1" operator="lessThanOrEqual">
      <formula>0</formula>
    </cfRule>
  </conditionalFormatting>
  <conditionalFormatting sqref="C23">
    <cfRule type="cellIs" dxfId="74" priority="71" stopIfTrue="1" operator="lessThanOrEqual">
      <formula>0</formula>
    </cfRule>
  </conditionalFormatting>
  <conditionalFormatting sqref="C23">
    <cfRule type="cellIs" dxfId="73" priority="70" stopIfTrue="1" operator="lessThanOrEqual">
      <formula>0</formula>
    </cfRule>
  </conditionalFormatting>
  <conditionalFormatting sqref="C23">
    <cfRule type="cellIs" dxfId="72" priority="69" stopIfTrue="1" operator="lessThanOrEqual">
      <formula>0</formula>
    </cfRule>
  </conditionalFormatting>
  <conditionalFormatting sqref="C24">
    <cfRule type="cellIs" dxfId="71" priority="68" stopIfTrue="1" operator="lessThanOrEqual">
      <formula>0</formula>
    </cfRule>
  </conditionalFormatting>
  <conditionalFormatting sqref="C24">
    <cfRule type="cellIs" dxfId="70" priority="67" stopIfTrue="1" operator="lessThanOrEqual">
      <formula>0</formula>
    </cfRule>
  </conditionalFormatting>
  <conditionalFormatting sqref="C24">
    <cfRule type="cellIs" dxfId="69" priority="66" stopIfTrue="1" operator="lessThanOrEqual">
      <formula>0</formula>
    </cfRule>
  </conditionalFormatting>
  <conditionalFormatting sqref="C24">
    <cfRule type="cellIs" dxfId="68" priority="65" stopIfTrue="1" operator="lessThanOrEqual">
      <formula>0</formula>
    </cfRule>
  </conditionalFormatting>
  <conditionalFormatting sqref="C25:C26">
    <cfRule type="cellIs" dxfId="67" priority="64" stopIfTrue="1" operator="lessThanOrEqual">
      <formula>0</formula>
    </cfRule>
  </conditionalFormatting>
  <conditionalFormatting sqref="C25:C26">
    <cfRule type="cellIs" dxfId="66" priority="63" stopIfTrue="1" operator="lessThanOrEqual">
      <formula>0</formula>
    </cfRule>
  </conditionalFormatting>
  <conditionalFormatting sqref="C25:C26">
    <cfRule type="cellIs" dxfId="65" priority="62" stopIfTrue="1" operator="lessThanOrEqual">
      <formula>0</formula>
    </cfRule>
  </conditionalFormatting>
  <conditionalFormatting sqref="C25:C26">
    <cfRule type="cellIs" dxfId="64" priority="61" stopIfTrue="1" operator="lessThanOrEqual">
      <formula>0</formula>
    </cfRule>
  </conditionalFormatting>
  <conditionalFormatting sqref="C27">
    <cfRule type="cellIs" dxfId="63" priority="60" stopIfTrue="1" operator="lessThanOrEqual">
      <formula>0</formula>
    </cfRule>
  </conditionalFormatting>
  <conditionalFormatting sqref="C27">
    <cfRule type="cellIs" dxfId="62" priority="59" stopIfTrue="1" operator="lessThanOrEqual">
      <formula>0</formula>
    </cfRule>
  </conditionalFormatting>
  <conditionalFormatting sqref="C27">
    <cfRule type="cellIs" dxfId="61" priority="58" stopIfTrue="1" operator="lessThanOrEqual">
      <formula>0</formula>
    </cfRule>
  </conditionalFormatting>
  <conditionalFormatting sqref="C27">
    <cfRule type="cellIs" dxfId="60" priority="57" stopIfTrue="1" operator="lessThanOrEqual">
      <formula>0</formula>
    </cfRule>
  </conditionalFormatting>
  <conditionalFormatting sqref="C28">
    <cfRule type="cellIs" dxfId="59" priority="56" stopIfTrue="1" operator="lessThanOrEqual">
      <formula>0</formula>
    </cfRule>
  </conditionalFormatting>
  <conditionalFormatting sqref="C28">
    <cfRule type="cellIs" dxfId="58" priority="55" stopIfTrue="1" operator="lessThanOrEqual">
      <formula>0</formula>
    </cfRule>
  </conditionalFormatting>
  <conditionalFormatting sqref="C28">
    <cfRule type="cellIs" dxfId="57" priority="54" stopIfTrue="1" operator="lessThanOrEqual">
      <formula>0</formula>
    </cfRule>
  </conditionalFormatting>
  <conditionalFormatting sqref="C28">
    <cfRule type="cellIs" dxfId="56" priority="53" stopIfTrue="1" operator="lessThanOrEqual">
      <formula>0</formula>
    </cfRule>
  </conditionalFormatting>
  <conditionalFormatting sqref="C29:C30">
    <cfRule type="cellIs" dxfId="55" priority="52" stopIfTrue="1" operator="lessThanOrEqual">
      <formula>0</formula>
    </cfRule>
  </conditionalFormatting>
  <conditionalFormatting sqref="C29:C30">
    <cfRule type="cellIs" dxfId="54" priority="51" stopIfTrue="1" operator="lessThanOrEqual">
      <formula>0</formula>
    </cfRule>
  </conditionalFormatting>
  <conditionalFormatting sqref="C29:C30">
    <cfRule type="cellIs" dxfId="53" priority="50" stopIfTrue="1" operator="lessThanOrEqual">
      <formula>0</formula>
    </cfRule>
  </conditionalFormatting>
  <conditionalFormatting sqref="C29:C30">
    <cfRule type="cellIs" dxfId="52" priority="49" stopIfTrue="1" operator="lessThanOrEqual">
      <formula>0</formula>
    </cfRule>
  </conditionalFormatting>
  <conditionalFormatting sqref="C31">
    <cfRule type="cellIs" dxfId="51" priority="48" stopIfTrue="1" operator="lessThanOrEqual">
      <formula>0</formula>
    </cfRule>
  </conditionalFormatting>
  <conditionalFormatting sqref="C31">
    <cfRule type="cellIs" dxfId="50" priority="47" stopIfTrue="1" operator="lessThanOrEqual">
      <formula>0</formula>
    </cfRule>
  </conditionalFormatting>
  <conditionalFormatting sqref="C31">
    <cfRule type="cellIs" dxfId="49" priority="46" stopIfTrue="1" operator="lessThanOrEqual">
      <formula>0</formula>
    </cfRule>
  </conditionalFormatting>
  <conditionalFormatting sqref="C31">
    <cfRule type="cellIs" dxfId="48" priority="45" stopIfTrue="1" operator="lessThanOrEqual">
      <formula>0</formula>
    </cfRule>
  </conditionalFormatting>
  <conditionalFormatting sqref="C32">
    <cfRule type="cellIs" dxfId="47" priority="44" stopIfTrue="1" operator="lessThanOrEqual">
      <formula>0</formula>
    </cfRule>
  </conditionalFormatting>
  <conditionalFormatting sqref="C32">
    <cfRule type="cellIs" dxfId="46" priority="43" stopIfTrue="1" operator="lessThanOrEqual">
      <formula>0</formula>
    </cfRule>
  </conditionalFormatting>
  <conditionalFormatting sqref="C32">
    <cfRule type="cellIs" dxfId="45" priority="42" stopIfTrue="1" operator="lessThanOrEqual">
      <formula>0</formula>
    </cfRule>
  </conditionalFormatting>
  <conditionalFormatting sqref="C32">
    <cfRule type="cellIs" dxfId="44" priority="41" stopIfTrue="1" operator="lessThanOrEqual">
      <formula>0</formula>
    </cfRule>
  </conditionalFormatting>
  <conditionalFormatting sqref="C47">
    <cfRule type="cellIs" dxfId="43" priority="40" stopIfTrue="1" operator="lessThanOrEqual">
      <formula>0</formula>
    </cfRule>
  </conditionalFormatting>
  <conditionalFormatting sqref="C47">
    <cfRule type="cellIs" dxfId="42" priority="39" stopIfTrue="1" operator="lessThanOrEqual">
      <formula>0</formula>
    </cfRule>
  </conditionalFormatting>
  <conditionalFormatting sqref="C47">
    <cfRule type="cellIs" dxfId="41" priority="38" stopIfTrue="1" operator="lessThanOrEqual">
      <formula>0</formula>
    </cfRule>
  </conditionalFormatting>
  <conditionalFormatting sqref="C47">
    <cfRule type="cellIs" dxfId="40" priority="37" stopIfTrue="1" operator="lessThanOrEqual">
      <formula>0</formula>
    </cfRule>
  </conditionalFormatting>
  <conditionalFormatting sqref="C9:C15">
    <cfRule type="cellIs" dxfId="39" priority="36" stopIfTrue="1" operator="lessThanOrEqual">
      <formula>0</formula>
    </cfRule>
  </conditionalFormatting>
  <conditionalFormatting sqref="C9:C15">
    <cfRule type="cellIs" dxfId="38" priority="35" stopIfTrue="1" operator="lessThanOrEqual">
      <formula>0</formula>
    </cfRule>
  </conditionalFormatting>
  <conditionalFormatting sqref="C9:C15">
    <cfRule type="cellIs" dxfId="37" priority="34" stopIfTrue="1" operator="lessThanOrEqual">
      <formula>0</formula>
    </cfRule>
  </conditionalFormatting>
  <conditionalFormatting sqref="C9:C15">
    <cfRule type="cellIs" dxfId="36" priority="33" stopIfTrue="1" operator="lessThanOrEqual">
      <formula>0</formula>
    </cfRule>
  </conditionalFormatting>
  <conditionalFormatting sqref="C16">
    <cfRule type="cellIs" dxfId="35" priority="32" stopIfTrue="1" operator="lessThanOrEqual">
      <formula>0</formula>
    </cfRule>
  </conditionalFormatting>
  <conditionalFormatting sqref="C16">
    <cfRule type="cellIs" dxfId="34" priority="31" stopIfTrue="1" operator="lessThanOrEqual">
      <formula>0</formula>
    </cfRule>
  </conditionalFormatting>
  <conditionalFormatting sqref="C16">
    <cfRule type="cellIs" dxfId="33" priority="30" stopIfTrue="1" operator="lessThanOrEqual">
      <formula>0</formula>
    </cfRule>
  </conditionalFormatting>
  <conditionalFormatting sqref="C16">
    <cfRule type="cellIs" dxfId="32" priority="29" stopIfTrue="1" operator="lessThanOrEqual">
      <formula>0</formula>
    </cfRule>
  </conditionalFormatting>
  <conditionalFormatting sqref="E48">
    <cfRule type="cellIs" dxfId="31" priority="28" stopIfTrue="1" operator="lessThanOrEqual">
      <formula>0</formula>
    </cfRule>
  </conditionalFormatting>
  <conditionalFormatting sqref="E48">
    <cfRule type="cellIs" dxfId="30" priority="27" stopIfTrue="1" operator="lessThanOrEqual">
      <formula>0</formula>
    </cfRule>
  </conditionalFormatting>
  <conditionalFormatting sqref="E48">
    <cfRule type="cellIs" dxfId="29" priority="26" stopIfTrue="1" operator="lessThanOrEqual">
      <formula>0</formula>
    </cfRule>
  </conditionalFormatting>
  <conditionalFormatting sqref="E48">
    <cfRule type="cellIs" dxfId="28" priority="25" stopIfTrue="1" operator="lessThanOrEqual">
      <formula>0</formula>
    </cfRule>
  </conditionalFormatting>
  <conditionalFormatting sqref="G48">
    <cfRule type="cellIs" dxfId="27" priority="24" stopIfTrue="1" operator="lessThanOrEqual">
      <formula>0</formula>
    </cfRule>
  </conditionalFormatting>
  <conditionalFormatting sqref="G48">
    <cfRule type="cellIs" dxfId="26" priority="23" stopIfTrue="1" operator="lessThanOrEqual">
      <formula>0</formula>
    </cfRule>
  </conditionalFormatting>
  <conditionalFormatting sqref="G48">
    <cfRule type="cellIs" dxfId="25" priority="22" stopIfTrue="1" operator="lessThanOrEqual">
      <formula>0</formula>
    </cfRule>
  </conditionalFormatting>
  <conditionalFormatting sqref="G48">
    <cfRule type="cellIs" dxfId="24" priority="21" stopIfTrue="1" operator="lessThanOrEqual">
      <formula>0</formula>
    </cfRule>
  </conditionalFormatting>
  <conditionalFormatting sqref="I48">
    <cfRule type="cellIs" dxfId="23" priority="20" stopIfTrue="1" operator="lessThanOrEqual">
      <formula>0</formula>
    </cfRule>
  </conditionalFormatting>
  <conditionalFormatting sqref="I48">
    <cfRule type="cellIs" dxfId="22" priority="19" stopIfTrue="1" operator="lessThanOrEqual">
      <formula>0</formula>
    </cfRule>
  </conditionalFormatting>
  <conditionalFormatting sqref="I48">
    <cfRule type="cellIs" dxfId="21" priority="18" stopIfTrue="1" operator="lessThanOrEqual">
      <formula>0</formula>
    </cfRule>
  </conditionalFormatting>
  <conditionalFormatting sqref="I48">
    <cfRule type="cellIs" dxfId="20" priority="17" stopIfTrue="1" operator="lessThanOrEqual">
      <formula>0</formula>
    </cfRule>
  </conditionalFormatting>
  <conditionalFormatting sqref="C17">
    <cfRule type="cellIs" dxfId="19" priority="16" stopIfTrue="1" operator="lessThanOrEqual">
      <formula>0</formula>
    </cfRule>
  </conditionalFormatting>
  <conditionalFormatting sqref="C17">
    <cfRule type="cellIs" dxfId="18" priority="15" stopIfTrue="1" operator="lessThanOrEqual">
      <formula>0</formula>
    </cfRule>
  </conditionalFormatting>
  <conditionalFormatting sqref="C17">
    <cfRule type="cellIs" dxfId="17" priority="14" stopIfTrue="1" operator="lessThanOrEqual">
      <formula>0</formula>
    </cfRule>
  </conditionalFormatting>
  <conditionalFormatting sqref="C17">
    <cfRule type="cellIs" dxfId="16" priority="13" stopIfTrue="1" operator="lessThanOrEqual">
      <formula>0</formula>
    </cfRule>
  </conditionalFormatting>
  <conditionalFormatting sqref="C18">
    <cfRule type="cellIs" dxfId="15" priority="12" stopIfTrue="1" operator="lessThanOrEqual">
      <formula>0</formula>
    </cfRule>
  </conditionalFormatting>
  <conditionalFormatting sqref="C18">
    <cfRule type="cellIs" dxfId="14" priority="11" stopIfTrue="1" operator="lessThanOrEqual">
      <formula>0</formula>
    </cfRule>
  </conditionalFormatting>
  <conditionalFormatting sqref="C18">
    <cfRule type="cellIs" dxfId="13" priority="10" stopIfTrue="1" operator="lessThanOrEqual">
      <formula>0</formula>
    </cfRule>
  </conditionalFormatting>
  <conditionalFormatting sqref="C18">
    <cfRule type="cellIs" dxfId="12" priority="9" stopIfTrue="1" operator="lessThanOrEqual">
      <formula>0</formula>
    </cfRule>
  </conditionalFormatting>
  <conditionalFormatting sqref="C19">
    <cfRule type="cellIs" dxfId="11" priority="8" stopIfTrue="1" operator="lessThanOrEqual">
      <formula>0</formula>
    </cfRule>
  </conditionalFormatting>
  <conditionalFormatting sqref="C19">
    <cfRule type="cellIs" dxfId="10" priority="7" stopIfTrue="1" operator="lessThanOrEqual">
      <formula>0</formula>
    </cfRule>
  </conditionalFormatting>
  <conditionalFormatting sqref="C19">
    <cfRule type="cellIs" dxfId="9" priority="6" stopIfTrue="1" operator="lessThanOrEqual">
      <formula>0</formula>
    </cfRule>
  </conditionalFormatting>
  <conditionalFormatting sqref="C19">
    <cfRule type="cellIs" dxfId="8" priority="5" stopIfTrue="1" operator="lessThanOrEqual">
      <formula>0</formula>
    </cfRule>
  </conditionalFormatting>
  <conditionalFormatting sqref="C20">
    <cfRule type="cellIs" dxfId="7" priority="4" stopIfTrue="1" operator="lessThanOrEqual">
      <formula>0</formula>
    </cfRule>
  </conditionalFormatting>
  <conditionalFormatting sqref="C20">
    <cfRule type="cellIs" dxfId="5" priority="3" stopIfTrue="1" operator="lessThanOrEqual">
      <formula>0</formula>
    </cfRule>
  </conditionalFormatting>
  <conditionalFormatting sqref="C20">
    <cfRule type="cellIs" dxfId="3" priority="2" stopIfTrue="1" operator="lessThanOrEqual">
      <formula>0</formula>
    </cfRule>
  </conditionalFormatting>
  <conditionalFormatting sqref="C2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2020-02-05T07:27:16Z</dcterms:modified>
</cp:coreProperties>
</file>