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r.saber\Desktop\"/>
    </mc:Choice>
  </mc:AlternateContent>
  <bookViews>
    <workbookView xWindow="0" yWindow="0" windowWidth="28800" windowHeight="1398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  <definedName name="_xlnm.Print_Area" localSheetId="7">'Plaza and residential'!$I$1:$N$64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9" i="9" l="1"/>
  <c r="AB8" i="1" l="1"/>
  <c r="K32" i="9" l="1"/>
  <c r="I32" i="9"/>
  <c r="B32" i="9"/>
  <c r="F27" i="8"/>
  <c r="X32" i="8"/>
  <c r="Q32" i="8"/>
  <c r="P32" i="8"/>
  <c r="O32" i="8"/>
  <c r="N32" i="8"/>
  <c r="M32" i="8"/>
  <c r="L32" i="8"/>
  <c r="K32" i="8"/>
  <c r="J32" i="8"/>
  <c r="Y32" i="8" s="1"/>
  <c r="I32" i="8"/>
  <c r="H32" i="8"/>
  <c r="G32" i="8"/>
  <c r="F32" i="8"/>
  <c r="E32" i="8"/>
  <c r="B32" i="8"/>
  <c r="S33" i="2"/>
  <c r="R33" i="2"/>
  <c r="T6" i="2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P8" i="2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Q33" i="2" s="1"/>
  <c r="AC32" i="8" s="1"/>
  <c r="N13" i="2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O33" i="2" s="1"/>
  <c r="AB32" i="8" s="1"/>
  <c r="L13" i="2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M33" i="2" s="1"/>
  <c r="J13" i="2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K33" i="2" s="1"/>
  <c r="H13" i="2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I33" i="2" s="1"/>
  <c r="F13" i="2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G33" i="2" s="1"/>
  <c r="D13" i="2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E33" i="2" s="1"/>
  <c r="S34" i="2"/>
  <c r="AF13" i="1"/>
  <c r="AF14" i="1" s="1"/>
  <c r="AF15" i="1" s="1"/>
  <c r="AF16" i="1" s="1"/>
  <c r="AF17" i="1" s="1"/>
  <c r="AF18" i="1" s="1"/>
  <c r="AF19" i="1" s="1"/>
  <c r="AF20" i="1" s="1"/>
  <c r="AF21" i="1" s="1"/>
  <c r="AF22" i="1" s="1"/>
  <c r="AF23" i="1" s="1"/>
  <c r="AF24" i="1" s="1"/>
  <c r="AF25" i="1" s="1"/>
  <c r="AF26" i="1" s="1"/>
  <c r="AF27" i="1" s="1"/>
  <c r="AF28" i="1" s="1"/>
  <c r="AF29" i="1" s="1"/>
  <c r="AF30" i="1" s="1"/>
  <c r="AF31" i="1" s="1"/>
  <c r="AF32" i="1" s="1"/>
  <c r="AF33" i="1" s="1"/>
  <c r="AG33" i="1" s="1"/>
  <c r="AD11" i="1"/>
  <c r="AD13" i="1" s="1"/>
  <c r="AD14" i="1" s="1"/>
  <c r="AD15" i="1" s="1"/>
  <c r="AD16" i="1" s="1"/>
  <c r="AD17" i="1" s="1"/>
  <c r="AD18" i="1" s="1"/>
  <c r="AD19" i="1" s="1"/>
  <c r="AD20" i="1" s="1"/>
  <c r="AD21" i="1" s="1"/>
  <c r="AD22" i="1" s="1"/>
  <c r="AD23" i="1" s="1"/>
  <c r="AD24" i="1" s="1"/>
  <c r="AD25" i="1" s="1"/>
  <c r="AD26" i="1" s="1"/>
  <c r="AD27" i="1" s="1"/>
  <c r="AD28" i="1" s="1"/>
  <c r="AD29" i="1" s="1"/>
  <c r="AD30" i="1" s="1"/>
  <c r="AD31" i="1" s="1"/>
  <c r="AD32" i="1" s="1"/>
  <c r="AD33" i="1" s="1"/>
  <c r="AE33" i="1" s="1"/>
  <c r="B13" i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C33" i="1" s="1"/>
  <c r="R32" i="8" s="1"/>
  <c r="E13" i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F33" i="1" s="1"/>
  <c r="G33" i="1" s="1"/>
  <c r="H13" i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I33" i="1" s="1"/>
  <c r="J33" i="1" s="1"/>
  <c r="AB4" i="1"/>
  <c r="AB6" i="1"/>
  <c r="AB10" i="1"/>
  <c r="AB13" i="1" s="1"/>
  <c r="AB14" i="1" s="1"/>
  <c r="AB15" i="1" s="1"/>
  <c r="AB16" i="1" s="1"/>
  <c r="AB17" i="1" s="1"/>
  <c r="AB18" i="1" s="1"/>
  <c r="AB19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B31" i="1" s="1"/>
  <c r="AB32" i="1" s="1"/>
  <c r="AB33" i="1" s="1"/>
  <c r="AC33" i="1" s="1"/>
  <c r="Z13" i="1"/>
  <c r="Z14" i="1" s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AA33" i="1" s="1"/>
  <c r="X13" i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Y33" i="1" s="1"/>
  <c r="S2" i="1"/>
  <c r="P2" i="1"/>
  <c r="M2" i="1"/>
  <c r="J2" i="1"/>
  <c r="G2" i="1"/>
  <c r="D2" i="1"/>
  <c r="B13" i="5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I33" i="3"/>
  <c r="G33" i="3"/>
  <c r="E33" i="3"/>
  <c r="C33" i="3"/>
  <c r="J33" i="3" s="1"/>
  <c r="K33" i="3" s="1"/>
  <c r="J2" i="3"/>
  <c r="K2" i="3" s="1"/>
  <c r="W33" i="4"/>
  <c r="S33" i="4"/>
  <c r="Q33" i="4"/>
  <c r="O33" i="4"/>
  <c r="M33" i="4"/>
  <c r="K33" i="4"/>
  <c r="H33" i="4"/>
  <c r="F33" i="4"/>
  <c r="I33" i="4" s="1"/>
  <c r="D33" i="4"/>
  <c r="U34" i="4"/>
  <c r="T34" i="4"/>
  <c r="Z2" i="4"/>
  <c r="X2" i="4"/>
  <c r="I2" i="4"/>
  <c r="Q13" i="1" l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R33" i="1" s="1"/>
  <c r="N13" i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O33" i="1" s="1"/>
  <c r="K13" i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L33" i="1" s="1"/>
  <c r="T32" i="8"/>
  <c r="S32" i="8"/>
  <c r="AA32" i="8"/>
  <c r="AD32" i="8"/>
  <c r="AE32" i="8" s="1"/>
  <c r="D33" i="1"/>
  <c r="T2" i="1"/>
  <c r="U2" i="1" s="1"/>
  <c r="C3" i="5"/>
  <c r="C5" i="5"/>
  <c r="C33" i="5"/>
  <c r="G32" i="9" s="1"/>
  <c r="Z33" i="4"/>
  <c r="X33" i="4"/>
  <c r="Y33" i="4" s="1"/>
  <c r="Y2" i="4"/>
  <c r="C7" i="5"/>
  <c r="S33" i="1" l="1"/>
  <c r="W32" i="8"/>
  <c r="U32" i="8"/>
  <c r="P33" i="1"/>
  <c r="V32" i="8"/>
  <c r="T33" i="1"/>
  <c r="U33" i="1" s="1"/>
  <c r="M33" i="1"/>
  <c r="C6" i="5"/>
  <c r="L94" i="10"/>
  <c r="L93" i="10"/>
  <c r="N92" i="10"/>
  <c r="M92" i="10"/>
  <c r="L92" i="10"/>
  <c r="N91" i="10"/>
  <c r="M91" i="10"/>
  <c r="L91" i="10"/>
  <c r="N90" i="10"/>
  <c r="M90" i="10"/>
  <c r="L90" i="10"/>
  <c r="N89" i="10"/>
  <c r="M89" i="10"/>
  <c r="L89" i="10"/>
  <c r="N88" i="10"/>
  <c r="M88" i="10"/>
  <c r="L88" i="10"/>
  <c r="N87" i="10"/>
  <c r="M87" i="10"/>
  <c r="L87" i="10"/>
  <c r="N86" i="10"/>
  <c r="M86" i="10"/>
  <c r="L86" i="10"/>
  <c r="N85" i="10"/>
  <c r="M85" i="10"/>
  <c r="L85" i="10"/>
  <c r="N84" i="10"/>
  <c r="M84" i="10"/>
  <c r="L84" i="10"/>
  <c r="N83" i="10"/>
  <c r="M83" i="10"/>
  <c r="L83" i="10"/>
  <c r="N82" i="10"/>
  <c r="M82" i="10"/>
  <c r="L82" i="10"/>
  <c r="N81" i="10"/>
  <c r="M81" i="10"/>
  <c r="L81" i="10"/>
  <c r="N80" i="10"/>
  <c r="M80" i="10"/>
  <c r="L80" i="10"/>
  <c r="N79" i="10"/>
  <c r="M79" i="10"/>
  <c r="L79" i="10"/>
  <c r="N78" i="10"/>
  <c r="M78" i="10"/>
  <c r="L78" i="10"/>
  <c r="N77" i="10"/>
  <c r="M77" i="10"/>
  <c r="L77" i="10"/>
  <c r="N76" i="10"/>
  <c r="M76" i="10"/>
  <c r="L76" i="10"/>
  <c r="N75" i="10"/>
  <c r="M75" i="10"/>
  <c r="L75" i="10"/>
  <c r="N74" i="10"/>
  <c r="M74" i="10"/>
  <c r="L74" i="10"/>
  <c r="N73" i="10"/>
  <c r="M73" i="10"/>
  <c r="L73" i="10"/>
  <c r="N72" i="10"/>
  <c r="M72" i="10"/>
  <c r="L72" i="10"/>
  <c r="N71" i="10"/>
  <c r="M71" i="10"/>
  <c r="L71" i="10"/>
  <c r="T63" i="10"/>
  <c r="M63" i="10"/>
  <c r="F63" i="10"/>
  <c r="T62" i="10"/>
  <c r="M62" i="10"/>
  <c r="F62" i="10"/>
  <c r="T61" i="10"/>
  <c r="M61" i="10"/>
  <c r="F61" i="10"/>
  <c r="T60" i="10"/>
  <c r="M60" i="10"/>
  <c r="F60" i="10"/>
  <c r="T59" i="10"/>
  <c r="M59" i="10"/>
  <c r="F59" i="10"/>
  <c r="T58" i="10"/>
  <c r="M58" i="10"/>
  <c r="F58" i="10"/>
  <c r="T57" i="10"/>
  <c r="M57" i="10"/>
  <c r="F57" i="10"/>
  <c r="T56" i="10"/>
  <c r="M56" i="10"/>
  <c r="F56" i="10"/>
  <c r="T55" i="10"/>
  <c r="M55" i="10"/>
  <c r="F55" i="10"/>
  <c r="T54" i="10"/>
  <c r="M54" i="10"/>
  <c r="F54" i="10"/>
  <c r="T53" i="10"/>
  <c r="M53" i="10"/>
  <c r="F53" i="10"/>
  <c r="T52" i="10"/>
  <c r="M52" i="10"/>
  <c r="F52" i="10"/>
  <c r="T51" i="10"/>
  <c r="M51" i="10"/>
  <c r="F51" i="10"/>
  <c r="T50" i="10"/>
  <c r="M50" i="10"/>
  <c r="F50" i="10"/>
  <c r="T49" i="10"/>
  <c r="M49" i="10"/>
  <c r="F49" i="10"/>
  <c r="T48" i="10"/>
  <c r="M48" i="10"/>
  <c r="F48" i="10"/>
  <c r="T47" i="10"/>
  <c r="M47" i="10"/>
  <c r="F47" i="10"/>
  <c r="T46" i="10"/>
  <c r="M46" i="10"/>
  <c r="F46" i="10"/>
  <c r="T45" i="10"/>
  <c r="M45" i="10"/>
  <c r="F45" i="10"/>
  <c r="T43" i="10"/>
  <c r="M43" i="10"/>
  <c r="F43" i="10"/>
  <c r="T42" i="10"/>
  <c r="M42" i="10"/>
  <c r="F42" i="10"/>
  <c r="T41" i="10"/>
  <c r="M41" i="10"/>
  <c r="F41" i="10"/>
  <c r="T40" i="10"/>
  <c r="M40" i="10"/>
  <c r="F40" i="10"/>
  <c r="T39" i="10"/>
  <c r="M39" i="10"/>
  <c r="F39" i="10"/>
  <c r="T38" i="10"/>
  <c r="M38" i="10"/>
  <c r="F38" i="10"/>
  <c r="T37" i="10"/>
  <c r="M37" i="10"/>
  <c r="F37" i="10"/>
  <c r="T36" i="10"/>
  <c r="M36" i="10"/>
  <c r="F36" i="10"/>
  <c r="T35" i="10"/>
  <c r="M35" i="10"/>
  <c r="F35" i="10"/>
  <c r="T34" i="10"/>
  <c r="M34" i="10"/>
  <c r="F34" i="10"/>
  <c r="T33" i="10"/>
  <c r="M33" i="10"/>
  <c r="F33" i="10"/>
  <c r="T32" i="10"/>
  <c r="M32" i="10"/>
  <c r="F32" i="10"/>
  <c r="T31" i="10"/>
  <c r="M31" i="10"/>
  <c r="F31" i="10"/>
  <c r="T30" i="10"/>
  <c r="M30" i="10"/>
  <c r="F30" i="10"/>
  <c r="T29" i="10"/>
  <c r="M29" i="10"/>
  <c r="F29" i="10"/>
  <c r="T28" i="10"/>
  <c r="M28" i="10"/>
  <c r="F28" i="10"/>
  <c r="T27" i="10"/>
  <c r="M27" i="10"/>
  <c r="F27" i="10"/>
  <c r="T26" i="10"/>
  <c r="M26" i="10"/>
  <c r="F26" i="10"/>
  <c r="T25" i="10"/>
  <c r="M25" i="10"/>
  <c r="F25" i="10"/>
  <c r="T24" i="10"/>
  <c r="M24" i="10"/>
  <c r="F24" i="10"/>
  <c r="T23" i="10"/>
  <c r="M23" i="10"/>
  <c r="F23" i="10"/>
  <c r="T22" i="10"/>
  <c r="M22" i="10"/>
  <c r="F22" i="10"/>
  <c r="T21" i="10"/>
  <c r="M21" i="10"/>
  <c r="F21" i="10"/>
  <c r="T20" i="10"/>
  <c r="M20" i="10"/>
  <c r="F20" i="10"/>
  <c r="T19" i="10"/>
  <c r="M19" i="10"/>
  <c r="F19" i="10"/>
  <c r="T18" i="10"/>
  <c r="M18" i="10"/>
  <c r="F18" i="10"/>
  <c r="T17" i="10"/>
  <c r="M17" i="10"/>
  <c r="F17" i="10"/>
  <c r="T16" i="10"/>
  <c r="M16" i="10"/>
  <c r="F16" i="10"/>
  <c r="T15" i="10"/>
  <c r="M15" i="10"/>
  <c r="F15" i="10"/>
  <c r="T14" i="10"/>
  <c r="M14" i="10"/>
  <c r="F14" i="10"/>
  <c r="T13" i="10"/>
  <c r="M13" i="10"/>
  <c r="F13" i="10"/>
  <c r="T12" i="10"/>
  <c r="M12" i="10"/>
  <c r="F12" i="10"/>
  <c r="T11" i="10"/>
  <c r="M11" i="10"/>
  <c r="F11" i="10"/>
  <c r="T10" i="10"/>
  <c r="M10" i="10"/>
  <c r="F10" i="10"/>
  <c r="T9" i="10"/>
  <c r="M9" i="10"/>
  <c r="F9" i="10"/>
  <c r="T8" i="10"/>
  <c r="M8" i="10"/>
  <c r="F8" i="10"/>
  <c r="T7" i="10"/>
  <c r="M7" i="10"/>
  <c r="F7" i="10"/>
  <c r="T6" i="10"/>
  <c r="M6" i="10"/>
  <c r="F6" i="10"/>
  <c r="T5" i="10"/>
  <c r="M5" i="10"/>
  <c r="F5" i="10"/>
  <c r="T4" i="10"/>
  <c r="M4" i="10"/>
  <c r="F4" i="10"/>
  <c r="T3" i="10"/>
  <c r="M3" i="10"/>
  <c r="F3" i="10"/>
  <c r="T2" i="10"/>
  <c r="M2" i="10"/>
  <c r="M64" i="10" s="1"/>
  <c r="F2" i="10"/>
  <c r="F64" i="10" s="1"/>
  <c r="T64" i="10" l="1"/>
  <c r="S30" i="4"/>
  <c r="B8" i="9" l="1"/>
  <c r="B9" i="9"/>
  <c r="B10" i="9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C4" i="5" l="1"/>
  <c r="C4" i="3" l="1"/>
  <c r="C6" i="3"/>
  <c r="K18" i="9" l="1"/>
  <c r="K19" i="9"/>
  <c r="R5" i="2"/>
  <c r="C10" i="5"/>
  <c r="B34" i="4"/>
  <c r="W13" i="4"/>
  <c r="W14" i="4"/>
  <c r="E17" i="2" l="1"/>
  <c r="I17" i="2"/>
  <c r="K17" i="2"/>
  <c r="M17" i="2"/>
  <c r="G17" i="2"/>
  <c r="O17" i="2"/>
  <c r="Q17" i="2"/>
  <c r="R6" i="2" l="1"/>
  <c r="R7" i="2" s="1"/>
  <c r="R8" i="2" s="1"/>
  <c r="R9" i="2" s="1"/>
  <c r="R10" i="2" s="1"/>
  <c r="R11" i="2" s="1"/>
  <c r="R12" i="2" s="1"/>
  <c r="R13" i="2" s="1"/>
  <c r="R14" i="2" s="1"/>
  <c r="R16" i="2" s="1"/>
  <c r="R17" i="2" l="1"/>
  <c r="R18" i="2" s="1"/>
  <c r="R19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2" i="2" s="1"/>
  <c r="C3" i="2"/>
  <c r="E3" i="2"/>
  <c r="S28" i="4" l="1"/>
  <c r="H19" i="4" l="1"/>
  <c r="H20" i="4"/>
  <c r="U6" i="2" l="1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Q6" i="2"/>
  <c r="Q7" i="2"/>
  <c r="Q8" i="2"/>
  <c r="Q9" i="2"/>
  <c r="Q10" i="2"/>
  <c r="Q11" i="2"/>
  <c r="Q12" i="2"/>
  <c r="Q13" i="2"/>
  <c r="Q14" i="2"/>
  <c r="Q15" i="2"/>
  <c r="Q16" i="2"/>
  <c r="Q18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O6" i="2"/>
  <c r="O7" i="2"/>
  <c r="O8" i="2"/>
  <c r="O9" i="2"/>
  <c r="O10" i="2"/>
  <c r="O11" i="2"/>
  <c r="O12" i="2"/>
  <c r="O13" i="2"/>
  <c r="O14" i="2"/>
  <c r="O15" i="2"/>
  <c r="O16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M6" i="2"/>
  <c r="M7" i="2"/>
  <c r="M8" i="2"/>
  <c r="M9" i="2"/>
  <c r="M10" i="2"/>
  <c r="M11" i="2"/>
  <c r="M12" i="2"/>
  <c r="M13" i="2"/>
  <c r="M14" i="2"/>
  <c r="M15" i="2"/>
  <c r="M16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K6" i="2"/>
  <c r="K7" i="2"/>
  <c r="K8" i="2"/>
  <c r="K9" i="2"/>
  <c r="K10" i="2"/>
  <c r="K11" i="2"/>
  <c r="K12" i="2"/>
  <c r="K13" i="2"/>
  <c r="K14" i="2"/>
  <c r="K15" i="2"/>
  <c r="K16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I5" i="2"/>
  <c r="I6" i="2"/>
  <c r="I7" i="2"/>
  <c r="I8" i="2"/>
  <c r="I9" i="2"/>
  <c r="I10" i="2"/>
  <c r="I11" i="2"/>
  <c r="I12" i="2"/>
  <c r="I13" i="2"/>
  <c r="I14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G6" i="2"/>
  <c r="G7" i="2"/>
  <c r="G8" i="2"/>
  <c r="G9" i="2"/>
  <c r="G10" i="2"/>
  <c r="G11" i="2"/>
  <c r="G12" i="2"/>
  <c r="G13" i="2"/>
  <c r="G14" i="2"/>
  <c r="G15" i="2"/>
  <c r="G16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E6" i="2"/>
  <c r="E7" i="2"/>
  <c r="E9" i="2" l="1"/>
  <c r="E8" i="2"/>
  <c r="E10" i="2" l="1"/>
  <c r="M4" i="2"/>
  <c r="M5" i="2"/>
  <c r="U4" i="2"/>
  <c r="U5" i="2"/>
  <c r="Q4" i="2"/>
  <c r="Q5" i="2"/>
  <c r="O4" i="2"/>
  <c r="O5" i="2"/>
  <c r="K4" i="2"/>
  <c r="K5" i="2"/>
  <c r="I4" i="2"/>
  <c r="G4" i="2"/>
  <c r="G5" i="2"/>
  <c r="E4" i="2"/>
  <c r="E5" i="2"/>
  <c r="C4" i="2"/>
  <c r="C5" i="2"/>
  <c r="E11" i="2" l="1"/>
  <c r="E12" i="2" l="1"/>
  <c r="H21" i="4" l="1"/>
  <c r="E13" i="2"/>
  <c r="K25" i="4"/>
  <c r="K32" i="4"/>
  <c r="K24" i="4"/>
  <c r="K31" i="4"/>
  <c r="K23" i="4"/>
  <c r="K30" i="4"/>
  <c r="K20" i="4"/>
  <c r="K29" i="4"/>
  <c r="K19" i="4"/>
  <c r="K26" i="4"/>
  <c r="K18" i="4"/>
  <c r="K28" i="4"/>
  <c r="K22" i="4"/>
  <c r="K27" i="4"/>
  <c r="K21" i="4"/>
  <c r="H9" i="4"/>
  <c r="K7" i="9"/>
  <c r="H22" i="4" l="1"/>
  <c r="E14" i="2"/>
  <c r="G4" i="3"/>
  <c r="H23" i="4" l="1"/>
  <c r="E15" i="2"/>
  <c r="H24" i="4" l="1"/>
  <c r="E16" i="2"/>
  <c r="AC3" i="1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H4" i="4"/>
  <c r="H5" i="4"/>
  <c r="H6" i="4"/>
  <c r="H7" i="4"/>
  <c r="H8" i="4"/>
  <c r="H10" i="4"/>
  <c r="H11" i="4"/>
  <c r="H12" i="4"/>
  <c r="H13" i="4"/>
  <c r="H14" i="4"/>
  <c r="H15" i="4"/>
  <c r="H16" i="4"/>
  <c r="H17" i="4"/>
  <c r="H18" i="4"/>
  <c r="H25" i="4"/>
  <c r="H26" i="4"/>
  <c r="H27" i="4"/>
  <c r="H28" i="4"/>
  <c r="H29" i="4"/>
  <c r="H30" i="4"/>
  <c r="H31" i="4"/>
  <c r="J30" i="8" s="1"/>
  <c r="H32" i="4"/>
  <c r="E18" i="2" l="1"/>
  <c r="D3" i="4"/>
  <c r="F3" i="4"/>
  <c r="H3" i="4"/>
  <c r="H34" i="4" s="1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 s="1"/>
  <c r="K7" i="4"/>
  <c r="M7" i="4"/>
  <c r="O7" i="4"/>
  <c r="Q7" i="4"/>
  <c r="S7" i="4"/>
  <c r="W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W12" i="4"/>
  <c r="D13" i="4"/>
  <c r="F13" i="4"/>
  <c r="I13" i="4" s="1"/>
  <c r="K13" i="4"/>
  <c r="M13" i="4"/>
  <c r="O13" i="4"/>
  <c r="Q13" i="4"/>
  <c r="S13" i="4"/>
  <c r="D14" i="4"/>
  <c r="F14" i="4"/>
  <c r="K14" i="4"/>
  <c r="M14" i="4"/>
  <c r="O14" i="4"/>
  <c r="Q14" i="4"/>
  <c r="S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7" i="4"/>
  <c r="F17" i="4"/>
  <c r="I17" i="4" s="1"/>
  <c r="K17" i="4"/>
  <c r="M17" i="4"/>
  <c r="O17" i="4"/>
  <c r="Q17" i="4"/>
  <c r="S17" i="4"/>
  <c r="W17" i="4"/>
  <c r="D18" i="4"/>
  <c r="F18" i="4"/>
  <c r="I18" i="4" s="1"/>
  <c r="M18" i="4"/>
  <c r="O18" i="4"/>
  <c r="Q18" i="4"/>
  <c r="S18" i="4"/>
  <c r="W18" i="4"/>
  <c r="D19" i="4"/>
  <c r="F19" i="4"/>
  <c r="I19" i="4" s="1"/>
  <c r="M19" i="4"/>
  <c r="O19" i="4"/>
  <c r="Q19" i="4"/>
  <c r="S19" i="4"/>
  <c r="W19" i="4"/>
  <c r="D20" i="4"/>
  <c r="F20" i="4"/>
  <c r="I20" i="4" s="1"/>
  <c r="M20" i="4"/>
  <c r="O20" i="4"/>
  <c r="Q20" i="4"/>
  <c r="S20" i="4"/>
  <c r="W20" i="4"/>
  <c r="D21" i="4"/>
  <c r="F21" i="4"/>
  <c r="I21" i="4" s="1"/>
  <c r="M21" i="4"/>
  <c r="O21" i="4"/>
  <c r="Q21" i="4"/>
  <c r="S21" i="4"/>
  <c r="W21" i="4"/>
  <c r="D22" i="4"/>
  <c r="F22" i="4"/>
  <c r="I22" i="4" s="1"/>
  <c r="M22" i="4"/>
  <c r="O22" i="4"/>
  <c r="Q22" i="4"/>
  <c r="S22" i="4"/>
  <c r="W22" i="4"/>
  <c r="D23" i="4"/>
  <c r="F23" i="4"/>
  <c r="I23" i="4" s="1"/>
  <c r="M23" i="4"/>
  <c r="O23" i="4"/>
  <c r="Q23" i="4"/>
  <c r="S23" i="4"/>
  <c r="W23" i="4"/>
  <c r="D24" i="4"/>
  <c r="F24" i="4"/>
  <c r="I24" i="4" s="1"/>
  <c r="M24" i="4"/>
  <c r="O24" i="4"/>
  <c r="Q24" i="4"/>
  <c r="S24" i="4"/>
  <c r="W24" i="4"/>
  <c r="D25" i="4"/>
  <c r="F25" i="4"/>
  <c r="I25" i="4" s="1"/>
  <c r="M25" i="4"/>
  <c r="O25" i="4"/>
  <c r="Q25" i="4"/>
  <c r="S25" i="4"/>
  <c r="W25" i="4"/>
  <c r="D26" i="4"/>
  <c r="F26" i="4"/>
  <c r="I26" i="4" s="1"/>
  <c r="M26" i="4"/>
  <c r="O26" i="4"/>
  <c r="Q26" i="4"/>
  <c r="S26" i="4"/>
  <c r="W26" i="4"/>
  <c r="D27" i="4"/>
  <c r="F27" i="4"/>
  <c r="I27" i="4" s="1"/>
  <c r="M27" i="4"/>
  <c r="O27" i="4"/>
  <c r="Q27" i="4"/>
  <c r="S27" i="4"/>
  <c r="W27" i="4"/>
  <c r="D28" i="4"/>
  <c r="F28" i="4"/>
  <c r="I28" i="4" s="1"/>
  <c r="M28" i="4"/>
  <c r="O28" i="4"/>
  <c r="Q28" i="4"/>
  <c r="W28" i="4"/>
  <c r="D29" i="4"/>
  <c r="F29" i="4"/>
  <c r="I29" i="4" s="1"/>
  <c r="M29" i="4"/>
  <c r="O29" i="4"/>
  <c r="Q29" i="4"/>
  <c r="S29" i="4"/>
  <c r="W29" i="4"/>
  <c r="D30" i="4"/>
  <c r="F30" i="4"/>
  <c r="I30" i="4" s="1"/>
  <c r="M30" i="4"/>
  <c r="O30" i="4"/>
  <c r="Q30" i="4"/>
  <c r="W30" i="4"/>
  <c r="D31" i="4"/>
  <c r="F31" i="4"/>
  <c r="I31" i="4" s="1"/>
  <c r="M31" i="4"/>
  <c r="O31" i="4"/>
  <c r="Q31" i="4"/>
  <c r="S31" i="4"/>
  <c r="W31" i="4"/>
  <c r="D32" i="4"/>
  <c r="F32" i="4"/>
  <c r="I32" i="4" s="1"/>
  <c r="M32" i="4"/>
  <c r="O32" i="4"/>
  <c r="Q32" i="4"/>
  <c r="S32" i="4"/>
  <c r="W32" i="4"/>
  <c r="C8" i="5"/>
  <c r="C9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G31" i="9" s="1"/>
  <c r="C34" i="5" l="1"/>
  <c r="K34" i="4"/>
  <c r="W34" i="4"/>
  <c r="S34" i="4"/>
  <c r="Q34" i="4"/>
  <c r="O34" i="4"/>
  <c r="M34" i="4"/>
  <c r="D34" i="4"/>
  <c r="I14" i="4"/>
  <c r="E19" i="2"/>
  <c r="X32" i="4"/>
  <c r="Y32" i="4" s="1"/>
  <c r="Z19" i="4"/>
  <c r="Z16" i="4"/>
  <c r="Z22" i="4"/>
  <c r="X9" i="4"/>
  <c r="Y9" i="4" s="1"/>
  <c r="X24" i="4"/>
  <c r="Y24" i="4" s="1"/>
  <c r="X6" i="4"/>
  <c r="Y6" i="4" s="1"/>
  <c r="Z4" i="4"/>
  <c r="I4" i="4"/>
  <c r="Z30" i="4"/>
  <c r="Z27" i="4"/>
  <c r="Z12" i="4"/>
  <c r="Z9" i="4"/>
  <c r="Z24" i="4"/>
  <c r="Z6" i="4"/>
  <c r="Z23" i="4"/>
  <c r="Z5" i="4"/>
  <c r="Z20" i="4"/>
  <c r="Z17" i="4"/>
  <c r="Z32" i="4"/>
  <c r="Z29" i="4"/>
  <c r="Z14" i="4"/>
  <c r="Z11" i="4"/>
  <c r="X31" i="4"/>
  <c r="Y31" i="4" s="1"/>
  <c r="X28" i="4"/>
  <c r="Y28" i="4" s="1"/>
  <c r="X26" i="4"/>
  <c r="Y26" i="4" s="1"/>
  <c r="X13" i="4"/>
  <c r="Y13" i="4" s="1"/>
  <c r="X8" i="4"/>
  <c r="Y8" i="4" s="1"/>
  <c r="X22" i="4"/>
  <c r="Y22" i="4" s="1"/>
  <c r="X17" i="4"/>
  <c r="Y17" i="4" s="1"/>
  <c r="Z31" i="4"/>
  <c r="X30" i="4"/>
  <c r="Y30" i="4" s="1"/>
  <c r="Z28" i="4"/>
  <c r="Z13" i="4"/>
  <c r="Z21" i="4"/>
  <c r="Z10" i="4"/>
  <c r="Z26" i="4"/>
  <c r="Z25" i="4"/>
  <c r="Z18" i="4"/>
  <c r="Z15" i="4"/>
  <c r="Z8" i="4"/>
  <c r="Z7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X16" i="4"/>
  <c r="Y16" i="4" s="1"/>
  <c r="X11" i="4"/>
  <c r="Y11" i="4" s="1"/>
  <c r="X23" i="4"/>
  <c r="Y23" i="4" s="1"/>
  <c r="X10" i="4"/>
  <c r="Y10" i="4" s="1"/>
  <c r="X25" i="4"/>
  <c r="Y25" i="4" s="1"/>
  <c r="X20" i="4"/>
  <c r="Y20" i="4" s="1"/>
  <c r="X7" i="4"/>
  <c r="Y7" i="4" s="1"/>
  <c r="X4" i="4"/>
  <c r="Z3" i="4"/>
  <c r="I3" i="4"/>
  <c r="X5" i="4"/>
  <c r="Y5" i="4" s="1"/>
  <c r="X3" i="4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8" i="8"/>
  <c r="F29" i="8"/>
  <c r="F30" i="8"/>
  <c r="F31" i="8"/>
  <c r="K3" i="9"/>
  <c r="K4" i="9"/>
  <c r="K5" i="9"/>
  <c r="K6" i="9"/>
  <c r="K8" i="9"/>
  <c r="K10" i="9"/>
  <c r="K11" i="9"/>
  <c r="K12" i="9"/>
  <c r="K13" i="9"/>
  <c r="K14" i="9"/>
  <c r="K15" i="9"/>
  <c r="K16" i="9"/>
  <c r="K17" i="9"/>
  <c r="K20" i="9"/>
  <c r="K21" i="9"/>
  <c r="K22" i="9"/>
  <c r="K23" i="9"/>
  <c r="K24" i="9"/>
  <c r="K25" i="9"/>
  <c r="K26" i="9"/>
  <c r="K27" i="9"/>
  <c r="K28" i="9"/>
  <c r="K29" i="9"/>
  <c r="K30" i="9"/>
  <c r="K31" i="9"/>
  <c r="J35" i="11"/>
  <c r="J32" i="11"/>
  <c r="J31" i="11"/>
  <c r="J30" i="11"/>
  <c r="J29" i="11"/>
  <c r="J26" i="11"/>
  <c r="J25" i="11"/>
  <c r="J24" i="11"/>
  <c r="J23" i="11"/>
  <c r="J20" i="11"/>
  <c r="J19" i="11"/>
  <c r="J18" i="11"/>
  <c r="J17" i="11"/>
  <c r="J16" i="11"/>
  <c r="J12" i="11"/>
  <c r="J11" i="11"/>
  <c r="J10" i="11"/>
  <c r="J9" i="11"/>
  <c r="J8" i="11"/>
  <c r="J7" i="11"/>
  <c r="J6" i="11"/>
  <c r="J4" i="11"/>
  <c r="J3" i="11"/>
  <c r="AA33" i="4" l="1"/>
  <c r="F34" i="4"/>
  <c r="I34" i="4" s="1"/>
  <c r="Z34" i="4"/>
  <c r="X34" i="4"/>
  <c r="AA25" i="4"/>
  <c r="Y14" i="4"/>
  <c r="E20" i="2"/>
  <c r="AA5" i="4"/>
  <c r="AA4" i="4"/>
  <c r="Y4" i="4"/>
  <c r="AA30" i="4"/>
  <c r="AA24" i="4"/>
  <c r="AA18" i="4"/>
  <c r="AA12" i="4"/>
  <c r="AA6" i="4"/>
  <c r="AA29" i="4"/>
  <c r="AA23" i="4"/>
  <c r="AA17" i="4"/>
  <c r="AA11" i="4"/>
  <c r="AA28" i="4"/>
  <c r="AA22" i="4"/>
  <c r="AA16" i="4"/>
  <c r="AA10" i="4"/>
  <c r="AA27" i="4"/>
  <c r="AA21" i="4"/>
  <c r="AA15" i="4"/>
  <c r="AA9" i="4"/>
  <c r="AA32" i="4"/>
  <c r="AA26" i="4"/>
  <c r="AA20" i="4"/>
  <c r="AA14" i="4"/>
  <c r="AA8" i="4"/>
  <c r="AA31" i="4"/>
  <c r="AA19" i="4"/>
  <c r="AA13" i="4"/>
  <c r="AA7" i="4"/>
  <c r="AA3" i="4"/>
  <c r="Y3" i="4"/>
  <c r="Y22" i="8"/>
  <c r="Y10" i="8"/>
  <c r="Y15" i="8"/>
  <c r="Y31" i="8"/>
  <c r="Y13" i="8"/>
  <c r="Y25" i="8"/>
  <c r="Y28" i="8"/>
  <c r="Y16" i="8"/>
  <c r="Y4" i="8"/>
  <c r="Y27" i="8"/>
  <c r="Y30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AE16" i="1"/>
  <c r="AA34" i="4" l="1"/>
  <c r="Y34" i="4"/>
  <c r="E21" i="2"/>
  <c r="AE7" i="1"/>
  <c r="E22" i="2" l="1"/>
  <c r="AE8" i="1"/>
  <c r="AC6" i="8"/>
  <c r="E23" i="2" l="1"/>
  <c r="M3" i="2"/>
  <c r="M34" i="2" l="1"/>
  <c r="E24" i="2"/>
  <c r="AE17" i="1"/>
  <c r="I3" i="11"/>
  <c r="E25" i="2" l="1"/>
  <c r="AE18" i="1"/>
  <c r="E26" i="2" l="1"/>
  <c r="AE19" i="1"/>
  <c r="AA4" i="8"/>
  <c r="AA5" i="8"/>
  <c r="AA6" i="8"/>
  <c r="AA7" i="8"/>
  <c r="AA8" i="8"/>
  <c r="K3" i="2"/>
  <c r="K34" i="2" l="1"/>
  <c r="E27" i="2"/>
  <c r="AA3" i="8"/>
  <c r="AA9" i="8"/>
  <c r="AE20" i="1"/>
  <c r="AA10" i="8"/>
  <c r="I16" i="11"/>
  <c r="I19" i="11"/>
  <c r="K3" i="11"/>
  <c r="E28" i="2" l="1"/>
  <c r="AE21" i="1"/>
  <c r="AA11" i="8"/>
  <c r="K16" i="11"/>
  <c r="E29" i="2" l="1"/>
  <c r="AE22" i="1"/>
  <c r="AC13" i="8"/>
  <c r="AA12" i="8"/>
  <c r="E30" i="2" l="1"/>
  <c r="AE23" i="1"/>
  <c r="AC14" i="8"/>
  <c r="AA13" i="8"/>
  <c r="E31" i="2" l="1"/>
  <c r="AE24" i="1"/>
  <c r="AA14" i="8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G30" i="9"/>
  <c r="I31" i="3"/>
  <c r="H30" i="8" s="1"/>
  <c r="I32" i="3"/>
  <c r="H31" i="8" s="1"/>
  <c r="G31" i="3"/>
  <c r="G30" i="8" s="1"/>
  <c r="G32" i="3"/>
  <c r="G31" i="8" s="1"/>
  <c r="C31" i="3"/>
  <c r="E30" i="8" s="1"/>
  <c r="C32" i="3"/>
  <c r="E31" i="8" s="1"/>
  <c r="S32" i="2"/>
  <c r="AB30" i="8"/>
  <c r="AB31" i="8"/>
  <c r="E32" i="2" l="1"/>
  <c r="E34" i="2" s="1"/>
  <c r="G31" i="1"/>
  <c r="S30" i="8"/>
  <c r="G32" i="1"/>
  <c r="S31" i="8"/>
  <c r="J32" i="1"/>
  <c r="T31" i="8"/>
  <c r="J31" i="1"/>
  <c r="T30" i="8"/>
  <c r="M31" i="1"/>
  <c r="V30" i="8"/>
  <c r="M32" i="1"/>
  <c r="V31" i="8"/>
  <c r="P32" i="1"/>
  <c r="U31" i="8"/>
  <c r="P31" i="1"/>
  <c r="U30" i="8"/>
  <c r="S31" i="1"/>
  <c r="W30" i="8"/>
  <c r="S32" i="1"/>
  <c r="W31" i="8"/>
  <c r="D31" i="1"/>
  <c r="R30" i="8"/>
  <c r="D32" i="1"/>
  <c r="R31" i="8"/>
  <c r="AD31" i="8"/>
  <c r="AD30" i="8"/>
  <c r="AE25" i="1"/>
  <c r="AA15" i="8"/>
  <c r="T31" i="1"/>
  <c r="U31" i="1" s="1"/>
  <c r="J32" i="3"/>
  <c r="K32" i="3" s="1"/>
  <c r="J31" i="3"/>
  <c r="K31" i="3" s="1"/>
  <c r="T32" i="1"/>
  <c r="U32" i="1" s="1"/>
  <c r="AE26" i="1" l="1"/>
  <c r="AA16" i="8"/>
  <c r="AE27" i="1" l="1"/>
  <c r="AA17" i="8"/>
  <c r="Q3" i="2"/>
  <c r="Q34" i="2" l="1"/>
  <c r="AE28" i="1"/>
  <c r="AA18" i="8"/>
  <c r="AE30" i="8" l="1"/>
  <c r="I30" i="9" s="1"/>
  <c r="AE31" i="8"/>
  <c r="I31" i="9" s="1"/>
  <c r="AE29" i="1"/>
  <c r="AA19" i="8"/>
  <c r="AE30" i="1" l="1"/>
  <c r="AA20" i="8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A34" i="1" l="1"/>
  <c r="AC34" i="1"/>
  <c r="AG34" i="1"/>
  <c r="AE32" i="1"/>
  <c r="AE31" i="1"/>
  <c r="AE34" i="1" s="1"/>
  <c r="AA21" i="8"/>
  <c r="F3" i="8"/>
  <c r="E3" i="3"/>
  <c r="E34" i="3" s="1"/>
  <c r="Y3" i="1"/>
  <c r="Y34" i="1" s="1"/>
  <c r="G29" i="9"/>
  <c r="J22" i="11" l="1"/>
  <c r="AA22" i="8"/>
  <c r="AA23" i="8" l="1"/>
  <c r="AA24" i="8" l="1"/>
  <c r="AA25" i="8" l="1"/>
  <c r="AA26" i="8" l="1"/>
  <c r="AA27" i="8" l="1"/>
  <c r="AA28" i="8" l="1"/>
  <c r="AC30" i="8" l="1"/>
  <c r="AC31" i="8"/>
  <c r="AA29" i="8"/>
  <c r="AA30" i="8" l="1"/>
  <c r="G3" i="2"/>
  <c r="I3" i="2"/>
  <c r="O3" i="2"/>
  <c r="U3" i="2"/>
  <c r="U33" i="2" l="1"/>
  <c r="U34" i="2" s="1"/>
  <c r="O34" i="2"/>
  <c r="I34" i="2"/>
  <c r="G34" i="2"/>
  <c r="AC3" i="8"/>
  <c r="AA31" i="8"/>
  <c r="AB4" i="8"/>
  <c r="S5" i="2"/>
  <c r="AC4" i="8" l="1"/>
  <c r="AB3" i="8"/>
  <c r="Z4" i="8"/>
  <c r="E4" i="9" l="1"/>
  <c r="Z3" i="8"/>
  <c r="E3" i="9" s="1"/>
  <c r="AB19" i="8"/>
  <c r="S20" i="2"/>
  <c r="AC19" i="8" s="1"/>
  <c r="R3" i="1" l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AB14" i="8"/>
  <c r="O10" i="1" l="1"/>
  <c r="U9" i="8" s="1"/>
  <c r="O14" i="1" l="1"/>
  <c r="U13" i="8" s="1"/>
  <c r="G15" i="3"/>
  <c r="G14" i="8" s="1"/>
  <c r="G14" i="3"/>
  <c r="AB13" i="8"/>
  <c r="AB12" i="8"/>
  <c r="G25" i="3"/>
  <c r="G24" i="8" s="1"/>
  <c r="G26" i="3"/>
  <c r="G25" i="8" s="1"/>
  <c r="G27" i="3"/>
  <c r="G26" i="8" s="1"/>
  <c r="G13" i="8" l="1"/>
  <c r="R4" i="1" l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U3" i="8" l="1"/>
  <c r="V3" i="8"/>
  <c r="T3" i="8"/>
  <c r="S3" i="8"/>
  <c r="W3" i="8"/>
  <c r="R3" i="8"/>
  <c r="G26" i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L5" i="1" l="1"/>
  <c r="L6" i="1"/>
  <c r="O5" i="1"/>
  <c r="O6" i="1"/>
  <c r="R5" i="1"/>
  <c r="W4" i="8" s="1"/>
  <c r="R6" i="1"/>
  <c r="C5" i="1"/>
  <c r="C6" i="1"/>
  <c r="F5" i="1"/>
  <c r="F6" i="1"/>
  <c r="I5" i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O34" i="1" l="1"/>
  <c r="L34" i="1"/>
  <c r="I34" i="1"/>
  <c r="F34" i="1"/>
  <c r="C34" i="1"/>
  <c r="U4" i="8"/>
  <c r="V4" i="8"/>
  <c r="T4" i="8"/>
  <c r="S4" i="8"/>
  <c r="R4" i="8"/>
  <c r="G6" i="1"/>
  <c r="S5" i="8"/>
  <c r="J6" i="1"/>
  <c r="T5" i="8"/>
  <c r="M6" i="1"/>
  <c r="V5" i="8"/>
  <c r="P6" i="1"/>
  <c r="U5" i="8"/>
  <c r="S6" i="1"/>
  <c r="W5" i="8"/>
  <c r="D6" i="1"/>
  <c r="R5" i="8"/>
  <c r="S5" i="1"/>
  <c r="S34" i="1" s="1"/>
  <c r="P5" i="1"/>
  <c r="P34" i="1" s="1"/>
  <c r="M5" i="1"/>
  <c r="J5" i="1"/>
  <c r="J34" i="1" s="1"/>
  <c r="G5" i="1"/>
  <c r="D5" i="1"/>
  <c r="G16" i="3"/>
  <c r="G17" i="3"/>
  <c r="G16" i="8" s="1"/>
  <c r="G18" i="3"/>
  <c r="G17" i="8" s="1"/>
  <c r="D34" i="1" l="1"/>
  <c r="M34" i="1"/>
  <c r="G34" i="1"/>
  <c r="G15" i="8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C8" i="3" l="1"/>
  <c r="E7" i="8" s="1"/>
  <c r="I4" i="3" l="1"/>
  <c r="H3" i="8" l="1"/>
  <c r="AB7" i="8"/>
  <c r="I8" i="3"/>
  <c r="H7" i="8" s="1"/>
  <c r="AD7" i="8" s="1"/>
  <c r="G8" i="3"/>
  <c r="G7" i="8" s="1"/>
  <c r="J8" i="3" l="1"/>
  <c r="K8" i="3" s="1"/>
  <c r="T8" i="1"/>
  <c r="U8" i="1" s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AC7" i="8" l="1"/>
  <c r="K12" i="11"/>
  <c r="K13" i="11" l="1"/>
  <c r="K14" i="11" s="1"/>
  <c r="I20" i="3"/>
  <c r="H19" i="8" s="1"/>
  <c r="S30" i="2" l="1"/>
  <c r="AC29" i="8" s="1"/>
  <c r="I15" i="3" l="1"/>
  <c r="H14" i="8" s="1"/>
  <c r="I14" i="3"/>
  <c r="H13" i="8" l="1"/>
  <c r="T14" i="1"/>
  <c r="U14" i="1" s="1"/>
  <c r="C5" i="3" l="1"/>
  <c r="E4" i="8" s="1"/>
  <c r="E5" i="8"/>
  <c r="C7" i="3"/>
  <c r="E6" i="8" s="1"/>
  <c r="J4" i="3" l="1"/>
  <c r="E3" i="8"/>
  <c r="AD3" i="8" s="1"/>
  <c r="F2" i="8"/>
  <c r="AB2" i="8"/>
  <c r="AC2" i="8"/>
  <c r="S18" i="2"/>
  <c r="AC17" i="8" s="1"/>
  <c r="S19" i="2"/>
  <c r="AC18" i="8" s="1"/>
  <c r="D17" i="11"/>
  <c r="I17" i="11"/>
  <c r="D18" i="11"/>
  <c r="I18" i="11"/>
  <c r="K18" i="11" s="1"/>
  <c r="C10" i="11" s="1"/>
  <c r="D10" i="11" s="1"/>
  <c r="D19" i="11"/>
  <c r="K19" i="11"/>
  <c r="D20" i="11"/>
  <c r="I20" i="11"/>
  <c r="K20" i="11" s="1"/>
  <c r="D21" i="11"/>
  <c r="I21" i="1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5" i="3"/>
  <c r="I5" i="3"/>
  <c r="X2" i="8"/>
  <c r="K2" i="9"/>
  <c r="B3" i="9"/>
  <c r="B4" i="9" s="1"/>
  <c r="B5" i="9" s="1"/>
  <c r="B6" i="9" s="1"/>
  <c r="B7" i="9" s="1"/>
  <c r="I6" i="3"/>
  <c r="H5" i="8" s="1"/>
  <c r="AD5" i="8" s="1"/>
  <c r="S9" i="2"/>
  <c r="AB6" i="8"/>
  <c r="S11" i="2"/>
  <c r="AC10" i="8" s="1"/>
  <c r="S12" i="2"/>
  <c r="AC11" i="8" s="1"/>
  <c r="S10" i="2"/>
  <c r="AC9" i="8" s="1"/>
  <c r="S13" i="2"/>
  <c r="AC12" i="8" s="1"/>
  <c r="S16" i="2"/>
  <c r="S21" i="2"/>
  <c r="AC20" i="8" s="1"/>
  <c r="S22" i="2"/>
  <c r="AC21" i="8" s="1"/>
  <c r="S23" i="2"/>
  <c r="S24" i="2"/>
  <c r="AC23" i="8" s="1"/>
  <c r="S26" i="2"/>
  <c r="AC25" i="8" s="1"/>
  <c r="S25" i="2"/>
  <c r="AC24" i="8" s="1"/>
  <c r="S27" i="2"/>
  <c r="AC26" i="8" s="1"/>
  <c r="S28" i="2"/>
  <c r="AC27" i="8" s="1"/>
  <c r="S29" i="2"/>
  <c r="AC28" i="8" s="1"/>
  <c r="G6" i="3"/>
  <c r="G5" i="8" s="1"/>
  <c r="I7" i="3"/>
  <c r="H6" i="8" s="1"/>
  <c r="AD6" i="8" s="1"/>
  <c r="G9" i="3"/>
  <c r="G8" i="8" s="1"/>
  <c r="G7" i="3"/>
  <c r="G6" i="8" s="1"/>
  <c r="C10" i="3"/>
  <c r="E9" i="8" s="1"/>
  <c r="C9" i="3"/>
  <c r="E8" i="8" s="1"/>
  <c r="AB8" i="8"/>
  <c r="AB9" i="8"/>
  <c r="I10" i="3"/>
  <c r="H9" i="8" s="1"/>
  <c r="I9" i="3"/>
  <c r="H8" i="8" s="1"/>
  <c r="AB10" i="8"/>
  <c r="G10" i="3"/>
  <c r="G9" i="8" s="1"/>
  <c r="AB11" i="8"/>
  <c r="I12" i="3"/>
  <c r="H11" i="8" s="1"/>
  <c r="I11" i="3"/>
  <c r="H10" i="8" s="1"/>
  <c r="G12" i="3"/>
  <c r="G11" i="8" s="1"/>
  <c r="G11" i="3"/>
  <c r="G10" i="8" s="1"/>
  <c r="I13" i="3"/>
  <c r="H12" i="8" s="1"/>
  <c r="G13" i="3"/>
  <c r="G12" i="8" s="1"/>
  <c r="I16" i="3"/>
  <c r="I17" i="3"/>
  <c r="H16" i="8" s="1"/>
  <c r="AB15" i="8"/>
  <c r="AB18" i="8"/>
  <c r="AB16" i="8"/>
  <c r="AB28" i="8"/>
  <c r="AB29" i="8"/>
  <c r="I18" i="3"/>
  <c r="H17" i="8" s="1"/>
  <c r="I19" i="3"/>
  <c r="H18" i="8" s="1"/>
  <c r="I21" i="3"/>
  <c r="H20" i="8" s="1"/>
  <c r="G19" i="3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AB20" i="8"/>
  <c r="AB21" i="8"/>
  <c r="I25" i="3"/>
  <c r="H24" i="8" s="1"/>
  <c r="G24" i="3"/>
  <c r="G23" i="8" s="1"/>
  <c r="AB22" i="8"/>
  <c r="AB24" i="8"/>
  <c r="AB23" i="8"/>
  <c r="AB25" i="8"/>
  <c r="I27" i="3"/>
  <c r="H26" i="8" s="1"/>
  <c r="I26" i="3"/>
  <c r="H25" i="8" s="1"/>
  <c r="AB26" i="8"/>
  <c r="I29" i="3"/>
  <c r="H28" i="8" s="1"/>
  <c r="I28" i="3"/>
  <c r="H27" i="8" s="1"/>
  <c r="AB27" i="8"/>
  <c r="I30" i="3"/>
  <c r="H29" i="8" s="1"/>
  <c r="G28" i="3"/>
  <c r="G27" i="8" s="1"/>
  <c r="G29" i="3"/>
  <c r="G28" i="8" s="1"/>
  <c r="S17" i="2" l="1"/>
  <c r="I34" i="3"/>
  <c r="G4" i="8"/>
  <c r="AC22" i="8"/>
  <c r="G18" i="8"/>
  <c r="H15" i="8"/>
  <c r="AD9" i="8"/>
  <c r="AC8" i="8"/>
  <c r="AB5" i="8"/>
  <c r="H4" i="8"/>
  <c r="AD4" i="8" s="1"/>
  <c r="AD8" i="8"/>
  <c r="AC5" i="8"/>
  <c r="AC16" i="8"/>
  <c r="AC15" i="8"/>
  <c r="G3" i="8"/>
  <c r="K17" i="11"/>
  <c r="C9" i="11" s="1"/>
  <c r="J6" i="3"/>
  <c r="J5" i="3"/>
  <c r="K5" i="3" s="1"/>
  <c r="J9" i="3"/>
  <c r="K9" i="3" s="1"/>
  <c r="J7" i="3"/>
  <c r="K7" i="3" s="1"/>
  <c r="J10" i="3"/>
  <c r="K10" i="3" s="1"/>
  <c r="T4" i="1"/>
  <c r="T5" i="1"/>
  <c r="U5" i="1" s="1"/>
  <c r="AA2" i="8"/>
  <c r="T6" i="1"/>
  <c r="T10" i="1"/>
  <c r="U10" i="1" s="1"/>
  <c r="S2" i="8"/>
  <c r="V2" i="8"/>
  <c r="C11" i="11"/>
  <c r="D11" i="11" s="1"/>
  <c r="T11" i="1"/>
  <c r="U11" i="1" s="1"/>
  <c r="AB17" i="8"/>
  <c r="G30" i="3"/>
  <c r="G29" i="8" s="1"/>
  <c r="T9" i="1"/>
  <c r="U9" i="1" s="1"/>
  <c r="Z2" i="8"/>
  <c r="W2" i="8"/>
  <c r="R2" i="8"/>
  <c r="AD2" i="8"/>
  <c r="AE2" i="8" s="1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G34" i="3" l="1"/>
  <c r="AE5" i="8"/>
  <c r="I5" i="9" s="1"/>
  <c r="AE6" i="8"/>
  <c r="I6" i="9" s="1"/>
  <c r="AE9" i="8"/>
  <c r="I9" i="9" s="1"/>
  <c r="AE8" i="8"/>
  <c r="I8" i="9" s="1"/>
  <c r="AE7" i="8"/>
  <c r="I7" i="9" s="1"/>
  <c r="D9" i="11"/>
  <c r="I2" i="9"/>
  <c r="U6" i="1"/>
  <c r="K6" i="3"/>
  <c r="C22" i="11"/>
  <c r="D22" i="11" s="1"/>
  <c r="U4" i="1"/>
  <c r="T12" i="1"/>
  <c r="U12" i="1" s="1"/>
  <c r="Y2" i="8"/>
  <c r="E2" i="9" s="1"/>
  <c r="AE4" i="8" l="1"/>
  <c r="I4" i="9"/>
  <c r="T30" i="1" l="1"/>
  <c r="U30" i="1" s="1"/>
  <c r="C2" i="11" l="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U29" i="1" l="1"/>
  <c r="U34" i="1" s="1"/>
  <c r="K26" i="11" l="1"/>
  <c r="C5" i="11" l="1"/>
  <c r="D5" i="11" s="1"/>
  <c r="C6" i="11"/>
  <c r="D6" i="11" s="1"/>
  <c r="K4" i="3" l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J11" i="3"/>
  <c r="C13" i="3"/>
  <c r="E12" i="8" s="1"/>
  <c r="AD12" i="8" s="1"/>
  <c r="E13" i="8" l="1"/>
  <c r="AD13" i="8" s="1"/>
  <c r="C15" i="3"/>
  <c r="E14" i="8" s="1"/>
  <c r="AD14" i="8" s="1"/>
  <c r="K11" i="3"/>
  <c r="J14" i="3"/>
  <c r="K14" i="3" s="1"/>
  <c r="J13" i="3"/>
  <c r="K13" i="3" s="1"/>
  <c r="AE11" i="8" l="1"/>
  <c r="I11" i="9" s="1"/>
  <c r="C16" i="3"/>
  <c r="AE10" i="8"/>
  <c r="I10" i="9" s="1"/>
  <c r="J15" i="3"/>
  <c r="K15" i="3" s="1"/>
  <c r="E15" i="8" l="1"/>
  <c r="AD15" i="8" s="1"/>
  <c r="AE13" i="8"/>
  <c r="I13" i="9" s="1"/>
  <c r="AE12" i="8"/>
  <c r="I12" i="9" s="1"/>
  <c r="J16" i="3"/>
  <c r="C17" i="3"/>
  <c r="E16" i="8" l="1"/>
  <c r="AD16" i="8" s="1"/>
  <c r="K16" i="3"/>
  <c r="J17" i="3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J19" i="3" l="1"/>
  <c r="C20" i="3"/>
  <c r="E19" i="8" s="1"/>
  <c r="AD19" i="8" s="1"/>
  <c r="AE16" i="8"/>
  <c r="I16" i="9" s="1"/>
  <c r="AE17" i="8" l="1"/>
  <c r="I17" i="9" s="1"/>
  <c r="K19" i="3"/>
  <c r="J20" i="3"/>
  <c r="K20" i="3" s="1"/>
  <c r="C21" i="3"/>
  <c r="E20" i="8" s="1"/>
  <c r="AD20" i="8" s="1"/>
  <c r="AE18" i="8" l="1"/>
  <c r="I18" i="9" s="1"/>
  <c r="J21" i="3"/>
  <c r="K21" i="3" s="1"/>
  <c r="C22" i="3"/>
  <c r="E21" i="8" s="1"/>
  <c r="AD21" i="8" s="1"/>
  <c r="C23" i="3" l="1"/>
  <c r="E22" i="8" s="1"/>
  <c r="AD22" i="8" s="1"/>
  <c r="J22" i="3"/>
  <c r="K22" i="3" s="1"/>
  <c r="AE19" i="8"/>
  <c r="I19" i="9" s="1"/>
  <c r="AE20" i="8" l="1"/>
  <c r="I20" i="9" s="1"/>
  <c r="C24" i="3"/>
  <c r="E23" i="8" s="1"/>
  <c r="AD23" i="8" s="1"/>
  <c r="J23" i="3"/>
  <c r="K23" i="3" s="1"/>
  <c r="AE21" i="8" l="1"/>
  <c r="I21" i="9" s="1"/>
  <c r="C25" i="3"/>
  <c r="E24" i="8" s="1"/>
  <c r="AD24" i="8" s="1"/>
  <c r="J24" i="3"/>
  <c r="K24" i="3" s="1"/>
  <c r="J25" i="3" l="1"/>
  <c r="K25" i="3" s="1"/>
  <c r="AE22" i="8"/>
  <c r="I22" i="9" s="1"/>
  <c r="C26" i="3"/>
  <c r="E25" i="8" s="1"/>
  <c r="AD25" i="8" s="1"/>
  <c r="AE23" i="8" l="1"/>
  <c r="I23" i="9" s="1"/>
  <c r="J26" i="3"/>
  <c r="K26" i="3" s="1"/>
  <c r="C27" i="3"/>
  <c r="E26" i="8" s="1"/>
  <c r="AD26" i="8" s="1"/>
  <c r="J27" i="3" l="1"/>
  <c r="K27" i="3" s="1"/>
  <c r="C28" i="3"/>
  <c r="E27" i="8" s="1"/>
  <c r="AD27" i="8" s="1"/>
  <c r="AE24" i="8"/>
  <c r="I24" i="9" s="1"/>
  <c r="AE25" i="8" l="1"/>
  <c r="I25" i="9" s="1"/>
  <c r="C29" i="3"/>
  <c r="E28" i="8" s="1"/>
  <c r="AD28" i="8" s="1"/>
  <c r="J28" i="3"/>
  <c r="K28" i="3" s="1"/>
  <c r="AE26" i="8" l="1"/>
  <c r="I26" i="9" s="1"/>
  <c r="C30" i="3"/>
  <c r="C34" i="3" s="1"/>
  <c r="J29" i="3"/>
  <c r="K29" i="3" s="1"/>
  <c r="E29" i="8" l="1"/>
  <c r="AD29" i="8" s="1"/>
  <c r="AE27" i="8"/>
  <c r="I27" i="9" s="1"/>
  <c r="J30" i="3"/>
  <c r="AE28" i="8" l="1"/>
  <c r="I28" i="9" s="1"/>
  <c r="K30" i="3"/>
  <c r="K34" i="3" s="1"/>
  <c r="AE29" i="8" l="1"/>
  <c r="I29" i="9" s="1"/>
  <c r="G13" i="9" l="1"/>
  <c r="G3" i="9"/>
  <c r="G7" i="9"/>
  <c r="G10" i="9"/>
  <c r="G8" i="9"/>
  <c r="G9" i="9"/>
  <c r="G6" i="9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  <c r="C6" i="2"/>
  <c r="Z5" i="8" s="1"/>
  <c r="E5" i="9" s="1"/>
  <c r="C8" i="2" l="1"/>
  <c r="Z7" i="8" s="1"/>
  <c r="E7" i="9" s="1"/>
  <c r="C7" i="2"/>
  <c r="Z6" i="8" s="1"/>
  <c r="E6" i="9" s="1"/>
  <c r="C9" i="2" l="1"/>
  <c r="Z8" i="8" s="1"/>
  <c r="E8" i="9" s="1"/>
  <c r="C10" i="2" l="1"/>
  <c r="Z9" i="8" s="1"/>
  <c r="E9" i="9" s="1"/>
  <c r="C11" i="2" l="1"/>
  <c r="Z10" i="8" l="1"/>
  <c r="E10" i="9" s="1"/>
  <c r="C12" i="2"/>
  <c r="Z11" i="8" s="1"/>
  <c r="E11" i="9" s="1"/>
  <c r="B13" i="2"/>
  <c r="B14" i="2" l="1"/>
  <c r="C13" i="2"/>
  <c r="Z12" i="8" s="1"/>
  <c r="E12" i="9" s="1"/>
  <c r="C14" i="2" l="1"/>
  <c r="Z13" i="8" s="1"/>
  <c r="E13" i="9" s="1"/>
  <c r="B15" i="2"/>
  <c r="C15" i="2" l="1"/>
  <c r="Z14" i="8" s="1"/>
  <c r="E14" i="9" s="1"/>
  <c r="B16" i="2"/>
  <c r="C16" i="2" l="1"/>
  <c r="Z15" i="8" s="1"/>
  <c r="E15" i="9" s="1"/>
  <c r="B17" i="2"/>
  <c r="C17" i="2" l="1"/>
  <c r="Z16" i="8" s="1"/>
  <c r="E16" i="9" s="1"/>
  <c r="B18" i="2"/>
  <c r="C18" i="2" l="1"/>
  <c r="Z17" i="8" s="1"/>
  <c r="E17" i="9" s="1"/>
  <c r="B19" i="2"/>
  <c r="B20" i="2" l="1"/>
  <c r="C19" i="2"/>
  <c r="Z18" i="8" s="1"/>
  <c r="E18" i="9" s="1"/>
  <c r="B21" i="2" l="1"/>
  <c r="C20" i="2"/>
  <c r="Z19" i="8" s="1"/>
  <c r="E19" i="9" s="1"/>
  <c r="C21" i="2" l="1"/>
  <c r="Z20" i="8" s="1"/>
  <c r="E20" i="9" s="1"/>
  <c r="B22" i="2"/>
  <c r="B23" i="2" l="1"/>
  <c r="C22" i="2"/>
  <c r="Z21" i="8" s="1"/>
  <c r="E21" i="9" s="1"/>
  <c r="C23" i="2" l="1"/>
  <c r="Z22" i="8" s="1"/>
  <c r="E22" i="9" s="1"/>
  <c r="B24" i="2"/>
  <c r="C24" i="2" l="1"/>
  <c r="Z23" i="8" s="1"/>
  <c r="E23" i="9" s="1"/>
  <c r="B25" i="2"/>
  <c r="B26" i="2" l="1"/>
  <c r="C25" i="2"/>
  <c r="Z24" i="8" s="1"/>
  <c r="E24" i="9" s="1"/>
  <c r="B27" i="2" l="1"/>
  <c r="C26" i="2"/>
  <c r="Z25" i="8" s="1"/>
  <c r="E25" i="9" s="1"/>
  <c r="C27" i="2" l="1"/>
  <c r="Z26" i="8" s="1"/>
  <c r="E26" i="9" s="1"/>
  <c r="B28" i="2"/>
  <c r="C28" i="2" l="1"/>
  <c r="Z27" i="8" s="1"/>
  <c r="E27" i="9" s="1"/>
  <c r="B29" i="2"/>
  <c r="B30" i="2" l="1"/>
  <c r="C29" i="2"/>
  <c r="Z28" i="8" s="1"/>
  <c r="E28" i="9" s="1"/>
  <c r="B31" i="2" l="1"/>
  <c r="C30" i="2"/>
  <c r="Z29" i="8" s="1"/>
  <c r="E29" i="9" s="1"/>
  <c r="C31" i="2" l="1"/>
  <c r="Z30" i="8" s="1"/>
  <c r="E30" i="9" s="1"/>
  <c r="B32" i="2"/>
  <c r="J21" i="11" l="1"/>
  <c r="K21" i="11" s="1"/>
  <c r="C8" i="11" s="1"/>
  <c r="C32" i="2"/>
  <c r="Z31" i="8" s="1"/>
  <c r="E31" i="9" s="1"/>
  <c r="B33" i="2"/>
  <c r="C33" i="2" s="1"/>
  <c r="Z32" i="8" l="1"/>
  <c r="E32" i="9" s="1"/>
  <c r="C34" i="2"/>
  <c r="D8" i="11"/>
  <c r="C7" i="11"/>
  <c r="D7" i="11" s="1"/>
</calcChain>
</file>

<file path=xl/sharedStrings.xml><?xml version="1.0" encoding="utf-8"?>
<sst xmlns="http://schemas.openxmlformats.org/spreadsheetml/2006/main" count="513" uniqueCount="151">
  <si>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</si>
  <si>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</si>
  <si>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</si>
  <si>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</si>
  <si>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</si>
  <si>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</si>
  <si>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</si>
  <si>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</si>
  <si>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</si>
  <si>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</si>
  <si>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</si>
  <si>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</si>
  <si>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</si>
  <si>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</si>
  <si>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</si>
  <si>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</si>
  <si>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</si>
  <si>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</si>
  <si>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</si>
  <si>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</si>
  <si>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</si>
  <si>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</si>
  <si>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</si>
  <si>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</si>
  <si>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</si>
  <si>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</si>
  <si>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</si>
  <si>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</si>
  <si>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</si>
  <si>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</si>
  <si>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</si>
  <si>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</si>
  <si>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</si>
  <si>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</si>
  <si>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</si>
  <si>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</si>
  <si>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</si>
  <si>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</si>
  <si>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</si>
  <si>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</si>
  <si>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</si>
  <si>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</si>
  <si>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</si>
  <si>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</si>
  <si>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</si>
  <si>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</si>
  <si>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</si>
  <si>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</si>
  <si>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</si>
  <si>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</si>
  <si>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</si>
  <si>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</si>
  <si>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</si>
  <si>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</si>
  <si>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</si>
  <si>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</si>
  <si>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</si>
  <si>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</si>
  <si>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</si>
  <si>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</si>
  <si>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</si>
  <si>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</si>
  <si>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</si>
  <si>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</si>
  <si>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</si>
  <si>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</si>
  <si>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</si>
  <si>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</si>
  <si>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</si>
  <si>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</si>
  <si>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</si>
  <si>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</si>
  <si>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</si>
  <si>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</si>
  <si>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</si>
  <si>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</si>
  <si>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</si>
  <si>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</si>
  <si>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</si>
  <si>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</si>
  <si>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</si>
  <si>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</si>
  <si>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</si>
  <si>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</si>
  <si>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</si>
  <si>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</si>
  <si>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</si>
  <si>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</si>
  <si>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</si>
  <si>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</si>
  <si>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</si>
  <si>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</si>
  <si>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</si>
  <si>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</si>
  <si>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</si>
  <si>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</si>
  <si>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</si>
  <si>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</si>
  <si>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</si>
  <si>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</si>
  <si>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</si>
  <si>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</si>
  <si>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</si>
  <si>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</si>
  <si>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</si>
  <si>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</si>
  <si>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</si>
  <si>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</si>
  <si>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</si>
  <si>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</si>
  <si>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</si>
  <si>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</si>
  <si>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</si>
  <si>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</si>
  <si>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</si>
  <si>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</si>
  <si>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</si>
  <si>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</si>
  <si>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</si>
  <si>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</si>
  <si>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</si>
  <si>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</si>
  <si>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</si>
  <si>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</si>
  <si>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</si>
  <si>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</si>
  <si>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</si>
  <si>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</si>
  <si>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</si>
  <si>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</si>
  <si>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</si>
  <si>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</si>
  <si>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</si>
  <si>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</si>
  <si>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</si>
  <si>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</si>
  <si>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</si>
  <si>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</si>
  <si>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</si>
  <si>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</si>
  <si>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</si>
  <si>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</si>
  <si>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</si>
  <si>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</si>
  <si>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</si>
  <si>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June. 2022</t>
  </si>
  <si>
    <t>Acutal till   July. 2022</t>
  </si>
  <si>
    <t>Acutal till July. 2022</t>
  </si>
  <si>
    <t>Acutal till   Aug. 2022</t>
  </si>
  <si>
    <t>Acutal till   Sep. 2022</t>
  </si>
  <si>
    <t>Energy Monthly Statement October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</si>
</sst>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;[Red]0"/>
    <numFmt numFmtId="168" formatCode="[$-409]d\-mmm;@"/>
    <numFmt numFmtId="169" formatCode="0.0000"/>
  </numFmts>
  <fonts count="41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  <family val="2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5" fillId="0" borderId="0"/>
    <xf numFmtId="0" fontId="1" fillId="0" borderId="0"/>
    <xf numFmtId="0" fontId="1" fillId="0" borderId="0"/>
    <xf numFmtId="165" fontId="39" fillId="0" borderId="0"/>
  </cellStyleXfs>
  <cellXfs count="188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7" fillId="13" borderId="1" xfId="0" applyFont="1" applyFill="1" applyBorder="1" applyAlignment="1">
      <alignment horizontal="center"/>
    </xf>
    <xf numFmtId="0" fontId="26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30" fillId="0" borderId="0" xfId="0" applyNumberFormat="1" applyFont="1"/>
    <xf numFmtId="1" fontId="29" fillId="0" borderId="0" xfId="0" applyNumberFormat="1" applyFont="1" applyAlignment="1">
      <alignment horizontal="center" vertical="center"/>
    </xf>
    <xf numFmtId="1" fontId="31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29" fillId="0" borderId="1" xfId="0" applyNumberFormat="1" applyFont="1" applyBorder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3" fillId="0" borderId="5" xfId="0" applyFont="1" applyBorder="1"/>
    <xf numFmtId="0" fontId="34" fillId="0" borderId="0" xfId="0" applyFont="1"/>
    <xf numFmtId="1" fontId="26" fillId="0" borderId="5" xfId="0" applyNumberFormat="1" applyFont="1" applyBorder="1" applyAlignment="1">
      <alignment wrapText="1"/>
    </xf>
    <xf numFmtId="0" fontId="26" fillId="0" borderId="5" xfId="0" applyFont="1" applyBorder="1" applyAlignment="1">
      <alignment horizontal="center" wrapText="1"/>
    </xf>
    <xf numFmtId="0" fontId="35" fillId="0" borderId="5" xfId="0" applyFont="1" applyBorder="1" applyAlignment="1">
      <alignment horizontal="center"/>
    </xf>
    <xf numFmtId="1" fontId="26" fillId="0" borderId="5" xfId="0" applyNumberFormat="1" applyFont="1" applyBorder="1" applyAlignment="1">
      <alignment horizontal="center" wrapText="1"/>
    </xf>
    <xf numFmtId="0" fontId="34" fillId="0" borderId="0" xfId="0" applyFont="1" applyAlignment="1">
      <alignment horizontal="center"/>
    </xf>
    <xf numFmtId="2" fontId="26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left" vertical="center" wrapText="1"/>
    </xf>
    <xf numFmtId="3" fontId="23" fillId="4" borderId="4" xfId="8" applyNumberFormat="1" applyFont="1" applyFill="1" applyBorder="1" applyAlignment="1">
      <alignment horizontal="left" vertical="center"/>
    </xf>
    <xf numFmtId="0" fontId="24" fillId="0" borderId="0" xfId="8" applyFont="1" applyAlignment="1">
      <alignment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4" fillId="14" borderId="1" xfId="0" applyFont="1" applyFill="1" applyBorder="1" applyAlignment="1">
      <alignment horizontal="center" vertical="center"/>
    </xf>
    <xf numFmtId="43" fontId="34" fillId="0" borderId="1" xfId="0" applyNumberFormat="1" applyFont="1" applyFill="1" applyBorder="1" applyAlignment="1">
      <alignment horizontal="center" vertical="center"/>
    </xf>
    <xf numFmtId="43" fontId="34" fillId="0" borderId="0" xfId="0" applyNumberFormat="1" applyFont="1" applyFill="1" applyBorder="1" applyAlignment="1">
      <alignment horizontal="center" vertical="center"/>
    </xf>
    <xf numFmtId="0" fontId="34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4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164" fontId="34" fillId="0" borderId="1" xfId="0" applyNumberFormat="1" applyFont="1" applyFill="1" applyBorder="1" applyAlignment="1">
      <alignment horizontal="center" vertical="center"/>
    </xf>
    <xf numFmtId="164" fontId="34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4" fillId="0" borderId="1" xfId="13" applyFont="1" applyFill="1" applyBorder="1" applyAlignment="1">
      <alignment horizontal="center" vertical="center"/>
    </xf>
    <xf numFmtId="164" fontId="34" fillId="0" borderId="1" xfId="13" applyNumberFormat="1" applyFont="1" applyFill="1" applyBorder="1" applyAlignment="1">
      <alignment horizontal="center" vertical="center"/>
    </xf>
    <xf numFmtId="164" fontId="34" fillId="0" borderId="0" xfId="13" applyNumberFormat="1" applyFont="1" applyFill="1" applyBorder="1" applyAlignment="1">
      <alignment horizontal="center" vertical="center"/>
    </xf>
    <xf numFmtId="164" fontId="34" fillId="0" borderId="1" xfId="3" applyNumberFormat="1" applyFont="1" applyFill="1" applyBorder="1" applyAlignment="1">
      <alignment horizontal="center" vertical="center"/>
    </xf>
    <xf numFmtId="0" fontId="34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4" fillId="0" borderId="8" xfId="13" applyNumberFormat="1" applyFont="1" applyFill="1" applyBorder="1" applyAlignment="1">
      <alignment horizontal="center" vertical="center"/>
    </xf>
    <xf numFmtId="164" fontId="37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4" fillId="0" borderId="0" xfId="13" applyFont="1" applyFill="1" applyBorder="1" applyAlignment="1">
      <alignment horizontal="center"/>
    </xf>
    <xf numFmtId="0" fontId="34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4" fillId="0" borderId="1" xfId="3" applyNumberFormat="1" applyFont="1" applyFill="1" applyBorder="1" applyAlignment="1">
      <alignment horizontal="center" vertical="center"/>
    </xf>
    <xf numFmtId="1" fontId="26" fillId="0" borderId="0" xfId="0" applyNumberFormat="1" applyFont="1" applyBorder="1" applyAlignment="1">
      <alignment wrapText="1"/>
    </xf>
    <xf numFmtId="0" fontId="26" fillId="0" borderId="0" xfId="0" applyFont="1" applyAlignment="1">
      <alignment horizontal="center" vertical="center" wrapText="1"/>
    </xf>
    <xf numFmtId="1" fontId="29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1" xfId="14" applyFont="1" applyBorder="1" applyAlignment="1">
      <alignment horizontal="center"/>
    </xf>
    <xf numFmtId="1" fontId="28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7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0" fillId="4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8" fontId="0" fillId="0" borderId="0" xfId="0" applyNumberFormat="1"/>
    <xf numFmtId="168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69" fontId="29" fillId="0" borderId="0" xfId="0" applyNumberFormat="1" applyFont="1" applyAlignment="1">
      <alignment horizontal="center" vertic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/>
    </xf>
    <xf numFmtId="166" fontId="0" fillId="0" borderId="0" xfId="0" applyNumberFormat="1"/>
    <xf numFmtId="0" fontId="1" fillId="0" borderId="0" xfId="8" applyFont="1"/>
    <xf numFmtId="0" fontId="1" fillId="0" borderId="6" xfId="8" applyFont="1" applyFill="1" applyBorder="1" applyAlignment="1"/>
    <xf numFmtId="0" fontId="1" fillId="0" borderId="0" xfId="8"/>
    <xf numFmtId="0" fontId="1" fillId="3" borderId="0" xfId="8" applyFill="1"/>
    <xf numFmtId="0" fontId="1" fillId="0" borderId="0" xfId="14"/>
    <xf numFmtId="17" fontId="2" fillId="0" borderId="0" xfId="14" applyNumberFormat="1" applyFont="1"/>
    <xf numFmtId="0" fontId="1" fillId="0" borderId="0" xfId="14" applyAlignment="1">
      <alignment horizontal="center" vertical="center"/>
    </xf>
    <xf numFmtId="0" fontId="4" fillId="7" borderId="1" xfId="14" applyFont="1" applyFill="1" applyBorder="1" applyAlignment="1">
      <alignment horizontal="center"/>
    </xf>
    <xf numFmtId="0" fontId="2" fillId="11" borderId="1" xfId="14" applyFont="1" applyFill="1" applyBorder="1" applyAlignment="1">
      <alignment horizontal="center"/>
    </xf>
    <xf numFmtId="1" fontId="10" fillId="3" borderId="4" xfId="0" applyNumberFormat="1" applyFont="1" applyFill="1" applyBorder="1" applyAlignment="1">
      <alignment horizontal="center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17" fontId="2" fillId="0" borderId="2" xfId="14" applyNumberFormat="1" applyFont="1" applyBorder="1" applyAlignment="1">
      <alignment horizontal="center" vertical="center"/>
    </xf>
    <xf numFmtId="17" fontId="2" fillId="0" borderId="11" xfId="14" applyNumberFormat="1" applyFont="1" applyBorder="1" applyAlignment="1">
      <alignment horizontal="center" vertical="center"/>
    </xf>
    <xf numFmtId="17" fontId="2" fillId="0" borderId="9" xfId="14" applyNumberFormat="1" applyFont="1" applyBorder="1" applyAlignment="1">
      <alignment horizontal="center" vertical="center"/>
    </xf>
    <xf numFmtId="0" fontId="2" fillId="0" borderId="2" xfId="14" applyFont="1" applyBorder="1" applyAlignment="1">
      <alignment horizontal="center" vertical="center"/>
    </xf>
    <xf numFmtId="0" fontId="2" fillId="0" borderId="11" xfId="14" applyFont="1" applyBorder="1" applyAlignment="1">
      <alignment horizontal="center" vertical="center"/>
    </xf>
    <xf numFmtId="0" fontId="2" fillId="0" borderId="9" xfId="14" applyFont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23" fillId="4" borderId="4" xfId="8" applyFont="1" applyFill="1" applyBorder="1" applyAlignment="1">
      <alignment horizontal="center" vertical="center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38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7"/>
  <sheetViews>
    <sheetView zoomScale="85" zoomScaleNormal="85" workbookViewId="0">
      <pane ySplit="1" topLeftCell="A2" activePane="bottomLeft" state="frozen"/>
      <selection pane="bottomLeft" activeCell="E10" sqref="E10:J10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6" width="12.5703125" style="13" customWidth="1"/>
    <col min="7" max="7" width="12.140625" style="13" customWidth="1"/>
    <col min="8" max="11" width="11.5703125" style="13"/>
  </cols>
  <sheetData>
    <row r="1" spans="1:14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49" t="s">
        <v>48</v>
      </c>
      <c r="F1" s="49" t="s">
        <v>49</v>
      </c>
      <c r="G1" s="49" t="s">
        <v>74</v>
      </c>
      <c r="H1" s="49" t="s">
        <v>75</v>
      </c>
      <c r="I1" s="49" t="s">
        <v>50</v>
      </c>
      <c r="J1" s="49" t="s">
        <v>51</v>
      </c>
      <c r="K1" s="49" t="s">
        <v>52</v>
      </c>
    </row>
    <row r="2" spans="1:14" x14ac:dyDescent="0.2">
      <c r="A2" s="47" t="s">
        <v>53</v>
      </c>
      <c r="B2" s="52">
        <v>1</v>
      </c>
      <c r="C2" s="52">
        <v>10</v>
      </c>
      <c r="D2" s="52">
        <v>2022</v>
      </c>
      <c r="E2" s="36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59892.001508000001</v>
      </c>
      <c r="F2" s="126">
        <v>1.27</v>
      </c>
      <c r="G2" s="36">
        <f>Gas!C3*0.9147</f>
        <v>1562.3075999999999</v>
      </c>
      <c r="H2" s="127">
        <v>3.65</v>
      </c>
      <c r="I2" s="128">
        <f>Submetering!H2+Submetering!AD2+Submetering!AE2</f>
        <v>-24.000000000000014</v>
      </c>
      <c r="J2" s="129">
        <v>10.029999999999999</v>
      </c>
      <c r="K2" s="36">
        <f>ELECT.!B3</f>
        <v>257</v>
      </c>
    </row>
    <row r="3" spans="1:14" x14ac:dyDescent="0.2">
      <c r="A3" s="47" t="s">
        <v>53</v>
      </c>
      <c r="B3" s="52">
        <f>B2+1</f>
        <v>2</v>
      </c>
      <c r="C3" s="52">
        <v>10</v>
      </c>
      <c r="D3" s="52">
        <v>2022</v>
      </c>
      <c r="E3" s="36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94931.211251999994</v>
      </c>
      <c r="F3" s="126">
        <v>1.27</v>
      </c>
      <c r="G3" s="36">
        <f>Gas!C4*0.9147</f>
        <v>1529.3783999999998</v>
      </c>
      <c r="H3" s="127">
        <v>3.65</v>
      </c>
      <c r="I3" s="129">
        <f>Submetering!H3+Submetering!AD3+Submetering!AE3</f>
        <v>806</v>
      </c>
      <c r="J3" s="129">
        <v>10.029999999999999</v>
      </c>
      <c r="K3" s="36">
        <f>ELECT.!B4</f>
        <v>264</v>
      </c>
    </row>
    <row r="4" spans="1:14" x14ac:dyDescent="0.2">
      <c r="A4" s="47" t="s">
        <v>53</v>
      </c>
      <c r="B4" s="52">
        <f t="shared" ref="B4:B32" si="0">B3+1</f>
        <v>3</v>
      </c>
      <c r="C4" s="52">
        <v>10</v>
      </c>
      <c r="D4" s="52">
        <v>2022</v>
      </c>
      <c r="E4" s="36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72349.070703999998</v>
      </c>
      <c r="F4" s="126">
        <v>1.27</v>
      </c>
      <c r="G4" s="36">
        <f>Gas!C5*0.9147</f>
        <v>1379.3676</v>
      </c>
      <c r="H4" s="127">
        <v>3.65</v>
      </c>
      <c r="I4" s="129">
        <f>Submetering!H4+Submetering!AD4+Submetering!AE4</f>
        <v>756</v>
      </c>
      <c r="J4" s="129">
        <v>10.029999999999999</v>
      </c>
      <c r="K4" s="36">
        <f>ELECT.!B5</f>
        <v>289</v>
      </c>
    </row>
    <row r="5" spans="1:14" x14ac:dyDescent="0.2">
      <c r="A5" s="47" t="s">
        <v>53</v>
      </c>
      <c r="B5" s="52">
        <f t="shared" si="0"/>
        <v>4</v>
      </c>
      <c r="C5" s="52">
        <v>10</v>
      </c>
      <c r="D5" s="52">
        <v>2022</v>
      </c>
      <c r="E5" s="36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87049.600724000004</v>
      </c>
      <c r="F5" s="126">
        <v>1.27</v>
      </c>
      <c r="G5" s="36">
        <f>Gas!C6*0.9147</f>
        <v>1994.0459999999998</v>
      </c>
      <c r="H5" s="127">
        <v>3.65</v>
      </c>
      <c r="I5" s="129">
        <f>Submetering!H5+Submetering!AD5+Submetering!AE5</f>
        <v>896.00000000000011</v>
      </c>
      <c r="J5" s="129">
        <v>10.029999999999999</v>
      </c>
      <c r="K5" s="36">
        <f>ELECT.!B6</f>
        <v>174</v>
      </c>
    </row>
    <row r="6" spans="1:14" x14ac:dyDescent="0.2">
      <c r="A6" s="47" t="s">
        <v>53</v>
      </c>
      <c r="B6" s="52">
        <f t="shared" si="0"/>
        <v>5</v>
      </c>
      <c r="C6" s="52">
        <v>10</v>
      </c>
      <c r="D6" s="52">
        <v>2022</v>
      </c>
      <c r="E6" s="36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50868.227487999997</v>
      </c>
      <c r="F6" s="126">
        <v>1.27</v>
      </c>
      <c r="G6" s="36">
        <f>Gas!C7*0.9147</f>
        <v>1815.6795</v>
      </c>
      <c r="H6" s="127">
        <v>3.65</v>
      </c>
      <c r="I6" s="129">
        <f>Submetering!H6+Submetering!AD6+Submetering!AE6</f>
        <v>726</v>
      </c>
      <c r="J6" s="129">
        <v>10.029999999999999</v>
      </c>
      <c r="K6" s="36">
        <f>ELECT.!B7</f>
        <v>185</v>
      </c>
    </row>
    <row r="7" spans="1:14" x14ac:dyDescent="0.2">
      <c r="A7" s="47" t="s">
        <v>53</v>
      </c>
      <c r="B7" s="52">
        <f t="shared" si="0"/>
        <v>6</v>
      </c>
      <c r="C7" s="52">
        <v>10</v>
      </c>
      <c r="D7" s="52">
        <v>2022</v>
      </c>
      <c r="E7" s="36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94369.603599999988</v>
      </c>
      <c r="F7" s="126">
        <v>1.27</v>
      </c>
      <c r="G7" s="36">
        <f>Gas!C8*0.9147</f>
        <v>1777.2620999999999</v>
      </c>
      <c r="H7" s="127">
        <v>3.65</v>
      </c>
      <c r="I7" s="129">
        <f>Submetering!H7+Submetering!AD7+Submetering!AE7</f>
        <v>706.00000000000011</v>
      </c>
      <c r="J7" s="129">
        <v>10.029999999999999</v>
      </c>
      <c r="K7" s="36">
        <f>ELECT.!B8</f>
        <v>160</v>
      </c>
    </row>
    <row r="8" spans="1:14" x14ac:dyDescent="0.2">
      <c r="A8" s="47" t="s">
        <v>53</v>
      </c>
      <c r="B8" s="52">
        <f t="shared" si="0"/>
        <v>7</v>
      </c>
      <c r="C8" s="52">
        <v>10</v>
      </c>
      <c r="D8" s="52">
        <v>2022</v>
      </c>
      <c r="E8" s="36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65268.457440000006</v>
      </c>
      <c r="F8" s="126">
        <v>1.27</v>
      </c>
      <c r="G8" s="36">
        <f>Gas!C9*0.9147</f>
        <v>1683.9626999999998</v>
      </c>
      <c r="H8" s="127">
        <v>3.65</v>
      </c>
      <c r="I8" s="129">
        <f>Submetering!H8+Submetering!AD8+Submetering!AE8</f>
        <v>716</v>
      </c>
      <c r="J8" s="129">
        <v>10.029999999999999</v>
      </c>
      <c r="K8" s="36">
        <f>ELECT.!B9</f>
        <v>200</v>
      </c>
    </row>
    <row r="9" spans="1:14" x14ac:dyDescent="0.2">
      <c r="A9" s="47" t="s">
        <v>53</v>
      </c>
      <c r="B9" s="52">
        <f t="shared" si="0"/>
        <v>8</v>
      </c>
      <c r="C9" s="52">
        <v>10</v>
      </c>
      <c r="D9" s="52">
        <v>2022</v>
      </c>
      <c r="E9" s="36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56808.178812000006</v>
      </c>
      <c r="F9" s="126">
        <v>1.27</v>
      </c>
      <c r="G9" s="36">
        <f>Gas!C10*0.9147</f>
        <v>1951.0550999999998</v>
      </c>
      <c r="H9" s="127">
        <v>3.65</v>
      </c>
      <c r="I9" s="129">
        <f>Submetering!H9+Submetering!AD9+Submetering!AE9</f>
        <v>616.00000000000011</v>
      </c>
      <c r="J9" s="129">
        <v>10.029999999999999</v>
      </c>
      <c r="K9" s="36">
        <f>ELECT.!B10</f>
        <v>180</v>
      </c>
      <c r="N9" t="s">
        <v>12</v>
      </c>
    </row>
    <row r="10" spans="1:14" x14ac:dyDescent="0.2">
      <c r="A10" s="47" t="s">
        <v>53</v>
      </c>
      <c r="B10" s="52">
        <f t="shared" si="0"/>
        <v>9</v>
      </c>
      <c r="C10" s="52">
        <v>10</v>
      </c>
      <c r="D10" s="52">
        <v>2022</v>
      </c>
      <c r="E10" s="36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82377.432807999998</v>
      </c>
      <c r="F10" s="126">
        <v>1.27</v>
      </c>
      <c r="G10" s="36">
        <f>Gas!C11*0.9147</f>
        <v>1754.3945999999999</v>
      </c>
      <c r="H10" s="127">
        <v>3.65</v>
      </c>
      <c r="I10" s="129">
        <f>Submetering!H10+Submetering!AD10+Submetering!AE10</f>
        <v>695.99999999999989</v>
      </c>
      <c r="J10" s="129">
        <v>10.029999999999999</v>
      </c>
      <c r="K10" s="36">
        <f>ELECT.!B11</f>
        <v>222</v>
      </c>
    </row>
    <row r="11" spans="1:14" x14ac:dyDescent="0.2">
      <c r="A11" s="47" t="s">
        <v>53</v>
      </c>
      <c r="B11" s="52">
        <f t="shared" si="0"/>
        <v>10</v>
      </c>
      <c r="C11" s="52">
        <v>10</v>
      </c>
      <c r="D11" s="52">
        <v>2022</v>
      </c>
      <c r="E11" s="36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75627.195503999988</v>
      </c>
      <c r="F11" s="126">
        <v>1.27</v>
      </c>
      <c r="G11" s="36">
        <f>Gas!C12*0.9147</f>
        <v>568.02869999999996</v>
      </c>
      <c r="H11" s="127">
        <v>3.65</v>
      </c>
      <c r="I11" s="129">
        <f>Submetering!H11+Submetering!AD11+Submetering!AE11</f>
        <v>676</v>
      </c>
      <c r="J11" s="129">
        <v>10.029999999999999</v>
      </c>
      <c r="K11" s="36">
        <f>ELECT.!B12</f>
        <v>207</v>
      </c>
    </row>
    <row r="12" spans="1:14" x14ac:dyDescent="0.2">
      <c r="A12" s="47" t="s">
        <v>53</v>
      </c>
      <c r="B12" s="52">
        <f t="shared" si="0"/>
        <v>11</v>
      </c>
      <c r="C12" s="52">
        <v>10</v>
      </c>
      <c r="D12" s="52">
        <v>2022</v>
      </c>
      <c r="E12" s="36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0</v>
      </c>
      <c r="F12" s="126">
        <v>1.27</v>
      </c>
      <c r="G12" s="36">
        <f>Gas!C13*0.9147</f>
        <v>0</v>
      </c>
      <c r="H12" s="127">
        <v>3.65</v>
      </c>
      <c r="I12" s="129">
        <f>Submetering!H12+Submetering!AD12+Submetering!AE12</f>
        <v>-194</v>
      </c>
      <c r="J12" s="129">
        <v>10.029999999999999</v>
      </c>
      <c r="K12" s="36">
        <f>ELECT.!B13</f>
        <v>0</v>
      </c>
    </row>
    <row r="13" spans="1:14" x14ac:dyDescent="0.2">
      <c r="A13" s="47" t="s">
        <v>53</v>
      </c>
      <c r="B13" s="52">
        <f t="shared" si="0"/>
        <v>12</v>
      </c>
      <c r="C13" s="52">
        <v>10</v>
      </c>
      <c r="D13" s="52">
        <v>2022</v>
      </c>
      <c r="E13" s="36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0</v>
      </c>
      <c r="F13" s="126">
        <v>1.27</v>
      </c>
      <c r="G13" s="36">
        <f>Gas!C14*0.9147</f>
        <v>0</v>
      </c>
      <c r="H13" s="127">
        <v>3.65</v>
      </c>
      <c r="I13" s="129">
        <f>Submetering!H13+Submetering!AD13+Submetering!AE13</f>
        <v>-194</v>
      </c>
      <c r="J13" s="129">
        <v>10.029999999999999</v>
      </c>
      <c r="K13" s="36">
        <f>ELECT.!B14</f>
        <v>0</v>
      </c>
    </row>
    <row r="14" spans="1:14" x14ac:dyDescent="0.2">
      <c r="A14" s="47" t="s">
        <v>53</v>
      </c>
      <c r="B14" s="52">
        <f t="shared" si="0"/>
        <v>13</v>
      </c>
      <c r="C14" s="52">
        <v>10</v>
      </c>
      <c r="D14" s="52">
        <v>2022</v>
      </c>
      <c r="E14" s="36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26">
        <v>1.27</v>
      </c>
      <c r="G14" s="36">
        <f>Gas!C15*0.9147</f>
        <v>0</v>
      </c>
      <c r="H14" s="127">
        <v>3.65</v>
      </c>
      <c r="I14" s="129">
        <f>Submetering!H14+Submetering!AD14+Submetering!AE14</f>
        <v>-194</v>
      </c>
      <c r="J14" s="129">
        <v>10.029999999999999</v>
      </c>
      <c r="K14" s="36">
        <f>ELECT.!B15</f>
        <v>0</v>
      </c>
    </row>
    <row r="15" spans="1:14" x14ac:dyDescent="0.2">
      <c r="A15" s="47" t="s">
        <v>53</v>
      </c>
      <c r="B15" s="52">
        <f t="shared" si="0"/>
        <v>14</v>
      </c>
      <c r="C15" s="52">
        <v>10</v>
      </c>
      <c r="D15" s="52">
        <v>2022</v>
      </c>
      <c r="E15" s="36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26">
        <v>1.27</v>
      </c>
      <c r="G15" s="36">
        <f>Gas!C16*0.9147</f>
        <v>0</v>
      </c>
      <c r="H15" s="127">
        <v>3.65</v>
      </c>
      <c r="I15" s="129">
        <f>Submetering!H15+Submetering!AD15+Submetering!AE15</f>
        <v>-194</v>
      </c>
      <c r="J15" s="129">
        <v>10.029999999999999</v>
      </c>
      <c r="K15" s="36">
        <f>ELECT.!B16</f>
        <v>0</v>
      </c>
    </row>
    <row r="16" spans="1:14" x14ac:dyDescent="0.2">
      <c r="A16" s="47" t="s">
        <v>53</v>
      </c>
      <c r="B16" s="52">
        <f t="shared" si="0"/>
        <v>15</v>
      </c>
      <c r="C16" s="52">
        <v>10</v>
      </c>
      <c r="D16" s="52">
        <v>2022</v>
      </c>
      <c r="E16" s="36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26">
        <v>1.27</v>
      </c>
      <c r="G16" s="36">
        <f>Gas!C17*0.9147</f>
        <v>0</v>
      </c>
      <c r="H16" s="127">
        <v>3.65</v>
      </c>
      <c r="I16" s="129">
        <f>Submetering!H16+Submetering!AD16+Submetering!AE16</f>
        <v>-194</v>
      </c>
      <c r="J16" s="129">
        <v>10.029999999999999</v>
      </c>
      <c r="K16" s="36">
        <f>ELECT.!B17</f>
        <v>0</v>
      </c>
    </row>
    <row r="17" spans="1:13" x14ac:dyDescent="0.2">
      <c r="A17" s="47" t="s">
        <v>53</v>
      </c>
      <c r="B17" s="52">
        <f t="shared" si="0"/>
        <v>16</v>
      </c>
      <c r="C17" s="52">
        <v>10</v>
      </c>
      <c r="D17" s="52">
        <v>2022</v>
      </c>
      <c r="E17" s="36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26">
        <v>1.27</v>
      </c>
      <c r="G17" s="36">
        <f>Gas!C18*0.9147</f>
        <v>0</v>
      </c>
      <c r="H17" s="127">
        <v>3.65</v>
      </c>
      <c r="I17" s="129">
        <f>Submetering!H17+Submetering!AD17+Submetering!AE17</f>
        <v>-194</v>
      </c>
      <c r="J17" s="129">
        <v>10.029999999999999</v>
      </c>
      <c r="K17" s="36">
        <f>ELECT.!B18</f>
        <v>0</v>
      </c>
    </row>
    <row r="18" spans="1:13" x14ac:dyDescent="0.2">
      <c r="A18" s="47" t="s">
        <v>53</v>
      </c>
      <c r="B18" s="52">
        <f t="shared" si="0"/>
        <v>17</v>
      </c>
      <c r="C18" s="52">
        <v>10</v>
      </c>
      <c r="D18" s="52">
        <v>2022</v>
      </c>
      <c r="E18" s="36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26">
        <v>1.27</v>
      </c>
      <c r="G18" s="36">
        <f>Gas!C19*0.9147</f>
        <v>0</v>
      </c>
      <c r="H18" s="127">
        <v>3.65</v>
      </c>
      <c r="I18" s="129">
        <f>Submetering!H18+Submetering!AD18+Submetering!AE18</f>
        <v>-194</v>
      </c>
      <c r="J18" s="129">
        <v>10.029999999999999</v>
      </c>
      <c r="K18" s="36">
        <f>ELECT.!B19</f>
        <v>0</v>
      </c>
    </row>
    <row r="19" spans="1:13" x14ac:dyDescent="0.2">
      <c r="A19" s="47" t="s">
        <v>53</v>
      </c>
      <c r="B19" s="52">
        <f t="shared" si="0"/>
        <v>18</v>
      </c>
      <c r="C19" s="52">
        <v>10</v>
      </c>
      <c r="D19" s="52">
        <v>2022</v>
      </c>
      <c r="E19" s="36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26">
        <v>1.27</v>
      </c>
      <c r="G19" s="36">
        <f>Gas!C20*0.9147</f>
        <v>0</v>
      </c>
      <c r="H19" s="127">
        <v>3.65</v>
      </c>
      <c r="I19" s="129">
        <f>Submetering!H19+Submetering!AD19+Submetering!AE19</f>
        <v>-194</v>
      </c>
      <c r="J19" s="129">
        <v>10.029999999999999</v>
      </c>
      <c r="K19" s="36">
        <f>ELECT.!B20</f>
        <v>0</v>
      </c>
    </row>
    <row r="20" spans="1:13" x14ac:dyDescent="0.2">
      <c r="A20" s="47" t="s">
        <v>53</v>
      </c>
      <c r="B20" s="52">
        <f t="shared" si="0"/>
        <v>19</v>
      </c>
      <c r="C20" s="52">
        <v>10</v>
      </c>
      <c r="D20" s="52">
        <v>2022</v>
      </c>
      <c r="E20" s="36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26">
        <v>1.27</v>
      </c>
      <c r="G20" s="36">
        <f>Gas!C21*0.9147</f>
        <v>0</v>
      </c>
      <c r="H20" s="127">
        <v>3.65</v>
      </c>
      <c r="I20" s="129">
        <f>Submetering!H20+Submetering!AD20+Submetering!AE20</f>
        <v>-194</v>
      </c>
      <c r="J20" s="129">
        <v>10.029999999999999</v>
      </c>
      <c r="K20" s="36">
        <f>ELECT.!B21</f>
        <v>0</v>
      </c>
    </row>
    <row r="21" spans="1:13" x14ac:dyDescent="0.2">
      <c r="A21" s="47" t="s">
        <v>53</v>
      </c>
      <c r="B21" s="52">
        <f t="shared" si="0"/>
        <v>20</v>
      </c>
      <c r="C21" s="52">
        <v>10</v>
      </c>
      <c r="D21" s="52">
        <v>2022</v>
      </c>
      <c r="E21" s="36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26">
        <v>1.27</v>
      </c>
      <c r="G21" s="36">
        <f>Gas!C22*0.9147</f>
        <v>0</v>
      </c>
      <c r="H21" s="127">
        <v>3.65</v>
      </c>
      <c r="I21" s="129">
        <f>Submetering!H21+Submetering!AD21+Submetering!AE21</f>
        <v>-194</v>
      </c>
      <c r="J21" s="129">
        <v>10.029999999999999</v>
      </c>
      <c r="K21" s="36">
        <f>ELECT.!B22</f>
        <v>0</v>
      </c>
    </row>
    <row r="22" spans="1:13" x14ac:dyDescent="0.2">
      <c r="A22" s="47" t="s">
        <v>53</v>
      </c>
      <c r="B22" s="52">
        <f t="shared" si="0"/>
        <v>21</v>
      </c>
      <c r="C22" s="52">
        <v>10</v>
      </c>
      <c r="D22" s="52">
        <v>2022</v>
      </c>
      <c r="E22" s="36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26">
        <v>1.27</v>
      </c>
      <c r="G22" s="36">
        <f>Gas!C23*0.9147</f>
        <v>0</v>
      </c>
      <c r="H22" s="127">
        <v>3.65</v>
      </c>
      <c r="I22" s="129">
        <f>Submetering!H22+Submetering!AD22+Submetering!AE22</f>
        <v>-194</v>
      </c>
      <c r="J22" s="129">
        <v>10.029999999999999</v>
      </c>
      <c r="K22" s="36">
        <f>ELECT.!B23</f>
        <v>0</v>
      </c>
    </row>
    <row r="23" spans="1:13" x14ac:dyDescent="0.2">
      <c r="A23" s="47" t="s">
        <v>53</v>
      </c>
      <c r="B23" s="52">
        <f t="shared" si="0"/>
        <v>22</v>
      </c>
      <c r="C23" s="52">
        <v>10</v>
      </c>
      <c r="D23" s="52">
        <v>2022</v>
      </c>
      <c r="E23" s="36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26">
        <v>1.27</v>
      </c>
      <c r="G23" s="36">
        <f>Gas!C24*0.9147</f>
        <v>0</v>
      </c>
      <c r="H23" s="127">
        <v>3.65</v>
      </c>
      <c r="I23" s="129">
        <f>Submetering!H23+Submetering!AD23+Submetering!AE23</f>
        <v>-194</v>
      </c>
      <c r="J23" s="129">
        <v>10.029999999999999</v>
      </c>
      <c r="K23" s="36">
        <f>ELECT.!B24</f>
        <v>0</v>
      </c>
    </row>
    <row r="24" spans="1:13" x14ac:dyDescent="0.2">
      <c r="A24" s="47" t="s">
        <v>53</v>
      </c>
      <c r="B24" s="52">
        <f t="shared" si="0"/>
        <v>23</v>
      </c>
      <c r="C24" s="52">
        <v>10</v>
      </c>
      <c r="D24" s="52">
        <v>2022</v>
      </c>
      <c r="E24" s="36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26">
        <v>1.27</v>
      </c>
      <c r="G24" s="36">
        <f>Gas!C25*0.9147</f>
        <v>0</v>
      </c>
      <c r="H24" s="127">
        <v>3.65</v>
      </c>
      <c r="I24" s="129">
        <f>Submetering!H24+Submetering!AD24+Submetering!AE24</f>
        <v>-194</v>
      </c>
      <c r="J24" s="129">
        <v>10.029999999999999</v>
      </c>
      <c r="K24" s="36">
        <f>ELECT.!B25</f>
        <v>0</v>
      </c>
    </row>
    <row r="25" spans="1:13" x14ac:dyDescent="0.2">
      <c r="A25" s="47" t="s">
        <v>53</v>
      </c>
      <c r="B25" s="52">
        <f t="shared" si="0"/>
        <v>24</v>
      </c>
      <c r="C25" s="52">
        <v>10</v>
      </c>
      <c r="D25" s="52">
        <v>2022</v>
      </c>
      <c r="E25" s="36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26">
        <v>1.27</v>
      </c>
      <c r="G25" s="36">
        <f>Gas!C26*0.9147</f>
        <v>0</v>
      </c>
      <c r="H25" s="127">
        <v>3.65</v>
      </c>
      <c r="I25" s="129">
        <f>Submetering!H25+Submetering!AD25+Submetering!AE25</f>
        <v>-194</v>
      </c>
      <c r="J25" s="129">
        <v>10.029999999999999</v>
      </c>
      <c r="K25" s="36">
        <f>ELECT.!B26</f>
        <v>0</v>
      </c>
    </row>
    <row r="26" spans="1:13" x14ac:dyDescent="0.2">
      <c r="A26" s="47" t="s">
        <v>53</v>
      </c>
      <c r="B26" s="52">
        <f t="shared" si="0"/>
        <v>25</v>
      </c>
      <c r="C26" s="52">
        <v>10</v>
      </c>
      <c r="D26" s="52">
        <v>2022</v>
      </c>
      <c r="E26" s="36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26">
        <v>1.27</v>
      </c>
      <c r="G26" s="36">
        <f>Gas!C27*0.9147</f>
        <v>0</v>
      </c>
      <c r="H26" s="127">
        <v>3.65</v>
      </c>
      <c r="I26" s="129">
        <f>Submetering!H26+Submetering!AD26+Submetering!AE26</f>
        <v>-194</v>
      </c>
      <c r="J26" s="129">
        <v>10.029999999999999</v>
      </c>
      <c r="K26" s="36">
        <f>ELECT.!B27</f>
        <v>0</v>
      </c>
      <c r="M26" s="26" t="s">
        <v>12</v>
      </c>
    </row>
    <row r="27" spans="1:13" x14ac:dyDescent="0.2">
      <c r="A27" s="47" t="s">
        <v>53</v>
      </c>
      <c r="B27" s="52">
        <f t="shared" si="0"/>
        <v>26</v>
      </c>
      <c r="C27" s="52">
        <v>10</v>
      </c>
      <c r="D27" s="52">
        <v>2022</v>
      </c>
      <c r="E27" s="36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26">
        <v>1.27</v>
      </c>
      <c r="G27" s="36">
        <f>Gas!C28*0.9147</f>
        <v>0</v>
      </c>
      <c r="H27" s="127">
        <v>3.65</v>
      </c>
      <c r="I27" s="129">
        <f>Submetering!H27+Submetering!AD27+Submetering!AE27</f>
        <v>-194</v>
      </c>
      <c r="J27" s="129">
        <v>10.029999999999999</v>
      </c>
      <c r="K27" s="36">
        <f>ELECT.!B28</f>
        <v>0</v>
      </c>
    </row>
    <row r="28" spans="1:13" x14ac:dyDescent="0.2">
      <c r="A28" s="47" t="s">
        <v>53</v>
      </c>
      <c r="B28" s="52">
        <f t="shared" si="0"/>
        <v>27</v>
      </c>
      <c r="C28" s="52">
        <v>10</v>
      </c>
      <c r="D28" s="52">
        <v>2022</v>
      </c>
      <c r="E28" s="36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26">
        <v>1.27</v>
      </c>
      <c r="G28" s="36">
        <f>Gas!C29*0.9147</f>
        <v>0</v>
      </c>
      <c r="H28" s="127">
        <v>3.65</v>
      </c>
      <c r="I28" s="129">
        <f>Submetering!H28+Submetering!AD28+Submetering!AE28</f>
        <v>-194</v>
      </c>
      <c r="J28" s="129">
        <v>10.029999999999999</v>
      </c>
      <c r="K28" s="36">
        <f>ELECT.!B29</f>
        <v>0</v>
      </c>
    </row>
    <row r="29" spans="1:13" x14ac:dyDescent="0.2">
      <c r="A29" s="47" t="s">
        <v>53</v>
      </c>
      <c r="B29" s="52">
        <f t="shared" si="0"/>
        <v>28</v>
      </c>
      <c r="C29" s="52">
        <v>10</v>
      </c>
      <c r="D29" s="52">
        <v>2022</v>
      </c>
      <c r="E29" s="36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27">
        <v>1.27</v>
      </c>
      <c r="G29" s="36">
        <f>Gas!C30*0.9147</f>
        <v>0</v>
      </c>
      <c r="H29" s="127">
        <v>3.65</v>
      </c>
      <c r="I29" s="129">
        <f>Submetering!H29+Submetering!AD29+Submetering!AE29</f>
        <v>-194</v>
      </c>
      <c r="J29" s="129">
        <v>10.029999999999999</v>
      </c>
      <c r="K29" s="36">
        <f>ELECT.!B30</f>
        <v>0</v>
      </c>
    </row>
    <row r="30" spans="1:13" x14ac:dyDescent="0.2">
      <c r="A30" s="47" t="s">
        <v>53</v>
      </c>
      <c r="B30" s="52">
        <f t="shared" si="0"/>
        <v>29</v>
      </c>
      <c r="C30" s="52">
        <v>10</v>
      </c>
      <c r="D30" s="52">
        <v>2022</v>
      </c>
      <c r="E30" s="36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27">
        <v>1.27</v>
      </c>
      <c r="G30" s="36">
        <f>Gas!C31*0.9147</f>
        <v>0</v>
      </c>
      <c r="H30" s="127">
        <v>3.65</v>
      </c>
      <c r="I30" s="129">
        <f>Submetering!H30+Submetering!AD30+Submetering!AE30</f>
        <v>-194</v>
      </c>
      <c r="J30" s="129">
        <v>10.029999999999999</v>
      </c>
      <c r="K30" s="36">
        <f>ELECT.!B31</f>
        <v>0</v>
      </c>
    </row>
    <row r="31" spans="1:13" x14ac:dyDescent="0.2">
      <c r="A31" s="47" t="s">
        <v>53</v>
      </c>
      <c r="B31" s="52">
        <f t="shared" si="0"/>
        <v>30</v>
      </c>
      <c r="C31" s="52">
        <v>10</v>
      </c>
      <c r="D31" s="52">
        <v>2022</v>
      </c>
      <c r="E31" s="36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27">
        <v>1.27</v>
      </c>
      <c r="G31" s="36">
        <f>Gas!C32*0.9147</f>
        <v>0</v>
      </c>
      <c r="H31" s="127">
        <v>3.65</v>
      </c>
      <c r="I31" s="129">
        <f>Submetering!H31+Submetering!AD31+Submetering!AE31</f>
        <v>-194</v>
      </c>
      <c r="J31" s="129">
        <v>10.029999999999999</v>
      </c>
      <c r="K31" s="36">
        <f>ELECT.!B32</f>
        <v>0</v>
      </c>
    </row>
    <row r="32" spans="1:13" x14ac:dyDescent="0.2">
      <c r="A32" s="47" t="s">
        <v>53</v>
      </c>
      <c r="B32" s="52">
        <f t="shared" si="0"/>
        <v>31</v>
      </c>
      <c r="C32" s="52">
        <v>10</v>
      </c>
      <c r="D32" s="52">
        <v>2022</v>
      </c>
      <c r="E32" s="36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27">
        <v>1.27</v>
      </c>
      <c r="G32" s="36">
        <f>Gas!C33*0.9147</f>
        <v>0</v>
      </c>
      <c r="H32" s="127">
        <v>3.65</v>
      </c>
      <c r="I32" s="129">
        <f>Submetering!H32+Submetering!AD32+Submetering!AE32</f>
        <v>-194</v>
      </c>
      <c r="J32" s="129">
        <v>10.029999999999999</v>
      </c>
      <c r="K32" s="36">
        <f>ELECT.!B33</f>
        <v>0</v>
      </c>
    </row>
    <row r="33" spans="5:11" x14ac:dyDescent="0.2">
      <c r="E33" s="36"/>
      <c r="F33" s="127"/>
      <c r="G33" s="36"/>
      <c r="H33" s="127"/>
      <c r="I33" s="129"/>
      <c r="J33" s="129"/>
      <c r="K33" s="36"/>
    </row>
    <row r="34" spans="5:11" x14ac:dyDescent="0.2">
      <c r="E34" s="36"/>
      <c r="F34" s="127"/>
      <c r="G34" s="36"/>
      <c r="H34" s="127"/>
      <c r="I34" s="129"/>
      <c r="J34" s="129"/>
      <c r="K34" s="36"/>
    </row>
    <row r="35" spans="5:11" x14ac:dyDescent="0.2">
      <c r="E35" s="36"/>
      <c r="F35" s="127"/>
      <c r="G35" s="36"/>
      <c r="H35" s="127"/>
      <c r="I35" s="129"/>
      <c r="J35" s="129"/>
      <c r="K35" s="36"/>
    </row>
    <row r="36" spans="5:11" x14ac:dyDescent="0.2">
      <c r="E36" s="36"/>
      <c r="F36" s="127"/>
      <c r="G36" s="36"/>
      <c r="H36" s="127"/>
      <c r="I36" s="129"/>
      <c r="J36" s="129"/>
      <c r="K36" s="36"/>
    </row>
    <row r="37" spans="5:11" x14ac:dyDescent="0.2">
      <c r="E37" s="36"/>
      <c r="F37" s="127"/>
      <c r="G37" s="36"/>
      <c r="H37" s="127"/>
      <c r="I37" s="129"/>
      <c r="J37" s="129"/>
      <c r="K37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F27" sqref="F27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17" width="12.5703125" style="36" customWidth="1"/>
    <col min="18" max="21" width="12.5703125" style="37" customWidth="1"/>
    <col min="22" max="22" width="13.140625" style="37" customWidth="1"/>
    <col min="23" max="23" width="12.5703125" style="37" customWidth="1"/>
    <col min="24" max="25" width="11.5703125" style="34"/>
    <col min="27" max="27" width="13.7109375" bestFit="1" customWidth="1"/>
    <col min="28" max="28" width="13.5703125" bestFit="1" customWidth="1"/>
    <col min="30" max="30" width="15.5703125" customWidth="1"/>
  </cols>
  <sheetData>
    <row r="1" spans="1:31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51" t="s">
        <v>64</v>
      </c>
      <c r="F1" s="51" t="s">
        <v>65</v>
      </c>
      <c r="G1" s="51" t="s">
        <v>66</v>
      </c>
      <c r="H1" s="51" t="s">
        <v>67</v>
      </c>
      <c r="I1" s="51" t="s">
        <v>57</v>
      </c>
      <c r="J1" s="51" t="s">
        <v>56</v>
      </c>
      <c r="K1" s="51" t="s">
        <v>55</v>
      </c>
      <c r="L1" s="51" t="s">
        <v>58</v>
      </c>
      <c r="M1" s="51" t="s">
        <v>59</v>
      </c>
      <c r="N1" s="51" t="s">
        <v>60</v>
      </c>
      <c r="O1" s="51" t="s">
        <v>61</v>
      </c>
      <c r="P1" s="51" t="s">
        <v>62</v>
      </c>
      <c r="Q1" s="51" t="s">
        <v>76</v>
      </c>
      <c r="R1" s="53" t="s">
        <v>68</v>
      </c>
      <c r="S1" s="53" t="s">
        <v>69</v>
      </c>
      <c r="T1" s="53" t="s">
        <v>70</v>
      </c>
      <c r="U1" s="53" t="s">
        <v>71</v>
      </c>
      <c r="V1" s="53" t="s">
        <v>72</v>
      </c>
      <c r="W1" s="53" t="s">
        <v>73</v>
      </c>
      <c r="X1" s="48" t="s">
        <v>52</v>
      </c>
      <c r="Y1" s="115" t="s">
        <v>128</v>
      </c>
      <c r="Z1" s="33" t="s">
        <v>129</v>
      </c>
      <c r="AA1" s="33" t="s">
        <v>130</v>
      </c>
      <c r="AB1" s="33" t="s">
        <v>131</v>
      </c>
      <c r="AC1" s="33" t="s">
        <v>132</v>
      </c>
      <c r="AD1" s="116" t="s">
        <v>133</v>
      </c>
      <c r="AE1" s="116" t="s">
        <v>134</v>
      </c>
    </row>
    <row r="2" spans="1:31" x14ac:dyDescent="0.2">
      <c r="A2" s="47" t="s">
        <v>53</v>
      </c>
      <c r="B2" s="52">
        <v>1</v>
      </c>
      <c r="C2" s="52">
        <v>10</v>
      </c>
      <c r="D2" s="52">
        <v>2022</v>
      </c>
      <c r="E2" s="36">
        <f>Water!C3</f>
        <v>170</v>
      </c>
      <c r="F2" s="36">
        <f>Water!E3</f>
        <v>330</v>
      </c>
      <c r="G2" s="36">
        <f>Water!G3</f>
        <v>661.5</v>
      </c>
      <c r="H2" s="36">
        <f>Water!I3</f>
        <v>4.59</v>
      </c>
      <c r="I2" s="36">
        <f>ELECT.!F3</f>
        <v>16869</v>
      </c>
      <c r="J2" s="36">
        <f>ELECT.!H3</f>
        <v>45332</v>
      </c>
      <c r="K2" s="36">
        <f>ELECT.!K3</f>
        <v>11670</v>
      </c>
      <c r="L2" s="36">
        <f>ELECT.!M3</f>
        <v>4782</v>
      </c>
      <c r="M2" s="36">
        <f>ELECT.!O3</f>
        <v>11918</v>
      </c>
      <c r="N2" s="36">
        <f>ELECT.!Q3</f>
        <v>11724</v>
      </c>
      <c r="O2" s="36">
        <f>ELECT.!S3</f>
        <v>9145</v>
      </c>
      <c r="P2" s="36">
        <f>ELECT.!W3*2</f>
        <v>18842</v>
      </c>
      <c r="Q2" s="36">
        <f>ELECT.!D3</f>
        <v>640</v>
      </c>
      <c r="R2" s="37">
        <f>BTU!C3</f>
        <v>13.299999999999272</v>
      </c>
      <c r="S2" s="37">
        <f>BTU!F3</f>
        <v>2.1189999999996871</v>
      </c>
      <c r="T2" s="37">
        <f>BTU!I3</f>
        <v>10</v>
      </c>
      <c r="U2" s="37">
        <f>BTU!O3</f>
        <v>2.343000000000302</v>
      </c>
      <c r="V2" s="37">
        <f>BTU!L3</f>
        <v>1.9099999999998545</v>
      </c>
      <c r="W2" s="37">
        <f>BTU!R3</f>
        <v>0.88000000000010914</v>
      </c>
      <c r="X2" s="34">
        <f>ELECT.!B3</f>
        <v>257</v>
      </c>
      <c r="Y2" s="34">
        <f>I2+J2-(K2+L2+M2+N2+O2+P2)</f>
        <v>-5880</v>
      </c>
      <c r="Z2">
        <f>'Mall, Citadel, Rotana'!C3+'Mall, Citadel, Rotana'!E3+'Mall, Citadel, Rotana'!G3+'Mall, Citadel, Rotana'!I3</f>
        <v>1190</v>
      </c>
      <c r="AA2">
        <f>'Mall, Citadel, Rotana'!K3+'Mall, Citadel, Rotana'!M3</f>
        <v>255</v>
      </c>
      <c r="AB2">
        <f>'Mall, Citadel, Rotana'!O3</f>
        <v>3</v>
      </c>
      <c r="AC2">
        <f>'Mall, Citadel, Rotana'!Q3+'Mall, Citadel, Rotana'!S3</f>
        <v>117</v>
      </c>
      <c r="AD2" s="34">
        <f>(E2-H2-194)*0.1318</f>
        <v>-3.7681620000000007</v>
      </c>
      <c r="AE2" s="34">
        <f>E2-H2-AD2-194</f>
        <v>-24.821838000000014</v>
      </c>
    </row>
    <row r="3" spans="1:31" x14ac:dyDescent="0.2">
      <c r="A3" s="47" t="s">
        <v>53</v>
      </c>
      <c r="B3" s="52">
        <f>B2+1</f>
        <v>2</v>
      </c>
      <c r="C3" s="52">
        <v>10</v>
      </c>
      <c r="D3" s="52">
        <v>2022</v>
      </c>
      <c r="E3" s="36">
        <f>Water!C4</f>
        <v>1000</v>
      </c>
      <c r="F3" s="36">
        <f>Water!E4</f>
        <v>320</v>
      </c>
      <c r="G3" s="36">
        <f>Water!G4</f>
        <v>621</v>
      </c>
      <c r="H3" s="36">
        <f>Water!I4</f>
        <v>4.8600000000000003</v>
      </c>
      <c r="I3" s="36">
        <f>ELECT.!F4</f>
        <v>28102</v>
      </c>
      <c r="J3" s="36">
        <f>ELECT.!H4</f>
        <v>70045</v>
      </c>
      <c r="K3" s="36">
        <f>ELECT.!K4</f>
        <v>12678</v>
      </c>
      <c r="L3" s="36">
        <f>ELECT.!M4</f>
        <v>7683</v>
      </c>
      <c r="M3" s="36">
        <f>ELECT.!O4</f>
        <v>20180</v>
      </c>
      <c r="N3" s="36">
        <f>ELECT.!Q4</f>
        <v>16820</v>
      </c>
      <c r="O3" s="36">
        <f>ELECT.!S4</f>
        <v>13913</v>
      </c>
      <c r="P3" s="36">
        <f>ELECT.!W4*2</f>
        <v>30490</v>
      </c>
      <c r="Q3" s="36">
        <f>ELECT.!D4</f>
        <v>480</v>
      </c>
      <c r="R3" s="129">
        <f>BTU!C4</f>
        <v>14.882000000001426</v>
      </c>
      <c r="S3" s="129">
        <f>BTU!F4</f>
        <v>2.1550000000006548</v>
      </c>
      <c r="T3" s="129">
        <f>BTU!I4</f>
        <v>10</v>
      </c>
      <c r="U3" s="129">
        <f>BTU!O4</f>
        <v>2.9399999999995998</v>
      </c>
      <c r="V3" s="129">
        <f>BTU!L4</f>
        <v>1.7399999999997817</v>
      </c>
      <c r="W3" s="129">
        <f>BTU!R4</f>
        <v>1.7699999999995271</v>
      </c>
      <c r="X3" s="34">
        <f>ELECT.!B4</f>
        <v>264</v>
      </c>
      <c r="Y3" s="34">
        <f t="shared" ref="Y3:Y31" si="0">I3+J3-(K3+L3+M3+N3+O3+P3)</f>
        <v>-3617</v>
      </c>
      <c r="Z3">
        <f>'Mall, Citadel, Rotana'!C4+'Mall, Citadel, Rotana'!E4+'Mall, Citadel, Rotana'!G4+'Mall, Citadel, Rotana'!I4</f>
        <v>1238</v>
      </c>
      <c r="AA3">
        <f>'Mall, Citadel, Rotana'!K4+'Mall, Citadel, Rotana'!M4</f>
        <v>420</v>
      </c>
      <c r="AB3">
        <f>'Mall, Citadel, Rotana'!O4</f>
        <v>4</v>
      </c>
      <c r="AC3">
        <f>'Mall, Citadel, Rotana'!Q4+'Mall, Citadel, Rotana'!S4</f>
        <v>121</v>
      </c>
      <c r="AD3" s="34">
        <f t="shared" ref="AD3:AD31" si="1">(E3-H3-194)*0.1318</f>
        <v>105.59025199999999</v>
      </c>
      <c r="AE3" s="34">
        <f t="shared" ref="AE3:AE31" si="2">E3-H3-AD3-194</f>
        <v>695.54974800000002</v>
      </c>
    </row>
    <row r="4" spans="1:31" x14ac:dyDescent="0.2">
      <c r="A4" s="47" t="s">
        <v>53</v>
      </c>
      <c r="B4" s="52">
        <f t="shared" ref="B4:B32" si="3">B3+1</f>
        <v>3</v>
      </c>
      <c r="C4" s="52">
        <v>10</v>
      </c>
      <c r="D4" s="52">
        <v>2022</v>
      </c>
      <c r="E4" s="36">
        <f>Water!C5</f>
        <v>950</v>
      </c>
      <c r="F4" s="36">
        <f>Water!E5</f>
        <v>340</v>
      </c>
      <c r="G4" s="36">
        <f>Water!G5</f>
        <v>591.29999999999995</v>
      </c>
      <c r="H4" s="36">
        <f>Water!I5</f>
        <v>5.157</v>
      </c>
      <c r="I4" s="36">
        <f>ELECT.!F5</f>
        <v>21349</v>
      </c>
      <c r="J4" s="36">
        <f>ELECT.!H5</f>
        <v>54006</v>
      </c>
      <c r="K4" s="36">
        <f>ELECT.!K5</f>
        <v>12010</v>
      </c>
      <c r="L4" s="36">
        <f>ELECT.!M5</f>
        <v>5887</v>
      </c>
      <c r="M4" s="36">
        <f>ELECT.!O5</f>
        <v>15320</v>
      </c>
      <c r="N4" s="36">
        <f>ELECT.!Q5</f>
        <v>12704</v>
      </c>
      <c r="O4" s="36">
        <f>ELECT.!S5</f>
        <v>10662</v>
      </c>
      <c r="P4" s="36">
        <f>ELECT.!W5*2</f>
        <v>23494</v>
      </c>
      <c r="Q4" s="36">
        <f>ELECT.!D5</f>
        <v>640</v>
      </c>
      <c r="R4" s="129">
        <f>BTU!C5</f>
        <v>10.661000000000058</v>
      </c>
      <c r="S4" s="129">
        <f>BTU!F5</f>
        <v>3.6340000000000146</v>
      </c>
      <c r="T4" s="129">
        <f>BTU!I5</f>
        <v>8</v>
      </c>
      <c r="U4" s="129">
        <f>BTU!O5</f>
        <v>1.7870000000002619</v>
      </c>
      <c r="V4" s="129">
        <f>BTU!L5</f>
        <v>1.6100000000005821</v>
      </c>
      <c r="W4" s="129">
        <f>BTU!R5</f>
        <v>4.9499999999998181</v>
      </c>
      <c r="X4" s="34">
        <f>ELECT.!B5</f>
        <v>289</v>
      </c>
      <c r="Y4" s="34">
        <f t="shared" si="0"/>
        <v>-4722</v>
      </c>
      <c r="Z4">
        <f>'Mall, Citadel, Rotana'!C5+'Mall, Citadel, Rotana'!E5+'Mall, Citadel, Rotana'!G5+'Mall, Citadel, Rotana'!I5</f>
        <v>1546</v>
      </c>
      <c r="AA4">
        <f>'Mall, Citadel, Rotana'!K5+'Mall, Citadel, Rotana'!M5</f>
        <v>357</v>
      </c>
      <c r="AB4">
        <f>'Mall, Citadel, Rotana'!O5</f>
        <v>3</v>
      </c>
      <c r="AC4">
        <f>'Mall, Citadel, Rotana'!Q5+'Mall, Citadel, Rotana'!S5</f>
        <v>117</v>
      </c>
      <c r="AD4" s="34">
        <f t="shared" si="1"/>
        <v>98.961107399999989</v>
      </c>
      <c r="AE4" s="34">
        <f t="shared" si="2"/>
        <v>651.88189260000001</v>
      </c>
    </row>
    <row r="5" spans="1:31" x14ac:dyDescent="0.2">
      <c r="A5" s="47" t="s">
        <v>53</v>
      </c>
      <c r="B5" s="52">
        <f t="shared" si="3"/>
        <v>4</v>
      </c>
      <c r="C5" s="52">
        <v>10</v>
      </c>
      <c r="D5" s="52">
        <v>2022</v>
      </c>
      <c r="E5" s="36">
        <f>Water!C6</f>
        <v>1090</v>
      </c>
      <c r="F5" s="36">
        <f>Water!E6</f>
        <v>330</v>
      </c>
      <c r="G5" s="36">
        <f>Water!G6</f>
        <v>585.9</v>
      </c>
      <c r="H5" s="36">
        <f>Water!I6</f>
        <v>4.32</v>
      </c>
      <c r="I5" s="36">
        <f>ELECT.!F6</f>
        <v>25170</v>
      </c>
      <c r="J5" s="36">
        <f>ELECT.!H6</f>
        <v>64749</v>
      </c>
      <c r="K5" s="36">
        <f>ELECT.!K6</f>
        <v>15004</v>
      </c>
      <c r="L5" s="36">
        <f>ELECT.!M6</f>
        <v>7238</v>
      </c>
      <c r="M5" s="36">
        <f>ELECT.!O6</f>
        <v>17612</v>
      </c>
      <c r="N5" s="36">
        <f>ELECT.!Q6</f>
        <v>14384</v>
      </c>
      <c r="O5" s="36">
        <f>ELECT.!S6</f>
        <v>13107</v>
      </c>
      <c r="P5" s="36">
        <f>ELECT.!W6*2</f>
        <v>28404</v>
      </c>
      <c r="Q5" s="36">
        <f>ELECT.!D6</f>
        <v>480</v>
      </c>
      <c r="R5" s="129">
        <f>BTU!C6</f>
        <v>10.864999999997963</v>
      </c>
      <c r="S5" s="129">
        <f>BTU!F6</f>
        <v>2.9869999999991705</v>
      </c>
      <c r="T5" s="129">
        <f>BTU!I6</f>
        <v>9</v>
      </c>
      <c r="U5" s="129">
        <f>BTU!O6</f>
        <v>2.2539999999999054</v>
      </c>
      <c r="V5" s="129">
        <f>BTU!L6</f>
        <v>1.7999999999992724</v>
      </c>
      <c r="W5" s="129">
        <f>BTU!R6</f>
        <v>2.3900000000003274</v>
      </c>
      <c r="X5" s="34">
        <f>ELECT.!B6</f>
        <v>174</v>
      </c>
      <c r="Y5" s="34">
        <f t="shared" si="0"/>
        <v>-5830</v>
      </c>
      <c r="Z5">
        <f>'Mall, Citadel, Rotana'!C6+'Mall, Citadel, Rotana'!E6+'Mall, Citadel, Rotana'!G6+'Mall, Citadel, Rotana'!I6</f>
        <v>1235</v>
      </c>
      <c r="AA5">
        <f>'Mall, Citadel, Rotana'!K6+'Mall, Citadel, Rotana'!M6</f>
        <v>344</v>
      </c>
      <c r="AB5">
        <f>'Mall, Citadel, Rotana'!O6</f>
        <v>3</v>
      </c>
      <c r="AC5">
        <f>'Mall, Citadel, Rotana'!Q6+'Mall, Citadel, Rotana'!S6</f>
        <v>120</v>
      </c>
      <c r="AD5" s="34">
        <f t="shared" si="1"/>
        <v>117.52342400000001</v>
      </c>
      <c r="AE5" s="34">
        <f t="shared" si="2"/>
        <v>774.15657600000009</v>
      </c>
    </row>
    <row r="6" spans="1:31" x14ac:dyDescent="0.2">
      <c r="A6" s="47" t="s">
        <v>53</v>
      </c>
      <c r="B6" s="52">
        <f t="shared" si="3"/>
        <v>5</v>
      </c>
      <c r="C6" s="52">
        <v>10</v>
      </c>
      <c r="D6" s="52">
        <v>2022</v>
      </c>
      <c r="E6" s="36">
        <f>Water!C7</f>
        <v>920</v>
      </c>
      <c r="F6" s="36">
        <f>Water!E7</f>
        <v>320</v>
      </c>
      <c r="G6" s="36">
        <f>Water!G7</f>
        <v>515.70000000000005</v>
      </c>
      <c r="H6" s="36">
        <f>Water!I7</f>
        <v>3.996</v>
      </c>
      <c r="I6" s="36">
        <f>ELECT.!F7</f>
        <v>15221</v>
      </c>
      <c r="J6" s="36">
        <f>ELECT.!H7</f>
        <v>38070</v>
      </c>
      <c r="K6" s="36">
        <f>ELECT.!K7</f>
        <v>8936</v>
      </c>
      <c r="L6" s="36">
        <f>ELECT.!M7</f>
        <v>4337</v>
      </c>
      <c r="M6" s="36">
        <f>ELECT.!O7</f>
        <v>10710</v>
      </c>
      <c r="N6" s="36">
        <f>ELECT.!Q7</f>
        <v>8743</v>
      </c>
      <c r="O6" s="36">
        <f>ELECT.!S7</f>
        <v>7586</v>
      </c>
      <c r="P6" s="36">
        <f>ELECT.!W7*2</f>
        <v>16446</v>
      </c>
      <c r="Q6" s="36">
        <f>ELECT.!D7</f>
        <v>640</v>
      </c>
      <c r="R6" s="129">
        <f>BTU!C7</f>
        <v>11.225999999998749</v>
      </c>
      <c r="S6" s="129">
        <f>BTU!F7</f>
        <v>2.9080000000003565</v>
      </c>
      <c r="T6" s="129">
        <f>BTU!I7</f>
        <v>8</v>
      </c>
      <c r="U6" s="129">
        <f>BTU!O7</f>
        <v>2.3330000000000837</v>
      </c>
      <c r="V6" s="129">
        <f>BTU!L7</f>
        <v>1.7000000000007276</v>
      </c>
      <c r="W6" s="129">
        <f>BTU!R7</f>
        <v>2.0599999999994907</v>
      </c>
      <c r="X6" s="34">
        <f>ELECT.!B7</f>
        <v>185</v>
      </c>
      <c r="Y6" s="34">
        <f t="shared" si="0"/>
        <v>-3467</v>
      </c>
      <c r="Z6">
        <f>'Mall, Citadel, Rotana'!C7+'Mall, Citadel, Rotana'!E7+'Mall, Citadel, Rotana'!G7+'Mall, Citadel, Rotana'!I7</f>
        <v>1230</v>
      </c>
      <c r="AA6">
        <f>'Mall, Citadel, Rotana'!K7+'Mall, Citadel, Rotana'!M7</f>
        <v>423</v>
      </c>
      <c r="AB6">
        <f>'Mall, Citadel, Rotana'!O7</f>
        <v>4</v>
      </c>
      <c r="AC6">
        <f>'Mall, Citadel, Rotana'!Q7+'Mall, Citadel, Rotana'!S7</f>
        <v>116</v>
      </c>
      <c r="AD6" s="34">
        <f t="shared" si="1"/>
        <v>95.160127200000005</v>
      </c>
      <c r="AE6" s="34">
        <f t="shared" si="2"/>
        <v>626.84387279999999</v>
      </c>
    </row>
    <row r="7" spans="1:31" x14ac:dyDescent="0.2">
      <c r="A7" s="47" t="s">
        <v>53</v>
      </c>
      <c r="B7" s="52">
        <f t="shared" si="3"/>
        <v>6</v>
      </c>
      <c r="C7" s="52">
        <v>10</v>
      </c>
      <c r="D7" s="52">
        <v>2022</v>
      </c>
      <c r="E7" s="36">
        <f>Water!C8</f>
        <v>900</v>
      </c>
      <c r="F7" s="36">
        <f>Water!E8</f>
        <v>330</v>
      </c>
      <c r="G7" s="36">
        <f>Water!G8</f>
        <v>537.29999999999995</v>
      </c>
      <c r="H7" s="36">
        <f>Water!I8</f>
        <v>3.4830000000000001</v>
      </c>
      <c r="I7" s="36">
        <f>ELECT.!F8</f>
        <v>26844</v>
      </c>
      <c r="J7" s="36">
        <f>ELECT.!H8</f>
        <v>70446</v>
      </c>
      <c r="K7" s="36">
        <f>ELECT.!K8</f>
        <v>14930</v>
      </c>
      <c r="L7" s="36">
        <f>ELECT.!M8</f>
        <v>7669</v>
      </c>
      <c r="M7" s="36">
        <f>ELECT.!O8</f>
        <v>18898</v>
      </c>
      <c r="N7" s="36">
        <f>ELECT.!Q8</f>
        <v>15282</v>
      </c>
      <c r="O7" s="36">
        <f>ELECT.!S8</f>
        <v>14704</v>
      </c>
      <c r="P7" s="36">
        <f>ELECT.!W8*2</f>
        <v>31496</v>
      </c>
      <c r="Q7" s="36">
        <f>ELECT.!D8</f>
        <v>480</v>
      </c>
      <c r="R7" s="129">
        <f>BTU!C8</f>
        <v>11.137000000002445</v>
      </c>
      <c r="S7" s="129">
        <f>BTU!F8</f>
        <v>1.8209999999999127</v>
      </c>
      <c r="T7" s="129">
        <f>BTU!I8</f>
        <v>7</v>
      </c>
      <c r="U7" s="129">
        <f>BTU!O8</f>
        <v>2.3020000000001346</v>
      </c>
      <c r="V7" s="129">
        <f>BTU!L8</f>
        <v>1.3400000000001455</v>
      </c>
      <c r="W7" s="129">
        <f>BTU!R8</f>
        <v>2.5</v>
      </c>
      <c r="X7" s="34">
        <f>ELECT.!B8</f>
        <v>160</v>
      </c>
      <c r="Y7" s="34">
        <f t="shared" si="0"/>
        <v>-5689</v>
      </c>
      <c r="Z7">
        <f>'Mall, Citadel, Rotana'!C8+'Mall, Citadel, Rotana'!E8+'Mall, Citadel, Rotana'!G8+'Mall, Citadel, Rotana'!I8</f>
        <v>1395</v>
      </c>
      <c r="AA7">
        <f>'Mall, Citadel, Rotana'!K8+'Mall, Citadel, Rotana'!M8</f>
        <v>237</v>
      </c>
      <c r="AB7">
        <f>'Mall, Citadel, Rotana'!O8</f>
        <v>2</v>
      </c>
      <c r="AC7">
        <f>'Mall, Citadel, Rotana'!Q8+'Mall, Citadel, Rotana'!S8</f>
        <v>0</v>
      </c>
      <c r="AD7" s="34">
        <f t="shared" si="1"/>
        <v>92.591740600000008</v>
      </c>
      <c r="AE7" s="34">
        <f t="shared" si="2"/>
        <v>609.92525940000007</v>
      </c>
    </row>
    <row r="8" spans="1:31" x14ac:dyDescent="0.2">
      <c r="A8" s="47" t="s">
        <v>53</v>
      </c>
      <c r="B8" s="52">
        <f t="shared" si="3"/>
        <v>7</v>
      </c>
      <c r="C8" s="52">
        <v>10</v>
      </c>
      <c r="D8" s="52">
        <v>2022</v>
      </c>
      <c r="E8" s="36">
        <f>Water!C9</f>
        <v>910</v>
      </c>
      <c r="F8" s="36">
        <f>Water!E9</f>
        <v>340</v>
      </c>
      <c r="G8" s="36">
        <f>Water!G9</f>
        <v>529.20000000000005</v>
      </c>
      <c r="H8" s="36">
        <f>Water!I9</f>
        <v>3.5640000000000001</v>
      </c>
      <c r="I8" s="36">
        <f>ELECT.!F9</f>
        <v>18380</v>
      </c>
      <c r="J8" s="36">
        <f>ELECT.!H9</f>
        <v>49867</v>
      </c>
      <c r="K8" s="36">
        <f>ELECT.!K9</f>
        <v>10456</v>
      </c>
      <c r="L8" s="36">
        <f>ELECT.!M9</f>
        <v>5323</v>
      </c>
      <c r="M8" s="36">
        <f>ELECT.!O9</f>
        <v>12856</v>
      </c>
      <c r="N8" s="36">
        <f>ELECT.!Q9</f>
        <v>10052</v>
      </c>
      <c r="O8" s="36">
        <f>ELECT.!S9</f>
        <v>10778</v>
      </c>
      <c r="P8" s="36">
        <f>ELECT.!W9*2</f>
        <v>22782</v>
      </c>
      <c r="Q8" s="36">
        <f>ELECT.!D9</f>
        <v>480</v>
      </c>
      <c r="R8" s="129">
        <f>BTU!C9</f>
        <v>8.7999999999992724</v>
      </c>
      <c r="S8" s="129">
        <f>BTU!F9</f>
        <v>1.3500000000003638</v>
      </c>
      <c r="T8" s="129">
        <f>BTU!I9</f>
        <v>6</v>
      </c>
      <c r="U8" s="129">
        <f>BTU!O9</f>
        <v>2.4829999999997199</v>
      </c>
      <c r="V8" s="129">
        <f>BTU!L9</f>
        <v>1.6000000000003638</v>
      </c>
      <c r="W8" s="129">
        <f>BTU!R9</f>
        <v>2.2200000000002547</v>
      </c>
      <c r="X8" s="34">
        <f>ELECT.!B9</f>
        <v>200</v>
      </c>
      <c r="Y8" s="34">
        <f t="shared" si="0"/>
        <v>-4000</v>
      </c>
      <c r="Z8">
        <f>'Mall, Citadel, Rotana'!C9+'Mall, Citadel, Rotana'!E9+'Mall, Citadel, Rotana'!G9+'Mall, Citadel, Rotana'!I9</f>
        <v>1204</v>
      </c>
      <c r="AA8">
        <f>'Mall, Citadel, Rotana'!K9+'Mall, Citadel, Rotana'!M9</f>
        <v>236</v>
      </c>
      <c r="AB8">
        <f>'Mall, Citadel, Rotana'!O9</f>
        <v>4</v>
      </c>
      <c r="AC8">
        <f>'Mall, Citadel, Rotana'!Q9+'Mall, Citadel, Rotana'!S9</f>
        <v>679</v>
      </c>
      <c r="AD8" s="34">
        <f t="shared" si="1"/>
        <v>93.899064800000005</v>
      </c>
      <c r="AE8" s="34">
        <f t="shared" si="2"/>
        <v>618.53693520000002</v>
      </c>
    </row>
    <row r="9" spans="1:31" x14ac:dyDescent="0.2">
      <c r="A9" s="47" t="s">
        <v>53</v>
      </c>
      <c r="B9" s="52">
        <f t="shared" si="3"/>
        <v>8</v>
      </c>
      <c r="C9" s="52">
        <v>10</v>
      </c>
      <c r="D9" s="52">
        <v>2022</v>
      </c>
      <c r="E9" s="36">
        <f>Water!C10</f>
        <v>810</v>
      </c>
      <c r="F9" s="36">
        <f>Water!E10</f>
        <v>290</v>
      </c>
      <c r="G9" s="36">
        <f>Water!G10</f>
        <v>459</v>
      </c>
      <c r="H9" s="36">
        <f>Water!I10</f>
        <v>3.8340000000000001</v>
      </c>
      <c r="I9" s="36">
        <f>ELECT.!F10</f>
        <v>16220</v>
      </c>
      <c r="J9" s="36">
        <f>ELECT.!H10</f>
        <v>43089</v>
      </c>
      <c r="K9" s="36">
        <f>ELECT.!K10</f>
        <v>9572</v>
      </c>
      <c r="L9" s="36">
        <f>ELECT.!M10</f>
        <v>4719</v>
      </c>
      <c r="M9" s="36">
        <f>ELECT.!O10</f>
        <v>11332</v>
      </c>
      <c r="N9" s="36">
        <f>ELECT.!Q10</f>
        <v>8692</v>
      </c>
      <c r="O9" s="36">
        <f>ELECT.!S10</f>
        <v>8891</v>
      </c>
      <c r="P9" s="36">
        <f>ELECT.!W10*2</f>
        <v>19702</v>
      </c>
      <c r="Q9" s="36">
        <f>ELECT.!D10</f>
        <v>480</v>
      </c>
      <c r="R9" s="129">
        <f>BTU!C10</f>
        <v>10.400000000001455</v>
      </c>
      <c r="S9" s="129">
        <f>BTU!F10</f>
        <v>1.9099999999998545</v>
      </c>
      <c r="T9" s="129">
        <f>BTU!I10</f>
        <v>8</v>
      </c>
      <c r="U9" s="129">
        <f>BTU!O10</f>
        <v>2.8099999999999454</v>
      </c>
      <c r="V9" s="129">
        <f>BTU!L10</f>
        <v>1.7700000000004366</v>
      </c>
      <c r="W9" s="129">
        <f>BTU!R10</f>
        <v>1.9000000000005457</v>
      </c>
      <c r="X9" s="34">
        <f>ELECT.!B10</f>
        <v>180</v>
      </c>
      <c r="Y9" s="34">
        <f t="shared" si="0"/>
        <v>-3599</v>
      </c>
      <c r="Z9">
        <f>'Mall, Citadel, Rotana'!C10+'Mall, Citadel, Rotana'!E10+'Mall, Citadel, Rotana'!G10+'Mall, Citadel, Rotana'!I10</f>
        <v>1390</v>
      </c>
      <c r="AA9">
        <f>'Mall, Citadel, Rotana'!K10+'Mall, Citadel, Rotana'!M10</f>
        <v>257</v>
      </c>
      <c r="AB9">
        <f>'Mall, Citadel, Rotana'!O10</f>
        <v>3</v>
      </c>
      <c r="AC9">
        <f>'Mall, Citadel, Rotana'!Q10+'Mall, Citadel, Rotana'!S10</f>
        <v>122</v>
      </c>
      <c r="AD9" s="34">
        <f t="shared" si="1"/>
        <v>80.683478800000003</v>
      </c>
      <c r="AE9" s="34">
        <f t="shared" si="2"/>
        <v>531.48252120000006</v>
      </c>
    </row>
    <row r="10" spans="1:31" x14ac:dyDescent="0.2">
      <c r="A10" s="47" t="s">
        <v>53</v>
      </c>
      <c r="B10" s="52">
        <f t="shared" si="3"/>
        <v>9</v>
      </c>
      <c r="C10" s="52">
        <v>10</v>
      </c>
      <c r="D10" s="52">
        <v>2022</v>
      </c>
      <c r="E10" s="36">
        <f>Water!C11</f>
        <v>890</v>
      </c>
      <c r="F10" s="36">
        <f>Water!E11</f>
        <v>310</v>
      </c>
      <c r="G10" s="36">
        <f>Water!G11</f>
        <v>523.79999999999995</v>
      </c>
      <c r="H10" s="36">
        <f>Water!I11</f>
        <v>5.0220000000000002</v>
      </c>
      <c r="I10" s="36">
        <f>ELECT.!F11</f>
        <v>23695</v>
      </c>
      <c r="J10" s="36">
        <f>ELECT.!H11</f>
        <v>61508</v>
      </c>
      <c r="K10" s="36">
        <f>ELECT.!K11</f>
        <v>14146</v>
      </c>
      <c r="L10" s="36">
        <f>ELECT.!M11</f>
        <v>7335</v>
      </c>
      <c r="M10" s="36">
        <f>ELECT.!O11</f>
        <v>16112</v>
      </c>
      <c r="N10" s="36">
        <f>ELECT.!Q11</f>
        <v>12604</v>
      </c>
      <c r="O10" s="36">
        <f>ELECT.!S11</f>
        <v>12754</v>
      </c>
      <c r="P10" s="36">
        <f>ELECT.!W11*2</f>
        <v>27708</v>
      </c>
      <c r="Q10" s="36">
        <f>ELECT.!D11</f>
        <v>480</v>
      </c>
      <c r="R10" s="129">
        <f>BTU!C11</f>
        <v>7.1179999999985739</v>
      </c>
      <c r="S10" s="129">
        <f>BTU!F11</f>
        <v>2.5069999999996071</v>
      </c>
      <c r="T10" s="129">
        <f>BTU!I11</f>
        <v>6</v>
      </c>
      <c r="U10" s="129">
        <f>BTU!O11</f>
        <v>1.9570000000003347</v>
      </c>
      <c r="V10" s="129">
        <f>BTU!L11</f>
        <v>1.0099999999983993</v>
      </c>
      <c r="W10" s="129">
        <f>BTU!R11</f>
        <v>1.7799999999997453</v>
      </c>
      <c r="X10" s="34">
        <f>ELECT.!B11</f>
        <v>222</v>
      </c>
      <c r="Y10" s="34">
        <f t="shared" si="0"/>
        <v>-5456</v>
      </c>
      <c r="Z10">
        <f>'Mall, Citadel, Rotana'!C11+'Mall, Citadel, Rotana'!E11+'Mall, Citadel, Rotana'!G11+'Mall, Citadel, Rotana'!I11</f>
        <v>1392</v>
      </c>
      <c r="AA10">
        <f>'Mall, Citadel, Rotana'!K11+'Mall, Citadel, Rotana'!M11</f>
        <v>254</v>
      </c>
      <c r="AB10">
        <f>'Mall, Citadel, Rotana'!O11</f>
        <v>3</v>
      </c>
      <c r="AC10">
        <f>'Mall, Citadel, Rotana'!Q11+'Mall, Citadel, Rotana'!S11</f>
        <v>115</v>
      </c>
      <c r="AD10" s="34">
        <f t="shared" si="1"/>
        <v>91.070900399999999</v>
      </c>
      <c r="AE10" s="34">
        <f t="shared" si="2"/>
        <v>599.90709959999992</v>
      </c>
    </row>
    <row r="11" spans="1:31" x14ac:dyDescent="0.2">
      <c r="A11" s="47" t="s">
        <v>53</v>
      </c>
      <c r="B11" s="52">
        <f t="shared" si="3"/>
        <v>10</v>
      </c>
      <c r="C11" s="52">
        <v>10</v>
      </c>
      <c r="D11" s="52">
        <v>2022</v>
      </c>
      <c r="E11" s="36">
        <f>Water!C12</f>
        <v>870</v>
      </c>
      <c r="F11" s="36">
        <f>Water!E12</f>
        <v>320</v>
      </c>
      <c r="G11" s="36">
        <f>Water!G12</f>
        <v>507.59999999999997</v>
      </c>
      <c r="H11" s="36">
        <f>Water!I12</f>
        <v>4.6440000000000001</v>
      </c>
      <c r="I11" s="36">
        <f>ELECT.!F12</f>
        <v>21810</v>
      </c>
      <c r="J11" s="36">
        <f>ELECT.!H12</f>
        <v>56569</v>
      </c>
      <c r="K11" s="36">
        <f>ELECT.!K12</f>
        <v>12978</v>
      </c>
      <c r="L11" s="36">
        <f>ELECT.!M12</f>
        <v>6448</v>
      </c>
      <c r="M11" s="36">
        <f>ELECT.!O12</f>
        <v>15152</v>
      </c>
      <c r="N11" s="36">
        <f>ELECT.!Q12</f>
        <v>11899</v>
      </c>
      <c r="O11" s="36">
        <f>ELECT.!S12</f>
        <v>11352</v>
      </c>
      <c r="P11" s="36">
        <f>ELECT.!W12*2</f>
        <v>25504</v>
      </c>
      <c r="Q11" s="36">
        <f>ELECT.!D12</f>
        <v>480</v>
      </c>
      <c r="R11" s="129">
        <f>BTU!C12</f>
        <v>7.8319999999985157</v>
      </c>
      <c r="S11" s="129">
        <f>BTU!F12</f>
        <v>2.5200000000004366</v>
      </c>
      <c r="T11" s="129">
        <f>BTU!I12</f>
        <v>7</v>
      </c>
      <c r="U11" s="129">
        <f>BTU!O12</f>
        <v>2.2279999999996107</v>
      </c>
      <c r="V11" s="129">
        <f>BTU!L12</f>
        <v>1.2000000000007276</v>
      </c>
      <c r="W11" s="129">
        <f>BTU!R12</f>
        <v>2.1899999999995998</v>
      </c>
      <c r="X11" s="34">
        <f>ELECT.!B12</f>
        <v>207</v>
      </c>
      <c r="Y11" s="34">
        <f t="shared" si="0"/>
        <v>-4954</v>
      </c>
      <c r="Z11">
        <f>'Mall, Citadel, Rotana'!C12+'Mall, Citadel, Rotana'!E12+'Mall, Citadel, Rotana'!G12+'Mall, Citadel, Rotana'!I12</f>
        <v>1392</v>
      </c>
      <c r="AA11">
        <f>'Mall, Citadel, Rotana'!K12+'Mall, Citadel, Rotana'!M12</f>
        <v>244</v>
      </c>
      <c r="AB11">
        <f>'Mall, Citadel, Rotana'!O12</f>
        <v>3</v>
      </c>
      <c r="AC11">
        <f>'Mall, Citadel, Rotana'!Q12+'Mall, Citadel, Rotana'!S12</f>
        <v>122</v>
      </c>
      <c r="AD11" s="34">
        <f t="shared" si="1"/>
        <v>88.484720800000005</v>
      </c>
      <c r="AE11" s="34">
        <f t="shared" si="2"/>
        <v>582.8712792</v>
      </c>
    </row>
    <row r="12" spans="1:31" x14ac:dyDescent="0.2">
      <c r="A12" s="47" t="s">
        <v>53</v>
      </c>
      <c r="B12" s="52">
        <f t="shared" si="3"/>
        <v>11</v>
      </c>
      <c r="C12" s="52">
        <v>10</v>
      </c>
      <c r="D12" s="52">
        <v>2022</v>
      </c>
      <c r="E12" s="36">
        <f>Water!C13</f>
        <v>0</v>
      </c>
      <c r="F12" s="36">
        <f>Water!E13</f>
        <v>0</v>
      </c>
      <c r="G12" s="36">
        <f>Water!G13</f>
        <v>0</v>
      </c>
      <c r="H12" s="36">
        <f>Water!I13</f>
        <v>0</v>
      </c>
      <c r="I12" s="36" t="str">
        <f>ELECT.!F13</f>
        <v>0</v>
      </c>
      <c r="J12" s="36" t="str">
        <f>ELECT.!H13</f>
        <v>0</v>
      </c>
      <c r="K12" s="36">
        <f>ELECT.!K13</f>
        <v>0</v>
      </c>
      <c r="L12" s="36" t="str">
        <f>ELECT.!M13</f>
        <v>0</v>
      </c>
      <c r="M12" s="36">
        <f>ELECT.!O13</f>
        <v>0</v>
      </c>
      <c r="N12" s="36" t="str">
        <f>ELECT.!Q13</f>
        <v>0</v>
      </c>
      <c r="O12" s="36" t="str">
        <f>ELECT.!S13</f>
        <v>0</v>
      </c>
      <c r="P12" s="36">
        <f>ELECT.!W13*2</f>
        <v>0</v>
      </c>
      <c r="Q12" s="36">
        <f>ELECT.!D13</f>
        <v>0</v>
      </c>
      <c r="R12" s="129">
        <f>BTU!C13</f>
        <v>0</v>
      </c>
      <c r="S12" s="129">
        <f>BTU!F13</f>
        <v>0</v>
      </c>
      <c r="T12" s="129">
        <f>BTU!I13</f>
        <v>0</v>
      </c>
      <c r="U12" s="129">
        <f>BTU!O13</f>
        <v>0</v>
      </c>
      <c r="V12" s="129">
        <f>BTU!L13</f>
        <v>0</v>
      </c>
      <c r="W12" s="129">
        <f>BTU!R13</f>
        <v>0</v>
      </c>
      <c r="X12" s="34">
        <f>ELECT.!B13</f>
        <v>0</v>
      </c>
      <c r="Y12" s="34">
        <f t="shared" si="0"/>
        <v>0</v>
      </c>
      <c r="Z12">
        <f>'Mall, Citadel, Rotana'!C13+'Mall, Citadel, Rotana'!E13+'Mall, Citadel, Rotana'!G13+'Mall, Citadel, Rotana'!I13</f>
        <v>0</v>
      </c>
      <c r="AA12">
        <f>'Mall, Citadel, Rotana'!K13+'Mall, Citadel, Rotana'!M13</f>
        <v>0</v>
      </c>
      <c r="AB12">
        <f>'Mall, Citadel, Rotana'!O13</f>
        <v>0</v>
      </c>
      <c r="AC12">
        <f>'Mall, Citadel, Rotana'!Q13+'Mall, Citadel, Rotana'!S13</f>
        <v>0</v>
      </c>
      <c r="AD12" s="34">
        <f t="shared" si="1"/>
        <v>-25.569199999999999</v>
      </c>
      <c r="AE12" s="34">
        <f t="shared" si="2"/>
        <v>-168.4308</v>
      </c>
    </row>
    <row r="13" spans="1:31" x14ac:dyDescent="0.2">
      <c r="A13" s="47" t="s">
        <v>53</v>
      </c>
      <c r="B13" s="52">
        <f t="shared" si="3"/>
        <v>12</v>
      </c>
      <c r="C13" s="52">
        <v>10</v>
      </c>
      <c r="D13" s="52">
        <v>2022</v>
      </c>
      <c r="E13" s="36">
        <f>Water!C14</f>
        <v>0</v>
      </c>
      <c r="F13" s="36">
        <f>Water!E14</f>
        <v>0</v>
      </c>
      <c r="G13" s="36">
        <f>Water!G14</f>
        <v>0</v>
      </c>
      <c r="H13" s="36">
        <f>Water!I14</f>
        <v>0</v>
      </c>
      <c r="I13" s="36">
        <f>ELECT.!F14</f>
        <v>0</v>
      </c>
      <c r="J13" s="36">
        <f>ELECT.!H14</f>
        <v>0</v>
      </c>
      <c r="K13" s="36">
        <f>ELECT.!K14</f>
        <v>0</v>
      </c>
      <c r="L13" s="36">
        <f>ELECT.!M14</f>
        <v>0</v>
      </c>
      <c r="M13" s="36">
        <f>ELECT.!O14</f>
        <v>0</v>
      </c>
      <c r="N13" s="36">
        <f>ELECT.!Q14</f>
        <v>0</v>
      </c>
      <c r="O13" s="36">
        <f>ELECT.!S14</f>
        <v>0</v>
      </c>
      <c r="P13" s="36">
        <f>ELECT.!W14*2</f>
        <v>0</v>
      </c>
      <c r="Q13" s="36">
        <f>ELECT.!D14</f>
        <v>0</v>
      </c>
      <c r="R13" s="129">
        <f>BTU!C14</f>
        <v>0</v>
      </c>
      <c r="S13" s="129">
        <f>BTU!F14</f>
        <v>0</v>
      </c>
      <c r="T13" s="129">
        <f>BTU!I14</f>
        <v>0</v>
      </c>
      <c r="U13" s="129">
        <f>BTU!O14</f>
        <v>0</v>
      </c>
      <c r="V13" s="129">
        <f>BTU!L14</f>
        <v>0</v>
      </c>
      <c r="W13" s="129">
        <f>BTU!R14</f>
        <v>0</v>
      </c>
      <c r="X13" s="34">
        <f>ELECT.!B14</f>
        <v>0</v>
      </c>
      <c r="Y13" s="34">
        <f t="shared" si="0"/>
        <v>0</v>
      </c>
      <c r="Z13">
        <f>'Mall, Citadel, Rotana'!C14+'Mall, Citadel, Rotana'!E14+'Mall, Citadel, Rotana'!G14+'Mall, Citadel, Rotana'!I14</f>
        <v>0</v>
      </c>
      <c r="AA13">
        <f>'Mall, Citadel, Rotana'!K14+'Mall, Citadel, Rotana'!M14</f>
        <v>0</v>
      </c>
      <c r="AB13">
        <f>'Mall, Citadel, Rotana'!O14</f>
        <v>0</v>
      </c>
      <c r="AC13">
        <f>'Mall, Citadel, Rotana'!Q14+'Mall, Citadel, Rotana'!S14</f>
        <v>0</v>
      </c>
      <c r="AD13" s="34">
        <f t="shared" si="1"/>
        <v>-25.569199999999999</v>
      </c>
      <c r="AE13" s="34">
        <f t="shared" si="2"/>
        <v>-168.4308</v>
      </c>
    </row>
    <row r="14" spans="1:31" x14ac:dyDescent="0.2">
      <c r="A14" s="47" t="s">
        <v>53</v>
      </c>
      <c r="B14" s="52">
        <f t="shared" si="3"/>
        <v>13</v>
      </c>
      <c r="C14" s="52">
        <v>10</v>
      </c>
      <c r="D14" s="52">
        <v>2022</v>
      </c>
      <c r="E14" s="36">
        <f>Water!C15</f>
        <v>0</v>
      </c>
      <c r="F14" s="36">
        <f>Water!E15</f>
        <v>0</v>
      </c>
      <c r="G14" s="36">
        <f>Water!G15</f>
        <v>0</v>
      </c>
      <c r="H14" s="36">
        <f>Water!I15</f>
        <v>0</v>
      </c>
      <c r="I14" s="36">
        <f>ELECT.!F15</f>
        <v>0</v>
      </c>
      <c r="J14" s="36">
        <f>ELECT.!H15</f>
        <v>0</v>
      </c>
      <c r="K14" s="36">
        <f>ELECT.!K15</f>
        <v>0</v>
      </c>
      <c r="L14" s="36">
        <f>ELECT.!M15</f>
        <v>0</v>
      </c>
      <c r="M14" s="36">
        <f>ELECT.!O15</f>
        <v>0</v>
      </c>
      <c r="N14" s="36">
        <f>ELECT.!Q15</f>
        <v>0</v>
      </c>
      <c r="O14" s="36">
        <f>ELECT.!S15</f>
        <v>0</v>
      </c>
      <c r="P14" s="36">
        <f>ELECT.!W15*2</f>
        <v>0</v>
      </c>
      <c r="Q14" s="36">
        <f>ELECT.!D15</f>
        <v>0</v>
      </c>
      <c r="R14" s="129">
        <f>BTU!C15</f>
        <v>0</v>
      </c>
      <c r="S14" s="129">
        <f>BTU!F15</f>
        <v>0</v>
      </c>
      <c r="T14" s="129">
        <f>BTU!I15</f>
        <v>0</v>
      </c>
      <c r="U14" s="129">
        <f>BTU!O15</f>
        <v>0</v>
      </c>
      <c r="V14" s="129">
        <f>BTU!L15</f>
        <v>0</v>
      </c>
      <c r="W14" s="129">
        <f>BTU!R15</f>
        <v>0</v>
      </c>
      <c r="X14" s="34">
        <f>ELECT.!B15</f>
        <v>0</v>
      </c>
      <c r="Y14" s="34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34">
        <f t="shared" si="1"/>
        <v>-25.569199999999999</v>
      </c>
      <c r="AE14" s="34">
        <f t="shared" si="2"/>
        <v>-168.4308</v>
      </c>
    </row>
    <row r="15" spans="1:31" x14ac:dyDescent="0.2">
      <c r="A15" s="47" t="s">
        <v>53</v>
      </c>
      <c r="B15" s="52">
        <f t="shared" si="3"/>
        <v>14</v>
      </c>
      <c r="C15" s="52">
        <v>10</v>
      </c>
      <c r="D15" s="52">
        <v>2022</v>
      </c>
      <c r="E15" s="36">
        <f>Water!C16</f>
        <v>0</v>
      </c>
      <c r="F15" s="36">
        <f>Water!E16</f>
        <v>0</v>
      </c>
      <c r="G15" s="36">
        <f>Water!G16</f>
        <v>0</v>
      </c>
      <c r="H15" s="36">
        <f>Water!I16</f>
        <v>0</v>
      </c>
      <c r="I15" s="36">
        <f>ELECT.!F16</f>
        <v>0</v>
      </c>
      <c r="J15" s="36">
        <f>ELECT.!H16</f>
        <v>0</v>
      </c>
      <c r="K15" s="36">
        <f>ELECT.!K16</f>
        <v>0</v>
      </c>
      <c r="L15" s="36">
        <f>ELECT.!M16</f>
        <v>0</v>
      </c>
      <c r="M15" s="36">
        <f>ELECT.!O16</f>
        <v>0</v>
      </c>
      <c r="N15" s="36">
        <f>ELECT.!Q16</f>
        <v>0</v>
      </c>
      <c r="O15" s="36">
        <f>ELECT.!S16</f>
        <v>0</v>
      </c>
      <c r="P15" s="36">
        <f>ELECT.!W16*2</f>
        <v>0</v>
      </c>
      <c r="Q15" s="36">
        <f>ELECT.!D16</f>
        <v>0</v>
      </c>
      <c r="R15" s="129">
        <f>BTU!C16</f>
        <v>0</v>
      </c>
      <c r="S15" s="129">
        <f>BTU!F16</f>
        <v>0</v>
      </c>
      <c r="T15" s="129">
        <f>BTU!I16</f>
        <v>0</v>
      </c>
      <c r="U15" s="129">
        <f>BTU!O16</f>
        <v>0</v>
      </c>
      <c r="V15" s="129">
        <f>BTU!L16</f>
        <v>0</v>
      </c>
      <c r="W15" s="129">
        <f>BTU!R16</f>
        <v>0</v>
      </c>
      <c r="X15" s="34">
        <f>ELECT.!B16</f>
        <v>0</v>
      </c>
      <c r="Y15" s="34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34">
        <f t="shared" si="1"/>
        <v>-25.569199999999999</v>
      </c>
      <c r="AE15" s="34">
        <f t="shared" si="2"/>
        <v>-168.4308</v>
      </c>
    </row>
    <row r="16" spans="1:31" x14ac:dyDescent="0.2">
      <c r="A16" s="47" t="s">
        <v>53</v>
      </c>
      <c r="B16" s="52">
        <f t="shared" si="3"/>
        <v>15</v>
      </c>
      <c r="C16" s="52">
        <v>10</v>
      </c>
      <c r="D16" s="52">
        <v>2022</v>
      </c>
      <c r="E16" s="36">
        <f>Water!C17</f>
        <v>0</v>
      </c>
      <c r="F16" s="36">
        <f>Water!E17</f>
        <v>0</v>
      </c>
      <c r="G16" s="36">
        <f>Water!G17</f>
        <v>0</v>
      </c>
      <c r="H16" s="36">
        <f>Water!I17</f>
        <v>0</v>
      </c>
      <c r="I16" s="36">
        <f>ELECT.!F17</f>
        <v>0</v>
      </c>
      <c r="J16" s="36">
        <f>ELECT.!H17</f>
        <v>0</v>
      </c>
      <c r="K16" s="36">
        <f>ELECT.!K17</f>
        <v>0</v>
      </c>
      <c r="L16" s="36">
        <f>ELECT.!M17</f>
        <v>0</v>
      </c>
      <c r="M16" s="36">
        <f>ELECT.!O17</f>
        <v>0</v>
      </c>
      <c r="N16" s="36">
        <f>ELECT.!Q17</f>
        <v>0</v>
      </c>
      <c r="O16" s="36">
        <f>ELECT.!S17</f>
        <v>0</v>
      </c>
      <c r="P16" s="36">
        <f>ELECT.!W17*2</f>
        <v>0</v>
      </c>
      <c r="Q16" s="36">
        <f>ELECT.!D17</f>
        <v>0</v>
      </c>
      <c r="R16" s="129">
        <f>BTU!C17</f>
        <v>0</v>
      </c>
      <c r="S16" s="129">
        <f>BTU!F17</f>
        <v>0</v>
      </c>
      <c r="T16" s="129">
        <f>BTU!I17</f>
        <v>0</v>
      </c>
      <c r="U16" s="129">
        <f>BTU!O17</f>
        <v>0</v>
      </c>
      <c r="V16" s="129">
        <f>BTU!L17</f>
        <v>0</v>
      </c>
      <c r="W16" s="129">
        <f>BTU!R17</f>
        <v>0</v>
      </c>
      <c r="X16" s="34">
        <f>ELECT.!B17</f>
        <v>0</v>
      </c>
      <c r="Y16" s="34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34">
        <f t="shared" si="1"/>
        <v>-25.569199999999999</v>
      </c>
      <c r="AE16" s="34">
        <f t="shared" si="2"/>
        <v>-168.4308</v>
      </c>
    </row>
    <row r="17" spans="1:31" x14ac:dyDescent="0.2">
      <c r="A17" s="47" t="s">
        <v>53</v>
      </c>
      <c r="B17" s="52">
        <f t="shared" si="3"/>
        <v>16</v>
      </c>
      <c r="C17" s="52">
        <v>10</v>
      </c>
      <c r="D17" s="52">
        <v>2022</v>
      </c>
      <c r="E17" s="36">
        <f>Water!C18</f>
        <v>0</v>
      </c>
      <c r="F17" s="36">
        <f>Water!E18</f>
        <v>0</v>
      </c>
      <c r="G17" s="36">
        <f>Water!G18</f>
        <v>0</v>
      </c>
      <c r="H17" s="36">
        <f>Water!I18</f>
        <v>0</v>
      </c>
      <c r="I17" s="36">
        <f>ELECT.!F18</f>
        <v>0</v>
      </c>
      <c r="J17" s="36">
        <f>ELECT.!H18</f>
        <v>0</v>
      </c>
      <c r="K17" s="36">
        <f>ELECT.!K18</f>
        <v>0</v>
      </c>
      <c r="L17" s="36">
        <f>ELECT.!M18</f>
        <v>0</v>
      </c>
      <c r="M17" s="36">
        <f>ELECT.!O18</f>
        <v>0</v>
      </c>
      <c r="N17" s="36">
        <f>ELECT.!Q18</f>
        <v>0</v>
      </c>
      <c r="O17" s="36">
        <f>ELECT.!S18</f>
        <v>0</v>
      </c>
      <c r="P17" s="36">
        <f>ELECT.!W18*2</f>
        <v>0</v>
      </c>
      <c r="Q17" s="36">
        <f>ELECT.!D18</f>
        <v>0</v>
      </c>
      <c r="R17" s="129">
        <f>BTU!C18</f>
        <v>0</v>
      </c>
      <c r="S17" s="129">
        <f>BTU!F18</f>
        <v>0</v>
      </c>
      <c r="T17" s="129">
        <f>BTU!I18</f>
        <v>0</v>
      </c>
      <c r="U17" s="129">
        <f>BTU!O18</f>
        <v>0</v>
      </c>
      <c r="V17" s="129">
        <f>BTU!L18</f>
        <v>0</v>
      </c>
      <c r="W17" s="129">
        <f>BTU!R18</f>
        <v>0</v>
      </c>
      <c r="X17" s="34">
        <f>ELECT.!B18</f>
        <v>0</v>
      </c>
      <c r="Y17" s="34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34">
        <f t="shared" si="1"/>
        <v>-25.569199999999999</v>
      </c>
      <c r="AE17" s="34">
        <f t="shared" si="2"/>
        <v>-168.4308</v>
      </c>
    </row>
    <row r="18" spans="1:31" x14ac:dyDescent="0.2">
      <c r="A18" s="47" t="s">
        <v>53</v>
      </c>
      <c r="B18" s="52">
        <f t="shared" si="3"/>
        <v>17</v>
      </c>
      <c r="C18" s="52">
        <v>10</v>
      </c>
      <c r="D18" s="52">
        <v>2022</v>
      </c>
      <c r="E18" s="36">
        <f>Water!C19</f>
        <v>0</v>
      </c>
      <c r="F18" s="36">
        <f>Water!E19</f>
        <v>0</v>
      </c>
      <c r="G18" s="36">
        <f>Water!G19</f>
        <v>0</v>
      </c>
      <c r="H18" s="36">
        <f>Water!I19</f>
        <v>0</v>
      </c>
      <c r="I18" s="36">
        <f>ELECT.!F19</f>
        <v>0</v>
      </c>
      <c r="J18" s="36">
        <f>ELECT.!H19</f>
        <v>0</v>
      </c>
      <c r="K18" s="36">
        <f>ELECT.!K19</f>
        <v>0</v>
      </c>
      <c r="L18" s="36">
        <f>ELECT.!M19</f>
        <v>0</v>
      </c>
      <c r="M18" s="36">
        <f>ELECT.!O19</f>
        <v>0</v>
      </c>
      <c r="N18" s="36">
        <f>ELECT.!Q19</f>
        <v>0</v>
      </c>
      <c r="O18" s="36">
        <f>ELECT.!S19</f>
        <v>0</v>
      </c>
      <c r="P18" s="36">
        <f>ELECT.!W19*2</f>
        <v>0</v>
      </c>
      <c r="Q18" s="36">
        <f>ELECT.!D19</f>
        <v>0</v>
      </c>
      <c r="R18" s="129">
        <f>BTU!C19</f>
        <v>0</v>
      </c>
      <c r="S18" s="129">
        <f>BTU!F19</f>
        <v>0</v>
      </c>
      <c r="T18" s="129">
        <f>BTU!I19</f>
        <v>0</v>
      </c>
      <c r="U18" s="129">
        <f>BTU!O19</f>
        <v>0</v>
      </c>
      <c r="V18" s="129">
        <f>BTU!L19</f>
        <v>0</v>
      </c>
      <c r="W18" s="129">
        <f>BTU!R19</f>
        <v>0</v>
      </c>
      <c r="X18" s="34">
        <f>ELECT.!B19</f>
        <v>0</v>
      </c>
      <c r="Y18" s="34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34">
        <f t="shared" si="1"/>
        <v>-25.569199999999999</v>
      </c>
      <c r="AE18" s="34">
        <f t="shared" si="2"/>
        <v>-168.4308</v>
      </c>
    </row>
    <row r="19" spans="1:31" x14ac:dyDescent="0.2">
      <c r="A19" s="47" t="s">
        <v>53</v>
      </c>
      <c r="B19" s="52">
        <f t="shared" si="3"/>
        <v>18</v>
      </c>
      <c r="C19" s="52">
        <v>10</v>
      </c>
      <c r="D19" s="52">
        <v>2022</v>
      </c>
      <c r="E19" s="36">
        <f>Water!C20</f>
        <v>0</v>
      </c>
      <c r="F19" s="36">
        <f>Water!E20</f>
        <v>0</v>
      </c>
      <c r="G19" s="36">
        <f>Water!G20</f>
        <v>0</v>
      </c>
      <c r="H19" s="36">
        <f>Water!I20</f>
        <v>0</v>
      </c>
      <c r="I19" s="36">
        <f>ELECT.!F20</f>
        <v>0</v>
      </c>
      <c r="J19" s="36">
        <f>ELECT.!H20</f>
        <v>0</v>
      </c>
      <c r="K19" s="36">
        <f>ELECT.!K20</f>
        <v>0</v>
      </c>
      <c r="L19" s="36">
        <f>ELECT.!M20</f>
        <v>0</v>
      </c>
      <c r="M19" s="36">
        <f>ELECT.!O20</f>
        <v>0</v>
      </c>
      <c r="N19" s="36">
        <f>ELECT.!Q20</f>
        <v>0</v>
      </c>
      <c r="O19" s="36">
        <f>ELECT.!S20</f>
        <v>0</v>
      </c>
      <c r="P19" s="36">
        <f>ELECT.!W20*2</f>
        <v>0</v>
      </c>
      <c r="Q19" s="36">
        <f>ELECT.!D20</f>
        <v>0</v>
      </c>
      <c r="R19" s="129">
        <f>BTU!C20</f>
        <v>0</v>
      </c>
      <c r="S19" s="129">
        <f>BTU!F20</f>
        <v>0</v>
      </c>
      <c r="T19" s="129">
        <f>BTU!I20</f>
        <v>0</v>
      </c>
      <c r="U19" s="129">
        <f>BTU!O20</f>
        <v>0</v>
      </c>
      <c r="V19" s="129">
        <f>BTU!L20</f>
        <v>0</v>
      </c>
      <c r="W19" s="129">
        <f>BTU!R20</f>
        <v>0</v>
      </c>
      <c r="X19" s="34">
        <f>ELECT.!B20</f>
        <v>0</v>
      </c>
      <c r="Y19" s="34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4">
        <f t="shared" si="1"/>
        <v>-25.569199999999999</v>
      </c>
      <c r="AE19" s="34">
        <f t="shared" si="2"/>
        <v>-168.4308</v>
      </c>
    </row>
    <row r="20" spans="1:31" x14ac:dyDescent="0.2">
      <c r="A20" s="47" t="s">
        <v>53</v>
      </c>
      <c r="B20" s="52">
        <f t="shared" si="3"/>
        <v>19</v>
      </c>
      <c r="C20" s="52">
        <v>10</v>
      </c>
      <c r="D20" s="52">
        <v>2022</v>
      </c>
      <c r="E20" s="36">
        <f>Water!C21</f>
        <v>0</v>
      </c>
      <c r="F20" s="36">
        <f>Water!E21</f>
        <v>0</v>
      </c>
      <c r="G20" s="36">
        <f>Water!G21</f>
        <v>0</v>
      </c>
      <c r="H20" s="36">
        <f>Water!I21</f>
        <v>0</v>
      </c>
      <c r="I20" s="36">
        <f>ELECT.!F21</f>
        <v>0</v>
      </c>
      <c r="J20" s="36">
        <f>ELECT.!H21</f>
        <v>0</v>
      </c>
      <c r="K20" s="36">
        <f>ELECT.!K21</f>
        <v>0</v>
      </c>
      <c r="L20" s="36">
        <f>ELECT.!M21</f>
        <v>0</v>
      </c>
      <c r="M20" s="36">
        <f>ELECT.!O21</f>
        <v>0</v>
      </c>
      <c r="N20" s="36">
        <f>ELECT.!Q21</f>
        <v>0</v>
      </c>
      <c r="O20" s="36">
        <f>ELECT.!S21</f>
        <v>0</v>
      </c>
      <c r="P20" s="36">
        <f>ELECT.!W21*2</f>
        <v>0</v>
      </c>
      <c r="Q20" s="36">
        <f>ELECT.!D21</f>
        <v>0</v>
      </c>
      <c r="R20" s="129">
        <f>BTU!C21</f>
        <v>0</v>
      </c>
      <c r="S20" s="129">
        <f>BTU!F21</f>
        <v>0</v>
      </c>
      <c r="T20" s="129">
        <f>BTU!I21</f>
        <v>0</v>
      </c>
      <c r="U20" s="129">
        <f>BTU!O21</f>
        <v>0</v>
      </c>
      <c r="V20" s="129">
        <f>BTU!L21</f>
        <v>0</v>
      </c>
      <c r="W20" s="129">
        <f>BTU!R21</f>
        <v>0</v>
      </c>
      <c r="X20" s="34">
        <f>ELECT.!B21</f>
        <v>0</v>
      </c>
      <c r="Y20" s="34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4">
        <f t="shared" si="1"/>
        <v>-25.569199999999999</v>
      </c>
      <c r="AE20" s="34">
        <f t="shared" si="2"/>
        <v>-168.4308</v>
      </c>
    </row>
    <row r="21" spans="1:31" x14ac:dyDescent="0.2">
      <c r="A21" s="47" t="s">
        <v>53</v>
      </c>
      <c r="B21" s="52">
        <f t="shared" si="3"/>
        <v>20</v>
      </c>
      <c r="C21" s="52">
        <v>10</v>
      </c>
      <c r="D21" s="52">
        <v>2022</v>
      </c>
      <c r="E21" s="36">
        <f>Water!C22</f>
        <v>0</v>
      </c>
      <c r="F21" s="36">
        <f>Water!E22</f>
        <v>0</v>
      </c>
      <c r="G21" s="36">
        <f>Water!G22</f>
        <v>0</v>
      </c>
      <c r="H21" s="36">
        <f>Water!I22</f>
        <v>0</v>
      </c>
      <c r="I21" s="36">
        <f>ELECT.!F22</f>
        <v>0</v>
      </c>
      <c r="J21" s="36">
        <f>ELECT.!H22</f>
        <v>0</v>
      </c>
      <c r="K21" s="36">
        <f>ELECT.!K22</f>
        <v>0</v>
      </c>
      <c r="L21" s="36">
        <f>ELECT.!M22</f>
        <v>0</v>
      </c>
      <c r="M21" s="36">
        <f>ELECT.!O22</f>
        <v>0</v>
      </c>
      <c r="N21" s="36">
        <f>ELECT.!Q22</f>
        <v>0</v>
      </c>
      <c r="O21" s="36">
        <f>ELECT.!S22</f>
        <v>0</v>
      </c>
      <c r="P21" s="36">
        <f>ELECT.!W22*2</f>
        <v>0</v>
      </c>
      <c r="Q21" s="36">
        <f>ELECT.!D22</f>
        <v>0</v>
      </c>
      <c r="R21" s="129">
        <f>BTU!C22</f>
        <v>0</v>
      </c>
      <c r="S21" s="129">
        <f>BTU!F22</f>
        <v>0</v>
      </c>
      <c r="T21" s="129">
        <f>BTU!I22</f>
        <v>0</v>
      </c>
      <c r="U21" s="129">
        <f>BTU!O22</f>
        <v>0</v>
      </c>
      <c r="V21" s="129">
        <f>BTU!L22</f>
        <v>0</v>
      </c>
      <c r="W21" s="129">
        <f>BTU!R22</f>
        <v>0</v>
      </c>
      <c r="X21" s="34">
        <f>ELECT.!B22</f>
        <v>0</v>
      </c>
      <c r="Y21" s="34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4">
        <f t="shared" si="1"/>
        <v>-25.569199999999999</v>
      </c>
      <c r="AE21" s="34">
        <f t="shared" si="2"/>
        <v>-168.4308</v>
      </c>
    </row>
    <row r="22" spans="1:31" x14ac:dyDescent="0.2">
      <c r="A22" s="47" t="s">
        <v>53</v>
      </c>
      <c r="B22" s="52">
        <f t="shared" si="3"/>
        <v>21</v>
      </c>
      <c r="C22" s="52">
        <v>10</v>
      </c>
      <c r="D22" s="52">
        <v>2022</v>
      </c>
      <c r="E22" s="36">
        <f>Water!C23</f>
        <v>0</v>
      </c>
      <c r="F22" s="36">
        <f>Water!E23</f>
        <v>0</v>
      </c>
      <c r="G22" s="36">
        <f>Water!G23</f>
        <v>0</v>
      </c>
      <c r="H22" s="36">
        <f>Water!I23</f>
        <v>0</v>
      </c>
      <c r="I22" s="36">
        <f>ELECT.!F23</f>
        <v>0</v>
      </c>
      <c r="J22" s="36">
        <f>ELECT.!H23</f>
        <v>0</v>
      </c>
      <c r="K22" s="36">
        <f>ELECT.!K23</f>
        <v>0</v>
      </c>
      <c r="L22" s="36">
        <f>ELECT.!M23</f>
        <v>0</v>
      </c>
      <c r="M22" s="36">
        <f>ELECT.!O23</f>
        <v>0</v>
      </c>
      <c r="N22" s="36">
        <f>ELECT.!Q23</f>
        <v>0</v>
      </c>
      <c r="O22" s="36">
        <f>ELECT.!S23</f>
        <v>0</v>
      </c>
      <c r="P22" s="36">
        <f>ELECT.!W23*2</f>
        <v>0</v>
      </c>
      <c r="Q22" s="36">
        <f>ELECT.!D23</f>
        <v>0</v>
      </c>
      <c r="R22" s="129">
        <f>BTU!C23</f>
        <v>0</v>
      </c>
      <c r="S22" s="129">
        <f>BTU!F23</f>
        <v>0</v>
      </c>
      <c r="T22" s="129">
        <f>BTU!I23</f>
        <v>0</v>
      </c>
      <c r="U22" s="129">
        <f>BTU!O23</f>
        <v>0</v>
      </c>
      <c r="V22" s="129">
        <f>BTU!L23</f>
        <v>0</v>
      </c>
      <c r="W22" s="129">
        <f>BTU!R23</f>
        <v>0</v>
      </c>
      <c r="X22" s="34">
        <f>ELECT.!B23</f>
        <v>0</v>
      </c>
      <c r="Y22" s="34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4">
        <f t="shared" si="1"/>
        <v>-25.569199999999999</v>
      </c>
      <c r="AE22" s="34">
        <f t="shared" si="2"/>
        <v>-168.4308</v>
      </c>
    </row>
    <row r="23" spans="1:31" x14ac:dyDescent="0.2">
      <c r="A23" s="47" t="s">
        <v>53</v>
      </c>
      <c r="B23" s="52">
        <f t="shared" si="3"/>
        <v>22</v>
      </c>
      <c r="C23" s="52">
        <v>10</v>
      </c>
      <c r="D23" s="52">
        <v>2022</v>
      </c>
      <c r="E23" s="36">
        <f>Water!C24</f>
        <v>0</v>
      </c>
      <c r="F23" s="36">
        <f>Water!E24</f>
        <v>0</v>
      </c>
      <c r="G23" s="36">
        <f>Water!G24</f>
        <v>0</v>
      </c>
      <c r="H23" s="36">
        <f>Water!I24</f>
        <v>0</v>
      </c>
      <c r="I23" s="36">
        <f>ELECT.!F24</f>
        <v>0</v>
      </c>
      <c r="J23" s="36">
        <f>ELECT.!H24</f>
        <v>0</v>
      </c>
      <c r="K23" s="36">
        <f>ELECT.!K24</f>
        <v>0</v>
      </c>
      <c r="L23" s="36">
        <f>ELECT.!M24</f>
        <v>0</v>
      </c>
      <c r="M23" s="36">
        <f>ELECT.!O24</f>
        <v>0</v>
      </c>
      <c r="N23" s="36">
        <f>ELECT.!Q24</f>
        <v>0</v>
      </c>
      <c r="O23" s="36">
        <f>ELECT.!S24</f>
        <v>0</v>
      </c>
      <c r="P23" s="36">
        <f>ELECT.!W24*2</f>
        <v>0</v>
      </c>
      <c r="Q23" s="36">
        <f>ELECT.!D24</f>
        <v>0</v>
      </c>
      <c r="R23" s="129">
        <f>BTU!C24</f>
        <v>0</v>
      </c>
      <c r="S23" s="129">
        <f>BTU!F24</f>
        <v>0</v>
      </c>
      <c r="T23" s="129">
        <f>BTU!I24</f>
        <v>0</v>
      </c>
      <c r="U23" s="129">
        <f>BTU!O24</f>
        <v>0</v>
      </c>
      <c r="V23" s="129">
        <f>BTU!L24</f>
        <v>0</v>
      </c>
      <c r="W23" s="129">
        <f>BTU!R24</f>
        <v>0</v>
      </c>
      <c r="X23" s="34">
        <f>ELECT.!B24</f>
        <v>0</v>
      </c>
      <c r="Y23" s="34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4">
        <f t="shared" si="1"/>
        <v>-25.569199999999999</v>
      </c>
      <c r="AE23" s="34">
        <f t="shared" si="2"/>
        <v>-168.4308</v>
      </c>
    </row>
    <row r="24" spans="1:31" x14ac:dyDescent="0.2">
      <c r="A24" s="47" t="s">
        <v>53</v>
      </c>
      <c r="B24" s="52">
        <f t="shared" si="3"/>
        <v>23</v>
      </c>
      <c r="C24" s="52">
        <v>10</v>
      </c>
      <c r="D24" s="52">
        <v>2022</v>
      </c>
      <c r="E24" s="36">
        <f>Water!C25</f>
        <v>0</v>
      </c>
      <c r="F24" s="36">
        <f>Water!E25</f>
        <v>0</v>
      </c>
      <c r="G24" s="36">
        <f>Water!G25</f>
        <v>0</v>
      </c>
      <c r="H24" s="36">
        <f>Water!I25</f>
        <v>0</v>
      </c>
      <c r="I24" s="36">
        <f>ELECT.!F25</f>
        <v>0</v>
      </c>
      <c r="J24" s="36">
        <f>ELECT.!H25</f>
        <v>0</v>
      </c>
      <c r="K24" s="36">
        <f>ELECT.!K25</f>
        <v>0</v>
      </c>
      <c r="L24" s="36">
        <f>ELECT.!M25</f>
        <v>0</v>
      </c>
      <c r="M24" s="36">
        <f>ELECT.!O25</f>
        <v>0</v>
      </c>
      <c r="N24" s="36">
        <f>ELECT.!Q25</f>
        <v>0</v>
      </c>
      <c r="O24" s="36">
        <f>ELECT.!S25</f>
        <v>0</v>
      </c>
      <c r="P24" s="36">
        <f>ELECT.!W25*2</f>
        <v>0</v>
      </c>
      <c r="Q24" s="36">
        <f>ELECT.!D25</f>
        <v>0</v>
      </c>
      <c r="R24" s="129">
        <f>BTU!C25</f>
        <v>0</v>
      </c>
      <c r="S24" s="129">
        <f>BTU!F25</f>
        <v>0</v>
      </c>
      <c r="T24" s="129">
        <f>BTU!I25</f>
        <v>0</v>
      </c>
      <c r="U24" s="129">
        <f>BTU!O25</f>
        <v>0</v>
      </c>
      <c r="V24" s="129">
        <f>BTU!L25</f>
        <v>0</v>
      </c>
      <c r="W24" s="129">
        <f>BTU!R25</f>
        <v>0</v>
      </c>
      <c r="X24" s="34">
        <f>ELECT.!B25</f>
        <v>0</v>
      </c>
      <c r="Y24" s="34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4">
        <f t="shared" si="1"/>
        <v>-25.569199999999999</v>
      </c>
      <c r="AE24" s="34">
        <f t="shared" si="2"/>
        <v>-168.4308</v>
      </c>
    </row>
    <row r="25" spans="1:31" x14ac:dyDescent="0.2">
      <c r="A25" s="47" t="s">
        <v>53</v>
      </c>
      <c r="B25" s="52">
        <f t="shared" si="3"/>
        <v>24</v>
      </c>
      <c r="C25" s="52">
        <v>10</v>
      </c>
      <c r="D25" s="52">
        <v>2022</v>
      </c>
      <c r="E25" s="36">
        <f>Water!C26</f>
        <v>0</v>
      </c>
      <c r="F25" s="36">
        <f>Water!E26</f>
        <v>0</v>
      </c>
      <c r="G25" s="36">
        <f>Water!G26</f>
        <v>0</v>
      </c>
      <c r="H25" s="36">
        <f>Water!I26</f>
        <v>0</v>
      </c>
      <c r="I25" s="36">
        <f>ELECT.!F26</f>
        <v>0</v>
      </c>
      <c r="J25" s="36">
        <f>ELECT.!H26</f>
        <v>0</v>
      </c>
      <c r="K25" s="36">
        <f>ELECT.!K26</f>
        <v>0</v>
      </c>
      <c r="L25" s="36">
        <f>ELECT.!M26</f>
        <v>0</v>
      </c>
      <c r="M25" s="36">
        <f>ELECT.!O26</f>
        <v>0</v>
      </c>
      <c r="N25" s="36">
        <f>ELECT.!Q26</f>
        <v>0</v>
      </c>
      <c r="O25" s="36">
        <f>ELECT.!S26</f>
        <v>0</v>
      </c>
      <c r="P25" s="36">
        <f>ELECT.!W26*2</f>
        <v>0</v>
      </c>
      <c r="Q25" s="36">
        <f>ELECT.!D26</f>
        <v>0</v>
      </c>
      <c r="R25" s="129">
        <f>BTU!C26</f>
        <v>0</v>
      </c>
      <c r="S25" s="129">
        <f>BTU!F26</f>
        <v>0</v>
      </c>
      <c r="T25" s="129">
        <f>BTU!I26</f>
        <v>0</v>
      </c>
      <c r="U25" s="129">
        <f>BTU!O26</f>
        <v>0</v>
      </c>
      <c r="V25" s="129">
        <f>BTU!L26</f>
        <v>0</v>
      </c>
      <c r="W25" s="129">
        <f>BTU!R26</f>
        <v>0</v>
      </c>
      <c r="X25" s="34">
        <f>ELECT.!B26</f>
        <v>0</v>
      </c>
      <c r="Y25" s="34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4">
        <f t="shared" si="1"/>
        <v>-25.569199999999999</v>
      </c>
      <c r="AE25" s="34">
        <f t="shared" si="2"/>
        <v>-168.4308</v>
      </c>
    </row>
    <row r="26" spans="1:31" x14ac:dyDescent="0.2">
      <c r="A26" s="47" t="s">
        <v>53</v>
      </c>
      <c r="B26" s="52">
        <f>B25+1</f>
        <v>25</v>
      </c>
      <c r="C26" s="52">
        <v>10</v>
      </c>
      <c r="D26" s="52">
        <v>2022</v>
      </c>
      <c r="E26" s="36">
        <f>Water!C27</f>
        <v>0</v>
      </c>
      <c r="F26" s="36">
        <f>Water!E27</f>
        <v>0</v>
      </c>
      <c r="G26" s="36">
        <f>Water!G27</f>
        <v>0</v>
      </c>
      <c r="H26" s="36">
        <f>Water!I27</f>
        <v>0</v>
      </c>
      <c r="I26" s="36">
        <f>ELECT.!F27</f>
        <v>0</v>
      </c>
      <c r="J26" s="36">
        <f>ELECT.!H27</f>
        <v>0</v>
      </c>
      <c r="K26" s="36">
        <f>ELECT.!K27</f>
        <v>0</v>
      </c>
      <c r="L26" s="36">
        <f>ELECT.!M27</f>
        <v>0</v>
      </c>
      <c r="M26" s="36">
        <f>ELECT.!O27</f>
        <v>0</v>
      </c>
      <c r="N26" s="36">
        <f>ELECT.!Q27</f>
        <v>0</v>
      </c>
      <c r="O26" s="36">
        <f>ELECT.!S27</f>
        <v>0</v>
      </c>
      <c r="P26" s="36">
        <f>ELECT.!W27*2</f>
        <v>0</v>
      </c>
      <c r="Q26" s="36">
        <f>ELECT.!D27</f>
        <v>0</v>
      </c>
      <c r="R26" s="129">
        <f>BTU!C27</f>
        <v>0</v>
      </c>
      <c r="S26" s="129">
        <f>BTU!F27</f>
        <v>0</v>
      </c>
      <c r="T26" s="129">
        <f>BTU!I27</f>
        <v>0</v>
      </c>
      <c r="U26" s="129">
        <f>BTU!O27</f>
        <v>0</v>
      </c>
      <c r="V26" s="129">
        <f>BTU!L27</f>
        <v>0</v>
      </c>
      <c r="W26" s="129">
        <f>BTU!R27</f>
        <v>0</v>
      </c>
      <c r="X26" s="34">
        <f>ELECT.!B27</f>
        <v>0</v>
      </c>
      <c r="Y26" s="34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4">
        <f t="shared" si="1"/>
        <v>-25.569199999999999</v>
      </c>
      <c r="AE26" s="34">
        <f t="shared" si="2"/>
        <v>-168.4308</v>
      </c>
    </row>
    <row r="27" spans="1:31" x14ac:dyDescent="0.2">
      <c r="A27" s="47" t="s">
        <v>53</v>
      </c>
      <c r="B27" s="52">
        <f t="shared" si="3"/>
        <v>26</v>
      </c>
      <c r="C27" s="52">
        <v>10</v>
      </c>
      <c r="D27" s="52">
        <v>2022</v>
      </c>
      <c r="E27" s="36">
        <f>Water!C28</f>
        <v>0</v>
      </c>
      <c r="F27" s="36">
        <f>Water!E28</f>
        <v>0</v>
      </c>
      <c r="G27" s="36">
        <f>Water!G28</f>
        <v>0</v>
      </c>
      <c r="H27" s="36">
        <f>Water!I28</f>
        <v>0</v>
      </c>
      <c r="I27" s="36">
        <f>ELECT.!F28</f>
        <v>0</v>
      </c>
      <c r="J27" s="36">
        <f>ELECT.!H28</f>
        <v>0</v>
      </c>
      <c r="K27" s="36">
        <f>ELECT.!K28</f>
        <v>0</v>
      </c>
      <c r="L27" s="36">
        <f>ELECT.!M28</f>
        <v>0</v>
      </c>
      <c r="M27" s="36">
        <f>ELECT.!O28</f>
        <v>0</v>
      </c>
      <c r="N27" s="36">
        <f>ELECT.!Q28</f>
        <v>0</v>
      </c>
      <c r="O27" s="36">
        <f>ELECT.!S28</f>
        <v>0</v>
      </c>
      <c r="P27" s="36">
        <f>ELECT.!W28*2</f>
        <v>0</v>
      </c>
      <c r="Q27" s="36">
        <f>ELECT.!D28</f>
        <v>0</v>
      </c>
      <c r="R27" s="129">
        <f>BTU!C28</f>
        <v>0</v>
      </c>
      <c r="S27" s="129">
        <f>BTU!F28</f>
        <v>0</v>
      </c>
      <c r="T27" s="129">
        <f>BTU!I28</f>
        <v>0</v>
      </c>
      <c r="U27" s="129">
        <f>BTU!O28</f>
        <v>0</v>
      </c>
      <c r="V27" s="129">
        <f>BTU!L28</f>
        <v>0</v>
      </c>
      <c r="W27" s="129">
        <f>BTU!R28</f>
        <v>0</v>
      </c>
      <c r="X27" s="34">
        <f>ELECT.!B28</f>
        <v>0</v>
      </c>
      <c r="Y27" s="34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4">
        <f t="shared" si="1"/>
        <v>-25.569199999999999</v>
      </c>
      <c r="AE27" s="34">
        <f t="shared" si="2"/>
        <v>-168.4308</v>
      </c>
    </row>
    <row r="28" spans="1:31" x14ac:dyDescent="0.2">
      <c r="A28" s="47" t="s">
        <v>53</v>
      </c>
      <c r="B28" s="52">
        <f t="shared" si="3"/>
        <v>27</v>
      </c>
      <c r="C28" s="52">
        <v>10</v>
      </c>
      <c r="D28" s="52">
        <v>2022</v>
      </c>
      <c r="E28" s="36">
        <f>Water!C29</f>
        <v>0</v>
      </c>
      <c r="F28" s="36">
        <f>Water!E29</f>
        <v>0</v>
      </c>
      <c r="G28" s="36">
        <f>Water!G29</f>
        <v>0</v>
      </c>
      <c r="H28" s="36">
        <f>Water!I29</f>
        <v>0</v>
      </c>
      <c r="I28" s="36">
        <f>ELECT.!F29</f>
        <v>0</v>
      </c>
      <c r="J28" s="36">
        <f>ELECT.!H29</f>
        <v>0</v>
      </c>
      <c r="K28" s="36">
        <f>ELECT.!K29</f>
        <v>0</v>
      </c>
      <c r="L28" s="36">
        <f>ELECT.!M29</f>
        <v>0</v>
      </c>
      <c r="M28" s="36">
        <f>ELECT.!O29</f>
        <v>0</v>
      </c>
      <c r="N28" s="36">
        <f>ELECT.!Q29</f>
        <v>0</v>
      </c>
      <c r="O28" s="36">
        <f>ELECT.!S29</f>
        <v>0</v>
      </c>
      <c r="P28" s="36">
        <f>ELECT.!W29*2</f>
        <v>0</v>
      </c>
      <c r="Q28" s="36">
        <f>ELECT.!D29</f>
        <v>0</v>
      </c>
      <c r="R28" s="129">
        <f>BTU!C29</f>
        <v>0</v>
      </c>
      <c r="S28" s="129">
        <f>BTU!F29</f>
        <v>0</v>
      </c>
      <c r="T28" s="129">
        <f>BTU!I29</f>
        <v>0</v>
      </c>
      <c r="U28" s="129">
        <f>BTU!O29</f>
        <v>0</v>
      </c>
      <c r="V28" s="129">
        <f>BTU!L29</f>
        <v>0</v>
      </c>
      <c r="W28" s="129">
        <f>BTU!R29</f>
        <v>0</v>
      </c>
      <c r="X28" s="34">
        <f>ELECT.!B29</f>
        <v>0</v>
      </c>
      <c r="Y28" s="34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4">
        <f t="shared" si="1"/>
        <v>-25.569199999999999</v>
      </c>
      <c r="AE28" s="34">
        <f t="shared" si="2"/>
        <v>-168.4308</v>
      </c>
    </row>
    <row r="29" spans="1:31" x14ac:dyDescent="0.2">
      <c r="A29" s="47" t="s">
        <v>53</v>
      </c>
      <c r="B29" s="52">
        <f t="shared" si="3"/>
        <v>28</v>
      </c>
      <c r="C29" s="52">
        <v>10</v>
      </c>
      <c r="D29" s="52">
        <v>2022</v>
      </c>
      <c r="E29" s="36">
        <f>Water!C30</f>
        <v>0</v>
      </c>
      <c r="F29" s="36">
        <f>Water!E30</f>
        <v>0</v>
      </c>
      <c r="G29" s="36">
        <f>Water!G30</f>
        <v>0</v>
      </c>
      <c r="H29" s="36">
        <f>Water!I30</f>
        <v>0</v>
      </c>
      <c r="I29" s="36">
        <f>ELECT.!F30</f>
        <v>0</v>
      </c>
      <c r="J29" s="36">
        <f>ELECT.!H30</f>
        <v>0</v>
      </c>
      <c r="K29" s="36">
        <f>ELECT.!K30</f>
        <v>0</v>
      </c>
      <c r="L29" s="36">
        <f>ELECT.!M30</f>
        <v>0</v>
      </c>
      <c r="M29" s="36">
        <f>ELECT.!O30</f>
        <v>0</v>
      </c>
      <c r="N29" s="36">
        <f>ELECT.!Q30</f>
        <v>0</v>
      </c>
      <c r="O29" s="36">
        <f>ELECT.!S30</f>
        <v>0</v>
      </c>
      <c r="P29" s="36">
        <f>ELECT.!W30*2</f>
        <v>0</v>
      </c>
      <c r="Q29" s="36">
        <f>ELECT.!D30</f>
        <v>0</v>
      </c>
      <c r="R29" s="129">
        <f>BTU!C30</f>
        <v>0</v>
      </c>
      <c r="S29" s="129">
        <f>BTU!F30</f>
        <v>0</v>
      </c>
      <c r="T29" s="129">
        <f>BTU!I30</f>
        <v>0</v>
      </c>
      <c r="U29" s="129">
        <f>BTU!O30</f>
        <v>0</v>
      </c>
      <c r="V29" s="129">
        <f>BTU!L30</f>
        <v>0</v>
      </c>
      <c r="W29" s="129">
        <f>BTU!R30</f>
        <v>0</v>
      </c>
      <c r="X29" s="34">
        <f>ELECT.!B30</f>
        <v>0</v>
      </c>
      <c r="Y29" s="34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4">
        <f t="shared" si="1"/>
        <v>-25.569199999999999</v>
      </c>
      <c r="AE29" s="34">
        <f t="shared" si="2"/>
        <v>-168.4308</v>
      </c>
    </row>
    <row r="30" spans="1:31" x14ac:dyDescent="0.2">
      <c r="A30" s="47" t="s">
        <v>53</v>
      </c>
      <c r="B30" s="52">
        <f t="shared" si="3"/>
        <v>29</v>
      </c>
      <c r="C30" s="52">
        <v>10</v>
      </c>
      <c r="D30" s="52">
        <v>2022</v>
      </c>
      <c r="E30" s="36">
        <f>Water!C31</f>
        <v>0</v>
      </c>
      <c r="F30" s="36">
        <f>Water!E31</f>
        <v>0</v>
      </c>
      <c r="G30" s="36">
        <f>Water!G31</f>
        <v>0</v>
      </c>
      <c r="H30" s="36">
        <f>Water!I31</f>
        <v>0</v>
      </c>
      <c r="I30" s="36">
        <f>ELECT.!F31</f>
        <v>0</v>
      </c>
      <c r="J30" s="36">
        <f>ELECT.!H31</f>
        <v>0</v>
      </c>
      <c r="K30" s="36">
        <f>ELECT.!K31</f>
        <v>0</v>
      </c>
      <c r="L30" s="36">
        <f>ELECT.!M31</f>
        <v>0</v>
      </c>
      <c r="M30" s="36">
        <f>ELECT.!O31</f>
        <v>0</v>
      </c>
      <c r="N30" s="36">
        <f>ELECT.!Q31</f>
        <v>0</v>
      </c>
      <c r="O30" s="36">
        <f>ELECT.!S31</f>
        <v>0</v>
      </c>
      <c r="P30" s="36">
        <f>ELECT.!W31*2</f>
        <v>0</v>
      </c>
      <c r="Q30" s="36">
        <f>ELECT.!D31</f>
        <v>0</v>
      </c>
      <c r="R30" s="129">
        <f>BTU!C31</f>
        <v>0</v>
      </c>
      <c r="S30" s="129">
        <f>BTU!F31</f>
        <v>0</v>
      </c>
      <c r="T30" s="129">
        <f>BTU!I31</f>
        <v>0</v>
      </c>
      <c r="U30" s="129">
        <f>BTU!O31</f>
        <v>0</v>
      </c>
      <c r="V30" s="129">
        <f>BTU!L31</f>
        <v>0</v>
      </c>
      <c r="W30" s="129">
        <f>BTU!R31</f>
        <v>0</v>
      </c>
      <c r="X30" s="34">
        <f>ELECT.!B31</f>
        <v>0</v>
      </c>
      <c r="Y30" s="34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4">
        <f t="shared" si="1"/>
        <v>-25.569199999999999</v>
      </c>
      <c r="AE30" s="34">
        <f t="shared" si="2"/>
        <v>-168.4308</v>
      </c>
    </row>
    <row r="31" spans="1:31" x14ac:dyDescent="0.2">
      <c r="A31" s="47" t="s">
        <v>53</v>
      </c>
      <c r="B31" s="52">
        <f t="shared" si="3"/>
        <v>30</v>
      </c>
      <c r="C31" s="52">
        <v>10</v>
      </c>
      <c r="D31" s="52">
        <v>2022</v>
      </c>
      <c r="E31" s="36">
        <f>Water!C32</f>
        <v>0</v>
      </c>
      <c r="F31" s="36">
        <f>Water!E32</f>
        <v>0</v>
      </c>
      <c r="G31" s="36">
        <f>Water!G32</f>
        <v>0</v>
      </c>
      <c r="H31" s="36">
        <f>Water!I32</f>
        <v>0</v>
      </c>
      <c r="I31" s="36">
        <f>ELECT.!F32</f>
        <v>0</v>
      </c>
      <c r="J31" s="36">
        <f>ELECT.!H32</f>
        <v>0</v>
      </c>
      <c r="K31" s="36">
        <f>ELECT.!K32</f>
        <v>0</v>
      </c>
      <c r="L31" s="36">
        <f>ELECT.!M32</f>
        <v>0</v>
      </c>
      <c r="M31" s="36">
        <f>ELECT.!O32</f>
        <v>0</v>
      </c>
      <c r="N31" s="36">
        <f>ELECT.!Q32</f>
        <v>0</v>
      </c>
      <c r="O31" s="36">
        <f>ELECT.!S32</f>
        <v>0</v>
      </c>
      <c r="P31" s="36">
        <f>ELECT.!W32*2</f>
        <v>0</v>
      </c>
      <c r="Q31" s="36">
        <f>ELECT.!D32</f>
        <v>0</v>
      </c>
      <c r="R31" s="129">
        <f>BTU!C32</f>
        <v>0</v>
      </c>
      <c r="S31" s="129">
        <f>BTU!F32</f>
        <v>0</v>
      </c>
      <c r="T31" s="129">
        <f>BTU!I32</f>
        <v>0</v>
      </c>
      <c r="U31" s="129">
        <f>BTU!O32</f>
        <v>0</v>
      </c>
      <c r="V31" s="129">
        <f>BTU!L32</f>
        <v>0</v>
      </c>
      <c r="W31" s="129">
        <f>BTU!R32</f>
        <v>0</v>
      </c>
      <c r="X31" s="34">
        <f>ELECT.!B32</f>
        <v>0</v>
      </c>
      <c r="Y31" s="34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4">
        <f t="shared" si="1"/>
        <v>-25.569199999999999</v>
      </c>
      <c r="AE31" s="34">
        <f t="shared" si="2"/>
        <v>-168.4308</v>
      </c>
    </row>
    <row r="32" spans="1:31" x14ac:dyDescent="0.2">
      <c r="A32" s="47" t="s">
        <v>53</v>
      </c>
      <c r="B32" s="52">
        <f t="shared" si="3"/>
        <v>31</v>
      </c>
      <c r="C32" s="52">
        <v>10</v>
      </c>
      <c r="D32" s="52">
        <v>2022</v>
      </c>
      <c r="E32" s="36">
        <f>Water!C33</f>
        <v>0</v>
      </c>
      <c r="F32" s="36">
        <f>Water!E33</f>
        <v>0</v>
      </c>
      <c r="G32" s="36">
        <f>Water!G33</f>
        <v>0</v>
      </c>
      <c r="H32" s="36">
        <f>Water!I33</f>
        <v>0</v>
      </c>
      <c r="I32" s="36">
        <f>ELECT.!F33</f>
        <v>0</v>
      </c>
      <c r="J32" s="36">
        <f>ELECT.!H33</f>
        <v>0</v>
      </c>
      <c r="K32" s="36">
        <f>ELECT.!K33</f>
        <v>0</v>
      </c>
      <c r="L32" s="36">
        <f>ELECT.!M33</f>
        <v>0</v>
      </c>
      <c r="M32" s="36">
        <f>ELECT.!O33</f>
        <v>0</v>
      </c>
      <c r="N32" s="36">
        <f>ELECT.!Q33</f>
        <v>0</v>
      </c>
      <c r="O32" s="36">
        <f>ELECT.!S33</f>
        <v>0</v>
      </c>
      <c r="P32" s="36">
        <f>ELECT.!W33*2</f>
        <v>0</v>
      </c>
      <c r="Q32" s="36">
        <f>ELECT.!D33</f>
        <v>0</v>
      </c>
      <c r="R32" s="129">
        <f>BTU!C33</f>
        <v>0</v>
      </c>
      <c r="S32" s="129">
        <f>BTU!F33</f>
        <v>0</v>
      </c>
      <c r="T32" s="129">
        <f>BTU!I33</f>
        <v>0</v>
      </c>
      <c r="U32" s="129">
        <f>BTU!O33</f>
        <v>0</v>
      </c>
      <c r="V32" s="129">
        <f>BTU!L33</f>
        <v>0</v>
      </c>
      <c r="W32" s="129">
        <f>BTU!R33</f>
        <v>0</v>
      </c>
      <c r="X32" s="34">
        <f>ELECT.!B33</f>
        <v>0</v>
      </c>
      <c r="Y32" s="34">
        <f t="shared" ref="Y32" si="4"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34">
        <f t="shared" ref="AD32" si="5">(E32-H32-194)*0.1318</f>
        <v>-25.569199999999999</v>
      </c>
      <c r="AE32" s="34">
        <f t="shared" ref="AE32" si="6"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5"/>
  <sheetViews>
    <sheetView zoomScale="110" zoomScaleNormal="110" workbookViewId="0">
      <pane ySplit="1" topLeftCell="A2" activePane="bottomLeft" state="frozen"/>
      <selection pane="bottomLeft" activeCell="U12" sqref="U12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1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2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135</v>
      </c>
      <c r="U1" s="12" t="s">
        <v>16</v>
      </c>
    </row>
    <row r="2" spans="1:24" ht="13.5" thickBot="1" x14ac:dyDescent="0.25">
      <c r="A2" s="9">
        <v>44834</v>
      </c>
      <c r="B2" s="32">
        <v>47653</v>
      </c>
      <c r="C2" s="14"/>
      <c r="D2" s="32">
        <v>41014</v>
      </c>
      <c r="E2" s="14"/>
      <c r="F2" s="32">
        <v>22131</v>
      </c>
      <c r="G2" s="14"/>
      <c r="H2" s="32">
        <v>258841</v>
      </c>
      <c r="I2" s="14"/>
      <c r="J2" s="32">
        <v>335390</v>
      </c>
      <c r="K2" s="14"/>
      <c r="L2" s="32">
        <v>26543</v>
      </c>
      <c r="M2" s="14"/>
      <c r="N2" s="32">
        <v>226425</v>
      </c>
      <c r="O2" s="14"/>
      <c r="P2" s="32">
        <v>172234</v>
      </c>
      <c r="Q2" s="14"/>
      <c r="R2" s="1">
        <v>55047</v>
      </c>
      <c r="S2" s="14"/>
      <c r="T2" s="32">
        <v>4063</v>
      </c>
      <c r="U2" s="14"/>
    </row>
    <row r="3" spans="1:24" ht="13.5" thickBot="1" x14ac:dyDescent="0.25">
      <c r="A3" s="9">
        <v>44835</v>
      </c>
      <c r="B3" s="32">
        <v>47657</v>
      </c>
      <c r="C3" s="14">
        <f t="shared" ref="C3" si="0">(B3-B2)*800/5</f>
        <v>640</v>
      </c>
      <c r="D3" s="32">
        <v>41017</v>
      </c>
      <c r="E3" s="14">
        <f t="shared" ref="E3" si="1">(D3-D2)*800/5</f>
        <v>480</v>
      </c>
      <c r="F3" s="32">
        <v>22133</v>
      </c>
      <c r="G3" s="14">
        <f>(F3-F2)*100/5</f>
        <v>40</v>
      </c>
      <c r="H3" s="32">
        <v>258871</v>
      </c>
      <c r="I3" s="14">
        <f>(H3-H2)</f>
        <v>30</v>
      </c>
      <c r="J3" s="32">
        <v>335525</v>
      </c>
      <c r="K3" s="14">
        <f>(J3-J2)</f>
        <v>135</v>
      </c>
      <c r="L3" s="32">
        <v>26545</v>
      </c>
      <c r="M3" s="14">
        <f>(L3-L2)*300/5</f>
        <v>120</v>
      </c>
      <c r="N3" s="32">
        <v>226428</v>
      </c>
      <c r="O3" s="14">
        <f>N3-N2</f>
        <v>3</v>
      </c>
      <c r="P3" s="32">
        <v>172351</v>
      </c>
      <c r="Q3" s="14">
        <f t="shared" ref="Q3:Q33" si="2">P3-P2</f>
        <v>117</v>
      </c>
      <c r="R3" s="1">
        <v>55047</v>
      </c>
      <c r="S3" s="14">
        <v>0</v>
      </c>
      <c r="T3" s="32">
        <v>4063</v>
      </c>
      <c r="U3" s="14">
        <f>(T3-T2)*800/5</f>
        <v>0</v>
      </c>
    </row>
    <row r="4" spans="1:24" ht="13.5" thickBot="1" x14ac:dyDescent="0.25">
      <c r="A4" s="9">
        <v>44836</v>
      </c>
      <c r="B4" s="32">
        <v>47662</v>
      </c>
      <c r="C4" s="14">
        <f t="shared" ref="C4:C33" si="3">(B4-B3)*800/5</f>
        <v>800</v>
      </c>
      <c r="D4" s="32">
        <v>41019</v>
      </c>
      <c r="E4" s="14">
        <f t="shared" ref="E4:E33" si="4">(D4-D3)*800/5</f>
        <v>320</v>
      </c>
      <c r="F4" s="32">
        <v>22137</v>
      </c>
      <c r="G4" s="14">
        <f t="shared" ref="G4:G33" si="5">(F4-F3)*100/5</f>
        <v>80</v>
      </c>
      <c r="H4" s="32">
        <v>258909</v>
      </c>
      <c r="I4" s="14">
        <f t="shared" ref="I4:I33" si="6">(H4-H3)</f>
        <v>38</v>
      </c>
      <c r="J4" s="32">
        <v>335705</v>
      </c>
      <c r="K4" s="14">
        <f t="shared" ref="K4:K33" si="7">(J4-J3)</f>
        <v>180</v>
      </c>
      <c r="L4" s="32">
        <v>26549</v>
      </c>
      <c r="M4" s="14">
        <f t="shared" ref="M4:M33" si="8">(L4-L3)*300/5</f>
        <v>240</v>
      </c>
      <c r="N4" s="32">
        <v>226432</v>
      </c>
      <c r="O4" s="14">
        <f t="shared" ref="O4:O33" si="9">N4-N3</f>
        <v>4</v>
      </c>
      <c r="P4" s="32">
        <v>172472</v>
      </c>
      <c r="Q4" s="14">
        <f t="shared" si="2"/>
        <v>121</v>
      </c>
      <c r="R4" s="1">
        <v>55047</v>
      </c>
      <c r="S4" s="14">
        <v>0</v>
      </c>
      <c r="T4" s="32">
        <v>4064</v>
      </c>
      <c r="U4" s="14">
        <f t="shared" ref="U4:U32" si="10">(T4-T3)*800/5</f>
        <v>160</v>
      </c>
    </row>
    <row r="5" spans="1:24" ht="13.5" thickBot="1" x14ac:dyDescent="0.25">
      <c r="A5" s="9">
        <v>44837</v>
      </c>
      <c r="B5" s="32">
        <v>47667</v>
      </c>
      <c r="C5" s="14">
        <f t="shared" si="3"/>
        <v>800</v>
      </c>
      <c r="D5" s="32">
        <v>41023</v>
      </c>
      <c r="E5" s="14">
        <f t="shared" si="4"/>
        <v>640</v>
      </c>
      <c r="F5" s="32">
        <v>22140</v>
      </c>
      <c r="G5" s="14">
        <f t="shared" si="5"/>
        <v>60</v>
      </c>
      <c r="H5" s="32">
        <v>258955</v>
      </c>
      <c r="I5" s="14">
        <f t="shared" si="6"/>
        <v>46</v>
      </c>
      <c r="J5" s="32">
        <v>335882</v>
      </c>
      <c r="K5" s="14">
        <f t="shared" si="7"/>
        <v>177</v>
      </c>
      <c r="L5" s="32">
        <v>26552</v>
      </c>
      <c r="M5" s="14">
        <f t="shared" si="8"/>
        <v>180</v>
      </c>
      <c r="N5" s="32">
        <v>226435</v>
      </c>
      <c r="O5" s="14">
        <f t="shared" si="9"/>
        <v>3</v>
      </c>
      <c r="P5" s="32">
        <v>172589</v>
      </c>
      <c r="Q5" s="14">
        <f t="shared" si="2"/>
        <v>117</v>
      </c>
      <c r="R5" s="1">
        <f>R4</f>
        <v>55047</v>
      </c>
      <c r="S5" s="14">
        <f t="shared" ref="S5:S33" si="11">R5-R4</f>
        <v>0</v>
      </c>
      <c r="T5" s="32">
        <v>4065</v>
      </c>
      <c r="U5" s="14">
        <f t="shared" si="10"/>
        <v>160</v>
      </c>
    </row>
    <row r="6" spans="1:24" ht="13.5" thickBot="1" x14ac:dyDescent="0.25">
      <c r="A6" s="9">
        <v>44838</v>
      </c>
      <c r="B6" s="32">
        <v>47671</v>
      </c>
      <c r="C6" s="14">
        <f t="shared" si="3"/>
        <v>640</v>
      </c>
      <c r="D6" s="32">
        <v>41026</v>
      </c>
      <c r="E6" s="14">
        <f t="shared" si="4"/>
        <v>480</v>
      </c>
      <c r="F6" s="32">
        <v>22144</v>
      </c>
      <c r="G6" s="14">
        <f t="shared" si="5"/>
        <v>80</v>
      </c>
      <c r="H6" s="32">
        <v>258990</v>
      </c>
      <c r="I6" s="14">
        <f t="shared" si="6"/>
        <v>35</v>
      </c>
      <c r="J6" s="32">
        <v>336046</v>
      </c>
      <c r="K6" s="14">
        <f t="shared" si="7"/>
        <v>164</v>
      </c>
      <c r="L6" s="32">
        <v>26555</v>
      </c>
      <c r="M6" s="14">
        <f t="shared" si="8"/>
        <v>180</v>
      </c>
      <c r="N6" s="32">
        <v>226438</v>
      </c>
      <c r="O6" s="14">
        <f t="shared" si="9"/>
        <v>3</v>
      </c>
      <c r="P6" s="32">
        <v>172709</v>
      </c>
      <c r="Q6" s="14">
        <f t="shared" si="2"/>
        <v>120</v>
      </c>
      <c r="R6" s="1">
        <f t="shared" ref="R6:R33" si="12">R5</f>
        <v>55047</v>
      </c>
      <c r="S6" s="14">
        <v>0</v>
      </c>
      <c r="T6" s="32">
        <f t="shared" ref="T6:T33" si="13">T5</f>
        <v>4065</v>
      </c>
      <c r="U6" s="14">
        <f t="shared" si="10"/>
        <v>0</v>
      </c>
    </row>
    <row r="7" spans="1:24" ht="13.5" thickBot="1" x14ac:dyDescent="0.25">
      <c r="A7" s="9">
        <v>44839</v>
      </c>
      <c r="B7" s="32">
        <v>47676</v>
      </c>
      <c r="C7" s="14">
        <f t="shared" si="3"/>
        <v>800</v>
      </c>
      <c r="D7" s="32">
        <v>41028</v>
      </c>
      <c r="E7" s="14">
        <f t="shared" si="4"/>
        <v>320</v>
      </c>
      <c r="F7" s="32">
        <v>22147</v>
      </c>
      <c r="G7" s="14">
        <f t="shared" si="5"/>
        <v>60</v>
      </c>
      <c r="H7" s="32">
        <v>259040</v>
      </c>
      <c r="I7" s="14">
        <f t="shared" si="6"/>
        <v>50</v>
      </c>
      <c r="J7" s="32">
        <v>336229</v>
      </c>
      <c r="K7" s="14">
        <f t="shared" si="7"/>
        <v>183</v>
      </c>
      <c r="L7" s="32">
        <v>26559</v>
      </c>
      <c r="M7" s="14">
        <f t="shared" si="8"/>
        <v>240</v>
      </c>
      <c r="N7" s="32">
        <v>226442</v>
      </c>
      <c r="O7" s="14">
        <f t="shared" si="9"/>
        <v>4</v>
      </c>
      <c r="P7" s="32">
        <v>172825</v>
      </c>
      <c r="Q7" s="14">
        <f t="shared" si="2"/>
        <v>116</v>
      </c>
      <c r="R7" s="1">
        <f t="shared" si="12"/>
        <v>55047</v>
      </c>
      <c r="S7" s="14">
        <v>0</v>
      </c>
      <c r="T7" s="32">
        <v>4066</v>
      </c>
      <c r="U7" s="14">
        <f t="shared" si="10"/>
        <v>160</v>
      </c>
    </row>
    <row r="8" spans="1:24" ht="13.5" thickBot="1" x14ac:dyDescent="0.25">
      <c r="A8" s="9">
        <v>44840</v>
      </c>
      <c r="B8" s="32">
        <v>47681</v>
      </c>
      <c r="C8" s="14">
        <f t="shared" si="3"/>
        <v>800</v>
      </c>
      <c r="D8" s="32">
        <v>41031</v>
      </c>
      <c r="E8" s="14">
        <f t="shared" si="4"/>
        <v>480</v>
      </c>
      <c r="F8" s="32">
        <v>22151</v>
      </c>
      <c r="G8" s="14">
        <f t="shared" si="5"/>
        <v>80</v>
      </c>
      <c r="H8" s="32">
        <v>259075</v>
      </c>
      <c r="I8" s="14">
        <f t="shared" si="6"/>
        <v>35</v>
      </c>
      <c r="J8" s="32">
        <v>336346</v>
      </c>
      <c r="K8" s="14">
        <f t="shared" si="7"/>
        <v>117</v>
      </c>
      <c r="L8" s="32">
        <v>26561</v>
      </c>
      <c r="M8" s="14">
        <f t="shared" si="8"/>
        <v>120</v>
      </c>
      <c r="N8" s="32">
        <v>226444</v>
      </c>
      <c r="O8" s="14">
        <f t="shared" si="9"/>
        <v>2</v>
      </c>
      <c r="P8" s="32">
        <f t="shared" ref="P8:P33" si="14">P7</f>
        <v>172825</v>
      </c>
      <c r="Q8" s="14">
        <f t="shared" si="2"/>
        <v>0</v>
      </c>
      <c r="R8" s="1">
        <f t="shared" si="12"/>
        <v>55047</v>
      </c>
      <c r="S8" s="14">
        <f>R8-R7</f>
        <v>0</v>
      </c>
      <c r="T8" s="32">
        <v>4066</v>
      </c>
      <c r="U8" s="14">
        <f t="shared" si="10"/>
        <v>0</v>
      </c>
    </row>
    <row r="9" spans="1:24" ht="13.5" thickBot="1" x14ac:dyDescent="0.25">
      <c r="A9" s="9">
        <v>44841</v>
      </c>
      <c r="B9" s="32">
        <v>47685</v>
      </c>
      <c r="C9" s="14">
        <f t="shared" si="3"/>
        <v>640</v>
      </c>
      <c r="D9" s="32">
        <v>41034</v>
      </c>
      <c r="E9" s="14">
        <f t="shared" si="4"/>
        <v>480</v>
      </c>
      <c r="F9" s="32">
        <v>22154</v>
      </c>
      <c r="G9" s="14">
        <f t="shared" si="5"/>
        <v>60</v>
      </c>
      <c r="H9" s="32">
        <v>259099</v>
      </c>
      <c r="I9" s="14">
        <f t="shared" si="6"/>
        <v>24</v>
      </c>
      <c r="J9" s="32">
        <v>336462</v>
      </c>
      <c r="K9" s="14">
        <f t="shared" si="7"/>
        <v>116</v>
      </c>
      <c r="L9" s="32">
        <v>26563</v>
      </c>
      <c r="M9" s="14">
        <f t="shared" si="8"/>
        <v>120</v>
      </c>
      <c r="N9" s="32">
        <v>226448</v>
      </c>
      <c r="O9" s="14">
        <f t="shared" si="9"/>
        <v>4</v>
      </c>
      <c r="P9" s="32">
        <v>173504</v>
      </c>
      <c r="Q9" s="14">
        <f t="shared" si="2"/>
        <v>679</v>
      </c>
      <c r="R9" s="1">
        <f t="shared" si="12"/>
        <v>55047</v>
      </c>
      <c r="S9" s="14">
        <f>R9-R8</f>
        <v>0</v>
      </c>
      <c r="T9" s="32">
        <v>4067</v>
      </c>
      <c r="U9" s="14">
        <f t="shared" si="10"/>
        <v>160</v>
      </c>
    </row>
    <row r="10" spans="1:24" ht="13.5" thickBot="1" x14ac:dyDescent="0.25">
      <c r="A10" s="9">
        <v>44842</v>
      </c>
      <c r="B10" s="32">
        <v>47690</v>
      </c>
      <c r="C10" s="14">
        <f t="shared" si="3"/>
        <v>800</v>
      </c>
      <c r="D10" s="32">
        <v>41037</v>
      </c>
      <c r="E10" s="14">
        <f t="shared" si="4"/>
        <v>480</v>
      </c>
      <c r="F10" s="32">
        <v>22158</v>
      </c>
      <c r="G10" s="14">
        <f t="shared" si="5"/>
        <v>80</v>
      </c>
      <c r="H10" s="32">
        <v>259129</v>
      </c>
      <c r="I10" s="14">
        <f t="shared" si="6"/>
        <v>30</v>
      </c>
      <c r="J10" s="32">
        <v>336599</v>
      </c>
      <c r="K10" s="14">
        <f t="shared" si="7"/>
        <v>137</v>
      </c>
      <c r="L10" s="32">
        <v>26565</v>
      </c>
      <c r="M10" s="14">
        <f t="shared" si="8"/>
        <v>120</v>
      </c>
      <c r="N10" s="32">
        <v>226451</v>
      </c>
      <c r="O10" s="14">
        <f t="shared" si="9"/>
        <v>3</v>
      </c>
      <c r="P10" s="32">
        <v>173626</v>
      </c>
      <c r="Q10" s="14">
        <f t="shared" si="2"/>
        <v>122</v>
      </c>
      <c r="R10" s="1">
        <f t="shared" si="12"/>
        <v>55047</v>
      </c>
      <c r="S10" s="14">
        <f>R10-R9</f>
        <v>0</v>
      </c>
      <c r="T10" s="32">
        <v>4067</v>
      </c>
      <c r="U10" s="14">
        <f t="shared" si="10"/>
        <v>0</v>
      </c>
    </row>
    <row r="11" spans="1:24" ht="13.5" thickBot="1" x14ac:dyDescent="0.25">
      <c r="A11" s="9">
        <v>44843</v>
      </c>
      <c r="B11" s="32">
        <v>47695</v>
      </c>
      <c r="C11" s="14">
        <f t="shared" si="3"/>
        <v>800</v>
      </c>
      <c r="D11" s="32">
        <v>41040</v>
      </c>
      <c r="E11" s="14">
        <f t="shared" si="4"/>
        <v>480</v>
      </c>
      <c r="F11" s="32">
        <v>22162</v>
      </c>
      <c r="G11" s="14">
        <f t="shared" si="5"/>
        <v>80</v>
      </c>
      <c r="H11" s="32">
        <v>259161</v>
      </c>
      <c r="I11" s="14">
        <f t="shared" si="6"/>
        <v>32</v>
      </c>
      <c r="J11" s="32">
        <v>336733</v>
      </c>
      <c r="K11" s="14">
        <f t="shared" si="7"/>
        <v>134</v>
      </c>
      <c r="L11" s="32">
        <v>26567</v>
      </c>
      <c r="M11" s="14">
        <f t="shared" si="8"/>
        <v>120</v>
      </c>
      <c r="N11" s="32">
        <v>226454</v>
      </c>
      <c r="O11" s="14">
        <f t="shared" si="9"/>
        <v>3</v>
      </c>
      <c r="P11" s="32">
        <v>173741</v>
      </c>
      <c r="Q11" s="14">
        <f t="shared" si="2"/>
        <v>115</v>
      </c>
      <c r="R11" s="1">
        <f t="shared" si="12"/>
        <v>55047</v>
      </c>
      <c r="S11" s="14">
        <f t="shared" si="11"/>
        <v>0</v>
      </c>
      <c r="T11" s="32">
        <v>4068</v>
      </c>
      <c r="U11" s="14">
        <f t="shared" si="10"/>
        <v>160</v>
      </c>
    </row>
    <row r="12" spans="1:24" ht="13.5" thickBot="1" x14ac:dyDescent="0.25">
      <c r="A12" s="9">
        <v>44844</v>
      </c>
      <c r="B12" s="32">
        <v>47699</v>
      </c>
      <c r="C12" s="14">
        <f t="shared" si="3"/>
        <v>640</v>
      </c>
      <c r="D12" s="32">
        <v>41044</v>
      </c>
      <c r="E12" s="14">
        <f t="shared" si="4"/>
        <v>640</v>
      </c>
      <c r="F12" s="32">
        <v>22166</v>
      </c>
      <c r="G12" s="14">
        <f t="shared" si="5"/>
        <v>80</v>
      </c>
      <c r="H12" s="32">
        <v>259193</v>
      </c>
      <c r="I12" s="14">
        <f t="shared" si="6"/>
        <v>32</v>
      </c>
      <c r="J12" s="32">
        <v>336857</v>
      </c>
      <c r="K12" s="14">
        <f t="shared" si="7"/>
        <v>124</v>
      </c>
      <c r="L12" s="32">
        <v>26569</v>
      </c>
      <c r="M12" s="14">
        <f t="shared" si="8"/>
        <v>120</v>
      </c>
      <c r="N12" s="32">
        <v>226457</v>
      </c>
      <c r="O12" s="14">
        <f t="shared" si="9"/>
        <v>3</v>
      </c>
      <c r="P12" s="32">
        <v>173863</v>
      </c>
      <c r="Q12" s="14">
        <f t="shared" si="2"/>
        <v>122</v>
      </c>
      <c r="R12" s="1">
        <f t="shared" si="12"/>
        <v>55047</v>
      </c>
      <c r="S12" s="14">
        <f t="shared" si="11"/>
        <v>0</v>
      </c>
      <c r="T12" s="32">
        <v>4068</v>
      </c>
      <c r="U12" s="14">
        <f t="shared" si="10"/>
        <v>0</v>
      </c>
    </row>
    <row r="13" spans="1:24" ht="13.5" thickBot="1" x14ac:dyDescent="0.25">
      <c r="A13" s="9">
        <v>44845</v>
      </c>
      <c r="B13" s="32">
        <f t="shared" ref="B13:B33" si="15">B12</f>
        <v>47699</v>
      </c>
      <c r="C13" s="14">
        <f t="shared" si="3"/>
        <v>0</v>
      </c>
      <c r="D13" s="32">
        <f t="shared" ref="D13:D33" si="16">D12</f>
        <v>41044</v>
      </c>
      <c r="E13" s="14">
        <f t="shared" si="4"/>
        <v>0</v>
      </c>
      <c r="F13" s="32">
        <f t="shared" ref="F13:F33" si="17">F12</f>
        <v>22166</v>
      </c>
      <c r="G13" s="14">
        <f t="shared" si="5"/>
        <v>0</v>
      </c>
      <c r="H13" s="32">
        <f t="shared" ref="H13:H33" si="18">H12</f>
        <v>259193</v>
      </c>
      <c r="I13" s="14">
        <f t="shared" si="6"/>
        <v>0</v>
      </c>
      <c r="J13" s="32">
        <f t="shared" ref="J13:J33" si="19">J12</f>
        <v>336857</v>
      </c>
      <c r="K13" s="14">
        <f t="shared" si="7"/>
        <v>0</v>
      </c>
      <c r="L13" s="32">
        <f t="shared" ref="L13:L33" si="20">L12</f>
        <v>26569</v>
      </c>
      <c r="M13" s="14">
        <f t="shared" si="8"/>
        <v>0</v>
      </c>
      <c r="N13" s="32">
        <f t="shared" ref="N13:N33" si="21">N12</f>
        <v>226457</v>
      </c>
      <c r="O13" s="14">
        <f t="shared" si="9"/>
        <v>0</v>
      </c>
      <c r="P13" s="32">
        <f t="shared" si="14"/>
        <v>173863</v>
      </c>
      <c r="Q13" s="14">
        <f t="shared" si="2"/>
        <v>0</v>
      </c>
      <c r="R13" s="1">
        <f t="shared" si="12"/>
        <v>55047</v>
      </c>
      <c r="S13" s="14">
        <f t="shared" si="11"/>
        <v>0</v>
      </c>
      <c r="T13" s="32">
        <f t="shared" si="13"/>
        <v>4068</v>
      </c>
      <c r="U13" s="14">
        <f t="shared" si="10"/>
        <v>0</v>
      </c>
    </row>
    <row r="14" spans="1:24" ht="13.5" thickBot="1" x14ac:dyDescent="0.25">
      <c r="A14" s="9">
        <v>44846</v>
      </c>
      <c r="B14" s="32">
        <f t="shared" si="15"/>
        <v>47699</v>
      </c>
      <c r="C14" s="14">
        <f t="shared" si="3"/>
        <v>0</v>
      </c>
      <c r="D14" s="32">
        <f t="shared" si="16"/>
        <v>41044</v>
      </c>
      <c r="E14" s="14">
        <f t="shared" si="4"/>
        <v>0</v>
      </c>
      <c r="F14" s="32">
        <f t="shared" si="17"/>
        <v>22166</v>
      </c>
      <c r="G14" s="14">
        <f t="shared" si="5"/>
        <v>0</v>
      </c>
      <c r="H14" s="32">
        <f t="shared" si="18"/>
        <v>259193</v>
      </c>
      <c r="I14" s="14">
        <f t="shared" si="6"/>
        <v>0</v>
      </c>
      <c r="J14" s="32">
        <f t="shared" si="19"/>
        <v>336857</v>
      </c>
      <c r="K14" s="14">
        <f t="shared" si="7"/>
        <v>0</v>
      </c>
      <c r="L14" s="32">
        <f t="shared" si="20"/>
        <v>26569</v>
      </c>
      <c r="M14" s="14">
        <f t="shared" si="8"/>
        <v>0</v>
      </c>
      <c r="N14" s="32">
        <f t="shared" si="21"/>
        <v>226457</v>
      </c>
      <c r="O14" s="14">
        <f t="shared" si="9"/>
        <v>0</v>
      </c>
      <c r="P14" s="32">
        <f t="shared" si="14"/>
        <v>173863</v>
      </c>
      <c r="Q14" s="14">
        <f t="shared" si="2"/>
        <v>0</v>
      </c>
      <c r="R14" s="1">
        <f t="shared" si="12"/>
        <v>55047</v>
      </c>
      <c r="S14" s="14">
        <v>0</v>
      </c>
      <c r="T14" s="32">
        <f t="shared" si="13"/>
        <v>4068</v>
      </c>
      <c r="U14" s="14">
        <f t="shared" si="10"/>
        <v>0</v>
      </c>
    </row>
    <row r="15" spans="1:24" ht="13.5" thickBot="1" x14ac:dyDescent="0.25">
      <c r="A15" s="9">
        <v>44847</v>
      </c>
      <c r="B15" s="32">
        <f t="shared" si="15"/>
        <v>47699</v>
      </c>
      <c r="C15" s="14">
        <f t="shared" si="3"/>
        <v>0</v>
      </c>
      <c r="D15" s="32">
        <f t="shared" si="16"/>
        <v>41044</v>
      </c>
      <c r="E15" s="14">
        <f t="shared" si="4"/>
        <v>0</v>
      </c>
      <c r="F15" s="32">
        <f t="shared" si="17"/>
        <v>22166</v>
      </c>
      <c r="G15" s="14">
        <f t="shared" si="5"/>
        <v>0</v>
      </c>
      <c r="H15" s="32">
        <f t="shared" si="18"/>
        <v>259193</v>
      </c>
      <c r="I15" s="14">
        <f t="shared" si="6"/>
        <v>0</v>
      </c>
      <c r="J15" s="32">
        <f t="shared" si="19"/>
        <v>336857</v>
      </c>
      <c r="K15" s="14">
        <f t="shared" si="7"/>
        <v>0</v>
      </c>
      <c r="L15" s="32">
        <f t="shared" si="20"/>
        <v>26569</v>
      </c>
      <c r="M15" s="14">
        <f t="shared" si="8"/>
        <v>0</v>
      </c>
      <c r="N15" s="32">
        <f t="shared" si="21"/>
        <v>226457</v>
      </c>
      <c r="O15" s="14">
        <f t="shared" si="9"/>
        <v>0</v>
      </c>
      <c r="P15" s="32">
        <f t="shared" si="14"/>
        <v>173863</v>
      </c>
      <c r="Q15" s="14">
        <f t="shared" si="2"/>
        <v>0</v>
      </c>
      <c r="R15" s="1">
        <v>55047</v>
      </c>
      <c r="S15" s="14">
        <v>0</v>
      </c>
      <c r="T15" s="32">
        <f t="shared" si="13"/>
        <v>4068</v>
      </c>
      <c r="U15" s="14">
        <f t="shared" si="10"/>
        <v>0</v>
      </c>
      <c r="X15" t="s">
        <v>12</v>
      </c>
    </row>
    <row r="16" spans="1:24" ht="13.5" thickBot="1" x14ac:dyDescent="0.25">
      <c r="A16" s="9">
        <v>44848</v>
      </c>
      <c r="B16" s="32">
        <f t="shared" si="15"/>
        <v>47699</v>
      </c>
      <c r="C16" s="14">
        <f t="shared" si="3"/>
        <v>0</v>
      </c>
      <c r="D16" s="32">
        <f t="shared" si="16"/>
        <v>41044</v>
      </c>
      <c r="E16" s="14">
        <f t="shared" si="4"/>
        <v>0</v>
      </c>
      <c r="F16" s="32">
        <f t="shared" si="17"/>
        <v>22166</v>
      </c>
      <c r="G16" s="14">
        <f t="shared" si="5"/>
        <v>0</v>
      </c>
      <c r="H16" s="32">
        <f t="shared" si="18"/>
        <v>259193</v>
      </c>
      <c r="I16" s="14">
        <f t="shared" si="6"/>
        <v>0</v>
      </c>
      <c r="J16" s="32">
        <f t="shared" si="19"/>
        <v>336857</v>
      </c>
      <c r="K16" s="14">
        <f t="shared" si="7"/>
        <v>0</v>
      </c>
      <c r="L16" s="32">
        <f t="shared" si="20"/>
        <v>26569</v>
      </c>
      <c r="M16" s="14">
        <f t="shared" si="8"/>
        <v>0</v>
      </c>
      <c r="N16" s="32">
        <f t="shared" si="21"/>
        <v>226457</v>
      </c>
      <c r="O16" s="14">
        <f t="shared" si="9"/>
        <v>0</v>
      </c>
      <c r="P16" s="32">
        <f t="shared" si="14"/>
        <v>173863</v>
      </c>
      <c r="Q16" s="14">
        <f t="shared" si="2"/>
        <v>0</v>
      </c>
      <c r="R16" s="1">
        <f t="shared" si="12"/>
        <v>55047</v>
      </c>
      <c r="S16" s="14">
        <f t="shared" si="11"/>
        <v>0</v>
      </c>
      <c r="T16" s="32">
        <f t="shared" si="13"/>
        <v>4068</v>
      </c>
      <c r="U16" s="14">
        <f t="shared" si="10"/>
        <v>0</v>
      </c>
      <c r="W16" t="s">
        <v>12</v>
      </c>
    </row>
    <row r="17" spans="1:23" ht="13.5" thickBot="1" x14ac:dyDescent="0.25">
      <c r="A17" s="9">
        <v>44849</v>
      </c>
      <c r="B17" s="32">
        <f t="shared" si="15"/>
        <v>47699</v>
      </c>
      <c r="C17" s="14">
        <f t="shared" si="3"/>
        <v>0</v>
      </c>
      <c r="D17" s="32">
        <f t="shared" si="16"/>
        <v>41044</v>
      </c>
      <c r="E17" s="14">
        <f t="shared" si="4"/>
        <v>0</v>
      </c>
      <c r="F17" s="32">
        <f t="shared" si="17"/>
        <v>22166</v>
      </c>
      <c r="G17" s="14">
        <f t="shared" si="5"/>
        <v>0</v>
      </c>
      <c r="H17" s="32">
        <f t="shared" si="18"/>
        <v>259193</v>
      </c>
      <c r="I17" s="14">
        <f t="shared" si="6"/>
        <v>0</v>
      </c>
      <c r="J17" s="32">
        <f t="shared" si="19"/>
        <v>336857</v>
      </c>
      <c r="K17" s="14">
        <f t="shared" si="7"/>
        <v>0</v>
      </c>
      <c r="L17" s="32">
        <f t="shared" si="20"/>
        <v>26569</v>
      </c>
      <c r="M17" s="14">
        <f t="shared" si="8"/>
        <v>0</v>
      </c>
      <c r="N17" s="32">
        <f t="shared" si="21"/>
        <v>226457</v>
      </c>
      <c r="O17" s="14">
        <f t="shared" si="9"/>
        <v>0</v>
      </c>
      <c r="P17" s="32">
        <f t="shared" si="14"/>
        <v>173863</v>
      </c>
      <c r="Q17" s="14">
        <f t="shared" si="2"/>
        <v>0</v>
      </c>
      <c r="R17" s="1">
        <f t="shared" si="12"/>
        <v>55047</v>
      </c>
      <c r="S17" s="14">
        <f>S16</f>
        <v>0</v>
      </c>
      <c r="T17" s="32">
        <f t="shared" si="13"/>
        <v>4068</v>
      </c>
      <c r="U17" s="14">
        <f t="shared" si="10"/>
        <v>0</v>
      </c>
    </row>
    <row r="18" spans="1:23" ht="13.5" thickBot="1" x14ac:dyDescent="0.25">
      <c r="A18" s="9">
        <v>44850</v>
      </c>
      <c r="B18" s="32">
        <f t="shared" si="15"/>
        <v>47699</v>
      </c>
      <c r="C18" s="14">
        <f t="shared" si="3"/>
        <v>0</v>
      </c>
      <c r="D18" s="32">
        <f t="shared" si="16"/>
        <v>41044</v>
      </c>
      <c r="E18" s="14">
        <f t="shared" si="4"/>
        <v>0</v>
      </c>
      <c r="F18" s="32">
        <f t="shared" si="17"/>
        <v>22166</v>
      </c>
      <c r="G18" s="14">
        <f t="shared" si="5"/>
        <v>0</v>
      </c>
      <c r="H18" s="32">
        <f t="shared" si="18"/>
        <v>259193</v>
      </c>
      <c r="I18" s="14">
        <f t="shared" si="6"/>
        <v>0</v>
      </c>
      <c r="J18" s="32">
        <f t="shared" si="19"/>
        <v>336857</v>
      </c>
      <c r="K18" s="14">
        <f t="shared" si="7"/>
        <v>0</v>
      </c>
      <c r="L18" s="32">
        <f t="shared" si="20"/>
        <v>26569</v>
      </c>
      <c r="M18" s="14">
        <f t="shared" si="8"/>
        <v>0</v>
      </c>
      <c r="N18" s="32">
        <f t="shared" si="21"/>
        <v>226457</v>
      </c>
      <c r="O18" s="14">
        <f t="shared" si="9"/>
        <v>0</v>
      </c>
      <c r="P18" s="32">
        <f t="shared" si="14"/>
        <v>173863</v>
      </c>
      <c r="Q18" s="14">
        <f t="shared" si="2"/>
        <v>0</v>
      </c>
      <c r="R18" s="1">
        <f t="shared" si="12"/>
        <v>55047</v>
      </c>
      <c r="S18" s="14">
        <f t="shared" si="11"/>
        <v>0</v>
      </c>
      <c r="T18" s="32">
        <f t="shared" si="13"/>
        <v>4068</v>
      </c>
      <c r="U18" s="14">
        <f t="shared" si="10"/>
        <v>0</v>
      </c>
    </row>
    <row r="19" spans="1:23" ht="13.5" thickBot="1" x14ac:dyDescent="0.25">
      <c r="A19" s="9">
        <v>44851</v>
      </c>
      <c r="B19" s="32">
        <f t="shared" si="15"/>
        <v>47699</v>
      </c>
      <c r="C19" s="14">
        <f t="shared" si="3"/>
        <v>0</v>
      </c>
      <c r="D19" s="32">
        <f t="shared" si="16"/>
        <v>41044</v>
      </c>
      <c r="E19" s="14">
        <f t="shared" si="4"/>
        <v>0</v>
      </c>
      <c r="F19" s="32">
        <f t="shared" si="17"/>
        <v>22166</v>
      </c>
      <c r="G19" s="14">
        <f t="shared" si="5"/>
        <v>0</v>
      </c>
      <c r="H19" s="32">
        <f t="shared" si="18"/>
        <v>259193</v>
      </c>
      <c r="I19" s="14">
        <f t="shared" si="6"/>
        <v>0</v>
      </c>
      <c r="J19" s="32">
        <f t="shared" si="19"/>
        <v>336857</v>
      </c>
      <c r="K19" s="14">
        <f t="shared" si="7"/>
        <v>0</v>
      </c>
      <c r="L19" s="32">
        <f t="shared" si="20"/>
        <v>26569</v>
      </c>
      <c r="M19" s="14">
        <f t="shared" si="8"/>
        <v>0</v>
      </c>
      <c r="N19" s="32">
        <f t="shared" si="21"/>
        <v>226457</v>
      </c>
      <c r="O19" s="14">
        <f t="shared" si="9"/>
        <v>0</v>
      </c>
      <c r="P19" s="32">
        <f t="shared" si="14"/>
        <v>173863</v>
      </c>
      <c r="Q19" s="14">
        <v>0</v>
      </c>
      <c r="R19" s="1">
        <f t="shared" si="12"/>
        <v>55047</v>
      </c>
      <c r="S19" s="14">
        <f t="shared" si="11"/>
        <v>0</v>
      </c>
      <c r="T19" s="32">
        <f t="shared" si="13"/>
        <v>4068</v>
      </c>
      <c r="U19" s="14">
        <f t="shared" si="10"/>
        <v>0</v>
      </c>
      <c r="W19" t="s">
        <v>12</v>
      </c>
    </row>
    <row r="20" spans="1:23" ht="13.5" thickBot="1" x14ac:dyDescent="0.25">
      <c r="A20" s="9">
        <v>44852</v>
      </c>
      <c r="B20" s="32">
        <f t="shared" si="15"/>
        <v>47699</v>
      </c>
      <c r="C20" s="14">
        <f t="shared" si="3"/>
        <v>0</v>
      </c>
      <c r="D20" s="32">
        <f t="shared" si="16"/>
        <v>41044</v>
      </c>
      <c r="E20" s="14">
        <f t="shared" si="4"/>
        <v>0</v>
      </c>
      <c r="F20" s="32">
        <f t="shared" si="17"/>
        <v>22166</v>
      </c>
      <c r="G20" s="14">
        <f t="shared" si="5"/>
        <v>0</v>
      </c>
      <c r="H20" s="32">
        <f t="shared" si="18"/>
        <v>259193</v>
      </c>
      <c r="I20" s="14">
        <f t="shared" si="6"/>
        <v>0</v>
      </c>
      <c r="J20" s="32">
        <f t="shared" si="19"/>
        <v>336857</v>
      </c>
      <c r="K20" s="14">
        <f t="shared" si="7"/>
        <v>0</v>
      </c>
      <c r="L20" s="32">
        <f t="shared" si="20"/>
        <v>26569</v>
      </c>
      <c r="M20" s="14">
        <f t="shared" si="8"/>
        <v>0</v>
      </c>
      <c r="N20" s="32">
        <f t="shared" si="21"/>
        <v>226457</v>
      </c>
      <c r="O20" s="14">
        <f t="shared" si="9"/>
        <v>0</v>
      </c>
      <c r="P20" s="32">
        <f t="shared" si="14"/>
        <v>173863</v>
      </c>
      <c r="Q20" s="14">
        <f t="shared" si="2"/>
        <v>0</v>
      </c>
      <c r="R20" s="1">
        <v>55047</v>
      </c>
      <c r="S20" s="14">
        <f t="shared" si="11"/>
        <v>0</v>
      </c>
      <c r="T20" s="32">
        <f t="shared" si="13"/>
        <v>4068</v>
      </c>
      <c r="U20" s="14">
        <f t="shared" si="10"/>
        <v>0</v>
      </c>
    </row>
    <row r="21" spans="1:23" ht="13.5" thickBot="1" x14ac:dyDescent="0.25">
      <c r="A21" s="9">
        <v>44853</v>
      </c>
      <c r="B21" s="32">
        <f t="shared" si="15"/>
        <v>47699</v>
      </c>
      <c r="C21" s="14">
        <f t="shared" si="3"/>
        <v>0</v>
      </c>
      <c r="D21" s="32">
        <f t="shared" si="16"/>
        <v>41044</v>
      </c>
      <c r="E21" s="14">
        <f t="shared" si="4"/>
        <v>0</v>
      </c>
      <c r="F21" s="32">
        <f t="shared" si="17"/>
        <v>22166</v>
      </c>
      <c r="G21" s="14">
        <f t="shared" si="5"/>
        <v>0</v>
      </c>
      <c r="H21" s="32">
        <f t="shared" si="18"/>
        <v>259193</v>
      </c>
      <c r="I21" s="14">
        <f t="shared" si="6"/>
        <v>0</v>
      </c>
      <c r="J21" s="32">
        <f t="shared" si="19"/>
        <v>336857</v>
      </c>
      <c r="K21" s="14">
        <f t="shared" si="7"/>
        <v>0</v>
      </c>
      <c r="L21" s="32">
        <f t="shared" si="20"/>
        <v>26569</v>
      </c>
      <c r="M21" s="14">
        <f t="shared" si="8"/>
        <v>0</v>
      </c>
      <c r="N21" s="32">
        <f t="shared" si="21"/>
        <v>226457</v>
      </c>
      <c r="O21" s="14">
        <f t="shared" si="9"/>
        <v>0</v>
      </c>
      <c r="P21" s="32">
        <f t="shared" si="14"/>
        <v>173863</v>
      </c>
      <c r="Q21" s="14">
        <f t="shared" si="2"/>
        <v>0</v>
      </c>
      <c r="R21" s="1">
        <f t="shared" si="12"/>
        <v>55047</v>
      </c>
      <c r="S21" s="14">
        <f t="shared" si="11"/>
        <v>0</v>
      </c>
      <c r="T21" s="32">
        <f t="shared" si="13"/>
        <v>4068</v>
      </c>
      <c r="U21" s="14">
        <f t="shared" si="10"/>
        <v>0</v>
      </c>
    </row>
    <row r="22" spans="1:23" ht="13.5" thickBot="1" x14ac:dyDescent="0.25">
      <c r="A22" s="9">
        <v>44854</v>
      </c>
      <c r="B22" s="32">
        <f t="shared" si="15"/>
        <v>47699</v>
      </c>
      <c r="C22" s="14">
        <f t="shared" si="3"/>
        <v>0</v>
      </c>
      <c r="D22" s="32">
        <f t="shared" si="16"/>
        <v>41044</v>
      </c>
      <c r="E22" s="14">
        <f t="shared" si="4"/>
        <v>0</v>
      </c>
      <c r="F22" s="32">
        <f t="shared" si="17"/>
        <v>22166</v>
      </c>
      <c r="G22" s="14">
        <f t="shared" si="5"/>
        <v>0</v>
      </c>
      <c r="H22" s="32">
        <f t="shared" si="18"/>
        <v>259193</v>
      </c>
      <c r="I22" s="14">
        <f t="shared" si="6"/>
        <v>0</v>
      </c>
      <c r="J22" s="32">
        <f t="shared" si="19"/>
        <v>336857</v>
      </c>
      <c r="K22" s="14">
        <f t="shared" si="7"/>
        <v>0</v>
      </c>
      <c r="L22" s="32">
        <f t="shared" si="20"/>
        <v>26569</v>
      </c>
      <c r="M22" s="14">
        <f t="shared" si="8"/>
        <v>0</v>
      </c>
      <c r="N22" s="32">
        <f t="shared" si="21"/>
        <v>226457</v>
      </c>
      <c r="O22" s="14">
        <f t="shared" si="9"/>
        <v>0</v>
      </c>
      <c r="P22" s="32">
        <f t="shared" si="14"/>
        <v>173863</v>
      </c>
      <c r="Q22" s="14">
        <f t="shared" si="2"/>
        <v>0</v>
      </c>
      <c r="R22" s="1">
        <f t="shared" si="12"/>
        <v>55047</v>
      </c>
      <c r="S22" s="14">
        <f t="shared" si="11"/>
        <v>0</v>
      </c>
      <c r="T22" s="32">
        <f t="shared" si="13"/>
        <v>4068</v>
      </c>
      <c r="U22" s="14">
        <f t="shared" si="10"/>
        <v>0</v>
      </c>
    </row>
    <row r="23" spans="1:23" ht="13.5" thickBot="1" x14ac:dyDescent="0.25">
      <c r="A23" s="9">
        <v>44855</v>
      </c>
      <c r="B23" s="32">
        <f t="shared" si="15"/>
        <v>47699</v>
      </c>
      <c r="C23" s="14">
        <f t="shared" si="3"/>
        <v>0</v>
      </c>
      <c r="D23" s="32">
        <f t="shared" si="16"/>
        <v>41044</v>
      </c>
      <c r="E23" s="14">
        <f t="shared" si="4"/>
        <v>0</v>
      </c>
      <c r="F23" s="32">
        <f t="shared" si="17"/>
        <v>22166</v>
      </c>
      <c r="G23" s="14">
        <f t="shared" si="5"/>
        <v>0</v>
      </c>
      <c r="H23" s="32">
        <f t="shared" si="18"/>
        <v>259193</v>
      </c>
      <c r="I23" s="14">
        <f t="shared" si="6"/>
        <v>0</v>
      </c>
      <c r="J23" s="32">
        <f t="shared" si="19"/>
        <v>336857</v>
      </c>
      <c r="K23" s="14">
        <f t="shared" si="7"/>
        <v>0</v>
      </c>
      <c r="L23" s="32">
        <f t="shared" si="20"/>
        <v>26569</v>
      </c>
      <c r="M23" s="14">
        <f t="shared" si="8"/>
        <v>0</v>
      </c>
      <c r="N23" s="32">
        <f t="shared" si="21"/>
        <v>226457</v>
      </c>
      <c r="O23" s="14">
        <f t="shared" si="9"/>
        <v>0</v>
      </c>
      <c r="P23" s="32">
        <f t="shared" si="14"/>
        <v>173863</v>
      </c>
      <c r="Q23" s="14">
        <f t="shared" si="2"/>
        <v>0</v>
      </c>
      <c r="R23" s="1">
        <f t="shared" si="12"/>
        <v>55047</v>
      </c>
      <c r="S23" s="14">
        <f t="shared" si="11"/>
        <v>0</v>
      </c>
      <c r="T23" s="32">
        <f t="shared" si="13"/>
        <v>4068</v>
      </c>
      <c r="U23" s="14">
        <f t="shared" si="10"/>
        <v>0</v>
      </c>
    </row>
    <row r="24" spans="1:23" s="119" customFormat="1" ht="13.5" thickBot="1" x14ac:dyDescent="0.25">
      <c r="A24" s="9">
        <v>44856</v>
      </c>
      <c r="B24" s="32">
        <f t="shared" si="15"/>
        <v>47699</v>
      </c>
      <c r="C24" s="14">
        <f t="shared" si="3"/>
        <v>0</v>
      </c>
      <c r="D24" s="32">
        <f t="shared" si="16"/>
        <v>41044</v>
      </c>
      <c r="E24" s="14">
        <f t="shared" si="4"/>
        <v>0</v>
      </c>
      <c r="F24" s="32">
        <f t="shared" si="17"/>
        <v>22166</v>
      </c>
      <c r="G24" s="14">
        <f t="shared" si="5"/>
        <v>0</v>
      </c>
      <c r="H24" s="32">
        <f t="shared" si="18"/>
        <v>259193</v>
      </c>
      <c r="I24" s="14">
        <f t="shared" si="6"/>
        <v>0</v>
      </c>
      <c r="J24" s="32">
        <f t="shared" si="19"/>
        <v>336857</v>
      </c>
      <c r="K24" s="14">
        <f t="shared" si="7"/>
        <v>0</v>
      </c>
      <c r="L24" s="32">
        <f t="shared" si="20"/>
        <v>26569</v>
      </c>
      <c r="M24" s="14">
        <f t="shared" si="8"/>
        <v>0</v>
      </c>
      <c r="N24" s="32">
        <f t="shared" si="21"/>
        <v>226457</v>
      </c>
      <c r="O24" s="14">
        <f t="shared" si="9"/>
        <v>0</v>
      </c>
      <c r="P24" s="32">
        <f t="shared" si="14"/>
        <v>173863</v>
      </c>
      <c r="Q24" s="14">
        <f t="shared" si="2"/>
        <v>0</v>
      </c>
      <c r="R24" s="1">
        <f t="shared" si="12"/>
        <v>55047</v>
      </c>
      <c r="S24" s="14">
        <f t="shared" si="11"/>
        <v>0</v>
      </c>
      <c r="T24" s="32">
        <f t="shared" si="13"/>
        <v>4068</v>
      </c>
      <c r="U24" s="14">
        <f t="shared" si="10"/>
        <v>0</v>
      </c>
    </row>
    <row r="25" spans="1:23" ht="13.5" thickBot="1" x14ac:dyDescent="0.25">
      <c r="A25" s="9">
        <v>44857</v>
      </c>
      <c r="B25" s="32">
        <f t="shared" si="15"/>
        <v>47699</v>
      </c>
      <c r="C25" s="14">
        <f t="shared" si="3"/>
        <v>0</v>
      </c>
      <c r="D25" s="32">
        <f t="shared" si="16"/>
        <v>41044</v>
      </c>
      <c r="E25" s="14">
        <f t="shared" si="4"/>
        <v>0</v>
      </c>
      <c r="F25" s="32">
        <f t="shared" si="17"/>
        <v>22166</v>
      </c>
      <c r="G25" s="14">
        <f t="shared" si="5"/>
        <v>0</v>
      </c>
      <c r="H25" s="32">
        <f t="shared" si="18"/>
        <v>259193</v>
      </c>
      <c r="I25" s="14">
        <f t="shared" si="6"/>
        <v>0</v>
      </c>
      <c r="J25" s="32">
        <f t="shared" si="19"/>
        <v>336857</v>
      </c>
      <c r="K25" s="14">
        <f t="shared" si="7"/>
        <v>0</v>
      </c>
      <c r="L25" s="32">
        <f t="shared" si="20"/>
        <v>26569</v>
      </c>
      <c r="M25" s="14">
        <f t="shared" si="8"/>
        <v>0</v>
      </c>
      <c r="N25" s="32">
        <f t="shared" si="21"/>
        <v>226457</v>
      </c>
      <c r="O25" s="14">
        <f t="shared" si="9"/>
        <v>0</v>
      </c>
      <c r="P25" s="32">
        <f t="shared" si="14"/>
        <v>173863</v>
      </c>
      <c r="Q25" s="14">
        <f t="shared" si="2"/>
        <v>0</v>
      </c>
      <c r="R25" s="1">
        <f t="shared" si="12"/>
        <v>55047</v>
      </c>
      <c r="S25" s="14">
        <f t="shared" si="11"/>
        <v>0</v>
      </c>
      <c r="T25" s="32">
        <f t="shared" si="13"/>
        <v>4068</v>
      </c>
      <c r="U25" s="14">
        <f t="shared" si="10"/>
        <v>0</v>
      </c>
      <c r="V25" t="s">
        <v>12</v>
      </c>
    </row>
    <row r="26" spans="1:23" ht="12.75" customHeight="1" thickBot="1" x14ac:dyDescent="0.25">
      <c r="A26" s="9">
        <v>44858</v>
      </c>
      <c r="B26" s="32">
        <f t="shared" si="15"/>
        <v>47699</v>
      </c>
      <c r="C26" s="14">
        <f t="shared" si="3"/>
        <v>0</v>
      </c>
      <c r="D26" s="32">
        <f t="shared" si="16"/>
        <v>41044</v>
      </c>
      <c r="E26" s="14">
        <f t="shared" si="4"/>
        <v>0</v>
      </c>
      <c r="F26" s="32">
        <f t="shared" si="17"/>
        <v>22166</v>
      </c>
      <c r="G26" s="14">
        <f t="shared" si="5"/>
        <v>0</v>
      </c>
      <c r="H26" s="32">
        <f t="shared" si="18"/>
        <v>259193</v>
      </c>
      <c r="I26" s="14">
        <f t="shared" si="6"/>
        <v>0</v>
      </c>
      <c r="J26" s="32">
        <f t="shared" si="19"/>
        <v>336857</v>
      </c>
      <c r="K26" s="14">
        <f t="shared" si="7"/>
        <v>0</v>
      </c>
      <c r="L26" s="32">
        <f t="shared" si="20"/>
        <v>26569</v>
      </c>
      <c r="M26" s="14">
        <f t="shared" si="8"/>
        <v>0</v>
      </c>
      <c r="N26" s="32">
        <f t="shared" si="21"/>
        <v>226457</v>
      </c>
      <c r="O26" s="14">
        <f t="shared" si="9"/>
        <v>0</v>
      </c>
      <c r="P26" s="32">
        <f t="shared" si="14"/>
        <v>173863</v>
      </c>
      <c r="Q26" s="14">
        <f t="shared" si="2"/>
        <v>0</v>
      </c>
      <c r="R26" s="1">
        <f t="shared" si="12"/>
        <v>55047</v>
      </c>
      <c r="S26" s="14">
        <f t="shared" si="11"/>
        <v>0</v>
      </c>
      <c r="T26" s="32">
        <f t="shared" si="13"/>
        <v>4068</v>
      </c>
      <c r="U26" s="14">
        <f t="shared" si="10"/>
        <v>0</v>
      </c>
      <c r="W26" t="s">
        <v>12</v>
      </c>
    </row>
    <row r="27" spans="1:23" ht="13.5" thickBot="1" x14ac:dyDescent="0.25">
      <c r="A27" s="9">
        <v>44859</v>
      </c>
      <c r="B27" s="32">
        <f t="shared" si="15"/>
        <v>47699</v>
      </c>
      <c r="C27" s="14">
        <f t="shared" si="3"/>
        <v>0</v>
      </c>
      <c r="D27" s="32">
        <f t="shared" si="16"/>
        <v>41044</v>
      </c>
      <c r="E27" s="14">
        <f t="shared" si="4"/>
        <v>0</v>
      </c>
      <c r="F27" s="32">
        <f t="shared" si="17"/>
        <v>22166</v>
      </c>
      <c r="G27" s="14">
        <f t="shared" si="5"/>
        <v>0</v>
      </c>
      <c r="H27" s="32">
        <f t="shared" si="18"/>
        <v>259193</v>
      </c>
      <c r="I27" s="14">
        <f t="shared" si="6"/>
        <v>0</v>
      </c>
      <c r="J27" s="32">
        <f t="shared" si="19"/>
        <v>336857</v>
      </c>
      <c r="K27" s="14">
        <f t="shared" si="7"/>
        <v>0</v>
      </c>
      <c r="L27" s="32">
        <f t="shared" si="20"/>
        <v>26569</v>
      </c>
      <c r="M27" s="14">
        <f t="shared" si="8"/>
        <v>0</v>
      </c>
      <c r="N27" s="32">
        <f t="shared" si="21"/>
        <v>226457</v>
      </c>
      <c r="O27" s="14">
        <f t="shared" si="9"/>
        <v>0</v>
      </c>
      <c r="P27" s="32">
        <f t="shared" si="14"/>
        <v>173863</v>
      </c>
      <c r="Q27" s="14">
        <f t="shared" si="2"/>
        <v>0</v>
      </c>
      <c r="R27" s="1">
        <f t="shared" si="12"/>
        <v>55047</v>
      </c>
      <c r="S27" s="14">
        <f t="shared" si="11"/>
        <v>0</v>
      </c>
      <c r="T27" s="32">
        <f t="shared" si="13"/>
        <v>4068</v>
      </c>
      <c r="U27" s="14">
        <f t="shared" si="10"/>
        <v>0</v>
      </c>
    </row>
    <row r="28" spans="1:23" ht="13.5" thickBot="1" x14ac:dyDescent="0.25">
      <c r="A28" s="9">
        <v>44860</v>
      </c>
      <c r="B28" s="32">
        <f t="shared" si="15"/>
        <v>47699</v>
      </c>
      <c r="C28" s="14">
        <f t="shared" si="3"/>
        <v>0</v>
      </c>
      <c r="D28" s="32">
        <f t="shared" si="16"/>
        <v>41044</v>
      </c>
      <c r="E28" s="14">
        <f t="shared" si="4"/>
        <v>0</v>
      </c>
      <c r="F28" s="32">
        <f t="shared" si="17"/>
        <v>22166</v>
      </c>
      <c r="G28" s="14">
        <f t="shared" si="5"/>
        <v>0</v>
      </c>
      <c r="H28" s="32">
        <f t="shared" si="18"/>
        <v>259193</v>
      </c>
      <c r="I28" s="14">
        <f t="shared" si="6"/>
        <v>0</v>
      </c>
      <c r="J28" s="32">
        <f t="shared" si="19"/>
        <v>336857</v>
      </c>
      <c r="K28" s="14">
        <f t="shared" si="7"/>
        <v>0</v>
      </c>
      <c r="L28" s="32">
        <f t="shared" si="20"/>
        <v>26569</v>
      </c>
      <c r="M28" s="14">
        <f t="shared" si="8"/>
        <v>0</v>
      </c>
      <c r="N28" s="32">
        <f t="shared" si="21"/>
        <v>226457</v>
      </c>
      <c r="O28" s="14">
        <f t="shared" si="9"/>
        <v>0</v>
      </c>
      <c r="P28" s="32">
        <f t="shared" si="14"/>
        <v>173863</v>
      </c>
      <c r="Q28" s="14">
        <f t="shared" si="2"/>
        <v>0</v>
      </c>
      <c r="R28" s="1">
        <f t="shared" si="12"/>
        <v>55047</v>
      </c>
      <c r="S28" s="15">
        <f t="shared" si="11"/>
        <v>0</v>
      </c>
      <c r="T28" s="32">
        <f t="shared" si="13"/>
        <v>4068</v>
      </c>
      <c r="U28" s="14">
        <f t="shared" si="10"/>
        <v>0</v>
      </c>
    </row>
    <row r="29" spans="1:23" ht="13.5" thickBot="1" x14ac:dyDescent="0.25">
      <c r="A29" s="9">
        <v>44861</v>
      </c>
      <c r="B29" s="32">
        <f t="shared" si="15"/>
        <v>47699</v>
      </c>
      <c r="C29" s="14">
        <f t="shared" si="3"/>
        <v>0</v>
      </c>
      <c r="D29" s="32">
        <f t="shared" si="16"/>
        <v>41044</v>
      </c>
      <c r="E29" s="14">
        <f t="shared" si="4"/>
        <v>0</v>
      </c>
      <c r="F29" s="32">
        <f t="shared" si="17"/>
        <v>22166</v>
      </c>
      <c r="G29" s="14">
        <f t="shared" si="5"/>
        <v>0</v>
      </c>
      <c r="H29" s="32">
        <f t="shared" si="18"/>
        <v>259193</v>
      </c>
      <c r="I29" s="14">
        <f t="shared" si="6"/>
        <v>0</v>
      </c>
      <c r="J29" s="32">
        <f t="shared" si="19"/>
        <v>336857</v>
      </c>
      <c r="K29" s="14">
        <f t="shared" si="7"/>
        <v>0</v>
      </c>
      <c r="L29" s="32">
        <f t="shared" si="20"/>
        <v>26569</v>
      </c>
      <c r="M29" s="14">
        <f t="shared" si="8"/>
        <v>0</v>
      </c>
      <c r="N29" s="32">
        <f t="shared" si="21"/>
        <v>226457</v>
      </c>
      <c r="O29" s="14">
        <f t="shared" si="9"/>
        <v>0</v>
      </c>
      <c r="P29" s="32">
        <f t="shared" si="14"/>
        <v>173863</v>
      </c>
      <c r="Q29" s="14">
        <f t="shared" si="2"/>
        <v>0</v>
      </c>
      <c r="R29" s="1">
        <f t="shared" si="12"/>
        <v>55047</v>
      </c>
      <c r="S29" s="14">
        <f t="shared" si="11"/>
        <v>0</v>
      </c>
      <c r="T29" s="32">
        <f t="shared" si="13"/>
        <v>4068</v>
      </c>
      <c r="U29" s="14">
        <f t="shared" si="10"/>
        <v>0</v>
      </c>
    </row>
    <row r="30" spans="1:23" ht="13.5" thickBot="1" x14ac:dyDescent="0.25">
      <c r="A30" s="9">
        <v>44862</v>
      </c>
      <c r="B30" s="32">
        <f t="shared" si="15"/>
        <v>47699</v>
      </c>
      <c r="C30" s="14">
        <f t="shared" si="3"/>
        <v>0</v>
      </c>
      <c r="D30" s="32">
        <f t="shared" si="16"/>
        <v>41044</v>
      </c>
      <c r="E30" s="14">
        <f t="shared" si="4"/>
        <v>0</v>
      </c>
      <c r="F30" s="32">
        <f t="shared" si="17"/>
        <v>22166</v>
      </c>
      <c r="G30" s="14">
        <f t="shared" si="5"/>
        <v>0</v>
      </c>
      <c r="H30" s="32">
        <f t="shared" si="18"/>
        <v>259193</v>
      </c>
      <c r="I30" s="14">
        <f t="shared" si="6"/>
        <v>0</v>
      </c>
      <c r="J30" s="32">
        <f t="shared" si="19"/>
        <v>336857</v>
      </c>
      <c r="K30" s="14">
        <f t="shared" si="7"/>
        <v>0</v>
      </c>
      <c r="L30" s="32">
        <f t="shared" si="20"/>
        <v>26569</v>
      </c>
      <c r="M30" s="14">
        <f t="shared" si="8"/>
        <v>0</v>
      </c>
      <c r="N30" s="32">
        <f t="shared" si="21"/>
        <v>226457</v>
      </c>
      <c r="O30" s="14">
        <f t="shared" si="9"/>
        <v>0</v>
      </c>
      <c r="P30" s="32">
        <f t="shared" si="14"/>
        <v>173863</v>
      </c>
      <c r="Q30" s="14">
        <f t="shared" si="2"/>
        <v>0</v>
      </c>
      <c r="R30" s="1">
        <f t="shared" si="12"/>
        <v>55047</v>
      </c>
      <c r="S30" s="14">
        <f t="shared" si="11"/>
        <v>0</v>
      </c>
      <c r="T30" s="32">
        <f t="shared" si="13"/>
        <v>4068</v>
      </c>
      <c r="U30" s="14">
        <f t="shared" si="10"/>
        <v>0</v>
      </c>
    </row>
    <row r="31" spans="1:23" ht="13.5" thickBot="1" x14ac:dyDescent="0.25">
      <c r="A31" s="9">
        <v>44863</v>
      </c>
      <c r="B31" s="32">
        <f t="shared" si="15"/>
        <v>47699</v>
      </c>
      <c r="C31" s="14">
        <f t="shared" si="3"/>
        <v>0</v>
      </c>
      <c r="D31" s="32">
        <f t="shared" si="16"/>
        <v>41044</v>
      </c>
      <c r="E31" s="14">
        <f t="shared" si="4"/>
        <v>0</v>
      </c>
      <c r="F31" s="32">
        <f t="shared" si="17"/>
        <v>22166</v>
      </c>
      <c r="G31" s="14">
        <f t="shared" si="5"/>
        <v>0</v>
      </c>
      <c r="H31" s="32">
        <f t="shared" si="18"/>
        <v>259193</v>
      </c>
      <c r="I31" s="14">
        <f t="shared" si="6"/>
        <v>0</v>
      </c>
      <c r="J31" s="32">
        <f t="shared" si="19"/>
        <v>336857</v>
      </c>
      <c r="K31" s="14">
        <f t="shared" si="7"/>
        <v>0</v>
      </c>
      <c r="L31" s="32">
        <f t="shared" si="20"/>
        <v>26569</v>
      </c>
      <c r="M31" s="14">
        <f t="shared" si="8"/>
        <v>0</v>
      </c>
      <c r="N31" s="32">
        <f t="shared" si="21"/>
        <v>226457</v>
      </c>
      <c r="O31" s="14">
        <f t="shared" si="9"/>
        <v>0</v>
      </c>
      <c r="P31" s="32">
        <f t="shared" si="14"/>
        <v>173863</v>
      </c>
      <c r="Q31" s="14">
        <f t="shared" si="2"/>
        <v>0</v>
      </c>
      <c r="R31" s="1">
        <v>55047</v>
      </c>
      <c r="S31" s="14">
        <v>0</v>
      </c>
      <c r="T31" s="32">
        <f t="shared" si="13"/>
        <v>4068</v>
      </c>
      <c r="U31" s="14">
        <f t="shared" si="10"/>
        <v>0</v>
      </c>
    </row>
    <row r="32" spans="1:23" ht="13.5" thickBot="1" x14ac:dyDescent="0.25">
      <c r="A32" s="9">
        <v>44864</v>
      </c>
      <c r="B32" s="32">
        <f t="shared" si="15"/>
        <v>47699</v>
      </c>
      <c r="C32" s="14">
        <f t="shared" si="3"/>
        <v>0</v>
      </c>
      <c r="D32" s="32">
        <f t="shared" si="16"/>
        <v>41044</v>
      </c>
      <c r="E32" s="14">
        <f t="shared" si="4"/>
        <v>0</v>
      </c>
      <c r="F32" s="32">
        <f t="shared" si="17"/>
        <v>22166</v>
      </c>
      <c r="G32" s="14">
        <f t="shared" si="5"/>
        <v>0</v>
      </c>
      <c r="H32" s="32">
        <f t="shared" si="18"/>
        <v>259193</v>
      </c>
      <c r="I32" s="14">
        <f t="shared" si="6"/>
        <v>0</v>
      </c>
      <c r="J32" s="32">
        <f t="shared" si="19"/>
        <v>336857</v>
      </c>
      <c r="K32" s="14">
        <f t="shared" si="7"/>
        <v>0</v>
      </c>
      <c r="L32" s="32">
        <f t="shared" si="20"/>
        <v>26569</v>
      </c>
      <c r="M32" s="14">
        <f t="shared" si="8"/>
        <v>0</v>
      </c>
      <c r="N32" s="32">
        <f t="shared" si="21"/>
        <v>226457</v>
      </c>
      <c r="O32" s="14">
        <f t="shared" si="9"/>
        <v>0</v>
      </c>
      <c r="P32" s="32">
        <f t="shared" si="14"/>
        <v>173863</v>
      </c>
      <c r="Q32" s="14">
        <f t="shared" si="2"/>
        <v>0</v>
      </c>
      <c r="R32" s="1">
        <f t="shared" si="12"/>
        <v>55047</v>
      </c>
      <c r="S32" s="14">
        <f t="shared" si="11"/>
        <v>0</v>
      </c>
      <c r="T32" s="32">
        <f t="shared" si="13"/>
        <v>4068</v>
      </c>
      <c r="U32" s="14">
        <f t="shared" si="10"/>
        <v>0</v>
      </c>
    </row>
    <row r="33" spans="1:21" ht="13.5" thickBot="1" x14ac:dyDescent="0.25">
      <c r="A33" s="9">
        <v>44865</v>
      </c>
      <c r="B33" s="32">
        <f t="shared" si="15"/>
        <v>47699</v>
      </c>
      <c r="C33" s="14">
        <f t="shared" si="3"/>
        <v>0</v>
      </c>
      <c r="D33" s="32">
        <f t="shared" si="16"/>
        <v>41044</v>
      </c>
      <c r="E33" s="14">
        <f t="shared" si="4"/>
        <v>0</v>
      </c>
      <c r="F33" s="32">
        <f t="shared" si="17"/>
        <v>22166</v>
      </c>
      <c r="G33" s="14">
        <f t="shared" si="5"/>
        <v>0</v>
      </c>
      <c r="H33" s="32">
        <f t="shared" si="18"/>
        <v>259193</v>
      </c>
      <c r="I33" s="14">
        <f t="shared" si="6"/>
        <v>0</v>
      </c>
      <c r="J33" s="32">
        <f t="shared" si="19"/>
        <v>336857</v>
      </c>
      <c r="K33" s="14">
        <f t="shared" si="7"/>
        <v>0</v>
      </c>
      <c r="L33" s="32">
        <f t="shared" si="20"/>
        <v>26569</v>
      </c>
      <c r="M33" s="14">
        <f t="shared" si="8"/>
        <v>0</v>
      </c>
      <c r="N33" s="32">
        <f t="shared" si="21"/>
        <v>226457</v>
      </c>
      <c r="O33" s="14">
        <f t="shared" si="9"/>
        <v>0</v>
      </c>
      <c r="P33" s="32">
        <f t="shared" si="14"/>
        <v>173863</v>
      </c>
      <c r="Q33" s="14">
        <f t="shared" si="2"/>
        <v>0</v>
      </c>
      <c r="R33" s="1">
        <f t="shared" si="12"/>
        <v>55047</v>
      </c>
      <c r="S33" s="14">
        <f t="shared" si="11"/>
        <v>0</v>
      </c>
      <c r="T33" s="32">
        <f t="shared" si="13"/>
        <v>4068</v>
      </c>
      <c r="U33" s="14">
        <f>SUM(U2:U32)</f>
        <v>800</v>
      </c>
    </row>
    <row r="34" spans="1:21" ht="13.5" thickBot="1" x14ac:dyDescent="0.25">
      <c r="A34" s="14" t="s">
        <v>23</v>
      </c>
      <c r="B34" s="14"/>
      <c r="C34" s="14">
        <f>SUM(C3:C33)</f>
        <v>7360</v>
      </c>
      <c r="D34" s="14"/>
      <c r="E34" s="14">
        <f>SUM(E3:E33)</f>
        <v>4800</v>
      </c>
      <c r="F34" s="14"/>
      <c r="G34" s="14">
        <f>SUM(G3:G33)</f>
        <v>700</v>
      </c>
      <c r="H34" s="14"/>
      <c r="I34" s="14">
        <f>SUM(I3:I33)</f>
        <v>352</v>
      </c>
      <c r="J34" s="14"/>
      <c r="K34" s="14">
        <f>SUM(K3:K33)</f>
        <v>1467</v>
      </c>
      <c r="L34" s="14"/>
      <c r="M34" s="14">
        <f>SUM(M3:M33)</f>
        <v>1560</v>
      </c>
      <c r="N34" s="14"/>
      <c r="O34" s="14">
        <f>SUM(O3:O33)</f>
        <v>32</v>
      </c>
      <c r="P34" s="14"/>
      <c r="Q34" s="14">
        <f>SUM(Q3:Q33)</f>
        <v>1629</v>
      </c>
      <c r="R34" s="14"/>
      <c r="S34" s="14">
        <f>SUM(S3:S33)</f>
        <v>0</v>
      </c>
      <c r="T34" s="14"/>
      <c r="U34" s="14">
        <f>SUM(U3:U33)</f>
        <v>1600</v>
      </c>
    </row>
    <row r="35" spans="1:21" x14ac:dyDescent="0.2">
      <c r="N35" s="17"/>
    </row>
    <row r="36" spans="1:21" x14ac:dyDescent="0.2">
      <c r="N36" s="17"/>
    </row>
    <row r="37" spans="1:21" x14ac:dyDescent="0.2">
      <c r="I37" s="17"/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4"/>
  <sheetViews>
    <sheetView tabSelected="1" zoomScaleNormal="100" zoomScaleSheetLayoutView="110" workbookViewId="0">
      <pane ySplit="1" topLeftCell="A5" activePane="bottomLeft" state="frozen"/>
      <selection pane="bottomLeft" activeCell="J26" sqref="J26"/>
    </sheetView>
  </sheetViews>
  <sheetFormatPr defaultColWidth="23" defaultRowHeight="15.75" x14ac:dyDescent="0.25"/>
  <cols>
    <col min="1" max="1" width="20.7109375" style="23" bestFit="1" customWidth="1"/>
    <col min="2" max="2" width="14.85546875" style="40" bestFit="1" customWidth="1"/>
    <col min="3" max="3" width="15.28515625" style="40" bestFit="1" customWidth="1"/>
    <col min="4" max="4" width="11.5703125" style="40" bestFit="1" customWidth="1"/>
    <col min="5" max="5" width="12.85546875" style="22" bestFit="1" customWidth="1"/>
    <col min="6" max="6" width="11.5703125" style="22" bestFit="1" customWidth="1"/>
    <col min="7" max="7" width="14.28515625" style="22" bestFit="1" customWidth="1"/>
    <col min="8" max="8" width="16.5703125" style="22" bestFit="1" customWidth="1"/>
    <col min="9" max="9" width="11.85546875" style="22" customWidth="1"/>
    <col min="10" max="10" width="11.5703125" style="22" customWidth="1"/>
    <col min="11" max="11" width="10.28515625" style="22" bestFit="1" customWidth="1"/>
    <col min="12" max="12" width="11.5703125" style="22" bestFit="1" customWidth="1"/>
    <col min="13" max="13" width="10.28515625" style="22" bestFit="1" customWidth="1"/>
    <col min="14" max="17" width="11.5703125" style="22" bestFit="1" customWidth="1"/>
    <col min="18" max="18" width="12.85546875" style="22" bestFit="1" customWidth="1"/>
    <col min="19" max="19" width="9" style="22" bestFit="1" customWidth="1"/>
    <col min="20" max="20" width="4.7109375" style="22" bestFit="1" customWidth="1"/>
    <col min="21" max="21" width="10.28515625" style="22" bestFit="1" customWidth="1"/>
    <col min="22" max="22" width="11.5703125" style="22" bestFit="1" customWidth="1"/>
    <col min="23" max="23" width="10.28515625" style="22" bestFit="1" customWidth="1"/>
    <col min="24" max="24" width="10.7109375" style="22" bestFit="1" customWidth="1"/>
    <col min="25" max="25" width="11.85546875" style="150" customWidth="1"/>
    <col min="26" max="26" width="27.140625" style="24" bestFit="1" customWidth="1"/>
    <col min="27" max="27" width="26.85546875" style="24" bestFit="1" customWidth="1"/>
    <col min="28" max="16384" width="23" style="22"/>
  </cols>
  <sheetData>
    <row r="1" spans="1:27" ht="16.5" thickBot="1" x14ac:dyDescent="0.3">
      <c r="A1" s="6" t="s">
        <v>0</v>
      </c>
      <c r="B1" s="38" t="s">
        <v>54</v>
      </c>
      <c r="C1" s="41" t="s">
        <v>63</v>
      </c>
      <c r="D1" s="136" t="s">
        <v>16</v>
      </c>
      <c r="E1" s="3" t="s">
        <v>30</v>
      </c>
      <c r="F1" s="136" t="s">
        <v>25</v>
      </c>
      <c r="G1" s="3" t="s">
        <v>31</v>
      </c>
      <c r="H1" s="136" t="s">
        <v>25</v>
      </c>
      <c r="I1" s="3" t="s">
        <v>23</v>
      </c>
      <c r="J1" s="3" t="s">
        <v>32</v>
      </c>
      <c r="K1" s="136" t="s">
        <v>25</v>
      </c>
      <c r="L1" s="3" t="s">
        <v>33</v>
      </c>
      <c r="M1" s="136" t="s">
        <v>25</v>
      </c>
      <c r="N1" s="3" t="s">
        <v>34</v>
      </c>
      <c r="O1" s="136" t="s">
        <v>25</v>
      </c>
      <c r="P1" s="3" t="s">
        <v>35</v>
      </c>
      <c r="Q1" s="136" t="s">
        <v>25</v>
      </c>
      <c r="R1" s="3" t="s">
        <v>36</v>
      </c>
      <c r="S1" s="136" t="s">
        <v>25</v>
      </c>
      <c r="T1" s="3" t="s">
        <v>37</v>
      </c>
      <c r="U1" s="136" t="s">
        <v>25</v>
      </c>
      <c r="V1" s="3" t="s">
        <v>38</v>
      </c>
      <c r="W1" s="136" t="s">
        <v>25</v>
      </c>
      <c r="X1" s="3" t="s">
        <v>23</v>
      </c>
      <c r="Y1" s="132" t="s">
        <v>39</v>
      </c>
      <c r="Z1" s="21" t="s">
        <v>40</v>
      </c>
      <c r="AA1" s="21" t="s">
        <v>41</v>
      </c>
    </row>
    <row r="2" spans="1:27" ht="16.5" thickBot="1" x14ac:dyDescent="0.3">
      <c r="A2" s="9">
        <v>44834</v>
      </c>
      <c r="B2" s="38"/>
      <c r="C2" s="131">
        <v>20184</v>
      </c>
      <c r="D2" s="38"/>
      <c r="E2" s="132">
        <v>33902913</v>
      </c>
      <c r="F2" s="38"/>
      <c r="G2" s="133">
        <v>6355133</v>
      </c>
      <c r="H2" s="38"/>
      <c r="I2" s="134">
        <f t="shared" ref="I2" si="0">F2+H2</f>
        <v>0</v>
      </c>
      <c r="J2" s="132">
        <v>594040</v>
      </c>
      <c r="K2" s="117"/>
      <c r="L2" s="135">
        <v>902506</v>
      </c>
      <c r="M2" s="38"/>
      <c r="N2" s="132">
        <v>7633601</v>
      </c>
      <c r="O2" s="38"/>
      <c r="P2" s="135">
        <v>8307609</v>
      </c>
      <c r="Q2" s="38"/>
      <c r="R2" s="132">
        <v>22559503</v>
      </c>
      <c r="S2" s="38"/>
      <c r="T2" s="132">
        <v>0</v>
      </c>
      <c r="U2" s="136"/>
      <c r="V2" s="132">
        <v>601249</v>
      </c>
      <c r="W2" s="38"/>
      <c r="X2" s="19">
        <f t="shared" ref="X2" si="1">K2+M2+O2+Q2+S2+U2+W2</f>
        <v>0</v>
      </c>
      <c r="Y2" s="152">
        <f t="shared" ref="Y2" si="2">I2-X2</f>
        <v>0</v>
      </c>
      <c r="Z2" s="3">
        <f t="shared" ref="Z2" si="3">(0.93352*(W2+S2)+0.5568*(Q2+O2))*0.26</f>
        <v>0</v>
      </c>
      <c r="AA2" s="3">
        <v>0</v>
      </c>
    </row>
    <row r="3" spans="1:27" ht="16.5" thickBot="1" x14ac:dyDescent="0.3">
      <c r="A3" s="9">
        <v>44835</v>
      </c>
      <c r="B3" s="38">
        <v>257</v>
      </c>
      <c r="C3" s="131">
        <v>20188</v>
      </c>
      <c r="D3" s="38">
        <f>IF((C3-C2)&lt;0,"0",(C3-C2))*160</f>
        <v>640</v>
      </c>
      <c r="E3" s="132">
        <v>33919782</v>
      </c>
      <c r="F3" s="38">
        <f>IF((E3-E2)&lt;0,"0",(E3-E2))</f>
        <v>16869</v>
      </c>
      <c r="G3" s="133">
        <v>6400465</v>
      </c>
      <c r="H3" s="38">
        <f>IF((G3-G2)&lt;0,"0",(G3-G2))</f>
        <v>45332</v>
      </c>
      <c r="I3" s="19">
        <f>F3+H3</f>
        <v>62201</v>
      </c>
      <c r="J3" s="132">
        <v>599875</v>
      </c>
      <c r="K3" s="38">
        <f>(IF((J3-J2)&lt;L90,"0",(J3-J2)))*2</f>
        <v>11670</v>
      </c>
      <c r="L3" s="135">
        <v>907288</v>
      </c>
      <c r="M3" s="38">
        <f>IF((L3-L2)&lt;0,"0",(L3-L2))</f>
        <v>4782</v>
      </c>
      <c r="N3" s="132">
        <v>7639560</v>
      </c>
      <c r="O3" s="38">
        <f>(IF((N3-N2)&lt;P90,"0",(N3-N2)))*2</f>
        <v>11918</v>
      </c>
      <c r="P3" s="135">
        <v>8319333</v>
      </c>
      <c r="Q3" s="38">
        <f>IF((P3-P2)&lt;0,"0",(P3-P2))</f>
        <v>11724</v>
      </c>
      <c r="R3" s="132">
        <v>22568648</v>
      </c>
      <c r="S3" s="38">
        <f>IF((R3-R2)&lt;0,"0",(R3-R2))</f>
        <v>9145</v>
      </c>
      <c r="T3" s="132">
        <v>0</v>
      </c>
      <c r="U3" s="136"/>
      <c r="V3" s="132">
        <v>610670</v>
      </c>
      <c r="W3" s="38">
        <f>IF((V3-V2)&lt;0,"0",(V3-V2))</f>
        <v>9421</v>
      </c>
      <c r="X3" s="19">
        <f>K3+M3+O3+Q3+S3+U3+W3</f>
        <v>58660</v>
      </c>
      <c r="Y3" s="152">
        <f>I3-X3</f>
        <v>3541</v>
      </c>
      <c r="Z3" s="3">
        <f>(0.93352*(W3+S3)+0.5568*(Q3+O3))*0.26</f>
        <v>7928.8554592</v>
      </c>
      <c r="AA3" s="3">
        <f>SUM(Z1:Z3)</f>
        <v>7928.8554592</v>
      </c>
    </row>
    <row r="4" spans="1:27" ht="16.5" thickBot="1" x14ac:dyDescent="0.3">
      <c r="A4" s="9">
        <v>44836</v>
      </c>
      <c r="B4" s="38">
        <v>264</v>
      </c>
      <c r="C4" s="131">
        <v>20191</v>
      </c>
      <c r="D4" s="38">
        <f t="shared" ref="D4:D29" si="4">IF((C4-C3)&lt;0,"0",(C4-C3))*160</f>
        <v>480</v>
      </c>
      <c r="E4" s="132">
        <v>33947884</v>
      </c>
      <c r="F4" s="38">
        <f t="shared" ref="F4:F29" si="5">IF((E4-E3)&lt;0,"0",(E4-E3))</f>
        <v>28102</v>
      </c>
      <c r="G4" s="133">
        <v>6470510</v>
      </c>
      <c r="H4" s="38">
        <f t="shared" ref="H4:H33" si="6">IF((G4-G3)&lt;0,"0",(G4-G3))</f>
        <v>70045</v>
      </c>
      <c r="I4" s="134">
        <f t="shared" ref="I4:I30" si="7">F4+H4</f>
        <v>98147</v>
      </c>
      <c r="J4" s="132">
        <v>606214</v>
      </c>
      <c r="K4" s="38">
        <f>(IF((J4-J3)&lt;L92,"0",(J4-J3)))*2</f>
        <v>12678</v>
      </c>
      <c r="L4" s="135">
        <v>914971</v>
      </c>
      <c r="M4" s="38">
        <f t="shared" ref="M4:M29" si="8">IF((L4-L3)&lt;0,"0",(L4-L3))</f>
        <v>7683</v>
      </c>
      <c r="N4" s="132">
        <v>7649650</v>
      </c>
      <c r="O4" s="38">
        <f>(IF((N4-N3)&lt;P92,"0",(N4-N3)))*2</f>
        <v>20180</v>
      </c>
      <c r="P4" s="135">
        <v>8336153</v>
      </c>
      <c r="Q4" s="38">
        <f t="shared" ref="Q4:Q29" si="9">IF((P4-P3)&lt;0,"0",(P4-P3))</f>
        <v>16820</v>
      </c>
      <c r="R4" s="132">
        <v>22582561</v>
      </c>
      <c r="S4" s="38">
        <f t="shared" ref="S4:S30" si="10">IF((R4-R3)&lt;0,"0",(R4-R3))</f>
        <v>13913</v>
      </c>
      <c r="T4" s="132">
        <v>0</v>
      </c>
      <c r="U4" s="136"/>
      <c r="V4" s="132">
        <v>625915</v>
      </c>
      <c r="W4" s="38">
        <f t="shared" ref="W4:W29" si="11">IF((V4-V3)&lt;0,"0",(V4-V3))</f>
        <v>15245</v>
      </c>
      <c r="X4" s="19">
        <f t="shared" ref="X4:X30" si="12">K4+M4+O4+Q4+S4+U4+W4</f>
        <v>86519</v>
      </c>
      <c r="Y4" s="152">
        <f t="shared" ref="Y4:Y30" si="13">I4-X4</f>
        <v>11628</v>
      </c>
      <c r="Z4" s="3">
        <f t="shared" ref="Z4:Z30" si="14">(0.93352*(W4+S4)+0.5568*(Q4+O4))*0.26</f>
        <v>12433.5058016</v>
      </c>
      <c r="AA4" s="3">
        <f>SUM(Z1:Z4)</f>
        <v>20362.3612608</v>
      </c>
    </row>
    <row r="5" spans="1:27" ht="16.5" thickBot="1" x14ac:dyDescent="0.3">
      <c r="A5" s="9">
        <v>44837</v>
      </c>
      <c r="B5" s="38">
        <v>289</v>
      </c>
      <c r="C5" s="131">
        <v>20195</v>
      </c>
      <c r="D5" s="38">
        <f t="shared" si="4"/>
        <v>640</v>
      </c>
      <c r="E5" s="132">
        <v>33969233</v>
      </c>
      <c r="F5" s="38">
        <f t="shared" si="5"/>
        <v>21349</v>
      </c>
      <c r="G5" s="133">
        <v>6524516</v>
      </c>
      <c r="H5" s="38">
        <f t="shared" si="6"/>
        <v>54006</v>
      </c>
      <c r="I5" s="134">
        <f t="shared" si="7"/>
        <v>75355</v>
      </c>
      <c r="J5" s="132">
        <v>612219</v>
      </c>
      <c r="K5" s="38">
        <f t="shared" ref="K5:K33" si="15">(IF((J5-J4)&lt;0,"0",(J5-J4)))*2</f>
        <v>12010</v>
      </c>
      <c r="L5" s="135">
        <v>920858</v>
      </c>
      <c r="M5" s="38">
        <f t="shared" si="8"/>
        <v>5887</v>
      </c>
      <c r="N5" s="132">
        <v>7657310</v>
      </c>
      <c r="O5" s="38">
        <f t="shared" ref="O5:O29" si="16">(IF((N5-N4)&lt;0,"0",(N5-N4)))*2</f>
        <v>15320</v>
      </c>
      <c r="P5" s="135">
        <v>8348857</v>
      </c>
      <c r="Q5" s="38">
        <f t="shared" si="9"/>
        <v>12704</v>
      </c>
      <c r="R5" s="132">
        <v>22593223</v>
      </c>
      <c r="S5" s="38">
        <f t="shared" si="10"/>
        <v>10662</v>
      </c>
      <c r="T5" s="132">
        <v>0</v>
      </c>
      <c r="U5" s="136"/>
      <c r="V5" s="132">
        <v>637662</v>
      </c>
      <c r="W5" s="38">
        <f t="shared" si="11"/>
        <v>11747</v>
      </c>
      <c r="X5" s="19">
        <f t="shared" si="12"/>
        <v>68330</v>
      </c>
      <c r="Y5" s="152">
        <f t="shared" si="13"/>
        <v>7025</v>
      </c>
      <c r="Z5" s="3">
        <f t="shared" si="14"/>
        <v>9495.9833488000004</v>
      </c>
      <c r="AA5" s="3">
        <f>SUM(Z1:Z5)</f>
        <v>29858.344609600001</v>
      </c>
    </row>
    <row r="6" spans="1:27" ht="16.5" thickBot="1" x14ac:dyDescent="0.3">
      <c r="A6" s="9">
        <v>44838</v>
      </c>
      <c r="B6" s="38">
        <v>174</v>
      </c>
      <c r="C6" s="131">
        <v>20198</v>
      </c>
      <c r="D6" s="38">
        <f t="shared" si="4"/>
        <v>480</v>
      </c>
      <c r="E6" s="132">
        <v>33994403</v>
      </c>
      <c r="F6" s="38">
        <f t="shared" si="5"/>
        <v>25170</v>
      </c>
      <c r="G6" s="133">
        <v>6589265</v>
      </c>
      <c r="H6" s="38">
        <f t="shared" si="6"/>
        <v>64749</v>
      </c>
      <c r="I6" s="134">
        <f t="shared" si="7"/>
        <v>89919</v>
      </c>
      <c r="J6" s="132">
        <v>619721</v>
      </c>
      <c r="K6" s="38">
        <f t="shared" si="15"/>
        <v>15004</v>
      </c>
      <c r="L6" s="135">
        <v>928096</v>
      </c>
      <c r="M6" s="38">
        <f t="shared" si="8"/>
        <v>7238</v>
      </c>
      <c r="N6" s="132">
        <v>7666116</v>
      </c>
      <c r="O6" s="38">
        <f t="shared" si="16"/>
        <v>17612</v>
      </c>
      <c r="P6" s="135">
        <v>8363241</v>
      </c>
      <c r="Q6" s="38">
        <f t="shared" si="9"/>
        <v>14384</v>
      </c>
      <c r="R6" s="132">
        <v>22606330</v>
      </c>
      <c r="S6" s="38">
        <f t="shared" si="10"/>
        <v>13107</v>
      </c>
      <c r="T6" s="132">
        <v>0</v>
      </c>
      <c r="U6" s="136"/>
      <c r="V6" s="132">
        <v>651864</v>
      </c>
      <c r="W6" s="38">
        <f t="shared" si="11"/>
        <v>14202</v>
      </c>
      <c r="X6" s="19">
        <f t="shared" si="12"/>
        <v>81547</v>
      </c>
      <c r="Y6" s="152">
        <f t="shared" si="13"/>
        <v>8372</v>
      </c>
      <c r="Z6" s="3">
        <f t="shared" si="14"/>
        <v>11260.3063248</v>
      </c>
      <c r="AA6" s="3">
        <f>SUM(Z1:Z6)</f>
        <v>41118.650934400001</v>
      </c>
    </row>
    <row r="7" spans="1:27" ht="16.5" thickBot="1" x14ac:dyDescent="0.3">
      <c r="A7" s="9">
        <v>44839</v>
      </c>
      <c r="B7" s="38">
        <v>185</v>
      </c>
      <c r="C7" s="131">
        <v>20202</v>
      </c>
      <c r="D7" s="38">
        <f t="shared" si="4"/>
        <v>640</v>
      </c>
      <c r="E7" s="132">
        <v>34009624</v>
      </c>
      <c r="F7" s="38">
        <f t="shared" si="5"/>
        <v>15221</v>
      </c>
      <c r="G7" s="133">
        <v>6627335</v>
      </c>
      <c r="H7" s="38">
        <f t="shared" si="6"/>
        <v>38070</v>
      </c>
      <c r="I7" s="134">
        <f t="shared" si="7"/>
        <v>53291</v>
      </c>
      <c r="J7" s="132">
        <v>624189</v>
      </c>
      <c r="K7" s="38">
        <f t="shared" si="15"/>
        <v>8936</v>
      </c>
      <c r="L7" s="135">
        <v>932433</v>
      </c>
      <c r="M7" s="38">
        <f t="shared" si="8"/>
        <v>4337</v>
      </c>
      <c r="N7" s="132">
        <v>7671471</v>
      </c>
      <c r="O7" s="38">
        <f t="shared" si="16"/>
        <v>10710</v>
      </c>
      <c r="P7" s="135">
        <v>8371984</v>
      </c>
      <c r="Q7" s="38">
        <f t="shared" si="9"/>
        <v>8743</v>
      </c>
      <c r="R7" s="132">
        <v>22613916</v>
      </c>
      <c r="S7" s="38">
        <f t="shared" si="10"/>
        <v>7586</v>
      </c>
      <c r="T7" s="132">
        <v>0</v>
      </c>
      <c r="U7" s="136"/>
      <c r="V7" s="132">
        <v>660087</v>
      </c>
      <c r="W7" s="38">
        <f t="shared" si="11"/>
        <v>8223</v>
      </c>
      <c r="X7" s="19">
        <f t="shared" si="12"/>
        <v>48535</v>
      </c>
      <c r="Y7" s="152">
        <f t="shared" si="13"/>
        <v>4756</v>
      </c>
      <c r="Z7" s="3">
        <f t="shared" si="14"/>
        <v>6653.256500800001</v>
      </c>
      <c r="AA7" s="3">
        <f>SUM(Z1:Z7)</f>
        <v>47771.907435200003</v>
      </c>
    </row>
    <row r="8" spans="1:27" ht="16.5" thickBot="1" x14ac:dyDescent="0.3">
      <c r="A8" s="9">
        <v>44840</v>
      </c>
      <c r="B8" s="38">
        <v>160</v>
      </c>
      <c r="C8" s="131">
        <v>20205</v>
      </c>
      <c r="D8" s="38">
        <f t="shared" si="4"/>
        <v>480</v>
      </c>
      <c r="E8" s="132">
        <v>34036468</v>
      </c>
      <c r="F8" s="38">
        <f t="shared" si="5"/>
        <v>26844</v>
      </c>
      <c r="G8" s="133">
        <v>6697781</v>
      </c>
      <c r="H8" s="38">
        <f t="shared" si="6"/>
        <v>70446</v>
      </c>
      <c r="I8" s="134">
        <f t="shared" si="7"/>
        <v>97290</v>
      </c>
      <c r="J8" s="132">
        <v>631654</v>
      </c>
      <c r="K8" s="38">
        <f t="shared" si="15"/>
        <v>14930</v>
      </c>
      <c r="L8" s="135">
        <v>940102</v>
      </c>
      <c r="M8" s="38">
        <f t="shared" si="8"/>
        <v>7669</v>
      </c>
      <c r="N8" s="132">
        <v>7680920</v>
      </c>
      <c r="O8" s="38">
        <f t="shared" si="16"/>
        <v>18898</v>
      </c>
      <c r="P8" s="135">
        <v>8387266</v>
      </c>
      <c r="Q8" s="38">
        <f t="shared" si="9"/>
        <v>15282</v>
      </c>
      <c r="R8" s="132">
        <v>22628620</v>
      </c>
      <c r="S8" s="38">
        <f t="shared" si="10"/>
        <v>14704</v>
      </c>
      <c r="T8" s="132">
        <v>0</v>
      </c>
      <c r="U8" s="136"/>
      <c r="V8" s="132">
        <v>675835</v>
      </c>
      <c r="W8" s="38">
        <f t="shared" si="11"/>
        <v>15748</v>
      </c>
      <c r="X8" s="19">
        <f t="shared" si="12"/>
        <v>87231</v>
      </c>
      <c r="Y8" s="152">
        <f t="shared" si="13"/>
        <v>10059</v>
      </c>
      <c r="Z8" s="3">
        <f t="shared" si="14"/>
        <v>12339.333510400002</v>
      </c>
      <c r="AA8" s="3">
        <f>SUM(Z1:Z8)</f>
        <v>60111.240945600002</v>
      </c>
    </row>
    <row r="9" spans="1:27" ht="16.5" thickBot="1" x14ac:dyDescent="0.3">
      <c r="A9" s="9">
        <v>44841</v>
      </c>
      <c r="B9" s="38">
        <v>200</v>
      </c>
      <c r="C9" s="131">
        <v>20208</v>
      </c>
      <c r="D9" s="38">
        <f t="shared" si="4"/>
        <v>480</v>
      </c>
      <c r="E9" s="132">
        <v>34054848</v>
      </c>
      <c r="F9" s="38">
        <f t="shared" si="5"/>
        <v>18380</v>
      </c>
      <c r="G9" s="133">
        <v>6747648</v>
      </c>
      <c r="H9" s="38">
        <f t="shared" si="6"/>
        <v>49867</v>
      </c>
      <c r="I9" s="134">
        <f t="shared" si="7"/>
        <v>68247</v>
      </c>
      <c r="J9" s="132">
        <v>636882</v>
      </c>
      <c r="K9" s="38">
        <f t="shared" si="15"/>
        <v>10456</v>
      </c>
      <c r="L9" s="135">
        <v>945425</v>
      </c>
      <c r="M9" s="38">
        <f t="shared" si="8"/>
        <v>5323</v>
      </c>
      <c r="N9" s="132">
        <v>7687348</v>
      </c>
      <c r="O9" s="38">
        <f t="shared" si="16"/>
        <v>12856</v>
      </c>
      <c r="P9" s="135">
        <v>8397318</v>
      </c>
      <c r="Q9" s="38">
        <f t="shared" si="9"/>
        <v>10052</v>
      </c>
      <c r="R9" s="132">
        <v>22639398</v>
      </c>
      <c r="S9" s="38">
        <f t="shared" si="10"/>
        <v>10778</v>
      </c>
      <c r="T9" s="132">
        <v>0</v>
      </c>
      <c r="U9" s="136"/>
      <c r="V9" s="132">
        <v>687226</v>
      </c>
      <c r="W9" s="38">
        <f t="shared" si="11"/>
        <v>11391</v>
      </c>
      <c r="X9" s="19">
        <f t="shared" si="12"/>
        <v>60856</v>
      </c>
      <c r="Y9" s="152">
        <f t="shared" si="13"/>
        <v>7391</v>
      </c>
      <c r="Z9" s="3">
        <f t="shared" si="14"/>
        <v>8697.0986128000004</v>
      </c>
      <c r="AA9" s="3">
        <f>SUM(Z1:Z9)</f>
        <v>68808.33955840001</v>
      </c>
    </row>
    <row r="10" spans="1:27" ht="16.5" thickBot="1" x14ac:dyDescent="0.3">
      <c r="A10" s="9">
        <v>44842</v>
      </c>
      <c r="B10" s="38">
        <v>180</v>
      </c>
      <c r="C10" s="131">
        <v>20211</v>
      </c>
      <c r="D10" s="38">
        <f>IF((C10-C9)&lt;0,"0",(C10-C9))*160</f>
        <v>480</v>
      </c>
      <c r="E10" s="132">
        <v>34071068</v>
      </c>
      <c r="F10" s="38">
        <f t="shared" si="5"/>
        <v>16220</v>
      </c>
      <c r="G10" s="133">
        <v>6790737</v>
      </c>
      <c r="H10" s="38">
        <f t="shared" si="6"/>
        <v>43089</v>
      </c>
      <c r="I10" s="134">
        <f t="shared" si="7"/>
        <v>59309</v>
      </c>
      <c r="J10" s="132">
        <v>641668</v>
      </c>
      <c r="K10" s="38">
        <f t="shared" si="15"/>
        <v>9572</v>
      </c>
      <c r="L10" s="135">
        <v>950144</v>
      </c>
      <c r="M10" s="38">
        <f t="shared" si="8"/>
        <v>4719</v>
      </c>
      <c r="N10" s="132">
        <v>7693014</v>
      </c>
      <c r="O10" s="38">
        <f t="shared" si="16"/>
        <v>11332</v>
      </c>
      <c r="P10" s="135">
        <v>8406010</v>
      </c>
      <c r="Q10" s="38">
        <f t="shared" si="9"/>
        <v>8692</v>
      </c>
      <c r="R10" s="132">
        <v>22648289</v>
      </c>
      <c r="S10" s="38">
        <f t="shared" si="10"/>
        <v>8891</v>
      </c>
      <c r="T10" s="132">
        <v>0</v>
      </c>
      <c r="U10" s="136"/>
      <c r="V10" s="132">
        <v>697077</v>
      </c>
      <c r="W10" s="38">
        <f t="shared" si="11"/>
        <v>9851</v>
      </c>
      <c r="X10" s="19">
        <f t="shared" si="12"/>
        <v>53057</v>
      </c>
      <c r="Y10" s="152">
        <f t="shared" si="13"/>
        <v>6252</v>
      </c>
      <c r="Z10" s="3">
        <f t="shared" si="14"/>
        <v>7447.8027104000003</v>
      </c>
      <c r="AA10" s="3">
        <f>SUM(Z1:Z10)</f>
        <v>76256.142268800017</v>
      </c>
    </row>
    <row r="11" spans="1:27" ht="15.75" customHeight="1" thickBot="1" x14ac:dyDescent="0.3">
      <c r="A11" s="9">
        <v>44843</v>
      </c>
      <c r="B11" s="38">
        <v>222</v>
      </c>
      <c r="C11" s="131">
        <v>20214</v>
      </c>
      <c r="D11" s="38">
        <f>IF((C11-C10)&lt;0,"0",(C11-C10))*160</f>
        <v>480</v>
      </c>
      <c r="E11" s="132">
        <v>34094763</v>
      </c>
      <c r="F11" s="38">
        <f t="shared" si="5"/>
        <v>23695</v>
      </c>
      <c r="G11" s="133">
        <v>6852245</v>
      </c>
      <c r="H11" s="38">
        <f t="shared" si="6"/>
        <v>61508</v>
      </c>
      <c r="I11" s="134">
        <f t="shared" si="7"/>
        <v>85203</v>
      </c>
      <c r="J11" s="132">
        <v>648741</v>
      </c>
      <c r="K11" s="38">
        <f t="shared" si="15"/>
        <v>14146</v>
      </c>
      <c r="L11" s="135">
        <v>957479</v>
      </c>
      <c r="M11" s="38">
        <f t="shared" si="8"/>
        <v>7335</v>
      </c>
      <c r="N11" s="132">
        <v>7701070</v>
      </c>
      <c r="O11" s="38">
        <f t="shared" si="16"/>
        <v>16112</v>
      </c>
      <c r="P11" s="135">
        <v>8418614</v>
      </c>
      <c r="Q11" s="38">
        <f t="shared" si="9"/>
        <v>12604</v>
      </c>
      <c r="R11" s="132">
        <v>22661043</v>
      </c>
      <c r="S11" s="38">
        <f t="shared" si="10"/>
        <v>12754</v>
      </c>
      <c r="T11" s="132">
        <v>0</v>
      </c>
      <c r="U11" s="136"/>
      <c r="V11" s="132">
        <v>710931</v>
      </c>
      <c r="W11" s="38">
        <f t="shared" si="11"/>
        <v>13854</v>
      </c>
      <c r="X11" s="19">
        <f t="shared" si="12"/>
        <v>76805</v>
      </c>
      <c r="Y11" s="152">
        <f t="shared" si="13"/>
        <v>8398</v>
      </c>
      <c r="Z11" s="3">
        <f t="shared" si="14"/>
        <v>10615.323929600001</v>
      </c>
      <c r="AA11" s="3">
        <f>SUM(Z1:Z11)</f>
        <v>86871.466198400012</v>
      </c>
    </row>
    <row r="12" spans="1:27" ht="16.5" thickBot="1" x14ac:dyDescent="0.3">
      <c r="A12" s="9">
        <v>44844</v>
      </c>
      <c r="B12" s="38">
        <v>207</v>
      </c>
      <c r="C12" s="131">
        <v>20217</v>
      </c>
      <c r="D12" s="38">
        <f>IF((C12-C11)&lt;0,"0",(C12-C11))*160</f>
        <v>480</v>
      </c>
      <c r="E12" s="132">
        <v>34116573</v>
      </c>
      <c r="F12" s="38">
        <f t="shared" si="5"/>
        <v>21810</v>
      </c>
      <c r="G12" s="133">
        <v>6908814</v>
      </c>
      <c r="H12" s="38">
        <f t="shared" si="6"/>
        <v>56569</v>
      </c>
      <c r="I12" s="134">
        <f t="shared" si="7"/>
        <v>78379</v>
      </c>
      <c r="J12" s="132">
        <v>655230</v>
      </c>
      <c r="K12" s="38">
        <f t="shared" si="15"/>
        <v>12978</v>
      </c>
      <c r="L12" s="135">
        <v>963927</v>
      </c>
      <c r="M12" s="38">
        <f t="shared" si="8"/>
        <v>6448</v>
      </c>
      <c r="N12" s="132">
        <v>7708646</v>
      </c>
      <c r="O12" s="38">
        <f t="shared" si="16"/>
        <v>15152</v>
      </c>
      <c r="P12" s="135">
        <v>8430513</v>
      </c>
      <c r="Q12" s="38">
        <f t="shared" si="9"/>
        <v>11899</v>
      </c>
      <c r="R12" s="132">
        <v>22672395</v>
      </c>
      <c r="S12" s="38">
        <f t="shared" si="10"/>
        <v>11352</v>
      </c>
      <c r="T12" s="132">
        <v>0</v>
      </c>
      <c r="U12" s="136"/>
      <c r="V12" s="132">
        <v>723683</v>
      </c>
      <c r="W12" s="38">
        <f t="shared" si="11"/>
        <v>12752</v>
      </c>
      <c r="X12" s="19">
        <f t="shared" si="12"/>
        <v>70581</v>
      </c>
      <c r="Y12" s="152">
        <f t="shared" si="13"/>
        <v>7798</v>
      </c>
      <c r="Z12" s="3">
        <f t="shared" si="14"/>
        <v>9766.5263488000001</v>
      </c>
      <c r="AA12" s="3">
        <f>SUM(Z1:Z12)</f>
        <v>96637.992547200018</v>
      </c>
    </row>
    <row r="13" spans="1:27" ht="16.5" thickBot="1" x14ac:dyDescent="0.3">
      <c r="A13" s="9">
        <v>44845</v>
      </c>
      <c r="B13" s="38"/>
      <c r="C13" s="131"/>
      <c r="D13" s="38">
        <f t="shared" ref="D13" si="17">IF((C13-C12)&lt;0,"0",(C13-C12))*160</f>
        <v>0</v>
      </c>
      <c r="E13" s="132"/>
      <c r="F13" s="38" t="str">
        <f t="shared" ref="F13" si="18">IF((E13-E12)&lt;0,"0",(E13-E12))</f>
        <v>0</v>
      </c>
      <c r="G13" s="133"/>
      <c r="H13" s="38" t="str">
        <f t="shared" si="6"/>
        <v>0</v>
      </c>
      <c r="I13" s="134">
        <f t="shared" ref="I13" si="19">F13+H13</f>
        <v>0</v>
      </c>
      <c r="J13" s="132"/>
      <c r="K13" s="38">
        <f t="shared" ref="K13" si="20">(IF((J13-J12)&lt;0,"0",(J13-J12)))*2</f>
        <v>0</v>
      </c>
      <c r="L13" s="135"/>
      <c r="M13" s="38" t="str">
        <f t="shared" ref="M13" si="21">IF((L13-L12)&lt;0,"0",(L13-L12))</f>
        <v>0</v>
      </c>
      <c r="N13" s="132"/>
      <c r="O13" s="38">
        <f t="shared" ref="O13" si="22">(IF((N13-N12)&lt;0,"0",(N13-N12)))*2</f>
        <v>0</v>
      </c>
      <c r="P13" s="135"/>
      <c r="Q13" s="38" t="str">
        <f t="shared" ref="Q13" si="23">IF((P13-P12)&lt;0,"0",(P13-P12))</f>
        <v>0</v>
      </c>
      <c r="R13" s="132"/>
      <c r="S13" s="38" t="str">
        <f t="shared" ref="S13" si="24">IF((R13-R12)&lt;0,"0",(R13-R12))</f>
        <v>0</v>
      </c>
      <c r="T13" s="132">
        <v>0</v>
      </c>
      <c r="U13" s="136"/>
      <c r="V13" s="132"/>
      <c r="W13" s="38" t="str">
        <f t="shared" si="11"/>
        <v>0</v>
      </c>
      <c r="X13" s="19">
        <f t="shared" ref="X13" si="25">K13+M13+O13+Q13+S13+U13+W13</f>
        <v>0</v>
      </c>
      <c r="Y13" s="152">
        <f t="shared" si="13"/>
        <v>0</v>
      </c>
      <c r="Z13" s="3">
        <f t="shared" ref="Z13" si="26">(0.93352*(W13+S13)+0.5568*(Q13+O13))*0.26</f>
        <v>0</v>
      </c>
      <c r="AA13" s="3">
        <f>SUM(Z1:Z13)</f>
        <v>96637.992547200018</v>
      </c>
    </row>
    <row r="14" spans="1:27" ht="16.5" thickBot="1" x14ac:dyDescent="0.3">
      <c r="A14" s="9">
        <v>44846</v>
      </c>
      <c r="B14" s="38"/>
      <c r="C14" s="131"/>
      <c r="D14" s="38">
        <f t="shared" si="4"/>
        <v>0</v>
      </c>
      <c r="E14" s="132"/>
      <c r="F14" s="38">
        <f t="shared" si="5"/>
        <v>0</v>
      </c>
      <c r="G14" s="133"/>
      <c r="H14" s="38">
        <f t="shared" si="6"/>
        <v>0</v>
      </c>
      <c r="I14" s="134">
        <f t="shared" si="7"/>
        <v>0</v>
      </c>
      <c r="J14" s="132"/>
      <c r="K14" s="38">
        <f t="shared" si="15"/>
        <v>0</v>
      </c>
      <c r="L14" s="135"/>
      <c r="M14" s="38">
        <f t="shared" si="8"/>
        <v>0</v>
      </c>
      <c r="N14" s="132"/>
      <c r="O14" s="38">
        <f t="shared" si="16"/>
        <v>0</v>
      </c>
      <c r="P14" s="135"/>
      <c r="Q14" s="38">
        <f t="shared" si="9"/>
        <v>0</v>
      </c>
      <c r="R14" s="132"/>
      <c r="S14" s="38">
        <f>IF((R14-R13)&lt;0,"0",(R14-R13))</f>
        <v>0</v>
      </c>
      <c r="T14" s="132">
        <v>0</v>
      </c>
      <c r="U14" s="136"/>
      <c r="V14" s="132"/>
      <c r="W14" s="38">
        <f t="shared" si="11"/>
        <v>0</v>
      </c>
      <c r="X14" s="19">
        <f t="shared" si="12"/>
        <v>0</v>
      </c>
      <c r="Y14" s="152">
        <f t="shared" si="13"/>
        <v>0</v>
      </c>
      <c r="Z14" s="3">
        <f t="shared" si="14"/>
        <v>0</v>
      </c>
      <c r="AA14" s="3">
        <f>SUM(Z1:Z14)</f>
        <v>96637.992547200018</v>
      </c>
    </row>
    <row r="15" spans="1:27" ht="16.5" thickBot="1" x14ac:dyDescent="0.3">
      <c r="A15" s="9">
        <v>44847</v>
      </c>
      <c r="B15" s="38"/>
      <c r="C15" s="131"/>
      <c r="D15" s="38">
        <f t="shared" si="4"/>
        <v>0</v>
      </c>
      <c r="E15" s="132"/>
      <c r="F15" s="38">
        <f t="shared" si="5"/>
        <v>0</v>
      </c>
      <c r="G15" s="133"/>
      <c r="H15" s="38">
        <f t="shared" si="6"/>
        <v>0</v>
      </c>
      <c r="I15" s="134">
        <f t="shared" si="7"/>
        <v>0</v>
      </c>
      <c r="J15" s="132"/>
      <c r="K15" s="38">
        <f t="shared" si="15"/>
        <v>0</v>
      </c>
      <c r="L15" s="135"/>
      <c r="M15" s="38">
        <f t="shared" si="8"/>
        <v>0</v>
      </c>
      <c r="N15" s="132"/>
      <c r="O15" s="38">
        <f t="shared" si="16"/>
        <v>0</v>
      </c>
      <c r="P15" s="135"/>
      <c r="Q15" s="38">
        <f t="shared" si="9"/>
        <v>0</v>
      </c>
      <c r="R15" s="132"/>
      <c r="S15" s="38">
        <f>IF((R15-R14)&lt;0,"0",(R15-R14))</f>
        <v>0</v>
      </c>
      <c r="T15" s="132">
        <v>0</v>
      </c>
      <c r="U15" s="136"/>
      <c r="V15" s="132"/>
      <c r="W15" s="38">
        <f t="shared" si="11"/>
        <v>0</v>
      </c>
      <c r="X15" s="19">
        <f t="shared" si="12"/>
        <v>0</v>
      </c>
      <c r="Y15" s="152">
        <f t="shared" si="13"/>
        <v>0</v>
      </c>
      <c r="Z15" s="3">
        <f t="shared" si="14"/>
        <v>0</v>
      </c>
      <c r="AA15" s="3">
        <f>SUM(Z1:Z15)</f>
        <v>96637.992547200018</v>
      </c>
    </row>
    <row r="16" spans="1:27" ht="16.5" thickBot="1" x14ac:dyDescent="0.3">
      <c r="A16" s="9">
        <v>44848</v>
      </c>
      <c r="B16" s="38"/>
      <c r="C16" s="131"/>
      <c r="D16" s="38">
        <f t="shared" si="4"/>
        <v>0</v>
      </c>
      <c r="E16" s="132"/>
      <c r="F16" s="38">
        <f t="shared" si="5"/>
        <v>0</v>
      </c>
      <c r="G16" s="133"/>
      <c r="H16" s="38">
        <f t="shared" si="6"/>
        <v>0</v>
      </c>
      <c r="I16" s="134">
        <f t="shared" si="7"/>
        <v>0</v>
      </c>
      <c r="J16" s="132"/>
      <c r="K16" s="38">
        <f t="shared" si="15"/>
        <v>0</v>
      </c>
      <c r="L16" s="135"/>
      <c r="M16" s="38">
        <f t="shared" si="8"/>
        <v>0</v>
      </c>
      <c r="N16" s="132"/>
      <c r="O16" s="38">
        <f t="shared" si="16"/>
        <v>0</v>
      </c>
      <c r="P16" s="135"/>
      <c r="Q16" s="38">
        <f t="shared" si="9"/>
        <v>0</v>
      </c>
      <c r="R16" s="132"/>
      <c r="S16" s="38">
        <f t="shared" si="10"/>
        <v>0</v>
      </c>
      <c r="T16" s="132">
        <v>0</v>
      </c>
      <c r="U16" s="136"/>
      <c r="V16" s="132"/>
      <c r="W16" s="38">
        <f t="shared" si="11"/>
        <v>0</v>
      </c>
      <c r="X16" s="19">
        <f t="shared" si="12"/>
        <v>0</v>
      </c>
      <c r="Y16" s="152">
        <f t="shared" si="13"/>
        <v>0</v>
      </c>
      <c r="Z16" s="3">
        <f t="shared" si="14"/>
        <v>0</v>
      </c>
      <c r="AA16" s="3">
        <f>SUM(Z1:Z16)</f>
        <v>96637.992547200018</v>
      </c>
    </row>
    <row r="17" spans="1:27" s="118" customFormat="1" ht="16.5" thickBot="1" x14ac:dyDescent="0.3">
      <c r="A17" s="9">
        <v>44849</v>
      </c>
      <c r="B17" s="38"/>
      <c r="C17" s="131"/>
      <c r="D17" s="38">
        <f t="shared" si="4"/>
        <v>0</v>
      </c>
      <c r="E17" s="132"/>
      <c r="F17" s="38">
        <f t="shared" si="5"/>
        <v>0</v>
      </c>
      <c r="G17" s="133"/>
      <c r="H17" s="38">
        <f t="shared" si="6"/>
        <v>0</v>
      </c>
      <c r="I17" s="137">
        <f t="shared" si="7"/>
        <v>0</v>
      </c>
      <c r="J17" s="132"/>
      <c r="K17" s="117">
        <f t="shared" si="15"/>
        <v>0</v>
      </c>
      <c r="L17" s="135"/>
      <c r="M17" s="117">
        <f t="shared" si="8"/>
        <v>0</v>
      </c>
      <c r="N17" s="132"/>
      <c r="O17" s="117">
        <f t="shared" si="16"/>
        <v>0</v>
      </c>
      <c r="P17" s="135"/>
      <c r="Q17" s="117">
        <f t="shared" si="9"/>
        <v>0</v>
      </c>
      <c r="R17" s="132"/>
      <c r="S17" s="117">
        <f t="shared" si="10"/>
        <v>0</v>
      </c>
      <c r="T17" s="138">
        <v>0</v>
      </c>
      <c r="U17" s="136"/>
      <c r="V17" s="132"/>
      <c r="W17" s="117">
        <f t="shared" si="11"/>
        <v>0</v>
      </c>
      <c r="X17" s="19">
        <f t="shared" si="12"/>
        <v>0</v>
      </c>
      <c r="Y17" s="138">
        <f t="shared" si="13"/>
        <v>0</v>
      </c>
      <c r="Z17" s="139">
        <f t="shared" si="14"/>
        <v>0</v>
      </c>
      <c r="AA17" s="3">
        <f>SUM(Z1:Z17)</f>
        <v>96637.992547200018</v>
      </c>
    </row>
    <row r="18" spans="1:27" s="118" customFormat="1" ht="16.5" thickBot="1" x14ac:dyDescent="0.3">
      <c r="A18" s="9">
        <v>44850</v>
      </c>
      <c r="B18" s="38"/>
      <c r="C18" s="131"/>
      <c r="D18" s="38">
        <f t="shared" si="4"/>
        <v>0</v>
      </c>
      <c r="E18" s="132"/>
      <c r="F18" s="38">
        <f t="shared" si="5"/>
        <v>0</v>
      </c>
      <c r="G18" s="133"/>
      <c r="H18" s="38">
        <f t="shared" si="6"/>
        <v>0</v>
      </c>
      <c r="I18" s="137">
        <f t="shared" si="7"/>
        <v>0</v>
      </c>
      <c r="J18" s="132"/>
      <c r="K18" s="117">
        <f t="shared" si="15"/>
        <v>0</v>
      </c>
      <c r="L18" s="135"/>
      <c r="M18" s="117">
        <f t="shared" si="8"/>
        <v>0</v>
      </c>
      <c r="N18" s="132"/>
      <c r="O18" s="117">
        <f t="shared" si="16"/>
        <v>0</v>
      </c>
      <c r="P18" s="135"/>
      <c r="Q18" s="117">
        <f t="shared" si="9"/>
        <v>0</v>
      </c>
      <c r="R18" s="132"/>
      <c r="S18" s="117">
        <f t="shared" si="10"/>
        <v>0</v>
      </c>
      <c r="T18" s="138">
        <v>0</v>
      </c>
      <c r="U18" s="136"/>
      <c r="V18" s="132"/>
      <c r="W18" s="117">
        <f t="shared" si="11"/>
        <v>0</v>
      </c>
      <c r="X18" s="19">
        <f t="shared" si="12"/>
        <v>0</v>
      </c>
      <c r="Y18" s="138">
        <f t="shared" si="13"/>
        <v>0</v>
      </c>
      <c r="Z18" s="139">
        <f t="shared" si="14"/>
        <v>0</v>
      </c>
      <c r="AA18" s="3">
        <f>SUM(Z1:Z18)</f>
        <v>96637.992547200018</v>
      </c>
    </row>
    <row r="19" spans="1:27" s="118" customFormat="1" ht="16.5" thickBot="1" x14ac:dyDescent="0.3">
      <c r="A19" s="9">
        <v>44851</v>
      </c>
      <c r="B19" s="38"/>
      <c r="C19" s="131"/>
      <c r="D19" s="38">
        <f t="shared" si="4"/>
        <v>0</v>
      </c>
      <c r="E19" s="132"/>
      <c r="F19" s="38">
        <f t="shared" si="5"/>
        <v>0</v>
      </c>
      <c r="G19" s="133"/>
      <c r="H19" s="38">
        <f t="shared" si="6"/>
        <v>0</v>
      </c>
      <c r="I19" s="137">
        <f t="shared" si="7"/>
        <v>0</v>
      </c>
      <c r="J19" s="132"/>
      <c r="K19" s="117">
        <f t="shared" si="15"/>
        <v>0</v>
      </c>
      <c r="L19" s="135"/>
      <c r="M19" s="117">
        <f t="shared" si="8"/>
        <v>0</v>
      </c>
      <c r="N19" s="132"/>
      <c r="O19" s="117">
        <f t="shared" si="16"/>
        <v>0</v>
      </c>
      <c r="P19" s="135"/>
      <c r="Q19" s="117">
        <f t="shared" si="9"/>
        <v>0</v>
      </c>
      <c r="R19" s="132"/>
      <c r="S19" s="117">
        <f t="shared" si="10"/>
        <v>0</v>
      </c>
      <c r="T19" s="138">
        <v>0</v>
      </c>
      <c r="U19" s="136"/>
      <c r="V19" s="132"/>
      <c r="W19" s="117">
        <f t="shared" si="11"/>
        <v>0</v>
      </c>
      <c r="X19" s="19">
        <f t="shared" si="12"/>
        <v>0</v>
      </c>
      <c r="Y19" s="138">
        <f t="shared" si="13"/>
        <v>0</v>
      </c>
      <c r="Z19" s="139">
        <f t="shared" si="14"/>
        <v>0</v>
      </c>
      <c r="AA19" s="3">
        <f>SUM(Z1:Z19)</f>
        <v>96637.992547200018</v>
      </c>
    </row>
    <row r="20" spans="1:27" s="118" customFormat="1" ht="16.5" thickBot="1" x14ac:dyDescent="0.3">
      <c r="A20" s="9">
        <v>44852</v>
      </c>
      <c r="B20" s="38"/>
      <c r="C20" s="131"/>
      <c r="D20" s="38">
        <f t="shared" si="4"/>
        <v>0</v>
      </c>
      <c r="E20" s="132"/>
      <c r="F20" s="38">
        <f t="shared" si="5"/>
        <v>0</v>
      </c>
      <c r="G20" s="133"/>
      <c r="H20" s="38">
        <f t="shared" si="6"/>
        <v>0</v>
      </c>
      <c r="I20" s="137">
        <f t="shared" si="7"/>
        <v>0</v>
      </c>
      <c r="J20" s="132"/>
      <c r="K20" s="117">
        <f t="shared" si="15"/>
        <v>0</v>
      </c>
      <c r="L20" s="135"/>
      <c r="M20" s="117">
        <f t="shared" si="8"/>
        <v>0</v>
      </c>
      <c r="N20" s="132"/>
      <c r="O20" s="117">
        <f t="shared" si="16"/>
        <v>0</v>
      </c>
      <c r="P20" s="135"/>
      <c r="Q20" s="117">
        <f t="shared" si="9"/>
        <v>0</v>
      </c>
      <c r="R20" s="132"/>
      <c r="S20" s="117">
        <f t="shared" si="10"/>
        <v>0</v>
      </c>
      <c r="T20" s="138">
        <v>0</v>
      </c>
      <c r="U20" s="136"/>
      <c r="V20" s="132"/>
      <c r="W20" s="117">
        <f t="shared" si="11"/>
        <v>0</v>
      </c>
      <c r="X20" s="19">
        <f t="shared" si="12"/>
        <v>0</v>
      </c>
      <c r="Y20" s="138">
        <f t="shared" si="13"/>
        <v>0</v>
      </c>
      <c r="Z20" s="139">
        <f t="shared" si="14"/>
        <v>0</v>
      </c>
      <c r="AA20" s="3">
        <f>SUM(Z1:Z20)</f>
        <v>96637.992547200018</v>
      </c>
    </row>
    <row r="21" spans="1:27" s="118" customFormat="1" ht="16.5" thickBot="1" x14ac:dyDescent="0.3">
      <c r="A21" s="9">
        <v>44853</v>
      </c>
      <c r="B21" s="38"/>
      <c r="C21" s="131"/>
      <c r="D21" s="38">
        <f t="shared" si="4"/>
        <v>0</v>
      </c>
      <c r="E21" s="132"/>
      <c r="F21" s="38">
        <f t="shared" si="5"/>
        <v>0</v>
      </c>
      <c r="G21" s="133"/>
      <c r="H21" s="38">
        <f t="shared" si="6"/>
        <v>0</v>
      </c>
      <c r="I21" s="137">
        <f t="shared" si="7"/>
        <v>0</v>
      </c>
      <c r="J21" s="132"/>
      <c r="K21" s="117">
        <f t="shared" si="15"/>
        <v>0</v>
      </c>
      <c r="L21" s="135"/>
      <c r="M21" s="117">
        <f t="shared" si="8"/>
        <v>0</v>
      </c>
      <c r="N21" s="132"/>
      <c r="O21" s="117">
        <f t="shared" si="16"/>
        <v>0</v>
      </c>
      <c r="P21" s="135"/>
      <c r="Q21" s="117">
        <f t="shared" si="9"/>
        <v>0</v>
      </c>
      <c r="R21" s="132"/>
      <c r="S21" s="117">
        <f t="shared" si="10"/>
        <v>0</v>
      </c>
      <c r="T21" s="138">
        <v>0</v>
      </c>
      <c r="U21" s="136"/>
      <c r="V21" s="132"/>
      <c r="W21" s="117">
        <f t="shared" si="11"/>
        <v>0</v>
      </c>
      <c r="X21" s="19">
        <f t="shared" si="12"/>
        <v>0</v>
      </c>
      <c r="Y21" s="138">
        <f t="shared" si="13"/>
        <v>0</v>
      </c>
      <c r="Z21" s="139">
        <f t="shared" si="14"/>
        <v>0</v>
      </c>
      <c r="AA21" s="3">
        <f>SUM(Z1:Z21)</f>
        <v>96637.992547200018</v>
      </c>
    </row>
    <row r="22" spans="1:27" ht="16.5" thickBot="1" x14ac:dyDescent="0.3">
      <c r="A22" s="9">
        <v>44854</v>
      </c>
      <c r="B22" s="38"/>
      <c r="C22" s="131"/>
      <c r="D22" s="38">
        <f t="shared" si="4"/>
        <v>0</v>
      </c>
      <c r="E22" s="132"/>
      <c r="F22" s="38">
        <f t="shared" si="5"/>
        <v>0</v>
      </c>
      <c r="G22" s="133"/>
      <c r="H22" s="38">
        <f t="shared" si="6"/>
        <v>0</v>
      </c>
      <c r="I22" s="134">
        <f t="shared" si="7"/>
        <v>0</v>
      </c>
      <c r="J22" s="132"/>
      <c r="K22" s="117">
        <f t="shared" si="15"/>
        <v>0</v>
      </c>
      <c r="L22" s="135"/>
      <c r="M22" s="38">
        <f t="shared" si="8"/>
        <v>0</v>
      </c>
      <c r="N22" s="132"/>
      <c r="O22" s="38">
        <f t="shared" si="16"/>
        <v>0</v>
      </c>
      <c r="P22" s="135"/>
      <c r="Q22" s="38">
        <f t="shared" si="9"/>
        <v>0</v>
      </c>
      <c r="R22" s="132"/>
      <c r="S22" s="38">
        <f t="shared" si="10"/>
        <v>0</v>
      </c>
      <c r="T22" s="132">
        <v>0</v>
      </c>
      <c r="U22" s="136"/>
      <c r="V22" s="132"/>
      <c r="W22" s="38">
        <f t="shared" si="11"/>
        <v>0</v>
      </c>
      <c r="X22" s="19">
        <f t="shared" si="12"/>
        <v>0</v>
      </c>
      <c r="Y22" s="152">
        <f t="shared" si="13"/>
        <v>0</v>
      </c>
      <c r="Z22" s="3">
        <f t="shared" si="14"/>
        <v>0</v>
      </c>
      <c r="AA22" s="3">
        <f>SUM(Z1:Z22)</f>
        <v>96637.992547200018</v>
      </c>
    </row>
    <row r="23" spans="1:27" ht="16.5" thickBot="1" x14ac:dyDescent="0.3">
      <c r="A23" s="9">
        <v>44855</v>
      </c>
      <c r="B23" s="38"/>
      <c r="C23" s="131"/>
      <c r="D23" s="38">
        <f t="shared" si="4"/>
        <v>0</v>
      </c>
      <c r="E23" s="132"/>
      <c r="F23" s="38">
        <f t="shared" si="5"/>
        <v>0</v>
      </c>
      <c r="G23" s="133"/>
      <c r="H23" s="38">
        <f t="shared" si="6"/>
        <v>0</v>
      </c>
      <c r="I23" s="134">
        <f t="shared" si="7"/>
        <v>0</v>
      </c>
      <c r="J23" s="132"/>
      <c r="K23" s="117">
        <f t="shared" si="15"/>
        <v>0</v>
      </c>
      <c r="L23" s="135"/>
      <c r="M23" s="38">
        <f t="shared" si="8"/>
        <v>0</v>
      </c>
      <c r="N23" s="132"/>
      <c r="O23" s="38">
        <f t="shared" si="16"/>
        <v>0</v>
      </c>
      <c r="P23" s="135"/>
      <c r="Q23" s="38">
        <f t="shared" si="9"/>
        <v>0</v>
      </c>
      <c r="R23" s="132"/>
      <c r="S23" s="38">
        <f t="shared" si="10"/>
        <v>0</v>
      </c>
      <c r="T23" s="132">
        <v>0</v>
      </c>
      <c r="U23" s="136"/>
      <c r="V23" s="132"/>
      <c r="W23" s="38">
        <f t="shared" si="11"/>
        <v>0</v>
      </c>
      <c r="X23" s="19">
        <f t="shared" si="12"/>
        <v>0</v>
      </c>
      <c r="Y23" s="152">
        <f t="shared" si="13"/>
        <v>0</v>
      </c>
      <c r="Z23" s="3">
        <f t="shared" si="14"/>
        <v>0</v>
      </c>
      <c r="AA23" s="3">
        <f>SUM(Z1:Z23)</f>
        <v>96637.992547200018</v>
      </c>
    </row>
    <row r="24" spans="1:27" ht="16.5" thickBot="1" x14ac:dyDescent="0.3">
      <c r="A24" s="9">
        <v>44856</v>
      </c>
      <c r="B24" s="38"/>
      <c r="C24" s="131"/>
      <c r="D24" s="38">
        <f t="shared" si="4"/>
        <v>0</v>
      </c>
      <c r="E24" s="132"/>
      <c r="F24" s="38">
        <f t="shared" si="5"/>
        <v>0</v>
      </c>
      <c r="G24" s="133"/>
      <c r="H24" s="38">
        <f t="shared" si="6"/>
        <v>0</v>
      </c>
      <c r="I24" s="134">
        <f t="shared" si="7"/>
        <v>0</v>
      </c>
      <c r="J24" s="132"/>
      <c r="K24" s="117">
        <f t="shared" si="15"/>
        <v>0</v>
      </c>
      <c r="L24" s="135"/>
      <c r="M24" s="38">
        <f t="shared" si="8"/>
        <v>0</v>
      </c>
      <c r="N24" s="132"/>
      <c r="O24" s="38">
        <f t="shared" si="16"/>
        <v>0</v>
      </c>
      <c r="P24" s="135"/>
      <c r="Q24" s="38">
        <f t="shared" si="9"/>
        <v>0</v>
      </c>
      <c r="R24" s="132"/>
      <c r="S24" s="38">
        <f t="shared" si="10"/>
        <v>0</v>
      </c>
      <c r="T24" s="132">
        <v>0</v>
      </c>
      <c r="U24" s="136"/>
      <c r="V24" s="132"/>
      <c r="W24" s="38">
        <f t="shared" si="11"/>
        <v>0</v>
      </c>
      <c r="X24" s="19">
        <f t="shared" si="12"/>
        <v>0</v>
      </c>
      <c r="Y24" s="152">
        <f t="shared" si="13"/>
        <v>0</v>
      </c>
      <c r="Z24" s="3">
        <f t="shared" si="14"/>
        <v>0</v>
      </c>
      <c r="AA24" s="3">
        <f>SUM(Z1:Z24)</f>
        <v>96637.992547200018</v>
      </c>
    </row>
    <row r="25" spans="1:27" ht="16.5" thickBot="1" x14ac:dyDescent="0.3">
      <c r="A25" s="9">
        <v>44857</v>
      </c>
      <c r="B25" s="38"/>
      <c r="C25" s="131"/>
      <c r="D25" s="38">
        <f t="shared" si="4"/>
        <v>0</v>
      </c>
      <c r="E25" s="132"/>
      <c r="F25" s="38">
        <f t="shared" si="5"/>
        <v>0</v>
      </c>
      <c r="G25" s="133"/>
      <c r="H25" s="38">
        <f t="shared" si="6"/>
        <v>0</v>
      </c>
      <c r="I25" s="134">
        <f t="shared" si="7"/>
        <v>0</v>
      </c>
      <c r="J25" s="132"/>
      <c r="K25" s="117">
        <f t="shared" si="15"/>
        <v>0</v>
      </c>
      <c r="L25" s="135"/>
      <c r="M25" s="38">
        <f t="shared" si="8"/>
        <v>0</v>
      </c>
      <c r="N25" s="132"/>
      <c r="O25" s="38">
        <f t="shared" si="16"/>
        <v>0</v>
      </c>
      <c r="P25" s="135"/>
      <c r="Q25" s="38">
        <f t="shared" si="9"/>
        <v>0</v>
      </c>
      <c r="R25" s="132"/>
      <c r="S25" s="38">
        <f t="shared" si="10"/>
        <v>0</v>
      </c>
      <c r="T25" s="132">
        <v>0</v>
      </c>
      <c r="U25" s="136"/>
      <c r="V25" s="132"/>
      <c r="W25" s="38">
        <f t="shared" si="11"/>
        <v>0</v>
      </c>
      <c r="X25" s="19">
        <f t="shared" si="12"/>
        <v>0</v>
      </c>
      <c r="Y25" s="152">
        <f t="shared" si="13"/>
        <v>0</v>
      </c>
      <c r="Z25" s="3">
        <f t="shared" si="14"/>
        <v>0</v>
      </c>
      <c r="AA25" s="3">
        <f>SUM(Z1:Z25)</f>
        <v>96637.992547200018</v>
      </c>
    </row>
    <row r="26" spans="1:27" ht="16.5" thickBot="1" x14ac:dyDescent="0.3">
      <c r="A26" s="9">
        <v>44858</v>
      </c>
      <c r="B26" s="38"/>
      <c r="C26" s="131"/>
      <c r="D26" s="38">
        <f t="shared" si="4"/>
        <v>0</v>
      </c>
      <c r="E26" s="132"/>
      <c r="F26" s="38">
        <f t="shared" si="5"/>
        <v>0</v>
      </c>
      <c r="G26" s="133"/>
      <c r="H26" s="38">
        <f t="shared" si="6"/>
        <v>0</v>
      </c>
      <c r="I26" s="134">
        <f t="shared" si="7"/>
        <v>0</v>
      </c>
      <c r="J26" s="132"/>
      <c r="K26" s="117">
        <f t="shared" si="15"/>
        <v>0</v>
      </c>
      <c r="L26" s="135"/>
      <c r="M26" s="38">
        <f t="shared" si="8"/>
        <v>0</v>
      </c>
      <c r="N26" s="132"/>
      <c r="O26" s="38">
        <f t="shared" si="16"/>
        <v>0</v>
      </c>
      <c r="P26" s="135"/>
      <c r="Q26" s="38">
        <f t="shared" si="9"/>
        <v>0</v>
      </c>
      <c r="R26" s="132"/>
      <c r="S26" s="38">
        <f t="shared" si="10"/>
        <v>0</v>
      </c>
      <c r="T26" s="132">
        <v>0</v>
      </c>
      <c r="U26" s="136"/>
      <c r="V26" s="132"/>
      <c r="W26" s="38">
        <f t="shared" si="11"/>
        <v>0</v>
      </c>
      <c r="X26" s="19">
        <f t="shared" si="12"/>
        <v>0</v>
      </c>
      <c r="Y26" s="152">
        <f t="shared" si="13"/>
        <v>0</v>
      </c>
      <c r="Z26" s="3">
        <f t="shared" si="14"/>
        <v>0</v>
      </c>
      <c r="AA26" s="3">
        <f>SUM(Z1:Z26)</f>
        <v>96637.992547200018</v>
      </c>
    </row>
    <row r="27" spans="1:27" ht="16.5" thickBot="1" x14ac:dyDescent="0.3">
      <c r="A27" s="9">
        <v>44859</v>
      </c>
      <c r="B27" s="38"/>
      <c r="C27" s="131"/>
      <c r="D27" s="38">
        <f t="shared" si="4"/>
        <v>0</v>
      </c>
      <c r="E27" s="132"/>
      <c r="F27" s="38">
        <f t="shared" si="5"/>
        <v>0</v>
      </c>
      <c r="G27" s="133"/>
      <c r="H27" s="38">
        <f t="shared" si="6"/>
        <v>0</v>
      </c>
      <c r="I27" s="134">
        <f t="shared" si="7"/>
        <v>0</v>
      </c>
      <c r="J27" s="132"/>
      <c r="K27" s="117">
        <f t="shared" si="15"/>
        <v>0</v>
      </c>
      <c r="L27" s="135"/>
      <c r="M27" s="38">
        <f t="shared" si="8"/>
        <v>0</v>
      </c>
      <c r="N27" s="132"/>
      <c r="O27" s="38">
        <f t="shared" si="16"/>
        <v>0</v>
      </c>
      <c r="P27" s="135"/>
      <c r="Q27" s="38">
        <f t="shared" si="9"/>
        <v>0</v>
      </c>
      <c r="R27" s="132"/>
      <c r="S27" s="38">
        <f t="shared" si="10"/>
        <v>0</v>
      </c>
      <c r="T27" s="132">
        <v>0</v>
      </c>
      <c r="U27" s="136"/>
      <c r="V27" s="132"/>
      <c r="W27" s="38">
        <f t="shared" si="11"/>
        <v>0</v>
      </c>
      <c r="X27" s="19">
        <f t="shared" si="12"/>
        <v>0</v>
      </c>
      <c r="Y27" s="152">
        <f t="shared" si="13"/>
        <v>0</v>
      </c>
      <c r="Z27" s="3">
        <f t="shared" si="14"/>
        <v>0</v>
      </c>
      <c r="AA27" s="3">
        <f>SUM(Z1:Z27)</f>
        <v>96637.992547200018</v>
      </c>
    </row>
    <row r="28" spans="1:27" ht="16.5" thickBot="1" x14ac:dyDescent="0.3">
      <c r="A28" s="9">
        <v>44860</v>
      </c>
      <c r="B28" s="38"/>
      <c r="C28" s="131"/>
      <c r="D28" s="38">
        <f t="shared" si="4"/>
        <v>0</v>
      </c>
      <c r="E28" s="132"/>
      <c r="F28" s="38">
        <f t="shared" si="5"/>
        <v>0</v>
      </c>
      <c r="G28" s="133"/>
      <c r="H28" s="38">
        <f t="shared" si="6"/>
        <v>0</v>
      </c>
      <c r="I28" s="134">
        <f t="shared" si="7"/>
        <v>0</v>
      </c>
      <c r="J28" s="132"/>
      <c r="K28" s="117">
        <f t="shared" si="15"/>
        <v>0</v>
      </c>
      <c r="L28" s="135"/>
      <c r="M28" s="38">
        <f t="shared" si="8"/>
        <v>0</v>
      </c>
      <c r="N28" s="132"/>
      <c r="O28" s="38">
        <f t="shared" si="16"/>
        <v>0</v>
      </c>
      <c r="P28" s="135"/>
      <c r="Q28" s="38">
        <f t="shared" si="9"/>
        <v>0</v>
      </c>
      <c r="R28" s="132"/>
      <c r="S28" s="38">
        <f t="shared" si="10"/>
        <v>0</v>
      </c>
      <c r="T28" s="132">
        <v>0</v>
      </c>
      <c r="U28" s="136"/>
      <c r="V28" s="132"/>
      <c r="W28" s="38">
        <f t="shared" si="11"/>
        <v>0</v>
      </c>
      <c r="X28" s="19">
        <f t="shared" si="12"/>
        <v>0</v>
      </c>
      <c r="Y28" s="152">
        <f t="shared" si="13"/>
        <v>0</v>
      </c>
      <c r="Z28" s="3">
        <f t="shared" si="14"/>
        <v>0</v>
      </c>
      <c r="AA28" s="3">
        <f>SUM(Z1:Z28)</f>
        <v>96637.992547200018</v>
      </c>
    </row>
    <row r="29" spans="1:27" ht="16.5" thickBot="1" x14ac:dyDescent="0.3">
      <c r="A29" s="9">
        <v>44861</v>
      </c>
      <c r="B29" s="38"/>
      <c r="C29" s="131"/>
      <c r="D29" s="38">
        <f t="shared" si="4"/>
        <v>0</v>
      </c>
      <c r="E29" s="132"/>
      <c r="F29" s="38">
        <f t="shared" si="5"/>
        <v>0</v>
      </c>
      <c r="G29" s="133"/>
      <c r="H29" s="38">
        <f t="shared" si="6"/>
        <v>0</v>
      </c>
      <c r="I29" s="134">
        <f t="shared" si="7"/>
        <v>0</v>
      </c>
      <c r="J29" s="132"/>
      <c r="K29" s="117">
        <f t="shared" si="15"/>
        <v>0</v>
      </c>
      <c r="L29" s="135"/>
      <c r="M29" s="38">
        <f t="shared" si="8"/>
        <v>0</v>
      </c>
      <c r="N29" s="132"/>
      <c r="O29" s="38">
        <f t="shared" si="16"/>
        <v>0</v>
      </c>
      <c r="P29" s="135"/>
      <c r="Q29" s="38">
        <f t="shared" si="9"/>
        <v>0</v>
      </c>
      <c r="R29" s="132"/>
      <c r="S29" s="38">
        <f t="shared" si="10"/>
        <v>0</v>
      </c>
      <c r="T29" s="132">
        <v>0</v>
      </c>
      <c r="U29" s="136"/>
      <c r="V29" s="132"/>
      <c r="W29" s="38">
        <f t="shared" si="11"/>
        <v>0</v>
      </c>
      <c r="X29" s="19">
        <f t="shared" si="12"/>
        <v>0</v>
      </c>
      <c r="Y29" s="152">
        <f t="shared" si="13"/>
        <v>0</v>
      </c>
      <c r="Z29" s="3">
        <f t="shared" si="14"/>
        <v>0</v>
      </c>
      <c r="AA29" s="3">
        <f>SUM(Z1:Z29)</f>
        <v>96637.992547200018</v>
      </c>
    </row>
    <row r="30" spans="1:27" ht="16.5" thickBot="1" x14ac:dyDescent="0.3">
      <c r="A30" s="9">
        <v>44862</v>
      </c>
      <c r="B30" s="38"/>
      <c r="C30" s="131"/>
      <c r="D30" s="38">
        <f>IF((C30-C29)&lt;0,"0",(C30-C29))*160</f>
        <v>0</v>
      </c>
      <c r="E30" s="132"/>
      <c r="F30" s="38">
        <f>IF((E30-E29)&lt;0,"0",(E30-E29))</f>
        <v>0</v>
      </c>
      <c r="G30" s="133"/>
      <c r="H30" s="38">
        <f t="shared" si="6"/>
        <v>0</v>
      </c>
      <c r="I30" s="134">
        <f t="shared" si="7"/>
        <v>0</v>
      </c>
      <c r="J30" s="132"/>
      <c r="K30" s="117">
        <f t="shared" si="15"/>
        <v>0</v>
      </c>
      <c r="L30" s="135"/>
      <c r="M30" s="38">
        <f>IF((L30-L29)&lt;0,"0",(L30-L29))</f>
        <v>0</v>
      </c>
      <c r="N30" s="132"/>
      <c r="O30" s="38">
        <f>(IF((N30-N29)&lt;0,"0",(N30-N29)))*2</f>
        <v>0</v>
      </c>
      <c r="P30" s="135"/>
      <c r="Q30" s="38">
        <f>IF((P30-P29)&lt;0,"0",(P30-P29))</f>
        <v>0</v>
      </c>
      <c r="R30" s="132"/>
      <c r="S30" s="38">
        <f t="shared" si="10"/>
        <v>0</v>
      </c>
      <c r="T30" s="132">
        <v>0</v>
      </c>
      <c r="U30" s="136"/>
      <c r="V30" s="132"/>
      <c r="W30" s="38">
        <f>IF((V30-V29)&lt;0,"0",(V30-V29))</f>
        <v>0</v>
      </c>
      <c r="X30" s="19">
        <f t="shared" si="12"/>
        <v>0</v>
      </c>
      <c r="Y30" s="152">
        <f t="shared" si="13"/>
        <v>0</v>
      </c>
      <c r="Z30" s="3">
        <f t="shared" si="14"/>
        <v>0</v>
      </c>
      <c r="AA30" s="3">
        <f>SUM(Z1:Z30)</f>
        <v>96637.992547200018</v>
      </c>
    </row>
    <row r="31" spans="1:27" ht="16.5" thickBot="1" x14ac:dyDescent="0.3">
      <c r="A31" s="9">
        <v>44863</v>
      </c>
      <c r="B31" s="38"/>
      <c r="C31" s="131"/>
      <c r="D31" s="38">
        <f t="shared" ref="D31:D33" si="27">IF((C31-C30)&lt;0,"0",(C31-C30))*160</f>
        <v>0</v>
      </c>
      <c r="E31" s="132"/>
      <c r="F31" s="38">
        <f t="shared" ref="F31:F33" si="28">IF((E31-E30)&lt;0,"0",(E31-E30))</f>
        <v>0</v>
      </c>
      <c r="G31" s="133"/>
      <c r="H31" s="38">
        <f t="shared" si="6"/>
        <v>0</v>
      </c>
      <c r="I31" s="134">
        <f t="shared" ref="I31:I33" si="29">F31+H31</f>
        <v>0</v>
      </c>
      <c r="J31" s="132"/>
      <c r="K31" s="117">
        <f t="shared" si="15"/>
        <v>0</v>
      </c>
      <c r="L31" s="135"/>
      <c r="M31" s="38">
        <f t="shared" ref="M31:M33" si="30">IF((L31-L30)&lt;0,"0",(L31-L30))</f>
        <v>0</v>
      </c>
      <c r="N31" s="132"/>
      <c r="O31" s="38">
        <f t="shared" ref="O31:O33" si="31">(IF((N31-N30)&lt;0,"0",(N31-N30)))*2</f>
        <v>0</v>
      </c>
      <c r="P31" s="135"/>
      <c r="Q31" s="38">
        <f t="shared" ref="Q31:Q33" si="32">IF((P31-P30)&lt;0,"0",(P31-P30))</f>
        <v>0</v>
      </c>
      <c r="R31" s="132"/>
      <c r="S31" s="38">
        <f t="shared" ref="S31:S33" si="33">IF((R31-R30)&lt;0,"0",(R31-R30))</f>
        <v>0</v>
      </c>
      <c r="T31" s="132">
        <v>0</v>
      </c>
      <c r="U31" s="136"/>
      <c r="V31" s="132"/>
      <c r="W31" s="38">
        <f t="shared" ref="W31:W33" si="34">IF((V31-V30)&lt;0,"0",(V31-V30))</f>
        <v>0</v>
      </c>
      <c r="X31" s="19">
        <f t="shared" ref="X31:X33" si="35">K31+M31+O31+Q31+S31+U31+W31</f>
        <v>0</v>
      </c>
      <c r="Y31" s="152">
        <f t="shared" ref="Y31:Y33" si="36">I31-X31</f>
        <v>0</v>
      </c>
      <c r="Z31" s="3">
        <f t="shared" ref="Z31:Z33" si="37">(0.93352*(W31+S31)+0.5568*(Q31+O31))*0.26</f>
        <v>0</v>
      </c>
      <c r="AA31" s="3">
        <f>SUM(Z1:Z31)</f>
        <v>96637.992547200018</v>
      </c>
    </row>
    <row r="32" spans="1:27" ht="16.5" thickBot="1" x14ac:dyDescent="0.3">
      <c r="A32" s="9">
        <v>44864</v>
      </c>
      <c r="B32" s="38"/>
      <c r="C32" s="131"/>
      <c r="D32" s="38">
        <f t="shared" si="27"/>
        <v>0</v>
      </c>
      <c r="E32" s="132"/>
      <c r="F32" s="38">
        <f t="shared" si="28"/>
        <v>0</v>
      </c>
      <c r="G32" s="133"/>
      <c r="H32" s="38">
        <f t="shared" si="6"/>
        <v>0</v>
      </c>
      <c r="I32" s="134">
        <f t="shared" si="29"/>
        <v>0</v>
      </c>
      <c r="J32" s="132"/>
      <c r="K32" s="117">
        <f t="shared" si="15"/>
        <v>0</v>
      </c>
      <c r="L32" s="135"/>
      <c r="M32" s="38">
        <f t="shared" si="30"/>
        <v>0</v>
      </c>
      <c r="N32" s="132"/>
      <c r="O32" s="38">
        <f t="shared" si="31"/>
        <v>0</v>
      </c>
      <c r="P32" s="135"/>
      <c r="Q32" s="38">
        <f t="shared" si="32"/>
        <v>0</v>
      </c>
      <c r="R32" s="132"/>
      <c r="S32" s="38">
        <f t="shared" si="33"/>
        <v>0</v>
      </c>
      <c r="T32" s="132">
        <v>0</v>
      </c>
      <c r="U32" s="136"/>
      <c r="V32" s="132"/>
      <c r="W32" s="38">
        <f t="shared" si="34"/>
        <v>0</v>
      </c>
      <c r="X32" s="19">
        <f t="shared" si="35"/>
        <v>0</v>
      </c>
      <c r="Y32" s="152">
        <f t="shared" si="36"/>
        <v>0</v>
      </c>
      <c r="Z32" s="3">
        <f t="shared" si="37"/>
        <v>0</v>
      </c>
      <c r="AA32" s="3">
        <f>SUM(Z1:Z32)</f>
        <v>96637.992547200018</v>
      </c>
    </row>
    <row r="33" spans="1:27" ht="16.5" thickBot="1" x14ac:dyDescent="0.3">
      <c r="A33" s="9">
        <v>44865</v>
      </c>
      <c r="B33" s="38"/>
      <c r="C33" s="131"/>
      <c r="D33" s="38">
        <f t="shared" si="27"/>
        <v>0</v>
      </c>
      <c r="E33" s="132"/>
      <c r="F33" s="38">
        <f t="shared" si="28"/>
        <v>0</v>
      </c>
      <c r="G33" s="133"/>
      <c r="H33" s="38">
        <f t="shared" si="6"/>
        <v>0</v>
      </c>
      <c r="I33" s="134">
        <f t="shared" si="29"/>
        <v>0</v>
      </c>
      <c r="J33" s="132"/>
      <c r="K33" s="117">
        <f t="shared" si="15"/>
        <v>0</v>
      </c>
      <c r="L33" s="135"/>
      <c r="M33" s="38">
        <f t="shared" si="30"/>
        <v>0</v>
      </c>
      <c r="N33" s="132"/>
      <c r="O33" s="38">
        <f t="shared" si="31"/>
        <v>0</v>
      </c>
      <c r="P33" s="135"/>
      <c r="Q33" s="38">
        <f t="shared" si="32"/>
        <v>0</v>
      </c>
      <c r="R33" s="132"/>
      <c r="S33" s="38">
        <f t="shared" si="33"/>
        <v>0</v>
      </c>
      <c r="T33" s="132">
        <v>0</v>
      </c>
      <c r="U33" s="55"/>
      <c r="V33" s="132"/>
      <c r="W33" s="38">
        <f t="shared" si="34"/>
        <v>0</v>
      </c>
      <c r="X33" s="19">
        <f t="shared" si="35"/>
        <v>0</v>
      </c>
      <c r="Y33" s="152">
        <f t="shared" si="36"/>
        <v>0</v>
      </c>
      <c r="Z33" s="3">
        <f t="shared" si="37"/>
        <v>0</v>
      </c>
      <c r="AA33" s="3">
        <f t="shared" ref="AA33" si="38">SUM(Z2:Z33)</f>
        <v>96637.992547200018</v>
      </c>
    </row>
    <row r="34" spans="1:27" ht="16.5" thickBot="1" x14ac:dyDescent="0.3">
      <c r="A34" s="124" t="s">
        <v>23</v>
      </c>
      <c r="B34" s="124">
        <f>SUM(B3:B33)</f>
        <v>2138</v>
      </c>
      <c r="C34" s="124">
        <v>0</v>
      </c>
      <c r="D34" s="124">
        <f>SUM(D3:D33)</f>
        <v>5280</v>
      </c>
      <c r="E34" s="55">
        <v>0</v>
      </c>
      <c r="F34" s="124">
        <f>SUM(F3:F33)</f>
        <v>213660</v>
      </c>
      <c r="G34" s="55">
        <v>0</v>
      </c>
      <c r="H34" s="124">
        <f>SUM(H3:H33)</f>
        <v>553681</v>
      </c>
      <c r="I34" s="124">
        <f t="shared" ref="I34" si="39">F34+H34</f>
        <v>767341</v>
      </c>
      <c r="J34" s="55">
        <v>0</v>
      </c>
      <c r="K34" s="124">
        <f>SUM(K3:K33)</f>
        <v>122380</v>
      </c>
      <c r="L34" s="55">
        <v>0</v>
      </c>
      <c r="M34" s="124">
        <f>SUM(M3:M33)</f>
        <v>61421</v>
      </c>
      <c r="N34" s="55">
        <v>0</v>
      </c>
      <c r="O34" s="124">
        <f>SUM(O3:O33)</f>
        <v>150090</v>
      </c>
      <c r="P34" s="55">
        <v>0</v>
      </c>
      <c r="Q34" s="124">
        <f>SUM(Q3:Q33)</f>
        <v>122904</v>
      </c>
      <c r="R34" s="55">
        <v>0</v>
      </c>
      <c r="S34" s="124">
        <f>SUM(S3:S33)</f>
        <v>112892</v>
      </c>
      <c r="T34" s="55">
        <f>SUM(T4:T33)</f>
        <v>0</v>
      </c>
      <c r="U34" s="55">
        <f>SUM(U4:U33)</f>
        <v>0</v>
      </c>
      <c r="V34" s="55">
        <v>0</v>
      </c>
      <c r="W34" s="124">
        <f>SUM(W3:W33)</f>
        <v>122434</v>
      </c>
      <c r="X34" s="124">
        <f>SUM(X3:X33)</f>
        <v>692121</v>
      </c>
      <c r="Y34" s="124">
        <f>SUM(Y2:Y33)</f>
        <v>75220</v>
      </c>
      <c r="Z34" s="124">
        <f>SUM(Z2:Z33)</f>
        <v>96637.992547200018</v>
      </c>
      <c r="AA34" s="124">
        <f>SUM(AA2:AA33)</f>
        <v>2565123.1447088011</v>
      </c>
    </row>
    <row r="35" spans="1:27" x14ac:dyDescent="0.25">
      <c r="H35" s="150"/>
    </row>
    <row r="36" spans="1:27" x14ac:dyDescent="0.25">
      <c r="D36" s="148"/>
      <c r="H36" s="150"/>
    </row>
    <row r="37" spans="1:27" x14ac:dyDescent="0.25">
      <c r="E37" s="150"/>
      <c r="F37" s="150"/>
    </row>
    <row r="39" spans="1:27" x14ac:dyDescent="0.25">
      <c r="E39" s="150"/>
      <c r="H39" s="150"/>
      <c r="L39" s="150"/>
    </row>
    <row r="42" spans="1:27" x14ac:dyDescent="0.25">
      <c r="J42" s="150"/>
    </row>
    <row r="44" spans="1:27" ht="15" x14ac:dyDescent="0.2">
      <c r="A44" s="22"/>
      <c r="B44" s="39"/>
      <c r="C44" s="39"/>
      <c r="D44" s="39"/>
      <c r="Z44" s="22"/>
      <c r="AA44" s="22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J20" sqref="J20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5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2" t="s">
        <v>25</v>
      </c>
      <c r="J1" s="3" t="s">
        <v>23</v>
      </c>
      <c r="K1" s="3" t="s">
        <v>29</v>
      </c>
    </row>
    <row r="2" spans="1:14" ht="16.5" thickBot="1" x14ac:dyDescent="0.3">
      <c r="A2" s="9">
        <v>44834</v>
      </c>
      <c r="B2" s="3">
        <v>462749</v>
      </c>
      <c r="C2" s="38"/>
      <c r="D2" s="3">
        <v>14096</v>
      </c>
      <c r="E2" s="38"/>
      <c r="F2" s="3">
        <v>11889900</v>
      </c>
      <c r="G2" s="38"/>
      <c r="H2" s="3">
        <v>813422</v>
      </c>
      <c r="I2" s="43"/>
      <c r="J2" s="19">
        <f t="shared" ref="J2" si="0">C2+E2+G2+I2</f>
        <v>0</v>
      </c>
      <c r="K2" s="20">
        <f t="shared" ref="K2" si="1">J2*5.86</f>
        <v>0</v>
      </c>
    </row>
    <row r="3" spans="1:14" ht="16.5" thickBot="1" x14ac:dyDescent="0.3">
      <c r="A3" s="9">
        <v>44835</v>
      </c>
      <c r="B3" s="3">
        <v>462766</v>
      </c>
      <c r="C3" s="38">
        <f t="shared" ref="C3:E18" si="2">(IF((B3-B2)&lt;0,"0",(B3-B2)))*10</f>
        <v>170</v>
      </c>
      <c r="D3" s="3">
        <v>14129</v>
      </c>
      <c r="E3" s="38">
        <f t="shared" si="2"/>
        <v>330</v>
      </c>
      <c r="F3" s="3">
        <v>11914400</v>
      </c>
      <c r="G3" s="38">
        <f>(IF((F3-F2)&lt;0,"0",(F3-F2)))*0.027</f>
        <v>661.5</v>
      </c>
      <c r="H3" s="3">
        <v>813592</v>
      </c>
      <c r="I3" s="43">
        <f>(IF((H3-H2)&lt;0,"0",(H3-H2)))*0.027</f>
        <v>4.59</v>
      </c>
      <c r="J3" s="19">
        <f>C3+E3+G3+I3</f>
        <v>1166.0899999999999</v>
      </c>
      <c r="K3" s="20">
        <f>J3*5.86</f>
        <v>6833.2874000000002</v>
      </c>
    </row>
    <row r="4" spans="1:14" ht="16.5" thickBot="1" x14ac:dyDescent="0.3">
      <c r="A4" s="9">
        <v>44836</v>
      </c>
      <c r="B4" s="3">
        <v>462866</v>
      </c>
      <c r="C4" s="38">
        <f t="shared" si="2"/>
        <v>1000</v>
      </c>
      <c r="D4" s="3">
        <v>14161</v>
      </c>
      <c r="E4" s="38">
        <f t="shared" si="2"/>
        <v>320</v>
      </c>
      <c r="F4" s="3">
        <v>11937400</v>
      </c>
      <c r="G4" s="38">
        <f>(IF((F4-F3)&lt;0,"0",(F4-F3)))*0.027</f>
        <v>621</v>
      </c>
      <c r="H4" s="3">
        <v>813772</v>
      </c>
      <c r="I4" s="43">
        <f>(IF((H4-H3)&lt;0,"0",(H4-H3)))*0.027</f>
        <v>4.8600000000000003</v>
      </c>
      <c r="J4" s="19">
        <f t="shared" ref="J4:J33" si="3">C4+E4+G4+I4</f>
        <v>1945.86</v>
      </c>
      <c r="K4" s="20">
        <f t="shared" ref="K4:K33" si="4">J4*5.86</f>
        <v>11402.739600000001</v>
      </c>
    </row>
    <row r="5" spans="1:14" ht="16.5" thickBot="1" x14ac:dyDescent="0.3">
      <c r="A5" s="9">
        <v>44837</v>
      </c>
      <c r="B5" s="3">
        <v>462961</v>
      </c>
      <c r="C5" s="38">
        <f t="shared" si="2"/>
        <v>950</v>
      </c>
      <c r="D5" s="3">
        <v>14195</v>
      </c>
      <c r="E5" s="38">
        <f t="shared" si="2"/>
        <v>340</v>
      </c>
      <c r="F5" s="3">
        <v>11959300</v>
      </c>
      <c r="G5" s="38">
        <f t="shared" ref="G5:G33" si="5">(IF((F5-F4)&lt;0,"0",(F5-F4)))*0.027</f>
        <v>591.29999999999995</v>
      </c>
      <c r="H5" s="3">
        <v>813963</v>
      </c>
      <c r="I5" s="43">
        <f t="shared" ref="I5:I33" si="6">(IF((H5-H4)&lt;0,"0",(H5-H4)))*0.027</f>
        <v>5.157</v>
      </c>
      <c r="J5" s="19">
        <f t="shared" si="3"/>
        <v>1886.4569999999999</v>
      </c>
      <c r="K5" s="20">
        <f t="shared" si="4"/>
        <v>11054.63802</v>
      </c>
    </row>
    <row r="6" spans="1:14" ht="16.5" thickBot="1" x14ac:dyDescent="0.3">
      <c r="A6" s="9">
        <v>44838</v>
      </c>
      <c r="B6" s="3">
        <v>463070</v>
      </c>
      <c r="C6" s="38">
        <f t="shared" si="2"/>
        <v>1090</v>
      </c>
      <c r="D6" s="3">
        <v>14228</v>
      </c>
      <c r="E6" s="38">
        <f t="shared" si="2"/>
        <v>330</v>
      </c>
      <c r="F6" s="3">
        <v>11981000</v>
      </c>
      <c r="G6" s="38">
        <f t="shared" si="5"/>
        <v>585.9</v>
      </c>
      <c r="H6" s="3">
        <v>814123</v>
      </c>
      <c r="I6" s="43">
        <f t="shared" si="6"/>
        <v>4.32</v>
      </c>
      <c r="J6" s="19">
        <f t="shared" si="3"/>
        <v>2010.22</v>
      </c>
      <c r="K6" s="20">
        <f t="shared" si="4"/>
        <v>11779.889200000001</v>
      </c>
    </row>
    <row r="7" spans="1:14" ht="16.5" thickBot="1" x14ac:dyDescent="0.3">
      <c r="A7" s="9">
        <v>44839</v>
      </c>
      <c r="B7" s="3">
        <v>463162</v>
      </c>
      <c r="C7" s="38">
        <f t="shared" si="2"/>
        <v>920</v>
      </c>
      <c r="D7" s="3">
        <v>14260</v>
      </c>
      <c r="E7" s="38">
        <f t="shared" si="2"/>
        <v>320</v>
      </c>
      <c r="F7" s="3">
        <v>12000100</v>
      </c>
      <c r="G7" s="38">
        <f t="shared" si="5"/>
        <v>515.70000000000005</v>
      </c>
      <c r="H7" s="3">
        <v>814271</v>
      </c>
      <c r="I7" s="43">
        <f t="shared" si="6"/>
        <v>3.996</v>
      </c>
      <c r="J7" s="19">
        <f t="shared" si="3"/>
        <v>1759.6960000000001</v>
      </c>
      <c r="K7" s="20">
        <f t="shared" si="4"/>
        <v>10311.818560000002</v>
      </c>
      <c r="L7" t="s">
        <v>12</v>
      </c>
      <c r="N7" t="s">
        <v>12</v>
      </c>
    </row>
    <row r="8" spans="1:14" ht="16.5" thickBot="1" x14ac:dyDescent="0.3">
      <c r="A8" s="9">
        <v>44840</v>
      </c>
      <c r="B8" s="3">
        <v>463252</v>
      </c>
      <c r="C8" s="38">
        <f t="shared" si="2"/>
        <v>900</v>
      </c>
      <c r="D8" s="3">
        <v>14293</v>
      </c>
      <c r="E8" s="38">
        <f t="shared" si="2"/>
        <v>330</v>
      </c>
      <c r="F8" s="3">
        <v>12020000</v>
      </c>
      <c r="G8" s="38">
        <f t="shared" si="5"/>
        <v>537.29999999999995</v>
      </c>
      <c r="H8" s="3">
        <v>814400</v>
      </c>
      <c r="I8" s="43">
        <f t="shared" si="6"/>
        <v>3.4830000000000001</v>
      </c>
      <c r="J8" s="19">
        <f t="shared" si="3"/>
        <v>1770.7829999999999</v>
      </c>
      <c r="K8" s="20">
        <f t="shared" si="4"/>
        <v>10376.78838</v>
      </c>
    </row>
    <row r="9" spans="1:14" ht="16.5" thickBot="1" x14ac:dyDescent="0.3">
      <c r="A9" s="9">
        <v>44841</v>
      </c>
      <c r="B9" s="3">
        <v>463343</v>
      </c>
      <c r="C9" s="38">
        <f t="shared" ref="C9:C33" si="7">(IF((B9-B8)&lt;0,"0",(B9-B8)))*10</f>
        <v>910</v>
      </c>
      <c r="D9" s="3">
        <v>14327</v>
      </c>
      <c r="E9" s="38">
        <f t="shared" si="2"/>
        <v>340</v>
      </c>
      <c r="F9" s="3">
        <v>12039600</v>
      </c>
      <c r="G9" s="38">
        <f t="shared" si="5"/>
        <v>529.20000000000005</v>
      </c>
      <c r="H9" s="3">
        <v>814532</v>
      </c>
      <c r="I9" s="43">
        <f t="shared" si="6"/>
        <v>3.5640000000000001</v>
      </c>
      <c r="J9" s="19">
        <f t="shared" si="3"/>
        <v>1782.7640000000001</v>
      </c>
      <c r="K9" s="20">
        <f t="shared" si="4"/>
        <v>10446.997040000002</v>
      </c>
    </row>
    <row r="10" spans="1:14" ht="16.5" thickBot="1" x14ac:dyDescent="0.3">
      <c r="A10" s="9">
        <v>44842</v>
      </c>
      <c r="B10" s="3">
        <v>463424</v>
      </c>
      <c r="C10" s="38">
        <f>(IF((B10-B9)&lt;0,"0",(B10-B9)))*10</f>
        <v>810</v>
      </c>
      <c r="D10" s="3">
        <v>14356</v>
      </c>
      <c r="E10" s="38">
        <f t="shared" si="2"/>
        <v>290</v>
      </c>
      <c r="F10" s="3">
        <v>12056600</v>
      </c>
      <c r="G10" s="38">
        <f t="shared" si="5"/>
        <v>459</v>
      </c>
      <c r="H10" s="3">
        <v>814674</v>
      </c>
      <c r="I10" s="43">
        <f t="shared" si="6"/>
        <v>3.8340000000000001</v>
      </c>
      <c r="J10" s="19">
        <f t="shared" si="3"/>
        <v>1562.8340000000001</v>
      </c>
      <c r="K10" s="20">
        <f t="shared" si="4"/>
        <v>9158.2072400000015</v>
      </c>
    </row>
    <row r="11" spans="1:14" ht="16.5" thickBot="1" x14ac:dyDescent="0.3">
      <c r="A11" s="9">
        <v>44843</v>
      </c>
      <c r="B11" s="3">
        <v>463513</v>
      </c>
      <c r="C11" s="38">
        <f t="shared" si="7"/>
        <v>890</v>
      </c>
      <c r="D11" s="3">
        <v>14387</v>
      </c>
      <c r="E11" s="38">
        <f t="shared" si="2"/>
        <v>310</v>
      </c>
      <c r="F11" s="3">
        <v>12076000</v>
      </c>
      <c r="G11" s="38">
        <f t="shared" si="5"/>
        <v>523.79999999999995</v>
      </c>
      <c r="H11" s="3">
        <v>814860</v>
      </c>
      <c r="I11" s="43">
        <f t="shared" si="6"/>
        <v>5.0220000000000002</v>
      </c>
      <c r="J11" s="19">
        <f t="shared" si="3"/>
        <v>1728.8219999999999</v>
      </c>
      <c r="K11" s="20">
        <f t="shared" si="4"/>
        <v>10130.896919999999</v>
      </c>
      <c r="N11" t="s">
        <v>12</v>
      </c>
    </row>
    <row r="12" spans="1:14" ht="16.5" thickBot="1" x14ac:dyDescent="0.3">
      <c r="A12" s="9">
        <v>44844</v>
      </c>
      <c r="B12" s="3">
        <v>463600</v>
      </c>
      <c r="C12" s="38">
        <f t="shared" si="7"/>
        <v>870</v>
      </c>
      <c r="D12" s="3">
        <v>14419</v>
      </c>
      <c r="E12" s="38">
        <f t="shared" si="2"/>
        <v>320</v>
      </c>
      <c r="F12" s="3">
        <v>12094800</v>
      </c>
      <c r="G12" s="38">
        <f t="shared" si="5"/>
        <v>507.59999999999997</v>
      </c>
      <c r="H12" s="3">
        <v>815032</v>
      </c>
      <c r="I12" s="43">
        <f t="shared" si="6"/>
        <v>4.6440000000000001</v>
      </c>
      <c r="J12" s="19">
        <f t="shared" si="3"/>
        <v>1702.2439999999999</v>
      </c>
      <c r="K12" s="20">
        <f t="shared" si="4"/>
        <v>9975.14984</v>
      </c>
    </row>
    <row r="13" spans="1:14" ht="16.5" thickBot="1" x14ac:dyDescent="0.3">
      <c r="A13" s="9">
        <v>44845</v>
      </c>
      <c r="B13" s="3"/>
      <c r="C13" s="38">
        <f t="shared" si="7"/>
        <v>0</v>
      </c>
      <c r="D13" s="3"/>
      <c r="E13" s="38">
        <f t="shared" si="2"/>
        <v>0</v>
      </c>
      <c r="F13" s="3"/>
      <c r="G13" s="38">
        <f t="shared" si="5"/>
        <v>0</v>
      </c>
      <c r="H13" s="3"/>
      <c r="I13" s="43">
        <f t="shared" si="6"/>
        <v>0</v>
      </c>
      <c r="J13" s="19">
        <f t="shared" si="3"/>
        <v>0</v>
      </c>
      <c r="K13" s="20">
        <f t="shared" si="4"/>
        <v>0</v>
      </c>
    </row>
    <row r="14" spans="1:14" ht="16.5" thickBot="1" x14ac:dyDescent="0.3">
      <c r="A14" s="9">
        <v>44846</v>
      </c>
      <c r="B14" s="3"/>
      <c r="C14" s="38">
        <f t="shared" si="7"/>
        <v>0</v>
      </c>
      <c r="D14" s="3"/>
      <c r="E14" s="38">
        <f t="shared" si="2"/>
        <v>0</v>
      </c>
      <c r="F14" s="3"/>
      <c r="G14" s="38">
        <f t="shared" si="5"/>
        <v>0</v>
      </c>
      <c r="H14" s="3"/>
      <c r="I14" s="43">
        <f t="shared" si="6"/>
        <v>0</v>
      </c>
      <c r="J14" s="19">
        <f t="shared" si="3"/>
        <v>0</v>
      </c>
      <c r="K14" s="20">
        <f t="shared" si="4"/>
        <v>0</v>
      </c>
    </row>
    <row r="15" spans="1:14" ht="16.5" thickBot="1" x14ac:dyDescent="0.3">
      <c r="A15" s="9">
        <v>44847</v>
      </c>
      <c r="B15" s="3"/>
      <c r="C15" s="38">
        <f t="shared" si="7"/>
        <v>0</v>
      </c>
      <c r="D15" s="3"/>
      <c r="E15" s="38">
        <f t="shared" si="2"/>
        <v>0</v>
      </c>
      <c r="F15" s="3"/>
      <c r="G15" s="38">
        <f t="shared" si="5"/>
        <v>0</v>
      </c>
      <c r="H15" s="3"/>
      <c r="I15" s="43">
        <f t="shared" si="6"/>
        <v>0</v>
      </c>
      <c r="J15" s="19">
        <f t="shared" si="3"/>
        <v>0</v>
      </c>
      <c r="K15" s="20">
        <f t="shared" si="4"/>
        <v>0</v>
      </c>
    </row>
    <row r="16" spans="1:14" ht="16.5" thickBot="1" x14ac:dyDescent="0.3">
      <c r="A16" s="9">
        <v>44848</v>
      </c>
      <c r="B16" s="3"/>
      <c r="C16" s="38">
        <f t="shared" si="7"/>
        <v>0</v>
      </c>
      <c r="D16" s="3"/>
      <c r="E16" s="38">
        <f t="shared" si="2"/>
        <v>0</v>
      </c>
      <c r="F16" s="3"/>
      <c r="G16" s="38">
        <f t="shared" si="5"/>
        <v>0</v>
      </c>
      <c r="H16" s="3"/>
      <c r="I16" s="43">
        <f t="shared" si="6"/>
        <v>0</v>
      </c>
      <c r="J16" s="19">
        <f t="shared" si="3"/>
        <v>0</v>
      </c>
      <c r="K16" s="20">
        <f t="shared" si="4"/>
        <v>0</v>
      </c>
    </row>
    <row r="17" spans="1:25" ht="16.5" thickBot="1" x14ac:dyDescent="0.3">
      <c r="A17" s="9">
        <v>44849</v>
      </c>
      <c r="B17" s="3"/>
      <c r="C17" s="38">
        <f t="shared" si="7"/>
        <v>0</v>
      </c>
      <c r="D17" s="3"/>
      <c r="E17" s="38">
        <f t="shared" si="2"/>
        <v>0</v>
      </c>
      <c r="F17" s="3"/>
      <c r="G17" s="38">
        <f t="shared" si="5"/>
        <v>0</v>
      </c>
      <c r="H17" s="3"/>
      <c r="I17" s="43">
        <f t="shared" si="6"/>
        <v>0</v>
      </c>
      <c r="J17" s="19">
        <f t="shared" si="3"/>
        <v>0</v>
      </c>
      <c r="K17" s="20">
        <f t="shared" si="4"/>
        <v>0</v>
      </c>
      <c r="P17" t="s">
        <v>12</v>
      </c>
      <c r="R17" t="s">
        <v>12</v>
      </c>
    </row>
    <row r="18" spans="1:25" ht="16.5" thickBot="1" x14ac:dyDescent="0.3">
      <c r="A18" s="9">
        <v>44850</v>
      </c>
      <c r="B18" s="3"/>
      <c r="C18" s="38">
        <f t="shared" si="7"/>
        <v>0</v>
      </c>
      <c r="D18" s="3"/>
      <c r="E18" s="38">
        <f t="shared" si="2"/>
        <v>0</v>
      </c>
      <c r="F18" s="3"/>
      <c r="G18" s="38">
        <f t="shared" si="5"/>
        <v>0</v>
      </c>
      <c r="H18" s="3"/>
      <c r="I18" s="43">
        <f t="shared" si="6"/>
        <v>0</v>
      </c>
      <c r="J18" s="19">
        <f t="shared" si="3"/>
        <v>0</v>
      </c>
      <c r="K18" s="20">
        <f t="shared" si="4"/>
        <v>0</v>
      </c>
      <c r="Q18" t="s">
        <v>43</v>
      </c>
    </row>
    <row r="19" spans="1:25" ht="16.5" thickBot="1" x14ac:dyDescent="0.3">
      <c r="A19" s="9">
        <v>44851</v>
      </c>
      <c r="B19" s="3"/>
      <c r="C19" s="38">
        <f t="shared" si="7"/>
        <v>0</v>
      </c>
      <c r="D19" s="3"/>
      <c r="E19" s="38">
        <f t="shared" ref="E19:E33" si="8">(IF((D19-D18)&lt;0,"0",(D19-D18)))*10</f>
        <v>0</v>
      </c>
      <c r="F19" s="3"/>
      <c r="G19" s="38">
        <f t="shared" si="5"/>
        <v>0</v>
      </c>
      <c r="H19" s="3"/>
      <c r="I19" s="43">
        <f t="shared" si="6"/>
        <v>0</v>
      </c>
      <c r="J19" s="19">
        <f t="shared" si="3"/>
        <v>0</v>
      </c>
      <c r="K19" s="20">
        <f t="shared" si="4"/>
        <v>0</v>
      </c>
      <c r="Q19" t="s">
        <v>12</v>
      </c>
    </row>
    <row r="20" spans="1:25" ht="16.5" thickBot="1" x14ac:dyDescent="0.3">
      <c r="A20" s="9">
        <v>44852</v>
      </c>
      <c r="B20" s="3"/>
      <c r="C20" s="38">
        <f t="shared" si="7"/>
        <v>0</v>
      </c>
      <c r="D20" s="3"/>
      <c r="E20" s="38">
        <f t="shared" si="8"/>
        <v>0</v>
      </c>
      <c r="F20" s="3"/>
      <c r="G20" s="38">
        <f t="shared" si="5"/>
        <v>0</v>
      </c>
      <c r="H20" s="3"/>
      <c r="I20" s="43">
        <f t="shared" si="6"/>
        <v>0</v>
      </c>
      <c r="J20" s="19">
        <f t="shared" si="3"/>
        <v>0</v>
      </c>
      <c r="K20" s="20">
        <f t="shared" si="4"/>
        <v>0</v>
      </c>
    </row>
    <row r="21" spans="1:25" ht="16.5" thickBot="1" x14ac:dyDescent="0.3">
      <c r="A21" s="9">
        <v>44853</v>
      </c>
      <c r="B21" s="3"/>
      <c r="C21" s="38">
        <f t="shared" si="7"/>
        <v>0</v>
      </c>
      <c r="D21" s="3"/>
      <c r="E21" s="38">
        <f t="shared" si="8"/>
        <v>0</v>
      </c>
      <c r="F21" s="3"/>
      <c r="G21" s="38">
        <f t="shared" si="5"/>
        <v>0</v>
      </c>
      <c r="H21" s="3"/>
      <c r="I21" s="43">
        <f t="shared" si="6"/>
        <v>0</v>
      </c>
      <c r="J21" s="19">
        <f t="shared" si="3"/>
        <v>0</v>
      </c>
      <c r="K21" s="20">
        <f t="shared" si="4"/>
        <v>0</v>
      </c>
    </row>
    <row r="22" spans="1:25" ht="16.5" thickBot="1" x14ac:dyDescent="0.3">
      <c r="A22" s="9">
        <v>44854</v>
      </c>
      <c r="B22" s="3"/>
      <c r="C22" s="38">
        <f t="shared" si="7"/>
        <v>0</v>
      </c>
      <c r="D22" s="3"/>
      <c r="E22" s="38">
        <f t="shared" si="8"/>
        <v>0</v>
      </c>
      <c r="F22" s="3"/>
      <c r="G22" s="38">
        <f t="shared" si="5"/>
        <v>0</v>
      </c>
      <c r="H22" s="3"/>
      <c r="I22" s="43">
        <f t="shared" si="6"/>
        <v>0</v>
      </c>
      <c r="J22" s="19">
        <f t="shared" si="3"/>
        <v>0</v>
      </c>
      <c r="K22" s="20">
        <f t="shared" si="4"/>
        <v>0</v>
      </c>
      <c r="P22" t="s">
        <v>12</v>
      </c>
      <c r="S22" s="26" t="s">
        <v>12</v>
      </c>
    </row>
    <row r="23" spans="1:25" ht="16.5" thickBot="1" x14ac:dyDescent="0.3">
      <c r="A23" s="9">
        <v>44855</v>
      </c>
      <c r="B23" s="3"/>
      <c r="C23" s="38">
        <f t="shared" si="7"/>
        <v>0</v>
      </c>
      <c r="D23" s="3"/>
      <c r="E23" s="38">
        <f t="shared" si="8"/>
        <v>0</v>
      </c>
      <c r="F23" s="3"/>
      <c r="G23" s="38">
        <f t="shared" si="5"/>
        <v>0</v>
      </c>
      <c r="H23" s="3"/>
      <c r="I23" s="43">
        <f t="shared" si="6"/>
        <v>0</v>
      </c>
      <c r="J23" s="19">
        <f t="shared" si="3"/>
        <v>0</v>
      </c>
      <c r="K23" s="20">
        <f t="shared" si="4"/>
        <v>0</v>
      </c>
      <c r="Q23" t="s">
        <v>12</v>
      </c>
    </row>
    <row r="24" spans="1:25" ht="16.5" thickBot="1" x14ac:dyDescent="0.3">
      <c r="A24" s="9">
        <v>44856</v>
      </c>
      <c r="B24" s="3"/>
      <c r="C24" s="38">
        <f t="shared" si="7"/>
        <v>0</v>
      </c>
      <c r="D24" s="3"/>
      <c r="E24" s="38">
        <f t="shared" si="8"/>
        <v>0</v>
      </c>
      <c r="F24" s="3"/>
      <c r="G24" s="38">
        <f t="shared" si="5"/>
        <v>0</v>
      </c>
      <c r="H24" s="3"/>
      <c r="I24" s="43">
        <f t="shared" si="6"/>
        <v>0</v>
      </c>
      <c r="J24" s="19">
        <f t="shared" si="3"/>
        <v>0</v>
      </c>
      <c r="K24" s="20">
        <f t="shared" si="4"/>
        <v>0</v>
      </c>
      <c r="N24" s="153"/>
    </row>
    <row r="25" spans="1:25" ht="17.25" customHeight="1" thickBot="1" x14ac:dyDescent="0.4">
      <c r="A25" s="9">
        <v>44857</v>
      </c>
      <c r="B25" s="3"/>
      <c r="C25" s="38">
        <f t="shared" si="7"/>
        <v>0</v>
      </c>
      <c r="D25" s="3"/>
      <c r="E25" s="38">
        <f t="shared" si="8"/>
        <v>0</v>
      </c>
      <c r="F25" s="3"/>
      <c r="G25" s="38">
        <f t="shared" si="5"/>
        <v>0</v>
      </c>
      <c r="H25" s="3"/>
      <c r="I25" s="43">
        <f t="shared" si="6"/>
        <v>0</v>
      </c>
      <c r="J25" s="19">
        <f t="shared" si="3"/>
        <v>0</v>
      </c>
      <c r="K25" s="20">
        <f t="shared" si="4"/>
        <v>0</v>
      </c>
      <c r="Y25" s="54"/>
    </row>
    <row r="26" spans="1:25" ht="16.5" thickBot="1" x14ac:dyDescent="0.3">
      <c r="A26" s="9">
        <v>44858</v>
      </c>
      <c r="B26" s="3"/>
      <c r="C26" s="38">
        <f t="shared" si="7"/>
        <v>0</v>
      </c>
      <c r="D26" s="3"/>
      <c r="E26" s="38">
        <f t="shared" si="8"/>
        <v>0</v>
      </c>
      <c r="F26" s="3"/>
      <c r="G26" s="38">
        <f t="shared" si="5"/>
        <v>0</v>
      </c>
      <c r="H26" s="3"/>
      <c r="I26" s="43">
        <f t="shared" si="6"/>
        <v>0</v>
      </c>
      <c r="J26" s="19">
        <f t="shared" si="3"/>
        <v>0</v>
      </c>
      <c r="K26" s="20">
        <f t="shared" si="4"/>
        <v>0</v>
      </c>
      <c r="L26" t="s">
        <v>12</v>
      </c>
    </row>
    <row r="27" spans="1:25" ht="16.5" thickBot="1" x14ac:dyDescent="0.3">
      <c r="A27" s="9">
        <v>44859</v>
      </c>
      <c r="B27" s="3"/>
      <c r="C27" s="38">
        <f t="shared" si="7"/>
        <v>0</v>
      </c>
      <c r="D27" s="3"/>
      <c r="E27" s="38">
        <f t="shared" si="8"/>
        <v>0</v>
      </c>
      <c r="F27" s="3"/>
      <c r="G27" s="38">
        <f t="shared" si="5"/>
        <v>0</v>
      </c>
      <c r="H27" s="3"/>
      <c r="I27" s="43">
        <f t="shared" si="6"/>
        <v>0</v>
      </c>
      <c r="J27" s="19">
        <f t="shared" si="3"/>
        <v>0</v>
      </c>
      <c r="K27" s="20">
        <f t="shared" si="4"/>
        <v>0</v>
      </c>
      <c r="N27" s="34"/>
      <c r="O27" t="s">
        <v>12</v>
      </c>
    </row>
    <row r="28" spans="1:25" ht="16.5" thickBot="1" x14ac:dyDescent="0.3">
      <c r="A28" s="9">
        <v>44860</v>
      </c>
      <c r="B28" s="3"/>
      <c r="C28" s="38">
        <f t="shared" si="7"/>
        <v>0</v>
      </c>
      <c r="D28" s="3"/>
      <c r="E28" s="38">
        <f t="shared" si="8"/>
        <v>0</v>
      </c>
      <c r="F28" s="3"/>
      <c r="G28" s="38">
        <f t="shared" si="5"/>
        <v>0</v>
      </c>
      <c r="H28" s="3"/>
      <c r="I28" s="43">
        <f t="shared" si="6"/>
        <v>0</v>
      </c>
      <c r="J28" s="19">
        <f t="shared" si="3"/>
        <v>0</v>
      </c>
      <c r="K28" s="20">
        <f t="shared" si="4"/>
        <v>0</v>
      </c>
    </row>
    <row r="29" spans="1:25" ht="16.5" thickBot="1" x14ac:dyDescent="0.3">
      <c r="A29" s="9">
        <v>44861</v>
      </c>
      <c r="B29" s="3"/>
      <c r="C29" s="38">
        <f t="shared" si="7"/>
        <v>0</v>
      </c>
      <c r="D29" s="3"/>
      <c r="E29" s="38">
        <f t="shared" si="8"/>
        <v>0</v>
      </c>
      <c r="F29" s="3"/>
      <c r="G29" s="38">
        <f t="shared" si="5"/>
        <v>0</v>
      </c>
      <c r="H29" s="3"/>
      <c r="I29" s="43">
        <f t="shared" si="6"/>
        <v>0</v>
      </c>
      <c r="J29" s="19">
        <f t="shared" si="3"/>
        <v>0</v>
      </c>
      <c r="K29" s="20">
        <f t="shared" si="4"/>
        <v>0</v>
      </c>
    </row>
    <row r="30" spans="1:25" ht="16.5" thickBot="1" x14ac:dyDescent="0.3">
      <c r="A30" s="9">
        <v>44862</v>
      </c>
      <c r="B30" s="3"/>
      <c r="C30" s="38">
        <f t="shared" si="7"/>
        <v>0</v>
      </c>
      <c r="D30" s="3"/>
      <c r="E30" s="38">
        <f t="shared" si="8"/>
        <v>0</v>
      </c>
      <c r="F30" s="3"/>
      <c r="G30" s="38">
        <f t="shared" si="5"/>
        <v>0</v>
      </c>
      <c r="H30" s="3"/>
      <c r="I30" s="43">
        <f t="shared" si="6"/>
        <v>0</v>
      </c>
      <c r="J30" s="19">
        <f t="shared" si="3"/>
        <v>0</v>
      </c>
      <c r="K30" s="20">
        <f t="shared" si="4"/>
        <v>0</v>
      </c>
    </row>
    <row r="31" spans="1:25" ht="16.5" thickBot="1" x14ac:dyDescent="0.3">
      <c r="A31" s="9">
        <v>44863</v>
      </c>
      <c r="B31" s="3"/>
      <c r="C31" s="38">
        <f t="shared" si="7"/>
        <v>0</v>
      </c>
      <c r="D31" s="3"/>
      <c r="E31" s="38">
        <f t="shared" si="8"/>
        <v>0</v>
      </c>
      <c r="F31" s="3"/>
      <c r="G31" s="38">
        <f t="shared" si="5"/>
        <v>0</v>
      </c>
      <c r="H31" s="3"/>
      <c r="I31" s="43">
        <f t="shared" si="6"/>
        <v>0</v>
      </c>
      <c r="J31" s="19">
        <f t="shared" si="3"/>
        <v>0</v>
      </c>
      <c r="K31" s="20">
        <f t="shared" si="4"/>
        <v>0</v>
      </c>
    </row>
    <row r="32" spans="1:25" ht="16.5" thickBot="1" x14ac:dyDescent="0.3">
      <c r="A32" s="9">
        <v>44864</v>
      </c>
      <c r="B32" s="3"/>
      <c r="C32" s="38">
        <f t="shared" si="7"/>
        <v>0</v>
      </c>
      <c r="D32" s="3"/>
      <c r="E32" s="38">
        <f t="shared" si="8"/>
        <v>0</v>
      </c>
      <c r="F32" s="3"/>
      <c r="G32" s="38">
        <f t="shared" si="5"/>
        <v>0</v>
      </c>
      <c r="H32" s="3"/>
      <c r="I32" s="43">
        <f t="shared" si="6"/>
        <v>0</v>
      </c>
      <c r="J32" s="19">
        <f t="shared" si="3"/>
        <v>0</v>
      </c>
      <c r="K32" s="20">
        <f t="shared" si="4"/>
        <v>0</v>
      </c>
    </row>
    <row r="33" spans="1:11" ht="16.5" thickBot="1" x14ac:dyDescent="0.3">
      <c r="A33" s="9">
        <v>44865</v>
      </c>
      <c r="B33" s="3"/>
      <c r="C33" s="38">
        <f t="shared" si="7"/>
        <v>0</v>
      </c>
      <c r="D33" s="3"/>
      <c r="E33" s="38">
        <f t="shared" si="8"/>
        <v>0</v>
      </c>
      <c r="F33" s="3"/>
      <c r="G33" s="38">
        <f t="shared" si="5"/>
        <v>0</v>
      </c>
      <c r="H33" s="3"/>
      <c r="I33" s="43">
        <f t="shared" si="6"/>
        <v>0</v>
      </c>
      <c r="J33" s="19">
        <f t="shared" si="3"/>
        <v>0</v>
      </c>
      <c r="K33" s="20">
        <f t="shared" si="4"/>
        <v>0</v>
      </c>
    </row>
    <row r="34" spans="1:11" ht="16.5" thickBot="1" x14ac:dyDescent="0.3">
      <c r="A34" s="55" t="s">
        <v>23</v>
      </c>
      <c r="B34" s="55"/>
      <c r="C34" s="55">
        <f>SUM(C3:C33)</f>
        <v>8510</v>
      </c>
      <c r="D34" s="55"/>
      <c r="E34" s="55">
        <f>SUM(E3:E33)</f>
        <v>3230</v>
      </c>
      <c r="F34" s="55"/>
      <c r="G34" s="55">
        <f>SUM(G3:G33)</f>
        <v>5532.3</v>
      </c>
      <c r="H34" s="55"/>
      <c r="I34" s="55">
        <f>SUM(I3:I33)</f>
        <v>43.47</v>
      </c>
      <c r="J34" s="55">
        <v>0</v>
      </c>
      <c r="K34" s="55">
        <f>SUM(K4:K33)</f>
        <v>94637.124800000005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pane ySplit="1" topLeftCell="A2" activePane="bottomLeft" state="frozen"/>
      <selection pane="bottomLeft" activeCell="H11" sqref="H11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5" customWidth="1"/>
    <col min="4" max="4" width="8.5703125" bestFit="1" customWidth="1"/>
    <col min="5" max="5" width="10" customWidth="1"/>
    <col min="6" max="6" width="9.85546875" customWidth="1"/>
    <col min="7" max="7" width="9.7109375" customWidth="1"/>
    <col min="9" max="9" width="19.140625" customWidth="1"/>
  </cols>
  <sheetData>
    <row r="1" spans="1:9" ht="24" thickBot="1" x14ac:dyDescent="0.4">
      <c r="A1" s="25" t="s">
        <v>0</v>
      </c>
      <c r="B1" s="25" t="s">
        <v>42</v>
      </c>
      <c r="C1" s="25" t="s">
        <v>25</v>
      </c>
    </row>
    <row r="2" spans="1:9" ht="24" thickBot="1" x14ac:dyDescent="0.4">
      <c r="A2" s="9">
        <v>44834</v>
      </c>
      <c r="B2" s="120">
        <v>18534332</v>
      </c>
      <c r="C2" s="44"/>
    </row>
    <row r="3" spans="1:9" ht="24" thickBot="1" x14ac:dyDescent="0.4">
      <c r="A3" s="9">
        <v>44835</v>
      </c>
      <c r="B3" s="120">
        <v>18536040</v>
      </c>
      <c r="C3" s="44">
        <f>B3-B2</f>
        <v>1708</v>
      </c>
    </row>
    <row r="4" spans="1:9" ht="24" thickBot="1" x14ac:dyDescent="0.4">
      <c r="A4" s="9">
        <v>44836</v>
      </c>
      <c r="B4" s="120">
        <v>18537712</v>
      </c>
      <c r="C4" s="44">
        <f t="shared" ref="C4:C33" si="0">IF((B4-B3)&lt;0,"0",(B4-B3))</f>
        <v>1672</v>
      </c>
    </row>
    <row r="5" spans="1:9" ht="24" thickBot="1" x14ac:dyDescent="0.4">
      <c r="A5" s="9">
        <v>44837</v>
      </c>
      <c r="B5" s="120">
        <v>18539220</v>
      </c>
      <c r="C5" s="44">
        <f t="shared" si="0"/>
        <v>1508</v>
      </c>
      <c r="E5" s="163"/>
      <c r="F5" s="34"/>
    </row>
    <row r="6" spans="1:9" ht="24" thickBot="1" x14ac:dyDescent="0.4">
      <c r="A6" s="9">
        <v>44838</v>
      </c>
      <c r="B6" s="120">
        <v>18541400</v>
      </c>
      <c r="C6" s="44">
        <f>IF((B6-B5)&lt;0,"0",(B6-B5))</f>
        <v>2180</v>
      </c>
      <c r="F6" s="34"/>
    </row>
    <row r="7" spans="1:9" ht="24" thickBot="1" x14ac:dyDescent="0.4">
      <c r="A7" s="9">
        <v>44839</v>
      </c>
      <c r="B7" s="120">
        <v>18543385</v>
      </c>
      <c r="C7" s="44">
        <f t="shared" si="0"/>
        <v>1985</v>
      </c>
    </row>
    <row r="8" spans="1:9" ht="24" thickBot="1" x14ac:dyDescent="0.4">
      <c r="A8" s="9">
        <v>44840</v>
      </c>
      <c r="B8" s="120">
        <v>18545328</v>
      </c>
      <c r="C8" s="44">
        <f t="shared" si="0"/>
        <v>1943</v>
      </c>
    </row>
    <row r="9" spans="1:9" ht="24" thickBot="1" x14ac:dyDescent="0.4">
      <c r="A9" s="9">
        <v>44841</v>
      </c>
      <c r="B9" s="120">
        <v>18547169</v>
      </c>
      <c r="C9" s="44">
        <f t="shared" si="0"/>
        <v>1841</v>
      </c>
    </row>
    <row r="10" spans="1:9" ht="24" thickBot="1" x14ac:dyDescent="0.4">
      <c r="A10" s="9">
        <v>44842</v>
      </c>
      <c r="B10" s="120">
        <v>18549302</v>
      </c>
      <c r="C10" s="44">
        <f t="shared" si="0"/>
        <v>2133</v>
      </c>
    </row>
    <row r="11" spans="1:9" ht="24" thickBot="1" x14ac:dyDescent="0.4">
      <c r="A11" s="9">
        <v>44843</v>
      </c>
      <c r="B11" s="120">
        <v>18551220</v>
      </c>
      <c r="C11" s="44">
        <f t="shared" si="0"/>
        <v>1918</v>
      </c>
    </row>
    <row r="12" spans="1:9" ht="24" thickBot="1" x14ac:dyDescent="0.4">
      <c r="A12" s="9">
        <v>44844</v>
      </c>
      <c r="B12" s="120">
        <v>18551841</v>
      </c>
      <c r="C12" s="44">
        <f t="shared" si="0"/>
        <v>621</v>
      </c>
    </row>
    <row r="13" spans="1:9" ht="24" thickBot="1" x14ac:dyDescent="0.4">
      <c r="A13" s="9">
        <v>44845</v>
      </c>
      <c r="B13" s="120">
        <f t="shared" ref="B13:B33" si="1">B12</f>
        <v>18551841</v>
      </c>
      <c r="C13" s="44">
        <f t="shared" si="0"/>
        <v>0</v>
      </c>
    </row>
    <row r="14" spans="1:9" ht="24" thickBot="1" x14ac:dyDescent="0.4">
      <c r="A14" s="9">
        <v>44846</v>
      </c>
      <c r="B14" s="120">
        <f t="shared" si="1"/>
        <v>18551841</v>
      </c>
      <c r="C14" s="44">
        <f t="shared" si="0"/>
        <v>0</v>
      </c>
      <c r="I14" s="34"/>
    </row>
    <row r="15" spans="1:9" ht="24" thickBot="1" x14ac:dyDescent="0.4">
      <c r="A15" s="9">
        <v>44847</v>
      </c>
      <c r="B15" s="120">
        <f t="shared" si="1"/>
        <v>18551841</v>
      </c>
      <c r="C15" s="44">
        <f t="shared" si="0"/>
        <v>0</v>
      </c>
      <c r="I15" t="s">
        <v>12</v>
      </c>
    </row>
    <row r="16" spans="1:9" ht="26.25" customHeight="1" thickBot="1" x14ac:dyDescent="0.4">
      <c r="A16" s="9">
        <v>44848</v>
      </c>
      <c r="B16" s="120">
        <f t="shared" si="1"/>
        <v>18551841</v>
      </c>
      <c r="C16" s="44">
        <f t="shared" si="0"/>
        <v>0</v>
      </c>
      <c r="F16" s="140"/>
    </row>
    <row r="17" spans="1:9" ht="25.5" customHeight="1" thickBot="1" x14ac:dyDescent="0.4">
      <c r="A17" s="9">
        <v>44849</v>
      </c>
      <c r="B17" s="120">
        <f t="shared" si="1"/>
        <v>18551841</v>
      </c>
      <c r="C17" s="44">
        <f t="shared" si="0"/>
        <v>0</v>
      </c>
    </row>
    <row r="18" spans="1:9" ht="24" thickBot="1" x14ac:dyDescent="0.4">
      <c r="A18" s="9">
        <v>44850</v>
      </c>
      <c r="B18" s="120">
        <f t="shared" si="1"/>
        <v>18551841</v>
      </c>
      <c r="C18" s="44">
        <f t="shared" si="0"/>
        <v>0</v>
      </c>
      <c r="I18" s="34"/>
    </row>
    <row r="19" spans="1:9" ht="24" thickBot="1" x14ac:dyDescent="0.4">
      <c r="A19" s="9">
        <v>44851</v>
      </c>
      <c r="B19" s="120">
        <f t="shared" si="1"/>
        <v>18551841</v>
      </c>
      <c r="C19" s="44">
        <f t="shared" si="0"/>
        <v>0</v>
      </c>
    </row>
    <row r="20" spans="1:9" ht="24" thickBot="1" x14ac:dyDescent="0.4">
      <c r="A20" s="9">
        <v>44852</v>
      </c>
      <c r="B20" s="120">
        <f t="shared" si="1"/>
        <v>18551841</v>
      </c>
      <c r="C20" s="44">
        <f t="shared" si="0"/>
        <v>0</v>
      </c>
    </row>
    <row r="21" spans="1:9" ht="24" thickBot="1" x14ac:dyDescent="0.4">
      <c r="A21" s="9">
        <v>44853</v>
      </c>
      <c r="B21" s="120">
        <f t="shared" si="1"/>
        <v>18551841</v>
      </c>
      <c r="C21" s="44">
        <f t="shared" si="0"/>
        <v>0</v>
      </c>
    </row>
    <row r="22" spans="1:9" ht="24" thickBot="1" x14ac:dyDescent="0.4">
      <c r="A22" s="9">
        <v>44854</v>
      </c>
      <c r="B22" s="120">
        <f t="shared" si="1"/>
        <v>18551841</v>
      </c>
      <c r="C22" s="44">
        <f t="shared" si="0"/>
        <v>0</v>
      </c>
    </row>
    <row r="23" spans="1:9" ht="24" thickBot="1" x14ac:dyDescent="0.4">
      <c r="A23" s="9">
        <v>44855</v>
      </c>
      <c r="B23" s="120">
        <f t="shared" si="1"/>
        <v>18551841</v>
      </c>
      <c r="C23" s="44">
        <f t="shared" si="0"/>
        <v>0</v>
      </c>
      <c r="F23" t="s">
        <v>12</v>
      </c>
    </row>
    <row r="24" spans="1:9" ht="24" thickBot="1" x14ac:dyDescent="0.4">
      <c r="A24" s="9">
        <v>44856</v>
      </c>
      <c r="B24" s="120">
        <f t="shared" si="1"/>
        <v>18551841</v>
      </c>
      <c r="C24" s="44">
        <f t="shared" si="0"/>
        <v>0</v>
      </c>
      <c r="E24" t="s">
        <v>12</v>
      </c>
    </row>
    <row r="25" spans="1:9" ht="24" thickBot="1" x14ac:dyDescent="0.4">
      <c r="A25" s="9">
        <v>44857</v>
      </c>
      <c r="B25" s="120">
        <f t="shared" si="1"/>
        <v>18551841</v>
      </c>
      <c r="C25" s="44">
        <f t="shared" si="0"/>
        <v>0</v>
      </c>
    </row>
    <row r="26" spans="1:9" ht="24" thickBot="1" x14ac:dyDescent="0.4">
      <c r="A26" s="9">
        <v>44858</v>
      </c>
      <c r="B26" s="120">
        <f t="shared" si="1"/>
        <v>18551841</v>
      </c>
      <c r="C26" s="44">
        <f t="shared" si="0"/>
        <v>0</v>
      </c>
    </row>
    <row r="27" spans="1:9" ht="24" thickBot="1" x14ac:dyDescent="0.4">
      <c r="A27" s="9">
        <v>44859</v>
      </c>
      <c r="B27" s="120">
        <f t="shared" si="1"/>
        <v>18551841</v>
      </c>
      <c r="C27" s="44">
        <f t="shared" si="0"/>
        <v>0</v>
      </c>
    </row>
    <row r="28" spans="1:9" ht="24" thickBot="1" x14ac:dyDescent="0.4">
      <c r="A28" s="9">
        <v>44860</v>
      </c>
      <c r="B28" s="120">
        <f t="shared" si="1"/>
        <v>18551841</v>
      </c>
      <c r="C28" s="44">
        <f t="shared" si="0"/>
        <v>0</v>
      </c>
      <c r="I28" t="s">
        <v>12</v>
      </c>
    </row>
    <row r="29" spans="1:9" ht="24" thickBot="1" x14ac:dyDescent="0.4">
      <c r="A29" s="9">
        <v>44861</v>
      </c>
      <c r="B29" s="120">
        <f t="shared" si="1"/>
        <v>18551841</v>
      </c>
      <c r="C29" s="44">
        <f t="shared" si="0"/>
        <v>0</v>
      </c>
    </row>
    <row r="30" spans="1:9" ht="24" thickBot="1" x14ac:dyDescent="0.4">
      <c r="A30" s="9">
        <v>44862</v>
      </c>
      <c r="B30" s="120">
        <f t="shared" si="1"/>
        <v>18551841</v>
      </c>
      <c r="C30" s="44">
        <f t="shared" si="0"/>
        <v>0</v>
      </c>
    </row>
    <row r="31" spans="1:9" ht="24" thickBot="1" x14ac:dyDescent="0.4">
      <c r="A31" s="9">
        <v>44863</v>
      </c>
      <c r="B31" s="120">
        <f t="shared" si="1"/>
        <v>18551841</v>
      </c>
      <c r="C31" s="44">
        <f t="shared" si="0"/>
        <v>0</v>
      </c>
    </row>
    <row r="32" spans="1:9" ht="24" thickBot="1" x14ac:dyDescent="0.4">
      <c r="A32" s="9">
        <v>44864</v>
      </c>
      <c r="B32" s="120">
        <f t="shared" si="1"/>
        <v>18551841</v>
      </c>
      <c r="C32" s="44">
        <f t="shared" si="0"/>
        <v>0</v>
      </c>
    </row>
    <row r="33" spans="1:3" ht="24" thickBot="1" x14ac:dyDescent="0.4">
      <c r="A33" s="9">
        <v>44865</v>
      </c>
      <c r="B33" s="120">
        <f t="shared" si="1"/>
        <v>18551841</v>
      </c>
      <c r="C33" s="44">
        <f t="shared" si="0"/>
        <v>0</v>
      </c>
    </row>
    <row r="34" spans="1:3" ht="24" thickBot="1" x14ac:dyDescent="0.4">
      <c r="A34" s="122" t="s">
        <v>138</v>
      </c>
      <c r="B34" s="122"/>
      <c r="C34" s="122">
        <f>SUM(C3:C33)</f>
        <v>17509</v>
      </c>
    </row>
  </sheetData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topLeftCell="G1" zoomScale="90" zoomScaleNormal="90" workbookViewId="0">
      <pane ySplit="1" topLeftCell="A2" activePane="bottomLeft" state="frozen"/>
      <selection pane="bottomLeft" activeCell="AF12" sqref="AF12"/>
    </sheetView>
  </sheetViews>
  <sheetFormatPr defaultRowHeight="12.75" x14ac:dyDescent="0.2"/>
  <cols>
    <col min="1" max="1" width="20.85546875" bestFit="1" customWidth="1"/>
    <col min="2" max="2" width="12.85546875" style="146" bestFit="1" customWidth="1"/>
    <col min="3" max="3" width="14.85546875" style="35" customWidth="1"/>
    <col min="4" max="4" width="10.7109375" customWidth="1"/>
    <col min="5" max="5" width="11.28515625" customWidth="1"/>
    <col min="6" max="6" width="14.5703125" style="35" customWidth="1"/>
    <col min="7" max="7" width="10.7109375" customWidth="1"/>
    <col min="8" max="8" width="13.5703125" customWidth="1"/>
    <col min="9" max="9" width="12.85546875" style="35" bestFit="1" customWidth="1"/>
    <col min="10" max="10" width="10.7109375" customWidth="1"/>
    <col min="11" max="11" width="13.42578125" customWidth="1"/>
    <col min="12" max="12" width="12.42578125" style="35" customWidth="1"/>
    <col min="13" max="13" width="10.7109375" customWidth="1"/>
    <col min="14" max="14" width="11.28515625" bestFit="1" customWidth="1"/>
    <col min="15" max="15" width="12.42578125" style="35" customWidth="1"/>
    <col min="16" max="16" width="10.7109375" customWidth="1"/>
    <col min="17" max="17" width="11.7109375" customWidth="1"/>
    <col min="18" max="18" width="11.28515625" style="35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40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43" t="s">
        <v>1</v>
      </c>
      <c r="C1" s="42" t="s">
        <v>2</v>
      </c>
      <c r="D1" s="27" t="s">
        <v>3</v>
      </c>
      <c r="E1" s="3" t="s">
        <v>4</v>
      </c>
      <c r="F1" s="42" t="s">
        <v>2</v>
      </c>
      <c r="G1" s="27" t="s">
        <v>3</v>
      </c>
      <c r="H1" s="3" t="s">
        <v>5</v>
      </c>
      <c r="I1" s="42" t="s">
        <v>6</v>
      </c>
      <c r="J1" s="27" t="s">
        <v>3</v>
      </c>
      <c r="K1" s="3" t="s">
        <v>7</v>
      </c>
      <c r="L1" s="42" t="s">
        <v>6</v>
      </c>
      <c r="M1" s="27" t="s">
        <v>3</v>
      </c>
      <c r="N1" s="4" t="s">
        <v>8</v>
      </c>
      <c r="O1" s="42" t="s">
        <v>6</v>
      </c>
      <c r="P1" s="27" t="s">
        <v>3</v>
      </c>
      <c r="Q1" s="4" t="s">
        <v>9</v>
      </c>
      <c r="R1" s="42" t="s">
        <v>6</v>
      </c>
      <c r="S1" s="27" t="s">
        <v>3</v>
      </c>
      <c r="T1" s="5" t="s">
        <v>10</v>
      </c>
      <c r="U1" s="29" t="s">
        <v>11</v>
      </c>
      <c r="W1" s="164" t="s">
        <v>140</v>
      </c>
      <c r="X1" s="165"/>
      <c r="Y1" s="165"/>
      <c r="Z1" s="165"/>
      <c r="AA1" s="166"/>
      <c r="AB1" s="167" t="s">
        <v>142</v>
      </c>
      <c r="AC1" s="165"/>
      <c r="AD1" s="167" t="s">
        <v>143</v>
      </c>
      <c r="AE1" s="165"/>
      <c r="AF1" s="164" t="s">
        <v>144</v>
      </c>
      <c r="AG1" s="165"/>
    </row>
    <row r="2" spans="1:33" ht="16.5" thickBot="1" x14ac:dyDescent="0.25">
      <c r="A2" s="9">
        <v>44834</v>
      </c>
      <c r="B2" s="144">
        <v>25097.129000000001</v>
      </c>
      <c r="C2" s="43"/>
      <c r="D2" s="28">
        <f t="shared" ref="D2" si="0">C2*1.9*1000</f>
        <v>0</v>
      </c>
      <c r="E2" s="1">
        <v>4575.076</v>
      </c>
      <c r="F2" s="43"/>
      <c r="G2" s="28">
        <f t="shared" ref="G2" si="1">F2*1.9*1000</f>
        <v>0</v>
      </c>
      <c r="H2" s="1">
        <v>6250</v>
      </c>
      <c r="I2" s="43"/>
      <c r="J2" s="28">
        <f t="shared" ref="J2" si="2">I2*1.9*1000</f>
        <v>0</v>
      </c>
      <c r="K2" s="7">
        <v>14258.9</v>
      </c>
      <c r="L2" s="43"/>
      <c r="M2" s="28">
        <f t="shared" ref="M2" si="3">L2*1.9*1000</f>
        <v>0</v>
      </c>
      <c r="N2" s="7">
        <v>3782.9279999999999</v>
      </c>
      <c r="O2" s="43"/>
      <c r="P2" s="28">
        <f t="shared" ref="P2" si="4">O2*1.9*1000</f>
        <v>0</v>
      </c>
      <c r="Q2" s="7">
        <v>5577.68</v>
      </c>
      <c r="R2" s="43"/>
      <c r="S2" s="28">
        <f t="shared" ref="S2" si="5">R2*1.9*1000</f>
        <v>0</v>
      </c>
      <c r="T2" s="8">
        <f t="shared" ref="T2" si="6">C2+F2+I2+L2+O2+R2</f>
        <v>0</v>
      </c>
      <c r="U2" s="30">
        <f t="shared" ref="U2" si="7">T2*1.9*1000</f>
        <v>0</v>
      </c>
      <c r="W2" s="141">
        <v>44834</v>
      </c>
      <c r="X2" s="142">
        <v>213319</v>
      </c>
      <c r="Y2" s="147"/>
      <c r="Z2" s="142">
        <v>10069</v>
      </c>
      <c r="AA2" s="147"/>
      <c r="AB2" s="142">
        <v>40</v>
      </c>
      <c r="AC2" s="147"/>
      <c r="AD2" s="142">
        <v>706</v>
      </c>
      <c r="AE2" s="147"/>
      <c r="AF2" s="142">
        <v>9313</v>
      </c>
      <c r="AG2" s="147"/>
    </row>
    <row r="3" spans="1:33" ht="16.5" thickBot="1" x14ac:dyDescent="0.25">
      <c r="A3" s="9">
        <v>44835</v>
      </c>
      <c r="B3" s="144">
        <v>25110.429</v>
      </c>
      <c r="C3" s="43">
        <f t="shared" ref="C3" si="8">IF((B3-B2)&lt;0,"0",(B3-B2))</f>
        <v>13.299999999999272</v>
      </c>
      <c r="D3" s="28">
        <f t="shared" ref="D3" si="9">C3*1.9*1000</f>
        <v>25269.999999998618</v>
      </c>
      <c r="E3" s="1">
        <v>4577.1949999999997</v>
      </c>
      <c r="F3" s="43">
        <f t="shared" ref="F3" si="10">IF((E3-E2)&lt;0,"0",(E3-E2))</f>
        <v>2.1189999999996871</v>
      </c>
      <c r="G3" s="28">
        <f t="shared" ref="G3" si="11">F3*1.9*1000</f>
        <v>4026.0999999994056</v>
      </c>
      <c r="H3" s="1">
        <v>6260</v>
      </c>
      <c r="I3" s="43">
        <f t="shared" ref="I3" si="12">IF((H3-H2)&lt;0,"0",(H3-H2))</f>
        <v>10</v>
      </c>
      <c r="J3" s="28">
        <f t="shared" ref="J3" si="13">I3*1.9*1000</f>
        <v>19000</v>
      </c>
      <c r="K3" s="7">
        <v>14260.81</v>
      </c>
      <c r="L3" s="43">
        <f t="shared" ref="L3" si="14">IF((K3-K2)&lt;0,"0",(K3-K2))</f>
        <v>1.9099999999998545</v>
      </c>
      <c r="M3" s="28">
        <f t="shared" ref="M3" si="15">L3*1.9*1000</f>
        <v>3628.9999999997235</v>
      </c>
      <c r="N3" s="7">
        <v>3785.2710000000002</v>
      </c>
      <c r="O3" s="43">
        <f t="shared" ref="O3" si="16">IF((N3-N2)&lt;0,"0",(N3-N2))</f>
        <v>2.343000000000302</v>
      </c>
      <c r="P3" s="28">
        <f t="shared" ref="P3" si="17">O3*1.9*1000</f>
        <v>4451.7000000005737</v>
      </c>
      <c r="Q3" s="7">
        <v>5578.56</v>
      </c>
      <c r="R3" s="43">
        <f t="shared" ref="R3" si="18">IF((Q3-Q2)&lt;0,"0",(Q3-Q2))</f>
        <v>0.88000000000010914</v>
      </c>
      <c r="S3" s="28">
        <f t="shared" ref="S3" si="19">R3*1.9*1000</f>
        <v>1672.0000000002074</v>
      </c>
      <c r="T3" s="8">
        <f>C3+F3+I3+L3+O3+R3</f>
        <v>30.551999999999225</v>
      </c>
      <c r="U3" s="30">
        <f t="shared" ref="U3" si="20">T3*1.9*1000</f>
        <v>58048.799999998519</v>
      </c>
      <c r="W3" s="141">
        <v>44835</v>
      </c>
      <c r="X3" s="142">
        <v>213669</v>
      </c>
      <c r="Y3" s="147">
        <f t="shared" ref="Y3:AG31" si="21">IF((X3-X2)&lt;0,"0",(X3-X2))</f>
        <v>350</v>
      </c>
      <c r="Z3" s="142">
        <v>10074</v>
      </c>
      <c r="AA3" s="147">
        <f t="shared" si="21"/>
        <v>5</v>
      </c>
      <c r="AB3" s="142">
        <v>40</v>
      </c>
      <c r="AC3" s="147">
        <f t="shared" si="21"/>
        <v>0</v>
      </c>
      <c r="AD3" s="142">
        <v>709</v>
      </c>
      <c r="AE3" s="147">
        <f t="shared" si="21"/>
        <v>3</v>
      </c>
      <c r="AF3" s="142">
        <v>9326</v>
      </c>
      <c r="AG3" s="147">
        <f t="shared" si="21"/>
        <v>13</v>
      </c>
    </row>
    <row r="4" spans="1:33" ht="16.5" thickBot="1" x14ac:dyDescent="0.25">
      <c r="A4" s="9">
        <v>44836</v>
      </c>
      <c r="B4" s="144">
        <v>25125.311000000002</v>
      </c>
      <c r="C4" s="43">
        <f t="shared" ref="C4:C33" si="22">IF((B4-B3)&lt;0,"0",(B4-B3))</f>
        <v>14.882000000001426</v>
      </c>
      <c r="D4" s="28">
        <f t="shared" ref="D4:D33" si="23">C4*1.9*1000</f>
        <v>28275.800000002706</v>
      </c>
      <c r="E4" s="1">
        <v>4579.3500000000004</v>
      </c>
      <c r="F4" s="43">
        <f t="shared" ref="F4:F33" si="24">IF((E4-E3)&lt;0,"0",(E4-E3))</f>
        <v>2.1550000000006548</v>
      </c>
      <c r="G4" s="28">
        <f t="shared" ref="G4:G33" si="25">F4*1.9*1000</f>
        <v>4094.5000000012442</v>
      </c>
      <c r="H4" s="1">
        <v>6270</v>
      </c>
      <c r="I4" s="43">
        <f t="shared" ref="I4:I33" si="26">IF((H4-H3)&lt;0,"0",(H4-H3))</f>
        <v>10</v>
      </c>
      <c r="J4" s="28">
        <f t="shared" ref="J4:J33" si="27">I4*1.9*1000</f>
        <v>19000</v>
      </c>
      <c r="K4" s="7">
        <v>14262.55</v>
      </c>
      <c r="L4" s="43">
        <f t="shared" ref="L4:L33" si="28">IF((K4-K3)&lt;0,"0",(K4-K3))</f>
        <v>1.7399999999997817</v>
      </c>
      <c r="M4" s="28">
        <f t="shared" ref="M4:M33" si="29">L4*1.9*1000</f>
        <v>3305.9999999995853</v>
      </c>
      <c r="N4" s="7">
        <v>3788.2109999999998</v>
      </c>
      <c r="O4" s="43">
        <f t="shared" ref="O4:O33" si="30">IF((N4-N3)&lt;0,"0",(N4-N3))</f>
        <v>2.9399999999995998</v>
      </c>
      <c r="P4" s="28">
        <f t="shared" ref="P4:P33" si="31">O4*1.9*1000</f>
        <v>5585.9999999992388</v>
      </c>
      <c r="Q4" s="7">
        <v>5580.33</v>
      </c>
      <c r="R4" s="43">
        <f t="shared" ref="R4:R33" si="32">IF((Q4-Q3)&lt;0,"0",(Q4-Q3))</f>
        <v>1.7699999999995271</v>
      </c>
      <c r="S4" s="28">
        <f t="shared" ref="S4:S33" si="33">R4*1.9*1000</f>
        <v>3362.999999999101</v>
      </c>
      <c r="T4" s="8">
        <f>C4+F4+I4+L4+O4+R4</f>
        <v>33.48700000000099</v>
      </c>
      <c r="U4" s="30">
        <f t="shared" ref="U4:U33" si="34">T4*1.9*1000</f>
        <v>63625.30000000188</v>
      </c>
      <c r="W4" s="141">
        <v>44836</v>
      </c>
      <c r="X4" s="142">
        <v>213953</v>
      </c>
      <c r="Y4" s="147">
        <f t="shared" si="21"/>
        <v>284</v>
      </c>
      <c r="Z4" s="142">
        <v>10080</v>
      </c>
      <c r="AA4" s="147">
        <f t="shared" si="21"/>
        <v>6</v>
      </c>
      <c r="AB4" s="142">
        <f t="shared" ref="AB4:AB33" si="35">AB3</f>
        <v>40</v>
      </c>
      <c r="AC4" s="147">
        <f t="shared" si="21"/>
        <v>0</v>
      </c>
      <c r="AD4" s="142">
        <v>711</v>
      </c>
      <c r="AE4" s="147">
        <f t="shared" si="21"/>
        <v>2</v>
      </c>
      <c r="AF4" s="142">
        <v>9336</v>
      </c>
      <c r="AG4" s="147">
        <f t="shared" si="21"/>
        <v>10</v>
      </c>
    </row>
    <row r="5" spans="1:33" ht="16.5" thickBot="1" x14ac:dyDescent="0.25">
      <c r="A5" s="9">
        <v>44837</v>
      </c>
      <c r="B5" s="144">
        <v>25135.972000000002</v>
      </c>
      <c r="C5" s="43">
        <f t="shared" si="22"/>
        <v>10.661000000000058</v>
      </c>
      <c r="D5" s="28">
        <f t="shared" si="23"/>
        <v>20255.900000000111</v>
      </c>
      <c r="E5" s="1">
        <v>4582.9840000000004</v>
      </c>
      <c r="F5" s="43">
        <f t="shared" si="24"/>
        <v>3.6340000000000146</v>
      </c>
      <c r="G5" s="28">
        <f t="shared" si="25"/>
        <v>6904.6000000000267</v>
      </c>
      <c r="H5" s="1">
        <v>6278</v>
      </c>
      <c r="I5" s="43">
        <f t="shared" si="26"/>
        <v>8</v>
      </c>
      <c r="J5" s="28">
        <f t="shared" si="27"/>
        <v>15200</v>
      </c>
      <c r="K5" s="7">
        <v>14264.16</v>
      </c>
      <c r="L5" s="43">
        <f t="shared" si="28"/>
        <v>1.6100000000005821</v>
      </c>
      <c r="M5" s="28">
        <f t="shared" si="29"/>
        <v>3059.0000000011059</v>
      </c>
      <c r="N5" s="7">
        <v>3789.998</v>
      </c>
      <c r="O5" s="43">
        <f t="shared" si="30"/>
        <v>1.7870000000002619</v>
      </c>
      <c r="P5" s="28">
        <f t="shared" si="31"/>
        <v>3395.3000000004977</v>
      </c>
      <c r="Q5" s="7">
        <v>5585.28</v>
      </c>
      <c r="R5" s="43">
        <f t="shared" si="32"/>
        <v>4.9499999999998181</v>
      </c>
      <c r="S5" s="28">
        <f t="shared" si="33"/>
        <v>9404.9999999996544</v>
      </c>
      <c r="T5" s="8">
        <f>C5+F5+I5+L5+O5+R5</f>
        <v>30.642000000000735</v>
      </c>
      <c r="U5" s="30">
        <f t="shared" si="34"/>
        <v>58219.800000001393</v>
      </c>
      <c r="W5" s="141">
        <v>44837</v>
      </c>
      <c r="X5" s="142">
        <v>214317</v>
      </c>
      <c r="Y5" s="147">
        <f t="shared" si="21"/>
        <v>364</v>
      </c>
      <c r="Z5" s="142">
        <v>10084</v>
      </c>
      <c r="AA5" s="147">
        <f t="shared" si="21"/>
        <v>4</v>
      </c>
      <c r="AB5" s="142">
        <v>40</v>
      </c>
      <c r="AC5" s="147">
        <f t="shared" si="21"/>
        <v>0</v>
      </c>
      <c r="AD5" s="142">
        <v>714</v>
      </c>
      <c r="AE5" s="147">
        <f t="shared" si="21"/>
        <v>3</v>
      </c>
      <c r="AF5" s="142">
        <v>9359</v>
      </c>
      <c r="AG5" s="147">
        <f t="shared" si="21"/>
        <v>23</v>
      </c>
    </row>
    <row r="6" spans="1:33" ht="16.5" thickBot="1" x14ac:dyDescent="0.25">
      <c r="A6" s="9">
        <v>44838</v>
      </c>
      <c r="B6" s="144">
        <v>25146.837</v>
      </c>
      <c r="C6" s="43">
        <f t="shared" si="22"/>
        <v>10.864999999997963</v>
      </c>
      <c r="D6" s="28">
        <f t="shared" si="23"/>
        <v>20643.499999996126</v>
      </c>
      <c r="E6" s="1">
        <v>4585.9709999999995</v>
      </c>
      <c r="F6" s="43">
        <f t="shared" si="24"/>
        <v>2.9869999999991705</v>
      </c>
      <c r="G6" s="28">
        <f t="shared" si="25"/>
        <v>5675.2999999984231</v>
      </c>
      <c r="H6" s="1">
        <v>6287</v>
      </c>
      <c r="I6" s="43">
        <f t="shared" si="26"/>
        <v>9</v>
      </c>
      <c r="J6" s="28">
        <f t="shared" si="27"/>
        <v>17099.999999999996</v>
      </c>
      <c r="K6" s="7">
        <v>14265.96</v>
      </c>
      <c r="L6" s="43">
        <f t="shared" si="28"/>
        <v>1.7999999999992724</v>
      </c>
      <c r="M6" s="28">
        <f t="shared" si="29"/>
        <v>3419.9999999986176</v>
      </c>
      <c r="N6" s="7">
        <v>3792.252</v>
      </c>
      <c r="O6" s="43">
        <f t="shared" si="30"/>
        <v>2.2539999999999054</v>
      </c>
      <c r="P6" s="28">
        <f t="shared" si="31"/>
        <v>4282.5999999998203</v>
      </c>
      <c r="Q6" s="7">
        <v>5587.67</v>
      </c>
      <c r="R6" s="43">
        <f t="shared" si="32"/>
        <v>2.3900000000003274</v>
      </c>
      <c r="S6" s="28">
        <f t="shared" si="33"/>
        <v>4541.0000000006221</v>
      </c>
      <c r="T6" s="8">
        <f t="shared" ref="T6:T33" si="36">C6+F6+I6+L6+O6+R6</f>
        <v>29.295999999996639</v>
      </c>
      <c r="U6" s="30">
        <f t="shared" si="34"/>
        <v>55662.399999993613</v>
      </c>
      <c r="W6" s="141">
        <v>44838</v>
      </c>
      <c r="X6" s="142">
        <v>214631</v>
      </c>
      <c r="Y6" s="147">
        <f t="shared" si="21"/>
        <v>314</v>
      </c>
      <c r="Z6" s="142">
        <v>10088</v>
      </c>
      <c r="AA6" s="147">
        <f t="shared" si="21"/>
        <v>4</v>
      </c>
      <c r="AB6" s="142">
        <f t="shared" si="35"/>
        <v>40</v>
      </c>
      <c r="AC6" s="147">
        <f t="shared" si="21"/>
        <v>0</v>
      </c>
      <c r="AD6" s="142">
        <v>717</v>
      </c>
      <c r="AE6" s="147">
        <f t="shared" si="21"/>
        <v>3</v>
      </c>
      <c r="AF6" s="142">
        <v>9371</v>
      </c>
      <c r="AG6" s="147">
        <f t="shared" si="21"/>
        <v>12</v>
      </c>
    </row>
    <row r="7" spans="1:33" ht="16.5" thickBot="1" x14ac:dyDescent="0.25">
      <c r="A7" s="9">
        <v>44839</v>
      </c>
      <c r="B7" s="144">
        <v>25158.062999999998</v>
      </c>
      <c r="C7" s="43">
        <f t="shared" si="22"/>
        <v>11.225999999998749</v>
      </c>
      <c r="D7" s="28">
        <f t="shared" si="23"/>
        <v>21329.399999997622</v>
      </c>
      <c r="E7" s="1">
        <v>4588.8789999999999</v>
      </c>
      <c r="F7" s="43">
        <f t="shared" si="24"/>
        <v>2.9080000000003565</v>
      </c>
      <c r="G7" s="28">
        <f t="shared" si="25"/>
        <v>5525.2000000006774</v>
      </c>
      <c r="H7" s="1">
        <v>6295</v>
      </c>
      <c r="I7" s="43">
        <f t="shared" si="26"/>
        <v>8</v>
      </c>
      <c r="J7" s="28">
        <f t="shared" si="27"/>
        <v>15200</v>
      </c>
      <c r="K7" s="7">
        <v>14267.66</v>
      </c>
      <c r="L7" s="43">
        <f t="shared" si="28"/>
        <v>1.7000000000007276</v>
      </c>
      <c r="M7" s="28">
        <f t="shared" si="29"/>
        <v>3230.0000000013824</v>
      </c>
      <c r="N7" s="7">
        <v>3794.585</v>
      </c>
      <c r="O7" s="43">
        <f t="shared" si="30"/>
        <v>2.3330000000000837</v>
      </c>
      <c r="P7" s="28">
        <f t="shared" si="31"/>
        <v>4432.700000000159</v>
      </c>
      <c r="Q7" s="7">
        <v>5589.73</v>
      </c>
      <c r="R7" s="43">
        <f t="shared" si="32"/>
        <v>2.0599999999994907</v>
      </c>
      <c r="S7" s="28">
        <f t="shared" si="33"/>
        <v>3913.9999999990318</v>
      </c>
      <c r="T7" s="8">
        <f t="shared" si="36"/>
        <v>28.226999999999407</v>
      </c>
      <c r="U7" s="30">
        <f t="shared" si="34"/>
        <v>53631.299999998875</v>
      </c>
      <c r="W7" s="141">
        <v>44839</v>
      </c>
      <c r="X7" s="142">
        <v>214904</v>
      </c>
      <c r="Y7" s="147">
        <f t="shared" si="21"/>
        <v>273</v>
      </c>
      <c r="Z7" s="142">
        <v>10091</v>
      </c>
      <c r="AA7" s="147">
        <f t="shared" si="21"/>
        <v>3</v>
      </c>
      <c r="AB7" s="142">
        <v>40</v>
      </c>
      <c r="AC7" s="147">
        <f t="shared" si="21"/>
        <v>0</v>
      </c>
      <c r="AD7" s="142">
        <v>720</v>
      </c>
      <c r="AE7" s="147">
        <f t="shared" si="21"/>
        <v>3</v>
      </c>
      <c r="AF7" s="142">
        <v>9382</v>
      </c>
      <c r="AG7" s="147">
        <f t="shared" si="21"/>
        <v>11</v>
      </c>
    </row>
    <row r="8" spans="1:33" ht="16.5" thickBot="1" x14ac:dyDescent="0.25">
      <c r="A8" s="9">
        <v>44840</v>
      </c>
      <c r="B8" s="144">
        <v>25169.200000000001</v>
      </c>
      <c r="C8" s="43">
        <f t="shared" si="22"/>
        <v>11.137000000002445</v>
      </c>
      <c r="D8" s="28">
        <f t="shared" si="23"/>
        <v>21160.300000004641</v>
      </c>
      <c r="E8" s="1">
        <v>4590.7</v>
      </c>
      <c r="F8" s="43">
        <f t="shared" si="24"/>
        <v>1.8209999999999127</v>
      </c>
      <c r="G8" s="28">
        <f t="shared" si="25"/>
        <v>3459.8999999998341</v>
      </c>
      <c r="H8" s="1">
        <v>6302</v>
      </c>
      <c r="I8" s="43">
        <f t="shared" si="26"/>
        <v>7</v>
      </c>
      <c r="J8" s="28">
        <f t="shared" si="27"/>
        <v>13299.999999999998</v>
      </c>
      <c r="K8" s="7">
        <v>14269</v>
      </c>
      <c r="L8" s="43">
        <f t="shared" si="28"/>
        <v>1.3400000000001455</v>
      </c>
      <c r="M8" s="28">
        <f t="shared" si="29"/>
        <v>2546.0000000002765</v>
      </c>
      <c r="N8" s="7">
        <v>3796.8870000000002</v>
      </c>
      <c r="O8" s="43">
        <f t="shared" si="30"/>
        <v>2.3020000000001346</v>
      </c>
      <c r="P8" s="28">
        <f t="shared" si="31"/>
        <v>4373.8000000002557</v>
      </c>
      <c r="Q8" s="7">
        <v>5592.23</v>
      </c>
      <c r="R8" s="43">
        <f t="shared" si="32"/>
        <v>2.5</v>
      </c>
      <c r="S8" s="28">
        <f t="shared" si="33"/>
        <v>4750</v>
      </c>
      <c r="T8" s="8">
        <f t="shared" si="36"/>
        <v>26.100000000002638</v>
      </c>
      <c r="U8" s="30">
        <f t="shared" si="34"/>
        <v>49590.000000005006</v>
      </c>
      <c r="W8" s="141">
        <v>44840</v>
      </c>
      <c r="X8" s="142">
        <v>215183</v>
      </c>
      <c r="Y8" s="147">
        <f t="shared" si="21"/>
        <v>279</v>
      </c>
      <c r="Z8" s="142">
        <v>10098</v>
      </c>
      <c r="AA8" s="147">
        <f t="shared" si="21"/>
        <v>7</v>
      </c>
      <c r="AB8" s="142">
        <f t="shared" si="35"/>
        <v>40</v>
      </c>
      <c r="AC8" s="147">
        <f t="shared" si="21"/>
        <v>0</v>
      </c>
      <c r="AD8" s="142">
        <v>716</v>
      </c>
      <c r="AE8" s="147" t="str">
        <f t="shared" si="21"/>
        <v>0</v>
      </c>
      <c r="AF8" s="142">
        <v>9393</v>
      </c>
      <c r="AG8" s="147">
        <f t="shared" si="21"/>
        <v>11</v>
      </c>
    </row>
    <row r="9" spans="1:33" ht="16.5" thickBot="1" x14ac:dyDescent="0.25">
      <c r="A9" s="9">
        <v>44841</v>
      </c>
      <c r="B9" s="144">
        <v>25178</v>
      </c>
      <c r="C9" s="43">
        <f t="shared" si="22"/>
        <v>8.7999999999992724</v>
      </c>
      <c r="D9" s="28">
        <f t="shared" si="23"/>
        <v>16719.999999998618</v>
      </c>
      <c r="E9" s="1">
        <v>4592.05</v>
      </c>
      <c r="F9" s="43">
        <f t="shared" si="24"/>
        <v>1.3500000000003638</v>
      </c>
      <c r="G9" s="28">
        <f t="shared" si="25"/>
        <v>2565.0000000006908</v>
      </c>
      <c r="H9" s="1">
        <v>6308</v>
      </c>
      <c r="I9" s="43">
        <f t="shared" si="26"/>
        <v>6</v>
      </c>
      <c r="J9" s="28">
        <f t="shared" si="27"/>
        <v>11399.999999999998</v>
      </c>
      <c r="K9" s="7">
        <v>14270.6</v>
      </c>
      <c r="L9" s="43">
        <f t="shared" si="28"/>
        <v>1.6000000000003638</v>
      </c>
      <c r="M9" s="28">
        <f t="shared" si="29"/>
        <v>3040.0000000006912</v>
      </c>
      <c r="N9" s="7">
        <v>3799.37</v>
      </c>
      <c r="O9" s="43">
        <f t="shared" si="30"/>
        <v>2.4829999999997199</v>
      </c>
      <c r="P9" s="28">
        <f t="shared" si="31"/>
        <v>4717.6999999994678</v>
      </c>
      <c r="Q9" s="7">
        <v>5594.45</v>
      </c>
      <c r="R9" s="43">
        <f t="shared" si="32"/>
        <v>2.2200000000002547</v>
      </c>
      <c r="S9" s="28">
        <f t="shared" si="33"/>
        <v>4218.0000000004839</v>
      </c>
      <c r="T9" s="8">
        <f t="shared" si="36"/>
        <v>22.452999999999975</v>
      </c>
      <c r="U9" s="30">
        <f t="shared" si="34"/>
        <v>42660.699999999946</v>
      </c>
      <c r="W9" s="141">
        <v>44841</v>
      </c>
      <c r="X9" s="142">
        <v>215422</v>
      </c>
      <c r="Y9" s="147">
        <f t="shared" si="21"/>
        <v>239</v>
      </c>
      <c r="Z9" s="142">
        <v>10100</v>
      </c>
      <c r="AA9" s="147">
        <f t="shared" si="21"/>
        <v>2</v>
      </c>
      <c r="AB9" s="142">
        <v>40</v>
      </c>
      <c r="AC9" s="147">
        <f t="shared" si="21"/>
        <v>0</v>
      </c>
      <c r="AD9" s="142">
        <v>718</v>
      </c>
      <c r="AE9" s="147">
        <f t="shared" si="21"/>
        <v>2</v>
      </c>
      <c r="AF9" s="142">
        <v>9404</v>
      </c>
      <c r="AG9" s="147">
        <f t="shared" si="21"/>
        <v>11</v>
      </c>
    </row>
    <row r="10" spans="1:33" ht="16.5" thickBot="1" x14ac:dyDescent="0.25">
      <c r="A10" s="9">
        <v>44842</v>
      </c>
      <c r="B10" s="144">
        <v>25188.400000000001</v>
      </c>
      <c r="C10" s="43">
        <f t="shared" si="22"/>
        <v>10.400000000001455</v>
      </c>
      <c r="D10" s="28">
        <f t="shared" si="23"/>
        <v>19760.000000002765</v>
      </c>
      <c r="E10" s="1">
        <v>4593.96</v>
      </c>
      <c r="F10" s="43">
        <f t="shared" si="24"/>
        <v>1.9099999999998545</v>
      </c>
      <c r="G10" s="28">
        <f t="shared" si="25"/>
        <v>3628.9999999997235</v>
      </c>
      <c r="H10" s="1">
        <v>6316</v>
      </c>
      <c r="I10" s="43">
        <f t="shared" si="26"/>
        <v>8</v>
      </c>
      <c r="J10" s="28">
        <f t="shared" si="27"/>
        <v>15200</v>
      </c>
      <c r="K10" s="7">
        <v>14272.37</v>
      </c>
      <c r="L10" s="43">
        <f t="shared" si="28"/>
        <v>1.7700000000004366</v>
      </c>
      <c r="M10" s="28">
        <f t="shared" si="29"/>
        <v>3363.000000000829</v>
      </c>
      <c r="N10" s="7">
        <v>3802.18</v>
      </c>
      <c r="O10" s="43">
        <f>IF((N10-N9)&lt;0,"0",(N10-N9))</f>
        <v>2.8099999999999454</v>
      </c>
      <c r="P10" s="28">
        <f t="shared" si="31"/>
        <v>5338.9999999998963</v>
      </c>
      <c r="Q10" s="7">
        <v>5596.35</v>
      </c>
      <c r="R10" s="43">
        <f t="shared" si="32"/>
        <v>1.9000000000005457</v>
      </c>
      <c r="S10" s="28">
        <f t="shared" si="33"/>
        <v>3610.0000000010368</v>
      </c>
      <c r="T10" s="8">
        <f t="shared" si="36"/>
        <v>26.790000000002237</v>
      </c>
      <c r="U10" s="30">
        <f t="shared" si="34"/>
        <v>50901.000000004242</v>
      </c>
      <c r="W10" s="141">
        <v>44842</v>
      </c>
      <c r="X10" s="142">
        <v>215659</v>
      </c>
      <c r="Y10" s="147">
        <f t="shared" si="21"/>
        <v>237</v>
      </c>
      <c r="Z10" s="142">
        <v>10105</v>
      </c>
      <c r="AA10" s="147">
        <f t="shared" si="21"/>
        <v>5</v>
      </c>
      <c r="AB10" s="142">
        <f t="shared" si="35"/>
        <v>40</v>
      </c>
      <c r="AC10" s="147">
        <f t="shared" si="21"/>
        <v>0</v>
      </c>
      <c r="AD10" s="142">
        <v>720</v>
      </c>
      <c r="AE10" s="147">
        <f t="shared" si="21"/>
        <v>2</v>
      </c>
      <c r="AF10" s="142">
        <v>9414</v>
      </c>
      <c r="AG10" s="147">
        <f t="shared" si="21"/>
        <v>10</v>
      </c>
    </row>
    <row r="11" spans="1:33" ht="16.5" thickBot="1" x14ac:dyDescent="0.25">
      <c r="A11" s="9">
        <v>44843</v>
      </c>
      <c r="B11" s="144">
        <v>25195.518</v>
      </c>
      <c r="C11" s="43">
        <f t="shared" si="22"/>
        <v>7.1179999999985739</v>
      </c>
      <c r="D11" s="28">
        <f t="shared" si="23"/>
        <v>13524.19999999729</v>
      </c>
      <c r="E11" s="1">
        <v>4596.4669999999996</v>
      </c>
      <c r="F11" s="43">
        <f t="shared" si="24"/>
        <v>2.5069999999996071</v>
      </c>
      <c r="G11" s="28">
        <f t="shared" si="25"/>
        <v>4763.2999999992535</v>
      </c>
      <c r="H11" s="1">
        <v>6322</v>
      </c>
      <c r="I11" s="43">
        <f t="shared" si="26"/>
        <v>6</v>
      </c>
      <c r="J11" s="28">
        <f t="shared" si="27"/>
        <v>11399.999999999998</v>
      </c>
      <c r="K11" s="7">
        <v>14273.38</v>
      </c>
      <c r="L11" s="43">
        <f t="shared" si="28"/>
        <v>1.0099999999983993</v>
      </c>
      <c r="M11" s="28">
        <f t="shared" si="29"/>
        <v>1918.9999999969584</v>
      </c>
      <c r="N11" s="7">
        <v>3804.1370000000002</v>
      </c>
      <c r="O11" s="43">
        <f t="shared" si="30"/>
        <v>1.9570000000003347</v>
      </c>
      <c r="P11" s="28">
        <f t="shared" si="31"/>
        <v>3718.3000000006355</v>
      </c>
      <c r="Q11" s="7">
        <v>5598.13</v>
      </c>
      <c r="R11" s="43">
        <f t="shared" si="32"/>
        <v>1.7799999999997453</v>
      </c>
      <c r="S11" s="28">
        <f t="shared" si="33"/>
        <v>3381.9999999995161</v>
      </c>
      <c r="T11" s="8">
        <f t="shared" si="36"/>
        <v>20.37199999999666</v>
      </c>
      <c r="U11" s="30">
        <f t="shared" si="34"/>
        <v>38706.799999993658</v>
      </c>
      <c r="W11" s="141">
        <v>44843</v>
      </c>
      <c r="X11" s="142">
        <v>215898</v>
      </c>
      <c r="Y11" s="147">
        <f t="shared" si="21"/>
        <v>239</v>
      </c>
      <c r="Z11" s="142">
        <v>10109</v>
      </c>
      <c r="AA11" s="147">
        <f t="shared" si="21"/>
        <v>4</v>
      </c>
      <c r="AB11" s="142">
        <v>40</v>
      </c>
      <c r="AC11" s="147">
        <f t="shared" si="21"/>
        <v>0</v>
      </c>
      <c r="AD11" s="142">
        <f t="shared" ref="AD11:AD33" si="37">AD10</f>
        <v>720</v>
      </c>
      <c r="AE11" s="147">
        <f t="shared" si="21"/>
        <v>0</v>
      </c>
      <c r="AF11" s="142">
        <v>9423</v>
      </c>
      <c r="AG11" s="147">
        <f t="shared" si="21"/>
        <v>9</v>
      </c>
    </row>
    <row r="12" spans="1:33" ht="16.5" thickBot="1" x14ac:dyDescent="0.25">
      <c r="A12" s="9">
        <v>44844</v>
      </c>
      <c r="B12" s="144">
        <v>25203.35</v>
      </c>
      <c r="C12" s="43">
        <f t="shared" si="22"/>
        <v>7.8319999999985157</v>
      </c>
      <c r="D12" s="28">
        <f t="shared" si="23"/>
        <v>14880.79999999718</v>
      </c>
      <c r="E12" s="1">
        <v>4598.9870000000001</v>
      </c>
      <c r="F12" s="43">
        <f t="shared" si="24"/>
        <v>2.5200000000004366</v>
      </c>
      <c r="G12" s="28">
        <f t="shared" si="25"/>
        <v>4788.0000000008285</v>
      </c>
      <c r="H12" s="1">
        <v>6329</v>
      </c>
      <c r="I12" s="43">
        <f t="shared" si="26"/>
        <v>7</v>
      </c>
      <c r="J12" s="28">
        <f t="shared" si="27"/>
        <v>13299.999999999998</v>
      </c>
      <c r="K12" s="7">
        <v>14274.58</v>
      </c>
      <c r="L12" s="43">
        <f t="shared" si="28"/>
        <v>1.2000000000007276</v>
      </c>
      <c r="M12" s="28">
        <f t="shared" si="29"/>
        <v>2280.0000000013824</v>
      </c>
      <c r="N12" s="7">
        <v>3806.3649999999998</v>
      </c>
      <c r="O12" s="43">
        <f t="shared" si="30"/>
        <v>2.2279999999996107</v>
      </c>
      <c r="P12" s="28">
        <f t="shared" si="31"/>
        <v>4233.1999999992604</v>
      </c>
      <c r="Q12" s="7">
        <v>5600.32</v>
      </c>
      <c r="R12" s="43">
        <f t="shared" si="32"/>
        <v>2.1899999999995998</v>
      </c>
      <c r="S12" s="28">
        <f t="shared" si="33"/>
        <v>4160.9999999992397</v>
      </c>
      <c r="T12" s="8">
        <f t="shared" si="36"/>
        <v>22.96999999999889</v>
      </c>
      <c r="U12" s="30">
        <f t="shared" si="34"/>
        <v>43642.99999999789</v>
      </c>
      <c r="W12" s="141">
        <v>44844</v>
      </c>
      <c r="X12" s="142">
        <v>216127</v>
      </c>
      <c r="Y12" s="147">
        <f t="shared" si="21"/>
        <v>229</v>
      </c>
      <c r="Z12" s="142">
        <v>10112</v>
      </c>
      <c r="AA12" s="147">
        <f t="shared" si="21"/>
        <v>3</v>
      </c>
      <c r="AB12" s="142">
        <v>40</v>
      </c>
      <c r="AC12" s="147">
        <f t="shared" si="21"/>
        <v>0</v>
      </c>
      <c r="AD12" s="142">
        <v>721</v>
      </c>
      <c r="AE12" s="147">
        <f t="shared" si="21"/>
        <v>1</v>
      </c>
      <c r="AF12" s="142">
        <v>9433</v>
      </c>
      <c r="AG12" s="147">
        <f t="shared" si="21"/>
        <v>10</v>
      </c>
    </row>
    <row r="13" spans="1:33" ht="16.5" thickBot="1" x14ac:dyDescent="0.25">
      <c r="A13" s="9">
        <v>44845</v>
      </c>
      <c r="B13" s="144">
        <f t="shared" ref="B13:B33" si="38">B12</f>
        <v>25203.35</v>
      </c>
      <c r="C13" s="43">
        <f t="shared" si="22"/>
        <v>0</v>
      </c>
      <c r="D13" s="28">
        <f t="shared" si="23"/>
        <v>0</v>
      </c>
      <c r="E13" s="1">
        <f t="shared" ref="E13:E33" si="39">E12</f>
        <v>4598.9870000000001</v>
      </c>
      <c r="F13" s="43">
        <f t="shared" si="24"/>
        <v>0</v>
      </c>
      <c r="G13" s="28">
        <f t="shared" si="25"/>
        <v>0</v>
      </c>
      <c r="H13" s="1">
        <f t="shared" ref="H13:H33" si="40">H12</f>
        <v>6329</v>
      </c>
      <c r="I13" s="43">
        <f t="shared" si="26"/>
        <v>0</v>
      </c>
      <c r="J13" s="28">
        <f t="shared" si="27"/>
        <v>0</v>
      </c>
      <c r="K13" s="7">
        <f t="shared" ref="K13:K33" si="41">K12</f>
        <v>14274.58</v>
      </c>
      <c r="L13" s="43">
        <f t="shared" si="28"/>
        <v>0</v>
      </c>
      <c r="M13" s="28">
        <f t="shared" si="29"/>
        <v>0</v>
      </c>
      <c r="N13" s="7">
        <f t="shared" ref="N13:N33" si="42">N12</f>
        <v>3806.3649999999998</v>
      </c>
      <c r="O13" s="43">
        <f t="shared" si="30"/>
        <v>0</v>
      </c>
      <c r="P13" s="28">
        <f t="shared" si="31"/>
        <v>0</v>
      </c>
      <c r="Q13" s="7">
        <f t="shared" ref="Q13:Q33" si="43">Q12</f>
        <v>5600.32</v>
      </c>
      <c r="R13" s="43">
        <f t="shared" si="32"/>
        <v>0</v>
      </c>
      <c r="S13" s="28">
        <f t="shared" si="33"/>
        <v>0</v>
      </c>
      <c r="T13" s="8">
        <f t="shared" si="36"/>
        <v>0</v>
      </c>
      <c r="U13" s="30">
        <f t="shared" si="34"/>
        <v>0</v>
      </c>
      <c r="W13" s="141">
        <v>44845</v>
      </c>
      <c r="X13" s="142">
        <f t="shared" ref="X13:X33" si="44">X12</f>
        <v>216127</v>
      </c>
      <c r="Y13" s="147">
        <f t="shared" si="21"/>
        <v>0</v>
      </c>
      <c r="Z13" s="142">
        <f t="shared" ref="Z13:Z33" si="45">Z12</f>
        <v>10112</v>
      </c>
      <c r="AA13" s="147">
        <f t="shared" si="21"/>
        <v>0</v>
      </c>
      <c r="AB13" s="142">
        <f t="shared" si="35"/>
        <v>40</v>
      </c>
      <c r="AC13" s="147">
        <f t="shared" si="21"/>
        <v>0</v>
      </c>
      <c r="AD13" s="142">
        <f t="shared" si="37"/>
        <v>721</v>
      </c>
      <c r="AE13" s="147">
        <f t="shared" si="21"/>
        <v>0</v>
      </c>
      <c r="AF13" s="142">
        <f t="shared" ref="AF13:AF33" si="46">AF12</f>
        <v>9433</v>
      </c>
      <c r="AG13" s="147">
        <f t="shared" si="21"/>
        <v>0</v>
      </c>
    </row>
    <row r="14" spans="1:33" ht="16.5" thickBot="1" x14ac:dyDescent="0.25">
      <c r="A14" s="9">
        <v>44846</v>
      </c>
      <c r="B14" s="144">
        <f t="shared" si="38"/>
        <v>25203.35</v>
      </c>
      <c r="C14" s="43">
        <f t="shared" si="22"/>
        <v>0</v>
      </c>
      <c r="D14" s="28">
        <f t="shared" si="23"/>
        <v>0</v>
      </c>
      <c r="E14" s="1">
        <f t="shared" si="39"/>
        <v>4598.9870000000001</v>
      </c>
      <c r="F14" s="43">
        <f t="shared" si="24"/>
        <v>0</v>
      </c>
      <c r="G14" s="28">
        <f t="shared" si="25"/>
        <v>0</v>
      </c>
      <c r="H14" s="1">
        <f t="shared" si="40"/>
        <v>6329</v>
      </c>
      <c r="I14" s="43">
        <f t="shared" si="26"/>
        <v>0</v>
      </c>
      <c r="J14" s="28">
        <f t="shared" si="27"/>
        <v>0</v>
      </c>
      <c r="K14" s="7">
        <f t="shared" si="41"/>
        <v>14274.58</v>
      </c>
      <c r="L14" s="43">
        <f t="shared" si="28"/>
        <v>0</v>
      </c>
      <c r="M14" s="28">
        <f t="shared" si="29"/>
        <v>0</v>
      </c>
      <c r="N14" s="7">
        <f t="shared" si="42"/>
        <v>3806.3649999999998</v>
      </c>
      <c r="O14" s="43">
        <f>IF((N14-N13)&lt;0,"0",(N14-N13))</f>
        <v>0</v>
      </c>
      <c r="P14" s="28">
        <f t="shared" si="31"/>
        <v>0</v>
      </c>
      <c r="Q14" s="7">
        <f t="shared" si="43"/>
        <v>5600.32</v>
      </c>
      <c r="R14" s="43">
        <f t="shared" si="32"/>
        <v>0</v>
      </c>
      <c r="S14" s="28">
        <f t="shared" si="33"/>
        <v>0</v>
      </c>
      <c r="T14" s="8">
        <f t="shared" si="36"/>
        <v>0</v>
      </c>
      <c r="U14" s="30">
        <f t="shared" si="34"/>
        <v>0</v>
      </c>
      <c r="W14" s="141">
        <v>44846</v>
      </c>
      <c r="X14" s="142">
        <f t="shared" si="44"/>
        <v>216127</v>
      </c>
      <c r="Y14" s="147">
        <f t="shared" si="21"/>
        <v>0</v>
      </c>
      <c r="Z14" s="142">
        <f t="shared" si="45"/>
        <v>10112</v>
      </c>
      <c r="AA14" s="147">
        <f t="shared" si="21"/>
        <v>0</v>
      </c>
      <c r="AB14" s="142">
        <f t="shared" si="35"/>
        <v>40</v>
      </c>
      <c r="AC14" s="147">
        <f t="shared" si="21"/>
        <v>0</v>
      </c>
      <c r="AD14" s="142">
        <f t="shared" si="37"/>
        <v>721</v>
      </c>
      <c r="AE14" s="147">
        <f t="shared" si="21"/>
        <v>0</v>
      </c>
      <c r="AF14" s="142">
        <f t="shared" si="46"/>
        <v>9433</v>
      </c>
      <c r="AG14" s="147">
        <f t="shared" si="21"/>
        <v>0</v>
      </c>
    </row>
    <row r="15" spans="1:33" ht="16.5" thickBot="1" x14ac:dyDescent="0.25">
      <c r="A15" s="9">
        <v>44847</v>
      </c>
      <c r="B15" s="144">
        <f t="shared" si="38"/>
        <v>25203.35</v>
      </c>
      <c r="C15" s="43">
        <f t="shared" ref="C15" si="47">IF((B15-B14)&lt;0,"0",(B15-B14))</f>
        <v>0</v>
      </c>
      <c r="D15" s="28">
        <f t="shared" ref="D15" si="48">C15*1.9*1000</f>
        <v>0</v>
      </c>
      <c r="E15" s="1">
        <f t="shared" si="39"/>
        <v>4598.9870000000001</v>
      </c>
      <c r="F15" s="43">
        <f t="shared" ref="F15" si="49">IF((E15-E14)&lt;0,"0",(E15-E14))</f>
        <v>0</v>
      </c>
      <c r="G15" s="28">
        <f t="shared" ref="G15" si="50">F15*1.9*1000</f>
        <v>0</v>
      </c>
      <c r="H15" s="1">
        <f t="shared" si="40"/>
        <v>6329</v>
      </c>
      <c r="I15" s="43">
        <f t="shared" ref="I15" si="51">IF((H15-H14)&lt;0,"0",(H15-H14))</f>
        <v>0</v>
      </c>
      <c r="J15" s="28">
        <f t="shared" ref="J15" si="52">I15*1.9*1000</f>
        <v>0</v>
      </c>
      <c r="K15" s="7">
        <f t="shared" si="41"/>
        <v>14274.58</v>
      </c>
      <c r="L15" s="43">
        <f t="shared" ref="L15" si="53">IF((K15-K14)&lt;0,"0",(K15-K14))</f>
        <v>0</v>
      </c>
      <c r="M15" s="28">
        <f t="shared" ref="M15" si="54">L15*1.9*1000</f>
        <v>0</v>
      </c>
      <c r="N15" s="7">
        <f t="shared" si="42"/>
        <v>3806.3649999999998</v>
      </c>
      <c r="O15" s="43">
        <f>IF((N15-N14)&lt;0,"0",(N15-N14))</f>
        <v>0</v>
      </c>
      <c r="P15" s="28">
        <f t="shared" ref="P15" si="55">O15*1.9*1000</f>
        <v>0</v>
      </c>
      <c r="Q15" s="7">
        <f t="shared" si="43"/>
        <v>5600.32</v>
      </c>
      <c r="R15" s="43">
        <f t="shared" ref="R15" si="56">IF((Q15-Q14)&lt;0,"0",(Q15-Q14))</f>
        <v>0</v>
      </c>
      <c r="S15" s="28">
        <f t="shared" ref="S15" si="57">R15*1.9*1000</f>
        <v>0</v>
      </c>
      <c r="T15" s="8">
        <f t="shared" ref="T15" si="58">C15+F15+I15+L15+O15+R15</f>
        <v>0</v>
      </c>
      <c r="U15" s="30">
        <f t="shared" ref="U15" si="59">T15*1.9*1000</f>
        <v>0</v>
      </c>
      <c r="W15" s="141">
        <v>44847</v>
      </c>
      <c r="X15" s="142">
        <f t="shared" si="44"/>
        <v>216127</v>
      </c>
      <c r="Y15" s="147">
        <f t="shared" si="21"/>
        <v>0</v>
      </c>
      <c r="Z15" s="142">
        <f t="shared" si="45"/>
        <v>10112</v>
      </c>
      <c r="AA15" s="147">
        <f t="shared" si="21"/>
        <v>0</v>
      </c>
      <c r="AB15" s="142">
        <f t="shared" si="35"/>
        <v>40</v>
      </c>
      <c r="AC15" s="147">
        <f t="shared" si="21"/>
        <v>0</v>
      </c>
      <c r="AD15" s="142">
        <f t="shared" si="37"/>
        <v>721</v>
      </c>
      <c r="AE15" s="147">
        <f t="shared" si="21"/>
        <v>0</v>
      </c>
      <c r="AF15" s="142">
        <f t="shared" si="46"/>
        <v>9433</v>
      </c>
      <c r="AG15" s="147">
        <f t="shared" si="21"/>
        <v>0</v>
      </c>
    </row>
    <row r="16" spans="1:33" ht="16.5" thickBot="1" x14ac:dyDescent="0.25">
      <c r="A16" s="9">
        <v>44848</v>
      </c>
      <c r="B16" s="144">
        <f t="shared" si="38"/>
        <v>25203.35</v>
      </c>
      <c r="C16" s="43">
        <f t="shared" si="22"/>
        <v>0</v>
      </c>
      <c r="D16" s="28">
        <f t="shared" si="23"/>
        <v>0</v>
      </c>
      <c r="E16" s="1">
        <f t="shared" si="39"/>
        <v>4598.9870000000001</v>
      </c>
      <c r="F16" s="43">
        <f t="shared" si="24"/>
        <v>0</v>
      </c>
      <c r="G16" s="28">
        <f t="shared" si="25"/>
        <v>0</v>
      </c>
      <c r="H16" s="1">
        <f t="shared" si="40"/>
        <v>6329</v>
      </c>
      <c r="I16" s="43">
        <f t="shared" si="26"/>
        <v>0</v>
      </c>
      <c r="J16" s="28">
        <f t="shared" si="27"/>
        <v>0</v>
      </c>
      <c r="K16" s="7">
        <f t="shared" si="41"/>
        <v>14274.58</v>
      </c>
      <c r="L16" s="43">
        <f t="shared" si="28"/>
        <v>0</v>
      </c>
      <c r="M16" s="28">
        <f t="shared" si="29"/>
        <v>0</v>
      </c>
      <c r="N16" s="7">
        <f t="shared" si="42"/>
        <v>3806.3649999999998</v>
      </c>
      <c r="O16" s="43">
        <f t="shared" si="30"/>
        <v>0</v>
      </c>
      <c r="P16" s="28">
        <f t="shared" si="31"/>
        <v>0</v>
      </c>
      <c r="Q16" s="7">
        <f t="shared" si="43"/>
        <v>5600.32</v>
      </c>
      <c r="R16" s="43">
        <f t="shared" si="32"/>
        <v>0</v>
      </c>
      <c r="S16" s="28">
        <f t="shared" si="33"/>
        <v>0</v>
      </c>
      <c r="T16" s="8">
        <f t="shared" si="36"/>
        <v>0</v>
      </c>
      <c r="U16" s="30">
        <f t="shared" si="34"/>
        <v>0</v>
      </c>
      <c r="W16" s="141">
        <v>44848</v>
      </c>
      <c r="X16" s="142">
        <f t="shared" si="44"/>
        <v>216127</v>
      </c>
      <c r="Y16" s="147">
        <f t="shared" si="21"/>
        <v>0</v>
      </c>
      <c r="Z16" s="142">
        <f t="shared" si="45"/>
        <v>10112</v>
      </c>
      <c r="AA16" s="147">
        <f t="shared" si="21"/>
        <v>0</v>
      </c>
      <c r="AB16" s="142">
        <f t="shared" si="35"/>
        <v>40</v>
      </c>
      <c r="AC16" s="147">
        <f t="shared" si="21"/>
        <v>0</v>
      </c>
      <c r="AD16" s="142">
        <f t="shared" si="37"/>
        <v>721</v>
      </c>
      <c r="AE16" s="147">
        <f t="shared" si="21"/>
        <v>0</v>
      </c>
      <c r="AF16" s="142">
        <f t="shared" si="46"/>
        <v>9433</v>
      </c>
      <c r="AG16" s="147">
        <f t="shared" si="21"/>
        <v>0</v>
      </c>
    </row>
    <row r="17" spans="1:33" ht="16.5" thickBot="1" x14ac:dyDescent="0.25">
      <c r="A17" s="9">
        <v>44849</v>
      </c>
      <c r="B17" s="144">
        <f t="shared" si="38"/>
        <v>25203.35</v>
      </c>
      <c r="C17" s="43">
        <f t="shared" si="22"/>
        <v>0</v>
      </c>
      <c r="D17" s="28">
        <f t="shared" si="23"/>
        <v>0</v>
      </c>
      <c r="E17" s="1">
        <f t="shared" si="39"/>
        <v>4598.9870000000001</v>
      </c>
      <c r="F17" s="43">
        <f t="shared" si="24"/>
        <v>0</v>
      </c>
      <c r="G17" s="28">
        <f t="shared" si="25"/>
        <v>0</v>
      </c>
      <c r="H17" s="1">
        <f t="shared" si="40"/>
        <v>6329</v>
      </c>
      <c r="I17" s="43">
        <f t="shared" si="26"/>
        <v>0</v>
      </c>
      <c r="J17" s="28">
        <f t="shared" si="27"/>
        <v>0</v>
      </c>
      <c r="K17" s="7">
        <f t="shared" si="41"/>
        <v>14274.58</v>
      </c>
      <c r="L17" s="43">
        <f t="shared" si="28"/>
        <v>0</v>
      </c>
      <c r="M17" s="28">
        <f t="shared" si="29"/>
        <v>0</v>
      </c>
      <c r="N17" s="7">
        <f t="shared" si="42"/>
        <v>3806.3649999999998</v>
      </c>
      <c r="O17" s="43">
        <f t="shared" si="30"/>
        <v>0</v>
      </c>
      <c r="P17" s="28">
        <f t="shared" si="31"/>
        <v>0</v>
      </c>
      <c r="Q17" s="7">
        <f t="shared" si="43"/>
        <v>5600.32</v>
      </c>
      <c r="R17" s="43">
        <f t="shared" si="32"/>
        <v>0</v>
      </c>
      <c r="S17" s="28">
        <f t="shared" si="33"/>
        <v>0</v>
      </c>
      <c r="T17" s="8">
        <f t="shared" si="36"/>
        <v>0</v>
      </c>
      <c r="U17" s="30">
        <f t="shared" si="34"/>
        <v>0</v>
      </c>
      <c r="W17" s="141">
        <v>44849</v>
      </c>
      <c r="X17" s="142">
        <f t="shared" si="44"/>
        <v>216127</v>
      </c>
      <c r="Y17" s="147">
        <f t="shared" si="21"/>
        <v>0</v>
      </c>
      <c r="Z17" s="142">
        <f t="shared" si="45"/>
        <v>10112</v>
      </c>
      <c r="AA17" s="147">
        <f t="shared" si="21"/>
        <v>0</v>
      </c>
      <c r="AB17" s="142">
        <f t="shared" si="35"/>
        <v>40</v>
      </c>
      <c r="AC17" s="147">
        <f t="shared" si="21"/>
        <v>0</v>
      </c>
      <c r="AD17" s="142">
        <f t="shared" si="37"/>
        <v>721</v>
      </c>
      <c r="AE17" s="147">
        <f t="shared" si="21"/>
        <v>0</v>
      </c>
      <c r="AF17" s="142">
        <f t="shared" si="46"/>
        <v>9433</v>
      </c>
      <c r="AG17" s="147">
        <f t="shared" si="21"/>
        <v>0</v>
      </c>
    </row>
    <row r="18" spans="1:33" ht="16.5" thickBot="1" x14ac:dyDescent="0.25">
      <c r="A18" s="9">
        <v>44850</v>
      </c>
      <c r="B18" s="144">
        <f t="shared" si="38"/>
        <v>25203.35</v>
      </c>
      <c r="C18" s="43">
        <f t="shared" si="22"/>
        <v>0</v>
      </c>
      <c r="D18" s="28">
        <f t="shared" si="23"/>
        <v>0</v>
      </c>
      <c r="E18" s="1">
        <f t="shared" si="39"/>
        <v>4598.9870000000001</v>
      </c>
      <c r="F18" s="43">
        <f t="shared" si="24"/>
        <v>0</v>
      </c>
      <c r="G18" s="28">
        <f t="shared" si="25"/>
        <v>0</v>
      </c>
      <c r="H18" s="1">
        <f t="shared" si="40"/>
        <v>6329</v>
      </c>
      <c r="I18" s="43">
        <f t="shared" si="26"/>
        <v>0</v>
      </c>
      <c r="J18" s="28">
        <f t="shared" si="27"/>
        <v>0</v>
      </c>
      <c r="K18" s="7">
        <f t="shared" si="41"/>
        <v>14274.58</v>
      </c>
      <c r="L18" s="43">
        <f t="shared" si="28"/>
        <v>0</v>
      </c>
      <c r="M18" s="28">
        <f t="shared" si="29"/>
        <v>0</v>
      </c>
      <c r="N18" s="7">
        <f t="shared" si="42"/>
        <v>3806.3649999999998</v>
      </c>
      <c r="O18" s="43">
        <f t="shared" si="30"/>
        <v>0</v>
      </c>
      <c r="P18" s="28">
        <f t="shared" si="31"/>
        <v>0</v>
      </c>
      <c r="Q18" s="7">
        <f t="shared" si="43"/>
        <v>5600.32</v>
      </c>
      <c r="R18" s="43">
        <f t="shared" si="32"/>
        <v>0</v>
      </c>
      <c r="S18" s="28">
        <f t="shared" si="33"/>
        <v>0</v>
      </c>
      <c r="T18" s="8">
        <f t="shared" si="36"/>
        <v>0</v>
      </c>
      <c r="U18" s="30">
        <f t="shared" si="34"/>
        <v>0</v>
      </c>
      <c r="W18" s="141">
        <v>44850</v>
      </c>
      <c r="X18" s="142">
        <f t="shared" si="44"/>
        <v>216127</v>
      </c>
      <c r="Y18" s="147">
        <f t="shared" si="21"/>
        <v>0</v>
      </c>
      <c r="Z18" s="142">
        <f t="shared" si="45"/>
        <v>10112</v>
      </c>
      <c r="AA18" s="147">
        <f t="shared" si="21"/>
        <v>0</v>
      </c>
      <c r="AB18" s="142">
        <f t="shared" si="35"/>
        <v>40</v>
      </c>
      <c r="AC18" s="147">
        <f t="shared" si="21"/>
        <v>0</v>
      </c>
      <c r="AD18" s="142">
        <f t="shared" si="37"/>
        <v>721</v>
      </c>
      <c r="AE18" s="147">
        <f t="shared" si="21"/>
        <v>0</v>
      </c>
      <c r="AF18" s="142">
        <f t="shared" si="46"/>
        <v>9433</v>
      </c>
      <c r="AG18" s="147">
        <f t="shared" si="21"/>
        <v>0</v>
      </c>
    </row>
    <row r="19" spans="1:33" ht="16.5" thickBot="1" x14ac:dyDescent="0.25">
      <c r="A19" s="9">
        <v>44851</v>
      </c>
      <c r="B19" s="144">
        <f t="shared" si="38"/>
        <v>25203.35</v>
      </c>
      <c r="C19" s="43">
        <f t="shared" si="22"/>
        <v>0</v>
      </c>
      <c r="D19" s="28">
        <f t="shared" si="23"/>
        <v>0</v>
      </c>
      <c r="E19" s="1">
        <f t="shared" si="39"/>
        <v>4598.9870000000001</v>
      </c>
      <c r="F19" s="43">
        <f t="shared" si="24"/>
        <v>0</v>
      </c>
      <c r="G19" s="28">
        <f t="shared" si="25"/>
        <v>0</v>
      </c>
      <c r="H19" s="1">
        <f t="shared" si="40"/>
        <v>6329</v>
      </c>
      <c r="I19" s="43">
        <f t="shared" si="26"/>
        <v>0</v>
      </c>
      <c r="J19" s="28">
        <f t="shared" si="27"/>
        <v>0</v>
      </c>
      <c r="K19" s="7">
        <f t="shared" si="41"/>
        <v>14274.58</v>
      </c>
      <c r="L19" s="43">
        <f t="shared" si="28"/>
        <v>0</v>
      </c>
      <c r="M19" s="28">
        <f t="shared" si="29"/>
        <v>0</v>
      </c>
      <c r="N19" s="7">
        <f t="shared" si="42"/>
        <v>3806.3649999999998</v>
      </c>
      <c r="O19" s="43">
        <f t="shared" si="30"/>
        <v>0</v>
      </c>
      <c r="P19" s="28">
        <f t="shared" si="31"/>
        <v>0</v>
      </c>
      <c r="Q19" s="7">
        <f t="shared" si="43"/>
        <v>5600.32</v>
      </c>
      <c r="R19" s="43">
        <f t="shared" si="32"/>
        <v>0</v>
      </c>
      <c r="S19" s="28">
        <f t="shared" si="33"/>
        <v>0</v>
      </c>
      <c r="T19" s="8">
        <f t="shared" si="36"/>
        <v>0</v>
      </c>
      <c r="U19" s="30">
        <f t="shared" si="34"/>
        <v>0</v>
      </c>
      <c r="W19" s="141">
        <v>44851</v>
      </c>
      <c r="X19" s="142">
        <f t="shared" si="44"/>
        <v>216127</v>
      </c>
      <c r="Y19" s="147">
        <f t="shared" si="21"/>
        <v>0</v>
      </c>
      <c r="Z19" s="142">
        <f t="shared" si="45"/>
        <v>10112</v>
      </c>
      <c r="AA19" s="147">
        <f t="shared" si="21"/>
        <v>0</v>
      </c>
      <c r="AB19" s="142">
        <f t="shared" si="35"/>
        <v>40</v>
      </c>
      <c r="AC19" s="147">
        <f t="shared" si="21"/>
        <v>0</v>
      </c>
      <c r="AD19" s="142">
        <f t="shared" si="37"/>
        <v>721</v>
      </c>
      <c r="AE19" s="147">
        <f t="shared" si="21"/>
        <v>0</v>
      </c>
      <c r="AF19" s="142">
        <f t="shared" si="46"/>
        <v>9433</v>
      </c>
      <c r="AG19" s="147">
        <f t="shared" si="21"/>
        <v>0</v>
      </c>
    </row>
    <row r="20" spans="1:33" ht="16.5" thickBot="1" x14ac:dyDescent="0.25">
      <c r="A20" s="9">
        <v>44852</v>
      </c>
      <c r="B20" s="144">
        <f t="shared" si="38"/>
        <v>25203.35</v>
      </c>
      <c r="C20" s="43">
        <f t="shared" si="22"/>
        <v>0</v>
      </c>
      <c r="D20" s="28">
        <f t="shared" si="23"/>
        <v>0</v>
      </c>
      <c r="E20" s="1">
        <f t="shared" si="39"/>
        <v>4598.9870000000001</v>
      </c>
      <c r="F20" s="43">
        <f t="shared" si="24"/>
        <v>0</v>
      </c>
      <c r="G20" s="28">
        <f t="shared" si="25"/>
        <v>0</v>
      </c>
      <c r="H20" s="1">
        <f t="shared" si="40"/>
        <v>6329</v>
      </c>
      <c r="I20" s="43">
        <f t="shared" si="26"/>
        <v>0</v>
      </c>
      <c r="J20" s="28">
        <f t="shared" si="27"/>
        <v>0</v>
      </c>
      <c r="K20" s="7">
        <f t="shared" si="41"/>
        <v>14274.58</v>
      </c>
      <c r="L20" s="43">
        <f t="shared" si="28"/>
        <v>0</v>
      </c>
      <c r="M20" s="28">
        <f t="shared" si="29"/>
        <v>0</v>
      </c>
      <c r="N20" s="7">
        <f t="shared" si="42"/>
        <v>3806.3649999999998</v>
      </c>
      <c r="O20" s="43">
        <f t="shared" si="30"/>
        <v>0</v>
      </c>
      <c r="P20" s="28">
        <f t="shared" si="31"/>
        <v>0</v>
      </c>
      <c r="Q20" s="7">
        <f t="shared" si="43"/>
        <v>5600.32</v>
      </c>
      <c r="R20" s="43">
        <f t="shared" si="32"/>
        <v>0</v>
      </c>
      <c r="S20" s="28">
        <f t="shared" si="33"/>
        <v>0</v>
      </c>
      <c r="T20" s="8">
        <f t="shared" si="36"/>
        <v>0</v>
      </c>
      <c r="U20" s="30">
        <f t="shared" si="34"/>
        <v>0</v>
      </c>
      <c r="W20" s="141">
        <v>44852</v>
      </c>
      <c r="X20" s="142">
        <f t="shared" si="44"/>
        <v>216127</v>
      </c>
      <c r="Y20" s="147">
        <f t="shared" si="21"/>
        <v>0</v>
      </c>
      <c r="Z20" s="142">
        <f t="shared" si="45"/>
        <v>10112</v>
      </c>
      <c r="AA20" s="147">
        <f t="shared" si="21"/>
        <v>0</v>
      </c>
      <c r="AB20" s="142">
        <f t="shared" si="35"/>
        <v>40</v>
      </c>
      <c r="AC20" s="147">
        <f t="shared" si="21"/>
        <v>0</v>
      </c>
      <c r="AD20" s="142">
        <f t="shared" si="37"/>
        <v>721</v>
      </c>
      <c r="AE20" s="147">
        <f t="shared" si="21"/>
        <v>0</v>
      </c>
      <c r="AF20" s="142">
        <f t="shared" si="46"/>
        <v>9433</v>
      </c>
      <c r="AG20" s="147">
        <f t="shared" si="21"/>
        <v>0</v>
      </c>
    </row>
    <row r="21" spans="1:33" ht="16.5" thickBot="1" x14ac:dyDescent="0.25">
      <c r="A21" s="9">
        <v>44853</v>
      </c>
      <c r="B21" s="144">
        <f t="shared" si="38"/>
        <v>25203.35</v>
      </c>
      <c r="C21" s="43">
        <f t="shared" si="22"/>
        <v>0</v>
      </c>
      <c r="D21" s="28">
        <f t="shared" si="23"/>
        <v>0</v>
      </c>
      <c r="E21" s="1">
        <f t="shared" si="39"/>
        <v>4598.9870000000001</v>
      </c>
      <c r="F21" s="43">
        <f t="shared" si="24"/>
        <v>0</v>
      </c>
      <c r="G21" s="28">
        <f t="shared" si="25"/>
        <v>0</v>
      </c>
      <c r="H21" s="1">
        <f t="shared" si="40"/>
        <v>6329</v>
      </c>
      <c r="I21" s="43">
        <f t="shared" si="26"/>
        <v>0</v>
      </c>
      <c r="J21" s="28">
        <f t="shared" si="27"/>
        <v>0</v>
      </c>
      <c r="K21" s="7">
        <f t="shared" si="41"/>
        <v>14274.58</v>
      </c>
      <c r="L21" s="43">
        <f t="shared" si="28"/>
        <v>0</v>
      </c>
      <c r="M21" s="28">
        <f t="shared" si="29"/>
        <v>0</v>
      </c>
      <c r="N21" s="7">
        <f t="shared" si="42"/>
        <v>3806.3649999999998</v>
      </c>
      <c r="O21" s="43">
        <f t="shared" si="30"/>
        <v>0</v>
      </c>
      <c r="P21" s="28">
        <f t="shared" si="31"/>
        <v>0</v>
      </c>
      <c r="Q21" s="7">
        <f t="shared" si="43"/>
        <v>5600.32</v>
      </c>
      <c r="R21" s="43">
        <f t="shared" si="32"/>
        <v>0</v>
      </c>
      <c r="S21" s="28">
        <f t="shared" si="33"/>
        <v>0</v>
      </c>
      <c r="T21" s="8">
        <f t="shared" si="36"/>
        <v>0</v>
      </c>
      <c r="U21" s="30">
        <f t="shared" si="34"/>
        <v>0</v>
      </c>
      <c r="W21" s="141">
        <v>44853</v>
      </c>
      <c r="X21" s="142">
        <f t="shared" si="44"/>
        <v>216127</v>
      </c>
      <c r="Y21" s="147">
        <f t="shared" si="21"/>
        <v>0</v>
      </c>
      <c r="Z21" s="142">
        <f t="shared" si="45"/>
        <v>10112</v>
      </c>
      <c r="AA21" s="147">
        <f t="shared" si="21"/>
        <v>0</v>
      </c>
      <c r="AB21" s="142">
        <f t="shared" si="35"/>
        <v>40</v>
      </c>
      <c r="AC21" s="147">
        <f t="shared" si="21"/>
        <v>0</v>
      </c>
      <c r="AD21" s="142">
        <f t="shared" si="37"/>
        <v>721</v>
      </c>
      <c r="AE21" s="147">
        <f t="shared" si="21"/>
        <v>0</v>
      </c>
      <c r="AF21" s="142">
        <f t="shared" si="46"/>
        <v>9433</v>
      </c>
      <c r="AG21" s="147">
        <f t="shared" si="21"/>
        <v>0</v>
      </c>
    </row>
    <row r="22" spans="1:33" ht="16.5" thickBot="1" x14ac:dyDescent="0.25">
      <c r="A22" s="9">
        <v>44854</v>
      </c>
      <c r="B22" s="144">
        <f t="shared" si="38"/>
        <v>25203.35</v>
      </c>
      <c r="C22" s="43">
        <f t="shared" si="22"/>
        <v>0</v>
      </c>
      <c r="D22" s="28">
        <f t="shared" si="23"/>
        <v>0</v>
      </c>
      <c r="E22" s="1">
        <f t="shared" si="39"/>
        <v>4598.9870000000001</v>
      </c>
      <c r="F22" s="43">
        <f t="shared" si="24"/>
        <v>0</v>
      </c>
      <c r="G22" s="28">
        <f t="shared" si="25"/>
        <v>0</v>
      </c>
      <c r="H22" s="1">
        <f t="shared" si="40"/>
        <v>6329</v>
      </c>
      <c r="I22" s="43">
        <f t="shared" si="26"/>
        <v>0</v>
      </c>
      <c r="J22" s="28">
        <f t="shared" si="27"/>
        <v>0</v>
      </c>
      <c r="K22" s="7">
        <f t="shared" si="41"/>
        <v>14274.58</v>
      </c>
      <c r="L22" s="43">
        <f t="shared" si="28"/>
        <v>0</v>
      </c>
      <c r="M22" s="28">
        <f t="shared" si="29"/>
        <v>0</v>
      </c>
      <c r="N22" s="7">
        <f t="shared" si="42"/>
        <v>3806.3649999999998</v>
      </c>
      <c r="O22" s="43">
        <f t="shared" si="30"/>
        <v>0</v>
      </c>
      <c r="P22" s="28">
        <f t="shared" si="31"/>
        <v>0</v>
      </c>
      <c r="Q22" s="7">
        <f t="shared" si="43"/>
        <v>5600.32</v>
      </c>
      <c r="R22" s="43">
        <f t="shared" si="32"/>
        <v>0</v>
      </c>
      <c r="S22" s="28">
        <f t="shared" si="33"/>
        <v>0</v>
      </c>
      <c r="T22" s="8">
        <f t="shared" si="36"/>
        <v>0</v>
      </c>
      <c r="U22" s="30">
        <f t="shared" si="34"/>
        <v>0</v>
      </c>
      <c r="W22" s="141">
        <v>44854</v>
      </c>
      <c r="X22" s="142">
        <f t="shared" si="44"/>
        <v>216127</v>
      </c>
      <c r="Y22" s="147">
        <f t="shared" si="21"/>
        <v>0</v>
      </c>
      <c r="Z22" s="142">
        <f t="shared" si="45"/>
        <v>10112</v>
      </c>
      <c r="AA22" s="147">
        <f t="shared" si="21"/>
        <v>0</v>
      </c>
      <c r="AB22" s="142">
        <f t="shared" si="35"/>
        <v>40</v>
      </c>
      <c r="AC22" s="147">
        <f t="shared" si="21"/>
        <v>0</v>
      </c>
      <c r="AD22" s="142">
        <f t="shared" si="37"/>
        <v>721</v>
      </c>
      <c r="AE22" s="147">
        <f t="shared" si="21"/>
        <v>0</v>
      </c>
      <c r="AF22" s="142">
        <f t="shared" si="46"/>
        <v>9433</v>
      </c>
      <c r="AG22" s="147">
        <f t="shared" si="21"/>
        <v>0</v>
      </c>
    </row>
    <row r="23" spans="1:33" ht="16.5" thickBot="1" x14ac:dyDescent="0.25">
      <c r="A23" s="9">
        <v>44855</v>
      </c>
      <c r="B23" s="144">
        <f t="shared" si="38"/>
        <v>25203.35</v>
      </c>
      <c r="C23" s="43">
        <f t="shared" si="22"/>
        <v>0</v>
      </c>
      <c r="D23" s="28">
        <f t="shared" si="23"/>
        <v>0</v>
      </c>
      <c r="E23" s="1">
        <f t="shared" si="39"/>
        <v>4598.9870000000001</v>
      </c>
      <c r="F23" s="43">
        <f t="shared" si="24"/>
        <v>0</v>
      </c>
      <c r="G23" s="28">
        <f t="shared" si="25"/>
        <v>0</v>
      </c>
      <c r="H23" s="1">
        <f t="shared" si="40"/>
        <v>6329</v>
      </c>
      <c r="I23" s="43">
        <f t="shared" si="26"/>
        <v>0</v>
      </c>
      <c r="J23" s="28">
        <f t="shared" si="27"/>
        <v>0</v>
      </c>
      <c r="K23" s="7">
        <f t="shared" si="41"/>
        <v>14274.58</v>
      </c>
      <c r="L23" s="43">
        <f t="shared" si="28"/>
        <v>0</v>
      </c>
      <c r="M23" s="28">
        <f t="shared" si="29"/>
        <v>0</v>
      </c>
      <c r="N23" s="7">
        <f t="shared" si="42"/>
        <v>3806.3649999999998</v>
      </c>
      <c r="O23" s="43">
        <f t="shared" si="30"/>
        <v>0</v>
      </c>
      <c r="P23" s="28">
        <f t="shared" si="31"/>
        <v>0</v>
      </c>
      <c r="Q23" s="7">
        <f t="shared" si="43"/>
        <v>5600.32</v>
      </c>
      <c r="R23" s="43">
        <f t="shared" si="32"/>
        <v>0</v>
      </c>
      <c r="S23" s="28">
        <f t="shared" si="33"/>
        <v>0</v>
      </c>
      <c r="T23" s="8">
        <f t="shared" si="36"/>
        <v>0</v>
      </c>
      <c r="U23" s="30">
        <f t="shared" si="34"/>
        <v>0</v>
      </c>
      <c r="W23" s="141">
        <v>44855</v>
      </c>
      <c r="X23" s="142">
        <f t="shared" si="44"/>
        <v>216127</v>
      </c>
      <c r="Y23" s="147">
        <f t="shared" si="21"/>
        <v>0</v>
      </c>
      <c r="Z23" s="142">
        <f t="shared" si="45"/>
        <v>10112</v>
      </c>
      <c r="AA23" s="147">
        <f t="shared" si="21"/>
        <v>0</v>
      </c>
      <c r="AB23" s="142">
        <f t="shared" si="35"/>
        <v>40</v>
      </c>
      <c r="AC23" s="147">
        <f t="shared" si="21"/>
        <v>0</v>
      </c>
      <c r="AD23" s="142">
        <f t="shared" si="37"/>
        <v>721</v>
      </c>
      <c r="AE23" s="147">
        <f t="shared" si="21"/>
        <v>0</v>
      </c>
      <c r="AF23" s="142">
        <f t="shared" si="46"/>
        <v>9433</v>
      </c>
      <c r="AG23" s="147">
        <f t="shared" si="21"/>
        <v>0</v>
      </c>
    </row>
    <row r="24" spans="1:33" ht="16.5" thickBot="1" x14ac:dyDescent="0.25">
      <c r="A24" s="9">
        <v>44856</v>
      </c>
      <c r="B24" s="144">
        <f t="shared" si="38"/>
        <v>25203.35</v>
      </c>
      <c r="C24" s="43">
        <f t="shared" si="22"/>
        <v>0</v>
      </c>
      <c r="D24" s="28">
        <f t="shared" si="23"/>
        <v>0</v>
      </c>
      <c r="E24" s="1">
        <f t="shared" si="39"/>
        <v>4598.9870000000001</v>
      </c>
      <c r="F24" s="43">
        <f t="shared" si="24"/>
        <v>0</v>
      </c>
      <c r="G24" s="28">
        <f t="shared" si="25"/>
        <v>0</v>
      </c>
      <c r="H24" s="1">
        <f t="shared" si="40"/>
        <v>6329</v>
      </c>
      <c r="I24" s="43">
        <f t="shared" si="26"/>
        <v>0</v>
      </c>
      <c r="J24" s="28">
        <f t="shared" si="27"/>
        <v>0</v>
      </c>
      <c r="K24" s="7">
        <f t="shared" si="41"/>
        <v>14274.58</v>
      </c>
      <c r="L24" s="43">
        <f t="shared" si="28"/>
        <v>0</v>
      </c>
      <c r="M24" s="28">
        <f t="shared" si="29"/>
        <v>0</v>
      </c>
      <c r="N24" s="7">
        <f t="shared" si="42"/>
        <v>3806.3649999999998</v>
      </c>
      <c r="O24" s="43">
        <f t="shared" si="30"/>
        <v>0</v>
      </c>
      <c r="P24" s="28">
        <f t="shared" si="31"/>
        <v>0</v>
      </c>
      <c r="Q24" s="7">
        <f t="shared" si="43"/>
        <v>5600.32</v>
      </c>
      <c r="R24" s="43">
        <f t="shared" si="32"/>
        <v>0</v>
      </c>
      <c r="S24" s="28">
        <f t="shared" si="33"/>
        <v>0</v>
      </c>
      <c r="T24" s="8">
        <f t="shared" si="36"/>
        <v>0</v>
      </c>
      <c r="U24" s="30">
        <f t="shared" si="34"/>
        <v>0</v>
      </c>
      <c r="W24" s="141">
        <v>44856</v>
      </c>
      <c r="X24" s="142">
        <f t="shared" si="44"/>
        <v>216127</v>
      </c>
      <c r="Y24" s="147">
        <f t="shared" si="21"/>
        <v>0</v>
      </c>
      <c r="Z24" s="142">
        <f t="shared" si="45"/>
        <v>10112</v>
      </c>
      <c r="AA24" s="147">
        <f t="shared" si="21"/>
        <v>0</v>
      </c>
      <c r="AB24" s="142">
        <f t="shared" si="35"/>
        <v>40</v>
      </c>
      <c r="AC24" s="147">
        <f t="shared" si="21"/>
        <v>0</v>
      </c>
      <c r="AD24" s="142">
        <f t="shared" si="37"/>
        <v>721</v>
      </c>
      <c r="AE24" s="147">
        <f t="shared" si="21"/>
        <v>0</v>
      </c>
      <c r="AF24" s="142">
        <f t="shared" si="46"/>
        <v>9433</v>
      </c>
      <c r="AG24" s="147">
        <f t="shared" si="21"/>
        <v>0</v>
      </c>
    </row>
    <row r="25" spans="1:33" ht="16.5" thickBot="1" x14ac:dyDescent="0.25">
      <c r="A25" s="9">
        <v>44857</v>
      </c>
      <c r="B25" s="144">
        <f t="shared" si="38"/>
        <v>25203.35</v>
      </c>
      <c r="C25" s="43">
        <f t="shared" si="22"/>
        <v>0</v>
      </c>
      <c r="D25" s="28">
        <f t="shared" si="23"/>
        <v>0</v>
      </c>
      <c r="E25" s="1">
        <f t="shared" si="39"/>
        <v>4598.9870000000001</v>
      </c>
      <c r="F25" s="43">
        <f t="shared" si="24"/>
        <v>0</v>
      </c>
      <c r="G25" s="28">
        <f t="shared" si="25"/>
        <v>0</v>
      </c>
      <c r="H25" s="1">
        <f t="shared" si="40"/>
        <v>6329</v>
      </c>
      <c r="I25" s="43">
        <f t="shared" si="26"/>
        <v>0</v>
      </c>
      <c r="J25" s="28">
        <f t="shared" si="27"/>
        <v>0</v>
      </c>
      <c r="K25" s="7">
        <f t="shared" si="41"/>
        <v>14274.58</v>
      </c>
      <c r="L25" s="43">
        <f t="shared" si="28"/>
        <v>0</v>
      </c>
      <c r="M25" s="28">
        <f t="shared" si="29"/>
        <v>0</v>
      </c>
      <c r="N25" s="7">
        <f t="shared" si="42"/>
        <v>3806.3649999999998</v>
      </c>
      <c r="O25" s="43">
        <f t="shared" si="30"/>
        <v>0</v>
      </c>
      <c r="P25" s="28">
        <f t="shared" si="31"/>
        <v>0</v>
      </c>
      <c r="Q25" s="7">
        <f t="shared" si="43"/>
        <v>5600.32</v>
      </c>
      <c r="R25" s="43">
        <f t="shared" si="32"/>
        <v>0</v>
      </c>
      <c r="S25" s="28">
        <f t="shared" si="33"/>
        <v>0</v>
      </c>
      <c r="T25" s="8">
        <f t="shared" si="36"/>
        <v>0</v>
      </c>
      <c r="U25" s="30">
        <f t="shared" si="34"/>
        <v>0</v>
      </c>
      <c r="W25" s="141">
        <v>44857</v>
      </c>
      <c r="X25" s="142">
        <f t="shared" si="44"/>
        <v>216127</v>
      </c>
      <c r="Y25" s="147">
        <f t="shared" si="21"/>
        <v>0</v>
      </c>
      <c r="Z25" s="142">
        <f t="shared" si="45"/>
        <v>10112</v>
      </c>
      <c r="AA25" s="147">
        <f t="shared" si="21"/>
        <v>0</v>
      </c>
      <c r="AB25" s="142">
        <f t="shared" si="35"/>
        <v>40</v>
      </c>
      <c r="AC25" s="147">
        <f t="shared" si="21"/>
        <v>0</v>
      </c>
      <c r="AD25" s="142">
        <f t="shared" si="37"/>
        <v>721</v>
      </c>
      <c r="AE25" s="147">
        <f t="shared" si="21"/>
        <v>0</v>
      </c>
      <c r="AF25" s="142">
        <f t="shared" si="46"/>
        <v>9433</v>
      </c>
      <c r="AG25" s="147">
        <f t="shared" si="21"/>
        <v>0</v>
      </c>
    </row>
    <row r="26" spans="1:33" ht="16.5" thickBot="1" x14ac:dyDescent="0.25">
      <c r="A26" s="9">
        <v>44858</v>
      </c>
      <c r="B26" s="144">
        <f t="shared" si="38"/>
        <v>25203.35</v>
      </c>
      <c r="C26" s="43">
        <f t="shared" si="22"/>
        <v>0</v>
      </c>
      <c r="D26" s="28">
        <f t="shared" si="23"/>
        <v>0</v>
      </c>
      <c r="E26" s="1">
        <f t="shared" si="39"/>
        <v>4598.9870000000001</v>
      </c>
      <c r="F26" s="43">
        <f t="shared" si="24"/>
        <v>0</v>
      </c>
      <c r="G26" s="28">
        <f t="shared" si="25"/>
        <v>0</v>
      </c>
      <c r="H26" s="1">
        <f t="shared" si="40"/>
        <v>6329</v>
      </c>
      <c r="I26" s="43">
        <f t="shared" si="26"/>
        <v>0</v>
      </c>
      <c r="J26" s="28">
        <f t="shared" si="27"/>
        <v>0</v>
      </c>
      <c r="K26" s="7">
        <f t="shared" si="41"/>
        <v>14274.58</v>
      </c>
      <c r="L26" s="43">
        <f>IF((K26-K25)&lt;0,"0",(K26-K25))</f>
        <v>0</v>
      </c>
      <c r="M26" s="28">
        <f t="shared" si="29"/>
        <v>0</v>
      </c>
      <c r="N26" s="7">
        <f t="shared" si="42"/>
        <v>3806.3649999999998</v>
      </c>
      <c r="O26" s="43">
        <f t="shared" si="30"/>
        <v>0</v>
      </c>
      <c r="P26" s="28">
        <f t="shared" si="31"/>
        <v>0</v>
      </c>
      <c r="Q26" s="7">
        <f t="shared" si="43"/>
        <v>5600.32</v>
      </c>
      <c r="R26" s="43">
        <f t="shared" si="32"/>
        <v>0</v>
      </c>
      <c r="S26" s="28">
        <f t="shared" si="33"/>
        <v>0</v>
      </c>
      <c r="T26" s="8">
        <f t="shared" si="36"/>
        <v>0</v>
      </c>
      <c r="U26" s="30">
        <f t="shared" si="34"/>
        <v>0</v>
      </c>
      <c r="V26" t="s">
        <v>12</v>
      </c>
      <c r="W26" s="141">
        <v>44858</v>
      </c>
      <c r="X26" s="142">
        <f t="shared" si="44"/>
        <v>216127</v>
      </c>
      <c r="Y26" s="147">
        <f t="shared" si="21"/>
        <v>0</v>
      </c>
      <c r="Z26" s="142">
        <f t="shared" si="45"/>
        <v>10112</v>
      </c>
      <c r="AA26" s="147">
        <f t="shared" si="21"/>
        <v>0</v>
      </c>
      <c r="AB26" s="142">
        <f t="shared" si="35"/>
        <v>40</v>
      </c>
      <c r="AC26" s="147">
        <f t="shared" si="21"/>
        <v>0</v>
      </c>
      <c r="AD26" s="142">
        <f t="shared" si="37"/>
        <v>721</v>
      </c>
      <c r="AE26" s="147">
        <f t="shared" si="21"/>
        <v>0</v>
      </c>
      <c r="AF26" s="142">
        <f t="shared" si="46"/>
        <v>9433</v>
      </c>
      <c r="AG26" s="147">
        <f t="shared" si="21"/>
        <v>0</v>
      </c>
    </row>
    <row r="27" spans="1:33" ht="16.5" thickBot="1" x14ac:dyDescent="0.25">
      <c r="A27" s="9">
        <v>44859</v>
      </c>
      <c r="B27" s="144">
        <f t="shared" si="38"/>
        <v>25203.35</v>
      </c>
      <c r="C27" s="43">
        <f t="shared" si="22"/>
        <v>0</v>
      </c>
      <c r="D27" s="28">
        <f t="shared" si="23"/>
        <v>0</v>
      </c>
      <c r="E27" s="1">
        <f t="shared" si="39"/>
        <v>4598.9870000000001</v>
      </c>
      <c r="F27" s="43">
        <f t="shared" si="24"/>
        <v>0</v>
      </c>
      <c r="G27" s="28">
        <f t="shared" si="25"/>
        <v>0</v>
      </c>
      <c r="H27" s="1">
        <f t="shared" si="40"/>
        <v>6329</v>
      </c>
      <c r="I27" s="43">
        <f t="shared" si="26"/>
        <v>0</v>
      </c>
      <c r="J27" s="28">
        <f t="shared" si="27"/>
        <v>0</v>
      </c>
      <c r="K27" s="7">
        <f t="shared" si="41"/>
        <v>14274.58</v>
      </c>
      <c r="L27" s="43">
        <f t="shared" si="28"/>
        <v>0</v>
      </c>
      <c r="M27" s="28">
        <f t="shared" si="29"/>
        <v>0</v>
      </c>
      <c r="N27" s="7">
        <f t="shared" si="42"/>
        <v>3806.3649999999998</v>
      </c>
      <c r="O27" s="43">
        <f t="shared" si="30"/>
        <v>0</v>
      </c>
      <c r="P27" s="28">
        <f t="shared" si="31"/>
        <v>0</v>
      </c>
      <c r="Q27" s="7">
        <f t="shared" si="43"/>
        <v>5600.32</v>
      </c>
      <c r="R27" s="43">
        <f t="shared" si="32"/>
        <v>0</v>
      </c>
      <c r="S27" s="28">
        <f t="shared" si="33"/>
        <v>0</v>
      </c>
      <c r="T27" s="8">
        <f t="shared" si="36"/>
        <v>0</v>
      </c>
      <c r="U27" s="30">
        <f t="shared" si="34"/>
        <v>0</v>
      </c>
      <c r="V27" t="s">
        <v>12</v>
      </c>
      <c r="W27" s="141">
        <v>44859</v>
      </c>
      <c r="X27" s="142">
        <f t="shared" si="44"/>
        <v>216127</v>
      </c>
      <c r="Y27" s="147">
        <f t="shared" si="21"/>
        <v>0</v>
      </c>
      <c r="Z27" s="142">
        <f t="shared" si="45"/>
        <v>10112</v>
      </c>
      <c r="AA27" s="147">
        <f t="shared" si="21"/>
        <v>0</v>
      </c>
      <c r="AB27" s="142">
        <f t="shared" si="35"/>
        <v>40</v>
      </c>
      <c r="AC27" s="147">
        <f t="shared" si="21"/>
        <v>0</v>
      </c>
      <c r="AD27" s="142">
        <f t="shared" si="37"/>
        <v>721</v>
      </c>
      <c r="AE27" s="147">
        <f t="shared" si="21"/>
        <v>0</v>
      </c>
      <c r="AF27" s="142">
        <f t="shared" si="46"/>
        <v>9433</v>
      </c>
      <c r="AG27" s="147">
        <f t="shared" si="21"/>
        <v>0</v>
      </c>
    </row>
    <row r="28" spans="1:33" ht="16.5" thickBot="1" x14ac:dyDescent="0.25">
      <c r="A28" s="9">
        <v>44860</v>
      </c>
      <c r="B28" s="144">
        <f t="shared" si="38"/>
        <v>25203.35</v>
      </c>
      <c r="C28" s="43">
        <f t="shared" si="22"/>
        <v>0</v>
      </c>
      <c r="D28" s="28">
        <f t="shared" si="23"/>
        <v>0</v>
      </c>
      <c r="E28" s="1">
        <f t="shared" si="39"/>
        <v>4598.9870000000001</v>
      </c>
      <c r="F28" s="43">
        <f t="shared" si="24"/>
        <v>0</v>
      </c>
      <c r="G28" s="28">
        <f t="shared" si="25"/>
        <v>0</v>
      </c>
      <c r="H28" s="1">
        <f t="shared" si="40"/>
        <v>6329</v>
      </c>
      <c r="I28" s="43">
        <f t="shared" si="26"/>
        <v>0</v>
      </c>
      <c r="J28" s="28">
        <f t="shared" si="27"/>
        <v>0</v>
      </c>
      <c r="K28" s="7">
        <f t="shared" si="41"/>
        <v>14274.58</v>
      </c>
      <c r="L28" s="43">
        <f t="shared" si="28"/>
        <v>0</v>
      </c>
      <c r="M28" s="28">
        <f t="shared" si="29"/>
        <v>0</v>
      </c>
      <c r="N28" s="7">
        <f t="shared" si="42"/>
        <v>3806.3649999999998</v>
      </c>
      <c r="O28" s="43">
        <f t="shared" si="30"/>
        <v>0</v>
      </c>
      <c r="P28" s="28">
        <f t="shared" si="31"/>
        <v>0</v>
      </c>
      <c r="Q28" s="7">
        <f t="shared" si="43"/>
        <v>5600.32</v>
      </c>
      <c r="R28" s="43">
        <f t="shared" si="32"/>
        <v>0</v>
      </c>
      <c r="S28" s="28">
        <f t="shared" si="33"/>
        <v>0</v>
      </c>
      <c r="T28" s="8">
        <f t="shared" si="36"/>
        <v>0</v>
      </c>
      <c r="U28" s="30">
        <f t="shared" si="34"/>
        <v>0</v>
      </c>
      <c r="W28" s="141">
        <v>44860</v>
      </c>
      <c r="X28" s="142">
        <f t="shared" si="44"/>
        <v>216127</v>
      </c>
      <c r="Y28" s="147">
        <f t="shared" si="21"/>
        <v>0</v>
      </c>
      <c r="Z28" s="142">
        <f t="shared" si="45"/>
        <v>10112</v>
      </c>
      <c r="AA28" s="147">
        <f t="shared" si="21"/>
        <v>0</v>
      </c>
      <c r="AB28" s="142">
        <f t="shared" si="35"/>
        <v>40</v>
      </c>
      <c r="AC28" s="147">
        <f t="shared" si="21"/>
        <v>0</v>
      </c>
      <c r="AD28" s="142">
        <f t="shared" si="37"/>
        <v>721</v>
      </c>
      <c r="AE28" s="147">
        <f t="shared" si="21"/>
        <v>0</v>
      </c>
      <c r="AF28" s="142">
        <f t="shared" si="46"/>
        <v>9433</v>
      </c>
      <c r="AG28" s="147">
        <f t="shared" si="21"/>
        <v>0</v>
      </c>
    </row>
    <row r="29" spans="1:33" ht="16.5" thickBot="1" x14ac:dyDescent="0.25">
      <c r="A29" s="9">
        <v>44861</v>
      </c>
      <c r="B29" s="144">
        <f t="shared" si="38"/>
        <v>25203.35</v>
      </c>
      <c r="C29" s="43">
        <f t="shared" si="22"/>
        <v>0</v>
      </c>
      <c r="D29" s="28">
        <f t="shared" si="23"/>
        <v>0</v>
      </c>
      <c r="E29" s="1">
        <f t="shared" si="39"/>
        <v>4598.9870000000001</v>
      </c>
      <c r="F29" s="43">
        <f t="shared" si="24"/>
        <v>0</v>
      </c>
      <c r="G29" s="28">
        <f t="shared" si="25"/>
        <v>0</v>
      </c>
      <c r="H29" s="1">
        <f t="shared" si="40"/>
        <v>6329</v>
      </c>
      <c r="I29" s="43">
        <f t="shared" si="26"/>
        <v>0</v>
      </c>
      <c r="J29" s="28">
        <f t="shared" si="27"/>
        <v>0</v>
      </c>
      <c r="K29" s="7">
        <f t="shared" si="41"/>
        <v>14274.58</v>
      </c>
      <c r="L29" s="43">
        <f t="shared" si="28"/>
        <v>0</v>
      </c>
      <c r="M29" s="28">
        <f t="shared" si="29"/>
        <v>0</v>
      </c>
      <c r="N29" s="7">
        <f t="shared" si="42"/>
        <v>3806.3649999999998</v>
      </c>
      <c r="O29" s="43">
        <f t="shared" si="30"/>
        <v>0</v>
      </c>
      <c r="P29" s="28">
        <f t="shared" si="31"/>
        <v>0</v>
      </c>
      <c r="Q29" s="7">
        <f t="shared" si="43"/>
        <v>5600.32</v>
      </c>
      <c r="R29" s="43">
        <f t="shared" si="32"/>
        <v>0</v>
      </c>
      <c r="S29" s="28">
        <f t="shared" si="33"/>
        <v>0</v>
      </c>
      <c r="T29" s="8">
        <f t="shared" si="36"/>
        <v>0</v>
      </c>
      <c r="U29" s="30">
        <f t="shared" si="34"/>
        <v>0</v>
      </c>
      <c r="W29" s="141">
        <v>44861</v>
      </c>
      <c r="X29" s="142">
        <f t="shared" si="44"/>
        <v>216127</v>
      </c>
      <c r="Y29" s="147">
        <f t="shared" si="21"/>
        <v>0</v>
      </c>
      <c r="Z29" s="142">
        <f t="shared" si="45"/>
        <v>10112</v>
      </c>
      <c r="AA29" s="147">
        <f t="shared" si="21"/>
        <v>0</v>
      </c>
      <c r="AB29" s="142">
        <f t="shared" si="35"/>
        <v>40</v>
      </c>
      <c r="AC29" s="147">
        <f t="shared" si="21"/>
        <v>0</v>
      </c>
      <c r="AD29" s="142">
        <f t="shared" si="37"/>
        <v>721</v>
      </c>
      <c r="AE29" s="147">
        <f t="shared" si="21"/>
        <v>0</v>
      </c>
      <c r="AF29" s="142">
        <f t="shared" si="46"/>
        <v>9433</v>
      </c>
      <c r="AG29" s="147">
        <f t="shared" si="21"/>
        <v>0</v>
      </c>
    </row>
    <row r="30" spans="1:33" ht="16.5" thickBot="1" x14ac:dyDescent="0.25">
      <c r="A30" s="9">
        <v>44862</v>
      </c>
      <c r="B30" s="144">
        <f t="shared" si="38"/>
        <v>25203.35</v>
      </c>
      <c r="C30" s="43">
        <f t="shared" si="22"/>
        <v>0</v>
      </c>
      <c r="D30" s="28">
        <f t="shared" si="23"/>
        <v>0</v>
      </c>
      <c r="E30" s="1">
        <f t="shared" si="39"/>
        <v>4598.9870000000001</v>
      </c>
      <c r="F30" s="43">
        <f t="shared" si="24"/>
        <v>0</v>
      </c>
      <c r="G30" s="28">
        <f t="shared" si="25"/>
        <v>0</v>
      </c>
      <c r="H30" s="1">
        <f t="shared" si="40"/>
        <v>6329</v>
      </c>
      <c r="I30" s="43">
        <f t="shared" si="26"/>
        <v>0</v>
      </c>
      <c r="J30" s="28">
        <f t="shared" si="27"/>
        <v>0</v>
      </c>
      <c r="K30" s="7">
        <f t="shared" si="41"/>
        <v>14274.58</v>
      </c>
      <c r="L30" s="43">
        <f t="shared" si="28"/>
        <v>0</v>
      </c>
      <c r="M30" s="28">
        <f t="shared" si="29"/>
        <v>0</v>
      </c>
      <c r="N30" s="7">
        <f t="shared" si="42"/>
        <v>3806.3649999999998</v>
      </c>
      <c r="O30" s="43">
        <f t="shared" si="30"/>
        <v>0</v>
      </c>
      <c r="P30" s="28">
        <f t="shared" si="31"/>
        <v>0</v>
      </c>
      <c r="Q30" s="7">
        <f t="shared" si="43"/>
        <v>5600.32</v>
      </c>
      <c r="R30" s="43">
        <f t="shared" si="32"/>
        <v>0</v>
      </c>
      <c r="S30" s="28">
        <f t="shared" si="33"/>
        <v>0</v>
      </c>
      <c r="T30" s="8">
        <f t="shared" si="36"/>
        <v>0</v>
      </c>
      <c r="U30" s="30">
        <f t="shared" si="34"/>
        <v>0</v>
      </c>
      <c r="W30" s="141">
        <v>44862</v>
      </c>
      <c r="X30" s="142">
        <f t="shared" si="44"/>
        <v>216127</v>
      </c>
      <c r="Y30" s="147">
        <f t="shared" si="21"/>
        <v>0</v>
      </c>
      <c r="Z30" s="142">
        <f t="shared" si="45"/>
        <v>10112</v>
      </c>
      <c r="AA30" s="147">
        <f t="shared" si="21"/>
        <v>0</v>
      </c>
      <c r="AB30" s="142">
        <f t="shared" si="35"/>
        <v>40</v>
      </c>
      <c r="AC30" s="147">
        <f t="shared" si="21"/>
        <v>0</v>
      </c>
      <c r="AD30" s="142">
        <f t="shared" si="37"/>
        <v>721</v>
      </c>
      <c r="AE30" s="147">
        <f t="shared" si="21"/>
        <v>0</v>
      </c>
      <c r="AF30" s="142">
        <f t="shared" si="46"/>
        <v>9433</v>
      </c>
      <c r="AG30" s="147">
        <f t="shared" si="21"/>
        <v>0</v>
      </c>
    </row>
    <row r="31" spans="1:33" ht="16.5" thickBot="1" x14ac:dyDescent="0.25">
      <c r="A31" s="9">
        <v>44863</v>
      </c>
      <c r="B31" s="144">
        <f t="shared" si="38"/>
        <v>25203.35</v>
      </c>
      <c r="C31" s="43">
        <f t="shared" si="22"/>
        <v>0</v>
      </c>
      <c r="D31" s="28">
        <f t="shared" si="23"/>
        <v>0</v>
      </c>
      <c r="E31" s="1">
        <f t="shared" si="39"/>
        <v>4598.9870000000001</v>
      </c>
      <c r="F31" s="43">
        <f t="shared" si="24"/>
        <v>0</v>
      </c>
      <c r="G31" s="28">
        <f t="shared" si="25"/>
        <v>0</v>
      </c>
      <c r="H31" s="1">
        <f t="shared" si="40"/>
        <v>6329</v>
      </c>
      <c r="I31" s="43">
        <f t="shared" si="26"/>
        <v>0</v>
      </c>
      <c r="J31" s="28">
        <f t="shared" si="27"/>
        <v>0</v>
      </c>
      <c r="K31" s="7">
        <f t="shared" si="41"/>
        <v>14274.58</v>
      </c>
      <c r="L31" s="43">
        <f t="shared" si="28"/>
        <v>0</v>
      </c>
      <c r="M31" s="28">
        <f t="shared" si="29"/>
        <v>0</v>
      </c>
      <c r="N31" s="7">
        <f t="shared" si="42"/>
        <v>3806.3649999999998</v>
      </c>
      <c r="O31" s="43">
        <f t="shared" si="30"/>
        <v>0</v>
      </c>
      <c r="P31" s="28">
        <f t="shared" si="31"/>
        <v>0</v>
      </c>
      <c r="Q31" s="7">
        <f t="shared" si="43"/>
        <v>5600.32</v>
      </c>
      <c r="R31" s="43">
        <f t="shared" si="32"/>
        <v>0</v>
      </c>
      <c r="S31" s="28">
        <f t="shared" si="33"/>
        <v>0</v>
      </c>
      <c r="T31" s="8">
        <f t="shared" si="36"/>
        <v>0</v>
      </c>
      <c r="U31" s="30">
        <f t="shared" si="34"/>
        <v>0</v>
      </c>
      <c r="W31" s="141">
        <v>44863</v>
      </c>
      <c r="X31" s="142">
        <f t="shared" si="44"/>
        <v>216127</v>
      </c>
      <c r="Y31" s="147">
        <f t="shared" si="21"/>
        <v>0</v>
      </c>
      <c r="Z31" s="142">
        <f t="shared" si="45"/>
        <v>10112</v>
      </c>
      <c r="AA31" s="147">
        <f t="shared" si="21"/>
        <v>0</v>
      </c>
      <c r="AB31" s="142">
        <f t="shared" si="35"/>
        <v>40</v>
      </c>
      <c r="AC31" s="147">
        <f t="shared" si="21"/>
        <v>0</v>
      </c>
      <c r="AD31" s="142">
        <f t="shared" si="37"/>
        <v>721</v>
      </c>
      <c r="AE31" s="147">
        <f t="shared" si="21"/>
        <v>0</v>
      </c>
      <c r="AF31" s="142">
        <f t="shared" si="46"/>
        <v>9433</v>
      </c>
      <c r="AG31" s="147">
        <f t="shared" si="21"/>
        <v>0</v>
      </c>
    </row>
    <row r="32" spans="1:33" ht="16.5" thickBot="1" x14ac:dyDescent="0.25">
      <c r="A32" s="9">
        <v>44864</v>
      </c>
      <c r="B32" s="144">
        <f t="shared" si="38"/>
        <v>25203.35</v>
      </c>
      <c r="C32" s="43">
        <f t="shared" si="22"/>
        <v>0</v>
      </c>
      <c r="D32" s="28">
        <f t="shared" si="23"/>
        <v>0</v>
      </c>
      <c r="E32" s="1">
        <f t="shared" si="39"/>
        <v>4598.9870000000001</v>
      </c>
      <c r="F32" s="43">
        <f t="shared" si="24"/>
        <v>0</v>
      </c>
      <c r="G32" s="28">
        <f t="shared" si="25"/>
        <v>0</v>
      </c>
      <c r="H32" s="1">
        <f t="shared" si="40"/>
        <v>6329</v>
      </c>
      <c r="I32" s="43">
        <f t="shared" si="26"/>
        <v>0</v>
      </c>
      <c r="J32" s="28">
        <f t="shared" si="27"/>
        <v>0</v>
      </c>
      <c r="K32" s="7">
        <f t="shared" si="41"/>
        <v>14274.58</v>
      </c>
      <c r="L32" s="43">
        <f t="shared" si="28"/>
        <v>0</v>
      </c>
      <c r="M32" s="28">
        <f t="shared" si="29"/>
        <v>0</v>
      </c>
      <c r="N32" s="7">
        <f t="shared" si="42"/>
        <v>3806.3649999999998</v>
      </c>
      <c r="O32" s="43">
        <f t="shared" si="30"/>
        <v>0</v>
      </c>
      <c r="P32" s="28">
        <f t="shared" si="31"/>
        <v>0</v>
      </c>
      <c r="Q32" s="7">
        <f t="shared" si="43"/>
        <v>5600.32</v>
      </c>
      <c r="R32" s="43">
        <f t="shared" si="32"/>
        <v>0</v>
      </c>
      <c r="S32" s="28">
        <f t="shared" si="33"/>
        <v>0</v>
      </c>
      <c r="T32" s="8">
        <f t="shared" si="36"/>
        <v>0</v>
      </c>
      <c r="U32" s="30">
        <f t="shared" si="34"/>
        <v>0</v>
      </c>
      <c r="W32" s="141">
        <v>44864</v>
      </c>
      <c r="X32" s="142">
        <f t="shared" si="44"/>
        <v>216127</v>
      </c>
      <c r="Y32" s="147">
        <f t="shared" ref="Y32:Y33" si="60">IF((X32-X31)&lt;0,"0",(X32-X31))</f>
        <v>0</v>
      </c>
      <c r="Z32" s="142">
        <f t="shared" si="45"/>
        <v>10112</v>
      </c>
      <c r="AA32" s="147">
        <f t="shared" ref="AA32:AA33" si="61">IF((Z32-Z31)&lt;0,"0",(Z32-Z31))</f>
        <v>0</v>
      </c>
      <c r="AB32" s="142">
        <f t="shared" si="35"/>
        <v>40</v>
      </c>
      <c r="AC32" s="147">
        <f t="shared" ref="AC32:AC33" si="62">IF((AB32-AB31)&lt;0,"0",(AB32-AB31))</f>
        <v>0</v>
      </c>
      <c r="AD32" s="142">
        <f t="shared" si="37"/>
        <v>721</v>
      </c>
      <c r="AE32" s="147">
        <f t="shared" ref="AE32:AE33" si="63">IF((AD32-AD31)&lt;0,"0",(AD32-AD31))</f>
        <v>0</v>
      </c>
      <c r="AF32" s="142">
        <f t="shared" si="46"/>
        <v>9433</v>
      </c>
      <c r="AG32" s="147">
        <f t="shared" ref="AG32:AG33" si="64">IF((AF32-AF31)&lt;0,"0",(AF32-AF31))</f>
        <v>0</v>
      </c>
    </row>
    <row r="33" spans="1:33" s="22" customFormat="1" ht="16.5" thickBot="1" x14ac:dyDescent="0.25">
      <c r="A33" s="9">
        <v>44865</v>
      </c>
      <c r="B33" s="144">
        <f t="shared" si="38"/>
        <v>25203.35</v>
      </c>
      <c r="C33" s="43">
        <f t="shared" si="22"/>
        <v>0</v>
      </c>
      <c r="D33" s="28">
        <f t="shared" si="23"/>
        <v>0</v>
      </c>
      <c r="E33" s="1">
        <f t="shared" si="39"/>
        <v>4598.9870000000001</v>
      </c>
      <c r="F33" s="43">
        <f t="shared" si="24"/>
        <v>0</v>
      </c>
      <c r="G33" s="28">
        <f t="shared" si="25"/>
        <v>0</v>
      </c>
      <c r="H33" s="1">
        <f t="shared" si="40"/>
        <v>6329</v>
      </c>
      <c r="I33" s="43">
        <f t="shared" si="26"/>
        <v>0</v>
      </c>
      <c r="J33" s="28">
        <f t="shared" si="27"/>
        <v>0</v>
      </c>
      <c r="K33" s="7">
        <f t="shared" si="41"/>
        <v>14274.58</v>
      </c>
      <c r="L33" s="43">
        <f t="shared" si="28"/>
        <v>0</v>
      </c>
      <c r="M33" s="28">
        <f t="shared" si="29"/>
        <v>0</v>
      </c>
      <c r="N33" s="7">
        <f t="shared" si="42"/>
        <v>3806.3649999999998</v>
      </c>
      <c r="O33" s="43">
        <f t="shared" si="30"/>
        <v>0</v>
      </c>
      <c r="P33" s="28">
        <f t="shared" si="31"/>
        <v>0</v>
      </c>
      <c r="Q33" s="7">
        <f t="shared" si="43"/>
        <v>5600.32</v>
      </c>
      <c r="R33" s="43">
        <f t="shared" si="32"/>
        <v>0</v>
      </c>
      <c r="S33" s="28">
        <f t="shared" si="33"/>
        <v>0</v>
      </c>
      <c r="T33" s="8">
        <f t="shared" si="36"/>
        <v>0</v>
      </c>
      <c r="U33" s="30">
        <f t="shared" si="34"/>
        <v>0</v>
      </c>
      <c r="V33"/>
      <c r="W33" s="141">
        <v>44865</v>
      </c>
      <c r="X33" s="142">
        <f t="shared" si="44"/>
        <v>216127</v>
      </c>
      <c r="Y33" s="147">
        <f t="shared" si="60"/>
        <v>0</v>
      </c>
      <c r="Z33" s="142">
        <f t="shared" si="45"/>
        <v>10112</v>
      </c>
      <c r="AA33" s="147">
        <f t="shared" si="61"/>
        <v>0</v>
      </c>
      <c r="AB33" s="142">
        <f t="shared" si="35"/>
        <v>40</v>
      </c>
      <c r="AC33" s="147">
        <f t="shared" si="62"/>
        <v>0</v>
      </c>
      <c r="AD33" s="142">
        <f t="shared" si="37"/>
        <v>721</v>
      </c>
      <c r="AE33" s="147">
        <f t="shared" si="63"/>
        <v>0</v>
      </c>
      <c r="AF33" s="142">
        <f t="shared" si="46"/>
        <v>9433</v>
      </c>
      <c r="AG33" s="147">
        <f t="shared" si="64"/>
        <v>0</v>
      </c>
    </row>
    <row r="34" spans="1:33" s="22" customFormat="1" ht="15.75" thickBot="1" x14ac:dyDescent="0.25">
      <c r="A34" s="145" t="s">
        <v>23</v>
      </c>
      <c r="B34" s="145"/>
      <c r="C34" s="124">
        <f>SUM(C3:C33)</f>
        <v>106.22099999999773</v>
      </c>
      <c r="D34" s="124">
        <f>SUM(D4:D33)</f>
        <v>176549.89999999705</v>
      </c>
      <c r="E34" s="124"/>
      <c r="F34" s="124">
        <f>SUM(F3:F33)</f>
        <v>23.911000000000058</v>
      </c>
      <c r="G34" s="124">
        <f>SUM(G4:G33)</f>
        <v>41404.800000000701</v>
      </c>
      <c r="H34" s="124"/>
      <c r="I34" s="124">
        <f>SUM(I3:I33)</f>
        <v>79</v>
      </c>
      <c r="J34" s="124">
        <f>SUM(J4:J33)</f>
        <v>131100</v>
      </c>
      <c r="K34" s="124"/>
      <c r="L34" s="124">
        <f>SUM(L3:L33)</f>
        <v>15.680000000000291</v>
      </c>
      <c r="M34" s="124">
        <f>SUM(M4:M33)</f>
        <v>26163.000000000829</v>
      </c>
      <c r="N34" s="124"/>
      <c r="O34" s="124">
        <f>SUM(O3:O33)</f>
        <v>23.436999999999898</v>
      </c>
      <c r="P34" s="124">
        <f>SUM(P4:P33)</f>
        <v>40078.599999999235</v>
      </c>
      <c r="Q34" s="124"/>
      <c r="R34" s="124">
        <v>2.21</v>
      </c>
      <c r="S34" s="124">
        <f>SUM(S4:S33)</f>
        <v>41343.99999999869</v>
      </c>
      <c r="T34" s="124">
        <v>22.454999999999998</v>
      </c>
      <c r="U34" s="124">
        <f>SUM(U4:U33)</f>
        <v>456640.2999999965</v>
      </c>
      <c r="V34"/>
      <c r="W34" s="124" t="s">
        <v>141</v>
      </c>
      <c r="X34" s="124"/>
      <c r="Y34" s="124">
        <f>SUM(Y3:Y33)</f>
        <v>2808</v>
      </c>
      <c r="Z34" s="124"/>
      <c r="AA34" s="124">
        <f>SUM(AA3:AA33)</f>
        <v>43</v>
      </c>
      <c r="AB34" s="124"/>
      <c r="AC34" s="124">
        <f>SUM(AC3:AC33)</f>
        <v>0</v>
      </c>
      <c r="AD34" s="124"/>
      <c r="AE34" s="124">
        <f>SUM(AE3:AE33)</f>
        <v>19</v>
      </c>
      <c r="AF34" s="124">
        <v>0</v>
      </c>
      <c r="AG34" s="124">
        <f>SUM(AG3:AG33)</f>
        <v>120</v>
      </c>
    </row>
    <row r="36" spans="1:33" x14ac:dyDescent="0.2">
      <c r="AA36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94"/>
  <sheetViews>
    <sheetView zoomScaleNormal="100" workbookViewId="0">
      <pane ySplit="1" topLeftCell="A56" activePane="bottomLeft" state="frozen"/>
      <selection pane="bottomLeft" activeCell="P88" sqref="P88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  <col min="21" max="21" width="18" customWidth="1"/>
    <col min="22" max="22" width="18.7109375" customWidth="1"/>
  </cols>
  <sheetData>
    <row r="1" spans="1:21" ht="45" x14ac:dyDescent="0.2">
      <c r="A1" s="154"/>
      <c r="B1" s="56" t="s">
        <v>77</v>
      </c>
      <c r="C1" s="57" t="s">
        <v>78</v>
      </c>
      <c r="D1" s="57" t="s">
        <v>145</v>
      </c>
      <c r="E1" s="57" t="s">
        <v>146</v>
      </c>
      <c r="F1" s="57" t="s">
        <v>91</v>
      </c>
      <c r="G1" s="58" t="s">
        <v>79</v>
      </c>
      <c r="I1" s="56" t="s">
        <v>77</v>
      </c>
      <c r="J1" s="57" t="s">
        <v>78</v>
      </c>
      <c r="K1" s="57" t="s">
        <v>147</v>
      </c>
      <c r="L1" s="57" t="s">
        <v>148</v>
      </c>
      <c r="M1" s="57" t="s">
        <v>91</v>
      </c>
      <c r="N1" s="58" t="s">
        <v>79</v>
      </c>
      <c r="P1" s="56" t="s">
        <v>77</v>
      </c>
      <c r="Q1" s="57" t="s">
        <v>78</v>
      </c>
      <c r="R1" s="57" t="s">
        <v>148</v>
      </c>
      <c r="S1" s="57" t="s">
        <v>149</v>
      </c>
      <c r="T1" s="57" t="s">
        <v>91</v>
      </c>
      <c r="U1" s="58" t="s">
        <v>79</v>
      </c>
    </row>
    <row r="2" spans="1:21" ht="15" x14ac:dyDescent="0.2">
      <c r="A2" s="154"/>
      <c r="B2" s="174">
        <v>6</v>
      </c>
      <c r="C2" s="59" t="s">
        <v>80</v>
      </c>
      <c r="D2" s="60">
        <v>288742</v>
      </c>
      <c r="E2" s="60">
        <v>289312</v>
      </c>
      <c r="F2" s="61">
        <f t="shared" ref="F2:F4" si="0">IF((E2-D2)&lt;0,"0",(E2-D2))</f>
        <v>570</v>
      </c>
      <c r="G2" s="62"/>
      <c r="I2" s="174">
        <v>6</v>
      </c>
      <c r="J2" s="59" t="s">
        <v>80</v>
      </c>
      <c r="K2" s="60">
        <v>289312</v>
      </c>
      <c r="L2" s="60">
        <v>289776</v>
      </c>
      <c r="M2" s="61">
        <f t="shared" ref="M2:M4" si="1">IF((L2-K2)&lt;0,"0",(L2-K2))</f>
        <v>464</v>
      </c>
      <c r="N2" s="62"/>
      <c r="P2" s="174">
        <v>6</v>
      </c>
      <c r="Q2" s="59" t="s">
        <v>80</v>
      </c>
      <c r="R2" s="60">
        <v>289776</v>
      </c>
      <c r="S2" s="60">
        <v>290188</v>
      </c>
      <c r="T2" s="61">
        <f t="shared" ref="T2:T4" si="2">IF((S2-R2)&lt;0,"0",(S2-R2))</f>
        <v>412</v>
      </c>
      <c r="U2" s="62"/>
    </row>
    <row r="3" spans="1:21" ht="15" x14ac:dyDescent="0.2">
      <c r="A3" s="154"/>
      <c r="B3" s="181"/>
      <c r="C3" s="59" t="s">
        <v>81</v>
      </c>
      <c r="D3" s="60">
        <v>250971</v>
      </c>
      <c r="E3" s="60">
        <v>251243</v>
      </c>
      <c r="F3" s="61">
        <f t="shared" si="0"/>
        <v>272</v>
      </c>
      <c r="G3" s="62"/>
      <c r="I3" s="181"/>
      <c r="J3" s="59" t="s">
        <v>81</v>
      </c>
      <c r="K3" s="60">
        <v>251243</v>
      </c>
      <c r="L3" s="60">
        <v>251578</v>
      </c>
      <c r="M3" s="61">
        <f t="shared" si="1"/>
        <v>335</v>
      </c>
      <c r="N3" s="62"/>
      <c r="P3" s="181"/>
      <c r="Q3" s="59" t="s">
        <v>81</v>
      </c>
      <c r="R3" s="60">
        <v>251578</v>
      </c>
      <c r="S3" s="60">
        <v>252038</v>
      </c>
      <c r="T3" s="61">
        <f t="shared" si="2"/>
        <v>460</v>
      </c>
      <c r="U3" s="62"/>
    </row>
    <row r="4" spans="1:21" ht="15" x14ac:dyDescent="0.2">
      <c r="A4" s="154"/>
      <c r="B4" s="175"/>
      <c r="C4" s="59" t="s">
        <v>82</v>
      </c>
      <c r="D4" s="60">
        <v>196541</v>
      </c>
      <c r="E4" s="60">
        <v>196864</v>
      </c>
      <c r="F4" s="61">
        <f t="shared" si="0"/>
        <v>323</v>
      </c>
      <c r="G4" s="62"/>
      <c r="I4" s="175"/>
      <c r="J4" s="59" t="s">
        <v>82</v>
      </c>
      <c r="K4" s="60">
        <v>196864</v>
      </c>
      <c r="L4" s="60">
        <v>197120</v>
      </c>
      <c r="M4" s="61">
        <f t="shared" si="1"/>
        <v>256</v>
      </c>
      <c r="N4" s="62"/>
      <c r="P4" s="175"/>
      <c r="Q4" s="59" t="s">
        <v>82</v>
      </c>
      <c r="R4" s="60">
        <v>197120</v>
      </c>
      <c r="S4" s="60">
        <v>197459</v>
      </c>
      <c r="T4" s="61">
        <f t="shared" si="2"/>
        <v>339</v>
      </c>
      <c r="U4" s="62"/>
    </row>
    <row r="5" spans="1:21" ht="15" x14ac:dyDescent="0.2">
      <c r="A5" s="154"/>
      <c r="B5" s="174">
        <v>7</v>
      </c>
      <c r="C5" s="59" t="s">
        <v>80</v>
      </c>
      <c r="D5" s="60">
        <v>255027</v>
      </c>
      <c r="E5" s="60">
        <v>256336</v>
      </c>
      <c r="F5" s="61">
        <f>IF((E5-D5)&lt;0,"0",(E5-D5))</f>
        <v>1309</v>
      </c>
      <c r="G5" s="62"/>
      <c r="I5" s="174">
        <v>7</v>
      </c>
      <c r="J5" s="59" t="s">
        <v>80</v>
      </c>
      <c r="K5" s="60">
        <v>256336</v>
      </c>
      <c r="L5" s="60">
        <v>257058</v>
      </c>
      <c r="M5" s="61">
        <f>IF((L5-K5)&lt;0,"0",(L5-K5))</f>
        <v>722</v>
      </c>
      <c r="N5" s="62"/>
      <c r="P5" s="174">
        <v>7</v>
      </c>
      <c r="Q5" s="59" t="s">
        <v>80</v>
      </c>
      <c r="R5" s="60">
        <v>257058</v>
      </c>
      <c r="S5" s="60">
        <v>258466</v>
      </c>
      <c r="T5" s="61">
        <f>IF((S5-R5)&lt;0,"0",(S5-R5))</f>
        <v>1408</v>
      </c>
      <c r="U5" s="62"/>
    </row>
    <row r="6" spans="1:21" ht="15" x14ac:dyDescent="0.2">
      <c r="A6" s="154"/>
      <c r="B6" s="181"/>
      <c r="C6" s="59" t="s">
        <v>81</v>
      </c>
      <c r="D6" s="60">
        <v>156602</v>
      </c>
      <c r="E6" s="60">
        <v>157464</v>
      </c>
      <c r="F6" s="61">
        <f t="shared" ref="F6:F43" si="3">IF((E6-D6)&lt;0,"0",(E6-D6))</f>
        <v>862</v>
      </c>
      <c r="G6" s="62"/>
      <c r="I6" s="181"/>
      <c r="J6" s="59" t="s">
        <v>81</v>
      </c>
      <c r="K6" s="60">
        <v>157464</v>
      </c>
      <c r="L6" s="60">
        <v>158012</v>
      </c>
      <c r="M6" s="61">
        <f t="shared" ref="M6:M43" si="4">IF((L6-K6)&lt;0,"0",(L6-K6))</f>
        <v>548</v>
      </c>
      <c r="N6" s="62"/>
      <c r="P6" s="181"/>
      <c r="Q6" s="59" t="s">
        <v>81</v>
      </c>
      <c r="R6" s="60">
        <v>158012</v>
      </c>
      <c r="S6" s="60">
        <v>158264</v>
      </c>
      <c r="T6" s="61">
        <f t="shared" ref="T6:T63" si="5">IF((S6-R6)&lt;0,"0",(S6-R6))</f>
        <v>252</v>
      </c>
      <c r="U6" s="62"/>
    </row>
    <row r="7" spans="1:21" ht="15" x14ac:dyDescent="0.2">
      <c r="A7" s="154"/>
      <c r="B7" s="175"/>
      <c r="C7" s="59" t="s">
        <v>82</v>
      </c>
      <c r="D7" s="60">
        <v>130857</v>
      </c>
      <c r="E7" s="60">
        <v>131769</v>
      </c>
      <c r="F7" s="61">
        <f t="shared" si="3"/>
        <v>912</v>
      </c>
      <c r="G7" s="62"/>
      <c r="I7" s="175"/>
      <c r="J7" s="59" t="s">
        <v>82</v>
      </c>
      <c r="K7" s="60">
        <v>131769</v>
      </c>
      <c r="L7" s="60">
        <v>132401</v>
      </c>
      <c r="M7" s="61">
        <f t="shared" si="4"/>
        <v>632</v>
      </c>
      <c r="N7" s="62"/>
      <c r="P7" s="175"/>
      <c r="Q7" s="59" t="s">
        <v>82</v>
      </c>
      <c r="R7" s="60">
        <v>132401</v>
      </c>
      <c r="S7" s="60">
        <v>132783</v>
      </c>
      <c r="T7" s="61">
        <f t="shared" si="5"/>
        <v>382</v>
      </c>
      <c r="U7" s="62"/>
    </row>
    <row r="8" spans="1:21" ht="15" x14ac:dyDescent="0.2">
      <c r="A8" s="154"/>
      <c r="B8" s="174">
        <v>8</v>
      </c>
      <c r="C8" s="59" t="s">
        <v>80</v>
      </c>
      <c r="D8" s="60">
        <v>78755</v>
      </c>
      <c r="E8" s="60">
        <v>80321</v>
      </c>
      <c r="F8" s="61">
        <f t="shared" si="3"/>
        <v>1566</v>
      </c>
      <c r="G8" s="62"/>
      <c r="I8" s="174">
        <v>8</v>
      </c>
      <c r="J8" s="59" t="s">
        <v>80</v>
      </c>
      <c r="K8" s="60">
        <v>80321</v>
      </c>
      <c r="L8" s="60">
        <v>81272</v>
      </c>
      <c r="M8" s="61">
        <f t="shared" si="4"/>
        <v>951</v>
      </c>
      <c r="N8" s="62"/>
      <c r="P8" s="174">
        <v>8</v>
      </c>
      <c r="Q8" s="59" t="s">
        <v>80</v>
      </c>
      <c r="R8" s="60">
        <v>81272</v>
      </c>
      <c r="S8" s="60">
        <v>83064</v>
      </c>
      <c r="T8" s="61">
        <f t="shared" si="5"/>
        <v>1792</v>
      </c>
      <c r="U8" s="62"/>
    </row>
    <row r="9" spans="1:21" ht="15" x14ac:dyDescent="0.2">
      <c r="A9" s="154"/>
      <c r="B9" s="181"/>
      <c r="C9" s="59" t="s">
        <v>81</v>
      </c>
      <c r="D9" s="60">
        <v>158</v>
      </c>
      <c r="E9" s="60">
        <v>158</v>
      </c>
      <c r="F9" s="61">
        <f t="shared" si="3"/>
        <v>0</v>
      </c>
      <c r="G9" s="63" t="s">
        <v>12</v>
      </c>
      <c r="I9" s="181"/>
      <c r="J9" s="59" t="s">
        <v>81</v>
      </c>
      <c r="K9" s="60">
        <v>158</v>
      </c>
      <c r="L9" s="60">
        <v>158</v>
      </c>
      <c r="M9" s="61">
        <f t="shared" si="4"/>
        <v>0</v>
      </c>
      <c r="N9" s="63" t="s">
        <v>12</v>
      </c>
      <c r="P9" s="181"/>
      <c r="Q9" s="59" t="s">
        <v>81</v>
      </c>
      <c r="R9" s="60">
        <v>158</v>
      </c>
      <c r="S9" s="60">
        <v>158</v>
      </c>
      <c r="T9" s="61">
        <f t="shared" si="5"/>
        <v>0</v>
      </c>
      <c r="U9" s="63" t="s">
        <v>12</v>
      </c>
    </row>
    <row r="10" spans="1:21" ht="15" x14ac:dyDescent="0.2">
      <c r="A10" s="154"/>
      <c r="B10" s="175"/>
      <c r="C10" s="59" t="s">
        <v>82</v>
      </c>
      <c r="D10" s="60">
        <v>105117</v>
      </c>
      <c r="E10" s="60">
        <v>105926</v>
      </c>
      <c r="F10" s="61">
        <f t="shared" si="3"/>
        <v>809</v>
      </c>
      <c r="G10" s="62"/>
      <c r="I10" s="175"/>
      <c r="J10" s="59" t="s">
        <v>82</v>
      </c>
      <c r="K10" s="60">
        <v>105926</v>
      </c>
      <c r="L10" s="60">
        <v>106513</v>
      </c>
      <c r="M10" s="61">
        <f t="shared" si="4"/>
        <v>587</v>
      </c>
      <c r="N10" s="62"/>
      <c r="P10" s="175"/>
      <c r="Q10" s="59" t="s">
        <v>82</v>
      </c>
      <c r="R10" s="60">
        <v>106513</v>
      </c>
      <c r="S10" s="60">
        <v>107268</v>
      </c>
      <c r="T10" s="61">
        <f t="shared" si="5"/>
        <v>755</v>
      </c>
      <c r="U10" s="62"/>
    </row>
    <row r="11" spans="1:21" ht="15" x14ac:dyDescent="0.2">
      <c r="A11" s="154"/>
      <c r="B11" s="174">
        <v>9</v>
      </c>
      <c r="C11" s="59" t="s">
        <v>80</v>
      </c>
      <c r="D11" s="60">
        <v>35141</v>
      </c>
      <c r="E11" s="60">
        <v>35175</v>
      </c>
      <c r="F11" s="61">
        <f t="shared" si="3"/>
        <v>34</v>
      </c>
      <c r="G11" s="62"/>
      <c r="I11" s="174">
        <v>9</v>
      </c>
      <c r="J11" s="59" t="s">
        <v>80</v>
      </c>
      <c r="K11" s="60">
        <v>35175</v>
      </c>
      <c r="L11" s="60">
        <v>35206</v>
      </c>
      <c r="M11" s="61">
        <f t="shared" si="4"/>
        <v>31</v>
      </c>
      <c r="N11" s="62"/>
      <c r="P11" s="174">
        <v>9</v>
      </c>
      <c r="Q11" s="59" t="s">
        <v>80</v>
      </c>
      <c r="R11" s="60">
        <v>35206</v>
      </c>
      <c r="S11" s="60">
        <v>35334</v>
      </c>
      <c r="T11" s="61">
        <f t="shared" si="5"/>
        <v>128</v>
      </c>
      <c r="U11" s="62"/>
    </row>
    <row r="12" spans="1:21" ht="15" x14ac:dyDescent="0.2">
      <c r="A12" s="154"/>
      <c r="B12" s="181"/>
      <c r="C12" s="59" t="s">
        <v>81</v>
      </c>
      <c r="D12" s="60">
        <v>0</v>
      </c>
      <c r="E12" s="60">
        <v>0</v>
      </c>
      <c r="F12" s="61">
        <f t="shared" si="3"/>
        <v>0</v>
      </c>
      <c r="G12" s="63" t="s">
        <v>12</v>
      </c>
      <c r="I12" s="181"/>
      <c r="J12" s="59" t="s">
        <v>81</v>
      </c>
      <c r="K12" s="60">
        <v>0</v>
      </c>
      <c r="L12" s="60">
        <v>0</v>
      </c>
      <c r="M12" s="61">
        <f t="shared" si="4"/>
        <v>0</v>
      </c>
      <c r="N12" s="63" t="s">
        <v>12</v>
      </c>
      <c r="P12" s="181"/>
      <c r="Q12" s="59" t="s">
        <v>81</v>
      </c>
      <c r="R12" s="60">
        <v>0</v>
      </c>
      <c r="S12" s="60">
        <v>0</v>
      </c>
      <c r="T12" s="61">
        <f t="shared" si="5"/>
        <v>0</v>
      </c>
      <c r="U12" s="63" t="s">
        <v>12</v>
      </c>
    </row>
    <row r="13" spans="1:21" ht="15" x14ac:dyDescent="0.2">
      <c r="A13" s="154"/>
      <c r="B13" s="175"/>
      <c r="C13" s="59" t="s">
        <v>82</v>
      </c>
      <c r="D13" s="60">
        <v>29599</v>
      </c>
      <c r="E13" s="60">
        <v>29718</v>
      </c>
      <c r="F13" s="61">
        <f t="shared" si="3"/>
        <v>119</v>
      </c>
      <c r="G13" s="62"/>
      <c r="H13" s="155"/>
      <c r="I13" s="175"/>
      <c r="J13" s="59" t="s">
        <v>82</v>
      </c>
      <c r="K13" s="60">
        <v>29718</v>
      </c>
      <c r="L13" s="60">
        <v>29802</v>
      </c>
      <c r="M13" s="61">
        <f t="shared" si="4"/>
        <v>84</v>
      </c>
      <c r="N13" s="62"/>
      <c r="P13" s="175"/>
      <c r="Q13" s="59" t="s">
        <v>82</v>
      </c>
      <c r="R13" s="60">
        <v>29802</v>
      </c>
      <c r="S13" s="60">
        <v>29930</v>
      </c>
      <c r="T13" s="61">
        <f t="shared" si="5"/>
        <v>128</v>
      </c>
      <c r="U13" s="62"/>
    </row>
    <row r="14" spans="1:21" ht="15" x14ac:dyDescent="0.2">
      <c r="A14" s="154"/>
      <c r="B14" s="174">
        <v>10</v>
      </c>
      <c r="C14" s="59" t="s">
        <v>80</v>
      </c>
      <c r="D14" s="60">
        <v>219754</v>
      </c>
      <c r="E14" s="60">
        <v>221706</v>
      </c>
      <c r="F14" s="61">
        <f t="shared" si="3"/>
        <v>1952</v>
      </c>
      <c r="G14" s="62"/>
      <c r="H14" s="156"/>
      <c r="I14" s="174">
        <v>10</v>
      </c>
      <c r="J14" s="59" t="s">
        <v>80</v>
      </c>
      <c r="K14" s="60">
        <v>221706</v>
      </c>
      <c r="L14" s="60">
        <v>223186</v>
      </c>
      <c r="M14" s="61">
        <f t="shared" si="4"/>
        <v>1480</v>
      </c>
      <c r="N14" s="62"/>
      <c r="P14" s="174">
        <v>10</v>
      </c>
      <c r="Q14" s="59" t="s">
        <v>80</v>
      </c>
      <c r="R14" s="60">
        <v>223186</v>
      </c>
      <c r="S14" s="60">
        <v>225406</v>
      </c>
      <c r="T14" s="61">
        <f t="shared" si="5"/>
        <v>2220</v>
      </c>
      <c r="U14" s="62"/>
    </row>
    <row r="15" spans="1:21" ht="15" x14ac:dyDescent="0.2">
      <c r="A15" s="154"/>
      <c r="B15" s="181"/>
      <c r="C15" s="59" t="s">
        <v>81</v>
      </c>
      <c r="D15" s="60">
        <v>8006</v>
      </c>
      <c r="E15" s="60">
        <v>8006</v>
      </c>
      <c r="F15" s="61">
        <f t="shared" si="3"/>
        <v>0</v>
      </c>
      <c r="G15" s="62"/>
      <c r="H15" s="156"/>
      <c r="I15" s="181"/>
      <c r="J15" s="59" t="s">
        <v>81</v>
      </c>
      <c r="K15" s="60">
        <v>8006</v>
      </c>
      <c r="L15" s="60">
        <v>8011</v>
      </c>
      <c r="M15" s="61">
        <f t="shared" si="4"/>
        <v>5</v>
      </c>
      <c r="N15" s="62"/>
      <c r="P15" s="181"/>
      <c r="Q15" s="59" t="s">
        <v>81</v>
      </c>
      <c r="R15" s="60">
        <v>8011</v>
      </c>
      <c r="S15" s="60">
        <v>8011</v>
      </c>
      <c r="T15" s="61">
        <f t="shared" si="5"/>
        <v>0</v>
      </c>
      <c r="U15" s="62"/>
    </row>
    <row r="16" spans="1:21" ht="15" x14ac:dyDescent="0.2">
      <c r="A16" s="154"/>
      <c r="B16" s="175"/>
      <c r="C16" s="59" t="s">
        <v>82</v>
      </c>
      <c r="D16" s="60">
        <v>199984</v>
      </c>
      <c r="E16" s="60">
        <v>200541</v>
      </c>
      <c r="F16" s="61">
        <f t="shared" si="3"/>
        <v>557</v>
      </c>
      <c r="G16" s="62"/>
      <c r="H16" s="156"/>
      <c r="I16" s="175"/>
      <c r="J16" s="59" t="s">
        <v>82</v>
      </c>
      <c r="K16" s="60">
        <v>200541</v>
      </c>
      <c r="L16" s="60">
        <v>201131</v>
      </c>
      <c r="M16" s="61">
        <f t="shared" si="4"/>
        <v>590</v>
      </c>
      <c r="N16" s="62"/>
      <c r="P16" s="175"/>
      <c r="Q16" s="59" t="s">
        <v>82</v>
      </c>
      <c r="R16" s="60">
        <v>201131</v>
      </c>
      <c r="S16" s="60">
        <v>202582</v>
      </c>
      <c r="T16" s="61">
        <f t="shared" si="5"/>
        <v>1451</v>
      </c>
      <c r="U16" s="62"/>
    </row>
    <row r="17" spans="1:21" ht="15" x14ac:dyDescent="0.2">
      <c r="A17" s="154"/>
      <c r="B17" s="174">
        <v>11</v>
      </c>
      <c r="C17" s="59" t="s">
        <v>80</v>
      </c>
      <c r="D17" s="60">
        <v>68249</v>
      </c>
      <c r="E17" s="60">
        <v>68535</v>
      </c>
      <c r="F17" s="61">
        <f t="shared" si="3"/>
        <v>286</v>
      </c>
      <c r="G17" s="62"/>
      <c r="H17" s="156"/>
      <c r="I17" s="174">
        <v>11</v>
      </c>
      <c r="J17" s="59" t="s">
        <v>80</v>
      </c>
      <c r="K17" s="60">
        <v>68535</v>
      </c>
      <c r="L17" s="60">
        <v>68732</v>
      </c>
      <c r="M17" s="61">
        <f t="shared" si="4"/>
        <v>197</v>
      </c>
      <c r="N17" s="62"/>
      <c r="P17" s="174">
        <v>11</v>
      </c>
      <c r="Q17" s="59" t="s">
        <v>80</v>
      </c>
      <c r="R17" s="60">
        <v>68732</v>
      </c>
      <c r="S17" s="60">
        <v>69016</v>
      </c>
      <c r="T17" s="61">
        <f t="shared" si="5"/>
        <v>284</v>
      </c>
      <c r="U17" s="62"/>
    </row>
    <row r="18" spans="1:21" ht="15" x14ac:dyDescent="0.2">
      <c r="A18" s="154"/>
      <c r="B18" s="181"/>
      <c r="C18" s="59" t="s">
        <v>81</v>
      </c>
      <c r="D18" s="60">
        <v>226416</v>
      </c>
      <c r="E18" s="60">
        <v>227507</v>
      </c>
      <c r="F18" s="61">
        <f t="shared" si="3"/>
        <v>1091</v>
      </c>
      <c r="G18" s="62"/>
      <c r="H18" s="156"/>
      <c r="I18" s="181"/>
      <c r="J18" s="59" t="s">
        <v>81</v>
      </c>
      <c r="K18" s="60">
        <v>227507</v>
      </c>
      <c r="L18" s="60">
        <v>228067</v>
      </c>
      <c r="M18" s="61">
        <f t="shared" si="4"/>
        <v>560</v>
      </c>
      <c r="N18" s="62"/>
      <c r="P18" s="181"/>
      <c r="Q18" s="59" t="s">
        <v>81</v>
      </c>
      <c r="R18" s="60">
        <v>228067</v>
      </c>
      <c r="S18" s="60">
        <v>229111</v>
      </c>
      <c r="T18" s="61">
        <f t="shared" si="5"/>
        <v>1044</v>
      </c>
      <c r="U18" s="62"/>
    </row>
    <row r="19" spans="1:21" ht="15" x14ac:dyDescent="0.2">
      <c r="A19" s="154"/>
      <c r="B19" s="175"/>
      <c r="C19" s="59" t="s">
        <v>82</v>
      </c>
      <c r="D19" s="60">
        <v>31368</v>
      </c>
      <c r="E19" s="60">
        <v>31435</v>
      </c>
      <c r="F19" s="61">
        <f t="shared" si="3"/>
        <v>67</v>
      </c>
      <c r="G19" s="62"/>
      <c r="H19" s="156"/>
      <c r="I19" s="175"/>
      <c r="J19" s="59" t="s">
        <v>82</v>
      </c>
      <c r="K19" s="60">
        <v>31435</v>
      </c>
      <c r="L19" s="60">
        <v>31466</v>
      </c>
      <c r="M19" s="61">
        <f t="shared" si="4"/>
        <v>31</v>
      </c>
      <c r="N19" s="62"/>
      <c r="P19" s="175"/>
      <c r="Q19" s="59" t="s">
        <v>82</v>
      </c>
      <c r="R19" s="60">
        <v>31466</v>
      </c>
      <c r="S19" s="60">
        <v>31528</v>
      </c>
      <c r="T19" s="61">
        <f t="shared" si="5"/>
        <v>62</v>
      </c>
      <c r="U19" s="62"/>
    </row>
    <row r="20" spans="1:21" ht="15" x14ac:dyDescent="0.2">
      <c r="A20" s="154"/>
      <c r="B20" s="174">
        <v>12</v>
      </c>
      <c r="C20" s="59" t="s">
        <v>80</v>
      </c>
      <c r="D20" s="60">
        <v>147275</v>
      </c>
      <c r="E20" s="60">
        <v>147413</v>
      </c>
      <c r="F20" s="61">
        <f t="shared" si="3"/>
        <v>138</v>
      </c>
      <c r="G20" s="62"/>
      <c r="H20" s="156"/>
      <c r="I20" s="174">
        <v>12</v>
      </c>
      <c r="J20" s="59" t="s">
        <v>80</v>
      </c>
      <c r="K20" s="60">
        <v>147413</v>
      </c>
      <c r="L20" s="60">
        <v>147570</v>
      </c>
      <c r="M20" s="61">
        <f t="shared" si="4"/>
        <v>157</v>
      </c>
      <c r="N20" s="62"/>
      <c r="P20" s="174">
        <v>12</v>
      </c>
      <c r="Q20" s="59" t="s">
        <v>80</v>
      </c>
      <c r="R20" s="60">
        <v>147570</v>
      </c>
      <c r="S20" s="60">
        <v>147722</v>
      </c>
      <c r="T20" s="61">
        <f t="shared" si="5"/>
        <v>152</v>
      </c>
      <c r="U20" s="62"/>
    </row>
    <row r="21" spans="1:21" ht="15" x14ac:dyDescent="0.2">
      <c r="A21" s="154"/>
      <c r="B21" s="181"/>
      <c r="C21" s="59" t="s">
        <v>81</v>
      </c>
      <c r="D21" s="60">
        <v>23351</v>
      </c>
      <c r="E21" s="60">
        <v>23406</v>
      </c>
      <c r="F21" s="61">
        <f t="shared" si="3"/>
        <v>55</v>
      </c>
      <c r="G21" s="62"/>
      <c r="H21" s="157" t="s">
        <v>12</v>
      </c>
      <c r="I21" s="181"/>
      <c r="J21" s="59" t="s">
        <v>81</v>
      </c>
      <c r="K21" s="60">
        <v>23406</v>
      </c>
      <c r="L21" s="60">
        <v>23440</v>
      </c>
      <c r="M21" s="61">
        <f t="shared" si="4"/>
        <v>34</v>
      </c>
      <c r="N21" s="62"/>
      <c r="P21" s="181"/>
      <c r="Q21" s="59" t="s">
        <v>81</v>
      </c>
      <c r="R21" s="60">
        <v>23440</v>
      </c>
      <c r="S21" s="60">
        <v>23487</v>
      </c>
      <c r="T21" s="61">
        <f t="shared" si="5"/>
        <v>47</v>
      </c>
      <c r="U21" s="62"/>
    </row>
    <row r="22" spans="1:21" ht="15" x14ac:dyDescent="0.2">
      <c r="A22" s="154"/>
      <c r="B22" s="175"/>
      <c r="C22" s="59" t="s">
        <v>82</v>
      </c>
      <c r="D22" s="60">
        <v>257916</v>
      </c>
      <c r="E22" s="60">
        <v>258383</v>
      </c>
      <c r="F22" s="61">
        <f t="shared" si="3"/>
        <v>467</v>
      </c>
      <c r="G22" s="62"/>
      <c r="H22" s="156"/>
      <c r="I22" s="175"/>
      <c r="J22" s="59" t="s">
        <v>82</v>
      </c>
      <c r="K22" s="60">
        <v>258383</v>
      </c>
      <c r="L22" s="60">
        <v>258660</v>
      </c>
      <c r="M22" s="61">
        <f t="shared" si="4"/>
        <v>277</v>
      </c>
      <c r="N22" s="62"/>
      <c r="P22" s="175"/>
      <c r="Q22" s="59" t="s">
        <v>82</v>
      </c>
      <c r="R22" s="60">
        <v>258660</v>
      </c>
      <c r="S22" s="60">
        <v>258660</v>
      </c>
      <c r="T22" s="61">
        <f t="shared" si="5"/>
        <v>0</v>
      </c>
      <c r="U22" s="62"/>
    </row>
    <row r="23" spans="1:21" ht="15" x14ac:dyDescent="0.2">
      <c r="A23" s="154"/>
      <c r="B23" s="174">
        <v>14</v>
      </c>
      <c r="C23" s="59" t="s">
        <v>80</v>
      </c>
      <c r="D23" s="60">
        <v>119408</v>
      </c>
      <c r="E23" s="60">
        <v>119720</v>
      </c>
      <c r="F23" s="61">
        <f t="shared" si="3"/>
        <v>312</v>
      </c>
      <c r="G23" s="62"/>
      <c r="H23" s="156"/>
      <c r="I23" s="174">
        <v>14</v>
      </c>
      <c r="J23" s="59" t="s">
        <v>80</v>
      </c>
      <c r="K23" s="60">
        <v>119720</v>
      </c>
      <c r="L23" s="60">
        <v>120021</v>
      </c>
      <c r="M23" s="61">
        <f t="shared" si="4"/>
        <v>301</v>
      </c>
      <c r="N23" s="62"/>
      <c r="P23" s="174">
        <v>14</v>
      </c>
      <c r="Q23" s="59" t="s">
        <v>80</v>
      </c>
      <c r="R23" s="60">
        <v>120021</v>
      </c>
      <c r="S23" s="60">
        <v>120500</v>
      </c>
      <c r="T23" s="61">
        <f t="shared" si="5"/>
        <v>479</v>
      </c>
      <c r="U23" s="62"/>
    </row>
    <row r="24" spans="1:21" ht="15" x14ac:dyDescent="0.2">
      <c r="A24" s="154"/>
      <c r="B24" s="181"/>
      <c r="C24" s="59" t="s">
        <v>81</v>
      </c>
      <c r="D24" s="60">
        <v>36899</v>
      </c>
      <c r="E24" s="60">
        <v>37456</v>
      </c>
      <c r="F24" s="61">
        <f t="shared" si="3"/>
        <v>557</v>
      </c>
      <c r="G24" s="62"/>
      <c r="H24" s="156"/>
      <c r="I24" s="181"/>
      <c r="J24" s="59" t="s">
        <v>81</v>
      </c>
      <c r="K24" s="60">
        <v>37456</v>
      </c>
      <c r="L24" s="60">
        <v>37881</v>
      </c>
      <c r="M24" s="61">
        <f t="shared" si="4"/>
        <v>425</v>
      </c>
      <c r="N24" s="62"/>
      <c r="P24" s="181"/>
      <c r="Q24" s="59" t="s">
        <v>81</v>
      </c>
      <c r="R24" s="60">
        <v>37881</v>
      </c>
      <c r="S24" s="60">
        <v>39078</v>
      </c>
      <c r="T24" s="61">
        <f t="shared" si="5"/>
        <v>1197</v>
      </c>
      <c r="U24" s="62"/>
    </row>
    <row r="25" spans="1:21" ht="15" x14ac:dyDescent="0.2">
      <c r="A25" s="154"/>
      <c r="B25" s="175"/>
      <c r="C25" s="59" t="s">
        <v>82</v>
      </c>
      <c r="D25" s="60">
        <v>1984</v>
      </c>
      <c r="E25" s="60">
        <v>1991</v>
      </c>
      <c r="F25" s="61">
        <f t="shared" si="3"/>
        <v>7</v>
      </c>
      <c r="G25" s="62"/>
      <c r="H25" s="156"/>
      <c r="I25" s="175"/>
      <c r="J25" s="59" t="s">
        <v>82</v>
      </c>
      <c r="K25" s="60">
        <v>1991</v>
      </c>
      <c r="L25" s="60">
        <v>2001</v>
      </c>
      <c r="M25" s="61">
        <f t="shared" si="4"/>
        <v>10</v>
      </c>
      <c r="N25" s="62"/>
      <c r="P25" s="175"/>
      <c r="Q25" s="59" t="s">
        <v>82</v>
      </c>
      <c r="R25" s="60">
        <v>2001</v>
      </c>
      <c r="S25" s="60">
        <v>2025</v>
      </c>
      <c r="T25" s="61">
        <f t="shared" si="5"/>
        <v>24</v>
      </c>
      <c r="U25" s="62"/>
    </row>
    <row r="26" spans="1:21" ht="15" x14ac:dyDescent="0.2">
      <c r="A26" s="154"/>
      <c r="B26" s="174">
        <v>15</v>
      </c>
      <c r="C26" s="59" t="s">
        <v>80</v>
      </c>
      <c r="D26" s="60">
        <v>39357</v>
      </c>
      <c r="E26" s="60">
        <v>39357</v>
      </c>
      <c r="F26" s="61">
        <f t="shared" si="3"/>
        <v>0</v>
      </c>
      <c r="G26" s="62"/>
      <c r="H26" s="157" t="s">
        <v>12</v>
      </c>
      <c r="I26" s="174">
        <v>15</v>
      </c>
      <c r="J26" s="59" t="s">
        <v>80</v>
      </c>
      <c r="K26" s="60">
        <v>39357</v>
      </c>
      <c r="L26" s="60">
        <v>39357</v>
      </c>
      <c r="M26" s="61">
        <f t="shared" si="4"/>
        <v>0</v>
      </c>
      <c r="N26" s="62"/>
      <c r="P26" s="174">
        <v>15</v>
      </c>
      <c r="Q26" s="59" t="s">
        <v>80</v>
      </c>
      <c r="R26" s="60">
        <v>39357</v>
      </c>
      <c r="S26" s="60">
        <v>39357</v>
      </c>
      <c r="T26" s="61">
        <f t="shared" si="5"/>
        <v>0</v>
      </c>
      <c r="U26" s="62"/>
    </row>
    <row r="27" spans="1:21" ht="15" x14ac:dyDescent="0.2">
      <c r="A27" s="154"/>
      <c r="B27" s="181"/>
      <c r="C27" s="59" t="s">
        <v>81</v>
      </c>
      <c r="D27" s="60">
        <v>85452</v>
      </c>
      <c r="E27" s="60">
        <v>85836</v>
      </c>
      <c r="F27" s="61">
        <f t="shared" si="3"/>
        <v>384</v>
      </c>
      <c r="G27" s="62"/>
      <c r="H27" s="157" t="s">
        <v>12</v>
      </c>
      <c r="I27" s="181"/>
      <c r="J27" s="59" t="s">
        <v>81</v>
      </c>
      <c r="K27" s="60">
        <v>85836</v>
      </c>
      <c r="L27" s="60">
        <v>86104</v>
      </c>
      <c r="M27" s="61">
        <f t="shared" si="4"/>
        <v>268</v>
      </c>
      <c r="N27" s="62"/>
      <c r="P27" s="181"/>
      <c r="Q27" s="59" t="s">
        <v>81</v>
      </c>
      <c r="R27" s="60">
        <v>86104</v>
      </c>
      <c r="S27" s="60">
        <v>86556</v>
      </c>
      <c r="T27" s="61">
        <f t="shared" si="5"/>
        <v>452</v>
      </c>
      <c r="U27" s="62"/>
    </row>
    <row r="28" spans="1:21" ht="15" x14ac:dyDescent="0.2">
      <c r="A28" s="154"/>
      <c r="B28" s="175"/>
      <c r="C28" s="59" t="s">
        <v>82</v>
      </c>
      <c r="D28" s="60">
        <v>165029</v>
      </c>
      <c r="E28" s="60">
        <v>166031</v>
      </c>
      <c r="F28" s="61">
        <f t="shared" si="3"/>
        <v>1002</v>
      </c>
      <c r="G28" s="62"/>
      <c r="H28" s="156"/>
      <c r="I28" s="175"/>
      <c r="J28" s="59" t="s">
        <v>82</v>
      </c>
      <c r="K28" s="60">
        <v>166031</v>
      </c>
      <c r="L28" s="60">
        <v>166733</v>
      </c>
      <c r="M28" s="61">
        <f t="shared" si="4"/>
        <v>702</v>
      </c>
      <c r="N28" s="62"/>
      <c r="P28" s="175"/>
      <c r="Q28" s="59" t="s">
        <v>82</v>
      </c>
      <c r="R28" s="60">
        <v>166733</v>
      </c>
      <c r="S28" s="60">
        <v>167865</v>
      </c>
      <c r="T28" s="61">
        <f t="shared" si="5"/>
        <v>1132</v>
      </c>
      <c r="U28" s="62"/>
    </row>
    <row r="29" spans="1:21" ht="15" x14ac:dyDescent="0.2">
      <c r="A29" s="154"/>
      <c r="B29" s="174">
        <v>16</v>
      </c>
      <c r="C29" s="59" t="s">
        <v>80</v>
      </c>
      <c r="D29" s="60">
        <v>97792</v>
      </c>
      <c r="E29" s="60">
        <v>97793</v>
      </c>
      <c r="F29" s="61">
        <f t="shared" si="3"/>
        <v>1</v>
      </c>
      <c r="G29" s="63" t="s">
        <v>12</v>
      </c>
      <c r="H29" s="156"/>
      <c r="I29" s="174">
        <v>16</v>
      </c>
      <c r="J29" s="59" t="s">
        <v>80</v>
      </c>
      <c r="K29" s="60">
        <v>97793</v>
      </c>
      <c r="L29" s="60">
        <v>97792</v>
      </c>
      <c r="M29" s="61" t="str">
        <f t="shared" si="4"/>
        <v>0</v>
      </c>
      <c r="N29" s="63" t="s">
        <v>12</v>
      </c>
      <c r="P29" s="174">
        <v>16</v>
      </c>
      <c r="Q29" s="59" t="s">
        <v>80</v>
      </c>
      <c r="R29" s="60">
        <v>97792</v>
      </c>
      <c r="S29" s="60">
        <v>97792</v>
      </c>
      <c r="T29" s="61">
        <f t="shared" si="5"/>
        <v>0</v>
      </c>
      <c r="U29" s="63" t="s">
        <v>12</v>
      </c>
    </row>
    <row r="30" spans="1:21" ht="15" x14ac:dyDescent="0.2">
      <c r="A30" s="154"/>
      <c r="B30" s="181"/>
      <c r="C30" s="59" t="s">
        <v>81</v>
      </c>
      <c r="D30" s="60">
        <v>64550</v>
      </c>
      <c r="E30" s="60">
        <v>64740</v>
      </c>
      <c r="F30" s="61">
        <f t="shared" si="3"/>
        <v>190</v>
      </c>
      <c r="G30" s="62"/>
      <c r="H30" s="156"/>
      <c r="I30" s="181"/>
      <c r="J30" s="59" t="s">
        <v>81</v>
      </c>
      <c r="K30" s="60">
        <v>64740</v>
      </c>
      <c r="L30" s="60">
        <v>65075</v>
      </c>
      <c r="M30" s="61">
        <f t="shared" si="4"/>
        <v>335</v>
      </c>
      <c r="N30" s="62"/>
      <c r="P30" s="181"/>
      <c r="Q30" s="59" t="s">
        <v>81</v>
      </c>
      <c r="R30" s="60">
        <v>65075</v>
      </c>
      <c r="S30" s="60">
        <v>66159</v>
      </c>
      <c r="T30" s="61">
        <f t="shared" si="5"/>
        <v>1084</v>
      </c>
      <c r="U30" s="62"/>
    </row>
    <row r="31" spans="1:21" ht="15" x14ac:dyDescent="0.2">
      <c r="A31" s="154"/>
      <c r="B31" s="175"/>
      <c r="C31" s="59" t="s">
        <v>82</v>
      </c>
      <c r="D31" s="60">
        <v>69432</v>
      </c>
      <c r="E31" s="60">
        <v>69433</v>
      </c>
      <c r="F31" s="61">
        <f t="shared" si="3"/>
        <v>1</v>
      </c>
      <c r="G31" s="64"/>
      <c r="H31" s="156"/>
      <c r="I31" s="175"/>
      <c r="J31" s="59" t="s">
        <v>82</v>
      </c>
      <c r="K31" s="60">
        <v>69433</v>
      </c>
      <c r="L31" s="60">
        <v>69432</v>
      </c>
      <c r="M31" s="61" t="str">
        <f t="shared" si="4"/>
        <v>0</v>
      </c>
      <c r="N31" s="64"/>
      <c r="P31" s="175"/>
      <c r="Q31" s="59" t="s">
        <v>82</v>
      </c>
      <c r="R31" s="60">
        <v>69432</v>
      </c>
      <c r="S31" s="60">
        <v>69432</v>
      </c>
      <c r="T31" s="61">
        <f t="shared" si="5"/>
        <v>0</v>
      </c>
      <c r="U31" s="64"/>
    </row>
    <row r="32" spans="1:21" ht="15" x14ac:dyDescent="0.2">
      <c r="A32" s="154"/>
      <c r="B32" s="174">
        <v>17</v>
      </c>
      <c r="C32" s="59" t="s">
        <v>80</v>
      </c>
      <c r="D32" s="60">
        <v>36877</v>
      </c>
      <c r="E32" s="60">
        <v>37039</v>
      </c>
      <c r="F32" s="61">
        <f t="shared" si="3"/>
        <v>162</v>
      </c>
      <c r="G32" s="62"/>
      <c r="H32" s="156"/>
      <c r="I32" s="174">
        <v>17</v>
      </c>
      <c r="J32" s="59" t="s">
        <v>80</v>
      </c>
      <c r="K32" s="60">
        <v>37039</v>
      </c>
      <c r="L32" s="60">
        <v>37164</v>
      </c>
      <c r="M32" s="61">
        <f t="shared" si="4"/>
        <v>125</v>
      </c>
      <c r="N32" s="62"/>
      <c r="P32" s="174">
        <v>17</v>
      </c>
      <c r="Q32" s="59" t="s">
        <v>80</v>
      </c>
      <c r="R32" s="60">
        <v>37164</v>
      </c>
      <c r="S32" s="60">
        <v>37348</v>
      </c>
      <c r="T32" s="61">
        <f t="shared" si="5"/>
        <v>184</v>
      </c>
      <c r="U32" s="62"/>
    </row>
    <row r="33" spans="1:21" ht="15" x14ac:dyDescent="0.2">
      <c r="A33" s="154"/>
      <c r="B33" s="181"/>
      <c r="C33" s="59" t="s">
        <v>81</v>
      </c>
      <c r="D33" s="60">
        <v>64124</v>
      </c>
      <c r="E33" s="60">
        <v>64124</v>
      </c>
      <c r="F33" s="61">
        <f t="shared" si="3"/>
        <v>0</v>
      </c>
      <c r="G33" s="62"/>
      <c r="H33" s="156"/>
      <c r="I33" s="181"/>
      <c r="J33" s="59" t="s">
        <v>81</v>
      </c>
      <c r="K33" s="60">
        <v>64124</v>
      </c>
      <c r="L33" s="60">
        <v>64125</v>
      </c>
      <c r="M33" s="61">
        <f t="shared" si="4"/>
        <v>1</v>
      </c>
      <c r="N33" s="62"/>
      <c r="P33" s="181"/>
      <c r="Q33" s="59" t="s">
        <v>81</v>
      </c>
      <c r="R33" s="60">
        <v>64125</v>
      </c>
      <c r="S33" s="60">
        <v>64130</v>
      </c>
      <c r="T33" s="61">
        <f t="shared" si="5"/>
        <v>5</v>
      </c>
      <c r="U33" s="62"/>
    </row>
    <row r="34" spans="1:21" ht="15" x14ac:dyDescent="0.2">
      <c r="A34" s="154"/>
      <c r="B34" s="175"/>
      <c r="C34" s="59" t="s">
        <v>82</v>
      </c>
      <c r="D34" s="60">
        <v>12228</v>
      </c>
      <c r="E34" s="60">
        <v>12314</v>
      </c>
      <c r="F34" s="61">
        <f t="shared" si="3"/>
        <v>86</v>
      </c>
      <c r="G34" s="64"/>
      <c r="H34" s="156"/>
      <c r="I34" s="175"/>
      <c r="J34" s="59" t="s">
        <v>82</v>
      </c>
      <c r="K34" s="60">
        <v>12314</v>
      </c>
      <c r="L34" s="60">
        <v>12449</v>
      </c>
      <c r="M34" s="61">
        <f t="shared" si="4"/>
        <v>135</v>
      </c>
      <c r="N34" s="64"/>
      <c r="P34" s="175"/>
      <c r="Q34" s="59" t="s">
        <v>82</v>
      </c>
      <c r="R34" s="60">
        <v>12449</v>
      </c>
      <c r="S34" s="60">
        <v>12593</v>
      </c>
      <c r="T34" s="61">
        <f t="shared" si="5"/>
        <v>144</v>
      </c>
      <c r="U34" s="64"/>
    </row>
    <row r="35" spans="1:21" ht="15" x14ac:dyDescent="0.2">
      <c r="A35" s="154"/>
      <c r="B35" s="174">
        <v>18</v>
      </c>
      <c r="C35" s="59" t="s">
        <v>80</v>
      </c>
      <c r="D35" s="60">
        <v>255204</v>
      </c>
      <c r="E35" s="60">
        <v>257184</v>
      </c>
      <c r="F35" s="61">
        <f t="shared" si="3"/>
        <v>1980</v>
      </c>
      <c r="G35" s="64"/>
      <c r="H35" s="156"/>
      <c r="I35" s="174">
        <v>18</v>
      </c>
      <c r="J35" s="59" t="s">
        <v>80</v>
      </c>
      <c r="K35" s="60">
        <v>257184</v>
      </c>
      <c r="L35" s="60">
        <v>258487</v>
      </c>
      <c r="M35" s="61">
        <f t="shared" si="4"/>
        <v>1303</v>
      </c>
      <c r="N35" s="64"/>
      <c r="O35" s="140"/>
      <c r="P35" s="174">
        <v>18</v>
      </c>
      <c r="Q35" s="59" t="s">
        <v>80</v>
      </c>
      <c r="R35" s="60">
        <v>258487</v>
      </c>
      <c r="S35" s="60">
        <v>260358</v>
      </c>
      <c r="T35" s="61">
        <f t="shared" si="5"/>
        <v>1871</v>
      </c>
      <c r="U35" s="64"/>
    </row>
    <row r="36" spans="1:21" ht="15" x14ac:dyDescent="0.2">
      <c r="A36" s="154"/>
      <c r="B36" s="181"/>
      <c r="C36" s="59" t="s">
        <v>81</v>
      </c>
      <c r="D36" s="60">
        <v>19865</v>
      </c>
      <c r="E36" s="60">
        <v>20089</v>
      </c>
      <c r="F36" s="61">
        <f t="shared" si="3"/>
        <v>224</v>
      </c>
      <c r="G36" s="62"/>
      <c r="H36" s="156"/>
      <c r="I36" s="181"/>
      <c r="J36" s="59" t="s">
        <v>81</v>
      </c>
      <c r="K36" s="60">
        <v>20089</v>
      </c>
      <c r="L36" s="60">
        <v>20089</v>
      </c>
      <c r="M36" s="61">
        <f t="shared" si="4"/>
        <v>0</v>
      </c>
      <c r="N36" s="62"/>
      <c r="O36" s="149"/>
      <c r="P36" s="181"/>
      <c r="Q36" s="59" t="s">
        <v>81</v>
      </c>
      <c r="R36" s="60">
        <v>20089</v>
      </c>
      <c r="S36" s="60">
        <v>20279</v>
      </c>
      <c r="T36" s="61">
        <f t="shared" si="5"/>
        <v>190</v>
      </c>
      <c r="U36" s="62"/>
    </row>
    <row r="37" spans="1:21" ht="15" x14ac:dyDescent="0.2">
      <c r="A37" s="154"/>
      <c r="B37" s="175"/>
      <c r="C37" s="59" t="s">
        <v>82</v>
      </c>
      <c r="D37" s="60">
        <v>95011</v>
      </c>
      <c r="E37" s="60">
        <v>96328</v>
      </c>
      <c r="F37" s="61">
        <f t="shared" si="3"/>
        <v>1317</v>
      </c>
      <c r="G37" s="62"/>
      <c r="H37" s="156"/>
      <c r="I37" s="175"/>
      <c r="J37" s="59" t="s">
        <v>82</v>
      </c>
      <c r="K37" s="60">
        <v>96328</v>
      </c>
      <c r="L37" s="60">
        <v>97626</v>
      </c>
      <c r="M37" s="61">
        <f t="shared" si="4"/>
        <v>1298</v>
      </c>
      <c r="N37" s="62"/>
      <c r="P37" s="175"/>
      <c r="Q37" s="59" t="s">
        <v>82</v>
      </c>
      <c r="R37" s="60">
        <v>97626</v>
      </c>
      <c r="S37" s="60">
        <v>99805</v>
      </c>
      <c r="T37" s="61">
        <f t="shared" si="5"/>
        <v>2179</v>
      </c>
      <c r="U37" s="62"/>
    </row>
    <row r="38" spans="1:21" ht="15" x14ac:dyDescent="0.2">
      <c r="A38" s="154"/>
      <c r="B38" s="174">
        <v>19</v>
      </c>
      <c r="C38" s="59" t="s">
        <v>80</v>
      </c>
      <c r="D38" s="60">
        <v>24416</v>
      </c>
      <c r="E38" s="60">
        <v>24874</v>
      </c>
      <c r="F38" s="61">
        <f t="shared" si="3"/>
        <v>458</v>
      </c>
      <c r="G38" s="62"/>
      <c r="H38" s="156"/>
      <c r="I38" s="174">
        <v>19</v>
      </c>
      <c r="J38" s="59" t="s">
        <v>80</v>
      </c>
      <c r="K38" s="60">
        <v>24874</v>
      </c>
      <c r="L38" s="60">
        <v>25260</v>
      </c>
      <c r="M38" s="61">
        <f t="shared" si="4"/>
        <v>386</v>
      </c>
      <c r="N38" s="62"/>
      <c r="P38" s="174">
        <v>19</v>
      </c>
      <c r="Q38" s="59" t="s">
        <v>80</v>
      </c>
      <c r="R38" s="60">
        <v>25260</v>
      </c>
      <c r="S38" s="60">
        <v>25921</v>
      </c>
      <c r="T38" s="61">
        <f t="shared" si="5"/>
        <v>661</v>
      </c>
      <c r="U38" s="62"/>
    </row>
    <row r="39" spans="1:21" ht="15" x14ac:dyDescent="0.2">
      <c r="A39" s="154"/>
      <c r="B39" s="181"/>
      <c r="C39" s="59" t="s">
        <v>81</v>
      </c>
      <c r="D39" s="60">
        <v>85048</v>
      </c>
      <c r="E39" s="60">
        <v>85379</v>
      </c>
      <c r="F39" s="61">
        <f t="shared" si="3"/>
        <v>331</v>
      </c>
      <c r="G39" s="64"/>
      <c r="H39" s="156"/>
      <c r="I39" s="181"/>
      <c r="J39" s="59" t="s">
        <v>81</v>
      </c>
      <c r="K39" s="60">
        <v>85379</v>
      </c>
      <c r="L39" s="60">
        <v>85529</v>
      </c>
      <c r="M39" s="61">
        <f t="shared" si="4"/>
        <v>150</v>
      </c>
      <c r="N39" s="64"/>
      <c r="P39" s="181"/>
      <c r="Q39" s="59" t="s">
        <v>81</v>
      </c>
      <c r="R39" s="60">
        <v>85529</v>
      </c>
      <c r="S39" s="60">
        <v>85823</v>
      </c>
      <c r="T39" s="61">
        <f t="shared" si="5"/>
        <v>294</v>
      </c>
      <c r="U39" s="64"/>
    </row>
    <row r="40" spans="1:21" ht="15" x14ac:dyDescent="0.2">
      <c r="A40" s="154"/>
      <c r="B40" s="175"/>
      <c r="C40" s="59" t="s">
        <v>82</v>
      </c>
      <c r="D40" s="60">
        <v>53053</v>
      </c>
      <c r="E40" s="60">
        <v>53053</v>
      </c>
      <c r="F40" s="61">
        <f t="shared" si="3"/>
        <v>0</v>
      </c>
      <c r="G40" s="62"/>
      <c r="H40" s="156"/>
      <c r="I40" s="175"/>
      <c r="J40" s="59" t="s">
        <v>82</v>
      </c>
      <c r="K40" s="60">
        <v>53053</v>
      </c>
      <c r="L40" s="60">
        <v>53053</v>
      </c>
      <c r="M40" s="61">
        <f t="shared" si="4"/>
        <v>0</v>
      </c>
      <c r="N40" s="62"/>
      <c r="P40" s="175"/>
      <c r="Q40" s="59" t="s">
        <v>82</v>
      </c>
      <c r="R40" s="60">
        <v>53053</v>
      </c>
      <c r="S40" s="60">
        <v>53053</v>
      </c>
      <c r="T40" s="61">
        <f t="shared" si="5"/>
        <v>0</v>
      </c>
      <c r="U40" s="62"/>
    </row>
    <row r="41" spans="1:21" ht="15" x14ac:dyDescent="0.2">
      <c r="A41" s="154"/>
      <c r="B41" s="174">
        <v>20</v>
      </c>
      <c r="C41" s="59" t="s">
        <v>80</v>
      </c>
      <c r="D41" s="60">
        <v>122106</v>
      </c>
      <c r="E41" s="60">
        <v>122354</v>
      </c>
      <c r="F41" s="61">
        <f t="shared" si="3"/>
        <v>248</v>
      </c>
      <c r="G41" s="62"/>
      <c r="H41" s="156"/>
      <c r="I41" s="174">
        <v>20</v>
      </c>
      <c r="J41" s="59" t="s">
        <v>80</v>
      </c>
      <c r="K41" s="60">
        <v>122354</v>
      </c>
      <c r="L41" s="60">
        <v>122525</v>
      </c>
      <c r="M41" s="61">
        <f t="shared" si="4"/>
        <v>171</v>
      </c>
      <c r="N41" s="62"/>
      <c r="P41" s="174">
        <v>20</v>
      </c>
      <c r="Q41" s="59" t="s">
        <v>80</v>
      </c>
      <c r="R41" s="60">
        <v>122525</v>
      </c>
      <c r="S41" s="60">
        <v>122828</v>
      </c>
      <c r="T41" s="61">
        <f t="shared" si="5"/>
        <v>303</v>
      </c>
      <c r="U41" s="62"/>
    </row>
    <row r="42" spans="1:21" ht="15" x14ac:dyDescent="0.2">
      <c r="A42" s="154"/>
      <c r="B42" s="181"/>
      <c r="C42" s="59" t="s">
        <v>81</v>
      </c>
      <c r="D42" s="60">
        <v>72822</v>
      </c>
      <c r="E42" s="60">
        <v>74576</v>
      </c>
      <c r="F42" s="61">
        <f t="shared" si="3"/>
        <v>1754</v>
      </c>
      <c r="G42" s="62"/>
      <c r="I42" s="181"/>
      <c r="J42" s="59" t="s">
        <v>81</v>
      </c>
      <c r="K42" s="60">
        <v>74576</v>
      </c>
      <c r="L42" s="60">
        <v>75660</v>
      </c>
      <c r="M42" s="61">
        <f t="shared" si="4"/>
        <v>1084</v>
      </c>
      <c r="N42" s="62"/>
      <c r="P42" s="181"/>
      <c r="Q42" s="59" t="s">
        <v>81</v>
      </c>
      <c r="R42" s="60">
        <v>75660</v>
      </c>
      <c r="S42" s="60">
        <v>76972</v>
      </c>
      <c r="T42" s="61">
        <f t="shared" si="5"/>
        <v>1312</v>
      </c>
      <c r="U42" s="62"/>
    </row>
    <row r="43" spans="1:21" ht="15" x14ac:dyDescent="0.2">
      <c r="A43" s="154"/>
      <c r="B43" s="175"/>
      <c r="C43" s="59" t="s">
        <v>82</v>
      </c>
      <c r="D43" s="60">
        <v>3469</v>
      </c>
      <c r="E43" s="60">
        <v>3482</v>
      </c>
      <c r="F43" s="61">
        <f t="shared" si="3"/>
        <v>13</v>
      </c>
      <c r="G43" s="62"/>
      <c r="I43" s="175"/>
      <c r="J43" s="59" t="s">
        <v>82</v>
      </c>
      <c r="K43" s="60">
        <v>3482</v>
      </c>
      <c r="L43" s="60">
        <v>3523</v>
      </c>
      <c r="M43" s="61">
        <f t="shared" si="4"/>
        <v>41</v>
      </c>
      <c r="N43" s="62"/>
      <c r="P43" s="175"/>
      <c r="Q43" s="59" t="s">
        <v>82</v>
      </c>
      <c r="R43" s="60">
        <v>3523</v>
      </c>
      <c r="S43" s="60">
        <v>3712</v>
      </c>
      <c r="T43" s="61">
        <f t="shared" si="5"/>
        <v>189</v>
      </c>
      <c r="U43" s="62"/>
    </row>
    <row r="44" spans="1:21" ht="15" x14ac:dyDescent="0.2">
      <c r="A44" s="154"/>
      <c r="B44" s="65"/>
      <c r="C44" s="66"/>
      <c r="D44" s="66"/>
      <c r="E44" s="66"/>
      <c r="F44" s="66"/>
      <c r="G44" s="68"/>
      <c r="I44" s="65"/>
      <c r="J44" s="66"/>
      <c r="K44" s="66"/>
      <c r="L44" s="66"/>
      <c r="M44" s="66"/>
      <c r="N44" s="68"/>
      <c r="P44" s="65"/>
      <c r="Q44" s="66"/>
      <c r="R44" s="66"/>
      <c r="S44" s="66"/>
      <c r="T44" s="66"/>
      <c r="U44" s="68"/>
    </row>
    <row r="45" spans="1:21" ht="15" x14ac:dyDescent="0.2">
      <c r="A45" s="154"/>
      <c r="B45" s="174">
        <v>21</v>
      </c>
      <c r="C45" s="69" t="s">
        <v>83</v>
      </c>
      <c r="D45" s="60">
        <v>3820</v>
      </c>
      <c r="E45" s="60">
        <v>3848</v>
      </c>
      <c r="F45" s="61">
        <f t="shared" ref="F45:F63" si="6">IF((E45-D45)&lt;0,"0",(E45-D45))</f>
        <v>28</v>
      </c>
      <c r="G45" s="63" t="s">
        <v>12</v>
      </c>
      <c r="I45" s="174">
        <v>21</v>
      </c>
      <c r="J45" s="69" t="s">
        <v>83</v>
      </c>
      <c r="K45" s="60">
        <v>3848</v>
      </c>
      <c r="L45" s="60">
        <v>3911</v>
      </c>
      <c r="M45" s="61">
        <f t="shared" ref="M45:M63" si="7">IF((L45-K45)&lt;0,"0",(L45-K45))</f>
        <v>63</v>
      </c>
      <c r="N45" s="63" t="s">
        <v>12</v>
      </c>
      <c r="P45" s="174">
        <v>21</v>
      </c>
      <c r="Q45" s="69" t="s">
        <v>83</v>
      </c>
      <c r="R45" s="60">
        <v>3911</v>
      </c>
      <c r="S45" s="60">
        <v>4016</v>
      </c>
      <c r="T45" s="61">
        <f t="shared" si="5"/>
        <v>105</v>
      </c>
      <c r="U45" s="63" t="s">
        <v>12</v>
      </c>
    </row>
    <row r="46" spans="1:21" ht="15" x14ac:dyDescent="0.2">
      <c r="A46" s="154"/>
      <c r="B46" s="181"/>
      <c r="C46" s="69" t="s">
        <v>82</v>
      </c>
      <c r="D46" s="60">
        <v>45860</v>
      </c>
      <c r="E46" s="60">
        <v>45860</v>
      </c>
      <c r="F46" s="61">
        <f t="shared" si="6"/>
        <v>0</v>
      </c>
      <c r="G46" s="62"/>
      <c r="I46" s="181"/>
      <c r="J46" s="69" t="s">
        <v>82</v>
      </c>
      <c r="K46" s="60">
        <v>45860</v>
      </c>
      <c r="L46" s="60">
        <v>45863</v>
      </c>
      <c r="M46" s="61">
        <f t="shared" si="7"/>
        <v>3</v>
      </c>
      <c r="N46" s="62"/>
      <c r="P46" s="181"/>
      <c r="Q46" s="69" t="s">
        <v>82</v>
      </c>
      <c r="R46" s="60">
        <v>45863</v>
      </c>
      <c r="S46" s="60">
        <v>45864</v>
      </c>
      <c r="T46" s="61">
        <f t="shared" si="5"/>
        <v>1</v>
      </c>
      <c r="U46" s="62"/>
    </row>
    <row r="47" spans="1:21" ht="15" x14ac:dyDescent="0.2">
      <c r="A47" s="154"/>
      <c r="B47" s="174">
        <v>22</v>
      </c>
      <c r="C47" s="69" t="s">
        <v>83</v>
      </c>
      <c r="D47" s="60">
        <v>13771</v>
      </c>
      <c r="E47" s="60">
        <v>13771</v>
      </c>
      <c r="F47" s="61">
        <f t="shared" si="6"/>
        <v>0</v>
      </c>
      <c r="G47" s="62"/>
      <c r="H47" t="s">
        <v>12</v>
      </c>
      <c r="I47" s="174">
        <v>22</v>
      </c>
      <c r="J47" s="69" t="s">
        <v>83</v>
      </c>
      <c r="K47" s="60">
        <v>13771</v>
      </c>
      <c r="L47" s="60">
        <v>13771</v>
      </c>
      <c r="M47" s="61">
        <f t="shared" si="7"/>
        <v>0</v>
      </c>
      <c r="N47" s="62"/>
      <c r="P47" s="174">
        <v>22</v>
      </c>
      <c r="Q47" s="69" t="s">
        <v>83</v>
      </c>
      <c r="R47" s="60">
        <v>13771</v>
      </c>
      <c r="S47" s="60">
        <v>13771</v>
      </c>
      <c r="T47" s="61">
        <f t="shared" si="5"/>
        <v>0</v>
      </c>
      <c r="U47" s="62"/>
    </row>
    <row r="48" spans="1:21" ht="15" x14ac:dyDescent="0.2">
      <c r="A48" s="154"/>
      <c r="B48" s="181"/>
      <c r="C48" s="69" t="s">
        <v>82</v>
      </c>
      <c r="D48" s="60">
        <v>21341</v>
      </c>
      <c r="E48" s="60">
        <v>21494</v>
      </c>
      <c r="F48" s="61">
        <f t="shared" si="6"/>
        <v>153</v>
      </c>
      <c r="G48" s="62"/>
      <c r="I48" s="181"/>
      <c r="J48" s="69" t="s">
        <v>82</v>
      </c>
      <c r="K48" s="60">
        <v>21494</v>
      </c>
      <c r="L48" s="60">
        <v>21596</v>
      </c>
      <c r="M48" s="61">
        <f t="shared" si="7"/>
        <v>102</v>
      </c>
      <c r="N48" s="62"/>
      <c r="P48" s="181"/>
      <c r="Q48" s="69" t="s">
        <v>82</v>
      </c>
      <c r="R48" s="60">
        <v>21596</v>
      </c>
      <c r="S48" s="60">
        <v>21750</v>
      </c>
      <c r="T48" s="61">
        <f t="shared" si="5"/>
        <v>154</v>
      </c>
      <c r="U48" s="62"/>
    </row>
    <row r="49" spans="1:21" ht="15" x14ac:dyDescent="0.2">
      <c r="A49" s="154"/>
      <c r="B49" s="174">
        <v>23</v>
      </c>
      <c r="C49" s="59" t="s">
        <v>83</v>
      </c>
      <c r="D49" s="60"/>
      <c r="E49" s="60"/>
      <c r="F49" s="61">
        <f t="shared" si="6"/>
        <v>0</v>
      </c>
      <c r="G49" s="62"/>
      <c r="I49" s="174">
        <v>23</v>
      </c>
      <c r="J49" s="59" t="s">
        <v>83</v>
      </c>
      <c r="K49" s="60"/>
      <c r="L49" s="60"/>
      <c r="M49" s="61">
        <f t="shared" si="7"/>
        <v>0</v>
      </c>
      <c r="N49" s="62"/>
      <c r="P49" s="174">
        <v>23</v>
      </c>
      <c r="Q49" s="59" t="s">
        <v>83</v>
      </c>
      <c r="R49" s="60"/>
      <c r="S49" s="60"/>
      <c r="T49" s="61">
        <f t="shared" si="5"/>
        <v>0</v>
      </c>
      <c r="U49" s="62"/>
    </row>
    <row r="50" spans="1:21" ht="15" x14ac:dyDescent="0.2">
      <c r="A50" s="154"/>
      <c r="B50" s="181"/>
      <c r="C50" s="59" t="s">
        <v>82</v>
      </c>
      <c r="D50" s="60"/>
      <c r="E50" s="60"/>
      <c r="F50" s="61">
        <f t="shared" si="6"/>
        <v>0</v>
      </c>
      <c r="G50" s="62"/>
      <c r="I50" s="181"/>
      <c r="J50" s="59" t="s">
        <v>82</v>
      </c>
      <c r="K50" s="60"/>
      <c r="L50" s="60"/>
      <c r="M50" s="61">
        <f t="shared" si="7"/>
        <v>0</v>
      </c>
      <c r="N50" s="62"/>
      <c r="P50" s="181"/>
      <c r="Q50" s="59" t="s">
        <v>82</v>
      </c>
      <c r="R50" s="60"/>
      <c r="S50" s="60"/>
      <c r="T50" s="61">
        <f t="shared" si="5"/>
        <v>0</v>
      </c>
      <c r="U50" s="62"/>
    </row>
    <row r="51" spans="1:21" ht="15" x14ac:dyDescent="0.2">
      <c r="A51" s="154"/>
      <c r="B51" s="70"/>
      <c r="C51" s="66"/>
      <c r="D51" s="67"/>
      <c r="E51" s="67"/>
      <c r="F51" s="66">
        <f t="shared" si="6"/>
        <v>0</v>
      </c>
      <c r="G51" s="68"/>
      <c r="I51" s="70"/>
      <c r="J51" s="66"/>
      <c r="K51" s="67"/>
      <c r="L51" s="67"/>
      <c r="M51" s="66">
        <f t="shared" si="7"/>
        <v>0</v>
      </c>
      <c r="N51" s="68"/>
      <c r="P51" s="70"/>
      <c r="Q51" s="66"/>
      <c r="R51" s="67"/>
      <c r="S51" s="67"/>
      <c r="T51" s="66">
        <f t="shared" si="5"/>
        <v>0</v>
      </c>
      <c r="U51" s="68"/>
    </row>
    <row r="52" spans="1:21" ht="15" x14ac:dyDescent="0.2">
      <c r="A52" s="154"/>
      <c r="B52" s="182">
        <v>24</v>
      </c>
      <c r="C52" s="59" t="s">
        <v>84</v>
      </c>
      <c r="D52" s="60">
        <v>255854</v>
      </c>
      <c r="E52" s="60">
        <v>256606</v>
      </c>
      <c r="F52" s="61">
        <f t="shared" si="6"/>
        <v>752</v>
      </c>
      <c r="G52" s="71"/>
      <c r="I52" s="182">
        <v>24</v>
      </c>
      <c r="J52" s="59" t="s">
        <v>84</v>
      </c>
      <c r="K52" s="60">
        <v>256606</v>
      </c>
      <c r="L52" s="60">
        <v>257417</v>
      </c>
      <c r="M52" s="61">
        <f t="shared" si="7"/>
        <v>811</v>
      </c>
      <c r="N52" s="71"/>
      <c r="P52" s="182">
        <v>24</v>
      </c>
      <c r="Q52" s="59" t="s">
        <v>84</v>
      </c>
      <c r="R52" s="60">
        <v>257417</v>
      </c>
      <c r="S52" s="60">
        <v>259040</v>
      </c>
      <c r="T52" s="61">
        <f t="shared" si="5"/>
        <v>1623</v>
      </c>
      <c r="U52" s="71"/>
    </row>
    <row r="53" spans="1:21" ht="15" x14ac:dyDescent="0.2">
      <c r="A53" s="154"/>
      <c r="B53" s="183"/>
      <c r="C53" s="59" t="s">
        <v>85</v>
      </c>
      <c r="D53" s="60">
        <v>541352</v>
      </c>
      <c r="E53" s="60">
        <v>541849</v>
      </c>
      <c r="F53" s="61">
        <f t="shared" si="6"/>
        <v>497</v>
      </c>
      <c r="G53" s="64"/>
      <c r="I53" s="183"/>
      <c r="J53" s="59" t="s">
        <v>85</v>
      </c>
      <c r="K53" s="60">
        <v>541849</v>
      </c>
      <c r="L53" s="60">
        <v>542198</v>
      </c>
      <c r="M53" s="61">
        <f t="shared" si="7"/>
        <v>349</v>
      </c>
      <c r="N53" s="64"/>
      <c r="P53" s="183"/>
      <c r="Q53" s="59" t="s">
        <v>85</v>
      </c>
      <c r="R53" s="60">
        <v>542198</v>
      </c>
      <c r="S53" s="60">
        <v>542733</v>
      </c>
      <c r="T53" s="61">
        <f t="shared" si="5"/>
        <v>535</v>
      </c>
      <c r="U53" s="64"/>
    </row>
    <row r="54" spans="1:21" ht="15" x14ac:dyDescent="0.2">
      <c r="A54" s="154"/>
      <c r="B54" s="184"/>
      <c r="C54" s="59" t="s">
        <v>84</v>
      </c>
      <c r="D54" s="60">
        <v>34557</v>
      </c>
      <c r="E54" s="60">
        <v>34567</v>
      </c>
      <c r="F54" s="61">
        <f t="shared" si="6"/>
        <v>10</v>
      </c>
      <c r="G54" s="72" t="s">
        <v>12</v>
      </c>
      <c r="I54" s="184"/>
      <c r="J54" s="59" t="s">
        <v>84</v>
      </c>
      <c r="K54" s="60">
        <v>34567</v>
      </c>
      <c r="L54" s="60">
        <v>34567</v>
      </c>
      <c r="M54" s="61">
        <f t="shared" si="7"/>
        <v>0</v>
      </c>
      <c r="N54" s="72" t="s">
        <v>12</v>
      </c>
      <c r="P54" s="184"/>
      <c r="Q54" s="59" t="s">
        <v>84</v>
      </c>
      <c r="R54" s="60">
        <v>34567</v>
      </c>
      <c r="S54" s="60">
        <v>34567</v>
      </c>
      <c r="T54" s="61">
        <f t="shared" si="5"/>
        <v>0</v>
      </c>
      <c r="U54" s="72" t="s">
        <v>12</v>
      </c>
    </row>
    <row r="55" spans="1:21" ht="15" x14ac:dyDescent="0.2">
      <c r="A55" s="154"/>
      <c r="B55" s="174">
        <v>25</v>
      </c>
      <c r="C55" s="59" t="s">
        <v>84</v>
      </c>
      <c r="D55" s="60">
        <v>330</v>
      </c>
      <c r="E55" s="60">
        <v>330</v>
      </c>
      <c r="F55" s="61">
        <f t="shared" si="6"/>
        <v>0</v>
      </c>
      <c r="G55" s="62"/>
      <c r="I55" s="174">
        <v>25</v>
      </c>
      <c r="J55" s="59" t="s">
        <v>84</v>
      </c>
      <c r="K55" s="60">
        <v>330</v>
      </c>
      <c r="L55" s="60">
        <v>330</v>
      </c>
      <c r="M55" s="61">
        <f t="shared" si="7"/>
        <v>0</v>
      </c>
      <c r="N55" s="62"/>
      <c r="P55" s="174">
        <v>25</v>
      </c>
      <c r="Q55" s="59" t="s">
        <v>84</v>
      </c>
      <c r="R55" s="60">
        <v>330</v>
      </c>
      <c r="S55" s="60">
        <v>330</v>
      </c>
      <c r="T55" s="61">
        <f t="shared" si="5"/>
        <v>0</v>
      </c>
      <c r="U55" s="62"/>
    </row>
    <row r="56" spans="1:21" ht="15" x14ac:dyDescent="0.2">
      <c r="A56" s="154"/>
      <c r="B56" s="175"/>
      <c r="C56" s="59" t="s">
        <v>85</v>
      </c>
      <c r="D56" s="60">
        <v>3</v>
      </c>
      <c r="E56" s="60">
        <v>3</v>
      </c>
      <c r="F56" s="61">
        <f t="shared" si="6"/>
        <v>0</v>
      </c>
      <c r="G56" s="62"/>
      <c r="I56" s="175"/>
      <c r="J56" s="59" t="s">
        <v>85</v>
      </c>
      <c r="K56" s="60">
        <v>3</v>
      </c>
      <c r="L56" s="60">
        <v>3</v>
      </c>
      <c r="M56" s="61">
        <f t="shared" si="7"/>
        <v>0</v>
      </c>
      <c r="N56" s="62"/>
      <c r="P56" s="175"/>
      <c r="Q56" s="59" t="s">
        <v>85</v>
      </c>
      <c r="R56" s="60">
        <v>3</v>
      </c>
      <c r="S56" s="60">
        <v>3</v>
      </c>
      <c r="T56" s="61">
        <f t="shared" si="5"/>
        <v>0</v>
      </c>
      <c r="U56" s="62"/>
    </row>
    <row r="57" spans="1:21" ht="15" x14ac:dyDescent="0.2">
      <c r="A57" s="154"/>
      <c r="B57" s="174">
        <v>26</v>
      </c>
      <c r="C57" s="59" t="s">
        <v>84</v>
      </c>
      <c r="D57" s="60">
        <v>743691</v>
      </c>
      <c r="E57" s="60">
        <v>746414</v>
      </c>
      <c r="F57" s="61">
        <f t="shared" si="6"/>
        <v>2723</v>
      </c>
      <c r="G57" s="62"/>
      <c r="I57" s="174">
        <v>26</v>
      </c>
      <c r="J57" s="59" t="s">
        <v>84</v>
      </c>
      <c r="K57" s="60">
        <v>746414</v>
      </c>
      <c r="L57" s="60">
        <v>748380</v>
      </c>
      <c r="M57" s="61">
        <f t="shared" si="7"/>
        <v>1966</v>
      </c>
      <c r="N57" s="62"/>
      <c r="P57" s="174">
        <v>26</v>
      </c>
      <c r="Q57" s="59" t="s">
        <v>84</v>
      </c>
      <c r="R57" s="60">
        <v>748380</v>
      </c>
      <c r="S57" s="60">
        <v>751807</v>
      </c>
      <c r="T57" s="61">
        <f t="shared" si="5"/>
        <v>3427</v>
      </c>
      <c r="U57" s="62"/>
    </row>
    <row r="58" spans="1:21" ht="15" x14ac:dyDescent="0.2">
      <c r="A58" s="154"/>
      <c r="B58" s="175"/>
      <c r="C58" s="59" t="s">
        <v>85</v>
      </c>
      <c r="D58" s="60">
        <v>820373</v>
      </c>
      <c r="E58" s="60">
        <v>823930</v>
      </c>
      <c r="F58" s="61">
        <f t="shared" si="6"/>
        <v>3557</v>
      </c>
      <c r="G58" s="64"/>
      <c r="H58" s="156"/>
      <c r="I58" s="175"/>
      <c r="J58" s="59" t="s">
        <v>85</v>
      </c>
      <c r="K58" s="60">
        <v>823930</v>
      </c>
      <c r="L58" s="60">
        <v>826607</v>
      </c>
      <c r="M58" s="61">
        <f t="shared" si="7"/>
        <v>2677</v>
      </c>
      <c r="N58" s="64"/>
      <c r="P58" s="175"/>
      <c r="Q58" s="59" t="s">
        <v>85</v>
      </c>
      <c r="R58" s="60">
        <v>826607</v>
      </c>
      <c r="S58" s="60">
        <v>830921</v>
      </c>
      <c r="T58" s="61">
        <f t="shared" si="5"/>
        <v>4314</v>
      </c>
      <c r="U58" s="64"/>
    </row>
    <row r="59" spans="1:21" ht="15" x14ac:dyDescent="0.2">
      <c r="A59" s="154"/>
      <c r="B59" s="174">
        <v>27</v>
      </c>
      <c r="C59" s="59" t="s">
        <v>84</v>
      </c>
      <c r="D59" s="60">
        <v>252317</v>
      </c>
      <c r="E59" s="60">
        <v>253313</v>
      </c>
      <c r="F59" s="61">
        <f t="shared" si="6"/>
        <v>996</v>
      </c>
      <c r="G59" s="62"/>
      <c r="H59" s="156"/>
      <c r="I59" s="174">
        <v>27</v>
      </c>
      <c r="J59" s="59" t="s">
        <v>84</v>
      </c>
      <c r="K59" s="60">
        <v>253313</v>
      </c>
      <c r="L59" s="60">
        <v>254074</v>
      </c>
      <c r="M59" s="61">
        <f t="shared" si="7"/>
        <v>761</v>
      </c>
      <c r="N59" s="62"/>
      <c r="P59" s="174">
        <v>27</v>
      </c>
      <c r="Q59" s="59" t="s">
        <v>84</v>
      </c>
      <c r="R59" s="60">
        <v>254074</v>
      </c>
      <c r="S59" s="60">
        <v>255356</v>
      </c>
      <c r="T59" s="61">
        <f t="shared" si="5"/>
        <v>1282</v>
      </c>
      <c r="U59" s="62"/>
    </row>
    <row r="60" spans="1:21" ht="15" x14ac:dyDescent="0.2">
      <c r="A60" s="154"/>
      <c r="B60" s="175"/>
      <c r="C60" s="59" t="s">
        <v>85</v>
      </c>
      <c r="D60" s="60">
        <v>107034</v>
      </c>
      <c r="E60" s="60">
        <v>107404</v>
      </c>
      <c r="F60" s="61">
        <f t="shared" si="6"/>
        <v>370</v>
      </c>
      <c r="G60" s="62"/>
      <c r="H60" s="156"/>
      <c r="I60" s="175"/>
      <c r="J60" s="59" t="s">
        <v>85</v>
      </c>
      <c r="K60" s="60">
        <v>107404</v>
      </c>
      <c r="L60" s="60">
        <v>108101</v>
      </c>
      <c r="M60" s="61">
        <f t="shared" si="7"/>
        <v>697</v>
      </c>
      <c r="N60" s="62"/>
      <c r="P60" s="175"/>
      <c r="Q60" s="59" t="s">
        <v>85</v>
      </c>
      <c r="R60" s="60">
        <v>108101</v>
      </c>
      <c r="S60" s="60">
        <v>111872</v>
      </c>
      <c r="T60" s="61">
        <f t="shared" si="5"/>
        <v>3771</v>
      </c>
      <c r="U60" s="62"/>
    </row>
    <row r="61" spans="1:21" ht="15" x14ac:dyDescent="0.2">
      <c r="A61" s="154"/>
      <c r="B61" s="65"/>
      <c r="C61" s="66"/>
      <c r="D61" s="66"/>
      <c r="E61" s="66"/>
      <c r="F61" s="66">
        <f t="shared" si="6"/>
        <v>0</v>
      </c>
      <c r="G61" s="68"/>
      <c r="H61" s="156"/>
      <c r="I61" s="65"/>
      <c r="J61" s="66"/>
      <c r="K61" s="66"/>
      <c r="L61" s="66"/>
      <c r="M61" s="66">
        <f t="shared" si="7"/>
        <v>0</v>
      </c>
      <c r="N61" s="68"/>
      <c r="P61" s="65"/>
      <c r="Q61" s="66"/>
      <c r="R61" s="66"/>
      <c r="S61" s="66"/>
      <c r="T61" s="66">
        <f t="shared" si="5"/>
        <v>0</v>
      </c>
      <c r="U61" s="68"/>
    </row>
    <row r="62" spans="1:21" ht="15" x14ac:dyDescent="0.2">
      <c r="A62" s="154"/>
      <c r="B62" s="174">
        <v>28</v>
      </c>
      <c r="C62" s="178" t="s">
        <v>86</v>
      </c>
      <c r="D62" s="60"/>
      <c r="E62" s="60"/>
      <c r="F62" s="61">
        <f t="shared" si="6"/>
        <v>0</v>
      </c>
      <c r="G62" s="176" t="s">
        <v>87</v>
      </c>
      <c r="H62" s="156"/>
      <c r="I62" s="174">
        <v>28</v>
      </c>
      <c r="J62" s="178" t="s">
        <v>86</v>
      </c>
      <c r="K62" s="60"/>
      <c r="L62" s="60"/>
      <c r="M62" s="61">
        <f t="shared" si="7"/>
        <v>0</v>
      </c>
      <c r="N62" s="176" t="s">
        <v>87</v>
      </c>
      <c r="P62" s="174">
        <v>28</v>
      </c>
      <c r="Q62" s="178" t="s">
        <v>86</v>
      </c>
      <c r="R62" s="60"/>
      <c r="S62" s="60"/>
      <c r="T62" s="61">
        <f t="shared" si="5"/>
        <v>0</v>
      </c>
      <c r="U62" s="176" t="s">
        <v>87</v>
      </c>
    </row>
    <row r="63" spans="1:21" ht="15" x14ac:dyDescent="0.2">
      <c r="A63" s="154"/>
      <c r="B63" s="175"/>
      <c r="C63" s="179"/>
      <c r="D63" s="60"/>
      <c r="E63" s="60"/>
      <c r="F63" s="61">
        <f t="shared" si="6"/>
        <v>0</v>
      </c>
      <c r="G63" s="177"/>
      <c r="H63" s="156"/>
      <c r="I63" s="175"/>
      <c r="J63" s="179"/>
      <c r="K63" s="60"/>
      <c r="L63" s="60"/>
      <c r="M63" s="61">
        <f t="shared" si="7"/>
        <v>0</v>
      </c>
      <c r="N63" s="177"/>
      <c r="P63" s="175"/>
      <c r="Q63" s="179"/>
      <c r="R63" s="60"/>
      <c r="S63" s="60"/>
      <c r="T63" s="61">
        <f t="shared" si="5"/>
        <v>0</v>
      </c>
      <c r="U63" s="177"/>
    </row>
    <row r="64" spans="1:21" x14ac:dyDescent="0.2">
      <c r="A64" s="154"/>
      <c r="B64" s="180" t="s">
        <v>88</v>
      </c>
      <c r="C64" s="180"/>
      <c r="D64" s="180"/>
      <c r="E64" s="180"/>
      <c r="F64" s="73">
        <f>SUM(F2:F63)</f>
        <v>29502</v>
      </c>
      <c r="G64" s="74"/>
      <c r="H64" s="156"/>
      <c r="I64" s="180" t="s">
        <v>88</v>
      </c>
      <c r="J64" s="180"/>
      <c r="K64" s="180"/>
      <c r="L64" s="180"/>
      <c r="M64" s="73">
        <f>SUM(M2:M63)</f>
        <v>22105</v>
      </c>
      <c r="N64" s="74"/>
      <c r="P64" s="180" t="s">
        <v>88</v>
      </c>
      <c r="Q64" s="180"/>
      <c r="R64" s="180"/>
      <c r="S64" s="180"/>
      <c r="T64" s="73">
        <f>SUM(T2:T63)</f>
        <v>38228</v>
      </c>
      <c r="U64" s="74"/>
    </row>
    <row r="68" spans="1:14" ht="13.5" thickBot="1" x14ac:dyDescent="0.25">
      <c r="A68" s="158"/>
      <c r="B68" s="158"/>
      <c r="C68" s="159" t="s">
        <v>12</v>
      </c>
      <c r="D68" s="158"/>
      <c r="E68" s="158"/>
      <c r="F68" s="158"/>
      <c r="G68" s="158"/>
    </row>
    <row r="69" spans="1:14" ht="13.5" thickBot="1" x14ac:dyDescent="0.25">
      <c r="A69" s="168">
        <v>44774</v>
      </c>
      <c r="B69" s="169"/>
      <c r="C69" s="169"/>
      <c r="D69" s="170"/>
      <c r="E69" s="160"/>
      <c r="F69" s="168">
        <v>44805</v>
      </c>
      <c r="G69" s="169"/>
      <c r="H69" s="169"/>
      <c r="I69" s="170"/>
      <c r="J69" s="160"/>
      <c r="K69" s="171" t="s">
        <v>25</v>
      </c>
      <c r="L69" s="172"/>
      <c r="M69" s="172"/>
      <c r="N69" s="173"/>
    </row>
    <row r="70" spans="1:14" ht="13.5" thickBot="1" x14ac:dyDescent="0.25">
      <c r="A70" s="130" t="s">
        <v>139</v>
      </c>
      <c r="B70" s="130">
        <v>30</v>
      </c>
      <c r="C70" s="130" t="s">
        <v>89</v>
      </c>
      <c r="D70" s="130" t="s">
        <v>90</v>
      </c>
      <c r="E70" s="158"/>
      <c r="F70" s="130" t="s">
        <v>139</v>
      </c>
      <c r="G70" s="130">
        <v>30</v>
      </c>
      <c r="H70" s="130" t="s">
        <v>89</v>
      </c>
      <c r="I70" s="130" t="s">
        <v>90</v>
      </c>
      <c r="J70" s="158"/>
      <c r="K70" s="161" t="s">
        <v>77</v>
      </c>
      <c r="L70" s="161">
        <v>30</v>
      </c>
      <c r="M70" s="161" t="s">
        <v>89</v>
      </c>
      <c r="N70" s="161" t="s">
        <v>90</v>
      </c>
    </row>
    <row r="71" spans="1:14" ht="15.75" thickBot="1" x14ac:dyDescent="0.25">
      <c r="A71" s="75">
        <v>6</v>
      </c>
      <c r="B71" s="76">
        <v>100280</v>
      </c>
      <c r="C71" s="77">
        <v>61362</v>
      </c>
      <c r="D71" s="78">
        <v>78970</v>
      </c>
      <c r="E71" s="158"/>
      <c r="F71" s="75">
        <v>6</v>
      </c>
      <c r="G71" s="76">
        <v>100923</v>
      </c>
      <c r="H71" s="77">
        <v>61931</v>
      </c>
      <c r="I71" s="78">
        <v>78973</v>
      </c>
      <c r="J71" s="158"/>
      <c r="K71" s="161">
        <v>6</v>
      </c>
      <c r="L71" s="162">
        <f>G71-B71</f>
        <v>643</v>
      </c>
      <c r="M71" s="162">
        <f>H71-C71</f>
        <v>569</v>
      </c>
      <c r="N71" s="162">
        <f>I71-D71</f>
        <v>3</v>
      </c>
    </row>
    <row r="72" spans="1:14" ht="15.75" thickBot="1" x14ac:dyDescent="0.25">
      <c r="A72" s="75">
        <v>7</v>
      </c>
      <c r="B72" s="76">
        <v>102687</v>
      </c>
      <c r="C72" s="77">
        <v>106619</v>
      </c>
      <c r="D72" s="78">
        <v>68308</v>
      </c>
      <c r="E72" s="158"/>
      <c r="F72" s="75">
        <v>7</v>
      </c>
      <c r="G72" s="76">
        <v>102943</v>
      </c>
      <c r="H72" s="77">
        <v>107004</v>
      </c>
      <c r="I72" s="78">
        <v>68426</v>
      </c>
      <c r="J72" s="158"/>
      <c r="K72" s="161">
        <v>7</v>
      </c>
      <c r="L72" s="162">
        <f t="shared" ref="L72:N92" si="8">G72-B72</f>
        <v>256</v>
      </c>
      <c r="M72" s="162">
        <f t="shared" si="8"/>
        <v>385</v>
      </c>
      <c r="N72" s="162">
        <f t="shared" si="8"/>
        <v>118</v>
      </c>
    </row>
    <row r="73" spans="1:14" ht="15.75" thickBot="1" x14ac:dyDescent="0.25">
      <c r="A73" s="75">
        <v>8</v>
      </c>
      <c r="B73" s="76">
        <v>123456</v>
      </c>
      <c r="C73" s="77">
        <v>272139</v>
      </c>
      <c r="D73" s="78">
        <v>114347</v>
      </c>
      <c r="E73" s="158"/>
      <c r="F73" s="75">
        <v>8</v>
      </c>
      <c r="G73" s="76">
        <v>124578</v>
      </c>
      <c r="H73" s="77">
        <v>274450</v>
      </c>
      <c r="I73" s="78">
        <v>114657</v>
      </c>
      <c r="J73" s="158"/>
      <c r="K73" s="161">
        <v>8</v>
      </c>
      <c r="L73" s="162">
        <f t="shared" si="8"/>
        <v>1122</v>
      </c>
      <c r="M73" s="162">
        <f t="shared" si="8"/>
        <v>2311</v>
      </c>
      <c r="N73" s="162">
        <f t="shared" si="8"/>
        <v>310</v>
      </c>
    </row>
    <row r="74" spans="1:14" ht="15.75" thickBot="1" x14ac:dyDescent="0.25">
      <c r="A74" s="75">
        <v>9</v>
      </c>
      <c r="B74" s="76">
        <v>69861</v>
      </c>
      <c r="C74" s="77">
        <v>157615</v>
      </c>
      <c r="D74" s="78">
        <v>169360</v>
      </c>
      <c r="E74" s="158"/>
      <c r="F74" s="75">
        <v>9</v>
      </c>
      <c r="G74" s="76">
        <v>70009</v>
      </c>
      <c r="H74" s="77">
        <v>157904</v>
      </c>
      <c r="I74" s="78">
        <v>171070</v>
      </c>
      <c r="J74" s="158"/>
      <c r="K74" s="161">
        <v>9</v>
      </c>
      <c r="L74" s="162">
        <f t="shared" si="8"/>
        <v>148</v>
      </c>
      <c r="M74" s="162">
        <f t="shared" si="8"/>
        <v>289</v>
      </c>
      <c r="N74" s="162">
        <f t="shared" si="8"/>
        <v>1710</v>
      </c>
    </row>
    <row r="75" spans="1:14" ht="15.75" thickBot="1" x14ac:dyDescent="0.25">
      <c r="A75" s="75">
        <v>10</v>
      </c>
      <c r="B75" s="76">
        <v>78103</v>
      </c>
      <c r="C75" s="77">
        <v>129344</v>
      </c>
      <c r="D75" s="78">
        <v>160742</v>
      </c>
      <c r="E75" s="158"/>
      <c r="F75" s="75">
        <v>10</v>
      </c>
      <c r="G75" s="76">
        <v>78503</v>
      </c>
      <c r="H75" s="77">
        <v>131120</v>
      </c>
      <c r="I75" s="78">
        <v>163137</v>
      </c>
      <c r="J75" s="158"/>
      <c r="K75" s="161">
        <v>10</v>
      </c>
      <c r="L75" s="162">
        <f t="shared" si="8"/>
        <v>400</v>
      </c>
      <c r="M75" s="162">
        <f t="shared" si="8"/>
        <v>1776</v>
      </c>
      <c r="N75" s="162">
        <f t="shared" si="8"/>
        <v>2395</v>
      </c>
    </row>
    <row r="76" spans="1:14" ht="15.75" thickBot="1" x14ac:dyDescent="0.25">
      <c r="A76" s="75">
        <v>11</v>
      </c>
      <c r="B76" s="76">
        <v>164711</v>
      </c>
      <c r="C76" s="77">
        <v>191132</v>
      </c>
      <c r="D76" s="78">
        <v>215179</v>
      </c>
      <c r="E76" s="158"/>
      <c r="F76" s="75">
        <v>11</v>
      </c>
      <c r="G76" s="76">
        <v>165811</v>
      </c>
      <c r="H76" s="77">
        <v>191733</v>
      </c>
      <c r="I76" s="78">
        <v>216113</v>
      </c>
      <c r="J76" s="158"/>
      <c r="K76" s="161">
        <v>11</v>
      </c>
      <c r="L76" s="162">
        <f>G76-B76</f>
        <v>1100</v>
      </c>
      <c r="M76" s="162">
        <f t="shared" si="8"/>
        <v>601</v>
      </c>
      <c r="N76" s="162">
        <f t="shared" si="8"/>
        <v>934</v>
      </c>
    </row>
    <row r="77" spans="1:14" ht="15.75" thickBot="1" x14ac:dyDescent="0.25">
      <c r="A77" s="75">
        <v>12</v>
      </c>
      <c r="B77" s="76">
        <v>158348</v>
      </c>
      <c r="C77" s="77">
        <v>101911</v>
      </c>
      <c r="D77" s="78">
        <v>102737</v>
      </c>
      <c r="E77" s="158"/>
      <c r="F77" s="75">
        <v>12</v>
      </c>
      <c r="G77" s="76">
        <v>159061</v>
      </c>
      <c r="H77" s="77">
        <v>103019</v>
      </c>
      <c r="I77" s="78">
        <v>103708</v>
      </c>
      <c r="J77" s="158"/>
      <c r="K77" s="161">
        <v>12</v>
      </c>
      <c r="L77" s="162">
        <f t="shared" si="8"/>
        <v>713</v>
      </c>
      <c r="M77" s="162">
        <f>H77-C77</f>
        <v>1108</v>
      </c>
      <c r="N77" s="162">
        <f t="shared" si="8"/>
        <v>971</v>
      </c>
    </row>
    <row r="78" spans="1:14" ht="15.75" thickBot="1" x14ac:dyDescent="0.25">
      <c r="A78" s="75">
        <v>14</v>
      </c>
      <c r="B78" s="76">
        <v>124280</v>
      </c>
      <c r="C78" s="77">
        <v>49876</v>
      </c>
      <c r="D78" s="78">
        <v>52303</v>
      </c>
      <c r="E78" s="158"/>
      <c r="F78" s="75">
        <v>14</v>
      </c>
      <c r="G78" s="76">
        <v>124679</v>
      </c>
      <c r="H78" s="77">
        <v>49938</v>
      </c>
      <c r="I78" s="78">
        <v>52433</v>
      </c>
      <c r="J78" s="158"/>
      <c r="K78" s="161">
        <v>14</v>
      </c>
      <c r="L78" s="162">
        <f t="shared" si="8"/>
        <v>399</v>
      </c>
      <c r="M78" s="162">
        <f t="shared" si="8"/>
        <v>62</v>
      </c>
      <c r="N78" s="162">
        <f t="shared" si="8"/>
        <v>130</v>
      </c>
    </row>
    <row r="79" spans="1:14" ht="15.75" thickBot="1" x14ac:dyDescent="0.25">
      <c r="A79" s="75">
        <v>15</v>
      </c>
      <c r="B79" s="76">
        <v>178966</v>
      </c>
      <c r="C79" s="77">
        <v>159122</v>
      </c>
      <c r="D79" s="78">
        <v>166419</v>
      </c>
      <c r="E79" s="158"/>
      <c r="F79" s="75">
        <v>15</v>
      </c>
      <c r="G79" s="76">
        <v>179567</v>
      </c>
      <c r="H79" s="77">
        <v>160504</v>
      </c>
      <c r="I79" s="78">
        <v>167265</v>
      </c>
      <c r="J79" s="158"/>
      <c r="K79" s="161">
        <v>15</v>
      </c>
      <c r="L79" s="162">
        <f t="shared" si="8"/>
        <v>601</v>
      </c>
      <c r="M79" s="162">
        <f t="shared" si="8"/>
        <v>1382</v>
      </c>
      <c r="N79" s="162">
        <f t="shared" si="8"/>
        <v>846</v>
      </c>
    </row>
    <row r="80" spans="1:14" ht="15.75" thickBot="1" x14ac:dyDescent="0.25">
      <c r="A80" s="75">
        <v>16</v>
      </c>
      <c r="B80" s="76">
        <v>131922</v>
      </c>
      <c r="C80" s="77">
        <v>159821</v>
      </c>
      <c r="D80" s="78">
        <v>221459</v>
      </c>
      <c r="E80" s="158"/>
      <c r="F80" s="75">
        <v>16</v>
      </c>
      <c r="G80" s="76">
        <v>133482</v>
      </c>
      <c r="H80" s="77">
        <v>160560</v>
      </c>
      <c r="I80" s="78">
        <v>221589</v>
      </c>
      <c r="J80" s="158"/>
      <c r="K80" s="161">
        <v>16</v>
      </c>
      <c r="L80" s="162">
        <f t="shared" si="8"/>
        <v>1560</v>
      </c>
      <c r="M80" s="162">
        <f t="shared" si="8"/>
        <v>739</v>
      </c>
      <c r="N80" s="162">
        <f t="shared" si="8"/>
        <v>130</v>
      </c>
    </row>
    <row r="81" spans="1:14" ht="15.75" thickBot="1" x14ac:dyDescent="0.25">
      <c r="A81" s="75">
        <v>17</v>
      </c>
      <c r="B81" s="76">
        <v>38476</v>
      </c>
      <c r="C81" s="77">
        <v>89273</v>
      </c>
      <c r="D81" s="78">
        <v>204397</v>
      </c>
      <c r="E81" s="158"/>
      <c r="F81" s="75">
        <v>17</v>
      </c>
      <c r="G81" s="76">
        <v>38476</v>
      </c>
      <c r="H81" s="77">
        <v>89739</v>
      </c>
      <c r="I81" s="78">
        <v>204707</v>
      </c>
      <c r="J81" s="158"/>
      <c r="K81" s="161">
        <v>17</v>
      </c>
      <c r="L81" s="162">
        <f t="shared" si="8"/>
        <v>0</v>
      </c>
      <c r="M81" s="162">
        <f t="shared" si="8"/>
        <v>466</v>
      </c>
      <c r="N81" s="162">
        <f t="shared" si="8"/>
        <v>310</v>
      </c>
    </row>
    <row r="82" spans="1:14" ht="15.75" thickBot="1" x14ac:dyDescent="0.25">
      <c r="A82" s="75">
        <v>18</v>
      </c>
      <c r="B82" s="76">
        <v>142344</v>
      </c>
      <c r="C82" s="77">
        <v>75883</v>
      </c>
      <c r="D82" s="78">
        <v>167774</v>
      </c>
      <c r="E82" s="158"/>
      <c r="F82" s="75">
        <v>18</v>
      </c>
      <c r="G82" s="76">
        <v>142800</v>
      </c>
      <c r="H82" s="77">
        <v>76162</v>
      </c>
      <c r="I82" s="78">
        <v>168502</v>
      </c>
      <c r="J82" s="158"/>
      <c r="K82" s="161">
        <v>18</v>
      </c>
      <c r="L82" s="162">
        <f t="shared" si="8"/>
        <v>456</v>
      </c>
      <c r="M82" s="162">
        <f t="shared" si="8"/>
        <v>279</v>
      </c>
      <c r="N82" s="162">
        <f t="shared" si="8"/>
        <v>728</v>
      </c>
    </row>
    <row r="83" spans="1:14" ht="15.75" thickBot="1" x14ac:dyDescent="0.25">
      <c r="A83" s="75">
        <v>19</v>
      </c>
      <c r="B83" s="76">
        <v>78841</v>
      </c>
      <c r="C83" s="77">
        <v>178038</v>
      </c>
      <c r="D83" s="78">
        <v>131808</v>
      </c>
      <c r="E83" s="158"/>
      <c r="F83" s="75">
        <v>19</v>
      </c>
      <c r="G83" s="76">
        <v>78910</v>
      </c>
      <c r="H83" s="77">
        <v>178832</v>
      </c>
      <c r="I83" s="78">
        <v>132423</v>
      </c>
      <c r="J83" s="158"/>
      <c r="K83" s="161">
        <v>19</v>
      </c>
      <c r="L83" s="162">
        <f t="shared" si="8"/>
        <v>69</v>
      </c>
      <c r="M83" s="162">
        <f t="shared" si="8"/>
        <v>794</v>
      </c>
      <c r="N83" s="162">
        <f t="shared" si="8"/>
        <v>615</v>
      </c>
    </row>
    <row r="84" spans="1:14" ht="15.75" thickBot="1" x14ac:dyDescent="0.25">
      <c r="A84" s="75">
        <v>20</v>
      </c>
      <c r="B84" s="76">
        <v>148883</v>
      </c>
      <c r="C84" s="77">
        <v>182822</v>
      </c>
      <c r="D84" s="78">
        <v>92755</v>
      </c>
      <c r="E84" s="158"/>
      <c r="F84" s="75">
        <v>20</v>
      </c>
      <c r="G84" s="76">
        <v>149416</v>
      </c>
      <c r="H84" s="77">
        <v>183874</v>
      </c>
      <c r="I84" s="78">
        <v>92780</v>
      </c>
      <c r="J84" s="158"/>
      <c r="K84" s="161">
        <v>20</v>
      </c>
      <c r="L84" s="162">
        <f>G84-B84</f>
        <v>533</v>
      </c>
      <c r="M84" s="162">
        <f t="shared" si="8"/>
        <v>1052</v>
      </c>
      <c r="N84" s="162">
        <f t="shared" si="8"/>
        <v>25</v>
      </c>
    </row>
    <row r="85" spans="1:14" ht="15.75" thickBot="1" x14ac:dyDescent="0.25">
      <c r="A85" s="75">
        <v>21</v>
      </c>
      <c r="B85" s="76">
        <v>194807</v>
      </c>
      <c r="C85" s="77">
        <v>94177</v>
      </c>
      <c r="D85" s="78">
        <v>119789</v>
      </c>
      <c r="E85" s="158"/>
      <c r="F85" s="75">
        <v>21</v>
      </c>
      <c r="G85" s="76">
        <v>195004</v>
      </c>
      <c r="H85" s="77">
        <v>94677</v>
      </c>
      <c r="I85" s="78">
        <v>120440</v>
      </c>
      <c r="J85" s="158"/>
      <c r="K85" s="161">
        <v>21</v>
      </c>
      <c r="L85" s="162">
        <f t="shared" si="8"/>
        <v>197</v>
      </c>
      <c r="M85" s="162">
        <f t="shared" si="8"/>
        <v>500</v>
      </c>
      <c r="N85" s="162">
        <f t="shared" si="8"/>
        <v>651</v>
      </c>
    </row>
    <row r="86" spans="1:14" ht="15.75" thickBot="1" x14ac:dyDescent="0.25">
      <c r="A86" s="75">
        <v>22</v>
      </c>
      <c r="B86" s="76">
        <v>146077</v>
      </c>
      <c r="C86" s="77">
        <v>105238</v>
      </c>
      <c r="D86" s="78">
        <v>123175</v>
      </c>
      <c r="E86" s="158"/>
      <c r="F86" s="75">
        <v>22</v>
      </c>
      <c r="G86" s="76">
        <v>147505</v>
      </c>
      <c r="H86" s="77">
        <v>107055</v>
      </c>
      <c r="I86" s="78">
        <v>123209</v>
      </c>
      <c r="J86" s="158"/>
      <c r="K86" s="161">
        <v>22</v>
      </c>
      <c r="L86" s="162">
        <f t="shared" si="8"/>
        <v>1428</v>
      </c>
      <c r="M86" s="162">
        <f t="shared" si="8"/>
        <v>1817</v>
      </c>
      <c r="N86" s="162">
        <f>I86-D86</f>
        <v>34</v>
      </c>
    </row>
    <row r="87" spans="1:14" ht="15.75" thickBot="1" x14ac:dyDescent="0.25">
      <c r="A87" s="75">
        <v>23</v>
      </c>
      <c r="B87" s="76">
        <v>131862</v>
      </c>
      <c r="C87" s="77">
        <v>160454</v>
      </c>
      <c r="D87" s="78">
        <v>303181</v>
      </c>
      <c r="E87" s="158"/>
      <c r="F87" s="75">
        <v>23</v>
      </c>
      <c r="G87" s="76">
        <v>132195</v>
      </c>
      <c r="H87" s="77">
        <v>160723</v>
      </c>
      <c r="I87" s="78">
        <v>304876</v>
      </c>
      <c r="J87" s="158"/>
      <c r="K87" s="161">
        <v>23</v>
      </c>
      <c r="L87" s="162">
        <f t="shared" si="8"/>
        <v>333</v>
      </c>
      <c r="M87" s="162">
        <f t="shared" si="8"/>
        <v>269</v>
      </c>
      <c r="N87" s="162">
        <f t="shared" si="8"/>
        <v>1695</v>
      </c>
    </row>
    <row r="88" spans="1:14" ht="15.75" thickBot="1" x14ac:dyDescent="0.25">
      <c r="A88" s="75">
        <v>24</v>
      </c>
      <c r="B88" s="76">
        <v>81751</v>
      </c>
      <c r="C88" s="77">
        <v>156834</v>
      </c>
      <c r="D88" s="78">
        <v>102884</v>
      </c>
      <c r="E88" s="158"/>
      <c r="F88" s="75">
        <v>24</v>
      </c>
      <c r="G88" s="76">
        <v>81914</v>
      </c>
      <c r="H88" s="77">
        <v>157399</v>
      </c>
      <c r="I88" s="78">
        <v>102900</v>
      </c>
      <c r="J88" s="158"/>
      <c r="K88" s="161">
        <v>24</v>
      </c>
      <c r="L88" s="162">
        <f t="shared" si="8"/>
        <v>163</v>
      </c>
      <c r="M88" s="162">
        <f t="shared" si="8"/>
        <v>565</v>
      </c>
      <c r="N88" s="162">
        <f>I88-D88</f>
        <v>16</v>
      </c>
    </row>
    <row r="89" spans="1:14" ht="15.75" thickBot="1" x14ac:dyDescent="0.25">
      <c r="A89" s="75">
        <v>25</v>
      </c>
      <c r="B89" s="76">
        <v>129000</v>
      </c>
      <c r="C89" s="77">
        <v>182497</v>
      </c>
      <c r="D89" s="78">
        <v>173077</v>
      </c>
      <c r="E89" s="158"/>
      <c r="F89" s="75">
        <v>25</v>
      </c>
      <c r="G89" s="76">
        <v>130363</v>
      </c>
      <c r="H89" s="77">
        <v>182719</v>
      </c>
      <c r="I89" s="78">
        <v>174330</v>
      </c>
      <c r="J89" s="158"/>
      <c r="K89" s="161">
        <v>25</v>
      </c>
      <c r="L89" s="162">
        <f>G89-B89</f>
        <v>1363</v>
      </c>
      <c r="M89" s="162">
        <f t="shared" si="8"/>
        <v>222</v>
      </c>
      <c r="N89" s="162">
        <f>I89-D89</f>
        <v>1253</v>
      </c>
    </row>
    <row r="90" spans="1:14" ht="15.75" thickBot="1" x14ac:dyDescent="0.25">
      <c r="A90" s="75">
        <v>26</v>
      </c>
      <c r="B90" s="76">
        <v>126914</v>
      </c>
      <c r="C90" s="77">
        <v>60478</v>
      </c>
      <c r="D90" s="78">
        <v>62876</v>
      </c>
      <c r="E90" s="158"/>
      <c r="F90" s="75">
        <v>26</v>
      </c>
      <c r="G90" s="76">
        <v>128669</v>
      </c>
      <c r="H90" s="77">
        <v>61157</v>
      </c>
      <c r="I90" s="78">
        <v>64800</v>
      </c>
      <c r="J90" s="158"/>
      <c r="K90" s="161">
        <v>26</v>
      </c>
      <c r="L90" s="162">
        <f t="shared" si="8"/>
        <v>1755</v>
      </c>
      <c r="M90" s="162">
        <f t="shared" si="8"/>
        <v>679</v>
      </c>
      <c r="N90" s="162">
        <f t="shared" si="8"/>
        <v>1924</v>
      </c>
    </row>
    <row r="91" spans="1:14" ht="15.75" thickBot="1" x14ac:dyDescent="0.25">
      <c r="A91" s="75">
        <v>27</v>
      </c>
      <c r="B91" s="76">
        <v>104742</v>
      </c>
      <c r="C91" s="77">
        <v>115664</v>
      </c>
      <c r="D91" s="78">
        <v>128672</v>
      </c>
      <c r="E91" s="158"/>
      <c r="F91" s="75">
        <v>27</v>
      </c>
      <c r="G91" s="76">
        <v>105011</v>
      </c>
      <c r="H91" s="77">
        <v>116177</v>
      </c>
      <c r="I91" s="78">
        <v>129074</v>
      </c>
      <c r="J91" s="158"/>
      <c r="K91" s="161">
        <v>27</v>
      </c>
      <c r="L91" s="162">
        <f t="shared" si="8"/>
        <v>269</v>
      </c>
      <c r="M91" s="162">
        <f t="shared" si="8"/>
        <v>513</v>
      </c>
      <c r="N91" s="162">
        <f>I91-D91</f>
        <v>402</v>
      </c>
    </row>
    <row r="92" spans="1:14" ht="15.75" thickBot="1" x14ac:dyDescent="0.25">
      <c r="A92" s="75">
        <v>28</v>
      </c>
      <c r="B92" s="76">
        <v>204538</v>
      </c>
      <c r="C92" s="77">
        <v>103660</v>
      </c>
      <c r="D92" s="78">
        <v>115873</v>
      </c>
      <c r="E92" s="158"/>
      <c r="F92" s="75">
        <v>28</v>
      </c>
      <c r="G92" s="76">
        <v>204746</v>
      </c>
      <c r="H92" s="77">
        <v>103708</v>
      </c>
      <c r="I92" s="78">
        <v>116500</v>
      </c>
      <c r="J92" s="158"/>
      <c r="K92" s="161">
        <v>28</v>
      </c>
      <c r="L92" s="162">
        <f t="shared" si="8"/>
        <v>208</v>
      </c>
      <c r="M92" s="162">
        <f t="shared" si="8"/>
        <v>48</v>
      </c>
      <c r="N92" s="162">
        <f t="shared" si="8"/>
        <v>627</v>
      </c>
    </row>
    <row r="93" spans="1:14" ht="15.75" thickBot="1" x14ac:dyDescent="0.25">
      <c r="A93" s="75">
        <v>29</v>
      </c>
      <c r="B93" s="76"/>
      <c r="C93" s="77">
        <v>0</v>
      </c>
      <c r="D93" s="78"/>
      <c r="E93" s="158"/>
      <c r="F93" s="75">
        <v>29</v>
      </c>
      <c r="G93" s="76"/>
      <c r="H93" s="77">
        <v>0</v>
      </c>
      <c r="I93" s="78"/>
      <c r="J93" s="158"/>
      <c r="K93" s="161">
        <v>29</v>
      </c>
      <c r="L93" s="162">
        <f>G93-B93</f>
        <v>0</v>
      </c>
      <c r="M93" s="162">
        <v>0</v>
      </c>
      <c r="N93" s="162"/>
    </row>
    <row r="94" spans="1:14" ht="15.75" thickBot="1" x14ac:dyDescent="0.25">
      <c r="A94" s="75">
        <v>30</v>
      </c>
      <c r="B94" s="76"/>
      <c r="C94" s="77">
        <v>0</v>
      </c>
      <c r="D94" s="78"/>
      <c r="E94" s="158"/>
      <c r="F94" s="75">
        <v>30</v>
      </c>
      <c r="G94" s="76"/>
      <c r="H94" s="77">
        <v>0</v>
      </c>
      <c r="I94" s="78"/>
      <c r="J94" s="158"/>
      <c r="K94" s="161">
        <v>30</v>
      </c>
      <c r="L94" s="162">
        <f>G94-B94</f>
        <v>0</v>
      </c>
      <c r="M94" s="162">
        <v>0</v>
      </c>
      <c r="N94" s="158"/>
    </row>
  </sheetData>
  <mergeCells count="78">
    <mergeCell ref="Q62:Q63"/>
    <mergeCell ref="U62:U63"/>
    <mergeCell ref="P64:S64"/>
    <mergeCell ref="B2:B4"/>
    <mergeCell ref="I2:I4"/>
    <mergeCell ref="P2:P4"/>
    <mergeCell ref="B5:B7"/>
    <mergeCell ref="I5:I7"/>
    <mergeCell ref="P5:P7"/>
    <mergeCell ref="B8:B10"/>
    <mergeCell ref="I8:I10"/>
    <mergeCell ref="P8:P10"/>
    <mergeCell ref="B11:B13"/>
    <mergeCell ref="I11:I13"/>
    <mergeCell ref="P11:P13"/>
    <mergeCell ref="B14:B16"/>
    <mergeCell ref="I14:I16"/>
    <mergeCell ref="P14:P16"/>
    <mergeCell ref="B17:B19"/>
    <mergeCell ref="I17:I19"/>
    <mergeCell ref="P17:P19"/>
    <mergeCell ref="B20:B22"/>
    <mergeCell ref="I20:I22"/>
    <mergeCell ref="P20:P22"/>
    <mergeCell ref="B23:B25"/>
    <mergeCell ref="I23:I25"/>
    <mergeCell ref="P23:P25"/>
    <mergeCell ref="B26:B28"/>
    <mergeCell ref="I26:I28"/>
    <mergeCell ref="P26:P28"/>
    <mergeCell ref="B29:B31"/>
    <mergeCell ref="I29:I31"/>
    <mergeCell ref="P29:P31"/>
    <mergeCell ref="B32:B34"/>
    <mergeCell ref="I32:I34"/>
    <mergeCell ref="P32:P34"/>
    <mergeCell ref="B35:B37"/>
    <mergeCell ref="I35:I37"/>
    <mergeCell ref="P35:P37"/>
    <mergeCell ref="B38:B40"/>
    <mergeCell ref="I38:I40"/>
    <mergeCell ref="P38:P40"/>
    <mergeCell ref="B41:B43"/>
    <mergeCell ref="I41:I43"/>
    <mergeCell ref="P41:P43"/>
    <mergeCell ref="B45:B46"/>
    <mergeCell ref="I45:I46"/>
    <mergeCell ref="P45:P46"/>
    <mergeCell ref="B47:B48"/>
    <mergeCell ref="I47:I48"/>
    <mergeCell ref="P47:P48"/>
    <mergeCell ref="B49:B50"/>
    <mergeCell ref="I49:I50"/>
    <mergeCell ref="P49:P50"/>
    <mergeCell ref="B52:B54"/>
    <mergeCell ref="I52:I54"/>
    <mergeCell ref="P52:P54"/>
    <mergeCell ref="B55:B56"/>
    <mergeCell ref="I55:I56"/>
    <mergeCell ref="P55:P56"/>
    <mergeCell ref="B57:B58"/>
    <mergeCell ref="I57:I58"/>
    <mergeCell ref="P57:P58"/>
    <mergeCell ref="A69:D69"/>
    <mergeCell ref="F69:I69"/>
    <mergeCell ref="K69:N69"/>
    <mergeCell ref="P59:P60"/>
    <mergeCell ref="B62:B63"/>
    <mergeCell ref="G62:G63"/>
    <mergeCell ref="I62:I63"/>
    <mergeCell ref="N62:N63"/>
    <mergeCell ref="P62:P63"/>
    <mergeCell ref="C62:C63"/>
    <mergeCell ref="J62:J63"/>
    <mergeCell ref="B59:B60"/>
    <mergeCell ref="I59:I60"/>
    <mergeCell ref="B64:E64"/>
    <mergeCell ref="I64:L64"/>
  </mergeCells>
  <pageMargins left="0.7" right="0.7" top="0.75" bottom="0.75" header="0.3" footer="0.3"/>
  <pageSetup paperSize="9" scale="76" orientation="portrait" verticalDpi="300" r:id="rId1"/>
  <rowBreaks count="1" manualBreakCount="1">
    <brk id="64" min="8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zoomScale="112" zoomScaleNormal="112" workbookViewId="0">
      <selection sqref="A1:K1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85" t="s">
        <v>150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</row>
    <row r="2" spans="1:13" ht="13.5" thickBot="1" x14ac:dyDescent="0.25">
      <c r="A2" s="82"/>
      <c r="B2" s="83" t="s">
        <v>92</v>
      </c>
      <c r="C2" s="84">
        <f>K8+K9+K14</f>
        <v>-14999499</v>
      </c>
      <c r="D2" s="84">
        <f>C2*1.27</f>
        <v>-19049363.73</v>
      </c>
      <c r="E2" s="85"/>
      <c r="F2" s="82"/>
      <c r="G2" s="82"/>
      <c r="H2" s="86" t="s">
        <v>93</v>
      </c>
      <c r="I2" s="87"/>
      <c r="J2" s="87"/>
      <c r="K2" s="87"/>
    </row>
    <row r="3" spans="1:13" ht="13.5" thickBot="1" x14ac:dyDescent="0.25">
      <c r="A3" s="82"/>
      <c r="B3" s="82"/>
      <c r="C3" s="82"/>
      <c r="D3" s="82"/>
      <c r="E3" s="82"/>
      <c r="F3" s="82"/>
      <c r="G3" s="82"/>
      <c r="H3" s="88" t="s">
        <v>94</v>
      </c>
      <c r="I3" s="121">
        <f>ELECT.!E2</f>
        <v>33902913</v>
      </c>
      <c r="J3" s="121">
        <f>ELECT.!E32</f>
        <v>0</v>
      </c>
      <c r="K3" s="151">
        <f>J3-I3</f>
        <v>-33902913</v>
      </c>
    </row>
    <row r="4" spans="1:13" ht="13.5" thickBot="1" x14ac:dyDescent="0.25">
      <c r="A4" s="82"/>
      <c r="B4" s="90" t="s">
        <v>95</v>
      </c>
      <c r="C4" s="91" t="s">
        <v>96</v>
      </c>
      <c r="D4" s="91" t="s">
        <v>97</v>
      </c>
      <c r="E4" s="91"/>
      <c r="F4" s="82"/>
      <c r="G4" s="82"/>
      <c r="H4" s="88" t="s">
        <v>98</v>
      </c>
      <c r="I4" s="89">
        <f>ELECT.!G2</f>
        <v>6355133</v>
      </c>
      <c r="J4" s="121">
        <f>ELECT.!G32</f>
        <v>0</v>
      </c>
      <c r="K4" s="151">
        <f>J4-I4</f>
        <v>-6355133</v>
      </c>
    </row>
    <row r="5" spans="1:13" ht="13.5" thickBot="1" x14ac:dyDescent="0.25">
      <c r="A5" s="82"/>
      <c r="B5" s="88" t="s">
        <v>27</v>
      </c>
      <c r="C5" s="92">
        <f>(K10+K12)*0.842284+K26</f>
        <v>-23243793.250284001</v>
      </c>
      <c r="D5" s="92">
        <f t="shared" ref="D5:D11" si="0">C5*1.27</f>
        <v>-29519617.427860681</v>
      </c>
      <c r="E5" s="93"/>
      <c r="F5" s="82"/>
      <c r="G5" s="82"/>
      <c r="H5" s="88" t="s">
        <v>23</v>
      </c>
      <c r="I5" s="94"/>
      <c r="J5" s="94"/>
      <c r="K5" s="114">
        <f>K3+K4</f>
        <v>-40258046</v>
      </c>
    </row>
    <row r="6" spans="1:13" ht="13.5" thickBot="1" x14ac:dyDescent="0.25">
      <c r="A6" s="82"/>
      <c r="B6" s="88" t="s">
        <v>99</v>
      </c>
      <c r="C6" s="92">
        <f>(K10+K12+K26)*0.1488</f>
        <v>-4016326.4207999995</v>
      </c>
      <c r="D6" s="92">
        <f t="shared" si="0"/>
        <v>-5100734.554415999</v>
      </c>
      <c r="E6" s="93"/>
      <c r="F6" s="82"/>
      <c r="G6" s="82"/>
      <c r="H6" s="88" t="s">
        <v>100</v>
      </c>
      <c r="I6" s="125">
        <f>ELECT.!J2</f>
        <v>594040</v>
      </c>
      <c r="J6" s="121">
        <f>ELECT.!J32</f>
        <v>0</v>
      </c>
      <c r="K6" s="151">
        <f>J6-I6</f>
        <v>-594040</v>
      </c>
      <c r="M6" s="34"/>
    </row>
    <row r="7" spans="1:13" ht="13.5" thickBot="1" x14ac:dyDescent="0.25">
      <c r="A7" s="82"/>
      <c r="B7" s="88" t="s">
        <v>101</v>
      </c>
      <c r="C7" s="92">
        <f>(K6+K7)-(C8+C9+C10+C11+K26)</f>
        <v>1713434</v>
      </c>
      <c r="D7" s="92">
        <f t="shared" si="0"/>
        <v>2176061.1800000002</v>
      </c>
      <c r="E7" s="93"/>
      <c r="F7" s="82"/>
      <c r="G7" s="82"/>
      <c r="H7" s="88" t="s">
        <v>102</v>
      </c>
      <c r="I7" s="125">
        <f>ELECT.!L2</f>
        <v>902506</v>
      </c>
      <c r="J7" s="121">
        <f>ELECT.!L32</f>
        <v>0</v>
      </c>
      <c r="K7" s="151">
        <f>J7-I7</f>
        <v>-902506</v>
      </c>
    </row>
    <row r="8" spans="1:13" ht="13.5" thickBot="1" x14ac:dyDescent="0.25">
      <c r="A8" s="82"/>
      <c r="B8" s="88" t="s">
        <v>103</v>
      </c>
      <c r="C8" s="92">
        <f>K21+K22+K23+K24</f>
        <v>11372</v>
      </c>
      <c r="D8" s="92">
        <f t="shared" si="0"/>
        <v>14442.44</v>
      </c>
      <c r="E8" s="93"/>
      <c r="F8" s="82"/>
      <c r="G8" s="82"/>
      <c r="H8" s="88" t="s">
        <v>104</v>
      </c>
      <c r="I8" s="125">
        <f>ELECT.!N2</f>
        <v>7633601</v>
      </c>
      <c r="J8" s="121">
        <f>ELECT.!N32</f>
        <v>0</v>
      </c>
      <c r="K8" s="79">
        <f>(J8-I8)*2</f>
        <v>-15267202</v>
      </c>
    </row>
    <row r="9" spans="1:13" ht="13.5" thickBot="1" x14ac:dyDescent="0.25">
      <c r="A9" s="82"/>
      <c r="B9" s="88" t="s">
        <v>137</v>
      </c>
      <c r="C9" s="92">
        <f>K25+K16+K17</f>
        <v>2299</v>
      </c>
      <c r="D9" s="92">
        <f t="shared" si="0"/>
        <v>2919.73</v>
      </c>
      <c r="E9" s="93"/>
      <c r="F9" s="82"/>
      <c r="G9" s="82"/>
      <c r="H9" s="88" t="s">
        <v>105</v>
      </c>
      <c r="I9" s="125">
        <f>ELECT.!P2</f>
        <v>8307609</v>
      </c>
      <c r="J9" s="121">
        <f>ELECT.!P32</f>
        <v>0</v>
      </c>
      <c r="K9" s="79">
        <f>J9-I9</f>
        <v>-8307609</v>
      </c>
    </row>
    <row r="10" spans="1:13" ht="13.5" thickBot="1" x14ac:dyDescent="0.25">
      <c r="A10" s="82"/>
      <c r="B10" s="88" t="s">
        <v>106</v>
      </c>
      <c r="C10" s="92">
        <f>K18</f>
        <v>4160</v>
      </c>
      <c r="D10" s="92">
        <f t="shared" si="0"/>
        <v>5283.2</v>
      </c>
      <c r="E10" s="93"/>
      <c r="F10" s="82"/>
      <c r="G10" s="82"/>
      <c r="H10" s="88" t="s">
        <v>107</v>
      </c>
      <c r="I10" s="125">
        <f>ELECT.!R2</f>
        <v>22559503</v>
      </c>
      <c r="J10" s="121">
        <f>ELECT.!R32</f>
        <v>0</v>
      </c>
      <c r="K10" s="79">
        <f>J10-I10</f>
        <v>-22559503</v>
      </c>
    </row>
    <row r="11" spans="1:13" ht="13.5" thickBot="1" x14ac:dyDescent="0.25">
      <c r="A11" s="82"/>
      <c r="B11" s="88" t="s">
        <v>108</v>
      </c>
      <c r="C11" s="92">
        <f>K19+K20</f>
        <v>1629</v>
      </c>
      <c r="D11" s="92">
        <f t="shared" si="0"/>
        <v>2068.83</v>
      </c>
      <c r="E11" s="93"/>
      <c r="F11" s="82"/>
      <c r="G11" s="82"/>
      <c r="H11" s="88" t="s">
        <v>109</v>
      </c>
      <c r="I11" s="95">
        <v>0</v>
      </c>
      <c r="J11" s="121">
        <f>ELECT.!G40</f>
        <v>0</v>
      </c>
      <c r="K11" s="79">
        <f>J11-I11</f>
        <v>0</v>
      </c>
    </row>
    <row r="12" spans="1:13" ht="13.5" thickBot="1" x14ac:dyDescent="0.25">
      <c r="A12" s="82"/>
      <c r="B12" s="82"/>
      <c r="C12" s="96"/>
      <c r="D12" s="96"/>
      <c r="E12" s="96"/>
      <c r="F12" s="82"/>
      <c r="G12" s="82"/>
      <c r="H12" s="88" t="s">
        <v>110</v>
      </c>
      <c r="I12" s="125">
        <f>ELECT.!V2</f>
        <v>601249</v>
      </c>
      <c r="J12" s="121">
        <f>ELECT.!V32</f>
        <v>0</v>
      </c>
      <c r="K12" s="79">
        <f>(J12-I12)*2</f>
        <v>-1202498</v>
      </c>
    </row>
    <row r="13" spans="1:13" ht="13.5" thickBot="1" x14ac:dyDescent="0.25">
      <c r="A13" s="82"/>
      <c r="B13" s="86" t="s">
        <v>111</v>
      </c>
      <c r="C13" s="93" t="s">
        <v>112</v>
      </c>
      <c r="D13" s="93" t="s">
        <v>97</v>
      </c>
      <c r="E13" s="93"/>
      <c r="F13" s="82"/>
      <c r="G13" s="82"/>
      <c r="H13" s="88" t="s">
        <v>113</v>
      </c>
      <c r="I13" s="97"/>
      <c r="J13" s="98"/>
      <c r="K13" s="99">
        <f>SUM(K6:K12)</f>
        <v>-48833358</v>
      </c>
    </row>
    <row r="14" spans="1:13" ht="13.5" thickBot="1" x14ac:dyDescent="0.25">
      <c r="A14" s="82"/>
      <c r="B14" s="88" t="s">
        <v>42</v>
      </c>
      <c r="C14" s="92">
        <f>K29</f>
        <v>-4627490</v>
      </c>
      <c r="D14" s="100">
        <f t="shared" ref="D14:D22" si="1">C14*10.03</f>
        <v>-46413724.699999996</v>
      </c>
      <c r="E14" s="101"/>
      <c r="F14" s="82"/>
      <c r="G14" s="82"/>
      <c r="H14" s="88" t="s">
        <v>114</v>
      </c>
      <c r="I14" s="97"/>
      <c r="J14" s="98"/>
      <c r="K14" s="80">
        <f>K5-K13</f>
        <v>8575312</v>
      </c>
    </row>
    <row r="15" spans="1:13" ht="13.5" thickBot="1" x14ac:dyDescent="0.25">
      <c r="A15" s="82"/>
      <c r="B15" s="88" t="s">
        <v>115</v>
      </c>
      <c r="C15" s="102">
        <f>K30</f>
        <v>-21962.394</v>
      </c>
      <c r="D15" s="100">
        <f t="shared" si="1"/>
        <v>-220282.81182</v>
      </c>
      <c r="E15" s="101"/>
      <c r="F15" s="82"/>
      <c r="G15" s="82"/>
      <c r="H15" s="82"/>
      <c r="I15" s="82"/>
      <c r="J15" s="82"/>
      <c r="K15" s="82"/>
    </row>
    <row r="16" spans="1:13" ht="13.5" thickBot="1" x14ac:dyDescent="0.25">
      <c r="A16" s="82"/>
      <c r="B16" s="88" t="s">
        <v>99</v>
      </c>
      <c r="C16" s="102">
        <f>(C14-C15-C17-C18-C19-C20-C21)*0.1318</f>
        <v>-607775.61447079992</v>
      </c>
      <c r="D16" s="100">
        <f t="shared" si="1"/>
        <v>-6095989.4131421233</v>
      </c>
      <c r="E16" s="101"/>
      <c r="F16" s="82"/>
      <c r="G16" s="82"/>
      <c r="H16" s="103" t="s">
        <v>136</v>
      </c>
      <c r="I16" s="104">
        <f>'Mall, Citadel, Rotana'!T2</f>
        <v>4063</v>
      </c>
      <c r="J16" s="104">
        <f>'Mall, Citadel, Rotana'!T32</f>
        <v>4068</v>
      </c>
      <c r="K16" s="81">
        <f>(J16-I16)*160</f>
        <v>800</v>
      </c>
    </row>
    <row r="17" spans="1:11" ht="13.5" thickBot="1" x14ac:dyDescent="0.25">
      <c r="A17" s="82"/>
      <c r="B17" s="88" t="s">
        <v>103</v>
      </c>
      <c r="C17" s="102">
        <v>1420</v>
      </c>
      <c r="D17" s="100">
        <f t="shared" si="1"/>
        <v>14242.599999999999</v>
      </c>
      <c r="E17" s="101"/>
      <c r="F17" s="82"/>
      <c r="G17" s="82"/>
      <c r="H17" s="103" t="s">
        <v>19</v>
      </c>
      <c r="I17" s="104">
        <f>'Mall, Citadel, Rotana'!J2</f>
        <v>335390</v>
      </c>
      <c r="J17" s="104">
        <f>'Mall, Citadel, Rotana'!J32</f>
        <v>336857</v>
      </c>
      <c r="K17" s="81">
        <f>(J17-I17)</f>
        <v>1467</v>
      </c>
    </row>
    <row r="18" spans="1:11" ht="13.5" thickBot="1" x14ac:dyDescent="0.25">
      <c r="A18" s="82"/>
      <c r="B18" s="88" t="s">
        <v>108</v>
      </c>
      <c r="C18" s="102">
        <v>200</v>
      </c>
      <c r="D18" s="100">
        <f t="shared" si="1"/>
        <v>2005.9999999999998</v>
      </c>
      <c r="E18" s="101"/>
      <c r="F18" s="82"/>
      <c r="G18" s="82"/>
      <c r="H18" s="103" t="s">
        <v>20</v>
      </c>
      <c r="I18" s="104">
        <f>'Mall, Citadel, Rotana'!L2</f>
        <v>26543</v>
      </c>
      <c r="J18" s="104">
        <f>'Mall, Citadel, Rotana'!L32</f>
        <v>26569</v>
      </c>
      <c r="K18" s="81">
        <f>(J18-I18)*160</f>
        <v>4160</v>
      </c>
    </row>
    <row r="19" spans="1:11" ht="15.75" thickBot="1" x14ac:dyDescent="0.25">
      <c r="A19" s="82"/>
      <c r="B19" s="88" t="s">
        <v>137</v>
      </c>
      <c r="C19" s="102">
        <v>600</v>
      </c>
      <c r="D19" s="100">
        <f t="shared" si="1"/>
        <v>6018</v>
      </c>
      <c r="E19" s="186" t="s">
        <v>116</v>
      </c>
      <c r="F19" s="187"/>
      <c r="G19" s="82"/>
      <c r="H19" s="103" t="s">
        <v>117</v>
      </c>
      <c r="I19" s="104">
        <f>'Mall, Citadel, Rotana'!P2</f>
        <v>172234</v>
      </c>
      <c r="J19" s="104">
        <f>'Mall, Citadel, Rotana'!P32</f>
        <v>173863</v>
      </c>
      <c r="K19" s="81">
        <f>J19-I19</f>
        <v>1629</v>
      </c>
    </row>
    <row r="20" spans="1:11" ht="13.5" thickBot="1" x14ac:dyDescent="0.25">
      <c r="A20" s="82"/>
      <c r="B20" s="88" t="s">
        <v>106</v>
      </c>
      <c r="C20" s="102">
        <v>600</v>
      </c>
      <c r="D20" s="100">
        <f t="shared" si="1"/>
        <v>6018</v>
      </c>
      <c r="E20" s="101"/>
      <c r="F20" s="82"/>
      <c r="G20" s="82"/>
      <c r="H20" s="103" t="s">
        <v>118</v>
      </c>
      <c r="I20" s="104">
        <f>'Mall, Citadel, Rotana'!R2</f>
        <v>55047</v>
      </c>
      <c r="J20" s="104">
        <f>'Mall, Citadel, Rotana'!R32</f>
        <v>55047</v>
      </c>
      <c r="K20" s="81">
        <f>J20-I20</f>
        <v>0</v>
      </c>
    </row>
    <row r="21" spans="1:11" ht="13.5" thickBot="1" x14ac:dyDescent="0.25">
      <c r="A21" s="82"/>
      <c r="B21" s="88" t="s">
        <v>92</v>
      </c>
      <c r="C21" s="102">
        <v>3000</v>
      </c>
      <c r="D21" s="100">
        <f t="shared" si="1"/>
        <v>30089.999999999996</v>
      </c>
      <c r="E21" s="101"/>
      <c r="F21" s="82"/>
      <c r="G21" s="82"/>
      <c r="H21" s="103" t="s">
        <v>13</v>
      </c>
      <c r="I21" s="104">
        <f>'Mall, Citadel, Rotana'!B2</f>
        <v>47653</v>
      </c>
      <c r="J21" s="104">
        <f>'Mall, Citadel, Rotana'!B32</f>
        <v>47699</v>
      </c>
      <c r="K21" s="81">
        <f>(J21-I21)*120</f>
        <v>5520</v>
      </c>
    </row>
    <row r="22" spans="1:11" ht="13.5" thickBot="1" x14ac:dyDescent="0.25">
      <c r="A22" s="82"/>
      <c r="B22" s="88" t="s">
        <v>119</v>
      </c>
      <c r="C22" s="100">
        <f>C14-(C15+C16+C17+C18+C19+C20+C21)</f>
        <v>-4003571.9915292002</v>
      </c>
      <c r="D22" s="100">
        <f t="shared" si="1"/>
        <v>-40155827.075037874</v>
      </c>
      <c r="E22" s="101"/>
      <c r="F22" s="82"/>
      <c r="G22" s="82"/>
      <c r="H22" s="103" t="s">
        <v>15</v>
      </c>
      <c r="I22" s="104">
        <f>'Mall, Citadel, Rotana'!D2</f>
        <v>41014</v>
      </c>
      <c r="J22" s="104">
        <f>'Mall, Citadel, Rotana'!D32</f>
        <v>41044</v>
      </c>
      <c r="K22" s="81">
        <f>(J22-I22)*160</f>
        <v>4800</v>
      </c>
    </row>
    <row r="23" spans="1:11" x14ac:dyDescent="0.2">
      <c r="A23" s="82"/>
      <c r="B23" s="82"/>
      <c r="C23" s="96"/>
      <c r="D23" s="105"/>
      <c r="E23" s="101"/>
      <c r="F23" s="82"/>
      <c r="G23" s="82"/>
      <c r="H23" s="103" t="s">
        <v>17</v>
      </c>
      <c r="I23" s="104">
        <f>'Mall, Citadel, Rotana'!F2</f>
        <v>22131</v>
      </c>
      <c r="J23" s="104">
        <f>'Mall, Citadel, Rotana'!F32</f>
        <v>22166</v>
      </c>
      <c r="K23" s="81">
        <f>(J23-I23)*20</f>
        <v>700</v>
      </c>
    </row>
    <row r="24" spans="1:11" x14ac:dyDescent="0.2">
      <c r="A24" s="82"/>
      <c r="B24" s="86" t="s">
        <v>120</v>
      </c>
      <c r="C24" s="96"/>
      <c r="D24" s="96"/>
      <c r="E24" s="96"/>
      <c r="F24" s="82"/>
      <c r="G24" s="82"/>
      <c r="H24" s="103" t="s">
        <v>18</v>
      </c>
      <c r="I24" s="104">
        <f>'Mall, Citadel, Rotana'!H2</f>
        <v>258841</v>
      </c>
      <c r="J24" s="104">
        <f>'Mall, Citadel, Rotana'!H32</f>
        <v>259193</v>
      </c>
      <c r="K24" s="81">
        <f>J24-I24</f>
        <v>352</v>
      </c>
    </row>
    <row r="25" spans="1:11" ht="13.5" thickBot="1" x14ac:dyDescent="0.25">
      <c r="A25" s="82"/>
      <c r="B25" s="82"/>
      <c r="C25" s="93" t="s">
        <v>112</v>
      </c>
      <c r="D25" s="93" t="s">
        <v>121</v>
      </c>
      <c r="E25" s="93"/>
      <c r="F25" s="82"/>
      <c r="G25" s="82"/>
      <c r="H25" s="103" t="s">
        <v>122</v>
      </c>
      <c r="I25" s="104">
        <f>'Mall, Citadel, Rotana'!N2</f>
        <v>226425</v>
      </c>
      <c r="J25" s="104">
        <f>'Mall, Citadel, Rotana'!N32</f>
        <v>226457</v>
      </c>
      <c r="K25" s="81">
        <f>J25-I25</f>
        <v>32</v>
      </c>
    </row>
    <row r="26" spans="1:11" ht="13.5" thickBot="1" x14ac:dyDescent="0.25">
      <c r="A26" s="82"/>
      <c r="B26" s="88" t="s">
        <v>42</v>
      </c>
      <c r="C26" s="106">
        <f>K35</f>
        <v>17509</v>
      </c>
      <c r="D26" s="92">
        <f>C26*3.65</f>
        <v>63907.85</v>
      </c>
      <c r="E26" s="93"/>
      <c r="F26" s="82"/>
      <c r="G26" s="82"/>
      <c r="H26" s="103" t="s">
        <v>123</v>
      </c>
      <c r="I26" s="113">
        <f>ELECT.!C2</f>
        <v>20184</v>
      </c>
      <c r="J26" s="113">
        <f>ELECT.!C32</f>
        <v>0</v>
      </c>
      <c r="K26" s="81">
        <f>(J26-I26)*160</f>
        <v>-3229440</v>
      </c>
    </row>
    <row r="27" spans="1:11" ht="13.5" thickBot="1" x14ac:dyDescent="0.25">
      <c r="A27" s="82"/>
      <c r="B27" s="83" t="s">
        <v>124</v>
      </c>
      <c r="C27" s="106">
        <f>C26</f>
        <v>17509</v>
      </c>
      <c r="D27" s="92">
        <f>C27*3.65</f>
        <v>63907.85</v>
      </c>
      <c r="E27" s="93"/>
      <c r="F27" s="82"/>
      <c r="G27" s="82"/>
      <c r="H27" s="86"/>
      <c r="I27" s="107"/>
      <c r="J27" s="82"/>
      <c r="K27" s="82"/>
    </row>
    <row r="28" spans="1:11" x14ac:dyDescent="0.2">
      <c r="A28" s="82"/>
      <c r="B28" s="82"/>
      <c r="C28" s="82"/>
      <c r="D28" s="82"/>
      <c r="E28" s="82"/>
      <c r="F28" s="82"/>
      <c r="G28" s="82"/>
      <c r="H28" s="86" t="s">
        <v>111</v>
      </c>
      <c r="I28" s="107"/>
      <c r="J28" s="82"/>
      <c r="K28" s="82"/>
    </row>
    <row r="29" spans="1:11" x14ac:dyDescent="0.2">
      <c r="A29" s="82"/>
      <c r="B29" s="82"/>
      <c r="C29" s="82"/>
      <c r="D29" s="82"/>
      <c r="E29" s="82"/>
      <c r="F29" s="82"/>
      <c r="G29" s="82" t="s">
        <v>12</v>
      </c>
      <c r="H29" s="103" t="s">
        <v>24</v>
      </c>
      <c r="I29" s="104">
        <f>Water!B2</f>
        <v>462749</v>
      </c>
      <c r="J29" s="104">
        <f>Water!B32</f>
        <v>0</v>
      </c>
      <c r="K29" s="81">
        <f>(J29-I29)*10</f>
        <v>-4627490</v>
      </c>
    </row>
    <row r="30" spans="1:11" x14ac:dyDescent="0.2">
      <c r="A30" s="82"/>
      <c r="B30" s="82"/>
      <c r="C30" s="82"/>
      <c r="D30" s="82"/>
      <c r="E30" s="82"/>
      <c r="F30" s="82"/>
      <c r="G30" s="82"/>
      <c r="H30" s="103" t="s">
        <v>125</v>
      </c>
      <c r="I30" s="104">
        <f>Water!H2</f>
        <v>813422</v>
      </c>
      <c r="J30" s="104">
        <f>Water!H32</f>
        <v>0</v>
      </c>
      <c r="K30" s="81">
        <f>(J30-I30)*0.027</f>
        <v>-21962.394</v>
      </c>
    </row>
    <row r="31" spans="1:11" x14ac:dyDescent="0.2">
      <c r="A31" s="82"/>
      <c r="B31" s="82"/>
      <c r="C31" s="82"/>
      <c r="D31" s="82"/>
      <c r="E31" s="82"/>
      <c r="F31" s="82"/>
      <c r="G31" s="82"/>
      <c r="H31" s="103" t="s">
        <v>126</v>
      </c>
      <c r="I31" s="104">
        <f>Water!D2</f>
        <v>14096</v>
      </c>
      <c r="J31" s="104">
        <f>Water!D32</f>
        <v>0</v>
      </c>
      <c r="K31" s="81">
        <f>(J31-I31)*0.027</f>
        <v>-380.59199999999998</v>
      </c>
    </row>
    <row r="32" spans="1:11" x14ac:dyDescent="0.2">
      <c r="A32" s="82"/>
      <c r="B32" s="82"/>
      <c r="C32" s="82"/>
      <c r="D32" s="82"/>
      <c r="E32" s="82"/>
      <c r="F32" s="82"/>
      <c r="G32" s="82"/>
      <c r="H32" s="103" t="s">
        <v>127</v>
      </c>
      <c r="I32" s="104">
        <f>Water!F2</f>
        <v>11889900</v>
      </c>
      <c r="J32" s="104">
        <f>Water!F32</f>
        <v>0</v>
      </c>
      <c r="K32" s="81">
        <f>(J32-I32)*0.027</f>
        <v>-321027.3</v>
      </c>
    </row>
    <row r="33" spans="1:11" x14ac:dyDescent="0.2">
      <c r="A33" s="108"/>
      <c r="B33" s="108"/>
      <c r="C33" s="108"/>
      <c r="D33" s="108"/>
      <c r="E33" s="108"/>
      <c r="F33" s="108"/>
      <c r="G33" s="108"/>
      <c r="H33" s="108"/>
      <c r="I33" s="108"/>
      <c r="J33" s="108"/>
      <c r="K33" s="108"/>
    </row>
    <row r="34" spans="1:11" x14ac:dyDescent="0.2">
      <c r="A34" s="108"/>
      <c r="B34" s="108"/>
      <c r="C34" s="108"/>
      <c r="D34" s="108"/>
      <c r="E34" s="108"/>
      <c r="F34" s="108"/>
      <c r="G34" s="108"/>
      <c r="H34" s="108" t="s">
        <v>120</v>
      </c>
      <c r="I34" s="108"/>
      <c r="J34" s="108"/>
      <c r="K34" s="108"/>
    </row>
    <row r="35" spans="1:11" x14ac:dyDescent="0.2">
      <c r="A35" s="108"/>
      <c r="B35" s="108"/>
      <c r="C35" s="108"/>
      <c r="D35" s="108"/>
      <c r="E35" s="108"/>
      <c r="F35" s="108"/>
      <c r="G35" s="109"/>
      <c r="H35" s="110" t="s">
        <v>42</v>
      </c>
      <c r="I35" s="111">
        <f>Gas!B2</f>
        <v>18534332</v>
      </c>
      <c r="J35" s="123">
        <f>Gas!B32</f>
        <v>18551841</v>
      </c>
      <c r="K35" s="112">
        <f>J35-I35</f>
        <v>17509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  <vt:lpstr>'Plaza and residential'!Print_Area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Omar Saber</cp:lastModifiedBy>
  <cp:lastPrinted>2022-09-30T16:14:37Z</cp:lastPrinted>
  <dcterms:created xsi:type="dcterms:W3CDTF">2017-07-31T14:40:49Z</dcterms:created>
  <dcterms:modified xsi:type="dcterms:W3CDTF">2022-10-11T02:18:52Z</dcterms:modified>
</cp:coreProperties>
</file>