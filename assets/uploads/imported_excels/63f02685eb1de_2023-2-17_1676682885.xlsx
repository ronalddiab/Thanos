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10"/>
  <workbookPr/>
  <mc:AlternateContent xmlns:mc="http://schemas.openxmlformats.org/markup-compatibility/2006">
    <mc:Choice Requires="x15">
      <x15ac:absPath xmlns:x15ac="http://schemas.microsoft.com/office/spreadsheetml/2010/11/ac" url="L:\BAL-ENG\4. Energy\4.3 Utilities\HEP\2022\1. January 2022\"/>
    </mc:Choice>
  </mc:AlternateContent>
  <xr:revisionPtr revIDLastSave="3" documentId="11_73ABE33DB05C8F2F1640A99E1BDE32DE9F6CFA9D" xr6:coauthVersionLast="47" xr6:coauthVersionMax="47" xr10:uidLastSave="{AA0844E3-0782-47D6-B6AA-C85780B176EF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January 2022" sheetId="14" r:id="rId2"/>
    <sheet name="RNs &amp; Covers January 2022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48" i="14" l="1"/>
  <c r="AH46" i="14"/>
  <c r="Y46" i="14"/>
  <c r="AH11" i="14" l="1"/>
  <c r="X46" i="14" l="1"/>
  <c r="AK13" i="14" l="1"/>
  <c r="AL13" i="14" s="1"/>
  <c r="AK14" i="14"/>
  <c r="AL14" i="14" s="1"/>
  <c r="AK15" i="14"/>
  <c r="AL15" i="14" s="1"/>
  <c r="AK16" i="14"/>
  <c r="AL16" i="14" s="1"/>
  <c r="AK17" i="14"/>
  <c r="AL17" i="14" s="1"/>
  <c r="AK18" i="14"/>
  <c r="AL18" i="14" s="1"/>
  <c r="AK19" i="14"/>
  <c r="AL19" i="14" s="1"/>
  <c r="AK20" i="14"/>
  <c r="AL20" i="14" s="1"/>
  <c r="AK21" i="14"/>
  <c r="AL21" i="14" s="1"/>
  <c r="AK22" i="14"/>
  <c r="AL22" i="14" s="1"/>
  <c r="AK23" i="14"/>
  <c r="AL23" i="14" s="1"/>
  <c r="AK24" i="14"/>
  <c r="AL24" i="14" s="1"/>
  <c r="AK25" i="14"/>
  <c r="AL25" i="14" s="1"/>
  <c r="AK26" i="14"/>
  <c r="AL26" i="14" s="1"/>
  <c r="AK27" i="14"/>
  <c r="AL27" i="14" s="1"/>
  <c r="AK28" i="14"/>
  <c r="AL28" i="14" s="1"/>
  <c r="AK29" i="14"/>
  <c r="AL29" i="14" s="1"/>
  <c r="AK30" i="14"/>
  <c r="AL30" i="14" s="1"/>
  <c r="AK31" i="14"/>
  <c r="AL31" i="14" s="1"/>
  <c r="AK32" i="14"/>
  <c r="AL32" i="14" s="1"/>
  <c r="AK33" i="14"/>
  <c r="AL33" i="14" s="1"/>
  <c r="AK34" i="14"/>
  <c r="AL34" i="14" s="1"/>
  <c r="AK35" i="14"/>
  <c r="AL35" i="14" s="1"/>
  <c r="AK36" i="14"/>
  <c r="AL36" i="14" s="1"/>
  <c r="AK37" i="14"/>
  <c r="AL37" i="14" s="1"/>
  <c r="AK38" i="14"/>
  <c r="AL38" i="14" s="1"/>
  <c r="AK39" i="14"/>
  <c r="AL39" i="14" s="1"/>
  <c r="AK40" i="14"/>
  <c r="AL40" i="14" s="1"/>
  <c r="AK41" i="14"/>
  <c r="AL41" i="14" s="1"/>
  <c r="AK42" i="14"/>
  <c r="AL42" i="14" s="1"/>
  <c r="AK12" i="14"/>
  <c r="AL12" i="14" s="1"/>
  <c r="AI12" i="14" l="1"/>
  <c r="AI13" i="14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AA42" i="14"/>
  <c r="AB42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6" i="14" l="1"/>
  <c r="AB46" i="14"/>
  <c r="C7" i="10" l="1"/>
  <c r="N3" i="11" s="1"/>
  <c r="C8" i="10"/>
  <c r="N4" i="11" s="1"/>
  <c r="C9" i="10"/>
  <c r="N5" i="11" s="1"/>
  <c r="C10" i="10"/>
  <c r="N6" i="11" s="1"/>
  <c r="C11" i="10"/>
  <c r="N7" i="11" s="1"/>
  <c r="C12" i="10"/>
  <c r="N8" i="11" s="1"/>
  <c r="C13" i="10"/>
  <c r="N9" i="11" s="1"/>
  <c r="C14" i="10"/>
  <c r="N10" i="11" s="1"/>
  <c r="C15" i="10"/>
  <c r="N11" i="11" s="1"/>
  <c r="C16" i="10"/>
  <c r="N12" i="11" s="1"/>
  <c r="C17" i="10"/>
  <c r="N13" i="11" s="1"/>
  <c r="C18" i="10"/>
  <c r="N14" i="11" s="1"/>
  <c r="C19" i="10"/>
  <c r="N15" i="11" s="1"/>
  <c r="C20" i="10"/>
  <c r="N16" i="11" s="1"/>
  <c r="C21" i="10"/>
  <c r="N17" i="11" s="1"/>
  <c r="C22" i="10"/>
  <c r="N18" i="11" s="1"/>
  <c r="C23" i="10"/>
  <c r="N19" i="11" s="1"/>
  <c r="C24" i="10"/>
  <c r="N20" i="11" s="1"/>
  <c r="C25" i="10"/>
  <c r="N21" i="11" s="1"/>
  <c r="C26" i="10"/>
  <c r="N22" i="11" s="1"/>
  <c r="C27" i="10"/>
  <c r="N23" i="11" s="1"/>
  <c r="C28" i="10"/>
  <c r="N24" i="11" s="1"/>
  <c r="C29" i="10"/>
  <c r="N25" i="11" s="1"/>
  <c r="C30" i="10"/>
  <c r="N26" i="11" s="1"/>
  <c r="C31" i="10"/>
  <c r="N27" i="11" s="1"/>
  <c r="C32" i="10"/>
  <c r="N28" i="11" s="1"/>
  <c r="C33" i="10"/>
  <c r="N29" i="11" s="1"/>
  <c r="C34" i="10"/>
  <c r="N30" i="11" s="1"/>
  <c r="C35" i="10"/>
  <c r="N31" i="11" s="1"/>
  <c r="C36" i="10"/>
  <c r="N32" i="11" s="1"/>
  <c r="C6" i="10"/>
  <c r="N2" i="11" s="1"/>
  <c r="B7" i="10"/>
  <c r="M3" i="11" s="1"/>
  <c r="B8" i="10"/>
  <c r="M4" i="11" s="1"/>
  <c r="B9" i="10"/>
  <c r="M5" i="11" s="1"/>
  <c r="B10" i="10"/>
  <c r="M6" i="11" s="1"/>
  <c r="B11" i="10"/>
  <c r="M7" i="11" s="1"/>
  <c r="B12" i="10"/>
  <c r="M8" i="11" s="1"/>
  <c r="B13" i="10"/>
  <c r="M9" i="11" s="1"/>
  <c r="B14" i="10"/>
  <c r="M10" i="11" s="1"/>
  <c r="B15" i="10"/>
  <c r="M11" i="11" s="1"/>
  <c r="B16" i="10"/>
  <c r="M12" i="11" s="1"/>
  <c r="B17" i="10"/>
  <c r="M13" i="11" s="1"/>
  <c r="B18" i="10"/>
  <c r="M14" i="11" s="1"/>
  <c r="B19" i="10"/>
  <c r="M15" i="11" s="1"/>
  <c r="B20" i="10"/>
  <c r="M16" i="11" s="1"/>
  <c r="B21" i="10"/>
  <c r="M17" i="11" s="1"/>
  <c r="B22" i="10"/>
  <c r="M18" i="11" s="1"/>
  <c r="B23" i="10"/>
  <c r="M19" i="11" s="1"/>
  <c r="B24" i="10"/>
  <c r="M20" i="11" s="1"/>
  <c r="B25" i="10"/>
  <c r="M21" i="11" s="1"/>
  <c r="B26" i="10"/>
  <c r="M22" i="11" s="1"/>
  <c r="B27" i="10"/>
  <c r="M23" i="11" s="1"/>
  <c r="B28" i="10"/>
  <c r="M24" i="11" s="1"/>
  <c r="B29" i="10"/>
  <c r="M25" i="11" s="1"/>
  <c r="B30" i="10"/>
  <c r="M26" i="11" s="1"/>
  <c r="B31" i="10"/>
  <c r="M27" i="11" s="1"/>
  <c r="B32" i="10"/>
  <c r="M28" i="11" s="1"/>
  <c r="B33" i="10"/>
  <c r="M29" i="11" s="1"/>
  <c r="B34" i="10"/>
  <c r="M30" i="11" s="1"/>
  <c r="B35" i="10"/>
  <c r="M31" i="11" s="1"/>
  <c r="B36" i="10"/>
  <c r="M32" i="11" s="1"/>
  <c r="B6" i="10"/>
  <c r="M2" i="11" s="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12" i="14"/>
  <c r="I13" i="14"/>
  <c r="I14" i="14"/>
  <c r="I15" i="14"/>
  <c r="I16" i="14"/>
  <c r="O16" i="14" s="1"/>
  <c r="I17" i="14"/>
  <c r="O17" i="14" s="1"/>
  <c r="I18" i="14"/>
  <c r="O18" i="14" s="1"/>
  <c r="I19" i="14"/>
  <c r="I20" i="14"/>
  <c r="O20" i="14" s="1"/>
  <c r="I21" i="14"/>
  <c r="I22" i="14"/>
  <c r="I23" i="14"/>
  <c r="I24" i="14"/>
  <c r="O24" i="14" s="1"/>
  <c r="I25" i="14"/>
  <c r="O25" i="14" s="1"/>
  <c r="I26" i="14"/>
  <c r="O26" i="14" s="1"/>
  <c r="I27" i="14"/>
  <c r="I28" i="14"/>
  <c r="O28" i="14" s="1"/>
  <c r="I29" i="14"/>
  <c r="I30" i="14"/>
  <c r="I31" i="14"/>
  <c r="I32" i="14"/>
  <c r="O32" i="14" s="1"/>
  <c r="I33" i="14"/>
  <c r="O33" i="14" s="1"/>
  <c r="I34" i="14"/>
  <c r="O34" i="14" s="1"/>
  <c r="I35" i="14"/>
  <c r="I36" i="14"/>
  <c r="O36" i="14" s="1"/>
  <c r="I37" i="14"/>
  <c r="I38" i="14"/>
  <c r="I39" i="14"/>
  <c r="I40" i="14"/>
  <c r="O40" i="14" s="1"/>
  <c r="I41" i="14"/>
  <c r="O41" i="14" s="1"/>
  <c r="I42" i="14"/>
  <c r="O42" i="14" s="1"/>
  <c r="I12" i="14"/>
  <c r="I46" i="14" s="1"/>
  <c r="O21" i="14" l="1"/>
  <c r="O13" i="14"/>
  <c r="O38" i="14"/>
  <c r="O22" i="14"/>
  <c r="O14" i="14"/>
  <c r="O30" i="14"/>
  <c r="O23" i="14"/>
  <c r="O15" i="14"/>
  <c r="O39" i="14"/>
  <c r="O31" i="14"/>
  <c r="O37" i="14"/>
  <c r="O29" i="14"/>
  <c r="O35" i="14"/>
  <c r="O27" i="14"/>
  <c r="O19" i="14"/>
  <c r="O12" i="14"/>
  <c r="P46" i="14"/>
  <c r="L46" i="14"/>
  <c r="K46" i="14"/>
  <c r="J46" i="14"/>
  <c r="H46" i="14"/>
  <c r="G46" i="14"/>
  <c r="F46" i="14"/>
  <c r="E46" i="14"/>
  <c r="AK46" i="14" l="1"/>
  <c r="AL46" i="14" s="1"/>
  <c r="AJ46" i="14"/>
  <c r="AI46" i="14"/>
  <c r="AF46" i="14"/>
  <c r="AE46" i="14"/>
  <c r="M46" i="14"/>
  <c r="C46" i="14"/>
  <c r="D46" i="14"/>
  <c r="Z46" i="14"/>
  <c r="W46" i="14"/>
  <c r="E32" i="11" l="1"/>
  <c r="F32" i="11"/>
  <c r="G32" i="11"/>
  <c r="H32" i="11"/>
  <c r="I32" i="11"/>
  <c r="J32" i="11"/>
  <c r="K32" i="11"/>
  <c r="L32" i="11"/>
  <c r="C37" i="10" l="1"/>
  <c r="B37" i="10"/>
  <c r="AG46" i="14" l="1"/>
  <c r="N46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6" i="14" l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6" i="14" l="1"/>
  <c r="F7" i="11"/>
  <c r="F2" i="11"/>
  <c r="L6" i="11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<sst xmlns="http://schemas.openxmlformats.org/spreadsheetml/2006/main" count="104" uniqueCount="56">
  <si>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</si>
  <si>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</si>
  <si>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</si>
  <si>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</si>
  <si>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</si>
  <si>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</si>
  <si>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</si>
  <si>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</si>
  <si>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</si>
  <si>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</si>
  <si>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</si>
  <si>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</si>
  <si>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</si>
  <si>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</si>
  <si>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</si>
  <si>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</si>
  <si>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</si>
  <si>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JANUARY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</si>
  <si>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</si>
  <si>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</si>
  <si>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</si>
  <si>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</si>
  <si>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</si>
  <si>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</si>
  <si>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</si>
  <si>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</si>
  <si>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</si>
  <si>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</si>
  <si>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</si>
  <si>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</si>
  <si>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</si>
  <si>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</si>
  <si>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</si>
  <si>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</si>
  <si>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</si>
  <si>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</si>
  <si>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</si>
  <si>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</si>
  <si>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</si>
  <si>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</si>
  <si>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</si>
  <si>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</si>
  <si>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</si>
  <si>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</si>
  <si>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</si>
  <si>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</si>
  <si>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</si>
  <si>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</si>
  <si>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</si>
  <si>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</si>
  <si>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</si>
  <si>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</si>
  <si>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</si>
  <si>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 xml:space="preserve"> -   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</si>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</sst>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7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8" xfId="0" applyFill="1" applyBorder="1"/>
    <xf numFmtId="0" fontId="0" fillId="3" borderId="15" xfId="0" applyFill="1" applyBorder="1"/>
    <xf numFmtId="0" fontId="0" fillId="3" borderId="59" xfId="0" applyFill="1" applyBorder="1"/>
    <xf numFmtId="0" fontId="0" fillId="3" borderId="60" xfId="0" applyFill="1" applyBorder="1"/>
    <xf numFmtId="165" fontId="0" fillId="3" borderId="48" xfId="2" applyNumberFormat="1" applyFont="1" applyFill="1" applyBorder="1"/>
    <xf numFmtId="0" fontId="11" fillId="11" borderId="56" xfId="0" applyFont="1" applyFill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2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8" xfId="0" applyFill="1" applyBorder="1" applyAlignment="1">
      <alignment wrapText="1"/>
    </xf>
    <xf numFmtId="0" fontId="7" fillId="3" borderId="58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5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0" fillId="3" borderId="56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3" borderId="63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6" xfId="2" applyFont="1" applyFill="1" applyBorder="1"/>
    <xf numFmtId="165" fontId="0" fillId="0" borderId="30" xfId="0" applyNumberFormat="1" applyBorder="1"/>
    <xf numFmtId="168" fontId="0" fillId="0" borderId="67" xfId="2" applyNumberFormat="1" applyFont="1" applyBorder="1"/>
    <xf numFmtId="9" fontId="17" fillId="0" borderId="0" xfId="5" applyFont="1"/>
    <xf numFmtId="164" fontId="0" fillId="3" borderId="0" xfId="2" applyFont="1" applyFill="1" applyBorder="1"/>
    <xf numFmtId="0" fontId="0" fillId="0" borderId="68" xfId="0" applyBorder="1" applyAlignment="1">
      <alignment horizontal="center" vertical="center" wrapText="1"/>
    </xf>
    <xf numFmtId="166" fontId="20" fillId="0" borderId="8" xfId="0" applyNumberFormat="1" applyFont="1" applyBorder="1"/>
    <xf numFmtId="37" fontId="20" fillId="0" borderId="8" xfId="0" applyNumberFormat="1" applyFont="1" applyBorder="1"/>
    <xf numFmtId="37" fontId="0" fillId="0" borderId="8" xfId="0" applyNumberFormat="1" applyBorder="1"/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0" borderId="55" xfId="2" applyNumberFormat="1" applyFont="1" applyBorder="1"/>
    <xf numFmtId="1" fontId="0" fillId="0" borderId="29" xfId="2" applyNumberFormat="1" applyFont="1" applyBorder="1"/>
    <xf numFmtId="1" fontId="2" fillId="0" borderId="29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5" borderId="6" xfId="0" applyNumberFormat="1" applyFont="1" applyFill="1" applyBorder="1"/>
    <xf numFmtId="1" fontId="1" fillId="3" borderId="6" xfId="0" applyNumberFormat="1" applyFont="1" applyFill="1" applyBorder="1"/>
    <xf numFmtId="1" fontId="1" fillId="12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64" fontId="0" fillId="0" borderId="29" xfId="2" applyFont="1" applyBorder="1"/>
    <xf numFmtId="166" fontId="20" fillId="0" borderId="67" xfId="0" applyNumberFormat="1" applyFont="1" applyBorder="1"/>
    <xf numFmtId="37" fontId="20" fillId="0" borderId="29" xfId="0" applyNumberFormat="1" applyFont="1" applyBorder="1"/>
    <xf numFmtId="1" fontId="0" fillId="0" borderId="32" xfId="0" applyNumberFormat="1" applyBorder="1"/>
    <xf numFmtId="1" fontId="0" fillId="0" borderId="56" xfId="2" applyNumberFormat="1" applyFont="1" applyBorder="1"/>
    <xf numFmtId="1" fontId="2" fillId="0" borderId="56" xfId="2" applyNumberFormat="1" applyFont="1" applyBorder="1"/>
    <xf numFmtId="165" fontId="1" fillId="0" borderId="55" xfId="2" applyNumberFormat="1" applyFont="1" applyBorder="1"/>
    <xf numFmtId="1" fontId="0" fillId="0" borderId="30" xfId="2" applyNumberFormat="1" applyFont="1" applyBorder="1"/>
    <xf numFmtId="165" fontId="0" fillId="0" borderId="32" xfId="0" applyNumberFormat="1" applyBorder="1"/>
    <xf numFmtId="167" fontId="0" fillId="0" borderId="30" xfId="2" applyNumberFormat="1" applyFont="1" applyBorder="1"/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3" fillId="3" borderId="23" xfId="0" applyNumberFormat="1" applyFont="1" applyFill="1" applyBorder="1"/>
    <xf numFmtId="1" fontId="1" fillId="12" borderId="31" xfId="2" applyNumberFormat="1" applyFont="1" applyFill="1" applyBorder="1"/>
    <xf numFmtId="1" fontId="1" fillId="12" borderId="33" xfId="2" applyNumberFormat="1" applyFont="1" applyFill="1" applyBorder="1"/>
    <xf numFmtId="1" fontId="0" fillId="13" borderId="6" xfId="2" applyNumberFormat="1" applyFont="1" applyFill="1" applyBorder="1"/>
    <xf numFmtId="1" fontId="1" fillId="12" borderId="6" xfId="2" applyNumberFormat="1" applyFont="1" applyFill="1" applyBorder="1"/>
    <xf numFmtId="1" fontId="1" fillId="12" borderId="7" xfId="0" applyNumberFormat="1" applyFont="1" applyFill="1" applyBorder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7" fontId="6" fillId="3" borderId="57" xfId="0" applyNumberFormat="1" applyFont="1" applyFill="1" applyBorder="1" applyAlignment="1">
      <alignment horizontal="center"/>
    </xf>
    <xf numFmtId="0" fontId="6" fillId="3" borderId="57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3"/>
  <sheetViews>
    <sheetView workbookViewId="0">
      <selection activeCell="L34" sqref="L34"/>
    </sheetView>
  </sheetViews>
  <sheetFormatPr defaultColWidth="11.5703125" defaultRowHeight="15"/>
  <cols>
    <col min="1" max="1" width="18.42578125" style="126" customWidth="1"/>
    <col min="2" max="2" width="11.5703125" style="127"/>
    <col min="3" max="3" width="11.5703125" style="128"/>
    <col min="4" max="4" width="13.42578125" style="127" customWidth="1"/>
    <col min="5" max="5" width="12.5703125" style="125" customWidth="1"/>
    <col min="6" max="6" width="12.5703125" style="129" customWidth="1"/>
    <col min="7" max="7" width="11.5703125" style="125"/>
    <col min="8" max="8" width="11.5703125" style="129"/>
    <col min="9" max="9" width="11.5703125" style="130"/>
    <col min="10" max="10" width="11.5703125" style="131"/>
    <col min="11" max="11" width="11.5703125" style="125"/>
    <col min="12" max="12" width="11.5703125" style="131"/>
    <col min="13" max="25" width="11.5703125" style="125"/>
  </cols>
  <sheetData>
    <row r="1" spans="1:15" s="119" customFormat="1" ht="60">
      <c r="A1" s="115" t="s">
        <v>0</v>
      </c>
      <c r="B1" s="115" t="s">
        <v>1</v>
      </c>
      <c r="C1" s="116" t="s">
        <v>2</v>
      </c>
      <c r="D1" s="115" t="s">
        <v>3</v>
      </c>
      <c r="E1" s="114" t="s">
        <v>4</v>
      </c>
      <c r="F1" s="117" t="s">
        <v>5</v>
      </c>
      <c r="G1" s="114" t="s">
        <v>6</v>
      </c>
      <c r="H1" s="117" t="s">
        <v>7</v>
      </c>
      <c r="I1" s="114" t="s">
        <v>8</v>
      </c>
      <c r="J1" s="117" t="s">
        <v>9</v>
      </c>
      <c r="K1" s="114" t="s">
        <v>10</v>
      </c>
      <c r="L1" s="118" t="s">
        <v>11</v>
      </c>
      <c r="M1" s="114" t="s">
        <v>12</v>
      </c>
      <c r="N1" s="114" t="s">
        <v>13</v>
      </c>
    </row>
    <row r="2" spans="1:15">
      <c r="A2" s="120" t="s">
        <v>14</v>
      </c>
      <c r="B2" s="121">
        <v>1</v>
      </c>
      <c r="C2" s="122">
        <v>1</v>
      </c>
      <c r="D2" s="121">
        <v>2022</v>
      </c>
      <c r="E2" s="123">
        <f>'FS Jimbaran January 2022'!P12</f>
        <v>16180.000000000262</v>
      </c>
      <c r="F2" s="132">
        <f>'FS Jimbaran January 2022'!O12/'FS Jimbaran January 2022'!P12</f>
        <v>1185.0334653893665</v>
      </c>
      <c r="G2" s="123">
        <f>'FS Jimbaran January 2022'!AG12</f>
        <v>107.26220000000001</v>
      </c>
      <c r="H2" s="132">
        <f>'FS Jimbaran January 2022'!AH12/'FS Jimbaran January 2022'!AG12</f>
        <v>15900.097779087135</v>
      </c>
      <c r="I2" s="123">
        <f>'FS Jimbaran January 2022'!AJ12</f>
        <v>242.080000000002</v>
      </c>
      <c r="J2" s="124">
        <f>'FS Jimbaran January 2022'!AK12/'FS Jimbaran January 2022'!AJ12</f>
        <v>12000</v>
      </c>
      <c r="K2" s="123">
        <f>'FS Jimbaran January 2022'!V12</f>
        <v>890</v>
      </c>
      <c r="L2" s="132">
        <f>'FS Jimbaran January 2022'!AA12/'FS Jimbaran January 2022'!V12</f>
        <v>7237.2997600000008</v>
      </c>
      <c r="M2" s="123">
        <f>'RNs &amp; Covers January 2022'!B6</f>
        <v>25</v>
      </c>
      <c r="N2" s="123">
        <f>'RNs &amp; Covers January 2022'!C6</f>
        <v>263</v>
      </c>
    </row>
    <row r="3" spans="1:15">
      <c r="A3" s="120" t="s">
        <v>14</v>
      </c>
      <c r="B3" s="121">
        <f>B2+1</f>
        <v>2</v>
      </c>
      <c r="C3" s="122">
        <v>1</v>
      </c>
      <c r="D3" s="121">
        <v>2022</v>
      </c>
      <c r="E3" s="123">
        <f>'FS Jimbaran January 2022'!P13</f>
        <v>15360.000000000211</v>
      </c>
      <c r="F3" s="132">
        <f>'FS Jimbaran January 2022'!O13/'FS Jimbaran January 2022'!P13</f>
        <v>1182.4480664062501</v>
      </c>
      <c r="G3" s="123">
        <f>'FS Jimbaran January 2022'!AG13</f>
        <v>116.24463999999998</v>
      </c>
      <c r="H3" s="132">
        <f>'FS Jimbaran January 2022'!AH13/'FS Jimbaran January 2022'!AG13</f>
        <v>15903.181098070414</v>
      </c>
      <c r="I3" s="123">
        <f>'FS Jimbaran January 2022'!AJ13</f>
        <v>370.97000000000116</v>
      </c>
      <c r="J3" s="124">
        <f>'FS Jimbaran January 2022'!AK13/'FS Jimbaran January 2022'!AJ13</f>
        <v>12000</v>
      </c>
      <c r="K3" s="123">
        <f>'FS Jimbaran January 2022'!V13</f>
        <v>825.92000000000007</v>
      </c>
      <c r="L3" s="132">
        <f>'FS Jimbaran January 2022'!AA13/'FS Jimbaran January 2022'!V13</f>
        <v>7513.8176293103443</v>
      </c>
      <c r="M3" s="123">
        <f>'RNs &amp; Covers January 2022'!B7</f>
        <v>15</v>
      </c>
      <c r="N3" s="123">
        <f>'RNs &amp; Covers January 2022'!C7</f>
        <v>240</v>
      </c>
    </row>
    <row r="4" spans="1:15">
      <c r="A4" s="120" t="s">
        <v>14</v>
      </c>
      <c r="B4" s="121">
        <f t="shared" ref="B4:B32" si="0">B3+1</f>
        <v>3</v>
      </c>
      <c r="C4" s="122">
        <v>1</v>
      </c>
      <c r="D4" s="121">
        <v>2022</v>
      </c>
      <c r="E4" s="123">
        <f>'FS Jimbaran January 2022'!P14</f>
        <v>14579.999999999556</v>
      </c>
      <c r="F4" s="132">
        <f>'FS Jimbaran January 2022'!O14/'FS Jimbaran January 2022'!P14</f>
        <v>1187.523901234568</v>
      </c>
      <c r="G4" s="123">
        <f>'FS Jimbaran January 2022'!AG14</f>
        <v>111.57215999999998</v>
      </c>
      <c r="H4" s="132">
        <f>'FS Jimbaran January 2022'!AH14/'FS Jimbaran January 2022'!AG14</f>
        <v>18703.682244743341</v>
      </c>
      <c r="I4" s="123">
        <f>'FS Jimbaran January 2022'!AJ14</f>
        <v>347.19999999999709</v>
      </c>
      <c r="J4" s="124">
        <f>'FS Jimbaran January 2022'!AK14/'FS Jimbaran January 2022'!AJ14</f>
        <v>12000</v>
      </c>
      <c r="K4" s="123">
        <f>'FS Jimbaran January 2022'!V14</f>
        <v>864.19</v>
      </c>
      <c r="L4" s="132">
        <f>'FS Jimbaran January 2022'!AA14/'FS Jimbaran January 2022'!V14</f>
        <v>7354.93324407827</v>
      </c>
      <c r="M4" s="123">
        <f>'RNs &amp; Covers January 2022'!B8</f>
        <v>8</v>
      </c>
      <c r="N4" s="123">
        <f>'RNs &amp; Covers January 2022'!C8</f>
        <v>125</v>
      </c>
    </row>
    <row r="5" spans="1:15">
      <c r="A5" s="120" t="s">
        <v>14</v>
      </c>
      <c r="B5" s="121">
        <f t="shared" si="0"/>
        <v>4</v>
      </c>
      <c r="C5" s="122">
        <v>1</v>
      </c>
      <c r="D5" s="121">
        <v>2022</v>
      </c>
      <c r="E5" s="123">
        <f>'FS Jimbaran January 2022'!P15</f>
        <v>14220.000000000169</v>
      </c>
      <c r="F5" s="132">
        <f>'FS Jimbaran January 2022'!O15/'FS Jimbaran January 2022'!P15</f>
        <v>1193.8784873417756</v>
      </c>
      <c r="G5" s="123">
        <f>'FS Jimbaran January 2022'!AG15</f>
        <v>129.73843999999994</v>
      </c>
      <c r="H5" s="132">
        <f>'FS Jimbaran January 2022'!AH15/'FS Jimbaran January 2022'!AG15</f>
        <v>15907.010548300103</v>
      </c>
      <c r="I5" s="123">
        <f>'FS Jimbaran January 2022'!AJ15</f>
        <v>281.7899999999936</v>
      </c>
      <c r="J5" s="124">
        <f>'FS Jimbaran January 2022'!AK15/'FS Jimbaran January 2022'!AJ15</f>
        <v>12000</v>
      </c>
      <c r="K5" s="123">
        <f>'FS Jimbaran January 2022'!V15</f>
        <v>847.28</v>
      </c>
      <c r="L5" s="132">
        <f>'FS Jimbaran January 2022'!AA15/'FS Jimbaran January 2022'!V15</f>
        <v>7431.4150000000009</v>
      </c>
      <c r="M5" s="123">
        <f>'RNs &amp; Covers January 2022'!B9</f>
        <v>8</v>
      </c>
      <c r="N5" s="123">
        <f>'RNs &amp; Covers January 2022'!C9</f>
        <v>107</v>
      </c>
    </row>
    <row r="6" spans="1:15">
      <c r="A6" s="120" t="s">
        <v>14</v>
      </c>
      <c r="B6" s="121">
        <f t="shared" si="0"/>
        <v>5</v>
      </c>
      <c r="C6" s="122">
        <v>1</v>
      </c>
      <c r="D6" s="121">
        <v>2022</v>
      </c>
      <c r="E6" s="123">
        <f>'FS Jimbaran January 2022'!P16</f>
        <v>14780.000000000287</v>
      </c>
      <c r="F6" s="132">
        <f>'FS Jimbaran January 2022'!O16/'FS Jimbaran January 2022'!P16</f>
        <v>1192.0580378890334</v>
      </c>
      <c r="G6" s="123">
        <f>'FS Jimbaran January 2022'!AG16</f>
        <v>106.61772000000002</v>
      </c>
      <c r="H6" s="132">
        <f>'FS Jimbaran January 2022'!AH16/'FS Jimbaran January 2022'!AG16</f>
        <v>15899.856579187774</v>
      </c>
      <c r="I6" s="123">
        <f>'FS Jimbaran January 2022'!AJ16</f>
        <v>716.51000000000931</v>
      </c>
      <c r="J6" s="124">
        <f>'FS Jimbaran January 2022'!AK16/'FS Jimbaran January 2022'!AJ16</f>
        <v>12000</v>
      </c>
      <c r="K6" s="123">
        <f>'FS Jimbaran January 2022'!V16</f>
        <v>880.20999999999992</v>
      </c>
      <c r="L6" s="132">
        <f>'FS Jimbaran January 2022'!AA16/'FS Jimbaran January 2022'!V16</f>
        <v>7284.4571284125377</v>
      </c>
      <c r="M6" s="123">
        <f>'RNs &amp; Covers January 2022'!B10</f>
        <v>12</v>
      </c>
      <c r="N6" s="123">
        <f>'RNs &amp; Covers January 2022'!C10</f>
        <v>112</v>
      </c>
    </row>
    <row r="7" spans="1:15">
      <c r="A7" s="120" t="s">
        <v>14</v>
      </c>
      <c r="B7" s="121">
        <f t="shared" si="0"/>
        <v>6</v>
      </c>
      <c r="C7" s="122">
        <v>1</v>
      </c>
      <c r="D7" s="121">
        <v>2022</v>
      </c>
      <c r="E7" s="123">
        <f>'FS Jimbaran January 2022'!P17</f>
        <v>15020.00000000018</v>
      </c>
      <c r="F7" s="132">
        <f>'FS Jimbaran January 2022'!O17/'FS Jimbaran January 2022'!P17</f>
        <v>1176.6309087882817</v>
      </c>
      <c r="G7" s="123">
        <f>'FS Jimbaran January 2022'!AG17</f>
        <v>91.556439999999952</v>
      </c>
      <c r="H7" s="132">
        <f>'FS Jimbaran January 2022'!AH17/'FS Jimbaran January 2022'!AG17</f>
        <v>15939.999999999998</v>
      </c>
      <c r="I7" s="123">
        <f>'FS Jimbaran January 2022'!AJ17</f>
        <v>337.72000000000116</v>
      </c>
      <c r="J7" s="124">
        <f>'FS Jimbaran January 2022'!AK17/'FS Jimbaran January 2022'!AJ17</f>
        <v>12000</v>
      </c>
      <c r="K7" s="123">
        <f>'FS Jimbaran January 2022'!V17</f>
        <v>878.43</v>
      </c>
      <c r="L7" s="132">
        <f>'FS Jimbaran January 2022'!AA17/'FS Jimbaran January 2022'!V17</f>
        <v>7290.615744680852</v>
      </c>
      <c r="M7" s="123">
        <f>'RNs &amp; Covers January 2022'!B11</f>
        <v>8</v>
      </c>
      <c r="N7" s="123">
        <f>'RNs &amp; Covers January 2022'!C11</f>
        <v>189</v>
      </c>
    </row>
    <row r="8" spans="1:15">
      <c r="A8" s="120" t="s">
        <v>14</v>
      </c>
      <c r="B8" s="121">
        <f t="shared" si="0"/>
        <v>7</v>
      </c>
      <c r="C8" s="122">
        <v>1</v>
      </c>
      <c r="D8" s="121">
        <v>2022</v>
      </c>
      <c r="E8" s="123">
        <f>'FS Jimbaran January 2022'!P18</f>
        <v>14459.999999999751</v>
      </c>
      <c r="F8" s="132">
        <f>'FS Jimbaran January 2022'!O18/'FS Jimbaran January 2022'!P18</f>
        <v>1189.8576473029098</v>
      </c>
      <c r="G8" s="123">
        <f>'FS Jimbaran January 2022'!AG18</f>
        <v>119.06423999999993</v>
      </c>
      <c r="H8" s="132">
        <f>'FS Jimbaran January 2022'!AH18/'FS Jimbaran January 2022'!AG18</f>
        <v>14333.472296971786</v>
      </c>
      <c r="I8" s="123">
        <f>'FS Jimbaran January 2022'!AJ18</f>
        <v>139.20000000001164</v>
      </c>
      <c r="J8" s="124">
        <f>'FS Jimbaran January 2022'!AK18/'FS Jimbaran January 2022'!AJ18</f>
        <v>12000</v>
      </c>
      <c r="K8" s="123">
        <f>'FS Jimbaran January 2022'!V18</f>
        <v>891.78</v>
      </c>
      <c r="L8" s="132">
        <f>'FS Jimbaran January 2022'!AA18/'FS Jimbaran January 2022'!V18</f>
        <v>7245.025389221556</v>
      </c>
      <c r="M8" s="123">
        <f>'RNs &amp; Covers January 2022'!B12</f>
        <v>9</v>
      </c>
      <c r="N8" s="123">
        <f>'RNs &amp; Covers January 2022'!C12</f>
        <v>115</v>
      </c>
    </row>
    <row r="9" spans="1:15">
      <c r="A9" s="120" t="s">
        <v>14</v>
      </c>
      <c r="B9" s="121">
        <f t="shared" si="0"/>
        <v>8</v>
      </c>
      <c r="C9" s="122">
        <v>1</v>
      </c>
      <c r="D9" s="121">
        <v>2022</v>
      </c>
      <c r="E9" s="123">
        <f>'FS Jimbaran January 2022'!P19</f>
        <v>14279.999999999773</v>
      </c>
      <c r="F9" s="132">
        <f>'FS Jimbaran January 2022'!O19/'FS Jimbaran January 2022'!P19</f>
        <v>1180.4845588235296</v>
      </c>
      <c r="G9" s="123">
        <f>'FS Jimbaran January 2022'!AG19</f>
        <v>98.440880000000135</v>
      </c>
      <c r="H9" s="132">
        <f>'FS Jimbaran January 2022'!AH19/'FS Jimbaran January 2022'!AG19</f>
        <v>15896.522127798939</v>
      </c>
      <c r="I9" s="123">
        <f>'FS Jimbaran January 2022'!AJ19</f>
        <v>237.75999999999476</v>
      </c>
      <c r="J9" s="124">
        <f>'FS Jimbaran January 2022'!AK19/'FS Jimbaran January 2022'!AJ19</f>
        <v>12000</v>
      </c>
      <c r="K9" s="123">
        <f>'FS Jimbaran January 2022'!V19</f>
        <v>874.87000000000012</v>
      </c>
      <c r="L9" s="132">
        <f>'FS Jimbaran January 2022'!AA19/'FS Jimbaran January 2022'!V19</f>
        <v>7316.9708443540176</v>
      </c>
      <c r="M9" s="123">
        <f>'RNs &amp; Covers January 2022'!B13</f>
        <v>9</v>
      </c>
      <c r="N9" s="123">
        <f>'RNs &amp; Covers January 2022'!C13</f>
        <v>175</v>
      </c>
      <c r="O9" s="125" t="s">
        <v>15</v>
      </c>
    </row>
    <row r="10" spans="1:15">
      <c r="A10" s="120" t="s">
        <v>14</v>
      </c>
      <c r="B10" s="121">
        <f t="shared" si="0"/>
        <v>9</v>
      </c>
      <c r="C10" s="122">
        <v>1</v>
      </c>
      <c r="D10" s="121">
        <v>2022</v>
      </c>
      <c r="E10" s="123">
        <f>'FS Jimbaran January 2022'!P20</f>
        <v>13800.00000000004</v>
      </c>
      <c r="F10" s="132">
        <f>'FS Jimbaran January 2022'!O20/'FS Jimbaran January 2022'!P20</f>
        <v>1182.9283108695668</v>
      </c>
      <c r="G10" s="123">
        <f>'FS Jimbaran January 2022'!AG20</f>
        <v>107.74555999999991</v>
      </c>
      <c r="H10" s="132">
        <f>'FS Jimbaran January 2022'!AH20/'FS Jimbaran January 2022'!AG20</f>
        <v>15900.276785419279</v>
      </c>
      <c r="I10" s="123">
        <f>'FS Jimbaran January 2022'!AJ20</f>
        <v>326.52999999999884</v>
      </c>
      <c r="J10" s="124">
        <f>'FS Jimbaran January 2022'!AK20/'FS Jimbaran January 2022'!AJ20</f>
        <v>12000</v>
      </c>
      <c r="K10" s="123">
        <f>'FS Jimbaran January 2022'!V20</f>
        <v>881.99</v>
      </c>
      <c r="L10" s="132">
        <f>'FS Jimbaran January 2022'!AA20/'FS Jimbaran January 2022'!V20</f>
        <v>7306.0233097880928</v>
      </c>
      <c r="M10" s="123">
        <f>'RNs &amp; Covers January 2022'!B14</f>
        <v>4</v>
      </c>
      <c r="N10" s="123">
        <f>'RNs &amp; Covers January 2022'!C14</f>
        <v>131</v>
      </c>
    </row>
    <row r="11" spans="1:15">
      <c r="A11" s="120" t="s">
        <v>14</v>
      </c>
      <c r="B11" s="121">
        <f t="shared" si="0"/>
        <v>10</v>
      </c>
      <c r="C11" s="122">
        <v>1</v>
      </c>
      <c r="D11" s="121">
        <v>2022</v>
      </c>
      <c r="E11" s="123">
        <f>'FS Jimbaran January 2022'!P21</f>
        <v>13659.999999999911</v>
      </c>
      <c r="F11" s="132">
        <f>'FS Jimbaran January 2022'!O21/'FS Jimbaran January 2022'!P21</f>
        <v>1182.3132979502179</v>
      </c>
      <c r="G11" s="123">
        <f>'FS Jimbaran January 2022'!AG21</f>
        <v>94.171200000000127</v>
      </c>
      <c r="H11" s="132">
        <f>'FS Jimbaran January 2022'!AH21/'FS Jimbaran January 2022'!AG21</f>
        <v>16078.984458095134</v>
      </c>
      <c r="I11" s="123">
        <f>'FS Jimbaran January 2022'!AJ21</f>
        <v>331.76000000000931</v>
      </c>
      <c r="J11" s="124">
        <f>'FS Jimbaran January 2022'!AK21/'FS Jimbaran January 2022'!AJ21</f>
        <v>12000</v>
      </c>
      <c r="K11" s="123">
        <f>'FS Jimbaran January 2022'!V21</f>
        <v>867.75</v>
      </c>
      <c r="L11" s="132">
        <f>'FS Jimbaran January 2022'!AA21/'FS Jimbaran January 2022'!V21</f>
        <v>7356.2525333333333</v>
      </c>
      <c r="M11" s="123">
        <f>'RNs &amp; Covers January 2022'!B15</f>
        <v>4</v>
      </c>
      <c r="N11" s="123">
        <f>'RNs &amp; Covers January 2022'!C15</f>
        <v>70</v>
      </c>
    </row>
    <row r="12" spans="1:15">
      <c r="A12" s="120" t="s">
        <v>14</v>
      </c>
      <c r="B12" s="121">
        <f t="shared" si="0"/>
        <v>11</v>
      </c>
      <c r="C12" s="122">
        <v>1</v>
      </c>
      <c r="D12" s="121">
        <v>2022</v>
      </c>
      <c r="E12" s="123">
        <f>'FS Jimbaran January 2022'!P22</f>
        <v>12760.000000000531</v>
      </c>
      <c r="F12" s="132">
        <f>'FS Jimbaran January 2022'!O22/'FS Jimbaran January 2022'!P22</f>
        <v>1178.767967868333</v>
      </c>
      <c r="G12" s="123">
        <f>'FS Jimbaran January 2022'!AG22</f>
        <v>120.15179999999985</v>
      </c>
      <c r="H12" s="132">
        <f>'FS Jimbaran January 2022'!AH22/'FS Jimbaran January 2022'!AG22</f>
        <v>15904.378394664083</v>
      </c>
      <c r="I12" s="123">
        <f>'FS Jimbaran January 2022'!AJ22</f>
        <v>265.94999999999709</v>
      </c>
      <c r="J12" s="124">
        <f>'FS Jimbaran January 2022'!AK22/'FS Jimbaran January 2022'!AJ22</f>
        <v>12000</v>
      </c>
      <c r="K12" s="123">
        <f>'FS Jimbaran January 2022'!V22</f>
        <v>719.12</v>
      </c>
      <c r="L12" s="132">
        <f>'FS Jimbaran January 2022'!AA22/'FS Jimbaran January 2022'!V22</f>
        <v>4618.8892079207917</v>
      </c>
      <c r="M12" s="123">
        <f>'RNs &amp; Covers January 2022'!B16</f>
        <v>5</v>
      </c>
      <c r="N12" s="123">
        <f>'RNs &amp; Covers January 2022'!C16</f>
        <v>60</v>
      </c>
    </row>
    <row r="13" spans="1:15">
      <c r="A13" s="120" t="s">
        <v>14</v>
      </c>
      <c r="B13" s="121">
        <f t="shared" si="0"/>
        <v>12</v>
      </c>
      <c r="C13" s="122">
        <v>1</v>
      </c>
      <c r="D13" s="121">
        <v>2022</v>
      </c>
      <c r="E13" s="123">
        <f>'FS Jimbaran January 2022'!P23</f>
        <v>13299.999999999329</v>
      </c>
      <c r="F13" s="132">
        <f>'FS Jimbaran January 2022'!O23/'FS Jimbaran January 2022'!P23</f>
        <v>1178.3360368421133</v>
      </c>
      <c r="G13" s="123">
        <f>'FS Jimbaran January 2022'!AG23</f>
        <v>97.474160000000097</v>
      </c>
      <c r="H13" s="132">
        <f>'FS Jimbaran January 2022'!AH23/'FS Jimbaran January 2022'!AG23</f>
        <v>15896.090927072364</v>
      </c>
      <c r="I13" s="123">
        <f>'FS Jimbaran January 2022'!AJ23</f>
        <v>179.95999999999185</v>
      </c>
      <c r="J13" s="124">
        <f>'FS Jimbaran January 2022'!AK23/'FS Jimbaran January 2022'!AJ23</f>
        <v>12000</v>
      </c>
      <c r="K13" s="123">
        <f>'FS Jimbaran January 2022'!V23</f>
        <v>903.34999999999991</v>
      </c>
      <c r="L13" s="132">
        <f>'FS Jimbaran January 2022'!AA23/'FS Jimbaran January 2022'!V23</f>
        <v>9951.6677241379311</v>
      </c>
      <c r="M13" s="123">
        <f>'RNs &amp; Covers January 2022'!B17</f>
        <v>3</v>
      </c>
      <c r="N13" s="123">
        <f>'RNs &amp; Covers January 2022'!C17</f>
        <v>39</v>
      </c>
    </row>
    <row r="14" spans="1:15">
      <c r="A14" s="120" t="s">
        <v>14</v>
      </c>
      <c r="B14" s="121">
        <f t="shared" si="0"/>
        <v>13</v>
      </c>
      <c r="C14" s="122">
        <v>1</v>
      </c>
      <c r="D14" s="121">
        <v>2022</v>
      </c>
      <c r="E14" s="123">
        <f>'FS Jimbaran January 2022'!P24</f>
        <v>14400.000000000346</v>
      </c>
      <c r="F14" s="132">
        <f>'FS Jimbaran January 2022'!O24/'FS Jimbaran January 2022'!P24</f>
        <v>1185.7523124999955</v>
      </c>
      <c r="G14" s="123">
        <f>'FS Jimbaran January 2022'!AG24</f>
        <v>92.442599999999942</v>
      </c>
      <c r="H14" s="132">
        <f>'FS Jimbaran January 2022'!AH24/'FS Jimbaran January 2022'!AG24</f>
        <v>15983.839215690648</v>
      </c>
      <c r="I14" s="123">
        <f>'FS Jimbaran January 2022'!AJ24</f>
        <v>0</v>
      </c>
      <c r="J14" s="124" t="e">
        <f>'FS Jimbaran January 2022'!AK24/'FS Jimbaran January 2022'!AJ24</f>
        <v>#DIV/0!</v>
      </c>
      <c r="K14" s="123">
        <f>'FS Jimbaran January 2022'!V24</f>
        <v>698.65</v>
      </c>
      <c r="L14" s="132">
        <f>'FS Jimbaran January 2022'!AA24/'FS Jimbaran January 2022'!V24</f>
        <v>8126.7354649681529</v>
      </c>
      <c r="M14" s="123">
        <f>'RNs &amp; Covers January 2022'!B18</f>
        <v>2</v>
      </c>
      <c r="N14" s="123">
        <f>'RNs &amp; Covers January 2022'!C18</f>
        <v>73</v>
      </c>
    </row>
    <row r="15" spans="1:15">
      <c r="A15" s="120" t="s">
        <v>14</v>
      </c>
      <c r="B15" s="121">
        <f t="shared" si="0"/>
        <v>14</v>
      </c>
      <c r="C15" s="122">
        <v>1</v>
      </c>
      <c r="D15" s="121">
        <v>2022</v>
      </c>
      <c r="E15" s="123">
        <f>'FS Jimbaran January 2022'!P25</f>
        <v>16700.000000000273</v>
      </c>
      <c r="F15" s="132">
        <f>'FS Jimbaran January 2022'!O25/'FS Jimbaran January 2022'!P25</f>
        <v>1200.8845724550883</v>
      </c>
      <c r="G15" s="123">
        <f>'FS Jimbaran January 2022'!AG25</f>
        <v>95.822680000000005</v>
      </c>
      <c r="H15" s="132">
        <f>'FS Jimbaran January 2022'!AH25/'FS Jimbaran January 2022'!AG25</f>
        <v>15895.33416514754</v>
      </c>
      <c r="I15" s="123">
        <f>'FS Jimbaran January 2022'!AJ25</f>
        <v>547.6200000000099</v>
      </c>
      <c r="J15" s="124">
        <f>'FS Jimbaran January 2022'!AK25/'FS Jimbaran January 2022'!AJ25</f>
        <v>12000</v>
      </c>
      <c r="K15" s="123">
        <f>'FS Jimbaran January 2022'!V25</f>
        <v>805.45</v>
      </c>
      <c r="L15" s="132">
        <f>'FS Jimbaran January 2022'!AA25/'FS Jimbaran January 2022'!V25</f>
        <v>6959.9118011049723</v>
      </c>
      <c r="M15" s="123">
        <f>'RNs &amp; Covers January 2022'!B19</f>
        <v>31</v>
      </c>
      <c r="N15" s="123">
        <f>'RNs &amp; Covers January 2022'!C19</f>
        <v>143</v>
      </c>
    </row>
    <row r="16" spans="1:15">
      <c r="A16" s="120" t="s">
        <v>14</v>
      </c>
      <c r="B16" s="121">
        <f t="shared" si="0"/>
        <v>15</v>
      </c>
      <c r="C16" s="122">
        <v>1</v>
      </c>
      <c r="D16" s="121">
        <v>2022</v>
      </c>
      <c r="E16" s="123">
        <f>'FS Jimbaran January 2022'!P26</f>
        <v>15799.999999999927</v>
      </c>
      <c r="F16" s="132">
        <f>'FS Jimbaran January 2022'!O26/'FS Jimbaran January 2022'!P26</f>
        <v>1165.350833544303</v>
      </c>
      <c r="G16" s="123">
        <f>'FS Jimbaran January 2022'!AG26</f>
        <v>98.440879999999908</v>
      </c>
      <c r="H16" s="132">
        <f>'FS Jimbaran January 2022'!AH26/'FS Jimbaran January 2022'!AG26</f>
        <v>15896.522127798939</v>
      </c>
      <c r="I16" s="123">
        <f>'FS Jimbaran January 2022'!AJ26</f>
        <v>171.79999999998836</v>
      </c>
      <c r="J16" s="124">
        <f>'FS Jimbaran January 2022'!AK26/'FS Jimbaran January 2022'!AJ26</f>
        <v>12000</v>
      </c>
      <c r="K16" s="123">
        <f>'FS Jimbaran January 2022'!V26</f>
        <v>797.43999999999994</v>
      </c>
      <c r="L16" s="132">
        <f>'FS Jimbaran January 2022'!AA26/'FS Jimbaran January 2022'!V26</f>
        <v>7722.4653125000013</v>
      </c>
      <c r="M16" s="123">
        <f>'RNs &amp; Covers January 2022'!B20</f>
        <v>1</v>
      </c>
      <c r="N16" s="123">
        <f>'RNs &amp; Covers January 2022'!C20</f>
        <v>98</v>
      </c>
    </row>
    <row r="17" spans="1:14">
      <c r="A17" s="120" t="s">
        <v>14</v>
      </c>
      <c r="B17" s="121">
        <f t="shared" si="0"/>
        <v>16</v>
      </c>
      <c r="C17" s="122">
        <v>1</v>
      </c>
      <c r="D17" s="121">
        <v>2022</v>
      </c>
      <c r="E17" s="123">
        <f>'FS Jimbaran January 2022'!P27</f>
        <v>13419.999999999363</v>
      </c>
      <c r="F17" s="132">
        <f>'FS Jimbaran January 2022'!O27/'FS Jimbaran January 2022'!P27</f>
        <v>1180.7660454545514</v>
      </c>
      <c r="G17" s="123">
        <f>'FS Jimbaran January 2022'!AG27</f>
        <v>111.37076000000005</v>
      </c>
      <c r="H17" s="132">
        <f>'FS Jimbaran January 2022'!AH27/'FS Jimbaran January 2022'!AG27</f>
        <v>15901.569805216379</v>
      </c>
      <c r="I17" s="123">
        <f>'FS Jimbaran January 2022'!AJ27</f>
        <v>246.80000000000291</v>
      </c>
      <c r="J17" s="124">
        <f>'FS Jimbaran January 2022'!AK27/'FS Jimbaran January 2022'!AJ27</f>
        <v>12000</v>
      </c>
      <c r="K17" s="123">
        <f>'FS Jimbaran January 2022'!V27</f>
        <v>884.66000000000008</v>
      </c>
      <c r="L17" s="132">
        <f>'FS Jimbaran January 2022'!AA27/'FS Jimbaran January 2022'!V27</f>
        <v>7448.6752112676049</v>
      </c>
      <c r="M17" s="123" t="str">
        <f>'RNs &amp; Covers January 2022'!B21</f>
        <v xml:space="preserve"> -   </v>
      </c>
      <c r="N17" s="123">
        <f>'RNs &amp; Covers January 2022'!C21</f>
        <v>77</v>
      </c>
    </row>
    <row r="18" spans="1:14">
      <c r="A18" s="120" t="s">
        <v>14</v>
      </c>
      <c r="B18" s="121">
        <f t="shared" si="0"/>
        <v>17</v>
      </c>
      <c r="C18" s="122">
        <v>1</v>
      </c>
      <c r="D18" s="121">
        <v>2022</v>
      </c>
      <c r="E18" s="123">
        <f>'FS Jimbaran January 2022'!P28</f>
        <v>13260.000000000331</v>
      </c>
      <c r="F18" s="132">
        <f>'FS Jimbaran January 2022'!O28/'FS Jimbaran January 2022'!P28</f>
        <v>1185.991533936648</v>
      </c>
      <c r="G18" s="123">
        <f>'FS Jimbaran January 2022'!AG28</f>
        <v>93.446159999999878</v>
      </c>
      <c r="H18" s="132">
        <f>'FS Jimbaran January 2022'!AH28/'FS Jimbaran January 2022'!AG28</f>
        <v>15894.198224945785</v>
      </c>
      <c r="I18" s="123">
        <f>'FS Jimbaran January 2022'!AJ28</f>
        <v>268.19999999999709</v>
      </c>
      <c r="J18" s="124">
        <f>'FS Jimbaran January 2022'!AK28/'FS Jimbaran January 2022'!AJ28</f>
        <v>12000</v>
      </c>
      <c r="K18" s="123">
        <f>'FS Jimbaran January 2022'!V28</f>
        <v>747.6</v>
      </c>
      <c r="L18" s="132">
        <f>'FS Jimbaran January 2022'!AA28/'FS Jimbaran January 2022'!V28</f>
        <v>7758.208333333333</v>
      </c>
      <c r="M18" s="123" t="str">
        <f>'RNs &amp; Covers January 2022'!B22</f>
        <v xml:space="preserve"> -   </v>
      </c>
      <c r="N18" s="123">
        <f>'RNs &amp; Covers January 2022'!C22</f>
        <v>31</v>
      </c>
    </row>
    <row r="19" spans="1:14">
      <c r="A19" s="120" t="s">
        <v>14</v>
      </c>
      <c r="B19" s="121">
        <f t="shared" si="0"/>
        <v>18</v>
      </c>
      <c r="C19" s="122">
        <v>1</v>
      </c>
      <c r="D19" s="121">
        <v>2022</v>
      </c>
      <c r="E19" s="123">
        <f>'FS Jimbaran January 2022'!P29</f>
        <v>12499.999999999802</v>
      </c>
      <c r="F19" s="132">
        <f>'FS Jimbaran January 2022'!O29/'FS Jimbaran January 2022'!P29</f>
        <v>1178.9247960000037</v>
      </c>
      <c r="G19" s="123">
        <f>'FS Jimbaran January 2022'!AG29</f>
        <v>108.37392799999994</v>
      </c>
      <c r="H19" s="132">
        <f>'FS Jimbaran January 2022'!AH29/'FS Jimbaran January 2022'!AG29</f>
        <v>15900.507106469371</v>
      </c>
      <c r="I19" s="123">
        <f>'FS Jimbaran January 2022'!AJ29</f>
        <v>235.9600000000064</v>
      </c>
      <c r="J19" s="124">
        <f>'FS Jimbaran January 2022'!AK29/'FS Jimbaran January 2022'!AJ29</f>
        <v>12000</v>
      </c>
      <c r="K19" s="123">
        <f>'FS Jimbaran January 2022'!V29</f>
        <v>866.86000000000013</v>
      </c>
      <c r="L19" s="132">
        <f>'FS Jimbaran January 2022'!AA29/'FS Jimbaran January 2022'!V29</f>
        <v>7232.6213141683775</v>
      </c>
      <c r="M19" s="123" t="str">
        <f>'RNs &amp; Covers January 2022'!B23</f>
        <v xml:space="preserve"> -   </v>
      </c>
      <c r="N19" s="123">
        <f>'RNs &amp; Covers January 2022'!C23</f>
        <v>32</v>
      </c>
    </row>
    <row r="20" spans="1:14">
      <c r="A20" s="120" t="s">
        <v>14</v>
      </c>
      <c r="B20" s="121">
        <f t="shared" si="0"/>
        <v>19</v>
      </c>
      <c r="C20" s="122">
        <v>1</v>
      </c>
      <c r="D20" s="121">
        <v>2022</v>
      </c>
      <c r="E20" s="123">
        <f>'FS Jimbaran January 2022'!P30</f>
        <v>13380.000000000109</v>
      </c>
      <c r="F20" s="132">
        <f>'FS Jimbaran January 2022'!O30/'FS Jimbaran January 2022'!P30</f>
        <v>1183.4831569506723</v>
      </c>
      <c r="G20" s="123">
        <f>'FS Jimbaran January 2022'!AG30</f>
        <v>104.45871200000025</v>
      </c>
      <c r="H20" s="132">
        <f>'FS Jimbaran January 2022'!AH30/'FS Jimbaran January 2022'!AG30</f>
        <v>15899.026873699151</v>
      </c>
      <c r="I20" s="123">
        <f>'FS Jimbaran January 2022'!AJ30</f>
        <v>212.88999999999942</v>
      </c>
      <c r="J20" s="124">
        <f>'FS Jimbaran January 2022'!AK30/'FS Jimbaran January 2022'!AJ30</f>
        <v>12000</v>
      </c>
      <c r="K20" s="123">
        <f>'FS Jimbaran January 2022'!V30</f>
        <v>892.67</v>
      </c>
      <c r="L20" s="132">
        <f>'FS Jimbaran January 2022'!AA30/'FS Jimbaran January 2022'!V30</f>
        <v>8240.9860219341972</v>
      </c>
      <c r="M20" s="123">
        <f>'RNs &amp; Covers January 2022'!B24</f>
        <v>3</v>
      </c>
      <c r="N20" s="123">
        <f>'RNs &amp; Covers January 2022'!C24</f>
        <v>44</v>
      </c>
    </row>
    <row r="21" spans="1:14">
      <c r="A21" s="120" t="s">
        <v>14</v>
      </c>
      <c r="B21" s="121">
        <f t="shared" si="0"/>
        <v>20</v>
      </c>
      <c r="C21" s="122">
        <v>1</v>
      </c>
      <c r="D21" s="121">
        <v>2022</v>
      </c>
      <c r="E21" s="123">
        <f>'FS Jimbaran January 2022'!P31</f>
        <v>13340.000000000458</v>
      </c>
      <c r="F21" s="132">
        <f>'FS Jimbaran January 2022'!O31/'FS Jimbaran January 2022'!P31</f>
        <v>1178.0638718140899</v>
      </c>
      <c r="G21" s="123">
        <f>'FS Jimbaran January 2022'!AG31</f>
        <v>117.61072000000003</v>
      </c>
      <c r="H21" s="132">
        <f>'FS Jimbaran January 2022'!AH31/'FS Jimbaran January 2022'!AG31</f>
        <v>15867.217518947253</v>
      </c>
      <c r="I21" s="123">
        <f>'FS Jimbaran January 2022'!AJ31</f>
        <v>100.43000000000757</v>
      </c>
      <c r="J21" s="124">
        <f>'FS Jimbaran January 2022'!AK31/'FS Jimbaran January 2022'!AJ31</f>
        <v>12000</v>
      </c>
      <c r="K21" s="123">
        <f>'FS Jimbaran January 2022'!V31</f>
        <v>868.6400000000001</v>
      </c>
      <c r="L21" s="132">
        <f>'FS Jimbaran January 2022'!AA31/'FS Jimbaran January 2022'!V31</f>
        <v>7339.0021311475402</v>
      </c>
      <c r="M21" s="123">
        <f>'RNs &amp; Covers January 2022'!B25</f>
        <v>3</v>
      </c>
      <c r="N21" s="123">
        <f>'RNs &amp; Covers January 2022'!C25</f>
        <v>56</v>
      </c>
    </row>
    <row r="22" spans="1:14">
      <c r="A22" s="120" t="s">
        <v>14</v>
      </c>
      <c r="B22" s="121">
        <f t="shared" si="0"/>
        <v>21</v>
      </c>
      <c r="C22" s="122">
        <v>1</v>
      </c>
      <c r="D22" s="121">
        <v>2022</v>
      </c>
      <c r="E22" s="123">
        <f>'FS Jimbaran January 2022'!P32</f>
        <v>13299.999999999585</v>
      </c>
      <c r="F22" s="132">
        <f>'FS Jimbaran January 2022'!O32/'FS Jimbaran January 2022'!P32</f>
        <v>1184.0600842105289</v>
      </c>
      <c r="G22" s="123">
        <f>'FS Jimbaran January 2022'!AG32</f>
        <v>90.227199999999897</v>
      </c>
      <c r="H22" s="132">
        <f>'FS Jimbaran January 2022'!AH32/'FS Jimbaran January 2022'!AG32</f>
        <v>15940</v>
      </c>
      <c r="I22" s="123">
        <f>'FS Jimbaran January 2022'!AJ32</f>
        <v>332.66000000000349</v>
      </c>
      <c r="J22" s="124">
        <f>'FS Jimbaran January 2022'!AK32/'FS Jimbaran January 2022'!AJ32</f>
        <v>12000</v>
      </c>
      <c r="K22" s="123">
        <f>'FS Jimbaran January 2022'!V32</f>
        <v>870.42</v>
      </c>
      <c r="L22" s="132">
        <f>'FS Jimbaran January 2022'!AA32/'FS Jimbaran January 2022'!V32</f>
        <v>7318.6412269938655</v>
      </c>
      <c r="M22" s="123">
        <f>'RNs &amp; Covers January 2022'!B26</f>
        <v>3</v>
      </c>
      <c r="N22" s="123">
        <f>'RNs &amp; Covers January 2022'!C26</f>
        <v>100</v>
      </c>
    </row>
    <row r="23" spans="1:14">
      <c r="A23" s="120" t="s">
        <v>14</v>
      </c>
      <c r="B23" s="121">
        <f t="shared" si="0"/>
        <v>22</v>
      </c>
      <c r="C23" s="122">
        <v>1</v>
      </c>
      <c r="D23" s="121">
        <v>2022</v>
      </c>
      <c r="E23" s="123">
        <f>'FS Jimbaran January 2022'!P33</f>
        <v>13899.999999999834</v>
      </c>
      <c r="F23" s="132">
        <f>'FS Jimbaran January 2022'!O33/'FS Jimbaran January 2022'!P33</f>
        <v>1178.3301539568322</v>
      </c>
      <c r="G23" s="123">
        <f>'FS Jimbaran January 2022'!AG33</f>
        <v>87.726399999999813</v>
      </c>
      <c r="H23" s="132">
        <f>'FS Jimbaran January 2022'!AH33/'FS Jimbaran January 2022'!AG33</f>
        <v>15891.211949880539</v>
      </c>
      <c r="I23" s="123">
        <f>'FS Jimbaran January 2022'!AJ33</f>
        <v>135.92999999999302</v>
      </c>
      <c r="J23" s="124">
        <f>'FS Jimbaran January 2022'!AK33/'FS Jimbaran January 2022'!AJ33</f>
        <v>12000</v>
      </c>
      <c r="K23" s="123">
        <f>'FS Jimbaran January 2022'!V33</f>
        <v>818.80000000000007</v>
      </c>
      <c r="L23" s="132">
        <f>'FS Jimbaran January 2022'!AA33/'FS Jimbaran January 2022'!V33</f>
        <v>7959.9676956521735</v>
      </c>
      <c r="M23" s="123">
        <f>'RNs &amp; Covers January 2022'!B27</f>
        <v>6</v>
      </c>
      <c r="N23" s="123">
        <f>'RNs &amp; Covers January 2022'!C27</f>
        <v>111</v>
      </c>
    </row>
    <row r="24" spans="1:14">
      <c r="A24" s="120" t="s">
        <v>14</v>
      </c>
      <c r="B24" s="121">
        <f t="shared" si="0"/>
        <v>23</v>
      </c>
      <c r="C24" s="122">
        <v>1</v>
      </c>
      <c r="D24" s="121">
        <v>2022</v>
      </c>
      <c r="E24" s="123">
        <f>'FS Jimbaran January 2022'!P34</f>
        <v>13880.00000000008</v>
      </c>
      <c r="F24" s="132">
        <f>'FS Jimbaran January 2022'!O34/'FS Jimbaran January 2022'!P34</f>
        <v>1184.7293429394849</v>
      </c>
      <c r="G24" s="123">
        <f>'FS Jimbaran January 2022'!AG34</f>
        <v>105.89268000000023</v>
      </c>
      <c r="H24" s="132">
        <f>'FS Jimbaran January 2022'!AH34/'FS Jimbaran January 2022'!AG34</f>
        <v>15899.581719907363</v>
      </c>
      <c r="I24" s="123">
        <f>'FS Jimbaran January 2022'!AJ34</f>
        <v>73.910000000003492</v>
      </c>
      <c r="J24" s="124">
        <f>'FS Jimbaran January 2022'!AK34/'FS Jimbaran January 2022'!AJ34</f>
        <v>12000</v>
      </c>
      <c r="K24" s="123">
        <f>'FS Jimbaran January 2022'!V34</f>
        <v>835.71</v>
      </c>
      <c r="L24" s="132">
        <f>'FS Jimbaran January 2022'!AA34/'FS Jimbaran January 2022'!V34</f>
        <v>7051.6352076677322</v>
      </c>
      <c r="M24" s="123">
        <f>'RNs &amp; Covers January 2022'!B28</f>
        <v>5</v>
      </c>
      <c r="N24" s="123">
        <f>'RNs &amp; Covers January 2022'!C28</f>
        <v>86</v>
      </c>
    </row>
    <row r="25" spans="1:14">
      <c r="A25" s="120" t="s">
        <v>14</v>
      </c>
      <c r="B25" s="121">
        <f t="shared" si="0"/>
        <v>24</v>
      </c>
      <c r="C25" s="122">
        <v>1</v>
      </c>
      <c r="D25" s="121">
        <v>2022</v>
      </c>
      <c r="E25" s="123">
        <f>'FS Jimbaran January 2022'!P35</f>
        <v>13639.999999999902</v>
      </c>
      <c r="F25" s="132">
        <f>'FS Jimbaran January 2022'!O35/'FS Jimbaran January 2022'!P35</f>
        <v>1182.4522192082081</v>
      </c>
      <c r="G25" s="123">
        <f>'FS Jimbaran January 2022'!AG35</f>
        <v>100.37775999999982</v>
      </c>
      <c r="H25" s="132">
        <f>'FS Jimbaran January 2022'!AH35/'FS Jimbaran January 2022'!AG35</f>
        <v>15940</v>
      </c>
      <c r="I25" s="123">
        <f>'FS Jimbaran January 2022'!AJ35</f>
        <v>159.69999999999709</v>
      </c>
      <c r="J25" s="124">
        <f>'FS Jimbaran January 2022'!AK35/'FS Jimbaran January 2022'!AJ35</f>
        <v>12000</v>
      </c>
      <c r="K25" s="123">
        <f>'FS Jimbaran January 2022'!V35</f>
        <v>869.53</v>
      </c>
      <c r="L25" s="132">
        <f>'FS Jimbaran January 2022'!AA35/'FS Jimbaran January 2022'!V35</f>
        <v>7335.8354759467775</v>
      </c>
      <c r="M25" s="123">
        <f>'RNs &amp; Covers January 2022'!B29</f>
        <v>2</v>
      </c>
      <c r="N25" s="123">
        <f>'RNs &amp; Covers January 2022'!C29</f>
        <v>43</v>
      </c>
    </row>
    <row r="26" spans="1:14">
      <c r="A26" s="120" t="s">
        <v>14</v>
      </c>
      <c r="B26" s="121">
        <f>B25+1</f>
        <v>25</v>
      </c>
      <c r="C26" s="122">
        <v>1</v>
      </c>
      <c r="D26" s="121">
        <v>2022</v>
      </c>
      <c r="E26" s="123">
        <f>'FS Jimbaran January 2022'!P36</f>
        <v>14340.000000000487</v>
      </c>
      <c r="F26" s="132">
        <f>'FS Jimbaran January 2022'!O36/'FS Jimbaran January 2022'!P36</f>
        <v>1183.8878723849371</v>
      </c>
      <c r="G26" s="123">
        <f>'FS Jimbaran January 2022'!AG36</f>
        <v>94.614279999999951</v>
      </c>
      <c r="H26" s="132">
        <f>'FS Jimbaran January 2022'!AH36/'FS Jimbaran January 2022'!AG36</f>
        <v>15894.763699517664</v>
      </c>
      <c r="I26" s="123">
        <f>'FS Jimbaran January 2022'!AJ36</f>
        <v>97.570000000006985</v>
      </c>
      <c r="J26" s="124">
        <f>'FS Jimbaran January 2022'!AK36/'FS Jimbaran January 2022'!AJ36</f>
        <v>12000</v>
      </c>
      <c r="K26" s="123">
        <f>'FS Jimbaran January 2022'!V36</f>
        <v>687.08</v>
      </c>
      <c r="L26" s="132">
        <f>'FS Jimbaran January 2022'!AA36/'FS Jimbaran January 2022'!V36</f>
        <v>8014.309326424871</v>
      </c>
      <c r="M26" s="123">
        <f>'RNs &amp; Covers January 2022'!B30</f>
        <v>3</v>
      </c>
      <c r="N26" s="123">
        <f>'RNs &amp; Covers January 2022'!C30</f>
        <v>31</v>
      </c>
    </row>
    <row r="27" spans="1:14">
      <c r="A27" s="120" t="s">
        <v>14</v>
      </c>
      <c r="B27" s="121">
        <f t="shared" si="0"/>
        <v>26</v>
      </c>
      <c r="C27" s="122">
        <v>1</v>
      </c>
      <c r="D27" s="121">
        <v>2022</v>
      </c>
      <c r="E27" s="123">
        <f>'FS Jimbaran January 2022'!P37</f>
        <v>14619.999999999975</v>
      </c>
      <c r="F27" s="132">
        <f>'FS Jimbaran January 2022'!O37/'FS Jimbaran January 2022'!P37</f>
        <v>1181.2992968536239</v>
      </c>
      <c r="G27" s="123">
        <f>'FS Jimbaran January 2022'!AG37</f>
        <v>92.475999999999999</v>
      </c>
      <c r="H27" s="132">
        <f>'FS Jimbaran January 2022'!AH37/'FS Jimbaran January 2022'!AG37</f>
        <v>15847.435442709459</v>
      </c>
      <c r="I27" s="123">
        <f>'FS Jimbaran January 2022'!AJ37</f>
        <v>489.38000000000466</v>
      </c>
      <c r="J27" s="124">
        <f>'FS Jimbaran January 2022'!AK37/'FS Jimbaran January 2022'!AJ37</f>
        <v>12000</v>
      </c>
      <c r="K27" s="123">
        <f>'FS Jimbaran January 2022'!V37</f>
        <v>655.04000000000008</v>
      </c>
      <c r="L27" s="132">
        <f>'FS Jimbaran January 2022'!AA37/'FS Jimbaran January 2022'!V37</f>
        <v>6855.9745652173915</v>
      </c>
      <c r="M27" s="123">
        <f>'RNs &amp; Covers January 2022'!B31</f>
        <v>4</v>
      </c>
      <c r="N27" s="123">
        <f>'RNs &amp; Covers January 2022'!C31</f>
        <v>32</v>
      </c>
    </row>
    <row r="28" spans="1:14">
      <c r="A28" s="120" t="s">
        <v>14</v>
      </c>
      <c r="B28" s="121">
        <f t="shared" si="0"/>
        <v>27</v>
      </c>
      <c r="C28" s="122">
        <v>1</v>
      </c>
      <c r="D28" s="121">
        <v>2022</v>
      </c>
      <c r="E28" s="123">
        <f>'FS Jimbaran January 2022'!P38</f>
        <v>13740.000000000095</v>
      </c>
      <c r="F28" s="132">
        <f>'FS Jimbaran January 2022'!O38/'FS Jimbaran January 2022'!P38</f>
        <v>1183.344727074237</v>
      </c>
      <c r="G28" s="123">
        <f>'FS Jimbaran January 2022'!AG38</f>
        <v>75.565279999999959</v>
      </c>
      <c r="H28" s="132">
        <f>'FS Jimbaran January 2022'!AH38/'FS Jimbaran January 2022'!AG38</f>
        <v>15940</v>
      </c>
      <c r="I28" s="123">
        <f>'FS Jimbaran January 2022'!AJ38</f>
        <v>98.25</v>
      </c>
      <c r="J28" s="124">
        <f>'FS Jimbaran January 2022'!AK38/'FS Jimbaran January 2022'!AJ38</f>
        <v>12000</v>
      </c>
      <c r="K28" s="123">
        <f>'FS Jimbaran January 2022'!V38</f>
        <v>861.52</v>
      </c>
      <c r="L28" s="132">
        <f>'FS Jimbaran January 2022'!AA38/'FS Jimbaran January 2022'!V38</f>
        <v>7336.212809917356</v>
      </c>
      <c r="M28" s="123">
        <f>'RNs &amp; Covers January 2022'!B32</f>
        <v>7</v>
      </c>
      <c r="N28" s="123">
        <f>'RNs &amp; Covers January 2022'!C32</f>
        <v>40</v>
      </c>
    </row>
    <row r="29" spans="1:14">
      <c r="A29" s="120" t="s">
        <v>14</v>
      </c>
      <c r="B29" s="121">
        <f t="shared" si="0"/>
        <v>28</v>
      </c>
      <c r="C29" s="122">
        <v>1</v>
      </c>
      <c r="D29" s="121">
        <v>2022</v>
      </c>
      <c r="E29" s="123">
        <f>'FS Jimbaran January 2022'!P39</f>
        <v>13780.000000000058</v>
      </c>
      <c r="F29" s="132">
        <f>'FS Jimbaran January 2022'!O39/'FS Jimbaran January 2022'!P39</f>
        <v>1183.8559506531212</v>
      </c>
      <c r="G29" s="123">
        <f>'FS Jimbaran January 2022'!AG39</f>
        <v>90.868240000000156</v>
      </c>
      <c r="H29" s="132">
        <f>'FS Jimbaran January 2022'!AH39/'FS Jimbaran January 2022'!AG39</f>
        <v>15892.898834620326</v>
      </c>
      <c r="I29" s="123">
        <f>'FS Jimbaran January 2022'!AJ39</f>
        <v>259.09999999999127</v>
      </c>
      <c r="J29" s="124">
        <f>'FS Jimbaran January 2022'!AK39/'FS Jimbaran January 2022'!AJ39</f>
        <v>12000</v>
      </c>
      <c r="K29" s="123">
        <f>'FS Jimbaran January 2022'!V39</f>
        <v>893.56</v>
      </c>
      <c r="L29" s="132">
        <f>'FS Jimbaran January 2022'!AA39/'FS Jimbaran January 2022'!V39</f>
        <v>7252.720239043826</v>
      </c>
      <c r="M29" s="123">
        <f>'RNs &amp; Covers January 2022'!B33</f>
        <v>5</v>
      </c>
      <c r="N29" s="123">
        <f>'RNs &amp; Covers January 2022'!C33</f>
        <v>107</v>
      </c>
    </row>
    <row r="30" spans="1:14">
      <c r="A30" s="120" t="s">
        <v>14</v>
      </c>
      <c r="B30" s="121">
        <f t="shared" si="0"/>
        <v>29</v>
      </c>
      <c r="C30" s="122">
        <v>1</v>
      </c>
      <c r="D30" s="121">
        <v>2022</v>
      </c>
      <c r="E30" s="123">
        <f>'FS Jimbaran January 2022'!P40</f>
        <v>14119.999999999378</v>
      </c>
      <c r="F30" s="132">
        <f>'FS Jimbaran January 2022'!O40/'FS Jimbaran January 2022'!P40</f>
        <v>1183.0778923512776</v>
      </c>
      <c r="G30" s="123">
        <f>'FS Jimbaran January 2022'!AG40</f>
        <v>77.0521999999999</v>
      </c>
      <c r="H30" s="132">
        <f>'FS Jimbaran January 2022'!AH40/'FS Jimbaran January 2022'!AG40</f>
        <v>15884.453240790011</v>
      </c>
      <c r="I30" s="123">
        <f>'FS Jimbaran January 2022'!AJ40</f>
        <v>167</v>
      </c>
      <c r="J30" s="124">
        <f>'FS Jimbaran January 2022'!AK40/'FS Jimbaran January 2022'!AJ40</f>
        <v>12000</v>
      </c>
      <c r="K30" s="123">
        <f>'FS Jimbaran January 2022'!V40</f>
        <v>881.09999999999991</v>
      </c>
      <c r="L30" s="132">
        <f>'FS Jimbaran January 2022'!AA40/'FS Jimbaran January 2022'!V40</f>
        <v>7295.2511111111126</v>
      </c>
      <c r="M30" s="123">
        <f>'RNs &amp; Covers January 2022'!B34</f>
        <v>3</v>
      </c>
      <c r="N30" s="123">
        <f>'RNs &amp; Covers January 2022'!C34</f>
        <v>66</v>
      </c>
    </row>
    <row r="31" spans="1:14">
      <c r="A31" s="120" t="s">
        <v>14</v>
      </c>
      <c r="B31" s="121">
        <f t="shared" si="0"/>
        <v>30</v>
      </c>
      <c r="C31" s="122">
        <v>1</v>
      </c>
      <c r="D31" s="121">
        <v>2022</v>
      </c>
      <c r="E31" s="123">
        <f>'FS Jimbaran January 2022'!P41</f>
        <v>13520.000000000126</v>
      </c>
      <c r="F31" s="132">
        <f>'FS Jimbaran January 2022'!O41/'FS Jimbaran January 2022'!P41</f>
        <v>1180.8811331360923</v>
      </c>
      <c r="G31" s="123">
        <f>'FS Jimbaran January 2022'!AG41</f>
        <v>79.150199999999899</v>
      </c>
      <c r="H31" s="132">
        <f>'FS Jimbaran January 2022'!AH41/'FS Jimbaran January 2022'!AG41</f>
        <v>15940</v>
      </c>
      <c r="I31" s="123">
        <f>'FS Jimbaran January 2022'!AJ41</f>
        <v>156.27000000000407</v>
      </c>
      <c r="J31" s="124">
        <f>'FS Jimbaran January 2022'!AK41/'FS Jimbaran January 2022'!AJ41</f>
        <v>12000</v>
      </c>
      <c r="K31" s="123">
        <f>'FS Jimbaran January 2022'!V41</f>
        <v>776.08</v>
      </c>
      <c r="L31" s="132">
        <f>'FS Jimbaran January 2022'!AA41/'FS Jimbaran January 2022'!V41</f>
        <v>7770.9502752293583</v>
      </c>
      <c r="M31" s="123">
        <f>'RNs &amp; Covers January 2022'!B35</f>
        <v>3</v>
      </c>
      <c r="N31" s="123">
        <f>'RNs &amp; Covers January 2022'!C35</f>
        <v>62</v>
      </c>
    </row>
    <row r="32" spans="1:14">
      <c r="A32" s="120" t="s">
        <v>14</v>
      </c>
      <c r="B32" s="121">
        <f t="shared" si="0"/>
        <v>31</v>
      </c>
      <c r="C32" s="122">
        <v>1</v>
      </c>
      <c r="D32" s="121">
        <v>2022</v>
      </c>
      <c r="E32" s="123">
        <f>'FS Jimbaran January 2022'!P42</f>
        <v>13200.000000000215</v>
      </c>
      <c r="F32" s="132">
        <f>'FS Jimbaran January 2022'!O42/'FS Jimbaran January 2022'!P42</f>
        <v>1187.2628249999993</v>
      </c>
      <c r="G32" s="123">
        <f>'FS Jimbaran January 2022'!AG42</f>
        <v>88.572279999999949</v>
      </c>
      <c r="H32" s="132">
        <f>'FS Jimbaran January 2022'!AH42/'FS Jimbaran January 2022'!AG42</f>
        <v>15898.926914831587</v>
      </c>
      <c r="I32" s="123">
        <f>'FS Jimbaran January 2022'!AJ42</f>
        <v>218.13999999999942</v>
      </c>
      <c r="J32" s="124">
        <f>'FS Jimbaran January 2022'!AK42/'FS Jimbaran January 2022'!AJ42</f>
        <v>12000</v>
      </c>
      <c r="K32" s="123">
        <f>'FS Jimbaran January 2022'!V42</f>
        <v>792.99</v>
      </c>
      <c r="L32" s="132">
        <f>'FS Jimbaran January 2022'!AA42/'FS Jimbaran January 2022'!V42</f>
        <v>7649.5523007856345</v>
      </c>
      <c r="M32" s="123">
        <f>'RNs &amp; Covers January 2022'!B36</f>
        <v>6</v>
      </c>
      <c r="N32" s="123">
        <f>'RNs &amp; Covers January 2022'!C36</f>
        <v>77</v>
      </c>
    </row>
    <row r="33" spans="12:12">
      <c r="L33" s="2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tabSelected="1" zoomScale="85" zoomScaleNormal="85" workbookViewId="0">
      <pane xSplit="4" ySplit="10" topLeftCell="Y35" activePane="bottomRight" state="frozen"/>
      <selection pane="bottomRight" activeCell="AH49" sqref="AH49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7.28515625" style="3" customWidth="1"/>
    <col min="4" max="4" width="7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5" bestFit="1" customWidth="1"/>
    <col min="14" max="14" width="20.42578125" style="59" customWidth="1"/>
    <col min="15" max="15" width="18.85546875" customWidth="1"/>
    <col min="16" max="16" width="15.140625" style="59" customWidth="1"/>
    <col min="17" max="17" width="19.7109375" hidden="1" customWidth="1"/>
    <col min="18" max="18" width="18.140625" style="79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9" bestFit="1" customWidth="1"/>
    <col min="37" max="37" width="20.7109375" bestFit="1" customWidth="1"/>
    <col min="38" max="38" width="12.140625" style="35" customWidth="1"/>
    <col min="39" max="39" width="2.28515625" style="7" customWidth="1"/>
  </cols>
  <sheetData>
    <row r="5" spans="1:39">
      <c r="N5" s="133"/>
      <c r="X5" s="134"/>
    </row>
    <row r="6" spans="1:39" s="23" customFormat="1" ht="19.5" thickBot="1">
      <c r="B6" s="23" t="s">
        <v>16</v>
      </c>
      <c r="C6" s="31"/>
      <c r="E6" s="31"/>
      <c r="F6" s="31"/>
      <c r="H6" s="31"/>
      <c r="L6" s="31"/>
      <c r="M6" s="50"/>
      <c r="N6" s="56"/>
      <c r="P6" s="56"/>
      <c r="R6" s="75"/>
      <c r="AD6" s="31"/>
      <c r="AH6" s="31"/>
      <c r="AJ6" s="75"/>
      <c r="AL6" s="32"/>
    </row>
    <row r="7" spans="1:39" s="11" customFormat="1" ht="16.5" thickBot="1">
      <c r="A7" s="27"/>
      <c r="B7" s="232" t="s">
        <v>17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4"/>
      <c r="AM7" s="27"/>
    </row>
    <row r="8" spans="1:39" s="7" customFormat="1" ht="15.75" customHeight="1" thickBot="1">
      <c r="A8" s="24"/>
      <c r="B8" s="235" t="s">
        <v>18</v>
      </c>
      <c r="C8" s="238" t="s">
        <v>19</v>
      </c>
      <c r="D8" s="241" t="s">
        <v>13</v>
      </c>
      <c r="E8" s="243" t="s">
        <v>20</v>
      </c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4"/>
      <c r="V8" s="245" t="s">
        <v>21</v>
      </c>
      <c r="W8" s="246"/>
      <c r="X8" s="246"/>
      <c r="Y8" s="246"/>
      <c r="Z8" s="246"/>
      <c r="AA8" s="246"/>
      <c r="AB8" s="247"/>
      <c r="AC8" s="248" t="s">
        <v>22</v>
      </c>
      <c r="AD8" s="248"/>
      <c r="AE8" s="248"/>
      <c r="AF8" s="248"/>
      <c r="AG8" s="248"/>
      <c r="AH8" s="248"/>
      <c r="AI8" s="248"/>
      <c r="AJ8" s="248"/>
      <c r="AK8" s="248"/>
      <c r="AL8" s="249"/>
      <c r="AM8" s="26"/>
    </row>
    <row r="9" spans="1:39" ht="15" customHeight="1" thickBot="1">
      <c r="B9" s="236"/>
      <c r="C9" s="239"/>
      <c r="D9" s="242"/>
      <c r="E9" s="250" t="s">
        <v>23</v>
      </c>
      <c r="F9" s="251"/>
      <c r="G9" s="251"/>
      <c r="H9" s="251"/>
      <c r="I9" s="252"/>
      <c r="J9" s="253" t="s">
        <v>24</v>
      </c>
      <c r="K9" s="253"/>
      <c r="L9" s="253"/>
      <c r="M9" s="253"/>
      <c r="N9" s="254"/>
      <c r="O9" s="241" t="s">
        <v>25</v>
      </c>
      <c r="P9" s="256" t="s">
        <v>26</v>
      </c>
      <c r="Q9" s="258" t="s">
        <v>27</v>
      </c>
      <c r="R9" s="224" t="s">
        <v>28</v>
      </c>
      <c r="S9" s="226" t="s">
        <v>29</v>
      </c>
      <c r="T9" s="228" t="s">
        <v>30</v>
      </c>
      <c r="U9" s="229"/>
      <c r="V9" s="45"/>
      <c r="W9" s="45" t="s">
        <v>31</v>
      </c>
      <c r="X9" s="45"/>
      <c r="Y9" s="46"/>
      <c r="Z9" s="168"/>
      <c r="AA9" s="230" t="s">
        <v>32</v>
      </c>
      <c r="AB9" s="231"/>
      <c r="AC9" s="248" t="s">
        <v>33</v>
      </c>
      <c r="AD9" s="248"/>
      <c r="AE9" s="248"/>
      <c r="AF9" s="248"/>
      <c r="AG9" s="248"/>
      <c r="AH9" s="248"/>
      <c r="AI9" s="249"/>
      <c r="AJ9" s="260" t="s">
        <v>34</v>
      </c>
      <c r="AK9" s="261"/>
      <c r="AL9" s="262"/>
    </row>
    <row r="10" spans="1:39" ht="61.5" customHeight="1" thickBot="1">
      <c r="A10" s="25"/>
      <c r="B10" s="237"/>
      <c r="C10" s="240"/>
      <c r="D10" s="242"/>
      <c r="E10" s="85" t="s">
        <v>35</v>
      </c>
      <c r="F10" s="73" t="s">
        <v>36</v>
      </c>
      <c r="G10" s="105" t="s">
        <v>37</v>
      </c>
      <c r="H10" s="16" t="s">
        <v>36</v>
      </c>
      <c r="I10" s="86" t="s">
        <v>38</v>
      </c>
      <c r="J10" s="85" t="s">
        <v>35</v>
      </c>
      <c r="K10" s="74" t="s">
        <v>36</v>
      </c>
      <c r="L10" s="105" t="s">
        <v>37</v>
      </c>
      <c r="M10" s="51" t="s">
        <v>36</v>
      </c>
      <c r="N10" s="82" t="s">
        <v>39</v>
      </c>
      <c r="O10" s="255"/>
      <c r="P10" s="257"/>
      <c r="Q10" s="259"/>
      <c r="R10" s="225"/>
      <c r="S10" s="227"/>
      <c r="T10" s="135" t="s">
        <v>40</v>
      </c>
      <c r="U10" s="21" t="s">
        <v>41</v>
      </c>
      <c r="V10" s="136" t="s">
        <v>42</v>
      </c>
      <c r="W10" s="180" t="s">
        <v>43</v>
      </c>
      <c r="X10" s="180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9" t="s">
        <v>47</v>
      </c>
      <c r="AD10" s="41" t="s">
        <v>48</v>
      </c>
      <c r="AE10" s="40" t="s">
        <v>49</v>
      </c>
      <c r="AF10" s="40" t="s">
        <v>50</v>
      </c>
      <c r="AG10" s="40" t="s">
        <v>51</v>
      </c>
      <c r="AH10" s="41" t="s">
        <v>40</v>
      </c>
      <c r="AI10" s="42" t="s">
        <v>41</v>
      </c>
      <c r="AJ10" s="108" t="s">
        <v>52</v>
      </c>
      <c r="AK10" s="40" t="s">
        <v>40</v>
      </c>
      <c r="AL10" s="44" t="s">
        <v>41</v>
      </c>
      <c r="AM10" s="25"/>
    </row>
    <row r="11" spans="1:39">
      <c r="A11" s="25"/>
      <c r="B11" s="48"/>
      <c r="C11" s="87"/>
      <c r="D11" s="176"/>
      <c r="E11" s="18"/>
      <c r="F11" s="80"/>
      <c r="G11" s="17"/>
      <c r="H11" s="18"/>
      <c r="I11" s="88"/>
      <c r="J11" s="81"/>
      <c r="K11" s="17"/>
      <c r="L11" s="18"/>
      <c r="M11" s="52"/>
      <c r="N11" s="83"/>
      <c r="O11" s="47"/>
      <c r="P11" s="89"/>
      <c r="Q11" s="137"/>
      <c r="R11" s="90"/>
      <c r="S11" s="138"/>
      <c r="T11" s="138"/>
      <c r="U11" s="167"/>
      <c r="V11" s="81"/>
      <c r="W11" s="17"/>
      <c r="X11" s="17"/>
      <c r="Y11" s="19"/>
      <c r="Z11" s="19"/>
      <c r="AA11" s="19"/>
      <c r="AB11" s="88">
        <v>14522</v>
      </c>
      <c r="AC11" s="100"/>
      <c r="AD11" s="38"/>
      <c r="AE11" s="36">
        <v>797000</v>
      </c>
      <c r="AF11" s="36">
        <v>163000</v>
      </c>
      <c r="AG11" s="36"/>
      <c r="AH11" s="38">
        <f>(AE11/50)+(AF11/12)</f>
        <v>29523.333333333336</v>
      </c>
      <c r="AI11" s="39"/>
      <c r="AJ11" s="109"/>
      <c r="AK11" s="36">
        <v>12000</v>
      </c>
      <c r="AL11" s="43"/>
      <c r="AM11" s="25"/>
    </row>
    <row r="12" spans="1:39" ht="15">
      <c r="A12" s="30"/>
      <c r="B12" s="49">
        <v>1</v>
      </c>
      <c r="C12" s="177">
        <v>25</v>
      </c>
      <c r="D12" s="178">
        <v>263</v>
      </c>
      <c r="E12" s="185">
        <v>11600.000000000364</v>
      </c>
      <c r="F12" s="182">
        <v>12015048.000000376</v>
      </c>
      <c r="G12" s="182">
        <v>2439.9999999999409</v>
      </c>
      <c r="H12" s="182">
        <v>3790954.7999999085</v>
      </c>
      <c r="I12" s="186">
        <f>(F12+H12)*1.05</f>
        <v>16596302.940000299</v>
      </c>
      <c r="J12" s="185">
        <v>1679.99999999995</v>
      </c>
      <c r="K12" s="182">
        <v>1740110.3999999482</v>
      </c>
      <c r="L12" s="187">
        <v>460.00000000000796</v>
      </c>
      <c r="M12" s="187">
        <v>714688.20000001241</v>
      </c>
      <c r="N12" s="186">
        <f>(K12+M12)*1.05</f>
        <v>2577538.5299999588</v>
      </c>
      <c r="O12" s="183">
        <f>I12+N12</f>
        <v>19173841.47000026</v>
      </c>
      <c r="P12" s="184">
        <f>E12+G12+J12+L12</f>
        <v>16180.000000000262</v>
      </c>
      <c r="Q12" s="106"/>
      <c r="R12" s="151"/>
      <c r="S12" s="161"/>
      <c r="T12" s="160"/>
      <c r="U12" s="159">
        <v>0</v>
      </c>
      <c r="V12" s="139">
        <f>W12+Y12</f>
        <v>890</v>
      </c>
      <c r="W12" s="2">
        <v>194.02</v>
      </c>
      <c r="X12" s="182">
        <v>3486636.41</v>
      </c>
      <c r="Y12" s="28">
        <v>695.98</v>
      </c>
      <c r="Z12" s="181">
        <v>2954560.3764000004</v>
      </c>
      <c r="AA12" s="181">
        <f>X12+Z12</f>
        <v>6441196.7864000006</v>
      </c>
      <c r="AB12" s="101">
        <f>AA12/$AB$11</f>
        <v>443.5474994077951</v>
      </c>
      <c r="AC12" s="204">
        <v>0</v>
      </c>
      <c r="AD12" s="2">
        <v>0</v>
      </c>
      <c r="AE12" s="2">
        <v>95.262200000000007</v>
      </c>
      <c r="AF12" s="2">
        <v>12</v>
      </c>
      <c r="AG12" s="2">
        <f>AE12+AF12</f>
        <v>107.26220000000001</v>
      </c>
      <c r="AH12" s="182">
        <v>1705479.4680000001</v>
      </c>
      <c r="AI12" s="37">
        <f>AH12/14522</f>
        <v>117.44108717807465</v>
      </c>
      <c r="AJ12" s="110">
        <v>242.080000000002</v>
      </c>
      <c r="AK12" s="182">
        <f>AJ12*$AK$11</f>
        <v>2904960.0000000242</v>
      </c>
      <c r="AL12" s="33">
        <f>AK12/14522</f>
        <v>200.03856218151935</v>
      </c>
      <c r="AM12" s="6"/>
    </row>
    <row r="13" spans="1:39" ht="15">
      <c r="A13" s="30"/>
      <c r="B13" s="49">
        <v>2</v>
      </c>
      <c r="C13" s="177">
        <v>15</v>
      </c>
      <c r="D13" s="178">
        <v>240</v>
      </c>
      <c r="E13" s="185">
        <v>10880.000000000109</v>
      </c>
      <c r="F13" s="182">
        <v>11269286.400000112</v>
      </c>
      <c r="G13" s="182">
        <v>2200.0000000000455</v>
      </c>
      <c r="H13" s="182">
        <v>3418074.0000000708</v>
      </c>
      <c r="I13" s="186">
        <f t="shared" ref="I13:I42" si="0">(F13+H13)*1.05</f>
        <v>15421728.420000192</v>
      </c>
      <c r="J13" s="185">
        <v>1800.0000000000682</v>
      </c>
      <c r="K13" s="182">
        <v>1864404.0000000705</v>
      </c>
      <c r="L13" s="187">
        <v>479.99999999998977</v>
      </c>
      <c r="M13" s="187">
        <v>745761.59999998414</v>
      </c>
      <c r="N13" s="186">
        <f t="shared" ref="N13:N42" si="1">(K13+M13)*1.05</f>
        <v>2740673.8800000576</v>
      </c>
      <c r="O13" s="183">
        <f t="shared" ref="O13:O42" si="2">I13+N13</f>
        <v>18162402.30000025</v>
      </c>
      <c r="P13" s="184">
        <f t="shared" ref="P13:P42" si="3">E13+G13+J13+L13</f>
        <v>15360.000000000211</v>
      </c>
      <c r="Q13" s="141"/>
      <c r="R13" s="152"/>
      <c r="S13" s="161"/>
      <c r="T13" s="160"/>
      <c r="U13" s="159">
        <v>0</v>
      </c>
      <c r="V13" s="139">
        <f t="shared" ref="V13:V42" si="4">W13+Y13</f>
        <v>825.92000000000007</v>
      </c>
      <c r="W13" s="2">
        <v>196.69</v>
      </c>
      <c r="X13" s="182">
        <v>3534617.645</v>
      </c>
      <c r="Y13" s="28">
        <v>629.23</v>
      </c>
      <c r="Z13" s="181">
        <v>2671194.6114000003</v>
      </c>
      <c r="AA13" s="181">
        <f t="shared" ref="AA13:AA42" si="5">X13+Z13</f>
        <v>6205812.2564000003</v>
      </c>
      <c r="AB13" s="101">
        <f t="shared" ref="AB13:AB42" si="6">AA13/$AB$11</f>
        <v>427.33867624294174</v>
      </c>
      <c r="AC13" s="204">
        <v>0</v>
      </c>
      <c r="AD13" s="2">
        <v>0</v>
      </c>
      <c r="AE13" s="2">
        <v>104.24463999999998</v>
      </c>
      <c r="AF13" s="2">
        <v>12</v>
      </c>
      <c r="AG13" s="2">
        <f t="shared" ref="AG13:AG42" si="7">AE13+AF13</f>
        <v>116.24463999999998</v>
      </c>
      <c r="AH13" s="182">
        <v>1848659.5615999997</v>
      </c>
      <c r="AI13" s="37">
        <f t="shared" ref="AI13:AI42" si="8">AH13/14522</f>
        <v>127.30061710508193</v>
      </c>
      <c r="AJ13" s="110">
        <v>370.97000000000116</v>
      </c>
      <c r="AK13" s="182">
        <f t="shared" ref="AK13:AK42" si="9">AJ13*$AK$11</f>
        <v>4451640.000000014</v>
      </c>
      <c r="AL13" s="33">
        <f t="shared" ref="AL13:AL42" si="10">AK13/14522</f>
        <v>306.54455309186159</v>
      </c>
      <c r="AM13" s="6"/>
    </row>
    <row r="14" spans="1:39" ht="15">
      <c r="A14" s="30"/>
      <c r="B14" s="49">
        <v>3</v>
      </c>
      <c r="C14" s="177">
        <v>8</v>
      </c>
      <c r="D14" s="178">
        <v>125</v>
      </c>
      <c r="E14" s="185">
        <v>10359.999999999673</v>
      </c>
      <c r="F14" s="182">
        <v>10730680.79999966</v>
      </c>
      <c r="G14" s="182">
        <v>2199.9999999999318</v>
      </c>
      <c r="H14" s="182">
        <v>3418073.9999998943</v>
      </c>
      <c r="I14" s="186">
        <f t="shared" si="0"/>
        <v>14856192.539999532</v>
      </c>
      <c r="J14" s="185">
        <v>1539.9999999999636</v>
      </c>
      <c r="K14" s="182">
        <v>1595101.1999999622</v>
      </c>
      <c r="L14" s="187">
        <v>479.99999999998977</v>
      </c>
      <c r="M14" s="187">
        <v>745761.59999998414</v>
      </c>
      <c r="N14" s="186">
        <f t="shared" si="1"/>
        <v>2457905.9399999436</v>
      </c>
      <c r="O14" s="183">
        <f t="shared" si="2"/>
        <v>17314098.479999475</v>
      </c>
      <c r="P14" s="184">
        <f t="shared" si="3"/>
        <v>14579.999999999556</v>
      </c>
      <c r="Q14" s="141"/>
      <c r="R14" s="152"/>
      <c r="S14" s="161"/>
      <c r="T14" s="160"/>
      <c r="U14" s="159">
        <v>0</v>
      </c>
      <c r="V14" s="139">
        <f t="shared" si="4"/>
        <v>864.19</v>
      </c>
      <c r="W14" s="2">
        <v>195.8</v>
      </c>
      <c r="X14" s="182">
        <v>3518623.9000000004</v>
      </c>
      <c r="Y14" s="28">
        <v>668.39</v>
      </c>
      <c r="Z14" s="181">
        <v>2837435.8602</v>
      </c>
      <c r="AA14" s="181">
        <f t="shared" si="5"/>
        <v>6356059.7602000004</v>
      </c>
      <c r="AB14" s="101">
        <f t="shared" si="6"/>
        <v>437.68487537529268</v>
      </c>
      <c r="AC14" s="204">
        <v>5.3999999999941792</v>
      </c>
      <c r="AD14" s="2">
        <v>0</v>
      </c>
      <c r="AE14" s="2">
        <v>99.572159999999982</v>
      </c>
      <c r="AF14" s="2">
        <v>12</v>
      </c>
      <c r="AG14" s="2">
        <f t="shared" si="7"/>
        <v>111.57215999999998</v>
      </c>
      <c r="AH14" s="182">
        <v>2086810.2279996627</v>
      </c>
      <c r="AI14" s="37">
        <f t="shared" si="8"/>
        <v>143.69991929483973</v>
      </c>
      <c r="AJ14" s="110">
        <v>347.19999999999709</v>
      </c>
      <c r="AK14" s="182">
        <f t="shared" si="9"/>
        <v>4166399.9999999651</v>
      </c>
      <c r="AL14" s="33">
        <f t="shared" si="10"/>
        <v>286.90263049166543</v>
      </c>
      <c r="AM14" s="6"/>
    </row>
    <row r="15" spans="1:39" ht="15">
      <c r="A15" s="30"/>
      <c r="B15" s="49">
        <v>4</v>
      </c>
      <c r="C15" s="177">
        <v>8</v>
      </c>
      <c r="D15" s="178">
        <v>107</v>
      </c>
      <c r="E15" s="185">
        <v>9920.0000000000728</v>
      </c>
      <c r="F15" s="182">
        <v>10274937.600000076</v>
      </c>
      <c r="G15" s="182">
        <v>2400.0000000000909</v>
      </c>
      <c r="H15" s="182">
        <v>3728808.0000001416</v>
      </c>
      <c r="I15" s="186">
        <f t="shared" si="0"/>
        <v>14703932.88000023</v>
      </c>
      <c r="J15" s="185">
        <v>1519.9999999999818</v>
      </c>
      <c r="K15" s="182">
        <v>1574385.5999999812</v>
      </c>
      <c r="L15" s="187">
        <v>380.00000000002387</v>
      </c>
      <c r="M15" s="187">
        <v>590394.60000003711</v>
      </c>
      <c r="N15" s="186">
        <f t="shared" si="1"/>
        <v>2273019.2100000195</v>
      </c>
      <c r="O15" s="183">
        <f t="shared" si="2"/>
        <v>16976952.090000249</v>
      </c>
      <c r="P15" s="184">
        <f t="shared" si="3"/>
        <v>14220.000000000169</v>
      </c>
      <c r="Q15" s="141"/>
      <c r="R15" s="152"/>
      <c r="S15" s="161"/>
      <c r="T15" s="160"/>
      <c r="U15" s="159">
        <v>0</v>
      </c>
      <c r="V15" s="139">
        <f t="shared" si="4"/>
        <v>847.28</v>
      </c>
      <c r="W15" s="2">
        <v>196.69</v>
      </c>
      <c r="X15" s="182">
        <v>3534617.645</v>
      </c>
      <c r="Y15" s="28">
        <v>650.59</v>
      </c>
      <c r="Z15" s="181">
        <v>2761871.6562000006</v>
      </c>
      <c r="AA15" s="181">
        <f t="shared" si="5"/>
        <v>6296489.3012000006</v>
      </c>
      <c r="AB15" s="101">
        <f t="shared" si="6"/>
        <v>433.58279170913102</v>
      </c>
      <c r="AC15" s="204">
        <v>0</v>
      </c>
      <c r="AD15" s="2">
        <v>0</v>
      </c>
      <c r="AE15" s="2">
        <v>117.73843999999994</v>
      </c>
      <c r="AF15" s="2">
        <v>12</v>
      </c>
      <c r="AG15" s="2">
        <f t="shared" si="7"/>
        <v>129.73843999999994</v>
      </c>
      <c r="AH15" s="182">
        <v>2063750.733599999</v>
      </c>
      <c r="AI15" s="37">
        <f t="shared" si="8"/>
        <v>142.11201856493588</v>
      </c>
      <c r="AJ15" s="110">
        <v>281.7899999999936</v>
      </c>
      <c r="AK15" s="182">
        <f t="shared" si="9"/>
        <v>3381479.9999999232</v>
      </c>
      <c r="AL15" s="33">
        <f t="shared" si="10"/>
        <v>232.85222421153583</v>
      </c>
      <c r="AM15" s="6"/>
    </row>
    <row r="16" spans="1:39" ht="15">
      <c r="A16" s="30"/>
      <c r="B16" s="49">
        <v>5</v>
      </c>
      <c r="C16" s="177">
        <v>12</v>
      </c>
      <c r="D16" s="178">
        <v>112</v>
      </c>
      <c r="E16" s="185">
        <v>10560.0000000004</v>
      </c>
      <c r="F16" s="182">
        <v>10937836.800000414</v>
      </c>
      <c r="G16" s="182">
        <v>2479.9999999999045</v>
      </c>
      <c r="H16" s="182">
        <v>3853101.599999852</v>
      </c>
      <c r="I16" s="186">
        <f t="shared" si="0"/>
        <v>15530485.320000282</v>
      </c>
      <c r="J16" s="185">
        <v>1379.9999999999955</v>
      </c>
      <c r="K16" s="182">
        <v>1429376.3999999953</v>
      </c>
      <c r="L16" s="187">
        <v>359.99999999998522</v>
      </c>
      <c r="M16" s="187">
        <v>559321.19999997702</v>
      </c>
      <c r="N16" s="186">
        <f t="shared" si="1"/>
        <v>2088132.4799999709</v>
      </c>
      <c r="O16" s="183">
        <f t="shared" si="2"/>
        <v>17618617.800000254</v>
      </c>
      <c r="P16" s="184">
        <f t="shared" si="3"/>
        <v>14780.000000000287</v>
      </c>
      <c r="Q16" s="141"/>
      <c r="R16" s="152"/>
      <c r="S16" s="161"/>
      <c r="T16" s="160"/>
      <c r="U16" s="159">
        <v>0</v>
      </c>
      <c r="V16" s="139">
        <f t="shared" si="4"/>
        <v>880.20999999999992</v>
      </c>
      <c r="W16" s="2">
        <v>194.91</v>
      </c>
      <c r="X16" s="182">
        <v>3502630.1549999998</v>
      </c>
      <c r="Y16" s="28">
        <v>685.3</v>
      </c>
      <c r="Z16" s="181">
        <v>2909221.8539999998</v>
      </c>
      <c r="AA16" s="181">
        <f t="shared" si="5"/>
        <v>6411852.0089999996</v>
      </c>
      <c r="AB16" s="101">
        <f t="shared" si="6"/>
        <v>441.52678756369642</v>
      </c>
      <c r="AC16" s="204">
        <v>0</v>
      </c>
      <c r="AD16" s="2">
        <v>0</v>
      </c>
      <c r="AE16" s="2">
        <v>94.61772000000002</v>
      </c>
      <c r="AF16" s="2">
        <v>12</v>
      </c>
      <c r="AG16" s="2">
        <f t="shared" si="7"/>
        <v>106.61772000000002</v>
      </c>
      <c r="AH16" s="182">
        <v>1695206.4568000003</v>
      </c>
      <c r="AI16" s="37">
        <f t="shared" si="8"/>
        <v>116.73367695909656</v>
      </c>
      <c r="AJ16" s="110">
        <v>716.51000000000931</v>
      </c>
      <c r="AK16" s="182">
        <f t="shared" si="9"/>
        <v>8598120.0000001118</v>
      </c>
      <c r="AL16" s="33">
        <f t="shared" si="10"/>
        <v>592.07547169812085</v>
      </c>
      <c r="AM16" s="6"/>
    </row>
    <row r="17" spans="1:39" ht="15">
      <c r="A17" s="30"/>
      <c r="B17" s="49">
        <v>6</v>
      </c>
      <c r="C17" s="177">
        <v>8</v>
      </c>
      <c r="D17" s="178">
        <v>189</v>
      </c>
      <c r="E17" s="185">
        <v>10880.000000000109</v>
      </c>
      <c r="F17" s="182">
        <v>11269286.400000112</v>
      </c>
      <c r="G17" s="182">
        <v>2120.0000000000045</v>
      </c>
      <c r="H17" s="182">
        <v>3293780.4000000074</v>
      </c>
      <c r="I17" s="186">
        <f t="shared" si="0"/>
        <v>15291220.140000127</v>
      </c>
      <c r="J17" s="185">
        <v>1680.0000000000637</v>
      </c>
      <c r="K17" s="182">
        <v>1740110.4000000658</v>
      </c>
      <c r="L17" s="187">
        <v>340.00000000000341</v>
      </c>
      <c r="M17" s="187">
        <v>528247.80000000529</v>
      </c>
      <c r="N17" s="186">
        <f t="shared" si="1"/>
        <v>2381776.1100000748</v>
      </c>
      <c r="O17" s="183">
        <f t="shared" si="2"/>
        <v>17672996.250000201</v>
      </c>
      <c r="P17" s="184">
        <f t="shared" si="3"/>
        <v>15020.00000000018</v>
      </c>
      <c r="Q17" s="141"/>
      <c r="R17" s="152"/>
      <c r="S17" s="161"/>
      <c r="T17" s="160"/>
      <c r="U17" s="159">
        <v>0</v>
      </c>
      <c r="V17" s="139">
        <f t="shared" si="4"/>
        <v>878.43</v>
      </c>
      <c r="W17" s="2">
        <v>194.91</v>
      </c>
      <c r="X17" s="182">
        <v>3502630.1549999998</v>
      </c>
      <c r="Y17" s="28">
        <v>683.52</v>
      </c>
      <c r="Z17" s="181">
        <v>2901665.4336000001</v>
      </c>
      <c r="AA17" s="181">
        <f t="shared" si="5"/>
        <v>6404295.5886000004</v>
      </c>
      <c r="AB17" s="101">
        <f t="shared" si="6"/>
        <v>441.00644460818074</v>
      </c>
      <c r="AC17" s="204">
        <v>0</v>
      </c>
      <c r="AD17" s="2">
        <v>0</v>
      </c>
      <c r="AE17" s="2">
        <v>91.556439999999952</v>
      </c>
      <c r="AF17" s="2">
        <v>0</v>
      </c>
      <c r="AG17" s="2">
        <f t="shared" si="7"/>
        <v>91.556439999999952</v>
      </c>
      <c r="AH17" s="182">
        <v>1459409.6535999991</v>
      </c>
      <c r="AI17" s="37">
        <f t="shared" si="8"/>
        <v>100.49646423357659</v>
      </c>
      <c r="AJ17" s="110">
        <v>337.72000000000116</v>
      </c>
      <c r="AK17" s="182">
        <f t="shared" si="9"/>
        <v>4052640.000000014</v>
      </c>
      <c r="AL17" s="33">
        <f t="shared" si="10"/>
        <v>279.06899876050227</v>
      </c>
      <c r="AM17" s="6"/>
    </row>
    <row r="18" spans="1:39" ht="15">
      <c r="A18" s="30"/>
      <c r="B18" s="49">
        <v>7</v>
      </c>
      <c r="C18" s="177">
        <v>9</v>
      </c>
      <c r="D18" s="178">
        <v>115</v>
      </c>
      <c r="E18" s="185">
        <v>10279.999999999745</v>
      </c>
      <c r="F18" s="182">
        <v>10647818.399999736</v>
      </c>
      <c r="G18" s="182">
        <v>2160.0000000000819</v>
      </c>
      <c r="H18" s="182">
        <v>3355927.2000001273</v>
      </c>
      <c r="I18" s="186">
        <f t="shared" si="0"/>
        <v>14703932.879999857</v>
      </c>
      <c r="J18" s="185">
        <v>1459.9999999999227</v>
      </c>
      <c r="K18" s="182">
        <v>1512238.79999992</v>
      </c>
      <c r="L18" s="187">
        <v>560.00000000000227</v>
      </c>
      <c r="M18" s="187">
        <v>870055.20000000356</v>
      </c>
      <c r="N18" s="186">
        <f t="shared" si="1"/>
        <v>2501408.6999999201</v>
      </c>
      <c r="O18" s="183">
        <f t="shared" si="2"/>
        <v>17205341.579999778</v>
      </c>
      <c r="P18" s="184">
        <f t="shared" si="3"/>
        <v>14459.999999999751</v>
      </c>
      <c r="Q18" s="141"/>
      <c r="R18" s="152"/>
      <c r="S18" s="161"/>
      <c r="T18" s="160"/>
      <c r="U18" s="159">
        <v>0</v>
      </c>
      <c r="V18" s="139">
        <f t="shared" si="4"/>
        <v>891.78</v>
      </c>
      <c r="W18" s="2">
        <v>194.91</v>
      </c>
      <c r="X18" s="182">
        <v>3502630.1549999998</v>
      </c>
      <c r="Y18" s="28">
        <v>696.87</v>
      </c>
      <c r="Z18" s="181">
        <v>2958338.5866</v>
      </c>
      <c r="AA18" s="181">
        <f t="shared" si="5"/>
        <v>6460968.7415999994</v>
      </c>
      <c r="AB18" s="101">
        <f t="shared" si="6"/>
        <v>444.90901677454889</v>
      </c>
      <c r="AC18" s="204">
        <v>0</v>
      </c>
      <c r="AD18" s="2">
        <v>0</v>
      </c>
      <c r="AE18" s="2">
        <v>107.06423999999993</v>
      </c>
      <c r="AF18" s="2">
        <v>12</v>
      </c>
      <c r="AG18" s="2">
        <f t="shared" si="7"/>
        <v>119.06423999999993</v>
      </c>
      <c r="AH18" s="182">
        <v>1706603.9855999989</v>
      </c>
      <c r="AI18" s="37">
        <f t="shared" si="8"/>
        <v>117.51852262773714</v>
      </c>
      <c r="AJ18" s="110">
        <v>139.20000000001164</v>
      </c>
      <c r="AK18" s="182">
        <f t="shared" si="9"/>
        <v>1670400.0000001397</v>
      </c>
      <c r="AL18" s="33">
        <f t="shared" si="10"/>
        <v>115.02547858422668</v>
      </c>
      <c r="AM18" s="6"/>
    </row>
    <row r="19" spans="1:39" ht="15">
      <c r="A19" s="30"/>
      <c r="B19" s="49">
        <v>8</v>
      </c>
      <c r="C19" s="177">
        <v>9</v>
      </c>
      <c r="D19" s="178">
        <v>175</v>
      </c>
      <c r="E19" s="185">
        <v>10199.999999999818</v>
      </c>
      <c r="F19" s="182">
        <v>10564955.999999812</v>
      </c>
      <c r="G19" s="182">
        <v>2039.9999999999636</v>
      </c>
      <c r="H19" s="182">
        <v>3169486.7999999435</v>
      </c>
      <c r="I19" s="186">
        <f t="shared" si="0"/>
        <v>14421164.939999742</v>
      </c>
      <c r="J19" s="185">
        <v>1639.9999999999864</v>
      </c>
      <c r="K19" s="182">
        <v>1698679.1999999858</v>
      </c>
      <c r="L19" s="187">
        <v>400.00000000000568</v>
      </c>
      <c r="M19" s="187">
        <v>621468.00000000885</v>
      </c>
      <c r="N19" s="186">
        <f t="shared" si="1"/>
        <v>2436154.5599999945</v>
      </c>
      <c r="O19" s="183">
        <f t="shared" si="2"/>
        <v>16857319.499999736</v>
      </c>
      <c r="P19" s="184">
        <f t="shared" si="3"/>
        <v>14279.999999999773</v>
      </c>
      <c r="Q19" s="141"/>
      <c r="R19" s="152"/>
      <c r="S19" s="161"/>
      <c r="T19" s="160"/>
      <c r="U19" s="159">
        <v>0</v>
      </c>
      <c r="V19" s="139">
        <f t="shared" si="4"/>
        <v>874.87000000000012</v>
      </c>
      <c r="W19" s="2">
        <v>195.8</v>
      </c>
      <c r="X19" s="182">
        <v>3518623.9000000004</v>
      </c>
      <c r="Y19" s="28">
        <v>679.07</v>
      </c>
      <c r="Z19" s="181">
        <v>2882774.3826000006</v>
      </c>
      <c r="AA19" s="181">
        <f t="shared" si="5"/>
        <v>6401398.2826000005</v>
      </c>
      <c r="AB19" s="101">
        <f t="shared" si="6"/>
        <v>440.80693310838728</v>
      </c>
      <c r="AC19" s="204">
        <v>0</v>
      </c>
      <c r="AD19" s="2">
        <v>0</v>
      </c>
      <c r="AE19" s="2">
        <v>86.440880000000135</v>
      </c>
      <c r="AF19" s="2">
        <v>12</v>
      </c>
      <c r="AG19" s="2">
        <f t="shared" si="7"/>
        <v>98.440880000000135</v>
      </c>
      <c r="AH19" s="182">
        <v>1564867.6272000021</v>
      </c>
      <c r="AI19" s="37">
        <f t="shared" si="8"/>
        <v>107.75840980581202</v>
      </c>
      <c r="AJ19" s="110">
        <v>237.75999999999476</v>
      </c>
      <c r="AK19" s="182">
        <f t="shared" si="9"/>
        <v>2853119.9999999371</v>
      </c>
      <c r="AL19" s="33">
        <f t="shared" si="10"/>
        <v>196.46880594958938</v>
      </c>
      <c r="AM19" s="6"/>
    </row>
    <row r="20" spans="1:39" ht="15">
      <c r="A20" s="30"/>
      <c r="B20" s="49">
        <v>9</v>
      </c>
      <c r="C20" s="177">
        <v>4</v>
      </c>
      <c r="D20" s="178">
        <v>131</v>
      </c>
      <c r="E20" s="185">
        <v>10039.999999999964</v>
      </c>
      <c r="F20" s="182">
        <v>10399231.199999962</v>
      </c>
      <c r="G20" s="182">
        <v>2080.0000000000409</v>
      </c>
      <c r="H20" s="182">
        <v>3231633.6000000639</v>
      </c>
      <c r="I20" s="186">
        <f t="shared" si="0"/>
        <v>14312408.040000029</v>
      </c>
      <c r="J20" s="185">
        <v>1340.0000000000318</v>
      </c>
      <c r="K20" s="182">
        <v>1387945.200000033</v>
      </c>
      <c r="L20" s="187">
        <v>340.00000000000341</v>
      </c>
      <c r="M20" s="187">
        <v>528247.80000000529</v>
      </c>
      <c r="N20" s="186">
        <f t="shared" si="1"/>
        <v>2012002.6500000402</v>
      </c>
      <c r="O20" s="183">
        <f t="shared" si="2"/>
        <v>16324410.690000068</v>
      </c>
      <c r="P20" s="184">
        <f t="shared" si="3"/>
        <v>13800.00000000004</v>
      </c>
      <c r="Q20" s="141"/>
      <c r="R20" s="152"/>
      <c r="S20" s="161"/>
      <c r="T20" s="160"/>
      <c r="U20" s="159">
        <v>0</v>
      </c>
      <c r="V20" s="139">
        <f t="shared" si="4"/>
        <v>881.99</v>
      </c>
      <c r="W20" s="2">
        <v>196.69</v>
      </c>
      <c r="X20" s="182">
        <v>3534617.645</v>
      </c>
      <c r="Y20" s="28">
        <v>685.3</v>
      </c>
      <c r="Z20" s="181">
        <v>2909221.8539999998</v>
      </c>
      <c r="AA20" s="181">
        <f t="shared" si="5"/>
        <v>6443839.4989999998</v>
      </c>
      <c r="AB20" s="101">
        <f t="shared" si="6"/>
        <v>443.72947934168849</v>
      </c>
      <c r="AC20" s="204">
        <v>0</v>
      </c>
      <c r="AD20" s="2">
        <v>0</v>
      </c>
      <c r="AE20" s="2">
        <v>95.745559999999912</v>
      </c>
      <c r="AF20" s="2">
        <v>12</v>
      </c>
      <c r="AG20" s="2">
        <f t="shared" si="7"/>
        <v>107.74555999999991</v>
      </c>
      <c r="AH20" s="182">
        <v>1713184.2263999986</v>
      </c>
      <c r="AI20" s="37">
        <f t="shared" si="8"/>
        <v>117.97164484230812</v>
      </c>
      <c r="AJ20" s="110">
        <v>326.52999999999884</v>
      </c>
      <c r="AK20" s="182">
        <f t="shared" si="9"/>
        <v>3918359.999999986</v>
      </c>
      <c r="AL20" s="33">
        <f t="shared" si="10"/>
        <v>269.82233852086392</v>
      </c>
      <c r="AM20" s="6"/>
    </row>
    <row r="21" spans="1:39" ht="15">
      <c r="A21" s="30"/>
      <c r="B21" s="49">
        <v>10</v>
      </c>
      <c r="C21" s="177">
        <v>4</v>
      </c>
      <c r="D21" s="178">
        <v>70</v>
      </c>
      <c r="E21" s="185">
        <v>10039.999999999964</v>
      </c>
      <c r="F21" s="182">
        <v>10399231.199999962</v>
      </c>
      <c r="G21" s="182">
        <v>2039.9999999999636</v>
      </c>
      <c r="H21" s="182">
        <v>3169486.7999999435</v>
      </c>
      <c r="I21" s="186">
        <f t="shared" si="0"/>
        <v>14247153.899999902</v>
      </c>
      <c r="J21" s="185">
        <v>1240.0000000000091</v>
      </c>
      <c r="K21" s="182">
        <v>1284367.2000000095</v>
      </c>
      <c r="L21" s="187">
        <v>339.99999999997499</v>
      </c>
      <c r="M21" s="187">
        <v>528247.79999996116</v>
      </c>
      <c r="N21" s="186">
        <f t="shared" si="1"/>
        <v>1903245.7499999693</v>
      </c>
      <c r="O21" s="183">
        <f t="shared" si="2"/>
        <v>16150399.649999872</v>
      </c>
      <c r="P21" s="184">
        <f t="shared" si="3"/>
        <v>13659.999999999911</v>
      </c>
      <c r="Q21" s="141"/>
      <c r="R21" s="152"/>
      <c r="S21" s="161"/>
      <c r="T21" s="160"/>
      <c r="U21" s="159">
        <v>0</v>
      </c>
      <c r="V21" s="139">
        <f t="shared" si="4"/>
        <v>867.75</v>
      </c>
      <c r="W21" s="2">
        <v>196.69</v>
      </c>
      <c r="X21" s="182">
        <v>3534617.645</v>
      </c>
      <c r="Y21" s="28">
        <v>671.06000000000006</v>
      </c>
      <c r="Z21" s="181">
        <v>2848770.4908000003</v>
      </c>
      <c r="AA21" s="181">
        <f t="shared" si="5"/>
        <v>6383388.1358000003</v>
      </c>
      <c r="AB21" s="101">
        <f t="shared" si="6"/>
        <v>439.56673569756236</v>
      </c>
      <c r="AC21" s="204">
        <v>0.30000000000291038</v>
      </c>
      <c r="AD21" s="2">
        <v>0</v>
      </c>
      <c r="AE21" s="2">
        <v>82.171200000000127</v>
      </c>
      <c r="AF21" s="2">
        <v>12</v>
      </c>
      <c r="AG21" s="2">
        <f t="shared" si="7"/>
        <v>94.171200000000127</v>
      </c>
      <c r="AH21" s="182">
        <v>1514177.2612001705</v>
      </c>
      <c r="AI21" s="37">
        <f t="shared" si="8"/>
        <v>104.2678185649477</v>
      </c>
      <c r="AJ21" s="110">
        <v>331.76000000000931</v>
      </c>
      <c r="AK21" s="182">
        <f t="shared" si="9"/>
        <v>3981120.0000001118</v>
      </c>
      <c r="AL21" s="33">
        <f t="shared" si="10"/>
        <v>274.14405729239166</v>
      </c>
      <c r="AM21" s="6"/>
    </row>
    <row r="22" spans="1:39" ht="15">
      <c r="A22" s="30"/>
      <c r="B22" s="49">
        <v>11</v>
      </c>
      <c r="C22" s="177">
        <v>5</v>
      </c>
      <c r="D22" s="178">
        <v>60</v>
      </c>
      <c r="E22" s="185">
        <v>9360.0000000005821</v>
      </c>
      <c r="F22" s="182">
        <v>9694900.8000006024</v>
      </c>
      <c r="G22" s="182">
        <v>1799.9999999999545</v>
      </c>
      <c r="H22" s="182">
        <v>2796605.9999999297</v>
      </c>
      <c r="I22" s="186">
        <f t="shared" si="0"/>
        <v>13116082.140000559</v>
      </c>
      <c r="J22" s="185">
        <v>1259.9999999999909</v>
      </c>
      <c r="K22" s="182">
        <v>1305082.7999999905</v>
      </c>
      <c r="L22" s="187">
        <v>340.00000000000341</v>
      </c>
      <c r="M22" s="187">
        <v>528247.80000000529</v>
      </c>
      <c r="N22" s="186">
        <f t="shared" si="1"/>
        <v>1924997.1299999957</v>
      </c>
      <c r="O22" s="183">
        <f t="shared" si="2"/>
        <v>15041079.270000555</v>
      </c>
      <c r="P22" s="184">
        <f t="shared" si="3"/>
        <v>12760.000000000531</v>
      </c>
      <c r="Q22" s="141"/>
      <c r="R22" s="152"/>
      <c r="S22" s="161"/>
      <c r="T22" s="160"/>
      <c r="U22" s="159">
        <v>0</v>
      </c>
      <c r="V22" s="139">
        <f t="shared" si="4"/>
        <v>719.12</v>
      </c>
      <c r="W22" s="2">
        <v>19.580000000000002</v>
      </c>
      <c r="X22" s="182">
        <v>351862.39</v>
      </c>
      <c r="Y22" s="28">
        <v>699.54</v>
      </c>
      <c r="Z22" s="181">
        <v>2969673.2171999998</v>
      </c>
      <c r="AA22" s="181">
        <f t="shared" si="5"/>
        <v>3321535.6072</v>
      </c>
      <c r="AB22" s="101">
        <f t="shared" si="6"/>
        <v>228.72439107560942</v>
      </c>
      <c r="AC22" s="204">
        <v>0</v>
      </c>
      <c r="AD22" s="2">
        <v>0</v>
      </c>
      <c r="AE22" s="2">
        <v>108.15179999999985</v>
      </c>
      <c r="AF22" s="2">
        <v>12</v>
      </c>
      <c r="AG22" s="2">
        <f t="shared" si="7"/>
        <v>120.15179999999985</v>
      </c>
      <c r="AH22" s="182">
        <v>1910939.6919999977</v>
      </c>
      <c r="AI22" s="37">
        <f t="shared" si="8"/>
        <v>131.58929155763653</v>
      </c>
      <c r="AJ22" s="110">
        <v>265.94999999999709</v>
      </c>
      <c r="AK22" s="182">
        <f t="shared" si="9"/>
        <v>3191399.9999999651</v>
      </c>
      <c r="AL22" s="33">
        <f t="shared" si="10"/>
        <v>219.76311802781746</v>
      </c>
      <c r="AM22" s="6"/>
    </row>
    <row r="23" spans="1:39" ht="15">
      <c r="A23" s="30"/>
      <c r="B23" s="49">
        <v>12</v>
      </c>
      <c r="C23" s="177">
        <v>3</v>
      </c>
      <c r="D23" s="178">
        <v>39</v>
      </c>
      <c r="E23" s="185">
        <v>9839.999999999236</v>
      </c>
      <c r="F23" s="182">
        <v>10192075.199999208</v>
      </c>
      <c r="G23" s="182">
        <v>1920.0000000000728</v>
      </c>
      <c r="H23" s="182">
        <v>2983046.4000001131</v>
      </c>
      <c r="I23" s="186">
        <f t="shared" si="0"/>
        <v>13833877.679999286</v>
      </c>
      <c r="J23" s="185">
        <v>1240.0000000000091</v>
      </c>
      <c r="K23" s="182">
        <v>1284367.2000000095</v>
      </c>
      <c r="L23" s="187">
        <v>300.00000000001137</v>
      </c>
      <c r="M23" s="187">
        <v>466101.0000000177</v>
      </c>
      <c r="N23" s="186">
        <f t="shared" si="1"/>
        <v>1837991.6100000287</v>
      </c>
      <c r="O23" s="183">
        <f t="shared" si="2"/>
        <v>15671869.289999316</v>
      </c>
      <c r="P23" s="184">
        <f t="shared" si="3"/>
        <v>13299.999999999329</v>
      </c>
      <c r="Q23" s="141"/>
      <c r="R23" s="152"/>
      <c r="S23" s="161"/>
      <c r="T23" s="160"/>
      <c r="U23" s="159">
        <v>0</v>
      </c>
      <c r="V23" s="139">
        <f t="shared" si="4"/>
        <v>903.34999999999991</v>
      </c>
      <c r="W23" s="2">
        <v>375.58</v>
      </c>
      <c r="X23" s="182">
        <v>6749360.3899999997</v>
      </c>
      <c r="Y23" s="28">
        <v>527.77</v>
      </c>
      <c r="Z23" s="181">
        <v>2240478.6486</v>
      </c>
      <c r="AA23" s="181">
        <f t="shared" si="5"/>
        <v>8989839.0385999996</v>
      </c>
      <c r="AB23" s="101">
        <f t="shared" si="6"/>
        <v>619.0496514667401</v>
      </c>
      <c r="AC23" s="204">
        <v>0</v>
      </c>
      <c r="AD23" s="2">
        <v>0</v>
      </c>
      <c r="AE23" s="2">
        <v>85.474160000000097</v>
      </c>
      <c r="AF23" s="2">
        <v>12</v>
      </c>
      <c r="AG23" s="2">
        <f t="shared" si="7"/>
        <v>97.474160000000097</v>
      </c>
      <c r="AH23" s="182">
        <v>1549458.1104000015</v>
      </c>
      <c r="AI23" s="37">
        <f t="shared" si="8"/>
        <v>106.69729447734483</v>
      </c>
      <c r="AJ23" s="110">
        <v>179.95999999999185</v>
      </c>
      <c r="AK23" s="182">
        <f t="shared" si="9"/>
        <v>2159519.9999999022</v>
      </c>
      <c r="AL23" s="33">
        <f t="shared" si="10"/>
        <v>148.70678969838193</v>
      </c>
      <c r="AM23" s="6"/>
    </row>
    <row r="24" spans="1:39" ht="15">
      <c r="A24" s="30"/>
      <c r="B24" s="49">
        <v>13</v>
      </c>
      <c r="C24" s="177">
        <v>2</v>
      </c>
      <c r="D24" s="178">
        <v>73</v>
      </c>
      <c r="E24" s="185">
        <v>10600.000000000364</v>
      </c>
      <c r="F24" s="182">
        <v>10979268.000000376</v>
      </c>
      <c r="G24" s="182">
        <v>2199.9999999999318</v>
      </c>
      <c r="H24" s="182">
        <v>3418073.9999998943</v>
      </c>
      <c r="I24" s="186">
        <f t="shared" si="0"/>
        <v>15117209.100000285</v>
      </c>
      <c r="J24" s="185">
        <v>1200.0000000000455</v>
      </c>
      <c r="K24" s="182">
        <v>1242936.000000047</v>
      </c>
      <c r="L24" s="187">
        <v>400.00000000000568</v>
      </c>
      <c r="M24" s="187">
        <v>621468.00000000885</v>
      </c>
      <c r="N24" s="186">
        <f t="shared" si="1"/>
        <v>1957624.2000000589</v>
      </c>
      <c r="O24" s="183">
        <f t="shared" si="2"/>
        <v>17074833.300000343</v>
      </c>
      <c r="P24" s="184">
        <f t="shared" si="3"/>
        <v>14400.000000000346</v>
      </c>
      <c r="Q24" s="141"/>
      <c r="R24" s="141"/>
      <c r="S24" s="161"/>
      <c r="T24" s="160"/>
      <c r="U24" s="159">
        <v>0</v>
      </c>
      <c r="V24" s="139">
        <f t="shared" si="4"/>
        <v>698.65</v>
      </c>
      <c r="W24" s="2">
        <v>197.58</v>
      </c>
      <c r="X24" s="182">
        <v>3550611.39</v>
      </c>
      <c r="Y24" s="28">
        <v>501.07</v>
      </c>
      <c r="Z24" s="181">
        <v>2127132.3426000001</v>
      </c>
      <c r="AA24" s="181">
        <f t="shared" si="5"/>
        <v>5677743.7325999998</v>
      </c>
      <c r="AB24" s="101">
        <f t="shared" si="6"/>
        <v>390.97532933480232</v>
      </c>
      <c r="AC24" s="204">
        <v>7.0000000006984919E-2</v>
      </c>
      <c r="AD24" s="2">
        <v>0</v>
      </c>
      <c r="AE24" s="2">
        <v>92.442599999999942</v>
      </c>
      <c r="AF24" s="2">
        <v>0</v>
      </c>
      <c r="AG24" s="2">
        <f t="shared" si="7"/>
        <v>92.442599999999942</v>
      </c>
      <c r="AH24" s="182">
        <v>1477587.6550804034</v>
      </c>
      <c r="AI24" s="37">
        <f t="shared" si="8"/>
        <v>101.74822029199858</v>
      </c>
      <c r="AJ24" s="110">
        <v>0</v>
      </c>
      <c r="AK24" s="182">
        <f t="shared" si="9"/>
        <v>0</v>
      </c>
      <c r="AL24" s="33">
        <f t="shared" si="10"/>
        <v>0</v>
      </c>
      <c r="AM24" s="6"/>
    </row>
    <row r="25" spans="1:39" ht="15">
      <c r="A25" s="30"/>
      <c r="B25" s="49">
        <v>14</v>
      </c>
      <c r="C25" s="177">
        <v>31</v>
      </c>
      <c r="D25" s="178">
        <v>143</v>
      </c>
      <c r="E25" s="185">
        <v>11720.000000000255</v>
      </c>
      <c r="F25" s="182">
        <v>12139341.600000264</v>
      </c>
      <c r="G25" s="182">
        <v>3080.0000000000409</v>
      </c>
      <c r="H25" s="182">
        <v>4785303.6000000639</v>
      </c>
      <c r="I25" s="186">
        <f t="shared" si="0"/>
        <v>17770877.460000344</v>
      </c>
      <c r="J25" s="185">
        <v>1500</v>
      </c>
      <c r="K25" s="182">
        <v>1553670</v>
      </c>
      <c r="L25" s="187">
        <v>399.99999999997726</v>
      </c>
      <c r="M25" s="187">
        <v>621467.99999996473</v>
      </c>
      <c r="N25" s="186">
        <f t="shared" si="1"/>
        <v>2283894.8999999631</v>
      </c>
      <c r="O25" s="183">
        <f t="shared" si="2"/>
        <v>20054772.360000305</v>
      </c>
      <c r="P25" s="184">
        <f t="shared" si="3"/>
        <v>16700.000000000273</v>
      </c>
      <c r="Q25" s="142"/>
      <c r="R25" s="142"/>
      <c r="S25" s="161"/>
      <c r="T25" s="160"/>
      <c r="U25" s="159">
        <v>0</v>
      </c>
      <c r="V25" s="139">
        <f t="shared" si="4"/>
        <v>805.45</v>
      </c>
      <c r="W25" s="2">
        <v>159.31</v>
      </c>
      <c r="X25" s="182">
        <v>2862880.355</v>
      </c>
      <c r="Y25" s="28">
        <v>646.14</v>
      </c>
      <c r="Z25" s="181">
        <v>2742980.6052000001</v>
      </c>
      <c r="AA25" s="181">
        <f t="shared" si="5"/>
        <v>5605860.9602000006</v>
      </c>
      <c r="AB25" s="101">
        <f t="shared" si="6"/>
        <v>386.02540698250931</v>
      </c>
      <c r="AC25" s="204">
        <v>0</v>
      </c>
      <c r="AD25" s="2">
        <v>0</v>
      </c>
      <c r="AE25" s="2">
        <v>83.822680000000005</v>
      </c>
      <c r="AF25" s="2">
        <v>12</v>
      </c>
      <c r="AG25" s="2">
        <f t="shared" si="7"/>
        <v>95.822680000000005</v>
      </c>
      <c r="AH25" s="182">
        <v>1523133.5192</v>
      </c>
      <c r="AI25" s="37">
        <f t="shared" si="8"/>
        <v>104.88455579121333</v>
      </c>
      <c r="AJ25" s="110">
        <v>547.6200000000099</v>
      </c>
      <c r="AK25" s="182">
        <f t="shared" si="9"/>
        <v>6571440.0000001192</v>
      </c>
      <c r="AL25" s="33">
        <f t="shared" si="10"/>
        <v>452.51618234403793</v>
      </c>
      <c r="AM25" s="6"/>
    </row>
    <row r="26" spans="1:39" ht="15">
      <c r="A26" s="30"/>
      <c r="B26" s="49">
        <v>15</v>
      </c>
      <c r="C26" s="177">
        <v>1</v>
      </c>
      <c r="D26" s="178">
        <v>98</v>
      </c>
      <c r="E26" s="185">
        <v>11960.000000000036</v>
      </c>
      <c r="F26" s="182">
        <v>12387928.800000038</v>
      </c>
      <c r="G26" s="182">
        <v>1919.9999999999591</v>
      </c>
      <c r="H26" s="182">
        <v>2983046.3999999366</v>
      </c>
      <c r="I26" s="186">
        <f t="shared" si="0"/>
        <v>16139523.959999975</v>
      </c>
      <c r="J26" s="185">
        <v>1579.9999999999272</v>
      </c>
      <c r="K26" s="182">
        <v>1636532.3999999247</v>
      </c>
      <c r="L26" s="187">
        <v>340.00000000000341</v>
      </c>
      <c r="M26" s="187">
        <v>528247.80000000529</v>
      </c>
      <c r="N26" s="186">
        <f t="shared" si="1"/>
        <v>2273019.2099999264</v>
      </c>
      <c r="O26" s="183">
        <f t="shared" si="2"/>
        <v>18412543.169999901</v>
      </c>
      <c r="P26" s="184">
        <f t="shared" si="3"/>
        <v>15799.999999999927</v>
      </c>
      <c r="Q26" s="141"/>
      <c r="R26" s="152"/>
      <c r="S26" s="161"/>
      <c r="T26" s="160"/>
      <c r="U26" s="159">
        <v>0</v>
      </c>
      <c r="V26" s="139">
        <f t="shared" si="4"/>
        <v>797.43999999999994</v>
      </c>
      <c r="W26" s="2">
        <v>202.03</v>
      </c>
      <c r="X26" s="182">
        <v>3630580.1150000002</v>
      </c>
      <c r="Y26" s="28">
        <v>595.41</v>
      </c>
      <c r="Z26" s="181">
        <v>2527622.6238000002</v>
      </c>
      <c r="AA26" s="181">
        <f t="shared" si="5"/>
        <v>6158202.7388000004</v>
      </c>
      <c r="AB26" s="101">
        <f t="shared" si="6"/>
        <v>424.06023542211818</v>
      </c>
      <c r="AC26" s="204">
        <v>0</v>
      </c>
      <c r="AD26" s="2">
        <v>0</v>
      </c>
      <c r="AE26" s="2">
        <v>86.440879999999908</v>
      </c>
      <c r="AF26" s="2">
        <v>12</v>
      </c>
      <c r="AG26" s="2">
        <f t="shared" si="7"/>
        <v>98.440879999999908</v>
      </c>
      <c r="AH26" s="182">
        <v>1564867.6271999986</v>
      </c>
      <c r="AI26" s="37">
        <f t="shared" si="8"/>
        <v>107.75840980581178</v>
      </c>
      <c r="AJ26" s="110">
        <v>171.79999999998836</v>
      </c>
      <c r="AK26" s="182">
        <f t="shared" si="9"/>
        <v>2061599.9999998603</v>
      </c>
      <c r="AL26" s="33">
        <f t="shared" si="10"/>
        <v>141.96391681585595</v>
      </c>
      <c r="AM26" s="6"/>
    </row>
    <row r="27" spans="1:39" ht="15">
      <c r="A27" s="30"/>
      <c r="B27" s="49">
        <v>16</v>
      </c>
      <c r="C27" s="177" t="s">
        <v>53</v>
      </c>
      <c r="D27" s="178">
        <v>77</v>
      </c>
      <c r="E27" s="185">
        <v>9799.9999999992724</v>
      </c>
      <c r="F27" s="182">
        <v>10150643.999999246</v>
      </c>
      <c r="G27" s="182">
        <v>1960.0000000000364</v>
      </c>
      <c r="H27" s="182">
        <v>3045193.2000000565</v>
      </c>
      <c r="I27" s="186">
        <f t="shared" si="0"/>
        <v>13855629.059999269</v>
      </c>
      <c r="J27" s="185">
        <v>1320.00000000005</v>
      </c>
      <c r="K27" s="182">
        <v>1367229.6000000518</v>
      </c>
      <c r="L27" s="187">
        <v>340.00000000000341</v>
      </c>
      <c r="M27" s="187">
        <v>528247.80000000529</v>
      </c>
      <c r="N27" s="186">
        <f t="shared" si="1"/>
        <v>1990251.2700000601</v>
      </c>
      <c r="O27" s="183">
        <f t="shared" si="2"/>
        <v>15845880.329999328</v>
      </c>
      <c r="P27" s="184">
        <f t="shared" si="3"/>
        <v>13419.999999999363</v>
      </c>
      <c r="Q27" s="141"/>
      <c r="R27" s="141"/>
      <c r="S27" s="161"/>
      <c r="T27" s="160"/>
      <c r="U27" s="159">
        <v>0</v>
      </c>
      <c r="V27" s="139">
        <f t="shared" si="4"/>
        <v>884.66000000000008</v>
      </c>
      <c r="W27" s="2">
        <v>206.48</v>
      </c>
      <c r="X27" s="182">
        <v>3710548.84</v>
      </c>
      <c r="Y27" s="28">
        <v>678.18000000000006</v>
      </c>
      <c r="Z27" s="181">
        <v>2878996.1724000005</v>
      </c>
      <c r="AA27" s="181">
        <f t="shared" si="5"/>
        <v>6589545.0124000004</v>
      </c>
      <c r="AB27" s="101">
        <f t="shared" si="6"/>
        <v>453.76291229858151</v>
      </c>
      <c r="AC27" s="204">
        <v>0</v>
      </c>
      <c r="AD27" s="2">
        <v>0</v>
      </c>
      <c r="AE27" s="2">
        <v>99.370760000000047</v>
      </c>
      <c r="AF27" s="2">
        <v>12</v>
      </c>
      <c r="AG27" s="2">
        <f t="shared" si="7"/>
        <v>111.37076000000005</v>
      </c>
      <c r="AH27" s="182">
        <v>1770969.9144000008</v>
      </c>
      <c r="AI27" s="37">
        <f t="shared" si="8"/>
        <v>121.9508273240601</v>
      </c>
      <c r="AJ27" s="110">
        <v>246.80000000000291</v>
      </c>
      <c r="AK27" s="182">
        <f t="shared" si="9"/>
        <v>2961600.0000000349</v>
      </c>
      <c r="AL27" s="33">
        <f t="shared" si="10"/>
        <v>203.93885139788148</v>
      </c>
      <c r="AM27" s="6"/>
    </row>
    <row r="28" spans="1:39" ht="15">
      <c r="A28" s="30"/>
      <c r="B28" s="49">
        <v>17</v>
      </c>
      <c r="C28" s="177" t="s">
        <v>53</v>
      </c>
      <c r="D28" s="178">
        <v>31</v>
      </c>
      <c r="E28" s="185">
        <v>9640.0000000003274</v>
      </c>
      <c r="F28" s="182">
        <v>9984919.2000003383</v>
      </c>
      <c r="G28" s="182">
        <v>2039.9999999999636</v>
      </c>
      <c r="H28" s="182">
        <v>3169486.7999999435</v>
      </c>
      <c r="I28" s="186">
        <f t="shared" si="0"/>
        <v>13812126.300000295</v>
      </c>
      <c r="J28" s="185">
        <v>1220.0000000000273</v>
      </c>
      <c r="K28" s="182">
        <v>1263651.6000000283</v>
      </c>
      <c r="L28" s="187">
        <v>360.00000000001364</v>
      </c>
      <c r="M28" s="187">
        <v>559321.20000002126</v>
      </c>
      <c r="N28" s="186">
        <f t="shared" si="1"/>
        <v>1914121.4400000521</v>
      </c>
      <c r="O28" s="183">
        <f t="shared" si="2"/>
        <v>15726247.740000347</v>
      </c>
      <c r="P28" s="184">
        <f t="shared" si="3"/>
        <v>13260.000000000331</v>
      </c>
      <c r="Q28" s="142"/>
      <c r="R28" s="142"/>
      <c r="S28" s="161"/>
      <c r="T28" s="160"/>
      <c r="U28" s="159">
        <v>0</v>
      </c>
      <c r="V28" s="139">
        <f t="shared" si="4"/>
        <v>747.6</v>
      </c>
      <c r="W28" s="2">
        <v>191.35</v>
      </c>
      <c r="X28" s="182">
        <v>3438655.1749999998</v>
      </c>
      <c r="Y28" s="28">
        <v>556.25</v>
      </c>
      <c r="Z28" s="181">
        <v>2361381.375</v>
      </c>
      <c r="AA28" s="181">
        <f t="shared" si="5"/>
        <v>5800036.5499999998</v>
      </c>
      <c r="AB28" s="101">
        <f t="shared" si="6"/>
        <v>399.39653973281918</v>
      </c>
      <c r="AC28" s="204">
        <v>0</v>
      </c>
      <c r="AD28" s="2">
        <v>0</v>
      </c>
      <c r="AE28" s="2">
        <v>81.446159999999878</v>
      </c>
      <c r="AF28" s="2">
        <v>12</v>
      </c>
      <c r="AG28" s="2">
        <f t="shared" si="7"/>
        <v>93.446159999999878</v>
      </c>
      <c r="AH28" s="182">
        <v>1485251.790399998</v>
      </c>
      <c r="AI28" s="37">
        <f t="shared" si="8"/>
        <v>102.27598060873144</v>
      </c>
      <c r="AJ28" s="110">
        <v>268.19999999999709</v>
      </c>
      <c r="AK28" s="182">
        <f t="shared" si="9"/>
        <v>3218399.9999999651</v>
      </c>
      <c r="AL28" s="33">
        <f t="shared" si="10"/>
        <v>221.62236606527787</v>
      </c>
      <c r="AM28" s="6"/>
    </row>
    <row r="29" spans="1:39" ht="15">
      <c r="A29" s="30"/>
      <c r="B29" s="49">
        <v>18</v>
      </c>
      <c r="C29" s="177" t="s">
        <v>53</v>
      </c>
      <c r="D29" s="178">
        <v>32</v>
      </c>
      <c r="E29" s="185">
        <v>9239.9999999997817</v>
      </c>
      <c r="F29" s="182">
        <v>9570607.1999997739</v>
      </c>
      <c r="G29" s="182">
        <v>1800.0000000000682</v>
      </c>
      <c r="H29" s="182">
        <v>2796606.0000001062</v>
      </c>
      <c r="I29" s="186">
        <f t="shared" si="0"/>
        <v>12985573.859999875</v>
      </c>
      <c r="J29" s="185">
        <v>1159.9999999999682</v>
      </c>
      <c r="K29" s="182">
        <v>1201504.799999967</v>
      </c>
      <c r="L29" s="187">
        <v>299.99999999998295</v>
      </c>
      <c r="M29" s="187">
        <v>466100.99999997352</v>
      </c>
      <c r="N29" s="186">
        <f t="shared" si="1"/>
        <v>1750986.0899999375</v>
      </c>
      <c r="O29" s="183">
        <f t="shared" si="2"/>
        <v>14736559.949999813</v>
      </c>
      <c r="P29" s="184">
        <f t="shared" si="3"/>
        <v>12499.999999999802</v>
      </c>
      <c r="Q29" s="142"/>
      <c r="R29" s="142"/>
      <c r="S29" s="161"/>
      <c r="T29" s="160"/>
      <c r="U29" s="159">
        <v>0</v>
      </c>
      <c r="V29" s="139">
        <f t="shared" si="4"/>
        <v>866.86000000000013</v>
      </c>
      <c r="W29" s="2">
        <v>188.68</v>
      </c>
      <c r="X29" s="182">
        <v>3390673.94</v>
      </c>
      <c r="Y29" s="28">
        <v>678.18000000000006</v>
      </c>
      <c r="Z29" s="181">
        <v>2878996.1724000005</v>
      </c>
      <c r="AA29" s="181">
        <f t="shared" si="5"/>
        <v>6269670.1124000009</v>
      </c>
      <c r="AB29" s="101">
        <f t="shared" si="6"/>
        <v>431.73599451866141</v>
      </c>
      <c r="AC29" s="204">
        <v>0</v>
      </c>
      <c r="AD29" s="2">
        <v>0</v>
      </c>
      <c r="AE29" s="2">
        <v>96.373927999999935</v>
      </c>
      <c r="AF29" s="2">
        <v>12</v>
      </c>
      <c r="AG29" s="2">
        <f t="shared" si="7"/>
        <v>108.37392799999994</v>
      </c>
      <c r="AH29" s="182">
        <v>1723200.412319999</v>
      </c>
      <c r="AI29" s="37">
        <f t="shared" si="8"/>
        <v>118.6613698058118</v>
      </c>
      <c r="AJ29" s="110">
        <v>235.9600000000064</v>
      </c>
      <c r="AK29" s="182">
        <f t="shared" si="9"/>
        <v>2831520.0000000768</v>
      </c>
      <c r="AL29" s="33">
        <f t="shared" si="10"/>
        <v>194.98140751963069</v>
      </c>
      <c r="AM29" s="6"/>
    </row>
    <row r="30" spans="1:39" ht="15">
      <c r="A30" s="30"/>
      <c r="B30" s="49">
        <v>19</v>
      </c>
      <c r="C30" s="177">
        <v>3</v>
      </c>
      <c r="D30" s="178">
        <v>44</v>
      </c>
      <c r="E30" s="185">
        <v>9880.0000000001091</v>
      </c>
      <c r="F30" s="182">
        <v>10233506.400000112</v>
      </c>
      <c r="G30" s="182">
        <v>2000</v>
      </c>
      <c r="H30" s="182">
        <v>3107340</v>
      </c>
      <c r="I30" s="186">
        <f t="shared" si="0"/>
        <v>14007888.720000118</v>
      </c>
      <c r="J30" s="185">
        <v>1139.9999999999864</v>
      </c>
      <c r="K30" s="182">
        <v>1180789.1999999858</v>
      </c>
      <c r="L30" s="187">
        <v>360.00000000001364</v>
      </c>
      <c r="M30" s="187">
        <v>559321.20000002126</v>
      </c>
      <c r="N30" s="186">
        <f t="shared" si="1"/>
        <v>1827115.9200000074</v>
      </c>
      <c r="O30" s="183">
        <f t="shared" si="2"/>
        <v>15835004.640000125</v>
      </c>
      <c r="P30" s="184">
        <f t="shared" si="3"/>
        <v>13380.000000000109</v>
      </c>
      <c r="Q30" s="141"/>
      <c r="R30" s="141"/>
      <c r="S30" s="161"/>
      <c r="T30" s="160"/>
      <c r="U30" s="159">
        <v>0</v>
      </c>
      <c r="V30" s="139">
        <f t="shared" si="4"/>
        <v>892.67</v>
      </c>
      <c r="W30" s="2">
        <v>259.88</v>
      </c>
      <c r="X30" s="182">
        <v>4670173.54</v>
      </c>
      <c r="Y30" s="28">
        <v>632.79</v>
      </c>
      <c r="Z30" s="181">
        <v>2686307.4522000002</v>
      </c>
      <c r="AA30" s="181">
        <f t="shared" si="5"/>
        <v>7356480.9922000002</v>
      </c>
      <c r="AB30" s="101">
        <f t="shared" si="6"/>
        <v>506.57492027268972</v>
      </c>
      <c r="AC30" s="204">
        <v>0</v>
      </c>
      <c r="AD30" s="2">
        <v>0</v>
      </c>
      <c r="AE30" s="2">
        <v>92.458712000000247</v>
      </c>
      <c r="AF30" s="2">
        <v>12</v>
      </c>
      <c r="AG30" s="2">
        <f t="shared" si="7"/>
        <v>104.45871200000025</v>
      </c>
      <c r="AH30" s="182">
        <v>1660791.8692800039</v>
      </c>
      <c r="AI30" s="37">
        <f t="shared" si="8"/>
        <v>114.36385272552018</v>
      </c>
      <c r="AJ30" s="110">
        <v>212.88999999999942</v>
      </c>
      <c r="AK30" s="182">
        <f t="shared" si="9"/>
        <v>2554679.999999993</v>
      </c>
      <c r="AL30" s="33">
        <f t="shared" si="10"/>
        <v>175.91791764219755</v>
      </c>
      <c r="AM30" s="6"/>
    </row>
    <row r="31" spans="1:39" ht="15">
      <c r="A31" s="30"/>
      <c r="B31" s="49">
        <v>20</v>
      </c>
      <c r="C31" s="177">
        <v>3</v>
      </c>
      <c r="D31" s="178">
        <v>56</v>
      </c>
      <c r="E31" s="185">
        <v>9520.0000000004366</v>
      </c>
      <c r="F31" s="182">
        <v>9860625.6000004523</v>
      </c>
      <c r="G31" s="182">
        <v>1879.9999999999955</v>
      </c>
      <c r="H31" s="182">
        <v>2920899.5999999931</v>
      </c>
      <c r="I31" s="186">
        <f t="shared" si="0"/>
        <v>13420601.460000468</v>
      </c>
      <c r="J31" s="185">
        <v>1600.0000000000227</v>
      </c>
      <c r="K31" s="182">
        <v>1657248.0000000235</v>
      </c>
      <c r="L31" s="187">
        <v>340.00000000000341</v>
      </c>
      <c r="M31" s="187">
        <v>528247.80000000529</v>
      </c>
      <c r="N31" s="186">
        <f t="shared" si="1"/>
        <v>2294770.5900000301</v>
      </c>
      <c r="O31" s="183">
        <f t="shared" si="2"/>
        <v>15715372.050000498</v>
      </c>
      <c r="P31" s="184">
        <f t="shared" si="3"/>
        <v>13340.000000000458</v>
      </c>
      <c r="Q31" s="142"/>
      <c r="R31" s="142"/>
      <c r="S31" s="161"/>
      <c r="T31" s="160"/>
      <c r="U31" s="159">
        <v>0</v>
      </c>
      <c r="V31" s="139">
        <f t="shared" si="4"/>
        <v>868.6400000000001</v>
      </c>
      <c r="W31" s="2">
        <v>195.8</v>
      </c>
      <c r="X31" s="182">
        <v>3518623.9000000004</v>
      </c>
      <c r="Y31" s="28">
        <v>672.84</v>
      </c>
      <c r="Z31" s="181">
        <v>2856326.9112000004</v>
      </c>
      <c r="AA31" s="181">
        <f t="shared" si="5"/>
        <v>6374950.8112000003</v>
      </c>
      <c r="AB31" s="101">
        <f t="shared" si="6"/>
        <v>438.98573276408212</v>
      </c>
      <c r="AC31" s="204">
        <v>0</v>
      </c>
      <c r="AD31" s="2">
        <v>0</v>
      </c>
      <c r="AE31" s="2">
        <v>93.610720000000029</v>
      </c>
      <c r="AF31" s="2">
        <v>24</v>
      </c>
      <c r="AG31" s="2">
        <f t="shared" si="7"/>
        <v>117.61072000000003</v>
      </c>
      <c r="AH31" s="182">
        <v>1866154.8768000004</v>
      </c>
      <c r="AI31" s="37">
        <f t="shared" si="8"/>
        <v>128.50536267731721</v>
      </c>
      <c r="AJ31" s="110">
        <v>100.43000000000757</v>
      </c>
      <c r="AK31" s="182">
        <f t="shared" si="9"/>
        <v>1205160.0000000908</v>
      </c>
      <c r="AL31" s="33">
        <f t="shared" si="10"/>
        <v>82.988569067627793</v>
      </c>
      <c r="AM31" s="6"/>
    </row>
    <row r="32" spans="1:39" ht="15">
      <c r="A32" s="30"/>
      <c r="B32" s="49">
        <v>21</v>
      </c>
      <c r="C32" s="177">
        <v>3</v>
      </c>
      <c r="D32" s="178">
        <v>100</v>
      </c>
      <c r="E32" s="185">
        <v>9399.9999999996362</v>
      </c>
      <c r="F32" s="182">
        <v>9736331.9999996237</v>
      </c>
      <c r="G32" s="182">
        <v>1879.9999999999955</v>
      </c>
      <c r="H32" s="182">
        <v>2920899.5999999931</v>
      </c>
      <c r="I32" s="186">
        <f t="shared" si="0"/>
        <v>13290093.179999599</v>
      </c>
      <c r="J32" s="185">
        <v>1539.9999999999636</v>
      </c>
      <c r="K32" s="182">
        <v>1595101.1999999622</v>
      </c>
      <c r="L32" s="187">
        <v>479.99999999998977</v>
      </c>
      <c r="M32" s="187">
        <v>745761.59999998414</v>
      </c>
      <c r="N32" s="186">
        <f t="shared" si="1"/>
        <v>2457905.9399999436</v>
      </c>
      <c r="O32" s="183">
        <f t="shared" si="2"/>
        <v>15747999.119999543</v>
      </c>
      <c r="P32" s="184">
        <f t="shared" si="3"/>
        <v>13299.999999999585</v>
      </c>
      <c r="Q32" s="141"/>
      <c r="R32" s="153"/>
      <c r="S32" s="161"/>
      <c r="T32" s="160"/>
      <c r="U32" s="159">
        <v>0</v>
      </c>
      <c r="V32" s="139">
        <f t="shared" si="4"/>
        <v>870.42</v>
      </c>
      <c r="W32" s="2">
        <v>194.91</v>
      </c>
      <c r="X32" s="182">
        <v>3502630.1549999998</v>
      </c>
      <c r="Y32" s="28">
        <v>675.51</v>
      </c>
      <c r="Z32" s="181">
        <v>2867661.5418000002</v>
      </c>
      <c r="AA32" s="181">
        <f t="shared" si="5"/>
        <v>6370291.6968</v>
      </c>
      <c r="AB32" s="101">
        <f t="shared" si="6"/>
        <v>438.66490130835973</v>
      </c>
      <c r="AC32" s="204">
        <v>0</v>
      </c>
      <c r="AD32" s="2">
        <v>0</v>
      </c>
      <c r="AE32" s="2">
        <v>90.227199999999897</v>
      </c>
      <c r="AF32" s="2">
        <v>0</v>
      </c>
      <c r="AG32" s="2">
        <f t="shared" si="7"/>
        <v>90.227199999999897</v>
      </c>
      <c r="AH32" s="182">
        <v>1438221.5679999983</v>
      </c>
      <c r="AI32" s="37">
        <f t="shared" si="8"/>
        <v>99.037430656934191</v>
      </c>
      <c r="AJ32" s="110">
        <v>332.66000000000349</v>
      </c>
      <c r="AK32" s="182">
        <f t="shared" si="9"/>
        <v>3991920.0000000419</v>
      </c>
      <c r="AL32" s="33">
        <f t="shared" si="10"/>
        <v>274.88775650737102</v>
      </c>
      <c r="AM32" s="6"/>
    </row>
    <row r="33" spans="1:39" ht="15">
      <c r="A33" s="30"/>
      <c r="B33" s="49">
        <v>22</v>
      </c>
      <c r="C33" s="177">
        <v>6</v>
      </c>
      <c r="D33" s="178">
        <v>111</v>
      </c>
      <c r="E33" s="185">
        <v>10079.999999999927</v>
      </c>
      <c r="F33" s="182">
        <v>10440662.399999924</v>
      </c>
      <c r="G33" s="182">
        <v>1839.9999999999181</v>
      </c>
      <c r="H33" s="182">
        <v>2858752.7999998732</v>
      </c>
      <c r="I33" s="186">
        <f t="shared" si="0"/>
        <v>13964385.959999789</v>
      </c>
      <c r="J33" s="185">
        <v>1500</v>
      </c>
      <c r="K33" s="182">
        <v>1553670</v>
      </c>
      <c r="L33" s="187">
        <v>479.99999999998977</v>
      </c>
      <c r="M33" s="187">
        <v>745761.59999998414</v>
      </c>
      <c r="N33" s="186">
        <f t="shared" si="1"/>
        <v>2414403.1799999834</v>
      </c>
      <c r="O33" s="183">
        <f t="shared" si="2"/>
        <v>16378789.139999771</v>
      </c>
      <c r="P33" s="184">
        <f t="shared" si="3"/>
        <v>13899.999999999834</v>
      </c>
      <c r="Q33" s="141"/>
      <c r="R33" s="154"/>
      <c r="S33" s="161"/>
      <c r="T33" s="160"/>
      <c r="U33" s="159">
        <v>0</v>
      </c>
      <c r="V33" s="139">
        <f t="shared" si="4"/>
        <v>818.80000000000007</v>
      </c>
      <c r="W33" s="2">
        <v>221.61</v>
      </c>
      <c r="X33" s="182">
        <v>3982442.5050000004</v>
      </c>
      <c r="Y33" s="28">
        <v>597.19000000000005</v>
      </c>
      <c r="Z33" s="181">
        <v>2535179.0442000004</v>
      </c>
      <c r="AA33" s="181">
        <f t="shared" si="5"/>
        <v>6517621.5492000002</v>
      </c>
      <c r="AB33" s="101">
        <f t="shared" si="6"/>
        <v>448.81018793554608</v>
      </c>
      <c r="AC33" s="204">
        <v>0</v>
      </c>
      <c r="AD33" s="2">
        <v>0</v>
      </c>
      <c r="AE33" s="2">
        <v>75.726399999999813</v>
      </c>
      <c r="AF33" s="2">
        <v>12</v>
      </c>
      <c r="AG33" s="2">
        <f t="shared" si="7"/>
        <v>87.726399999999813</v>
      </c>
      <c r="AH33" s="182">
        <v>1394078.8159999971</v>
      </c>
      <c r="AI33" s="37">
        <f t="shared" si="8"/>
        <v>95.997714915300719</v>
      </c>
      <c r="AJ33" s="110">
        <v>135.92999999999302</v>
      </c>
      <c r="AK33" s="182">
        <f t="shared" si="9"/>
        <v>1631159.9999999162</v>
      </c>
      <c r="AL33" s="33">
        <f t="shared" si="10"/>
        <v>112.32337143643549</v>
      </c>
      <c r="AM33" s="6"/>
    </row>
    <row r="34" spans="1:39" ht="15">
      <c r="A34" s="30"/>
      <c r="B34" s="49">
        <v>23</v>
      </c>
      <c r="C34" s="177">
        <v>5</v>
      </c>
      <c r="D34" s="178">
        <v>86</v>
      </c>
      <c r="E34" s="185">
        <v>10000</v>
      </c>
      <c r="F34" s="182">
        <v>10357800</v>
      </c>
      <c r="G34" s="182">
        <v>2160.0000000000819</v>
      </c>
      <c r="H34" s="182">
        <v>3355927.2000001273</v>
      </c>
      <c r="I34" s="186">
        <f t="shared" si="0"/>
        <v>14399413.560000135</v>
      </c>
      <c r="J34" s="185">
        <v>1399.9999999999773</v>
      </c>
      <c r="K34" s="182">
        <v>1450091.9999999765</v>
      </c>
      <c r="L34" s="187">
        <v>320.0000000000216</v>
      </c>
      <c r="M34" s="187">
        <v>497174.40000003361</v>
      </c>
      <c r="N34" s="186">
        <f t="shared" si="1"/>
        <v>2044629.7200000107</v>
      </c>
      <c r="O34" s="183">
        <f t="shared" si="2"/>
        <v>16444043.280000145</v>
      </c>
      <c r="P34" s="184">
        <f t="shared" si="3"/>
        <v>13880.00000000008</v>
      </c>
      <c r="Q34" s="142"/>
      <c r="R34" s="155"/>
      <c r="S34" s="161"/>
      <c r="T34" s="160"/>
      <c r="U34" s="159">
        <v>0</v>
      </c>
      <c r="V34" s="139">
        <f t="shared" si="4"/>
        <v>835.71</v>
      </c>
      <c r="W34" s="2">
        <v>170.88</v>
      </c>
      <c r="X34" s="182">
        <v>3070799.04</v>
      </c>
      <c r="Y34" s="28">
        <v>664.83</v>
      </c>
      <c r="Z34" s="181">
        <v>2822323.0194000006</v>
      </c>
      <c r="AA34" s="181">
        <f t="shared" si="5"/>
        <v>5893122.0594000006</v>
      </c>
      <c r="AB34" s="101">
        <f t="shared" si="6"/>
        <v>405.806504572373</v>
      </c>
      <c r="AC34" s="204">
        <v>0</v>
      </c>
      <c r="AD34" s="2">
        <v>0</v>
      </c>
      <c r="AE34" s="2">
        <v>93.892680000000226</v>
      </c>
      <c r="AF34" s="2">
        <v>12</v>
      </c>
      <c r="AG34" s="2">
        <f t="shared" si="7"/>
        <v>105.89268000000023</v>
      </c>
      <c r="AH34" s="182">
        <v>1683649.3192000035</v>
      </c>
      <c r="AI34" s="37">
        <f t="shared" si="8"/>
        <v>115.93784046274642</v>
      </c>
      <c r="AJ34" s="110">
        <v>73.910000000003492</v>
      </c>
      <c r="AK34" s="182">
        <f t="shared" si="9"/>
        <v>886920.00000004191</v>
      </c>
      <c r="AL34" s="33">
        <f t="shared" si="10"/>
        <v>61.074232199424451</v>
      </c>
      <c r="AM34" s="6"/>
    </row>
    <row r="35" spans="1:39" ht="15">
      <c r="A35" s="30"/>
      <c r="B35" s="49">
        <v>24</v>
      </c>
      <c r="C35" s="177">
        <v>2</v>
      </c>
      <c r="D35" s="178">
        <v>43</v>
      </c>
      <c r="E35" s="185">
        <v>10079.999999999927</v>
      </c>
      <c r="F35" s="182">
        <v>10440662.399999924</v>
      </c>
      <c r="G35" s="182">
        <v>2079.9999999999272</v>
      </c>
      <c r="H35" s="182">
        <v>3231633.5999998869</v>
      </c>
      <c r="I35" s="186">
        <f t="shared" si="0"/>
        <v>14355910.799999801</v>
      </c>
      <c r="J35" s="185">
        <v>1180.0000000000637</v>
      </c>
      <c r="K35" s="182">
        <v>1222220.4000000658</v>
      </c>
      <c r="L35" s="187">
        <v>299.99999999998295</v>
      </c>
      <c r="M35" s="187">
        <v>466100.99999997352</v>
      </c>
      <c r="N35" s="186">
        <f t="shared" si="1"/>
        <v>1772737.4700000412</v>
      </c>
      <c r="O35" s="183">
        <f t="shared" si="2"/>
        <v>16128648.269999843</v>
      </c>
      <c r="P35" s="184">
        <f t="shared" si="3"/>
        <v>13639.999999999902</v>
      </c>
      <c r="Q35" s="141"/>
      <c r="R35" s="153"/>
      <c r="S35" s="161"/>
      <c r="T35" s="160"/>
      <c r="U35" s="159">
        <v>0</v>
      </c>
      <c r="V35" s="139">
        <f t="shared" si="4"/>
        <v>869.53</v>
      </c>
      <c r="W35" s="2">
        <v>195.8</v>
      </c>
      <c r="X35" s="182">
        <v>3518623.9000000004</v>
      </c>
      <c r="Y35" s="28">
        <v>673.73</v>
      </c>
      <c r="Z35" s="181">
        <v>2860105.1214000001</v>
      </c>
      <c r="AA35" s="181">
        <f t="shared" si="5"/>
        <v>6378729.0214000009</v>
      </c>
      <c r="AB35" s="101">
        <f t="shared" si="6"/>
        <v>439.24590424184004</v>
      </c>
      <c r="AC35" s="204">
        <v>0</v>
      </c>
      <c r="AD35" s="2">
        <v>0</v>
      </c>
      <c r="AE35" s="2">
        <v>100.37775999999982</v>
      </c>
      <c r="AF35" s="2">
        <v>0</v>
      </c>
      <c r="AG35" s="2">
        <f t="shared" si="7"/>
        <v>100.37775999999982</v>
      </c>
      <c r="AH35" s="182">
        <v>1600021.4943999972</v>
      </c>
      <c r="AI35" s="37">
        <f t="shared" si="8"/>
        <v>110.17914160583922</v>
      </c>
      <c r="AJ35" s="110">
        <v>159.69999999999709</v>
      </c>
      <c r="AK35" s="182">
        <f t="shared" si="9"/>
        <v>1916399.9999999651</v>
      </c>
      <c r="AL35" s="33">
        <f t="shared" si="10"/>
        <v>131.96529403663166</v>
      </c>
      <c r="AM35" s="6"/>
    </row>
    <row r="36" spans="1:39" ht="15">
      <c r="A36" s="30"/>
      <c r="B36" s="49">
        <v>25</v>
      </c>
      <c r="C36" s="177">
        <v>3</v>
      </c>
      <c r="D36" s="178">
        <v>31</v>
      </c>
      <c r="E36" s="185">
        <v>10480.000000000473</v>
      </c>
      <c r="F36" s="182">
        <v>10854974.40000049</v>
      </c>
      <c r="G36" s="182">
        <v>2160.0000000000819</v>
      </c>
      <c r="H36" s="182">
        <v>3355927.2000001273</v>
      </c>
      <c r="I36" s="186">
        <f t="shared" si="0"/>
        <v>14921446.68000065</v>
      </c>
      <c r="J36" s="185">
        <v>1319.9999999999363</v>
      </c>
      <c r="K36" s="182">
        <v>1367229.599999934</v>
      </c>
      <c r="L36" s="187">
        <v>379.99999999999545</v>
      </c>
      <c r="M36" s="187">
        <v>590394.59999999299</v>
      </c>
      <c r="N36" s="186">
        <f t="shared" si="1"/>
        <v>2055505.4099999235</v>
      </c>
      <c r="O36" s="183">
        <f t="shared" si="2"/>
        <v>16976952.090000574</v>
      </c>
      <c r="P36" s="184">
        <f t="shared" si="3"/>
        <v>14340.000000000487</v>
      </c>
      <c r="Q36" s="141"/>
      <c r="R36" s="153"/>
      <c r="S36" s="161"/>
      <c r="T36" s="160"/>
      <c r="U36" s="159">
        <v>0</v>
      </c>
      <c r="V36" s="139">
        <f t="shared" si="4"/>
        <v>687.08</v>
      </c>
      <c r="W36" s="2">
        <v>188.68</v>
      </c>
      <c r="X36" s="182">
        <v>3390673.94</v>
      </c>
      <c r="Y36" s="28">
        <v>498.40000000000003</v>
      </c>
      <c r="Z36" s="181">
        <v>2115797.7120000003</v>
      </c>
      <c r="AA36" s="181">
        <f t="shared" si="5"/>
        <v>5506471.6520000007</v>
      </c>
      <c r="AB36" s="101">
        <f t="shared" si="6"/>
        <v>379.18135601156871</v>
      </c>
      <c r="AC36" s="204">
        <v>0</v>
      </c>
      <c r="AD36" s="2">
        <v>0</v>
      </c>
      <c r="AE36" s="2">
        <v>82.614279999999951</v>
      </c>
      <c r="AF36" s="2">
        <v>12</v>
      </c>
      <c r="AG36" s="2">
        <f t="shared" si="7"/>
        <v>94.614279999999951</v>
      </c>
      <c r="AH36" s="182">
        <v>1503871.6231999993</v>
      </c>
      <c r="AI36" s="37">
        <f t="shared" si="8"/>
        <v>103.55816163062934</v>
      </c>
      <c r="AJ36" s="110">
        <v>97.570000000006985</v>
      </c>
      <c r="AK36" s="182">
        <f t="shared" si="9"/>
        <v>1170840.0000000838</v>
      </c>
      <c r="AL36" s="33">
        <f t="shared" si="10"/>
        <v>80.625258228899867</v>
      </c>
      <c r="AM36" s="6"/>
    </row>
    <row r="37" spans="1:39" ht="15">
      <c r="A37" s="30"/>
      <c r="B37" s="49">
        <v>26</v>
      </c>
      <c r="C37" s="177">
        <v>4</v>
      </c>
      <c r="D37" s="178">
        <v>32</v>
      </c>
      <c r="E37" s="185">
        <v>10960.000000000036</v>
      </c>
      <c r="F37" s="182">
        <v>11352148.800000038</v>
      </c>
      <c r="G37" s="182">
        <v>2199.9999999999318</v>
      </c>
      <c r="H37" s="182">
        <v>3418073.9999998943</v>
      </c>
      <c r="I37" s="186">
        <f t="shared" si="0"/>
        <v>15508733.939999929</v>
      </c>
      <c r="J37" s="185">
        <v>1139.9999999999864</v>
      </c>
      <c r="K37" s="182">
        <v>1180789.1999999858</v>
      </c>
      <c r="L37" s="187">
        <v>320.0000000000216</v>
      </c>
      <c r="M37" s="187">
        <v>497174.40000003361</v>
      </c>
      <c r="N37" s="186">
        <f t="shared" si="1"/>
        <v>1761861.7800000205</v>
      </c>
      <c r="O37" s="183">
        <f t="shared" si="2"/>
        <v>17270595.71999995</v>
      </c>
      <c r="P37" s="184">
        <f t="shared" si="3"/>
        <v>14619.999999999975</v>
      </c>
      <c r="Q37" s="141"/>
      <c r="R37" s="153"/>
      <c r="S37" s="161"/>
      <c r="T37" s="160"/>
      <c r="U37" s="159">
        <v>0</v>
      </c>
      <c r="V37" s="139">
        <f t="shared" si="4"/>
        <v>655.04000000000008</v>
      </c>
      <c r="W37" s="2">
        <v>124.60000000000001</v>
      </c>
      <c r="X37" s="182">
        <v>2239124.3000000003</v>
      </c>
      <c r="Y37" s="28">
        <v>530.44000000000005</v>
      </c>
      <c r="Z37" s="181">
        <v>2251813.2792000002</v>
      </c>
      <c r="AA37" s="181">
        <f t="shared" si="5"/>
        <v>4490937.5792000005</v>
      </c>
      <c r="AB37" s="101">
        <f t="shared" si="6"/>
        <v>309.25062520314009</v>
      </c>
      <c r="AC37" s="204">
        <v>0</v>
      </c>
      <c r="AD37" s="2">
        <v>0</v>
      </c>
      <c r="AE37" s="2">
        <v>68.475999999999999</v>
      </c>
      <c r="AF37" s="2">
        <v>24</v>
      </c>
      <c r="AG37" s="2">
        <f t="shared" si="7"/>
        <v>92.475999999999999</v>
      </c>
      <c r="AH37" s="182">
        <v>1465507.44</v>
      </c>
      <c r="AI37" s="37">
        <f t="shared" si="8"/>
        <v>100.91636413717119</v>
      </c>
      <c r="AJ37" s="110">
        <v>489.38000000000466</v>
      </c>
      <c r="AK37" s="182">
        <f t="shared" si="9"/>
        <v>5872560.0000000559</v>
      </c>
      <c r="AL37" s="33">
        <f t="shared" si="10"/>
        <v>404.39057980994738</v>
      </c>
      <c r="AM37" s="6"/>
    </row>
    <row r="38" spans="1:39" ht="15">
      <c r="A38" s="30"/>
      <c r="B38" s="49">
        <v>27</v>
      </c>
      <c r="C38" s="177">
        <v>7</v>
      </c>
      <c r="D38" s="178">
        <v>40</v>
      </c>
      <c r="E38" s="185">
        <v>10039.999999999964</v>
      </c>
      <c r="F38" s="182">
        <v>10399231.199999962</v>
      </c>
      <c r="G38" s="182">
        <v>2080.0000000000409</v>
      </c>
      <c r="H38" s="182">
        <v>3231633.6000000639</v>
      </c>
      <c r="I38" s="186">
        <f t="shared" si="0"/>
        <v>14312408.040000029</v>
      </c>
      <c r="J38" s="185">
        <v>1280.0000000000864</v>
      </c>
      <c r="K38" s="182">
        <v>1325798.4000000895</v>
      </c>
      <c r="L38" s="187">
        <v>340.00000000000341</v>
      </c>
      <c r="M38" s="187">
        <v>528247.80000000529</v>
      </c>
      <c r="N38" s="186">
        <f t="shared" si="1"/>
        <v>1946748.5100000994</v>
      </c>
      <c r="O38" s="183">
        <f t="shared" si="2"/>
        <v>16259156.550000127</v>
      </c>
      <c r="P38" s="184">
        <f t="shared" si="3"/>
        <v>13740.000000000095</v>
      </c>
      <c r="Q38" s="141"/>
      <c r="R38" s="153"/>
      <c r="S38" s="161"/>
      <c r="T38" s="160"/>
      <c r="U38" s="159">
        <v>0</v>
      </c>
      <c r="V38" s="139">
        <f t="shared" si="4"/>
        <v>861.52</v>
      </c>
      <c r="W38" s="2">
        <v>194.02</v>
      </c>
      <c r="X38" s="182">
        <v>3486636.41</v>
      </c>
      <c r="Y38" s="28">
        <v>667.5</v>
      </c>
      <c r="Z38" s="181">
        <v>2833657.6500000004</v>
      </c>
      <c r="AA38" s="181">
        <f t="shared" si="5"/>
        <v>6320294.0600000005</v>
      </c>
      <c r="AB38" s="101">
        <f t="shared" si="6"/>
        <v>435.2220121195428</v>
      </c>
      <c r="AC38" s="204">
        <v>0</v>
      </c>
      <c r="AD38" s="2">
        <v>0</v>
      </c>
      <c r="AE38" s="2">
        <v>75.565279999999959</v>
      </c>
      <c r="AF38" s="2">
        <v>0</v>
      </c>
      <c r="AG38" s="2">
        <f t="shared" si="7"/>
        <v>75.565279999999959</v>
      </c>
      <c r="AH38" s="182">
        <v>1204510.5631999993</v>
      </c>
      <c r="AI38" s="37">
        <f t="shared" si="8"/>
        <v>82.943848175182438</v>
      </c>
      <c r="AJ38" s="110">
        <v>98.25</v>
      </c>
      <c r="AK38" s="182">
        <f t="shared" si="9"/>
        <v>1179000</v>
      </c>
      <c r="AL38" s="33">
        <f t="shared" si="10"/>
        <v>81.187164302437679</v>
      </c>
      <c r="AM38" s="6"/>
    </row>
    <row r="39" spans="1:39" ht="15">
      <c r="A39" s="30"/>
      <c r="B39" s="49">
        <v>28</v>
      </c>
      <c r="C39" s="177">
        <v>5</v>
      </c>
      <c r="D39" s="178">
        <v>107</v>
      </c>
      <c r="E39" s="185">
        <v>9960.0000000000364</v>
      </c>
      <c r="F39" s="182">
        <v>10316368.800000038</v>
      </c>
      <c r="G39" s="182">
        <v>1960.0000000000364</v>
      </c>
      <c r="H39" s="182">
        <v>3045193.2000000565</v>
      </c>
      <c r="I39" s="186">
        <f t="shared" si="0"/>
        <v>14029640.1000001</v>
      </c>
      <c r="J39" s="185">
        <v>1379.9999999999955</v>
      </c>
      <c r="K39" s="182">
        <v>1429376.3999999953</v>
      </c>
      <c r="L39" s="187">
        <v>479.99999999998977</v>
      </c>
      <c r="M39" s="187">
        <v>745761.59999998414</v>
      </c>
      <c r="N39" s="186">
        <f t="shared" si="1"/>
        <v>2283894.8999999785</v>
      </c>
      <c r="O39" s="183">
        <f t="shared" si="2"/>
        <v>16313535.000000078</v>
      </c>
      <c r="P39" s="184">
        <f t="shared" si="3"/>
        <v>13780.000000000058</v>
      </c>
      <c r="Q39" s="141"/>
      <c r="R39" s="156"/>
      <c r="S39" s="161"/>
      <c r="T39" s="160"/>
      <c r="U39" s="159">
        <v>0</v>
      </c>
      <c r="V39" s="139">
        <f t="shared" si="4"/>
        <v>893.56</v>
      </c>
      <c r="W39" s="2">
        <v>195.8</v>
      </c>
      <c r="X39" s="182">
        <v>3518623.9000000004</v>
      </c>
      <c r="Y39" s="28">
        <v>697.76</v>
      </c>
      <c r="Z39" s="181">
        <v>2962116.7968000001</v>
      </c>
      <c r="AA39" s="181">
        <f t="shared" si="5"/>
        <v>6480740.696800001</v>
      </c>
      <c r="AB39" s="101">
        <f t="shared" si="6"/>
        <v>446.2705341413029</v>
      </c>
      <c r="AC39" s="204">
        <v>0</v>
      </c>
      <c r="AD39" s="2">
        <v>0</v>
      </c>
      <c r="AE39" s="2">
        <v>78.868240000000156</v>
      </c>
      <c r="AF39" s="2">
        <v>12</v>
      </c>
      <c r="AG39" s="2">
        <f t="shared" si="7"/>
        <v>90.868240000000156</v>
      </c>
      <c r="AH39" s="182">
        <v>1444159.7456000026</v>
      </c>
      <c r="AI39" s="37">
        <f t="shared" si="8"/>
        <v>99.446339732819354</v>
      </c>
      <c r="AJ39" s="110">
        <v>259.09999999999127</v>
      </c>
      <c r="AK39" s="182">
        <f t="shared" si="9"/>
        <v>3109199.9999998952</v>
      </c>
      <c r="AL39" s="33">
        <f t="shared" si="10"/>
        <v>214.10274066932209</v>
      </c>
      <c r="AM39" s="6"/>
    </row>
    <row r="40" spans="1:39" ht="15">
      <c r="A40" s="30"/>
      <c r="B40" s="49">
        <v>29</v>
      </c>
      <c r="C40" s="177">
        <v>3</v>
      </c>
      <c r="D40" s="178">
        <v>66</v>
      </c>
      <c r="E40" s="185">
        <v>10599.999999999454</v>
      </c>
      <c r="F40" s="182">
        <v>10979267.999999434</v>
      </c>
      <c r="G40" s="182">
        <v>2159.9999999999682</v>
      </c>
      <c r="H40" s="182">
        <v>3355927.1999999508</v>
      </c>
      <c r="I40" s="186">
        <f t="shared" si="0"/>
        <v>15051954.959999355</v>
      </c>
      <c r="J40" s="185">
        <v>1039.9999999999636</v>
      </c>
      <c r="K40" s="182">
        <v>1077211.1999999622</v>
      </c>
      <c r="L40" s="187">
        <v>319.99999999999318</v>
      </c>
      <c r="M40" s="187">
        <v>497174.39999998943</v>
      </c>
      <c r="N40" s="186">
        <f t="shared" si="1"/>
        <v>1653104.8799999494</v>
      </c>
      <c r="O40" s="183">
        <f t="shared" si="2"/>
        <v>16705059.839999303</v>
      </c>
      <c r="P40" s="184">
        <f t="shared" si="3"/>
        <v>14119.999999999378</v>
      </c>
      <c r="Q40" s="142"/>
      <c r="R40" s="157"/>
      <c r="S40" s="161"/>
      <c r="T40" s="160"/>
      <c r="U40" s="159">
        <v>0</v>
      </c>
      <c r="V40" s="139">
        <f t="shared" si="4"/>
        <v>881.09999999999991</v>
      </c>
      <c r="W40" s="2">
        <v>195.8</v>
      </c>
      <c r="X40" s="182">
        <v>3518623.9000000004</v>
      </c>
      <c r="Y40" s="28">
        <v>685.3</v>
      </c>
      <c r="Z40" s="181">
        <v>2909221.8539999998</v>
      </c>
      <c r="AA40" s="181">
        <f t="shared" si="5"/>
        <v>6427845.7540000007</v>
      </c>
      <c r="AB40" s="101">
        <f t="shared" si="6"/>
        <v>442.62813345269251</v>
      </c>
      <c r="AC40" s="204">
        <v>0</v>
      </c>
      <c r="AD40" s="2">
        <v>0</v>
      </c>
      <c r="AE40" s="2">
        <v>65.0521999999999</v>
      </c>
      <c r="AF40" s="2">
        <v>12</v>
      </c>
      <c r="AG40" s="2">
        <f t="shared" si="7"/>
        <v>77.0521999999999</v>
      </c>
      <c r="AH40" s="182">
        <v>1223932.0679999986</v>
      </c>
      <c r="AI40" s="37">
        <f t="shared" si="8"/>
        <v>84.281233163476003</v>
      </c>
      <c r="AJ40" s="110">
        <v>167</v>
      </c>
      <c r="AK40" s="182">
        <f t="shared" si="9"/>
        <v>2004000</v>
      </c>
      <c r="AL40" s="33">
        <f t="shared" si="10"/>
        <v>137.99752100261671</v>
      </c>
      <c r="AM40" s="6"/>
    </row>
    <row r="41" spans="1:39" ht="17.25" customHeight="1">
      <c r="A41" s="30"/>
      <c r="B41" s="49">
        <v>30</v>
      </c>
      <c r="C41" s="177">
        <v>3</v>
      </c>
      <c r="D41" s="178">
        <v>62</v>
      </c>
      <c r="E41" s="185">
        <v>9880.0000000001091</v>
      </c>
      <c r="F41" s="182">
        <v>10233506.400000112</v>
      </c>
      <c r="G41" s="182">
        <v>2039.9999999999636</v>
      </c>
      <c r="H41" s="182">
        <v>3169486.7999999435</v>
      </c>
      <c r="I41" s="186">
        <f t="shared" si="0"/>
        <v>14073142.860000059</v>
      </c>
      <c r="J41" s="185">
        <v>1320.00000000005</v>
      </c>
      <c r="K41" s="182">
        <v>1367229.6000000518</v>
      </c>
      <c r="L41" s="187">
        <v>280.00000000000114</v>
      </c>
      <c r="M41" s="187">
        <v>435027.60000000178</v>
      </c>
      <c r="N41" s="186">
        <f t="shared" si="1"/>
        <v>1892370.0600000562</v>
      </c>
      <c r="O41" s="183">
        <f t="shared" si="2"/>
        <v>15965512.920000115</v>
      </c>
      <c r="P41" s="184">
        <f t="shared" si="3"/>
        <v>13520.000000000126</v>
      </c>
      <c r="Q41" s="141"/>
      <c r="R41" s="158"/>
      <c r="S41" s="161"/>
      <c r="T41" s="160"/>
      <c r="U41" s="159">
        <v>0</v>
      </c>
      <c r="V41" s="139">
        <f t="shared" si="4"/>
        <v>776.08</v>
      </c>
      <c r="W41" s="2">
        <v>199.36</v>
      </c>
      <c r="X41" s="182">
        <v>3582598.8800000004</v>
      </c>
      <c r="Y41" s="28">
        <v>576.72</v>
      </c>
      <c r="Z41" s="181">
        <v>2448280.2096000002</v>
      </c>
      <c r="AA41" s="181">
        <f t="shared" si="5"/>
        <v>6030879.0896000005</v>
      </c>
      <c r="AB41" s="101">
        <f t="shared" si="6"/>
        <v>415.29259672221463</v>
      </c>
      <c r="AC41" s="204">
        <v>0</v>
      </c>
      <c r="AD41" s="2">
        <v>0</v>
      </c>
      <c r="AE41" s="2">
        <v>79.150199999999899</v>
      </c>
      <c r="AF41" s="2">
        <v>0</v>
      </c>
      <c r="AG41" s="2">
        <f t="shared" si="7"/>
        <v>79.150199999999899</v>
      </c>
      <c r="AH41" s="182">
        <v>1261654.1879999985</v>
      </c>
      <c r="AI41" s="37">
        <f t="shared" si="8"/>
        <v>86.87881751824807</v>
      </c>
      <c r="AJ41" s="110">
        <v>156.27000000000407</v>
      </c>
      <c r="AK41" s="182">
        <f t="shared" si="9"/>
        <v>1875240.0000000489</v>
      </c>
      <c r="AL41" s="33">
        <f t="shared" si="10"/>
        <v>129.13097369508668</v>
      </c>
      <c r="AM41" s="6"/>
    </row>
    <row r="42" spans="1:39" ht="15">
      <c r="A42" s="30"/>
      <c r="B42" s="98">
        <v>31</v>
      </c>
      <c r="C42" s="206">
        <v>6</v>
      </c>
      <c r="D42" s="207">
        <v>77</v>
      </c>
      <c r="E42" s="188">
        <v>9720.0000000002547</v>
      </c>
      <c r="F42" s="189">
        <v>10067781.600000264</v>
      </c>
      <c r="G42" s="189">
        <v>2120.0000000000045</v>
      </c>
      <c r="H42" s="189">
        <v>3293780.4000000074</v>
      </c>
      <c r="I42" s="208">
        <f t="shared" si="0"/>
        <v>14029640.100000286</v>
      </c>
      <c r="J42" s="188">
        <v>1059.9999999999454</v>
      </c>
      <c r="K42" s="189">
        <v>1097926.7999999435</v>
      </c>
      <c r="L42" s="190">
        <v>300.00000000001137</v>
      </c>
      <c r="M42" s="190">
        <v>466101.0000000177</v>
      </c>
      <c r="N42" s="208">
        <f t="shared" si="1"/>
        <v>1642229.1899999592</v>
      </c>
      <c r="O42" s="209">
        <f t="shared" si="2"/>
        <v>15671869.290000245</v>
      </c>
      <c r="P42" s="210">
        <f t="shared" si="3"/>
        <v>13200.000000000215</v>
      </c>
      <c r="Q42" s="169"/>
      <c r="R42" s="170"/>
      <c r="S42" s="162"/>
      <c r="T42" s="162"/>
      <c r="U42" s="171"/>
      <c r="V42" s="211">
        <f t="shared" si="4"/>
        <v>792.99</v>
      </c>
      <c r="W42" s="84">
        <v>196.69</v>
      </c>
      <c r="X42" s="189">
        <v>3534617.645</v>
      </c>
      <c r="Y42" s="172">
        <v>596.29999999999995</v>
      </c>
      <c r="Z42" s="212">
        <v>2531400.8339999998</v>
      </c>
      <c r="AA42" s="212">
        <f t="shared" si="5"/>
        <v>6066018.4790000003</v>
      </c>
      <c r="AB42" s="213">
        <f t="shared" si="6"/>
        <v>417.71233156590006</v>
      </c>
      <c r="AC42" s="205">
        <v>0</v>
      </c>
      <c r="AD42" s="84">
        <v>0</v>
      </c>
      <c r="AE42" s="84">
        <v>76.572279999999949</v>
      </c>
      <c r="AF42" s="84">
        <v>12</v>
      </c>
      <c r="AG42" s="84">
        <f t="shared" si="7"/>
        <v>88.572279999999949</v>
      </c>
      <c r="AH42" s="189">
        <v>1408204.2063999986</v>
      </c>
      <c r="AI42" s="214">
        <f t="shared" si="8"/>
        <v>96.970403966395722</v>
      </c>
      <c r="AJ42" s="173">
        <v>218.13999999999942</v>
      </c>
      <c r="AK42" s="189">
        <f t="shared" si="9"/>
        <v>2617679.999999993</v>
      </c>
      <c r="AL42" s="33">
        <f t="shared" si="10"/>
        <v>180.2561630629385</v>
      </c>
      <c r="AM42" s="6"/>
    </row>
    <row r="43" spans="1:39" s="7" customFormat="1" ht="13.5" customHeight="1">
      <c r="B43" s="93"/>
      <c r="C43" s="94"/>
      <c r="D43" s="94"/>
      <c r="E43" s="191"/>
      <c r="F43" s="192"/>
      <c r="G43" s="193"/>
      <c r="H43" s="192"/>
      <c r="I43" s="193"/>
      <c r="J43" s="193"/>
      <c r="K43" s="193"/>
      <c r="L43" s="192"/>
      <c r="M43" s="194"/>
      <c r="N43" s="194"/>
      <c r="P43" s="57"/>
      <c r="R43" s="76"/>
      <c r="S43" s="6"/>
      <c r="U43" s="29"/>
      <c r="V43" s="102"/>
      <c r="AB43" s="29"/>
      <c r="AD43" s="6"/>
      <c r="AJ43" s="76"/>
      <c r="AL43" s="29"/>
    </row>
    <row r="44" spans="1:39" s="7" customFormat="1" ht="6" customHeight="1">
      <c r="B44" s="93"/>
      <c r="C44" s="94"/>
      <c r="D44" s="94"/>
      <c r="E44" s="92"/>
      <c r="F44" s="6"/>
      <c r="H44" s="6"/>
      <c r="L44" s="6"/>
      <c r="M44" s="53"/>
      <c r="N44" s="57"/>
      <c r="P44" s="57"/>
      <c r="R44" s="76"/>
      <c r="S44" s="14"/>
      <c r="T44" s="14"/>
      <c r="U44" s="29"/>
      <c r="V44" s="102"/>
      <c r="AB44" s="103"/>
      <c r="AD44" s="6"/>
      <c r="AH44" s="6"/>
      <c r="AJ44" s="78"/>
      <c r="AK44" s="4"/>
      <c r="AL44" s="34"/>
    </row>
    <row r="45" spans="1:39" s="7" customFormat="1" ht="16.5" thickBot="1">
      <c r="B45" s="95"/>
      <c r="C45" s="96"/>
      <c r="D45" s="96"/>
      <c r="E45" s="97"/>
      <c r="F45" s="63"/>
      <c r="G45" s="62"/>
      <c r="H45" s="63"/>
      <c r="I45" s="62"/>
      <c r="J45" s="62"/>
      <c r="K45" s="62"/>
      <c r="L45" s="63"/>
      <c r="M45" s="64"/>
      <c r="N45" s="65"/>
      <c r="O45" s="62"/>
      <c r="P45" s="65"/>
      <c r="Q45" s="62"/>
      <c r="R45" s="77"/>
      <c r="S45" s="66"/>
      <c r="T45" s="62"/>
      <c r="U45" s="140"/>
      <c r="V45" s="104"/>
      <c r="W45" s="68"/>
      <c r="X45" s="62"/>
      <c r="Y45" s="62"/>
      <c r="Z45" s="62"/>
      <c r="AA45" s="62"/>
      <c r="AB45" s="67"/>
      <c r="AC45" s="69"/>
      <c r="AD45" s="63"/>
      <c r="AE45" s="69"/>
      <c r="AF45" s="69"/>
      <c r="AG45" s="69"/>
      <c r="AH45" s="63"/>
      <c r="AI45" s="62"/>
      <c r="AJ45" s="111"/>
      <c r="AK45" s="70"/>
      <c r="AL45" s="71"/>
    </row>
    <row r="46" spans="1:39" ht="17.25" thickTop="1" thickBot="1">
      <c r="A46" s="22"/>
      <c r="B46" s="60"/>
      <c r="C46" s="61">
        <f t="shared" ref="C46:O46" si="11">SUM(C12:C42)</f>
        <v>197</v>
      </c>
      <c r="D46" s="61">
        <f t="shared" si="11"/>
        <v>2935</v>
      </c>
      <c r="E46" s="195">
        <f t="shared" si="11"/>
        <v>317520.00000000047</v>
      </c>
      <c r="F46" s="195">
        <f t="shared" si="11"/>
        <v>328880865.60000038</v>
      </c>
      <c r="G46" s="195">
        <f t="shared" si="11"/>
        <v>65439.999999999935</v>
      </c>
      <c r="H46" s="195">
        <f t="shared" si="11"/>
        <v>101672164.79999991</v>
      </c>
      <c r="I46" s="195">
        <f>SUM(I12:I42)</f>
        <v>452080681.92000031</v>
      </c>
      <c r="J46" s="195">
        <f t="shared" si="11"/>
        <v>42659.999999999956</v>
      </c>
      <c r="K46" s="195">
        <f t="shared" si="11"/>
        <v>44186374.799999975</v>
      </c>
      <c r="L46" s="195">
        <f t="shared" si="11"/>
        <v>11620.000000000005</v>
      </c>
      <c r="M46" s="195">
        <f t="shared" si="11"/>
        <v>18053645.40000001</v>
      </c>
      <c r="N46" s="195">
        <f t="shared" si="11"/>
        <v>65352021.209999993</v>
      </c>
      <c r="O46" s="195">
        <f t="shared" si="11"/>
        <v>517432703.13000035</v>
      </c>
      <c r="P46" s="196">
        <f>SUM(P12:P42)</f>
        <v>437240.00000000029</v>
      </c>
      <c r="Q46" s="197"/>
      <c r="R46" s="198"/>
      <c r="S46" s="199"/>
      <c r="T46" s="199"/>
      <c r="U46" s="200"/>
      <c r="V46" s="201">
        <f t="shared" ref="V46:AB46" si="12">SUM(V12:V42)</f>
        <v>25828.690000000006</v>
      </c>
      <c r="W46" s="202">
        <f t="shared" si="12"/>
        <v>6031.5300000000007</v>
      </c>
      <c r="X46" s="202">
        <f>SUM(X12:X42)</f>
        <v>108389609.86500001</v>
      </c>
      <c r="Y46" s="202">
        <f>SUM(Y12:Y42)</f>
        <v>19797.159999999996</v>
      </c>
      <c r="Z46" s="202">
        <f t="shared" si="12"/>
        <v>84042507.688800037</v>
      </c>
      <c r="AA46" s="203">
        <f t="shared" si="12"/>
        <v>192432117.55379999</v>
      </c>
      <c r="AB46" s="202">
        <f t="shared" si="12"/>
        <v>13251.075440972316</v>
      </c>
      <c r="AC46" s="216">
        <f>SUM(AC12:AC41)</f>
        <v>5.7700000000040745</v>
      </c>
      <c r="AD46" s="217">
        <f>SUM(AD12:AD41)</f>
        <v>0</v>
      </c>
      <c r="AE46" s="216">
        <f>SUM(AE12:AE42)</f>
        <v>2780.5284000000001</v>
      </c>
      <c r="AF46" s="216">
        <f>SUM(AF12:AF42)</f>
        <v>324</v>
      </c>
      <c r="AG46" s="218">
        <f>SUM(AG12:AG42)</f>
        <v>3104.5284000000001</v>
      </c>
      <c r="AH46" s="219">
        <f>SUM(AH12:AH42)</f>
        <v>49518315.701080218</v>
      </c>
      <c r="AI46" s="220">
        <f>AH46/$AL$47</f>
        <v>3816.1199329752044</v>
      </c>
      <c r="AJ46" s="221">
        <f>SUM(AJ12:AJ42)</f>
        <v>7749.0400000000227</v>
      </c>
      <c r="AK46" s="222">
        <f>SUM(AK12:AK42)</f>
        <v>92988480.000000283</v>
      </c>
      <c r="AL46" s="223">
        <f>AK46/AL47</f>
        <v>7166.1401855258619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4"/>
      <c r="N47" s="58"/>
      <c r="O47" s="9"/>
      <c r="P47" s="58"/>
      <c r="Q47" s="9"/>
      <c r="R47" s="91"/>
      <c r="S47" s="13"/>
      <c r="T47" s="72" t="s">
        <v>54</v>
      </c>
      <c r="U47" s="113" t="e">
        <f>U46/S46</f>
        <v>#DIV/0!</v>
      </c>
      <c r="V47" s="143" t="s">
        <v>55</v>
      </c>
      <c r="W47" s="10"/>
      <c r="X47" s="10"/>
      <c r="Y47" s="107"/>
      <c r="Z47" s="10"/>
      <c r="AA47" s="10"/>
      <c r="AB47" s="10"/>
      <c r="AC47" s="14"/>
      <c r="AD47" s="6"/>
      <c r="AE47" s="14"/>
      <c r="AF47" s="14"/>
      <c r="AG47" s="6"/>
      <c r="AH47" s="165"/>
      <c r="AI47" s="10"/>
      <c r="AJ47" s="78"/>
      <c r="AK47" s="10"/>
      <c r="AL47" s="112">
        <v>12976.09</v>
      </c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4"/>
      <c r="N48" s="58"/>
      <c r="O48" s="9"/>
      <c r="P48" s="58"/>
      <c r="Q48" s="9"/>
      <c r="R48" s="91"/>
      <c r="S48" s="13"/>
      <c r="T48" s="166"/>
      <c r="U48" s="113"/>
      <c r="V48" s="143"/>
      <c r="W48" s="164"/>
      <c r="X48" s="164"/>
      <c r="Y48" s="107"/>
      <c r="Z48" s="164"/>
      <c r="AA48" s="10"/>
      <c r="AB48" s="10"/>
      <c r="AC48" s="14"/>
      <c r="AD48" s="6"/>
      <c r="AE48" s="14"/>
      <c r="AF48" s="14"/>
      <c r="AG48" s="6"/>
      <c r="AH48" s="165">
        <f>AH46/AG46</f>
        <v>15950.350365962255</v>
      </c>
      <c r="AI48" s="10"/>
      <c r="AJ48" s="78"/>
      <c r="AK48" s="10"/>
      <c r="AL48" s="112"/>
      <c r="AM48" s="22"/>
    </row>
    <row r="49" spans="1:39">
      <c r="A49" s="22"/>
      <c r="B49" s="22"/>
      <c r="C49" s="4"/>
      <c r="D49" s="10"/>
      <c r="E49" s="4"/>
      <c r="F49" s="4"/>
      <c r="G49" s="10"/>
      <c r="H49" s="4"/>
      <c r="I49" s="8"/>
      <c r="J49" s="8"/>
      <c r="K49" s="8"/>
      <c r="L49" s="15"/>
      <c r="M49" s="54"/>
      <c r="N49" s="58"/>
      <c r="O49" s="9"/>
      <c r="P49" s="58"/>
      <c r="Q49" s="9"/>
      <c r="R49" s="91"/>
      <c r="S49" s="13"/>
      <c r="T49" s="72"/>
      <c r="U49" s="113"/>
      <c r="V49" s="143"/>
      <c r="W49" s="10"/>
      <c r="X49" s="10"/>
      <c r="Y49" s="107"/>
      <c r="Z49" s="164"/>
      <c r="AA49" s="10"/>
      <c r="AB49" s="10"/>
      <c r="AC49" s="14"/>
      <c r="AD49" s="6"/>
      <c r="AE49" s="14"/>
      <c r="AF49" s="14"/>
      <c r="AG49" s="175"/>
      <c r="AH49" s="165"/>
      <c r="AI49" s="10"/>
      <c r="AJ49" s="78"/>
      <c r="AK49" s="10"/>
      <c r="AL49" s="112"/>
      <c r="AM49" s="22"/>
    </row>
    <row r="50" spans="1:39" s="146" customFormat="1">
      <c r="A50" s="144"/>
      <c r="B50" s="144"/>
      <c r="C50" s="145"/>
      <c r="E50" s="145"/>
      <c r="F50" s="145"/>
      <c r="H50" s="145"/>
      <c r="L50" s="145"/>
      <c r="M50" s="147"/>
      <c r="N50" s="148"/>
      <c r="P50" s="148"/>
      <c r="R50" s="149"/>
      <c r="T50" s="163"/>
      <c r="Y50" s="174"/>
      <c r="AD50" s="145"/>
      <c r="AG50" s="163"/>
      <c r="AH50" s="145"/>
      <c r="AJ50" s="149"/>
      <c r="AL50" s="150"/>
      <c r="AM50" s="144"/>
    </row>
    <row r="51" spans="1:39" s="146" customFormat="1">
      <c r="A51" s="144"/>
      <c r="B51" s="144"/>
      <c r="C51" s="145"/>
      <c r="E51" s="145"/>
      <c r="F51" s="145"/>
      <c r="H51" s="145"/>
      <c r="L51" s="145"/>
      <c r="M51" s="147"/>
      <c r="N51" s="148"/>
      <c r="P51" s="148"/>
      <c r="R51" s="149"/>
      <c r="S51" s="163"/>
      <c r="T51" s="163"/>
      <c r="Z51" s="163"/>
      <c r="AD51" s="145"/>
      <c r="AH51" s="145"/>
      <c r="AJ51" s="149"/>
      <c r="AL51" s="150"/>
      <c r="AM51" s="144"/>
    </row>
    <row r="52" spans="1:39" s="146" customFormat="1">
      <c r="A52" s="144"/>
      <c r="B52" s="144"/>
      <c r="C52" s="145"/>
      <c r="E52" s="145"/>
      <c r="F52" s="145"/>
      <c r="H52" s="145"/>
      <c r="L52" s="145"/>
      <c r="M52" s="147"/>
      <c r="N52" s="148"/>
      <c r="P52" s="148"/>
      <c r="R52" s="149"/>
      <c r="X52" s="163"/>
      <c r="AD52" s="145"/>
      <c r="AH52" s="145"/>
      <c r="AJ52" s="149"/>
      <c r="AL52" s="150"/>
      <c r="AM52" s="144"/>
    </row>
    <row r="53" spans="1:39" s="146" customFormat="1">
      <c r="A53" s="144"/>
      <c r="B53" s="144"/>
      <c r="C53" s="145"/>
      <c r="E53" s="145"/>
      <c r="F53" s="145"/>
      <c r="H53" s="145"/>
      <c r="L53" s="145"/>
      <c r="M53" s="147"/>
      <c r="N53" s="148"/>
      <c r="P53" s="148"/>
      <c r="R53" s="149"/>
      <c r="S53" s="163"/>
      <c r="AD53" s="145"/>
      <c r="AH53" s="145"/>
      <c r="AJ53" s="149"/>
      <c r="AL53" s="150"/>
      <c r="AM53" s="144"/>
    </row>
    <row r="54" spans="1:39" s="146" customFormat="1">
      <c r="A54" s="144"/>
      <c r="B54" s="144"/>
      <c r="C54" s="145"/>
      <c r="E54" s="145"/>
      <c r="F54" s="145"/>
      <c r="H54" s="145"/>
      <c r="L54" s="145"/>
      <c r="M54" s="147"/>
      <c r="N54" s="148"/>
      <c r="P54" s="148"/>
      <c r="R54" s="149"/>
      <c r="T54" s="163"/>
      <c r="AD54" s="145"/>
      <c r="AH54" s="145"/>
      <c r="AJ54" s="149"/>
      <c r="AL54" s="150"/>
      <c r="AM54" s="144"/>
    </row>
    <row r="55" spans="1:39" s="146" customFormat="1">
      <c r="A55" s="144"/>
      <c r="B55" s="144"/>
      <c r="C55" s="145"/>
      <c r="E55" s="145"/>
      <c r="F55" s="145"/>
      <c r="H55" s="145"/>
      <c r="L55" s="145"/>
      <c r="M55" s="147"/>
      <c r="N55" s="148"/>
      <c r="P55" s="148"/>
      <c r="R55" s="149"/>
      <c r="AD55" s="145"/>
      <c r="AH55" s="145"/>
      <c r="AJ55" s="149"/>
      <c r="AL55" s="150"/>
      <c r="AM55" s="144"/>
    </row>
    <row r="56" spans="1:39" s="146" customFormat="1">
      <c r="A56" s="144"/>
      <c r="B56" s="144"/>
      <c r="C56" s="145"/>
      <c r="E56" s="145"/>
      <c r="F56" s="145"/>
      <c r="H56" s="145"/>
      <c r="L56" s="145"/>
      <c r="M56" s="147"/>
      <c r="N56" s="148"/>
      <c r="P56" s="148"/>
      <c r="R56" s="149"/>
      <c r="AD56" s="145"/>
      <c r="AH56" s="145"/>
      <c r="AJ56" s="149"/>
      <c r="AL56" s="150"/>
      <c r="AM56" s="144"/>
    </row>
    <row r="57" spans="1:39" s="146" customFormat="1">
      <c r="A57" s="144"/>
      <c r="B57" s="144"/>
      <c r="C57" s="145"/>
      <c r="E57" s="145"/>
      <c r="F57" s="145"/>
      <c r="H57" s="145"/>
      <c r="L57" s="145"/>
      <c r="M57" s="147"/>
      <c r="N57" s="148"/>
      <c r="P57" s="148"/>
      <c r="R57" s="149"/>
      <c r="AD57" s="145"/>
      <c r="AH57" s="145"/>
      <c r="AJ57" s="149"/>
      <c r="AL57" s="150"/>
      <c r="AM57" s="144"/>
    </row>
    <row r="58" spans="1:39" s="146" customFormat="1">
      <c r="A58" s="144"/>
      <c r="B58" s="144"/>
      <c r="C58" s="145"/>
      <c r="E58" s="145"/>
      <c r="F58" s="145"/>
      <c r="H58" s="145"/>
      <c r="L58" s="145"/>
      <c r="M58" s="147"/>
      <c r="N58" s="148"/>
      <c r="P58" s="148"/>
      <c r="R58" s="149"/>
      <c r="AD58" s="145"/>
      <c r="AH58" s="145"/>
      <c r="AJ58" s="149"/>
      <c r="AL58" s="150"/>
      <c r="AM58" s="144"/>
    </row>
    <row r="59" spans="1:39" s="146" customFormat="1">
      <c r="A59" s="144"/>
      <c r="B59" s="144"/>
      <c r="C59" s="145"/>
      <c r="E59" s="145"/>
      <c r="F59" s="145"/>
      <c r="H59" s="145"/>
      <c r="L59" s="145"/>
      <c r="M59" s="147"/>
      <c r="N59" s="148"/>
      <c r="P59" s="148"/>
      <c r="R59" s="149"/>
      <c r="AD59" s="145"/>
      <c r="AH59" s="145"/>
      <c r="AJ59" s="149"/>
      <c r="AL59" s="150"/>
      <c r="AM59" s="144"/>
    </row>
    <row r="60" spans="1:39" s="146" customFormat="1">
      <c r="A60" s="144"/>
      <c r="B60" s="144"/>
      <c r="C60" s="145"/>
      <c r="E60" s="145"/>
      <c r="F60" s="145"/>
      <c r="H60" s="145"/>
      <c r="L60" s="145"/>
      <c r="M60" s="147"/>
      <c r="N60" s="148"/>
      <c r="P60" s="148"/>
      <c r="R60" s="149"/>
      <c r="AD60" s="145"/>
      <c r="AH60" s="145"/>
      <c r="AJ60" s="149"/>
      <c r="AL60" s="150"/>
      <c r="AM60" s="144"/>
    </row>
    <row r="61" spans="1:39" s="146" customFormat="1">
      <c r="A61" s="144"/>
      <c r="B61" s="144"/>
      <c r="C61" s="145"/>
      <c r="E61" s="145"/>
      <c r="F61" s="145"/>
      <c r="H61" s="145"/>
      <c r="L61" s="145"/>
      <c r="M61" s="147"/>
      <c r="N61" s="148"/>
      <c r="P61" s="148"/>
      <c r="R61" s="149"/>
      <c r="AD61" s="145"/>
      <c r="AH61" s="145"/>
      <c r="AJ61" s="149"/>
      <c r="AL61" s="150"/>
      <c r="AM61" s="144"/>
    </row>
    <row r="62" spans="1:39" s="146" customFormat="1">
      <c r="A62" s="144"/>
      <c r="B62" s="144"/>
      <c r="C62" s="145"/>
      <c r="E62" s="145"/>
      <c r="F62" s="145"/>
      <c r="H62" s="145"/>
      <c r="I62" s="145"/>
      <c r="J62" s="145"/>
      <c r="L62" s="145"/>
      <c r="M62" s="147"/>
      <c r="N62" s="148"/>
      <c r="P62" s="148"/>
      <c r="R62" s="149"/>
      <c r="AD62" s="145"/>
      <c r="AH62" s="145"/>
      <c r="AJ62" s="149"/>
      <c r="AL62" s="150"/>
      <c r="AM62" s="144"/>
    </row>
    <row r="63" spans="1:39" s="146" customFormat="1">
      <c r="A63" s="144"/>
      <c r="B63" s="144"/>
      <c r="C63" s="145"/>
      <c r="E63" s="145"/>
      <c r="F63" s="145"/>
      <c r="H63" s="145"/>
      <c r="L63" s="145"/>
      <c r="M63" s="147"/>
      <c r="N63" s="148"/>
      <c r="P63" s="148"/>
      <c r="R63" s="149"/>
      <c r="AD63" s="145"/>
      <c r="AH63" s="145"/>
      <c r="AJ63" s="149"/>
      <c r="AL63" s="150"/>
      <c r="AM63" s="144"/>
    </row>
    <row r="64" spans="1:39" s="146" customFormat="1">
      <c r="A64" s="144"/>
      <c r="B64" s="144"/>
      <c r="C64" s="145"/>
      <c r="E64" s="145"/>
      <c r="F64" s="145"/>
      <c r="H64" s="145"/>
      <c r="L64" s="145"/>
      <c r="M64" s="147"/>
      <c r="N64" s="148"/>
      <c r="P64" s="148"/>
      <c r="R64" s="149"/>
      <c r="AD64" s="145"/>
      <c r="AH64" s="145"/>
      <c r="AJ64" s="149"/>
      <c r="AL64" s="150"/>
      <c r="AM64" s="144"/>
    </row>
    <row r="65" spans="1:39" s="146" customFormat="1">
      <c r="A65" s="144"/>
      <c r="B65" s="144"/>
      <c r="C65" s="145"/>
      <c r="E65" s="145"/>
      <c r="F65" s="145"/>
      <c r="H65" s="145"/>
      <c r="L65" s="145"/>
      <c r="M65" s="147"/>
      <c r="N65" s="148"/>
      <c r="P65" s="148"/>
      <c r="R65" s="149"/>
      <c r="AD65" s="145"/>
      <c r="AH65" s="145"/>
      <c r="AJ65" s="149"/>
      <c r="AL65" s="150"/>
      <c r="AM65" s="144"/>
    </row>
    <row r="66" spans="1:39" s="146" customFormat="1">
      <c r="A66" s="144"/>
      <c r="B66" s="144"/>
      <c r="C66" s="145"/>
      <c r="E66" s="145"/>
      <c r="F66" s="145"/>
      <c r="H66" s="145"/>
      <c r="L66" s="145"/>
      <c r="M66" s="147"/>
      <c r="N66" s="148"/>
      <c r="P66" s="148"/>
      <c r="R66" s="149"/>
      <c r="AD66" s="145"/>
      <c r="AH66" s="145"/>
      <c r="AJ66" s="149"/>
      <c r="AL66" s="150"/>
      <c r="AM66" s="144"/>
    </row>
    <row r="67" spans="1:39" s="146" customFormat="1">
      <c r="A67" s="144"/>
      <c r="B67" s="144"/>
      <c r="C67" s="145"/>
      <c r="E67" s="145"/>
      <c r="F67" s="145"/>
      <c r="H67" s="145"/>
      <c r="L67" s="145"/>
      <c r="M67" s="147"/>
      <c r="N67" s="148"/>
      <c r="P67" s="148"/>
      <c r="R67" s="149"/>
      <c r="AD67" s="145"/>
      <c r="AH67" s="145"/>
      <c r="AJ67" s="149"/>
      <c r="AL67" s="150"/>
      <c r="AM67" s="144"/>
    </row>
    <row r="68" spans="1:39" s="146" customFormat="1">
      <c r="A68" s="144"/>
      <c r="B68" s="144"/>
      <c r="C68" s="145"/>
      <c r="E68" s="145"/>
      <c r="F68" s="145"/>
      <c r="H68" s="145"/>
      <c r="L68" s="145"/>
      <c r="M68" s="147"/>
      <c r="N68" s="148"/>
      <c r="P68" s="148"/>
      <c r="R68" s="149"/>
      <c r="AD68" s="145"/>
      <c r="AH68" s="145"/>
      <c r="AJ68" s="149"/>
      <c r="AL68" s="150"/>
      <c r="AM68" s="144"/>
    </row>
    <row r="69" spans="1:39" s="146" customFormat="1">
      <c r="A69" s="144"/>
      <c r="B69" s="144"/>
      <c r="C69" s="145"/>
      <c r="E69" s="145"/>
      <c r="F69" s="145"/>
      <c r="H69" s="145"/>
      <c r="L69" s="145"/>
      <c r="M69" s="147"/>
      <c r="N69" s="148"/>
      <c r="P69" s="148"/>
      <c r="R69" s="149"/>
      <c r="AD69" s="145"/>
      <c r="AH69" s="145"/>
      <c r="AJ69" s="149"/>
      <c r="AL69" s="150"/>
      <c r="AM69" s="144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J27" sqref="J27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63">
        <v>44562</v>
      </c>
      <c r="B2" s="264"/>
      <c r="C2" s="264"/>
    </row>
    <row r="3" spans="1:3">
      <c r="A3" s="266" t="s">
        <v>18</v>
      </c>
      <c r="B3" s="265" t="s">
        <v>19</v>
      </c>
      <c r="C3" s="265" t="s">
        <v>13</v>
      </c>
    </row>
    <row r="4" spans="1:3">
      <c r="A4" s="266"/>
      <c r="B4" s="265"/>
      <c r="C4" s="265"/>
    </row>
    <row r="5" spans="1:3">
      <c r="A5" s="266"/>
      <c r="B5" s="265"/>
      <c r="C5" s="265"/>
    </row>
    <row r="6" spans="1:3">
      <c r="A6" s="1">
        <v>1</v>
      </c>
      <c r="B6" s="1">
        <f>'FS Jimbaran January 2022'!C12</f>
        <v>25</v>
      </c>
      <c r="C6" s="179">
        <f>'FS Jimbaran January 2022'!D12</f>
        <v>263</v>
      </c>
    </row>
    <row r="7" spans="1:3">
      <c r="A7" s="1">
        <v>2</v>
      </c>
      <c r="B7" s="1">
        <f>'FS Jimbaran January 2022'!C13</f>
        <v>15</v>
      </c>
      <c r="C7" s="179">
        <f>'FS Jimbaran January 2022'!D13</f>
        <v>240</v>
      </c>
    </row>
    <row r="8" spans="1:3">
      <c r="A8" s="1">
        <f>A7+1</f>
        <v>3</v>
      </c>
      <c r="B8" s="1">
        <f>'FS Jimbaran January 2022'!C14</f>
        <v>8</v>
      </c>
      <c r="C8" s="179">
        <f>'FS Jimbaran January 2022'!D14</f>
        <v>125</v>
      </c>
    </row>
    <row r="9" spans="1:3">
      <c r="A9" s="1">
        <f>A8+1</f>
        <v>4</v>
      </c>
      <c r="B9" s="1">
        <f>'FS Jimbaran January 2022'!C15</f>
        <v>8</v>
      </c>
      <c r="C9" s="179">
        <f>'FS Jimbaran January 2022'!D15</f>
        <v>107</v>
      </c>
    </row>
    <row r="10" spans="1:3">
      <c r="A10" s="1">
        <f t="shared" ref="A10:A36" si="0">A9+1</f>
        <v>5</v>
      </c>
      <c r="B10" s="1">
        <f>'FS Jimbaran January 2022'!C16</f>
        <v>12</v>
      </c>
      <c r="C10" s="179">
        <f>'FS Jimbaran January 2022'!D16</f>
        <v>112</v>
      </c>
    </row>
    <row r="11" spans="1:3">
      <c r="A11" s="1">
        <f t="shared" si="0"/>
        <v>6</v>
      </c>
      <c r="B11" s="1">
        <f>'FS Jimbaran January 2022'!C17</f>
        <v>8</v>
      </c>
      <c r="C11" s="179">
        <f>'FS Jimbaran January 2022'!D17</f>
        <v>189</v>
      </c>
    </row>
    <row r="12" spans="1:3">
      <c r="A12" s="1">
        <f t="shared" si="0"/>
        <v>7</v>
      </c>
      <c r="B12" s="1">
        <f>'FS Jimbaran January 2022'!C18</f>
        <v>9</v>
      </c>
      <c r="C12" s="179">
        <f>'FS Jimbaran January 2022'!D18</f>
        <v>115</v>
      </c>
    </row>
    <row r="13" spans="1:3">
      <c r="A13" s="1">
        <f t="shared" si="0"/>
        <v>8</v>
      </c>
      <c r="B13" s="1">
        <f>'FS Jimbaran January 2022'!C19</f>
        <v>9</v>
      </c>
      <c r="C13" s="179">
        <f>'FS Jimbaran January 2022'!D19</f>
        <v>175</v>
      </c>
    </row>
    <row r="14" spans="1:3">
      <c r="A14" s="1">
        <f t="shared" si="0"/>
        <v>9</v>
      </c>
      <c r="B14" s="1">
        <f>'FS Jimbaran January 2022'!C20</f>
        <v>4</v>
      </c>
      <c r="C14" s="179">
        <f>'FS Jimbaran January 2022'!D20</f>
        <v>131</v>
      </c>
    </row>
    <row r="15" spans="1:3">
      <c r="A15" s="1">
        <f t="shared" si="0"/>
        <v>10</v>
      </c>
      <c r="B15" s="1">
        <f>'FS Jimbaran January 2022'!C21</f>
        <v>4</v>
      </c>
      <c r="C15" s="179">
        <f>'FS Jimbaran January 2022'!D21</f>
        <v>70</v>
      </c>
    </row>
    <row r="16" spans="1:3">
      <c r="A16" s="1">
        <f t="shared" si="0"/>
        <v>11</v>
      </c>
      <c r="B16" s="1">
        <f>'FS Jimbaran January 2022'!C22</f>
        <v>5</v>
      </c>
      <c r="C16" s="179">
        <f>'FS Jimbaran January 2022'!D22</f>
        <v>60</v>
      </c>
    </row>
    <row r="17" spans="1:3">
      <c r="A17" s="1">
        <f t="shared" si="0"/>
        <v>12</v>
      </c>
      <c r="B17" s="1">
        <f>'FS Jimbaran January 2022'!C23</f>
        <v>3</v>
      </c>
      <c r="C17" s="179">
        <f>'FS Jimbaran January 2022'!D23</f>
        <v>39</v>
      </c>
    </row>
    <row r="18" spans="1:3">
      <c r="A18" s="1">
        <f t="shared" si="0"/>
        <v>13</v>
      </c>
      <c r="B18" s="1">
        <f>'FS Jimbaran January 2022'!C24</f>
        <v>2</v>
      </c>
      <c r="C18" s="179">
        <f>'FS Jimbaran January 2022'!D24</f>
        <v>73</v>
      </c>
    </row>
    <row r="19" spans="1:3">
      <c r="A19" s="1">
        <f t="shared" si="0"/>
        <v>14</v>
      </c>
      <c r="B19" s="1">
        <f>'FS Jimbaran January 2022'!C25</f>
        <v>31</v>
      </c>
      <c r="C19" s="179">
        <f>'FS Jimbaran January 2022'!D25</f>
        <v>143</v>
      </c>
    </row>
    <row r="20" spans="1:3">
      <c r="A20" s="1">
        <f t="shared" si="0"/>
        <v>15</v>
      </c>
      <c r="B20" s="1">
        <f>'FS Jimbaran January 2022'!C26</f>
        <v>1</v>
      </c>
      <c r="C20" s="179">
        <f>'FS Jimbaran January 2022'!D26</f>
        <v>98</v>
      </c>
    </row>
    <row r="21" spans="1:3">
      <c r="A21" s="1">
        <f t="shared" si="0"/>
        <v>16</v>
      </c>
      <c r="B21" s="1" t="str">
        <f>'FS Jimbaran January 2022'!C27</f>
        <v xml:space="preserve"> -   </v>
      </c>
      <c r="C21" s="179">
        <f>'FS Jimbaran January 2022'!D27</f>
        <v>77</v>
      </c>
    </row>
    <row r="22" spans="1:3">
      <c r="A22" s="1">
        <f t="shared" si="0"/>
        <v>17</v>
      </c>
      <c r="B22" s="1" t="str">
        <f>'FS Jimbaran January 2022'!C28</f>
        <v xml:space="preserve"> -   </v>
      </c>
      <c r="C22" s="179">
        <f>'FS Jimbaran January 2022'!D28</f>
        <v>31</v>
      </c>
    </row>
    <row r="23" spans="1:3">
      <c r="A23" s="1">
        <f t="shared" si="0"/>
        <v>18</v>
      </c>
      <c r="B23" s="1" t="str">
        <f>'FS Jimbaran January 2022'!C29</f>
        <v xml:space="preserve"> -   </v>
      </c>
      <c r="C23" s="179">
        <f>'FS Jimbaran January 2022'!D29</f>
        <v>32</v>
      </c>
    </row>
    <row r="24" spans="1:3">
      <c r="A24" s="1">
        <f t="shared" si="0"/>
        <v>19</v>
      </c>
      <c r="B24" s="1">
        <f>'FS Jimbaran January 2022'!C30</f>
        <v>3</v>
      </c>
      <c r="C24" s="179">
        <f>'FS Jimbaran January 2022'!D30</f>
        <v>44</v>
      </c>
    </row>
    <row r="25" spans="1:3">
      <c r="A25" s="1">
        <f t="shared" si="0"/>
        <v>20</v>
      </c>
      <c r="B25" s="1">
        <f>'FS Jimbaran January 2022'!C31</f>
        <v>3</v>
      </c>
      <c r="C25" s="179">
        <f>'FS Jimbaran January 2022'!D31</f>
        <v>56</v>
      </c>
    </row>
    <row r="26" spans="1:3">
      <c r="A26" s="1">
        <f t="shared" si="0"/>
        <v>21</v>
      </c>
      <c r="B26" s="1">
        <f>'FS Jimbaran January 2022'!C32</f>
        <v>3</v>
      </c>
      <c r="C26" s="179">
        <f>'FS Jimbaran January 2022'!D32</f>
        <v>100</v>
      </c>
    </row>
    <row r="27" spans="1:3">
      <c r="A27" s="1">
        <f t="shared" si="0"/>
        <v>22</v>
      </c>
      <c r="B27" s="1">
        <f>'FS Jimbaran January 2022'!C33</f>
        <v>6</v>
      </c>
      <c r="C27" s="179">
        <f>'FS Jimbaran January 2022'!D33</f>
        <v>111</v>
      </c>
    </row>
    <row r="28" spans="1:3">
      <c r="A28" s="1">
        <f t="shared" si="0"/>
        <v>23</v>
      </c>
      <c r="B28" s="1">
        <f>'FS Jimbaran January 2022'!C34</f>
        <v>5</v>
      </c>
      <c r="C28" s="179">
        <f>'FS Jimbaran January 2022'!D34</f>
        <v>86</v>
      </c>
    </row>
    <row r="29" spans="1:3">
      <c r="A29" s="1">
        <f t="shared" si="0"/>
        <v>24</v>
      </c>
      <c r="B29" s="1">
        <f>'FS Jimbaran January 2022'!C35</f>
        <v>2</v>
      </c>
      <c r="C29" s="179">
        <f>'FS Jimbaran January 2022'!D35</f>
        <v>43</v>
      </c>
    </row>
    <row r="30" spans="1:3">
      <c r="A30" s="1">
        <f t="shared" si="0"/>
        <v>25</v>
      </c>
      <c r="B30" s="1">
        <f>'FS Jimbaran January 2022'!C36</f>
        <v>3</v>
      </c>
      <c r="C30" s="179">
        <f>'FS Jimbaran January 2022'!D36</f>
        <v>31</v>
      </c>
    </row>
    <row r="31" spans="1:3">
      <c r="A31" s="1">
        <f t="shared" si="0"/>
        <v>26</v>
      </c>
      <c r="B31" s="1">
        <f>'FS Jimbaran January 2022'!C37</f>
        <v>4</v>
      </c>
      <c r="C31" s="179">
        <f>'FS Jimbaran January 2022'!D37</f>
        <v>32</v>
      </c>
    </row>
    <row r="32" spans="1:3">
      <c r="A32" s="1">
        <f t="shared" si="0"/>
        <v>27</v>
      </c>
      <c r="B32" s="1">
        <f>'FS Jimbaran January 2022'!C38</f>
        <v>7</v>
      </c>
      <c r="C32" s="179">
        <f>'FS Jimbaran January 2022'!D38</f>
        <v>40</v>
      </c>
    </row>
    <row r="33" spans="1:3">
      <c r="A33" s="1">
        <f t="shared" si="0"/>
        <v>28</v>
      </c>
      <c r="B33" s="1">
        <f>'FS Jimbaran January 2022'!C39</f>
        <v>5</v>
      </c>
      <c r="C33" s="179">
        <f>'FS Jimbaran January 2022'!D39</f>
        <v>107</v>
      </c>
    </row>
    <row r="34" spans="1:3">
      <c r="A34" s="1">
        <f t="shared" si="0"/>
        <v>29</v>
      </c>
      <c r="B34" s="1">
        <f>'FS Jimbaran January 2022'!C40</f>
        <v>3</v>
      </c>
      <c r="C34" s="179">
        <f>'FS Jimbaran January 2022'!D40</f>
        <v>66</v>
      </c>
    </row>
    <row r="35" spans="1:3">
      <c r="A35" s="1">
        <f t="shared" si="0"/>
        <v>30</v>
      </c>
      <c r="B35" s="1">
        <f>'FS Jimbaran January 2022'!C41</f>
        <v>3</v>
      </c>
      <c r="C35" s="179">
        <f>'FS Jimbaran January 2022'!D41</f>
        <v>62</v>
      </c>
    </row>
    <row r="36" spans="1:3">
      <c r="A36" s="1">
        <f t="shared" si="0"/>
        <v>31</v>
      </c>
      <c r="B36" s="1">
        <f>'FS Jimbaran January 2022'!C42</f>
        <v>6</v>
      </c>
      <c r="C36" s="179">
        <f>'FS Jimbaran January 2022'!D42</f>
        <v>77</v>
      </c>
    </row>
    <row r="37" spans="1:3">
      <c r="B37" s="5">
        <f>SUM(B6:B36)</f>
        <v>197</v>
      </c>
      <c r="C37" s="5">
        <f>SUM(C6:C36)</f>
        <v>2935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008803CA-A831-4A74-820A-57C707E44D1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2022-05-12T04:36:40Z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