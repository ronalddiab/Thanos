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9440" windowHeight="12135" tabRatio="620" activeTab="4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17" l="1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J3" i="117"/>
  <c r="J4" i="117"/>
  <c r="G9" i="116"/>
  <c r="J39" i="106" l="1"/>
  <c r="F40" i="116"/>
  <c r="J5" i="117"/>
  <c r="K40" i="102"/>
  <c r="P39" i="102"/>
  <c r="I41" i="106" l="1"/>
  <c r="L10" i="106" l="1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9" i="106"/>
  <c r="H12" i="116" l="1"/>
  <c r="H19" i="116"/>
  <c r="H26" i="116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8" i="102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R9" i="109"/>
  <c r="Q40" i="109"/>
  <c r="F8" i="102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8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39" i="116"/>
  <c r="H3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H9" i="116" l="1"/>
  <c r="K38" i="102"/>
  <c r="L38" i="102" s="1"/>
  <c r="B32" i="117"/>
  <c r="E32" i="117"/>
  <c r="G32" i="117"/>
  <c r="I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  <c r="F32" i="117" l="1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E16" i="117"/>
  <c r="G23" i="102"/>
  <c r="G25" i="102"/>
  <c r="G28" i="102"/>
  <c r="G30" i="102"/>
  <c r="E26" i="117"/>
  <c r="G34" i="102"/>
  <c r="E30" i="117"/>
  <c r="G37" i="102"/>
  <c r="D40" i="116"/>
  <c r="C40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I4" i="117"/>
  <c r="G11" i="116"/>
  <c r="H11" i="116" s="1"/>
  <c r="G10" i="116"/>
  <c r="H10" i="116" s="1"/>
  <c r="I2" i="117"/>
  <c r="J8" i="109"/>
  <c r="J19" i="109" s="1"/>
  <c r="I40" i="106"/>
  <c r="G40" i="106"/>
  <c r="E40" i="106"/>
  <c r="F39" i="106"/>
  <c r="F38" i="106"/>
  <c r="F37" i="106"/>
  <c r="F36" i="106"/>
  <c r="F35" i="106"/>
  <c r="F34" i="106"/>
  <c r="F33" i="106"/>
  <c r="F32" i="106"/>
  <c r="F31" i="106"/>
  <c r="F30" i="106"/>
  <c r="K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F17" i="106"/>
  <c r="F16" i="106"/>
  <c r="F15" i="106"/>
  <c r="F14" i="106"/>
  <c r="F13" i="106"/>
  <c r="F12" i="106"/>
  <c r="F11" i="106"/>
  <c r="F10" i="106"/>
  <c r="K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K15" i="106" l="1"/>
  <c r="K27" i="106"/>
  <c r="K38" i="106"/>
  <c r="E12" i="117"/>
  <c r="E15" i="117"/>
  <c r="E25" i="117"/>
  <c r="E23" i="117"/>
  <c r="E13" i="117"/>
  <c r="K31" i="106"/>
  <c r="K32" i="106"/>
  <c r="K39" i="106"/>
  <c r="L39" i="106" s="1"/>
  <c r="K21" i="106"/>
  <c r="K33" i="106"/>
  <c r="K35" i="106"/>
  <c r="K11" i="106"/>
  <c r="J40" i="106"/>
  <c r="K17" i="106"/>
  <c r="K9" i="106"/>
  <c r="K28" i="106"/>
  <c r="K16" i="106"/>
  <c r="K13" i="106"/>
  <c r="K23" i="106"/>
  <c r="K29" i="106"/>
  <c r="K36" i="106"/>
  <c r="K25" i="106"/>
  <c r="K37" i="106"/>
  <c r="L11" i="117"/>
  <c r="K12" i="106"/>
  <c r="G16" i="116"/>
  <c r="H16" i="116" s="1"/>
  <c r="G13" i="116"/>
  <c r="H13" i="116" s="1"/>
  <c r="G19" i="116"/>
  <c r="G21" i="116"/>
  <c r="H21" i="116" s="1"/>
  <c r="G27" i="116"/>
  <c r="H27" i="116" s="1"/>
  <c r="K37" i="102"/>
  <c r="L37" i="102" s="1"/>
  <c r="E9" i="117"/>
  <c r="G22" i="102"/>
  <c r="K22" i="102" s="1"/>
  <c r="L22" i="102" s="1"/>
  <c r="E5" i="117"/>
  <c r="E21" i="117"/>
  <c r="K10" i="102"/>
  <c r="L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J14" i="109"/>
  <c r="J12" i="109"/>
  <c r="K22" i="106"/>
  <c r="G32" i="116"/>
  <c r="H32" i="116" s="1"/>
  <c r="G36" i="116"/>
  <c r="H36" i="116" s="1"/>
  <c r="G35" i="102"/>
  <c r="K35" i="102" s="1"/>
  <c r="L35" i="102" s="1"/>
  <c r="G33" i="102"/>
  <c r="K33" i="102" s="1"/>
  <c r="L33" i="102" s="1"/>
  <c r="E17" i="117"/>
  <c r="F17" i="117" s="1"/>
  <c r="K30" i="102"/>
  <c r="L30" i="102" s="1"/>
  <c r="K34" i="106"/>
  <c r="K26" i="106"/>
  <c r="K23" i="102"/>
  <c r="L23" i="102" s="1"/>
  <c r="J20" i="109"/>
  <c r="J24" i="109"/>
  <c r="K13" i="102"/>
  <c r="L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K24" i="106"/>
  <c r="G33" i="116"/>
  <c r="H33" i="116" s="1"/>
  <c r="G37" i="116"/>
  <c r="H37" i="116" s="1"/>
  <c r="E22" i="117"/>
  <c r="G24" i="102"/>
  <c r="K24" i="102" s="1"/>
  <c r="L24" i="102" s="1"/>
  <c r="K17" i="102"/>
  <c r="L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K20" i="106"/>
  <c r="G34" i="116"/>
  <c r="H34" i="116" s="1"/>
  <c r="G29" i="102"/>
  <c r="K29" i="102" s="1"/>
  <c r="L29" i="102" s="1"/>
  <c r="G27" i="102"/>
  <c r="K27" i="102" s="1"/>
  <c r="L27" i="102" s="1"/>
  <c r="G19" i="102"/>
  <c r="K19" i="102" s="1"/>
  <c r="L19" i="102" s="1"/>
  <c r="E10" i="117"/>
  <c r="L23" i="117"/>
  <c r="L3" i="117"/>
  <c r="M29" i="109"/>
  <c r="K28" i="102"/>
  <c r="L28" i="102" s="1"/>
  <c r="F39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6" i="102"/>
  <c r="K36" i="102" s="1"/>
  <c r="L36" i="102" s="1"/>
  <c r="G32" i="102"/>
  <c r="K32" i="102" s="1"/>
  <c r="L32" i="102" s="1"/>
  <c r="E11" i="117"/>
  <c r="I39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H40" i="116" l="1"/>
  <c r="L8" i="117"/>
  <c r="L25" i="117"/>
  <c r="L10" i="117"/>
  <c r="L21" i="117"/>
  <c r="L20" i="117"/>
  <c r="L31" i="117"/>
  <c r="L2" i="117"/>
  <c r="L32" i="117"/>
  <c r="F31" i="117"/>
  <c r="M31" i="109"/>
  <c r="M34" i="109"/>
  <c r="M26" i="109"/>
  <c r="M16" i="109"/>
  <c r="M35" i="109"/>
  <c r="M24" i="109"/>
  <c r="M28" i="109"/>
  <c r="M25" i="109"/>
  <c r="M9" i="109"/>
  <c r="M17" i="109"/>
  <c r="Q17" i="109" s="1"/>
  <c r="M30" i="109"/>
  <c r="M18" i="109"/>
  <c r="P21" i="109"/>
  <c r="P39" i="109"/>
  <c r="Q39" i="109" s="1"/>
  <c r="M12" i="109"/>
  <c r="M19" i="109"/>
  <c r="M36" i="109"/>
  <c r="M21" i="109"/>
  <c r="M27" i="109"/>
  <c r="M15" i="109"/>
  <c r="M14" i="109"/>
  <c r="Q14" i="109" s="1"/>
  <c r="L24" i="117"/>
  <c r="L12" i="117"/>
  <c r="L9" i="117"/>
  <c r="L17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F13" i="117"/>
  <c r="F16" i="117"/>
  <c r="F3" i="117"/>
  <c r="F4" i="117"/>
  <c r="F5" i="117"/>
  <c r="F20" i="117"/>
  <c r="F9" i="117"/>
  <c r="F29" i="117"/>
  <c r="M38" i="109"/>
  <c r="Q38" i="109" s="1"/>
  <c r="M23" i="109"/>
  <c r="M33" i="109"/>
  <c r="P37" i="109"/>
  <c r="M32" i="109"/>
  <c r="M11" i="109"/>
  <c r="M37" i="109"/>
  <c r="M10" i="109"/>
  <c r="M22" i="109"/>
  <c r="M20" i="109"/>
  <c r="Q20" i="109" s="1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P32" i="109"/>
  <c r="P10" i="109"/>
  <c r="P11" i="109"/>
  <c r="P24" i="109"/>
  <c r="Q24" i="109" s="1"/>
  <c r="P14" i="109"/>
  <c r="P13" i="109"/>
  <c r="Q13" i="109" s="1"/>
  <c r="P28" i="109"/>
  <c r="Q28" i="109" s="1"/>
  <c r="P25" i="109"/>
  <c r="P27" i="109"/>
  <c r="P36" i="109"/>
  <c r="P17" i="109"/>
  <c r="P9" i="109"/>
  <c r="Q9" i="109" s="1"/>
  <c r="P12" i="109"/>
  <c r="Q12" i="109" s="1"/>
  <c r="P16" i="109"/>
  <c r="Q16" i="109" s="1"/>
  <c r="P22" i="109"/>
  <c r="P38" i="109"/>
  <c r="P26" i="109"/>
  <c r="Q26" i="109" s="1"/>
  <c r="P19" i="109"/>
  <c r="Q19" i="109" s="1"/>
  <c r="P15" i="109"/>
  <c r="P29" i="109"/>
  <c r="Q29" i="109" s="1"/>
  <c r="L27" i="117"/>
  <c r="F21" i="117"/>
  <c r="Q32" i="109"/>
  <c r="F11" i="117"/>
  <c r="P35" i="109"/>
  <c r="Q35" i="109" s="1"/>
  <c r="Q21" i="109"/>
  <c r="P20" i="109"/>
  <c r="P34" i="109"/>
  <c r="Q34" i="109" s="1"/>
  <c r="F12" i="117"/>
  <c r="F2" i="117"/>
  <c r="L39" i="102"/>
  <c r="F26" i="117"/>
  <c r="F30" i="117"/>
  <c r="F6" i="117"/>
  <c r="F10" i="117"/>
  <c r="F15" i="117"/>
  <c r="F25" i="117"/>
  <c r="F8" i="117"/>
  <c r="F22" i="117"/>
  <c r="Q36" i="109" l="1"/>
  <c r="Q18" i="109"/>
  <c r="Q22" i="109"/>
  <c r="Q33" i="109"/>
  <c r="H32" i="117"/>
  <c r="Q15" i="109"/>
  <c r="Q27" i="109"/>
  <c r="Q25" i="109"/>
  <c r="Q30" i="109"/>
  <c r="Q23" i="109"/>
  <c r="Q11" i="109"/>
  <c r="Q10" i="109"/>
  <c r="Q37" i="109"/>
  <c r="H21" i="117"/>
  <c r="H4" i="117"/>
  <c r="H9" i="117"/>
  <c r="H6" i="117"/>
  <c r="H11" i="117"/>
  <c r="H19" i="117"/>
  <c r="H31" i="117"/>
  <c r="H7" i="117"/>
  <c r="H26" i="117"/>
  <c r="H10" i="117"/>
  <c r="H29" i="117"/>
  <c r="H22" i="117"/>
  <c r="H2" i="117"/>
  <c r="H24" i="117"/>
  <c r="H13" i="117"/>
  <c r="H27" i="117"/>
  <c r="H28" i="117"/>
  <c r="H15" i="117"/>
  <c r="H14" i="117"/>
  <c r="H5" i="117"/>
  <c r="H12" i="117"/>
  <c r="H25" i="117"/>
  <c r="H17" i="117"/>
  <c r="M39" i="102"/>
  <c r="H16" i="117" l="1"/>
  <c r="H8" i="117"/>
  <c r="H18" i="117"/>
  <c r="H20" i="117"/>
  <c r="H23" i="117"/>
  <c r="R40" i="109"/>
  <c r="U40" i="109" s="1"/>
  <c r="H30" i="117"/>
  <c r="H3" i="117"/>
</calcChain>
</file>

<file path=xl/sharedStrings.xml><?xml version="1.0" encoding="utf-8"?>
<sst xmlns="http://schemas.openxmlformats.org/spreadsheetml/2006/main" count="116" uniqueCount="57">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</sst>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N28" sqref="N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42</v>
      </c>
      <c r="B1" s="58" t="s">
        <v>43</v>
      </c>
      <c r="C1" s="59" t="s">
        <v>44</v>
      </c>
      <c r="D1" s="58" t="s">
        <v>45</v>
      </c>
      <c r="E1" s="60" t="s">
        <v>46</v>
      </c>
      <c r="F1" s="61" t="s">
        <v>47</v>
      </c>
      <c r="G1" s="60" t="s">
        <v>48</v>
      </c>
      <c r="H1" s="61" t="s">
        <v>49</v>
      </c>
      <c r="I1" s="60" t="s">
        <v>50</v>
      </c>
      <c r="J1" s="61" t="s">
        <v>51</v>
      </c>
      <c r="K1" s="60" t="s">
        <v>52</v>
      </c>
      <c r="L1" s="62" t="s">
        <v>53</v>
      </c>
      <c r="M1" s="60" t="s">
        <v>54</v>
      </c>
      <c r="N1" s="60" t="s">
        <v>39</v>
      </c>
    </row>
    <row r="2" spans="1:14" ht="15" x14ac:dyDescent="0.25">
      <c r="A2" s="63" t="s">
        <v>55</v>
      </c>
      <c r="B2" s="64">
        <v>1</v>
      </c>
      <c r="C2" s="65">
        <v>1</v>
      </c>
      <c r="D2" s="64">
        <v>2021</v>
      </c>
      <c r="E2" s="66">
        <f>Electricity!F8+Electricity!I8</f>
        <v>10119.999999998981</v>
      </c>
      <c r="F2" s="67">
        <f>Electricity!L8/TOTAL!E2</f>
        <v>1236.9722826086934</v>
      </c>
      <c r="G2" s="66">
        <f>Gas!F9+Gas!I9+Gas!L9+Gas!O9</f>
        <v>107.51374465485644</v>
      </c>
      <c r="H2" s="67">
        <f>Gas!Q9/TOTAL!G2</f>
        <v>10630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551</v>
      </c>
      <c r="L2" s="67">
        <f>Water!K9/TOTAL!K2</f>
        <v>4000</v>
      </c>
      <c r="M2" s="66">
        <f>Electricity!C8</f>
        <v>13</v>
      </c>
      <c r="N2" s="66">
        <f>Electricity!D8</f>
        <v>88</v>
      </c>
    </row>
    <row r="3" spans="1:14" ht="15" x14ac:dyDescent="0.25">
      <c r="A3" s="63" t="s">
        <v>55</v>
      </c>
      <c r="B3" s="64">
        <f>B2+1</f>
        <v>2</v>
      </c>
      <c r="C3" s="65">
        <v>1</v>
      </c>
      <c r="D3" s="64">
        <v>2021</v>
      </c>
      <c r="E3" s="66">
        <f>Electricity!F9+Electricity!I9</f>
        <v>10499.999999999545</v>
      </c>
      <c r="F3" s="67">
        <f>Electricity!L9/TOTAL!E3</f>
        <v>1244.2765238095315</v>
      </c>
      <c r="G3" s="66">
        <f>Gas!F10+Gas!I10+Gas!L10+Gas!O10</f>
        <v>98.96151496640195</v>
      </c>
      <c r="H3" s="67">
        <f>Gas!Q10/TOTAL!G3</f>
        <v>10630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361</v>
      </c>
      <c r="L3" s="67">
        <f>Water!K10/TOTAL!K3</f>
        <v>4000</v>
      </c>
      <c r="M3" s="66">
        <f>Electricity!C9</f>
        <v>14</v>
      </c>
      <c r="N3" s="66">
        <f>Electricity!D9</f>
        <v>81</v>
      </c>
    </row>
    <row r="4" spans="1:14" ht="15" x14ac:dyDescent="0.25">
      <c r="A4" s="63" t="s">
        <v>55</v>
      </c>
      <c r="B4" s="64">
        <f t="shared" ref="B4:B32" si="0">B3+1</f>
        <v>3</v>
      </c>
      <c r="C4" s="65">
        <v>1</v>
      </c>
      <c r="D4" s="64">
        <v>2021</v>
      </c>
      <c r="E4" s="66">
        <f>Electricity!F10+Electricity!I10</f>
        <v>10780.000000000655</v>
      </c>
      <c r="F4" s="67">
        <f>Electricity!L10/TOTAL!E4</f>
        <v>1240.4867346938754</v>
      </c>
      <c r="G4" s="66">
        <f>Gas!F11+Gas!I11+Gas!L11+Gas!O11</f>
        <v>153.94013439218082</v>
      </c>
      <c r="H4" s="67">
        <f>Gas!Q11/TOTAL!G4</f>
        <v>10630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320</v>
      </c>
      <c r="L4" s="67">
        <f>Water!K11/TOTAL!K4</f>
        <v>4000</v>
      </c>
      <c r="M4" s="66">
        <f>Electricity!C10</f>
        <v>23</v>
      </c>
      <c r="N4" s="66">
        <f>Electricity!D10</f>
        <v>126</v>
      </c>
    </row>
    <row r="5" spans="1:14" ht="15" x14ac:dyDescent="0.25">
      <c r="A5" s="63" t="s">
        <v>55</v>
      </c>
      <c r="B5" s="64">
        <f t="shared" si="0"/>
        <v>4</v>
      </c>
      <c r="C5" s="65">
        <v>1</v>
      </c>
      <c r="D5" s="64">
        <v>2021</v>
      </c>
      <c r="E5" s="66">
        <f>Electricity!F11+Electricity!I11</f>
        <v>10300.000000000637</v>
      </c>
      <c r="F5" s="67">
        <f>Electricity!L11/TOTAL!E5</f>
        <v>1241.8962621359231</v>
      </c>
      <c r="G5" s="66">
        <f>Gas!F12+Gas!I12+Gas!L12+Gas!O12</f>
        <v>134.39218081857055</v>
      </c>
      <c r="H5" s="67">
        <f>Gas!Q12/TOTAL!G5</f>
        <v>10630</v>
      </c>
      <c r="I5" s="66">
        <f>'Fuel Diesel'!F12</f>
        <v>75</v>
      </c>
      <c r="J5" s="68">
        <f>'Fuel Diesel'!G12/'Fuel Diesel'!F12</f>
        <v>10700</v>
      </c>
      <c r="K5" s="66">
        <f>Water!E12+Water!G12+Water!I12</f>
        <v>343</v>
      </c>
      <c r="L5" s="67">
        <f>Water!K12/TOTAL!K5</f>
        <v>4000</v>
      </c>
      <c r="M5" s="66">
        <f>Electricity!C11</f>
        <v>20</v>
      </c>
      <c r="N5" s="66">
        <f>Electricity!D11</f>
        <v>110</v>
      </c>
    </row>
    <row r="6" spans="1:14" ht="15" x14ac:dyDescent="0.25">
      <c r="A6" s="63" t="s">
        <v>55</v>
      </c>
      <c r="B6" s="64">
        <f t="shared" si="0"/>
        <v>5</v>
      </c>
      <c r="C6" s="65">
        <v>1</v>
      </c>
      <c r="D6" s="64">
        <v>2021</v>
      </c>
      <c r="E6" s="66">
        <f>Electricity!F12+Electricity!I12</f>
        <v>10639.999999998963</v>
      </c>
      <c r="F6" s="67">
        <f>Electricity!L12/TOTAL!E6</f>
        <v>1241.8214285714182</v>
      </c>
      <c r="G6" s="66">
        <f>Gas!F13+Gas!I13+Gas!L13+Gas!O13</f>
        <v>140.50091631032379</v>
      </c>
      <c r="H6" s="67">
        <f>Gas!Q13/TOTAL!G6</f>
        <v>10630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330</v>
      </c>
      <c r="L6" s="67">
        <f>Water!K13/TOTAL!K6</f>
        <v>4000</v>
      </c>
      <c r="M6" s="66">
        <f>Electricity!C12</f>
        <v>21</v>
      </c>
      <c r="N6" s="66">
        <f>Electricity!D12</f>
        <v>115</v>
      </c>
    </row>
    <row r="7" spans="1:14" ht="15" x14ac:dyDescent="0.25">
      <c r="A7" s="63" t="s">
        <v>55</v>
      </c>
      <c r="B7" s="64">
        <f t="shared" si="0"/>
        <v>6</v>
      </c>
      <c r="C7" s="65">
        <v>1</v>
      </c>
      <c r="D7" s="64">
        <v>2021</v>
      </c>
      <c r="E7" s="66">
        <f>Electricity!F13+Electricity!I13</f>
        <v>10920.000000000528</v>
      </c>
      <c r="F7" s="67">
        <f>Electricity!L13/TOTAL!E7</f>
        <v>1242.3155219780178</v>
      </c>
      <c r="G7" s="66">
        <f>Gas!F14+Gas!I14+Gas!L14+Gas!O14</f>
        <v>113.62248014660965</v>
      </c>
      <c r="H7" s="67">
        <f>Gas!Q14/TOTAL!G7</f>
        <v>10630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351</v>
      </c>
      <c r="L7" s="67">
        <f>Water!K14/TOTAL!K7</f>
        <v>4000</v>
      </c>
      <c r="M7" s="66">
        <f>Electricity!C13</f>
        <v>17</v>
      </c>
      <c r="N7" s="66">
        <f>Electricity!D13</f>
        <v>93</v>
      </c>
    </row>
    <row r="8" spans="1:14" ht="15" x14ac:dyDescent="0.25">
      <c r="A8" s="63" t="s">
        <v>55</v>
      </c>
      <c r="B8" s="64">
        <f t="shared" si="0"/>
        <v>7</v>
      </c>
      <c r="C8" s="65">
        <v>1</v>
      </c>
      <c r="D8" s="64">
        <v>2021</v>
      </c>
      <c r="E8" s="66">
        <f>Electricity!F14+Electricity!I14</f>
        <v>10680.000000000291</v>
      </c>
      <c r="F8" s="67">
        <f>Electricity!L14/TOTAL!E8</f>
        <v>1245.7026217228438</v>
      </c>
      <c r="G8" s="66">
        <f>Gas!F15+Gas!I15+Gas!L15+Gas!O15</f>
        <v>67.196090409285276</v>
      </c>
      <c r="H8" s="67">
        <f>Gas!Q15/TOTAL!G8</f>
        <v>10630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329</v>
      </c>
      <c r="L8" s="67">
        <f>Water!K15/TOTAL!K8</f>
        <v>4000</v>
      </c>
      <c r="M8" s="66">
        <f>Electricity!C14</f>
        <v>10</v>
      </c>
      <c r="N8" s="66">
        <f>Electricity!D14</f>
        <v>55</v>
      </c>
    </row>
    <row r="9" spans="1:14" ht="15" x14ac:dyDescent="0.25">
      <c r="A9" s="63" t="s">
        <v>55</v>
      </c>
      <c r="B9" s="64">
        <f t="shared" si="0"/>
        <v>8</v>
      </c>
      <c r="C9" s="65">
        <v>1</v>
      </c>
      <c r="D9" s="64">
        <v>2021</v>
      </c>
      <c r="E9" s="66">
        <f>Electricity!F15+Electricity!I15</f>
        <v>10959.999999998672</v>
      </c>
      <c r="F9" s="67">
        <f>Electricity!L15/TOTAL!E9</f>
        <v>1239.8600821168034</v>
      </c>
      <c r="G9" s="66">
        <f>Gas!F16+Gas!I16+Gas!L16+Gas!O16</f>
        <v>73.304825901038484</v>
      </c>
      <c r="H9" s="67">
        <f>Gas!Q16/TOTAL!G9</f>
        <v>10630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353</v>
      </c>
      <c r="L9" s="67">
        <f>Water!K16/TOTAL!K9</f>
        <v>4000</v>
      </c>
      <c r="M9" s="66">
        <f>Electricity!C15</f>
        <v>11</v>
      </c>
      <c r="N9" s="66">
        <f>Electricity!D15</f>
        <v>60</v>
      </c>
    </row>
    <row r="10" spans="1:14" ht="15" x14ac:dyDescent="0.25">
      <c r="A10" s="63" t="s">
        <v>55</v>
      </c>
      <c r="B10" s="64">
        <f t="shared" si="0"/>
        <v>9</v>
      </c>
      <c r="C10" s="65">
        <v>1</v>
      </c>
      <c r="D10" s="64">
        <v>2021</v>
      </c>
      <c r="E10" s="66">
        <f>Electricity!F16+Electricity!I16</f>
        <v>10460.000000000036</v>
      </c>
      <c r="F10" s="67">
        <f>Electricity!L16/TOTAL!E10</f>
        <v>1245.7678776290647</v>
      </c>
      <c r="G10" s="66">
        <f>Gas!F17+Gas!I17+Gas!L17+Gas!O17</f>
        <v>73.304825901038484</v>
      </c>
      <c r="H10" s="67">
        <f>Gas!Q17/TOTAL!G10</f>
        <v>10630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376</v>
      </c>
      <c r="L10" s="67">
        <f>Water!K17/TOTAL!K10</f>
        <v>4000</v>
      </c>
      <c r="M10" s="66">
        <f>Electricity!C16</f>
        <v>11</v>
      </c>
      <c r="N10" s="66">
        <f>Electricity!D16</f>
        <v>60</v>
      </c>
    </row>
    <row r="11" spans="1:14" ht="15" x14ac:dyDescent="0.25">
      <c r="A11" s="63" t="s">
        <v>55</v>
      </c>
      <c r="B11" s="64">
        <f t="shared" si="0"/>
        <v>10</v>
      </c>
      <c r="C11" s="65">
        <v>1</v>
      </c>
      <c r="D11" s="64">
        <v>2021</v>
      </c>
      <c r="E11" s="66">
        <f>Electricity!F17+Electricity!I17</f>
        <v>11400.000000001455</v>
      </c>
      <c r="F11" s="67">
        <f>Electricity!L17/TOTAL!E11</f>
        <v>1238.9666666666542</v>
      </c>
      <c r="G11" s="66">
        <f>Gas!F18+Gas!I18+Gas!L18+Gas!O18</f>
        <v>46.426389737324378</v>
      </c>
      <c r="H11" s="67">
        <f>Gas!Q18/TOTAL!G11</f>
        <v>10630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349</v>
      </c>
      <c r="L11" s="67">
        <f>Water!K18/TOTAL!K11</f>
        <v>4000</v>
      </c>
      <c r="M11" s="66">
        <f>Electricity!C17</f>
        <v>7</v>
      </c>
      <c r="N11" s="66">
        <f>Electricity!D17</f>
        <v>38</v>
      </c>
    </row>
    <row r="12" spans="1:14" ht="15" x14ac:dyDescent="0.25">
      <c r="A12" s="63" t="s">
        <v>55</v>
      </c>
      <c r="B12" s="64">
        <f t="shared" si="0"/>
        <v>11</v>
      </c>
      <c r="C12" s="65">
        <v>1</v>
      </c>
      <c r="D12" s="64">
        <v>2021</v>
      </c>
      <c r="E12" s="66">
        <f>Electricity!F18+Electricity!I18</f>
        <v>10879.99999999829</v>
      </c>
      <c r="F12" s="67">
        <f>Electricity!L18/TOTAL!E12</f>
        <v>1241.6482536764886</v>
      </c>
      <c r="G12" s="66">
        <f>Gas!F19+Gas!I19+Gas!L19+Gas!O19</f>
        <v>40.317654245571163</v>
      </c>
      <c r="H12" s="67">
        <f>Gas!Q19/TOTAL!G12</f>
        <v>10630</v>
      </c>
      <c r="I12" s="66">
        <f>'Fuel Diesel'!F19</f>
        <v>52</v>
      </c>
      <c r="J12" s="68">
        <f>'Fuel Diesel'!G19/'Fuel Diesel'!F19</f>
        <v>10700</v>
      </c>
      <c r="K12" s="66">
        <f>Water!E19+Water!G19+Water!I19</f>
        <v>404</v>
      </c>
      <c r="L12" s="67">
        <f>Water!K19/TOTAL!K12</f>
        <v>4000</v>
      </c>
      <c r="M12" s="66">
        <f>Electricity!C18</f>
        <v>6</v>
      </c>
      <c r="N12" s="66">
        <f>Electricity!D18</f>
        <v>33</v>
      </c>
    </row>
    <row r="13" spans="1:14" ht="15" x14ac:dyDescent="0.25">
      <c r="A13" s="63" t="s">
        <v>55</v>
      </c>
      <c r="B13" s="64">
        <f t="shared" si="0"/>
        <v>12</v>
      </c>
      <c r="C13" s="65">
        <v>1</v>
      </c>
      <c r="D13" s="64">
        <v>2021</v>
      </c>
      <c r="E13" s="66">
        <f>Electricity!F19+Electricity!I19</f>
        <v>10500.000000001364</v>
      </c>
      <c r="F13" s="67">
        <f>Electricity!L19/TOTAL!E13</f>
        <v>1239.9372857142796</v>
      </c>
      <c r="G13" s="66">
        <f>Gas!F20+Gas!I20+Gas!L20+Gas!O20</f>
        <v>59.865607819181434</v>
      </c>
      <c r="H13" s="67">
        <f>Gas!Q20/TOTAL!G13</f>
        <v>10630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377</v>
      </c>
      <c r="L13" s="67">
        <f>Water!K20/TOTAL!K13</f>
        <v>4000</v>
      </c>
      <c r="M13" s="66">
        <f>Electricity!C19</f>
        <v>9</v>
      </c>
      <c r="N13" s="66">
        <f>Electricity!D19</f>
        <v>49</v>
      </c>
    </row>
    <row r="14" spans="1:14" ht="15" x14ac:dyDescent="0.25">
      <c r="A14" s="63" t="s">
        <v>55</v>
      </c>
      <c r="B14" s="64">
        <f t="shared" si="0"/>
        <v>13</v>
      </c>
      <c r="C14" s="65">
        <v>1</v>
      </c>
      <c r="D14" s="64">
        <v>2021</v>
      </c>
      <c r="E14" s="66">
        <f>Electricity!F20+Electricity!I20</f>
        <v>10939.999999999145</v>
      </c>
      <c r="F14" s="67">
        <f>Electricity!L20/TOTAL!E14</f>
        <v>1242.1267367458959</v>
      </c>
      <c r="G14" s="66">
        <f>Gas!F21+Gas!I21+Gas!L21+Gas!O21</f>
        <v>53.756872327428219</v>
      </c>
      <c r="H14" s="67">
        <f>Gas!Q21/TOTAL!G14</f>
        <v>10630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398</v>
      </c>
      <c r="L14" s="67">
        <f>Water!K21/TOTAL!K14</f>
        <v>4000</v>
      </c>
      <c r="M14" s="66">
        <f>Electricity!C20</f>
        <v>8</v>
      </c>
      <c r="N14" s="66">
        <f>Electricity!D20</f>
        <v>44</v>
      </c>
    </row>
    <row r="15" spans="1:14" ht="15" x14ac:dyDescent="0.25">
      <c r="A15" s="63" t="s">
        <v>55</v>
      </c>
      <c r="B15" s="64">
        <f t="shared" si="0"/>
        <v>14</v>
      </c>
      <c r="C15" s="65">
        <v>1</v>
      </c>
      <c r="D15" s="64">
        <v>2021</v>
      </c>
      <c r="E15" s="66">
        <f>Electricity!F21+Electricity!I21</f>
        <v>10960.000000000036</v>
      </c>
      <c r="F15" s="67">
        <f>Electricity!L21/TOTAL!E15</f>
        <v>1240.8993613138703</v>
      </c>
      <c r="G15" s="66">
        <f>Gas!F22+Gas!I22+Gas!L22+Gas!O22</f>
        <v>80.635308491142325</v>
      </c>
      <c r="H15" s="67">
        <f>Gas!Q22/TOTAL!G15</f>
        <v>10630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390</v>
      </c>
      <c r="L15" s="67">
        <f>Water!K22/TOTAL!K15</f>
        <v>4000</v>
      </c>
      <c r="M15" s="66">
        <f>Electricity!C21</f>
        <v>12</v>
      </c>
      <c r="N15" s="66">
        <f>Electricity!D21</f>
        <v>66</v>
      </c>
    </row>
    <row r="16" spans="1:14" ht="15" x14ac:dyDescent="0.25">
      <c r="A16" s="63" t="s">
        <v>55</v>
      </c>
      <c r="B16" s="64">
        <f t="shared" si="0"/>
        <v>15</v>
      </c>
      <c r="C16" s="65">
        <v>1</v>
      </c>
      <c r="D16" s="64">
        <v>2021</v>
      </c>
      <c r="E16" s="66">
        <f>Electricity!F22+Electricity!I22</f>
        <v>11480.000000000473</v>
      </c>
      <c r="F16" s="67">
        <f>Electricity!L22/TOTAL!E16</f>
        <v>1232.3171602787472</v>
      </c>
      <c r="G16" s="66">
        <f>Gas!F23+Gas!I23+Gas!L23+Gas!O23</f>
        <v>80.635308491142325</v>
      </c>
      <c r="H16" s="67">
        <f>Gas!Q23/TOTAL!G16</f>
        <v>10630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410</v>
      </c>
      <c r="L16" s="67">
        <f>Water!K23/TOTAL!K16</f>
        <v>4000</v>
      </c>
      <c r="M16" s="66">
        <f>Electricity!C22</f>
        <v>12</v>
      </c>
      <c r="N16" s="66">
        <f>Electricity!D22</f>
        <v>66</v>
      </c>
    </row>
    <row r="17" spans="1:14" ht="15" x14ac:dyDescent="0.25">
      <c r="A17" s="63" t="s">
        <v>55</v>
      </c>
      <c r="B17" s="64">
        <f t="shared" si="0"/>
        <v>16</v>
      </c>
      <c r="C17" s="65">
        <v>1</v>
      </c>
      <c r="D17" s="64">
        <v>2021</v>
      </c>
      <c r="E17" s="66">
        <f>Electricity!F23+Electricity!I23</f>
        <v>11099.999999999454</v>
      </c>
      <c r="F17" s="67">
        <f>Electricity!L23/TOTAL!E17</f>
        <v>1243.7194594594628</v>
      </c>
      <c r="G17" s="66">
        <f>Gas!F24+Gas!I24+Gas!L24+Gas!O24</f>
        <v>59.865607819181434</v>
      </c>
      <c r="H17" s="67">
        <f>Gas!Q24/TOTAL!G17</f>
        <v>10630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395</v>
      </c>
      <c r="L17" s="67">
        <f>Water!K24/TOTAL!K17</f>
        <v>4000</v>
      </c>
      <c r="M17" s="66">
        <f>Electricity!C23</f>
        <v>9</v>
      </c>
      <c r="N17" s="66">
        <f>Electricity!D23</f>
        <v>49</v>
      </c>
    </row>
    <row r="18" spans="1:14" ht="15" x14ac:dyDescent="0.25">
      <c r="A18" s="63" t="s">
        <v>55</v>
      </c>
      <c r="B18" s="64">
        <f t="shared" si="0"/>
        <v>17</v>
      </c>
      <c r="C18" s="65">
        <v>1</v>
      </c>
      <c r="D18" s="64">
        <v>2021</v>
      </c>
      <c r="E18" s="66">
        <f>Electricity!F24+Electricity!I24</f>
        <v>11000.000000000455</v>
      </c>
      <c r="F18" s="67">
        <f>Electricity!L24/TOTAL!E18</f>
        <v>1241.5644999999968</v>
      </c>
      <c r="G18" s="66">
        <f>Gas!F25+Gas!I25+Gas!L25+Gas!O25</f>
        <v>53.756872327428219</v>
      </c>
      <c r="H18" s="67">
        <f>Gas!Q25/TOTAL!G18</f>
        <v>10630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429</v>
      </c>
      <c r="L18" s="67">
        <f>Water!K25/TOTAL!K18</f>
        <v>4245.6923076923076</v>
      </c>
      <c r="M18" s="66">
        <f>Electricity!C24</f>
        <v>8</v>
      </c>
      <c r="N18" s="66">
        <f>Electricity!D24</f>
        <v>44</v>
      </c>
    </row>
    <row r="19" spans="1:14" ht="15" x14ac:dyDescent="0.25">
      <c r="A19" s="63" t="s">
        <v>55</v>
      </c>
      <c r="B19" s="64">
        <f t="shared" si="0"/>
        <v>18</v>
      </c>
      <c r="C19" s="65">
        <v>1</v>
      </c>
      <c r="D19" s="64">
        <v>2021</v>
      </c>
      <c r="E19" s="66">
        <f>Electricity!F25+Electricity!I25</f>
        <v>10699.999999999363</v>
      </c>
      <c r="F19" s="67">
        <f>Electricity!L25/TOTAL!E19</f>
        <v>1244.4387383177643</v>
      </c>
      <c r="G19" s="66">
        <f>Gas!F26+Gas!I26+Gas!L26+Gas!O26</f>
        <v>19.547953573610265</v>
      </c>
      <c r="H19" s="67">
        <f>Gas!Q26/TOTAL!G19</f>
        <v>10629.999999999998</v>
      </c>
      <c r="I19" s="66">
        <f>'Fuel Diesel'!F26</f>
        <v>54</v>
      </c>
      <c r="J19" s="68">
        <f>'Fuel Diesel'!G26/'Fuel Diesel'!F26</f>
        <v>10700</v>
      </c>
      <c r="K19" s="66">
        <f>Water!E26+Water!G26+Water!I26</f>
        <v>464</v>
      </c>
      <c r="L19" s="67">
        <f>Water!K26/TOTAL!K19</f>
        <v>5342.3060344827591</v>
      </c>
      <c r="M19" s="66">
        <f>Electricity!C25</f>
        <v>3</v>
      </c>
      <c r="N19" s="66">
        <f>Electricity!D25</f>
        <v>16</v>
      </c>
    </row>
    <row r="20" spans="1:14" ht="15" x14ac:dyDescent="0.25">
      <c r="A20" s="63" t="s">
        <v>55</v>
      </c>
      <c r="B20" s="64">
        <f t="shared" si="0"/>
        <v>19</v>
      </c>
      <c r="C20" s="65">
        <v>1</v>
      </c>
      <c r="D20" s="64">
        <v>2021</v>
      </c>
      <c r="E20" s="66">
        <f>Electricity!F26+Electricity!I26</f>
        <v>10760.000000000218</v>
      </c>
      <c r="F20" s="67">
        <f>Electricity!L26/TOTAL!E20</f>
        <v>1239.6166821561128</v>
      </c>
      <c r="G20" s="66">
        <f>Gas!F27+Gas!I27+Gas!L27+Gas!O27</f>
        <v>26.87843616371411</v>
      </c>
      <c r="H20" s="67">
        <f>Gas!Q27/TOTAL!G20</f>
        <v>10630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387</v>
      </c>
      <c r="L20" s="67">
        <f>Water!K27/TOTAL!K20</f>
        <v>5015.1472868217052</v>
      </c>
      <c r="M20" s="66">
        <f>Electricity!C26</f>
        <v>4</v>
      </c>
      <c r="N20" s="66">
        <f>Electricity!D26</f>
        <v>22</v>
      </c>
    </row>
    <row r="21" spans="1:14" ht="15" x14ac:dyDescent="0.25">
      <c r="A21" s="63" t="s">
        <v>55</v>
      </c>
      <c r="B21" s="64">
        <f t="shared" si="0"/>
        <v>20</v>
      </c>
      <c r="C21" s="65">
        <v>1</v>
      </c>
      <c r="D21" s="64">
        <v>2021</v>
      </c>
      <c r="E21" s="66">
        <f>Electricity!F27+Electricity!I27</f>
        <v>10780.000000000655</v>
      </c>
      <c r="F21" s="67">
        <f>Electricity!L27/TOTAL!E21</f>
        <v>1244.7132653061162</v>
      </c>
      <c r="G21" s="66">
        <f>Gas!F28+Gas!I28+Gas!L28+Gas!O28</f>
        <v>73.304825901038484</v>
      </c>
      <c r="H21" s="67">
        <f>Gas!Q28/TOTAL!G21</f>
        <v>10630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191</v>
      </c>
      <c r="L21" s="67">
        <f>Water!K28/TOTAL!K21</f>
        <v>4000</v>
      </c>
      <c r="M21" s="66">
        <f>Electricity!C27</f>
        <v>11</v>
      </c>
      <c r="N21" s="66">
        <f>Electricity!D27</f>
        <v>60</v>
      </c>
    </row>
    <row r="22" spans="1:14" ht="15" x14ac:dyDescent="0.25">
      <c r="A22" s="63" t="s">
        <v>55</v>
      </c>
      <c r="B22" s="64">
        <f t="shared" si="0"/>
        <v>21</v>
      </c>
      <c r="C22" s="65">
        <v>1</v>
      </c>
      <c r="D22" s="64">
        <v>2021</v>
      </c>
      <c r="E22" s="66">
        <f>Electricity!F28+Electricity!I28</f>
        <v>10160.000000000309</v>
      </c>
      <c r="F22" s="67">
        <f>Electricity!L28/TOTAL!E22</f>
        <v>1232.1023129921405</v>
      </c>
      <c r="G22" s="66">
        <f>Gas!F29+Gas!I29+Gas!L29+Gas!O29</f>
        <v>94.074526572999389</v>
      </c>
      <c r="H22" s="67">
        <f>Gas!Q29/TOTAL!G22</f>
        <v>10630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184</v>
      </c>
      <c r="L22" s="67">
        <f>Water!K29/TOTAL!K22</f>
        <v>4000</v>
      </c>
      <c r="M22" s="66">
        <f>Electricity!C28</f>
        <v>14</v>
      </c>
      <c r="N22" s="66">
        <f>Electricity!D28</f>
        <v>77</v>
      </c>
    </row>
    <row r="23" spans="1:14" ht="15" x14ac:dyDescent="0.25">
      <c r="A23" s="63" t="s">
        <v>55</v>
      </c>
      <c r="B23" s="64">
        <f t="shared" si="0"/>
        <v>22</v>
      </c>
      <c r="C23" s="65">
        <v>1</v>
      </c>
      <c r="D23" s="64">
        <v>2021</v>
      </c>
      <c r="E23" s="66">
        <f>Electricity!F29+Electricity!I29</f>
        <v>10579.999999998563</v>
      </c>
      <c r="F23" s="67">
        <f>Electricity!L29/TOTAL!E23</f>
        <v>1240.2510396975379</v>
      </c>
      <c r="G23" s="66">
        <f>Gas!F30+Gas!I30+Gas!L30+Gas!O30</f>
        <v>59.865607819181434</v>
      </c>
      <c r="H23" s="67">
        <f>Gas!Q30/TOTAL!G23</f>
        <v>10630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162</v>
      </c>
      <c r="L23" s="67">
        <f>Water!K30/TOTAL!K23</f>
        <v>4000</v>
      </c>
      <c r="M23" s="66">
        <f>Electricity!C29</f>
        <v>9</v>
      </c>
      <c r="N23" s="66">
        <f>Electricity!D29</f>
        <v>49</v>
      </c>
    </row>
    <row r="24" spans="1:14" ht="15" x14ac:dyDescent="0.25">
      <c r="A24" s="63" t="s">
        <v>55</v>
      </c>
      <c r="B24" s="64">
        <f t="shared" si="0"/>
        <v>23</v>
      </c>
      <c r="C24" s="65">
        <v>1</v>
      </c>
      <c r="D24" s="64">
        <v>2021</v>
      </c>
      <c r="E24" s="66">
        <f>Electricity!F30+Electricity!I30</f>
        <v>10840.000000001055</v>
      </c>
      <c r="F24" s="67">
        <f>Electricity!L30/TOTAL!E24</f>
        <v>1242.0268450184419</v>
      </c>
      <c r="G24" s="66">
        <f>Gas!F31+Gas!I31+Gas!L31+Gas!O31</f>
        <v>48.869883934025658</v>
      </c>
      <c r="H24" s="67">
        <f>Gas!Q31/TOTAL!G24</f>
        <v>10630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152</v>
      </c>
      <c r="L24" s="67">
        <f>Water!K31/TOTAL!K24</f>
        <v>4000</v>
      </c>
      <c r="M24" s="66">
        <f>Electricity!C30</f>
        <v>7</v>
      </c>
      <c r="N24" s="66">
        <f>Electricity!D30</f>
        <v>40</v>
      </c>
    </row>
    <row r="25" spans="1:14" ht="15" x14ac:dyDescent="0.25">
      <c r="A25" s="63" t="s">
        <v>55</v>
      </c>
      <c r="B25" s="64">
        <f t="shared" si="0"/>
        <v>24</v>
      </c>
      <c r="C25" s="65">
        <v>1</v>
      </c>
      <c r="D25" s="64">
        <v>2021</v>
      </c>
      <c r="E25" s="66">
        <f>Electricity!F31+Electricity!I31</f>
        <v>11000</v>
      </c>
      <c r="F25" s="67">
        <f>Electricity!L31/TOTAL!E25</f>
        <v>1242.6000000000001</v>
      </c>
      <c r="G25" s="66">
        <f>Gas!F32+Gas!I32+Gas!L32+Gas!O32</f>
        <v>19.547953573610265</v>
      </c>
      <c r="H25" s="67">
        <f>Gas!Q32/TOTAL!G25</f>
        <v>10629.999999999998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151</v>
      </c>
      <c r="L25" s="67">
        <f>Water!K32/TOTAL!K25</f>
        <v>4000</v>
      </c>
      <c r="M25" s="66">
        <f>Electricity!C31</f>
        <v>3</v>
      </c>
      <c r="N25" s="66">
        <f>Electricity!D31</f>
        <v>16</v>
      </c>
    </row>
    <row r="26" spans="1:14" ht="15" x14ac:dyDescent="0.25">
      <c r="A26" s="63" t="s">
        <v>55</v>
      </c>
      <c r="B26" s="64">
        <f>B25+1</f>
        <v>25</v>
      </c>
      <c r="C26" s="65">
        <v>1</v>
      </c>
      <c r="D26" s="64">
        <v>2021</v>
      </c>
      <c r="E26" s="66">
        <f>Electricity!F32+Electricity!I32</f>
        <v>11019.999999999072</v>
      </c>
      <c r="F26" s="67">
        <f>Electricity!L32/TOTAL!E26</f>
        <v>1241.3784482758715</v>
      </c>
      <c r="G26" s="66">
        <f>Gas!F33+Gas!I33+Gas!L33+Gas!O33</f>
        <v>26.87843616371411</v>
      </c>
      <c r="H26" s="67">
        <f>Gas!Q33/TOTAL!G26</f>
        <v>10630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142</v>
      </c>
      <c r="L26" s="67">
        <f>Water!K33/TOTAL!K26</f>
        <v>4000</v>
      </c>
      <c r="M26" s="66">
        <f>Electricity!C32</f>
        <v>4</v>
      </c>
      <c r="N26" s="66">
        <f>Electricity!D32</f>
        <v>22</v>
      </c>
    </row>
    <row r="27" spans="1:14" ht="15" x14ac:dyDescent="0.25">
      <c r="A27" s="63" t="s">
        <v>55</v>
      </c>
      <c r="B27" s="64">
        <f t="shared" si="0"/>
        <v>26</v>
      </c>
      <c r="C27" s="65">
        <v>1</v>
      </c>
      <c r="D27" s="64">
        <v>2021</v>
      </c>
      <c r="E27" s="66">
        <f>Electricity!F33+Electricity!I33</f>
        <v>11000.000000000455</v>
      </c>
      <c r="F27" s="67">
        <f>Electricity!L33/TOTAL!E27</f>
        <v>1241.5644999999968</v>
      </c>
      <c r="G27" s="66">
        <f>Gas!F34+Gas!I34+Gas!L34+Gas!O34</f>
        <v>13.439218081857055</v>
      </c>
      <c r="H27" s="67">
        <f>Gas!Q34/TOTAL!G27</f>
        <v>10630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159</v>
      </c>
      <c r="L27" s="67">
        <f>Water!K34/TOTAL!K27</f>
        <v>4000</v>
      </c>
      <c r="M27" s="66">
        <f>Electricity!C33</f>
        <v>2</v>
      </c>
      <c r="N27" s="66">
        <f>Electricity!D33</f>
        <v>11</v>
      </c>
    </row>
    <row r="28" spans="1:14" ht="15" x14ac:dyDescent="0.25">
      <c r="A28" s="63" t="s">
        <v>55</v>
      </c>
      <c r="B28" s="64">
        <f t="shared" si="0"/>
        <v>27</v>
      </c>
      <c r="C28" s="65">
        <v>1</v>
      </c>
      <c r="D28" s="64">
        <v>2021</v>
      </c>
      <c r="E28" s="66">
        <f>Electricity!F34+Electricity!I34</f>
        <v>10960.000000000491</v>
      </c>
      <c r="F28" s="67">
        <f>Electricity!L34/TOTAL!E28</f>
        <v>1239.8600821167865</v>
      </c>
      <c r="G28" s="66">
        <f>Gas!F35+Gas!I35+Gas!L35+Gas!O35</f>
        <v>32.987171655467321</v>
      </c>
      <c r="H28" s="67">
        <f>Gas!Q35/TOTAL!G28</f>
        <v>10630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164</v>
      </c>
      <c r="L28" s="67">
        <f>Water!K35/TOTAL!K28</f>
        <v>4000</v>
      </c>
      <c r="M28" s="66">
        <f>Electricity!C34</f>
        <v>5</v>
      </c>
      <c r="N28" s="66">
        <f>Electricity!D34</f>
        <v>27</v>
      </c>
    </row>
    <row r="29" spans="1:14" ht="15" x14ac:dyDescent="0.25">
      <c r="A29" s="63" t="s">
        <v>55</v>
      </c>
      <c r="B29" s="64">
        <f t="shared" si="0"/>
        <v>28</v>
      </c>
      <c r="C29" s="65">
        <v>1</v>
      </c>
      <c r="D29" s="64">
        <v>2021</v>
      </c>
      <c r="E29" s="66">
        <f>Electricity!F35+Electricity!I35</f>
        <v>10799.999999999272</v>
      </c>
      <c r="F29" s="67">
        <f>Electricity!L35/TOTAL!E29</f>
        <v>1240.2988888888997</v>
      </c>
      <c r="G29" s="66">
        <f>Gas!F36+Gas!I36+Gas!L36+Gas!O36</f>
        <v>26.87843616371411</v>
      </c>
      <c r="H29" s="67">
        <f>Gas!Q36/TOTAL!G29</f>
        <v>10630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136</v>
      </c>
      <c r="L29" s="67">
        <f>Water!K36/TOTAL!K29</f>
        <v>4000</v>
      </c>
      <c r="M29" s="66">
        <f>Electricity!C35</f>
        <v>4</v>
      </c>
      <c r="N29" s="66">
        <f>Electricity!D35</f>
        <v>22</v>
      </c>
    </row>
    <row r="30" spans="1:14" ht="15" x14ac:dyDescent="0.25">
      <c r="A30" s="63" t="s">
        <v>55</v>
      </c>
      <c r="B30" s="64">
        <f t="shared" si="0"/>
        <v>29</v>
      </c>
      <c r="C30" s="65">
        <v>1</v>
      </c>
      <c r="D30" s="64">
        <v>2021</v>
      </c>
      <c r="E30" s="66">
        <f>Electricity!F36+Electricity!I36</f>
        <v>11440.000000000509</v>
      </c>
      <c r="F30" s="67">
        <f>Electricity!L36/TOTAL!E30</f>
        <v>1242.599999999992</v>
      </c>
      <c r="G30" s="66">
        <f>Gas!F37+Gas!I37+Gas!L37+Gas!O37</f>
        <v>40.317654245571163</v>
      </c>
      <c r="H30" s="67">
        <f>Gas!Q37/TOTAL!G30</f>
        <v>10630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167</v>
      </c>
      <c r="L30" s="67">
        <f>Water!K37/TOTAL!K30</f>
        <v>4000</v>
      </c>
      <c r="M30" s="66">
        <f>Electricity!C36</f>
        <v>6</v>
      </c>
      <c r="N30" s="66">
        <f>Electricity!D36</f>
        <v>33</v>
      </c>
    </row>
    <row r="31" spans="1:14" ht="15" x14ac:dyDescent="0.25">
      <c r="A31" s="63" t="s">
        <v>55</v>
      </c>
      <c r="B31" s="64">
        <f t="shared" si="0"/>
        <v>30</v>
      </c>
      <c r="C31" s="65">
        <v>1</v>
      </c>
      <c r="D31" s="64">
        <v>2021</v>
      </c>
      <c r="E31" s="66">
        <f>Electricity!F37+Electricity!I37</f>
        <v>10679.999999999836</v>
      </c>
      <c r="F31" s="67">
        <f>Electricity!L37/TOTAL!E31</f>
        <v>1233.9708333333456</v>
      </c>
      <c r="G31" s="66">
        <f>Gas!F38+Gas!I38+Gas!L38+Gas!O38</f>
        <v>46.426389737324378</v>
      </c>
      <c r="H31" s="67">
        <f>Gas!Q38/TOTAL!G31</f>
        <v>10630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134</v>
      </c>
      <c r="L31" s="67">
        <f>Water!K38/TOTAL!K31</f>
        <v>4000</v>
      </c>
      <c r="M31" s="66">
        <f>Electricity!C37</f>
        <v>7</v>
      </c>
      <c r="N31" s="66">
        <f>Electricity!D37</f>
        <v>38</v>
      </c>
    </row>
    <row r="32" spans="1:14" ht="15" x14ac:dyDescent="0.25">
      <c r="A32" s="63" t="s">
        <v>55</v>
      </c>
      <c r="B32" s="64">
        <f t="shared" si="0"/>
        <v>31</v>
      </c>
      <c r="C32" s="65">
        <v>1</v>
      </c>
      <c r="D32" s="64">
        <v>2021</v>
      </c>
      <c r="E32" s="66">
        <f>Electricity!F38+Electricity!I38</f>
        <v>10979.999999999563</v>
      </c>
      <c r="F32" s="67">
        <f>Electricity!L38/TOTAL!E32</f>
        <v>1242.7886156648492</v>
      </c>
      <c r="G32" s="66">
        <f>Gas!F39+Gas!I39+Gas!L39+Gas!O39</f>
        <v>32.987171655467321</v>
      </c>
      <c r="H32" s="67">
        <f>Gas!Q39/TOTAL!G32</f>
        <v>10630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153</v>
      </c>
      <c r="L32" s="67">
        <f>Water!K39/TOTAL!K32</f>
        <v>4000</v>
      </c>
      <c r="M32" s="66">
        <f>Electricity!C38</f>
        <v>5</v>
      </c>
      <c r="N32" s="66">
        <f>Electricity!D38</f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K45" sqref="K45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0">
        <v>44197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87" t="s">
        <v>34</v>
      </c>
      <c r="F5" s="87"/>
      <c r="G5" s="87"/>
      <c r="H5" s="89" t="s">
        <v>35</v>
      </c>
      <c r="I5" s="89"/>
      <c r="J5" s="89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13</v>
      </c>
      <c r="D8" s="37">
        <v>88</v>
      </c>
      <c r="E8" s="11">
        <v>4.1899999999995998</v>
      </c>
      <c r="F8" s="12">
        <f t="shared" ref="F8:F38" si="0">E8*2000</f>
        <v>8379.9999999991996</v>
      </c>
      <c r="G8" s="4">
        <f t="shared" ref="G8:G38" si="1">F8*1035.5</f>
        <v>8677489.9999991711</v>
      </c>
      <c r="H8" s="11">
        <v>0.86999999999989086</v>
      </c>
      <c r="I8" s="12">
        <f t="shared" ref="I8:I15" si="2">H8*2000</f>
        <v>1739.9999999997817</v>
      </c>
      <c r="J8" s="4">
        <f t="shared" ref="J8:J15" si="3">I8*1553.25</f>
        <v>2702654.999999661</v>
      </c>
      <c r="K8" s="11">
        <f t="shared" ref="K8:K15" si="4">G8+J8</f>
        <v>11380144.999998832</v>
      </c>
      <c r="L8" s="13">
        <f t="shared" ref="L8:L15" si="5">K8*1.1</f>
        <v>12518159.499998717</v>
      </c>
      <c r="M8" s="85">
        <f>L8/14084</f>
        <v>888.82132206750327</v>
      </c>
      <c r="N8" s="84"/>
    </row>
    <row r="9" spans="1:14" ht="17.100000000000001" customHeight="1" x14ac:dyDescent="0.25">
      <c r="A9" s="80"/>
      <c r="B9" s="77">
        <v>2</v>
      </c>
      <c r="C9" s="37">
        <v>14</v>
      </c>
      <c r="D9" s="37">
        <v>81</v>
      </c>
      <c r="E9" s="11">
        <v>4.2799999999997453</v>
      </c>
      <c r="F9" s="12">
        <f t="shared" si="0"/>
        <v>8559.9999999994907</v>
      </c>
      <c r="G9" s="4">
        <f t="shared" si="1"/>
        <v>8863879.9999994729</v>
      </c>
      <c r="H9" s="11">
        <v>0.97000000000002728</v>
      </c>
      <c r="I9" s="12">
        <f t="shared" si="2"/>
        <v>1940.0000000000546</v>
      </c>
      <c r="J9" s="4">
        <f t="shared" si="3"/>
        <v>3013305.0000000848</v>
      </c>
      <c r="K9" s="11">
        <f t="shared" si="4"/>
        <v>11877184.999999557</v>
      </c>
      <c r="L9" s="13">
        <f t="shared" si="5"/>
        <v>13064903.499999514</v>
      </c>
      <c r="M9" s="85">
        <f t="shared" ref="M9:M38" si="6">L9/14084</f>
        <v>927.64154359553493</v>
      </c>
      <c r="N9" s="84"/>
    </row>
    <row r="10" spans="1:14" ht="17.100000000000001" customHeight="1" x14ac:dyDescent="0.25">
      <c r="A10" s="80"/>
      <c r="B10" s="77">
        <v>3</v>
      </c>
      <c r="C10" s="37">
        <v>23</v>
      </c>
      <c r="D10" s="37">
        <v>126</v>
      </c>
      <c r="E10" s="11">
        <v>4.430000000000291</v>
      </c>
      <c r="F10" s="12">
        <f t="shared" si="0"/>
        <v>8860.0000000005821</v>
      </c>
      <c r="G10" s="4">
        <f t="shared" si="1"/>
        <v>9174530.0000006035</v>
      </c>
      <c r="H10" s="11">
        <v>0.96000000000003638</v>
      </c>
      <c r="I10" s="12">
        <f t="shared" si="2"/>
        <v>1920.0000000000728</v>
      </c>
      <c r="J10" s="4">
        <f t="shared" si="3"/>
        <v>2982240.0000001132</v>
      </c>
      <c r="K10" s="11">
        <f t="shared" si="4"/>
        <v>12156770.000000717</v>
      </c>
      <c r="L10" s="13">
        <f t="shared" si="5"/>
        <v>13372447.00000079</v>
      </c>
      <c r="M10" s="85">
        <f t="shared" si="6"/>
        <v>949.47791820511145</v>
      </c>
      <c r="N10" s="84"/>
    </row>
    <row r="11" spans="1:14" ht="17.100000000000001" customHeight="1" x14ac:dyDescent="0.25">
      <c r="A11" s="80"/>
      <c r="B11" s="77">
        <v>4</v>
      </c>
      <c r="C11" s="37">
        <v>20</v>
      </c>
      <c r="D11" s="37">
        <v>110</v>
      </c>
      <c r="E11" s="11">
        <v>4.2200000000002547</v>
      </c>
      <c r="F11" s="12">
        <f t="shared" si="0"/>
        <v>8440.0000000005093</v>
      </c>
      <c r="G11" s="4">
        <f t="shared" si="1"/>
        <v>8739620.0000005271</v>
      </c>
      <c r="H11" s="11">
        <v>0.93000000000006366</v>
      </c>
      <c r="I11" s="12">
        <f t="shared" si="2"/>
        <v>1860.0000000001273</v>
      </c>
      <c r="J11" s="4">
        <f t="shared" si="3"/>
        <v>2889045.0000001979</v>
      </c>
      <c r="K11" s="11">
        <f t="shared" si="4"/>
        <v>11628665.000000725</v>
      </c>
      <c r="L11" s="13">
        <f t="shared" si="5"/>
        <v>12791531.500000797</v>
      </c>
      <c r="M11" s="85">
        <f t="shared" si="6"/>
        <v>908.23143283163859</v>
      </c>
      <c r="N11" s="84"/>
    </row>
    <row r="12" spans="1:14" ht="17.100000000000001" customHeight="1" x14ac:dyDescent="0.25">
      <c r="A12" s="80"/>
      <c r="B12" s="77">
        <v>5</v>
      </c>
      <c r="C12" s="37">
        <v>21</v>
      </c>
      <c r="D12" s="37">
        <v>115</v>
      </c>
      <c r="E12" s="11">
        <v>4.3599999999996726</v>
      </c>
      <c r="F12" s="12">
        <f t="shared" si="0"/>
        <v>8719.9999999993452</v>
      </c>
      <c r="G12" s="4">
        <f t="shared" si="1"/>
        <v>9029559.999999322</v>
      </c>
      <c r="H12" s="11">
        <v>0.95999999999980901</v>
      </c>
      <c r="I12" s="12">
        <f t="shared" si="2"/>
        <v>1919.999999999618</v>
      </c>
      <c r="J12" s="4">
        <f t="shared" si="3"/>
        <v>2982239.9999994067</v>
      </c>
      <c r="K12" s="11">
        <f t="shared" si="4"/>
        <v>12011799.99999873</v>
      </c>
      <c r="L12" s="13">
        <f t="shared" si="5"/>
        <v>13212979.999998603</v>
      </c>
      <c r="M12" s="85">
        <f t="shared" si="6"/>
        <v>938.15535359263015</v>
      </c>
      <c r="N12" s="84"/>
    </row>
    <row r="13" spans="1:14" ht="17.100000000000001" customHeight="1" x14ac:dyDescent="0.25">
      <c r="A13" s="80"/>
      <c r="B13" s="77">
        <v>6</v>
      </c>
      <c r="C13" s="37">
        <v>17</v>
      </c>
      <c r="D13" s="37">
        <v>93</v>
      </c>
      <c r="E13" s="11">
        <v>4.4700000000002547</v>
      </c>
      <c r="F13" s="12">
        <f t="shared" si="0"/>
        <v>8940.0000000005093</v>
      </c>
      <c r="G13" s="4">
        <f t="shared" si="1"/>
        <v>9257370.0000005271</v>
      </c>
      <c r="H13" s="11">
        <v>0.99000000000000909</v>
      </c>
      <c r="I13" s="12">
        <f t="shared" si="2"/>
        <v>1980.0000000000182</v>
      </c>
      <c r="J13" s="4">
        <f t="shared" si="3"/>
        <v>3075435.0000000284</v>
      </c>
      <c r="K13" s="11">
        <f t="shared" si="4"/>
        <v>12332805.000000555</v>
      </c>
      <c r="L13" s="13">
        <f t="shared" si="5"/>
        <v>13566085.500000611</v>
      </c>
      <c r="M13" s="85">
        <f t="shared" si="6"/>
        <v>963.22674666292323</v>
      </c>
      <c r="N13" s="84"/>
    </row>
    <row r="14" spans="1:14" ht="17.100000000000001" customHeight="1" x14ac:dyDescent="0.25">
      <c r="A14" s="80"/>
      <c r="B14" s="77">
        <v>7</v>
      </c>
      <c r="C14" s="37">
        <v>10</v>
      </c>
      <c r="D14" s="37">
        <v>55</v>
      </c>
      <c r="E14" s="11">
        <v>4.3400000000001455</v>
      </c>
      <c r="F14" s="12">
        <f t="shared" si="0"/>
        <v>8680.000000000291</v>
      </c>
      <c r="G14" s="4">
        <f t="shared" si="1"/>
        <v>8988140.0000003017</v>
      </c>
      <c r="H14" s="11">
        <v>1</v>
      </c>
      <c r="I14" s="12">
        <f t="shared" si="2"/>
        <v>2000</v>
      </c>
      <c r="J14" s="4">
        <f t="shared" si="3"/>
        <v>3106500</v>
      </c>
      <c r="K14" s="11">
        <f t="shared" si="4"/>
        <v>12094640.000000302</v>
      </c>
      <c r="L14" s="13">
        <f t="shared" si="5"/>
        <v>13304104.000000333</v>
      </c>
      <c r="M14" s="85">
        <f t="shared" si="6"/>
        <v>944.62539051408214</v>
      </c>
      <c r="N14" s="84"/>
    </row>
    <row r="15" spans="1:14" ht="17.100000000000001" customHeight="1" x14ac:dyDescent="0.25">
      <c r="A15" s="80"/>
      <c r="B15" s="77">
        <v>8</v>
      </c>
      <c r="C15" s="37">
        <v>11</v>
      </c>
      <c r="D15" s="37">
        <v>60</v>
      </c>
      <c r="E15" s="11">
        <v>4.5099999999993088</v>
      </c>
      <c r="F15" s="12">
        <f t="shared" si="0"/>
        <v>9019.9999999986176</v>
      </c>
      <c r="G15" s="4">
        <f t="shared" si="1"/>
        <v>9340209.9999985676</v>
      </c>
      <c r="H15" s="11">
        <v>0.97000000000002728</v>
      </c>
      <c r="I15" s="12">
        <f t="shared" si="2"/>
        <v>1940.0000000000546</v>
      </c>
      <c r="J15" s="4">
        <f t="shared" si="3"/>
        <v>3013305.0000000848</v>
      </c>
      <c r="K15" s="11">
        <f t="shared" si="4"/>
        <v>12353514.999998651</v>
      </c>
      <c r="L15" s="13">
        <f t="shared" si="5"/>
        <v>13588866.499998517</v>
      </c>
      <c r="M15" s="85">
        <f t="shared" si="6"/>
        <v>964.84425589310683</v>
      </c>
      <c r="N15" s="84"/>
    </row>
    <row r="16" spans="1:14" ht="17.100000000000001" customHeight="1" x14ac:dyDescent="0.25">
      <c r="A16" s="80"/>
      <c r="B16" s="77">
        <v>9</v>
      </c>
      <c r="C16" s="37">
        <v>11</v>
      </c>
      <c r="D16" s="37">
        <v>60</v>
      </c>
      <c r="E16" s="11">
        <v>4.25</v>
      </c>
      <c r="F16" s="12">
        <f t="shared" si="0"/>
        <v>8500</v>
      </c>
      <c r="G16" s="4">
        <f t="shared" si="1"/>
        <v>8801750</v>
      </c>
      <c r="H16" s="11">
        <v>0.98000000000001819</v>
      </c>
      <c r="I16" s="12">
        <f t="shared" ref="I16:I37" si="7">H16*2000</f>
        <v>1960.0000000000364</v>
      </c>
      <c r="J16" s="4">
        <f t="shared" ref="J16:J37" si="8">I16*1553.25</f>
        <v>3044370.0000000563</v>
      </c>
      <c r="K16" s="11">
        <f t="shared" ref="K16:K37" si="9">G16+J16</f>
        <v>11846120.000000056</v>
      </c>
      <c r="L16" s="13">
        <f t="shared" ref="L16:L37" si="10">K16*1.1</f>
        <v>13030732.000000063</v>
      </c>
      <c r="M16" s="85">
        <f t="shared" si="6"/>
        <v>925.21527975007552</v>
      </c>
      <c r="N16" s="84"/>
    </row>
    <row r="17" spans="1:14" ht="17.100000000000001" customHeight="1" x14ac:dyDescent="0.25">
      <c r="A17" s="80"/>
      <c r="B17" s="77">
        <v>10</v>
      </c>
      <c r="C17" s="37">
        <v>7</v>
      </c>
      <c r="D17" s="37">
        <v>38</v>
      </c>
      <c r="E17" s="11">
        <v>4.7000000000007276</v>
      </c>
      <c r="F17" s="12">
        <f t="shared" si="0"/>
        <v>9400.0000000014552</v>
      </c>
      <c r="G17" s="4">
        <f t="shared" si="1"/>
        <v>9733700.0000015069</v>
      </c>
      <c r="H17" s="11">
        <v>1</v>
      </c>
      <c r="I17" s="12">
        <f t="shared" si="7"/>
        <v>2000</v>
      </c>
      <c r="J17" s="4">
        <f t="shared" si="8"/>
        <v>3106500</v>
      </c>
      <c r="K17" s="11">
        <f t="shared" si="9"/>
        <v>12840200.000001507</v>
      </c>
      <c r="L17" s="13">
        <f t="shared" si="10"/>
        <v>14124220.00000166</v>
      </c>
      <c r="M17" s="85">
        <f t="shared" si="6"/>
        <v>1002.8557228061388</v>
      </c>
      <c r="N17" s="84"/>
    </row>
    <row r="18" spans="1:14" ht="17.100000000000001" customHeight="1" x14ac:dyDescent="0.25">
      <c r="A18" s="80"/>
      <c r="B18" s="77">
        <v>11</v>
      </c>
      <c r="C18" s="37">
        <v>6</v>
      </c>
      <c r="D18" s="37">
        <v>33</v>
      </c>
      <c r="E18" s="11">
        <v>4.4599999999991269</v>
      </c>
      <c r="F18" s="12">
        <f t="shared" si="0"/>
        <v>8919.9999999982538</v>
      </c>
      <c r="G18" s="4">
        <f t="shared" si="1"/>
        <v>9236659.9999981914</v>
      </c>
      <c r="H18" s="11">
        <v>0.98000000000001819</v>
      </c>
      <c r="I18" s="12">
        <f t="shared" si="7"/>
        <v>1960.0000000000364</v>
      </c>
      <c r="J18" s="4">
        <f t="shared" si="8"/>
        <v>3044370.0000000563</v>
      </c>
      <c r="K18" s="11">
        <f t="shared" si="9"/>
        <v>12281029.999998247</v>
      </c>
      <c r="L18" s="13">
        <f t="shared" si="10"/>
        <v>13509132.999998072</v>
      </c>
      <c r="M18" s="85">
        <f t="shared" si="6"/>
        <v>959.18297358691223</v>
      </c>
      <c r="N18" s="84"/>
    </row>
    <row r="19" spans="1:14" ht="17.100000000000001" customHeight="1" x14ac:dyDescent="0.25">
      <c r="A19" s="80"/>
      <c r="B19" s="77">
        <v>12</v>
      </c>
      <c r="C19" s="37">
        <v>9</v>
      </c>
      <c r="D19" s="37">
        <v>49</v>
      </c>
      <c r="E19" s="11">
        <v>4.3200000000006185</v>
      </c>
      <c r="F19" s="12">
        <f t="shared" si="0"/>
        <v>8640.0000000012369</v>
      </c>
      <c r="G19" s="4">
        <f t="shared" si="1"/>
        <v>8946720.0000012815</v>
      </c>
      <c r="H19" s="11">
        <v>0.93000000000006366</v>
      </c>
      <c r="I19" s="12">
        <f t="shared" si="7"/>
        <v>1860.0000000001273</v>
      </c>
      <c r="J19" s="4">
        <f t="shared" si="8"/>
        <v>2889045.0000001979</v>
      </c>
      <c r="K19" s="11">
        <f t="shared" si="9"/>
        <v>11835765.000001479</v>
      </c>
      <c r="L19" s="13">
        <f t="shared" si="10"/>
        <v>13019341.500001628</v>
      </c>
      <c r="M19" s="85">
        <f t="shared" si="6"/>
        <v>924.4065251350205</v>
      </c>
      <c r="N19" s="84"/>
    </row>
    <row r="20" spans="1:14" ht="17.100000000000001" customHeight="1" x14ac:dyDescent="0.25">
      <c r="A20" s="80"/>
      <c r="B20" s="77">
        <v>13</v>
      </c>
      <c r="C20" s="37">
        <v>8</v>
      </c>
      <c r="D20" s="37">
        <v>44</v>
      </c>
      <c r="E20" s="11">
        <v>4.4799999999995634</v>
      </c>
      <c r="F20" s="12">
        <f t="shared" si="0"/>
        <v>8959.9999999991269</v>
      </c>
      <c r="G20" s="4">
        <f t="shared" si="1"/>
        <v>9278079.9999990966</v>
      </c>
      <c r="H20" s="11">
        <v>0.99000000000000909</v>
      </c>
      <c r="I20" s="12">
        <f t="shared" si="7"/>
        <v>1980.0000000000182</v>
      </c>
      <c r="J20" s="4">
        <f t="shared" si="8"/>
        <v>3075435.0000000284</v>
      </c>
      <c r="K20" s="11">
        <f t="shared" si="9"/>
        <v>12353514.999999125</v>
      </c>
      <c r="L20" s="13">
        <f t="shared" si="10"/>
        <v>13588866.499999039</v>
      </c>
      <c r="M20" s="85">
        <f t="shared" si="6"/>
        <v>964.8442558931439</v>
      </c>
      <c r="N20" s="84"/>
    </row>
    <row r="21" spans="1:14" ht="17.100000000000001" customHeight="1" x14ac:dyDescent="0.25">
      <c r="A21" s="80"/>
      <c r="B21" s="77">
        <v>14</v>
      </c>
      <c r="C21" s="37">
        <v>12</v>
      </c>
      <c r="D21" s="37">
        <v>66</v>
      </c>
      <c r="E21" s="11">
        <v>4.5</v>
      </c>
      <c r="F21" s="12">
        <f t="shared" si="0"/>
        <v>9000</v>
      </c>
      <c r="G21" s="4">
        <f t="shared" si="1"/>
        <v>9319500</v>
      </c>
      <c r="H21" s="11">
        <v>0.98000000000001819</v>
      </c>
      <c r="I21" s="12">
        <f t="shared" si="7"/>
        <v>1960.0000000000364</v>
      </c>
      <c r="J21" s="4">
        <f t="shared" si="8"/>
        <v>3044370.0000000563</v>
      </c>
      <c r="K21" s="11">
        <f t="shared" si="9"/>
        <v>12363870.000000056</v>
      </c>
      <c r="L21" s="13">
        <f t="shared" si="10"/>
        <v>13600257.000000063</v>
      </c>
      <c r="M21" s="85">
        <f t="shared" si="6"/>
        <v>965.65301050838275</v>
      </c>
      <c r="N21" s="84"/>
    </row>
    <row r="22" spans="1:14" ht="17.100000000000001" customHeight="1" x14ac:dyDescent="0.25">
      <c r="A22" s="80"/>
      <c r="B22" s="77">
        <v>15</v>
      </c>
      <c r="C22" s="37">
        <v>12</v>
      </c>
      <c r="D22" s="37">
        <v>66</v>
      </c>
      <c r="E22" s="11">
        <v>4.8000000000001819</v>
      </c>
      <c r="F22" s="12">
        <f t="shared" si="0"/>
        <v>9600.0000000003638</v>
      </c>
      <c r="G22" s="4">
        <f t="shared" si="1"/>
        <v>9940800.0000003763</v>
      </c>
      <c r="H22" s="11">
        <v>0.94000000000005457</v>
      </c>
      <c r="I22" s="12">
        <f t="shared" si="7"/>
        <v>1880.0000000001091</v>
      </c>
      <c r="J22" s="4">
        <f t="shared" si="8"/>
        <v>2920110.0000001695</v>
      </c>
      <c r="K22" s="11">
        <f t="shared" si="9"/>
        <v>12860910.000000546</v>
      </c>
      <c r="L22" s="13">
        <f t="shared" si="10"/>
        <v>14147001.000000602</v>
      </c>
      <c r="M22" s="85">
        <f t="shared" si="6"/>
        <v>1004.473232036396</v>
      </c>
      <c r="N22" s="84"/>
    </row>
    <row r="23" spans="1:14" ht="17.100000000000001" customHeight="1" x14ac:dyDescent="0.25">
      <c r="A23" s="80"/>
      <c r="B23" s="77">
        <v>16</v>
      </c>
      <c r="C23" s="37">
        <v>9</v>
      </c>
      <c r="D23" s="37">
        <v>49</v>
      </c>
      <c r="E23" s="11">
        <v>4.5299999999997453</v>
      </c>
      <c r="F23" s="12">
        <f t="shared" si="0"/>
        <v>9059.9999999994907</v>
      </c>
      <c r="G23" s="4">
        <f t="shared" si="1"/>
        <v>9381629.9999994729</v>
      </c>
      <c r="H23" s="11">
        <v>1.0199999999999818</v>
      </c>
      <c r="I23" s="12">
        <f t="shared" si="7"/>
        <v>2039.9999999999636</v>
      </c>
      <c r="J23" s="4">
        <f t="shared" si="8"/>
        <v>3168629.9999999437</v>
      </c>
      <c r="K23" s="11">
        <f t="shared" si="9"/>
        <v>12550259.999999417</v>
      </c>
      <c r="L23" s="13">
        <f t="shared" si="10"/>
        <v>13805285.999999359</v>
      </c>
      <c r="M23" s="85">
        <f t="shared" si="6"/>
        <v>980.21059358132345</v>
      </c>
      <c r="N23" s="84"/>
    </row>
    <row r="24" spans="1:14" ht="17.100000000000001" customHeight="1" x14ac:dyDescent="0.25">
      <c r="A24" s="80"/>
      <c r="B24" s="77">
        <v>17</v>
      </c>
      <c r="C24" s="37">
        <v>8</v>
      </c>
      <c r="D24" s="37">
        <v>44</v>
      </c>
      <c r="E24" s="11">
        <v>4.5100000000002183</v>
      </c>
      <c r="F24" s="12">
        <f t="shared" si="0"/>
        <v>9020.0000000004366</v>
      </c>
      <c r="G24" s="4">
        <f t="shared" si="1"/>
        <v>9340210.0000004526</v>
      </c>
      <c r="H24" s="11">
        <v>0.99000000000000909</v>
      </c>
      <c r="I24" s="12">
        <f t="shared" si="7"/>
        <v>1980.0000000000182</v>
      </c>
      <c r="J24" s="4">
        <f t="shared" si="8"/>
        <v>3075435.0000000284</v>
      </c>
      <c r="K24" s="11">
        <f t="shared" si="9"/>
        <v>12415645.000000481</v>
      </c>
      <c r="L24" s="13">
        <f t="shared" si="10"/>
        <v>13657209.500000529</v>
      </c>
      <c r="M24" s="85">
        <f t="shared" si="6"/>
        <v>969.69678358424665</v>
      </c>
      <c r="N24" s="84"/>
    </row>
    <row r="25" spans="1:14" ht="17.100000000000001" customHeight="1" x14ac:dyDescent="0.25">
      <c r="A25" s="80"/>
      <c r="B25" s="77">
        <v>18</v>
      </c>
      <c r="C25" s="37">
        <v>3</v>
      </c>
      <c r="D25" s="37">
        <v>16</v>
      </c>
      <c r="E25" s="11">
        <v>4.3599999999996726</v>
      </c>
      <c r="F25" s="12">
        <f t="shared" si="0"/>
        <v>8719.9999999993452</v>
      </c>
      <c r="G25" s="4">
        <f t="shared" si="1"/>
        <v>9029559.999999322</v>
      </c>
      <c r="H25" s="11">
        <v>0.99000000000000909</v>
      </c>
      <c r="I25" s="12">
        <f t="shared" si="7"/>
        <v>1980.0000000000182</v>
      </c>
      <c r="J25" s="4">
        <f t="shared" si="8"/>
        <v>3075435.0000000284</v>
      </c>
      <c r="K25" s="11">
        <f t="shared" si="9"/>
        <v>12104994.99999935</v>
      </c>
      <c r="L25" s="13">
        <f t="shared" si="10"/>
        <v>13315494.499999287</v>
      </c>
      <c r="M25" s="85">
        <f t="shared" si="6"/>
        <v>945.434145129174</v>
      </c>
      <c r="N25" s="84"/>
    </row>
    <row r="26" spans="1:14" ht="17.100000000000001" customHeight="1" x14ac:dyDescent="0.25">
      <c r="A26" s="80"/>
      <c r="B26" s="77">
        <v>19</v>
      </c>
      <c r="C26" s="37">
        <v>4</v>
      </c>
      <c r="D26" s="37">
        <v>22</v>
      </c>
      <c r="E26" s="11">
        <v>4.430000000000291</v>
      </c>
      <c r="F26" s="12">
        <f t="shared" si="0"/>
        <v>8860.0000000005821</v>
      </c>
      <c r="G26" s="4">
        <f t="shared" si="1"/>
        <v>9174530.0000006035</v>
      </c>
      <c r="H26" s="11">
        <v>0.9499999999998181</v>
      </c>
      <c r="I26" s="12">
        <f t="shared" si="7"/>
        <v>1899.9999999996362</v>
      </c>
      <c r="J26" s="4">
        <f t="shared" si="8"/>
        <v>2951174.9999994352</v>
      </c>
      <c r="K26" s="11">
        <f t="shared" si="9"/>
        <v>12125705.000000039</v>
      </c>
      <c r="L26" s="13">
        <f t="shared" si="10"/>
        <v>13338275.500000045</v>
      </c>
      <c r="M26" s="85">
        <f t="shared" si="6"/>
        <v>947.05165435956008</v>
      </c>
      <c r="N26" s="84"/>
    </row>
    <row r="27" spans="1:14" ht="17.100000000000001" customHeight="1" x14ac:dyDescent="0.25">
      <c r="A27" s="80"/>
      <c r="B27" s="77">
        <v>20</v>
      </c>
      <c r="C27" s="37">
        <v>11</v>
      </c>
      <c r="D27" s="37">
        <v>60</v>
      </c>
      <c r="E27" s="11">
        <v>4.3900000000003274</v>
      </c>
      <c r="F27" s="12">
        <f t="shared" si="0"/>
        <v>8780.0000000006548</v>
      </c>
      <c r="G27" s="4">
        <f t="shared" si="1"/>
        <v>9091690.000000678</v>
      </c>
      <c r="H27" s="11">
        <v>1</v>
      </c>
      <c r="I27" s="12">
        <f t="shared" si="7"/>
        <v>2000</v>
      </c>
      <c r="J27" s="4">
        <f t="shared" si="8"/>
        <v>3106500</v>
      </c>
      <c r="K27" s="11">
        <f t="shared" si="9"/>
        <v>12198190.000000678</v>
      </c>
      <c r="L27" s="13">
        <f t="shared" si="10"/>
        <v>13418009.000000747</v>
      </c>
      <c r="M27" s="85">
        <f t="shared" si="6"/>
        <v>952.71293666577299</v>
      </c>
      <c r="N27" s="84"/>
    </row>
    <row r="28" spans="1:14" ht="17.100000000000001" customHeight="1" x14ac:dyDescent="0.25">
      <c r="A28" s="80"/>
      <c r="B28" s="77">
        <v>21</v>
      </c>
      <c r="C28" s="37">
        <v>14</v>
      </c>
      <c r="D28" s="37">
        <v>77</v>
      </c>
      <c r="E28" s="11">
        <v>4.25</v>
      </c>
      <c r="F28" s="12">
        <f t="shared" si="0"/>
        <v>8500</v>
      </c>
      <c r="G28" s="4">
        <f t="shared" si="1"/>
        <v>8801750</v>
      </c>
      <c r="H28" s="11">
        <v>0.83000000000015461</v>
      </c>
      <c r="I28" s="12">
        <f t="shared" si="7"/>
        <v>1660.0000000003092</v>
      </c>
      <c r="J28" s="4">
        <f t="shared" si="8"/>
        <v>2578395.0000004801</v>
      </c>
      <c r="K28" s="11">
        <f t="shared" si="9"/>
        <v>11380145.000000481</v>
      </c>
      <c r="L28" s="13">
        <f t="shared" si="10"/>
        <v>12518159.500000529</v>
      </c>
      <c r="M28" s="85">
        <f t="shared" si="6"/>
        <v>888.82132206763197</v>
      </c>
      <c r="N28" s="84"/>
    </row>
    <row r="29" spans="1:14" ht="17.100000000000001" customHeight="1" x14ac:dyDescent="0.25">
      <c r="A29" s="80"/>
      <c r="B29" s="77">
        <v>22</v>
      </c>
      <c r="C29" s="37">
        <v>9</v>
      </c>
      <c r="D29" s="37">
        <v>49</v>
      </c>
      <c r="E29" s="11">
        <v>4.3499999999994543</v>
      </c>
      <c r="F29" s="12">
        <f t="shared" si="0"/>
        <v>8699.9999999989086</v>
      </c>
      <c r="G29" s="4">
        <f t="shared" si="1"/>
        <v>9008849.9999988694</v>
      </c>
      <c r="H29" s="11">
        <v>0.9399999999998272</v>
      </c>
      <c r="I29" s="12">
        <f t="shared" si="7"/>
        <v>1879.9999999996544</v>
      </c>
      <c r="J29" s="4">
        <f t="shared" si="8"/>
        <v>2920109.9999994631</v>
      </c>
      <c r="K29" s="11">
        <f t="shared" si="9"/>
        <v>11928959.999998333</v>
      </c>
      <c r="L29" s="13">
        <f t="shared" si="10"/>
        <v>13121855.999998167</v>
      </c>
      <c r="M29" s="85">
        <f t="shared" si="6"/>
        <v>931.68531667127002</v>
      </c>
      <c r="N29" s="84"/>
    </row>
    <row r="30" spans="1:14" ht="17.100000000000001" customHeight="1" x14ac:dyDescent="0.25">
      <c r="A30" s="80"/>
      <c r="B30" s="77">
        <v>23</v>
      </c>
      <c r="C30" s="37">
        <v>7</v>
      </c>
      <c r="D30" s="37">
        <v>40</v>
      </c>
      <c r="E30" s="11">
        <v>4.4400000000005093</v>
      </c>
      <c r="F30" s="12">
        <f t="shared" si="0"/>
        <v>8880.0000000010186</v>
      </c>
      <c r="G30" s="4">
        <f t="shared" si="1"/>
        <v>9195240.0000010543</v>
      </c>
      <c r="H30" s="11">
        <v>0.98000000000001819</v>
      </c>
      <c r="I30" s="12">
        <f t="shared" si="7"/>
        <v>1960.0000000000364</v>
      </c>
      <c r="J30" s="4">
        <f t="shared" si="8"/>
        <v>3044370.0000000563</v>
      </c>
      <c r="K30" s="11">
        <f t="shared" si="9"/>
        <v>12239610.00000111</v>
      </c>
      <c r="L30" s="13">
        <f t="shared" si="10"/>
        <v>13463571.000001222</v>
      </c>
      <c r="M30" s="85">
        <f t="shared" si="6"/>
        <v>955.94795512647136</v>
      </c>
      <c r="N30" s="84"/>
    </row>
    <row r="31" spans="1:14" ht="17.100000000000001" customHeight="1" x14ac:dyDescent="0.25">
      <c r="A31" s="80"/>
      <c r="B31" s="77">
        <v>24</v>
      </c>
      <c r="C31" s="37">
        <v>3</v>
      </c>
      <c r="D31" s="37">
        <v>16</v>
      </c>
      <c r="E31" s="11">
        <v>4.5</v>
      </c>
      <c r="F31" s="12">
        <f t="shared" si="0"/>
        <v>9000</v>
      </c>
      <c r="G31" s="4">
        <f t="shared" si="1"/>
        <v>9319500</v>
      </c>
      <c r="H31" s="11">
        <v>1</v>
      </c>
      <c r="I31" s="12">
        <f t="shared" si="7"/>
        <v>2000</v>
      </c>
      <c r="J31" s="4">
        <f t="shared" si="8"/>
        <v>3106500</v>
      </c>
      <c r="K31" s="11">
        <f t="shared" si="9"/>
        <v>12426000</v>
      </c>
      <c r="L31" s="13">
        <f t="shared" si="10"/>
        <v>13668600.000000002</v>
      </c>
      <c r="M31" s="85">
        <f t="shared" si="6"/>
        <v>970.50553819937534</v>
      </c>
      <c r="N31" s="84"/>
    </row>
    <row r="32" spans="1:14" ht="17.100000000000001" customHeight="1" x14ac:dyDescent="0.25">
      <c r="A32" s="80"/>
      <c r="B32" s="77">
        <v>25</v>
      </c>
      <c r="C32" s="37">
        <v>4</v>
      </c>
      <c r="D32" s="37">
        <v>22</v>
      </c>
      <c r="E32" s="11">
        <v>4.5199999999995271</v>
      </c>
      <c r="F32" s="12">
        <f t="shared" si="0"/>
        <v>9039.9999999990541</v>
      </c>
      <c r="G32" s="4">
        <f t="shared" si="1"/>
        <v>9360919.9999990202</v>
      </c>
      <c r="H32" s="11">
        <v>0.99000000000000909</v>
      </c>
      <c r="I32" s="12">
        <f t="shared" si="7"/>
        <v>1980.0000000000182</v>
      </c>
      <c r="J32" s="4">
        <f t="shared" si="8"/>
        <v>3075435.0000000284</v>
      </c>
      <c r="K32" s="11">
        <f t="shared" si="9"/>
        <v>12436354.999999048</v>
      </c>
      <c r="L32" s="13">
        <f t="shared" si="10"/>
        <v>13679990.499998953</v>
      </c>
      <c r="M32" s="85">
        <f t="shared" si="6"/>
        <v>971.31429281446697</v>
      </c>
      <c r="N32" s="84"/>
    </row>
    <row r="33" spans="1:16" ht="17.100000000000001" customHeight="1" x14ac:dyDescent="0.25">
      <c r="A33" s="80"/>
      <c r="B33" s="77">
        <v>26</v>
      </c>
      <c r="C33" s="37">
        <v>2</v>
      </c>
      <c r="D33" s="37">
        <v>11</v>
      </c>
      <c r="E33" s="11">
        <v>4.5100000000002183</v>
      </c>
      <c r="F33" s="12">
        <f t="shared" si="0"/>
        <v>9020.0000000004366</v>
      </c>
      <c r="G33" s="4">
        <f t="shared" si="1"/>
        <v>9340210.0000004526</v>
      </c>
      <c r="H33" s="11">
        <v>0.99000000000000909</v>
      </c>
      <c r="I33" s="12">
        <f t="shared" si="7"/>
        <v>1980.0000000000182</v>
      </c>
      <c r="J33" s="4">
        <f t="shared" si="8"/>
        <v>3075435.0000000284</v>
      </c>
      <c r="K33" s="11">
        <f t="shared" si="9"/>
        <v>12415645.000000481</v>
      </c>
      <c r="L33" s="13">
        <f t="shared" si="10"/>
        <v>13657209.500000529</v>
      </c>
      <c r="M33" s="85">
        <f t="shared" si="6"/>
        <v>969.69678358424665</v>
      </c>
      <c r="N33" s="84"/>
    </row>
    <row r="34" spans="1:16" ht="17.100000000000001" customHeight="1" x14ac:dyDescent="0.25">
      <c r="A34" s="80"/>
      <c r="B34" s="77">
        <v>27</v>
      </c>
      <c r="C34" s="37">
        <v>5</v>
      </c>
      <c r="D34" s="37">
        <v>27</v>
      </c>
      <c r="E34" s="11">
        <v>4.5100000000002183</v>
      </c>
      <c r="F34" s="12">
        <f t="shared" si="0"/>
        <v>9020.0000000004366</v>
      </c>
      <c r="G34" s="4">
        <f t="shared" si="1"/>
        <v>9340210.0000004526</v>
      </c>
      <c r="H34" s="11">
        <v>0.97000000000002728</v>
      </c>
      <c r="I34" s="12">
        <f t="shared" si="7"/>
        <v>1940.0000000000546</v>
      </c>
      <c r="J34" s="4">
        <f t="shared" si="8"/>
        <v>3013305.0000000848</v>
      </c>
      <c r="K34" s="11">
        <f t="shared" si="9"/>
        <v>12353515.000000536</v>
      </c>
      <c r="L34" s="13">
        <f t="shared" si="10"/>
        <v>13588866.50000059</v>
      </c>
      <c r="M34" s="85">
        <f t="shared" si="6"/>
        <v>964.84425589325406</v>
      </c>
      <c r="N34" s="84"/>
    </row>
    <row r="35" spans="1:16" ht="17.100000000000001" customHeight="1" x14ac:dyDescent="0.25">
      <c r="A35" s="80"/>
      <c r="B35" s="77">
        <v>28</v>
      </c>
      <c r="C35" s="37">
        <v>4</v>
      </c>
      <c r="D35" s="37">
        <v>22</v>
      </c>
      <c r="E35" s="11">
        <v>4.4399999999995998</v>
      </c>
      <c r="F35" s="12">
        <f t="shared" si="0"/>
        <v>8879.9999999991996</v>
      </c>
      <c r="G35" s="4">
        <f t="shared" si="1"/>
        <v>9195239.9999991711</v>
      </c>
      <c r="H35" s="11">
        <v>0.96000000000003638</v>
      </c>
      <c r="I35" s="12">
        <f t="shared" si="7"/>
        <v>1920.0000000000728</v>
      </c>
      <c r="J35" s="4">
        <f t="shared" si="8"/>
        <v>2982240.0000001132</v>
      </c>
      <c r="K35" s="11">
        <f t="shared" si="9"/>
        <v>12177479.999999285</v>
      </c>
      <c r="L35" s="13">
        <f t="shared" si="10"/>
        <v>13395227.999999214</v>
      </c>
      <c r="M35" s="85">
        <f t="shared" si="6"/>
        <v>951.09542743533189</v>
      </c>
      <c r="N35" s="84"/>
    </row>
    <row r="36" spans="1:16" ht="17.100000000000001" customHeight="1" x14ac:dyDescent="0.25">
      <c r="A36" s="80"/>
      <c r="B36" s="77">
        <v>29</v>
      </c>
      <c r="C36" s="37">
        <v>6</v>
      </c>
      <c r="D36" s="37">
        <v>33</v>
      </c>
      <c r="E36" s="11">
        <v>4.680000000000291</v>
      </c>
      <c r="F36" s="12">
        <f t="shared" si="0"/>
        <v>9360.0000000005821</v>
      </c>
      <c r="G36" s="4">
        <f t="shared" si="1"/>
        <v>9692280.0000006035</v>
      </c>
      <c r="H36" s="11">
        <v>1.0399999999999636</v>
      </c>
      <c r="I36" s="12">
        <f t="shared" si="7"/>
        <v>2079.9999999999272</v>
      </c>
      <c r="J36" s="4">
        <f t="shared" si="8"/>
        <v>3230759.9999998868</v>
      </c>
      <c r="K36" s="11">
        <f t="shared" si="9"/>
        <v>12923040.00000049</v>
      </c>
      <c r="L36" s="13">
        <f t="shared" si="10"/>
        <v>14215344.00000054</v>
      </c>
      <c r="M36" s="85">
        <f t="shared" si="6"/>
        <v>1009.3257597273886</v>
      </c>
      <c r="N36" s="84"/>
    </row>
    <row r="37" spans="1:16" ht="17.100000000000001" customHeight="1" x14ac:dyDescent="0.25">
      <c r="A37" s="80"/>
      <c r="B37" s="77">
        <v>30</v>
      </c>
      <c r="C37" s="37">
        <v>7</v>
      </c>
      <c r="D37" s="37">
        <v>38</v>
      </c>
      <c r="E37" s="11">
        <v>4.4499999999998181</v>
      </c>
      <c r="F37" s="12">
        <f t="shared" si="0"/>
        <v>8899.9999999996362</v>
      </c>
      <c r="G37" s="4">
        <f t="shared" si="1"/>
        <v>9215949.9999996237</v>
      </c>
      <c r="H37" s="11">
        <v>0.89000000000010004</v>
      </c>
      <c r="I37" s="12">
        <f t="shared" si="7"/>
        <v>1780.0000000002001</v>
      </c>
      <c r="J37" s="4">
        <f t="shared" si="8"/>
        <v>2764785.0000003106</v>
      </c>
      <c r="K37" s="11">
        <f t="shared" si="9"/>
        <v>11980734.999999935</v>
      </c>
      <c r="L37" s="13">
        <f t="shared" si="10"/>
        <v>13178808.499999929</v>
      </c>
      <c r="M37" s="85">
        <f t="shared" si="6"/>
        <v>935.72908974722588</v>
      </c>
      <c r="N37" s="84"/>
    </row>
    <row r="38" spans="1:16" ht="17.100000000000001" customHeight="1" x14ac:dyDescent="0.25">
      <c r="A38" s="80"/>
      <c r="B38" s="77">
        <v>31</v>
      </c>
      <c r="C38" s="37">
        <v>5</v>
      </c>
      <c r="D38" s="37">
        <v>27</v>
      </c>
      <c r="E38" s="11">
        <v>4.4899999999997817</v>
      </c>
      <c r="F38" s="12">
        <f t="shared" si="0"/>
        <v>8979.9999999995634</v>
      </c>
      <c r="G38" s="4">
        <f t="shared" si="1"/>
        <v>9298789.9999995474</v>
      </c>
      <c r="H38" s="11">
        <v>1</v>
      </c>
      <c r="I38" s="12">
        <f t="shared" ref="I38" si="11">H38*2000</f>
        <v>2000</v>
      </c>
      <c r="J38" s="4">
        <f t="shared" ref="J38" si="12">I38*1553.25</f>
        <v>3106500</v>
      </c>
      <c r="K38" s="11">
        <f t="shared" ref="K38" si="13">G38+J38</f>
        <v>12405289.999999547</v>
      </c>
      <c r="L38" s="13">
        <f t="shared" ref="L38" si="14">K38*1.1</f>
        <v>13645818.999999503</v>
      </c>
      <c r="M38" s="85">
        <f t="shared" si="6"/>
        <v>968.88802896900756</v>
      </c>
      <c r="N38" s="84"/>
    </row>
    <row r="39" spans="1:16" ht="15" x14ac:dyDescent="0.25">
      <c r="C39" s="19">
        <f>SUM(C8:C38)</f>
        <v>295</v>
      </c>
      <c r="D39" s="19">
        <f>SUM(D8:D38)</f>
        <v>1637</v>
      </c>
      <c r="F39" s="19">
        <f>SUM(F8:F38)</f>
        <v>275339.99999999825</v>
      </c>
      <c r="I39" s="19">
        <f>SUM(I8:I38)</f>
        <v>59980.000000000015</v>
      </c>
      <c r="K39" s="2" t="s">
        <v>41</v>
      </c>
      <c r="L39" s="54">
        <f>SUM(L8:L38)</f>
        <v>416106355.49999821</v>
      </c>
      <c r="M39" s="55">
        <f>SUM(M8:M38)</f>
        <v>29544.614846634347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335319.99999999825</v>
      </c>
    </row>
    <row r="41" spans="1:16" x14ac:dyDescent="0.2">
      <c r="C41" t="s">
        <v>40</v>
      </c>
      <c r="M41" s="42"/>
      <c r="P41" s="38"/>
    </row>
    <row r="42" spans="1:16" x14ac:dyDescent="0.2">
      <c r="M42" s="4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zoomScale="80" zoomScaleNormal="80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I32" sqref="I32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9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>
        <v>44197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5" t="s">
        <v>29</v>
      </c>
      <c r="G7" s="73" t="s">
        <v>56</v>
      </c>
      <c r="H7" s="86" t="s">
        <v>27</v>
      </c>
      <c r="I7" s="86" t="s">
        <v>29</v>
      </c>
      <c r="J7" s="73" t="s">
        <v>56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6"/>
      <c r="C8" s="86"/>
      <c r="D8" s="86"/>
      <c r="E8" s="86"/>
      <c r="F8" s="96"/>
      <c r="G8" s="82">
        <v>10630</v>
      </c>
      <c r="H8" s="86"/>
      <c r="I8" s="86"/>
      <c r="J8" s="82">
        <f>G8</f>
        <v>10630</v>
      </c>
      <c r="K8" s="86"/>
      <c r="L8" s="86"/>
      <c r="M8" s="82">
        <f>J8</f>
        <v>10630</v>
      </c>
      <c r="N8" s="86"/>
      <c r="O8" s="86"/>
      <c r="P8" s="82">
        <f>J8</f>
        <v>10630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13</v>
      </c>
      <c r="D9" s="16">
        <f>Electricity!D8</f>
        <v>88</v>
      </c>
      <c r="E9" s="3">
        <v>8</v>
      </c>
      <c r="F9" s="11">
        <v>100.37374465485644</v>
      </c>
      <c r="G9" s="25">
        <f>F9*$G$8</f>
        <v>1066972.905681124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75898.2</v>
      </c>
      <c r="Q9" s="17">
        <f>P9+G9+J9+M9</f>
        <v>1142871.1056811239</v>
      </c>
      <c r="R9" s="78">
        <f>Q9/14084</f>
        <v>81.146769787072131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14</v>
      </c>
      <c r="D10" s="16">
        <f>Electricity!D9</f>
        <v>81</v>
      </c>
      <c r="E10" s="3">
        <v>8</v>
      </c>
      <c r="F10" s="11">
        <v>91.821514966401949</v>
      </c>
      <c r="G10" s="25">
        <f>F10*$G$8</f>
        <v>976062.70409285277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75898.2</v>
      </c>
      <c r="Q10" s="17">
        <f>J10+M10+G10+P10</f>
        <v>1051960.9040928527</v>
      </c>
      <c r="R10" s="78">
        <f t="shared" ref="R10:R39" si="1">Q10/14084</f>
        <v>74.691913099464131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23</v>
      </c>
      <c r="D11" s="16">
        <f>Electricity!D10</f>
        <v>126</v>
      </c>
      <c r="E11" s="3">
        <v>8</v>
      </c>
      <c r="F11" s="11">
        <v>146.80013439218084</v>
      </c>
      <c r="G11" s="25">
        <f t="shared" ref="G11:G39" si="2">F11*$G$8</f>
        <v>1560485.4285888823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4">O11*$P$8</f>
        <v>75898.2</v>
      </c>
      <c r="Q11" s="17">
        <f t="shared" ref="Q11:Q39" si="5">J11+M11+G11+P11</f>
        <v>1636383.6285888823</v>
      </c>
      <c r="R11" s="78">
        <f t="shared" si="1"/>
        <v>116.18742037694422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20</v>
      </c>
      <c r="D12" s="16">
        <f>Electricity!D11</f>
        <v>110</v>
      </c>
      <c r="E12" s="3">
        <v>8</v>
      </c>
      <c r="F12" s="11">
        <v>127.25218081857055</v>
      </c>
      <c r="G12" s="25">
        <f t="shared" si="2"/>
        <v>1352690.682101405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75898.2</v>
      </c>
      <c r="Q12" s="17">
        <f t="shared" si="5"/>
        <v>1428588.8821014049</v>
      </c>
      <c r="R12" s="78">
        <f t="shared" si="1"/>
        <v>101.43346223384017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21</v>
      </c>
      <c r="D13" s="16">
        <f>Electricity!D12</f>
        <v>115</v>
      </c>
      <c r="E13" s="3">
        <v>8</v>
      </c>
      <c r="F13" s="11">
        <v>133.3609163103238</v>
      </c>
      <c r="G13" s="25">
        <f t="shared" si="2"/>
        <v>1417626.5403787419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75898.2</v>
      </c>
      <c r="Q13" s="17">
        <f t="shared" si="5"/>
        <v>1493524.7403787419</v>
      </c>
      <c r="R13" s="78">
        <f t="shared" si="1"/>
        <v>106.0440741535602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17</v>
      </c>
      <c r="D14" s="16">
        <f>Electricity!D13</f>
        <v>93</v>
      </c>
      <c r="E14" s="3">
        <v>8</v>
      </c>
      <c r="F14" s="11">
        <v>106.48248014660965</v>
      </c>
      <c r="G14" s="25">
        <f t="shared" si="2"/>
        <v>1131908.7639584607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75898.2</v>
      </c>
      <c r="Q14" s="17">
        <f t="shared" si="5"/>
        <v>1207806.9639584606</v>
      </c>
      <c r="R14" s="78">
        <f t="shared" si="1"/>
        <v>85.757381706792145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10</v>
      </c>
      <c r="D15" s="16">
        <f>Electricity!D14</f>
        <v>55</v>
      </c>
      <c r="E15" s="3">
        <v>8</v>
      </c>
      <c r="F15" s="11">
        <v>60.056090409285275</v>
      </c>
      <c r="G15" s="25">
        <f t="shared" si="2"/>
        <v>638396.24105070252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75898.2</v>
      </c>
      <c r="Q15" s="17">
        <f t="shared" si="5"/>
        <v>714294.44105070247</v>
      </c>
      <c r="R15" s="78">
        <f t="shared" si="1"/>
        <v>50.716731116920087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11</v>
      </c>
      <c r="D16" s="16">
        <f>Electricity!D15</f>
        <v>60</v>
      </c>
      <c r="E16" s="3">
        <v>8</v>
      </c>
      <c r="F16" s="11">
        <v>66.164825901038483</v>
      </c>
      <c r="G16" s="25">
        <f t="shared" si="2"/>
        <v>703332.0993280391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75898.2</v>
      </c>
      <c r="Q16" s="17">
        <f t="shared" si="5"/>
        <v>779230.29932803905</v>
      </c>
      <c r="R16" s="78">
        <f t="shared" si="1"/>
        <v>55.327343036640094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11</v>
      </c>
      <c r="D17" s="16">
        <f>Electricity!D16</f>
        <v>60</v>
      </c>
      <c r="E17" s="3">
        <v>8</v>
      </c>
      <c r="F17" s="11">
        <v>66.164825901038483</v>
      </c>
      <c r="G17" s="25">
        <f t="shared" si="2"/>
        <v>703332.0993280391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75898.2</v>
      </c>
      <c r="Q17" s="17">
        <f t="shared" si="5"/>
        <v>779230.29932803905</v>
      </c>
      <c r="R17" s="78">
        <f t="shared" si="1"/>
        <v>55.327343036640094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7</v>
      </c>
      <c r="D18" s="16">
        <f>Electricity!D17</f>
        <v>38</v>
      </c>
      <c r="E18" s="3">
        <v>8</v>
      </c>
      <c r="F18" s="11">
        <v>39.286389737324377</v>
      </c>
      <c r="G18" s="25">
        <f t="shared" si="2"/>
        <v>417614.32290775812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75898.2</v>
      </c>
      <c r="Q18" s="17">
        <f t="shared" si="5"/>
        <v>493512.52290775813</v>
      </c>
      <c r="R18" s="78">
        <f t="shared" si="1"/>
        <v>35.040650589872065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6</v>
      </c>
      <c r="D19" s="16">
        <f>Electricity!D18</f>
        <v>33</v>
      </c>
      <c r="E19" s="3">
        <v>8</v>
      </c>
      <c r="F19" s="11">
        <v>33.177654245571162</v>
      </c>
      <c r="G19" s="25">
        <f t="shared" si="2"/>
        <v>352678.46463042143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75898.2</v>
      </c>
      <c r="Q19" s="17">
        <f t="shared" si="5"/>
        <v>428576.66463042144</v>
      </c>
      <c r="R19" s="78">
        <f t="shared" si="1"/>
        <v>30.430038670152047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9</v>
      </c>
      <c r="D20" s="16">
        <f>Electricity!D19</f>
        <v>49</v>
      </c>
      <c r="E20" s="3">
        <v>8</v>
      </c>
      <c r="F20" s="11">
        <v>52.725607819181434</v>
      </c>
      <c r="G20" s="25">
        <f t="shared" si="2"/>
        <v>560473.2111178987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75898.2</v>
      </c>
      <c r="Q20" s="17">
        <f t="shared" si="5"/>
        <v>636371.41111789865</v>
      </c>
      <c r="R20" s="78">
        <f t="shared" si="1"/>
        <v>45.18399681325608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8</v>
      </c>
      <c r="D21" s="16">
        <f>Electricity!D20</f>
        <v>44</v>
      </c>
      <c r="E21" s="3">
        <v>8</v>
      </c>
      <c r="F21" s="11">
        <v>46.616872327428219</v>
      </c>
      <c r="G21" s="25">
        <f t="shared" si="2"/>
        <v>495537.35284056194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75898.2</v>
      </c>
      <c r="Q21" s="17">
        <f t="shared" si="5"/>
        <v>571435.55284056196</v>
      </c>
      <c r="R21" s="78">
        <f t="shared" si="1"/>
        <v>40.573384893536065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12</v>
      </c>
      <c r="D22" s="16">
        <f>Electricity!D21</f>
        <v>66</v>
      </c>
      <c r="E22" s="3">
        <v>8</v>
      </c>
      <c r="F22" s="11">
        <v>73.495308491142325</v>
      </c>
      <c r="G22" s="25">
        <f t="shared" si="2"/>
        <v>781255.12926084292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75898.2</v>
      </c>
      <c r="Q22" s="17">
        <f t="shared" si="5"/>
        <v>857153.32926084287</v>
      </c>
      <c r="R22" s="78">
        <f t="shared" si="1"/>
        <v>60.860077340304095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12</v>
      </c>
      <c r="D23" s="16">
        <f>Electricity!D22</f>
        <v>66</v>
      </c>
      <c r="E23" s="3">
        <v>8</v>
      </c>
      <c r="F23" s="11">
        <v>73.495308491142325</v>
      </c>
      <c r="G23" s="25">
        <f t="shared" si="2"/>
        <v>781255.12926084292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75898.2</v>
      </c>
      <c r="Q23" s="17">
        <f t="shared" si="5"/>
        <v>857153.32926084287</v>
      </c>
      <c r="R23" s="78">
        <f t="shared" si="1"/>
        <v>60.860077340304095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9</v>
      </c>
      <c r="D24" s="16">
        <f>Electricity!D23</f>
        <v>49</v>
      </c>
      <c r="E24" s="3">
        <v>8</v>
      </c>
      <c r="F24" s="11">
        <v>52.725607819181434</v>
      </c>
      <c r="G24" s="25">
        <f t="shared" si="2"/>
        <v>560473.2111178987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75898.2</v>
      </c>
      <c r="Q24" s="17">
        <f t="shared" si="5"/>
        <v>636371.41111789865</v>
      </c>
      <c r="R24" s="78">
        <f t="shared" si="1"/>
        <v>45.18399681325608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8</v>
      </c>
      <c r="D25" s="16">
        <f>Electricity!D24</f>
        <v>44</v>
      </c>
      <c r="E25" s="3">
        <v>8</v>
      </c>
      <c r="F25" s="11">
        <v>46.616872327428219</v>
      </c>
      <c r="G25" s="25">
        <f t="shared" si="2"/>
        <v>495537.35284056194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75898.2</v>
      </c>
      <c r="Q25" s="17">
        <f t="shared" si="5"/>
        <v>571435.55284056196</v>
      </c>
      <c r="R25" s="78">
        <f t="shared" si="1"/>
        <v>40.573384893536065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3</v>
      </c>
      <c r="D26" s="16">
        <f>Electricity!D25</f>
        <v>16</v>
      </c>
      <c r="E26" s="3">
        <v>8</v>
      </c>
      <c r="F26" s="11">
        <v>12.407953573610264</v>
      </c>
      <c r="G26" s="25">
        <f t="shared" si="2"/>
        <v>131896.54648747711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75898.2</v>
      </c>
      <c r="Q26" s="17">
        <f t="shared" si="5"/>
        <v>207794.7464874771</v>
      </c>
      <c r="R26" s="78">
        <f t="shared" si="1"/>
        <v>14.753958143104025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4</v>
      </c>
      <c r="D27" s="16">
        <f>Electricity!D26</f>
        <v>22</v>
      </c>
      <c r="E27" s="3">
        <v>8</v>
      </c>
      <c r="F27" s="11">
        <v>19.738436163714109</v>
      </c>
      <c r="G27" s="25">
        <f t="shared" si="2"/>
        <v>209819.57642028097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75898.2</v>
      </c>
      <c r="Q27" s="17">
        <f t="shared" si="5"/>
        <v>285717.77642028098</v>
      </c>
      <c r="R27" s="78">
        <f t="shared" si="1"/>
        <v>20.286692446768033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11</v>
      </c>
      <c r="D28" s="16">
        <f>Electricity!D27</f>
        <v>60</v>
      </c>
      <c r="E28" s="3">
        <v>8</v>
      </c>
      <c r="F28" s="11">
        <v>66.164825901038483</v>
      </c>
      <c r="G28" s="25">
        <f t="shared" si="2"/>
        <v>703332.0993280391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75898.2</v>
      </c>
      <c r="Q28" s="17">
        <f t="shared" si="5"/>
        <v>779230.29932803905</v>
      </c>
      <c r="R28" s="78">
        <f t="shared" si="1"/>
        <v>55.327343036640094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14</v>
      </c>
      <c r="D29" s="16">
        <f>Electricity!D28</f>
        <v>77</v>
      </c>
      <c r="E29" s="3">
        <v>8</v>
      </c>
      <c r="F29" s="11">
        <v>86.934526572999388</v>
      </c>
      <c r="G29" s="25">
        <f t="shared" si="2"/>
        <v>924114.01747098356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75898.2</v>
      </c>
      <c r="Q29" s="17">
        <f t="shared" si="5"/>
        <v>1000012.2174709835</v>
      </c>
      <c r="R29" s="78">
        <f t="shared" si="1"/>
        <v>71.003423563688116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9</v>
      </c>
      <c r="D30" s="16">
        <f>Electricity!D29</f>
        <v>49</v>
      </c>
      <c r="E30" s="3">
        <v>8</v>
      </c>
      <c r="F30" s="11">
        <v>52.725607819181434</v>
      </c>
      <c r="G30" s="25">
        <f t="shared" si="2"/>
        <v>560473.2111178987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75898.2</v>
      </c>
      <c r="Q30" s="17">
        <f t="shared" si="5"/>
        <v>636371.41111789865</v>
      </c>
      <c r="R30" s="78">
        <f t="shared" si="1"/>
        <v>45.18399681325608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7</v>
      </c>
      <c r="D31" s="16">
        <f>Electricity!D30</f>
        <v>40</v>
      </c>
      <c r="E31" s="3">
        <v>8</v>
      </c>
      <c r="F31" s="11">
        <v>41.729883934025658</v>
      </c>
      <c r="G31" s="25">
        <f t="shared" si="2"/>
        <v>443588.66621869273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75898.2</v>
      </c>
      <c r="Q31" s="17">
        <f t="shared" si="5"/>
        <v>519486.86621869274</v>
      </c>
      <c r="R31" s="78">
        <f t="shared" si="1"/>
        <v>36.884895357760065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3</v>
      </c>
      <c r="D32" s="16">
        <f>Electricity!D31</f>
        <v>16</v>
      </c>
      <c r="E32" s="3">
        <v>8</v>
      </c>
      <c r="F32" s="11">
        <v>12.407953573610264</v>
      </c>
      <c r="G32" s="25">
        <f t="shared" si="2"/>
        <v>131896.54648747711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75898.2</v>
      </c>
      <c r="Q32" s="17">
        <f t="shared" si="5"/>
        <v>207794.7464874771</v>
      </c>
      <c r="R32" s="78">
        <f t="shared" si="1"/>
        <v>14.753958143104025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4</v>
      </c>
      <c r="D33" s="16">
        <f>Electricity!D32</f>
        <v>22</v>
      </c>
      <c r="E33" s="3">
        <v>8</v>
      </c>
      <c r="F33" s="11">
        <v>19.738436163714109</v>
      </c>
      <c r="G33" s="25">
        <f t="shared" si="2"/>
        <v>209819.57642028097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75898.2</v>
      </c>
      <c r="Q33" s="17">
        <f t="shared" si="5"/>
        <v>285717.77642028098</v>
      </c>
      <c r="R33" s="78">
        <f t="shared" si="1"/>
        <v>20.286692446768033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2</v>
      </c>
      <c r="D34" s="16">
        <f>Electricity!D33</f>
        <v>11</v>
      </c>
      <c r="E34" s="3">
        <v>8</v>
      </c>
      <c r="F34" s="11">
        <v>6.2992180818570551</v>
      </c>
      <c r="G34" s="25">
        <f t="shared" si="2"/>
        <v>66960.688210140492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75898.2</v>
      </c>
      <c r="Q34" s="17">
        <f t="shared" si="5"/>
        <v>142858.88821014049</v>
      </c>
      <c r="R34" s="78">
        <f t="shared" si="1"/>
        <v>10.143346223384016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5</v>
      </c>
      <c r="D35" s="16">
        <f>Electricity!D34</f>
        <v>27</v>
      </c>
      <c r="E35" s="3">
        <v>8</v>
      </c>
      <c r="F35" s="11">
        <v>25.847171655467321</v>
      </c>
      <c r="G35" s="25">
        <f t="shared" si="2"/>
        <v>274755.4346976176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75898.2</v>
      </c>
      <c r="Q35" s="17">
        <f t="shared" si="5"/>
        <v>350653.63469761761</v>
      </c>
      <c r="R35" s="78">
        <f t="shared" si="1"/>
        <v>24.897304366488044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4</v>
      </c>
      <c r="D36" s="16">
        <f>Electricity!D35</f>
        <v>22</v>
      </c>
      <c r="E36" s="3">
        <v>8</v>
      </c>
      <c r="F36" s="11">
        <v>19.738436163714109</v>
      </c>
      <c r="G36" s="25">
        <f t="shared" si="2"/>
        <v>209819.57642028097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75898.2</v>
      </c>
      <c r="Q36" s="17">
        <f t="shared" si="5"/>
        <v>285717.77642028098</v>
      </c>
      <c r="R36" s="78">
        <f t="shared" si="1"/>
        <v>20.286692446768033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6</v>
      </c>
      <c r="D37" s="16">
        <f>Electricity!D36</f>
        <v>33</v>
      </c>
      <c r="E37" s="3">
        <v>8</v>
      </c>
      <c r="F37" s="11">
        <v>33.177654245571162</v>
      </c>
      <c r="G37" s="25">
        <f t="shared" si="2"/>
        <v>352678.46463042143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75898.2</v>
      </c>
      <c r="Q37" s="17">
        <f t="shared" si="5"/>
        <v>428576.66463042144</v>
      </c>
      <c r="R37" s="78">
        <f t="shared" si="1"/>
        <v>30.430038670152047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7</v>
      </c>
      <c r="D38" s="16">
        <f>Electricity!D37</f>
        <v>38</v>
      </c>
      <c r="E38" s="3">
        <v>8</v>
      </c>
      <c r="F38" s="11">
        <v>39.286389737324377</v>
      </c>
      <c r="G38" s="25">
        <f t="shared" si="2"/>
        <v>417614.32290775812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75898.2</v>
      </c>
      <c r="Q38" s="17">
        <f t="shared" si="5"/>
        <v>493512.52290775813</v>
      </c>
      <c r="R38" s="78">
        <f t="shared" si="1"/>
        <v>35.040650589872065</v>
      </c>
      <c r="S38" s="70"/>
    </row>
    <row r="39" spans="1:21" ht="15" x14ac:dyDescent="0.25">
      <c r="B39" s="77">
        <v>31</v>
      </c>
      <c r="C39" s="16">
        <f>Electricity!C38</f>
        <v>5</v>
      </c>
      <c r="D39" s="16">
        <f>Electricity!D38</f>
        <v>27</v>
      </c>
      <c r="E39" s="3">
        <v>8</v>
      </c>
      <c r="F39" s="11">
        <v>25.847171655467321</v>
      </c>
      <c r="G39" s="25">
        <f t="shared" si="2"/>
        <v>274755.4346976176</v>
      </c>
      <c r="H39" s="3"/>
      <c r="I39" s="25"/>
      <c r="J39" s="25"/>
      <c r="K39" s="25"/>
      <c r="L39" s="25"/>
      <c r="M39" s="25"/>
      <c r="N39" s="3"/>
      <c r="O39" s="11">
        <v>7.14</v>
      </c>
      <c r="P39" s="24">
        <f t="shared" si="4"/>
        <v>75898.2</v>
      </c>
      <c r="Q39" s="17">
        <f t="shared" si="5"/>
        <v>350653.63469761761</v>
      </c>
      <c r="R39" s="78">
        <f t="shared" si="1"/>
        <v>24.897304366488044</v>
      </c>
    </row>
    <row r="40" spans="1:21" s="1" customFormat="1" ht="15.75" x14ac:dyDescent="0.25">
      <c r="C40" s="49">
        <f>SUM(C9:C39)</f>
        <v>295</v>
      </c>
      <c r="D40" s="49">
        <f>SUM(D9:D39)</f>
        <v>1637</v>
      </c>
      <c r="E40" s="19"/>
      <c r="F40" s="19">
        <f>SUM(F9:F39)</f>
        <v>1778.66</v>
      </c>
      <c r="G40" s="10"/>
      <c r="H40" s="10"/>
      <c r="I40" s="19"/>
      <c r="J40" s="10"/>
      <c r="K40" s="10"/>
      <c r="L40" s="19"/>
      <c r="M40" s="10"/>
      <c r="N40" s="9"/>
      <c r="O40" s="19">
        <f>SUM(O9:O39)</f>
        <v>221.3399999999998</v>
      </c>
      <c r="P40" s="10"/>
      <c r="Q40" s="41">
        <f>F40+O40</f>
        <v>2000</v>
      </c>
      <c r="R40" s="52">
        <f>SUM(R9:R39)</f>
        <v>1509.5143425163303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40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8" t="s">
        <v>36</v>
      </c>
      <c r="C1" s="88"/>
      <c r="D1" s="88"/>
      <c r="E1" s="88"/>
      <c r="F1" s="88"/>
      <c r="G1" s="88"/>
      <c r="H1" s="88"/>
    </row>
    <row r="2" spans="1:9" ht="15.75" x14ac:dyDescent="0.25">
      <c r="B2" s="88" t="s">
        <v>2</v>
      </c>
      <c r="C2" s="88"/>
      <c r="D2" s="88"/>
      <c r="E2" s="88"/>
      <c r="F2" s="88"/>
      <c r="G2" s="88"/>
      <c r="H2" s="88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44197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13</v>
      </c>
      <c r="D9" s="37">
        <f>Electricity!D8</f>
        <v>88</v>
      </c>
      <c r="E9" s="15"/>
      <c r="F9" s="28">
        <v>0</v>
      </c>
      <c r="G9" s="28">
        <f>F9*$G$8</f>
        <v>0</v>
      </c>
      <c r="H9" s="78">
        <f>G9/14084</f>
        <v>0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14</v>
      </c>
      <c r="D10" s="37">
        <f>Electricity!D9</f>
        <v>81</v>
      </c>
      <c r="E10" s="15"/>
      <c r="F10" s="28">
        <v>0</v>
      </c>
      <c r="G10" s="28">
        <f>F10*$G$8</f>
        <v>0</v>
      </c>
      <c r="H10" s="78">
        <f t="shared" ref="H10:H39" si="0">G10/14084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23</v>
      </c>
      <c r="D11" s="37">
        <f>Electricity!D10</f>
        <v>126</v>
      </c>
      <c r="E11" s="15"/>
      <c r="F11" s="28">
        <v>0</v>
      </c>
      <c r="G11" s="28">
        <f t="shared" ref="G9:G39" si="1">F11*$G$8</f>
        <v>0</v>
      </c>
      <c r="H11" s="78">
        <f t="shared" si="0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20</v>
      </c>
      <c r="D12" s="37">
        <f>Electricity!D11</f>
        <v>110</v>
      </c>
      <c r="E12" s="15"/>
      <c r="F12" s="28">
        <v>75</v>
      </c>
      <c r="G12" s="28">
        <f t="shared" si="1"/>
        <v>802500</v>
      </c>
      <c r="H12" s="78">
        <f t="shared" si="0"/>
        <v>56.979551263845501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21</v>
      </c>
      <c r="D13" s="37">
        <f>Electricity!D12</f>
        <v>115</v>
      </c>
      <c r="E13" s="15"/>
      <c r="F13" s="28">
        <v>0</v>
      </c>
      <c r="G13" s="28">
        <f t="shared" si="1"/>
        <v>0</v>
      </c>
      <c r="H13" s="78">
        <f t="shared" si="0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17</v>
      </c>
      <c r="D14" s="37">
        <f>Electricity!D13</f>
        <v>93</v>
      </c>
      <c r="E14" s="15"/>
      <c r="F14" s="28">
        <v>0</v>
      </c>
      <c r="G14" s="28">
        <f t="shared" si="1"/>
        <v>0</v>
      </c>
      <c r="H14" s="78">
        <f t="shared" si="0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10</v>
      </c>
      <c r="D15" s="37">
        <f>Electricity!D14</f>
        <v>55</v>
      </c>
      <c r="E15" s="15"/>
      <c r="F15" s="28">
        <v>0</v>
      </c>
      <c r="G15" s="28">
        <f t="shared" si="1"/>
        <v>0</v>
      </c>
      <c r="H15" s="78">
        <f t="shared" si="0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11</v>
      </c>
      <c r="D16" s="37">
        <f>Electricity!D15</f>
        <v>60</v>
      </c>
      <c r="E16" s="15"/>
      <c r="F16" s="28">
        <v>0</v>
      </c>
      <c r="G16" s="28">
        <f t="shared" si="1"/>
        <v>0</v>
      </c>
      <c r="H16" s="78">
        <f t="shared" si="0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11</v>
      </c>
      <c r="D17" s="37">
        <f>Electricity!D16</f>
        <v>60</v>
      </c>
      <c r="E17" s="15"/>
      <c r="F17" s="28">
        <v>0</v>
      </c>
      <c r="G17" s="28">
        <f t="shared" si="1"/>
        <v>0</v>
      </c>
      <c r="H17" s="78">
        <f t="shared" si="0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7</v>
      </c>
      <c r="D18" s="37">
        <f>Electricity!D17</f>
        <v>38</v>
      </c>
      <c r="E18" s="15"/>
      <c r="F18" s="28">
        <v>0</v>
      </c>
      <c r="G18" s="28">
        <f t="shared" si="1"/>
        <v>0</v>
      </c>
      <c r="H18" s="78">
        <f t="shared" si="0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6</v>
      </c>
      <c r="D19" s="37">
        <f>Electricity!D18</f>
        <v>33</v>
      </c>
      <c r="E19" s="15"/>
      <c r="F19" s="28">
        <v>52</v>
      </c>
      <c r="G19" s="28">
        <f t="shared" si="1"/>
        <v>556400</v>
      </c>
      <c r="H19" s="78">
        <f t="shared" si="0"/>
        <v>39.505822209599543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9</v>
      </c>
      <c r="D20" s="37">
        <f>Electricity!D19</f>
        <v>49</v>
      </c>
      <c r="E20" s="15"/>
      <c r="F20" s="28">
        <v>0</v>
      </c>
      <c r="G20" s="28">
        <f t="shared" si="1"/>
        <v>0</v>
      </c>
      <c r="H20" s="78">
        <f t="shared" si="0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8</v>
      </c>
      <c r="D21" s="37">
        <f>Electricity!D20</f>
        <v>44</v>
      </c>
      <c r="E21" s="15"/>
      <c r="F21" s="28">
        <v>0</v>
      </c>
      <c r="G21" s="28">
        <f t="shared" si="1"/>
        <v>0</v>
      </c>
      <c r="H21" s="78">
        <f t="shared" si="0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12</v>
      </c>
      <c r="D22" s="37">
        <f>Electricity!D21</f>
        <v>66</v>
      </c>
      <c r="E22" s="15"/>
      <c r="F22" s="28">
        <v>0</v>
      </c>
      <c r="G22" s="28">
        <f t="shared" si="1"/>
        <v>0</v>
      </c>
      <c r="H22" s="78">
        <f t="shared" si="0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12</v>
      </c>
      <c r="D23" s="37">
        <f>Electricity!D22</f>
        <v>66</v>
      </c>
      <c r="E23" s="15"/>
      <c r="F23" s="28">
        <v>0</v>
      </c>
      <c r="G23" s="28">
        <f t="shared" si="1"/>
        <v>0</v>
      </c>
      <c r="H23" s="78">
        <f t="shared" si="0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9</v>
      </c>
      <c r="D24" s="37">
        <f>Electricity!D23</f>
        <v>49</v>
      </c>
      <c r="E24" s="15"/>
      <c r="F24" s="28">
        <v>0</v>
      </c>
      <c r="G24" s="28">
        <f t="shared" si="1"/>
        <v>0</v>
      </c>
      <c r="H24" s="78">
        <f t="shared" si="0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8</v>
      </c>
      <c r="D25" s="37">
        <f>Electricity!D24</f>
        <v>44</v>
      </c>
      <c r="E25" s="15"/>
      <c r="F25" s="28">
        <v>0</v>
      </c>
      <c r="G25" s="28">
        <f t="shared" si="1"/>
        <v>0</v>
      </c>
      <c r="H25" s="78">
        <f t="shared" si="0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3</v>
      </c>
      <c r="D26" s="37">
        <f>Electricity!D25</f>
        <v>16</v>
      </c>
      <c r="E26" s="15"/>
      <c r="F26" s="28">
        <v>54</v>
      </c>
      <c r="G26" s="28">
        <f t="shared" si="1"/>
        <v>577800</v>
      </c>
      <c r="H26" s="78">
        <f t="shared" si="0"/>
        <v>41.02527690996876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4</v>
      </c>
      <c r="D27" s="37">
        <f>Electricity!D26</f>
        <v>22</v>
      </c>
      <c r="E27" s="15"/>
      <c r="F27" s="28">
        <v>0</v>
      </c>
      <c r="G27" s="28">
        <f t="shared" si="1"/>
        <v>0</v>
      </c>
      <c r="H27" s="78">
        <f t="shared" si="0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11</v>
      </c>
      <c r="D28" s="37">
        <f>Electricity!D27</f>
        <v>60</v>
      </c>
      <c r="E28" s="15"/>
      <c r="F28" s="28">
        <v>0</v>
      </c>
      <c r="G28" s="28">
        <f t="shared" si="1"/>
        <v>0</v>
      </c>
      <c r="H28" s="78">
        <f t="shared" si="0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14</v>
      </c>
      <c r="D29" s="37">
        <f>Electricity!D28</f>
        <v>77</v>
      </c>
      <c r="E29" s="15"/>
      <c r="F29" s="28">
        <v>0</v>
      </c>
      <c r="G29" s="28">
        <f t="shared" si="1"/>
        <v>0</v>
      </c>
      <c r="H29" s="78">
        <f>G29/14084</f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9</v>
      </c>
      <c r="D30" s="37">
        <f>Electricity!D29</f>
        <v>49</v>
      </c>
      <c r="E30" s="15"/>
      <c r="F30" s="28">
        <v>0</v>
      </c>
      <c r="G30" s="28">
        <f t="shared" si="1"/>
        <v>0</v>
      </c>
      <c r="H30" s="78">
        <f t="shared" si="0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7</v>
      </c>
      <c r="D31" s="37">
        <f>Electricity!D30</f>
        <v>40</v>
      </c>
      <c r="E31" s="15"/>
      <c r="F31" s="28">
        <v>0</v>
      </c>
      <c r="G31" s="28">
        <f t="shared" si="1"/>
        <v>0</v>
      </c>
      <c r="H31" s="78">
        <f t="shared" si="0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3</v>
      </c>
      <c r="D32" s="37">
        <f>Electricity!D31</f>
        <v>16</v>
      </c>
      <c r="E32" s="15"/>
      <c r="F32" s="28">
        <v>0</v>
      </c>
      <c r="G32" s="28">
        <f t="shared" si="1"/>
        <v>0</v>
      </c>
      <c r="H32" s="78">
        <f t="shared" si="0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4</v>
      </c>
      <c r="D33" s="37">
        <f>Electricity!D32</f>
        <v>22</v>
      </c>
      <c r="E33" s="15"/>
      <c r="F33" s="28">
        <v>0</v>
      </c>
      <c r="G33" s="28">
        <f t="shared" si="1"/>
        <v>0</v>
      </c>
      <c r="H33" s="78">
        <f t="shared" si="0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2</v>
      </c>
      <c r="D34" s="37">
        <f>Electricity!D33</f>
        <v>11</v>
      </c>
      <c r="E34" s="15"/>
      <c r="F34" s="28">
        <v>0</v>
      </c>
      <c r="G34" s="28">
        <f t="shared" si="1"/>
        <v>0</v>
      </c>
      <c r="H34" s="78">
        <f t="shared" si="0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5</v>
      </c>
      <c r="D35" s="37">
        <f>Electricity!D34</f>
        <v>27</v>
      </c>
      <c r="E35" s="15"/>
      <c r="F35" s="28">
        <v>0</v>
      </c>
      <c r="G35" s="28">
        <f t="shared" si="1"/>
        <v>0</v>
      </c>
      <c r="H35" s="78">
        <f t="shared" si="0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4</v>
      </c>
      <c r="D36" s="37">
        <f>Electricity!D35</f>
        <v>22</v>
      </c>
      <c r="E36" s="15"/>
      <c r="F36" s="28">
        <v>0</v>
      </c>
      <c r="G36" s="28">
        <f t="shared" si="1"/>
        <v>0</v>
      </c>
      <c r="H36" s="78">
        <f t="shared" si="0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6</v>
      </c>
      <c r="D37" s="37">
        <f>Electricity!D36</f>
        <v>33</v>
      </c>
      <c r="E37" s="15"/>
      <c r="F37" s="28">
        <v>0</v>
      </c>
      <c r="G37" s="28">
        <f t="shared" si="1"/>
        <v>0</v>
      </c>
      <c r="H37" s="78">
        <f t="shared" si="0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7</v>
      </c>
      <c r="D38" s="37">
        <f>Electricity!D37</f>
        <v>38</v>
      </c>
      <c r="E38" s="15"/>
      <c r="F38" s="28">
        <v>0</v>
      </c>
      <c r="G38" s="28">
        <f t="shared" si="1"/>
        <v>0</v>
      </c>
      <c r="H38" s="78">
        <f t="shared" si="0"/>
        <v>0</v>
      </c>
      <c r="I38" s="70"/>
    </row>
    <row r="39" spans="1:11" ht="15" x14ac:dyDescent="0.25">
      <c r="A39" s="76"/>
      <c r="B39" s="77">
        <v>31</v>
      </c>
      <c r="C39" s="37">
        <f>Electricity!C38</f>
        <v>5</v>
      </c>
      <c r="D39" s="37">
        <f>Electricity!D38</f>
        <v>27</v>
      </c>
      <c r="E39" s="15"/>
      <c r="F39" s="28">
        <v>0</v>
      </c>
      <c r="G39" s="28">
        <f t="shared" si="1"/>
        <v>0</v>
      </c>
      <c r="H39" s="78">
        <f t="shared" si="0"/>
        <v>0</v>
      </c>
    </row>
    <row r="40" spans="1:11" s="1" customFormat="1" ht="21.6" customHeight="1" x14ac:dyDescent="0.2">
      <c r="C40" s="19">
        <f>SUM(C9:C39)</f>
        <v>295</v>
      </c>
      <c r="D40" s="19">
        <f>SUM(D9:D39)</f>
        <v>1637</v>
      </c>
      <c r="E40" s="19"/>
      <c r="F40" s="19">
        <f>SUM(F9:F39)</f>
        <v>181</v>
      </c>
      <c r="G40" s="19"/>
      <c r="H40" s="48">
        <f>SUM(H9:H39)</f>
        <v>137.5106503834138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40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abSelected="1" topLeftCell="A10" zoomScaleNormal="100" workbookViewId="0">
      <selection activeCell="J39" sqref="J39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.75" x14ac:dyDescent="0.2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0">
        <v>44197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13</v>
      </c>
      <c r="D9" s="37">
        <f>Electricity!D8</f>
        <v>88</v>
      </c>
      <c r="E9" s="11">
        <v>0</v>
      </c>
      <c r="F9" s="4">
        <f>E9*13582</f>
        <v>0</v>
      </c>
      <c r="G9" s="11">
        <v>148</v>
      </c>
      <c r="H9" s="4">
        <f>G9*4000</f>
        <v>592000</v>
      </c>
      <c r="I9" s="11">
        <v>403</v>
      </c>
      <c r="J9" s="4">
        <f>I9*4000</f>
        <v>1612000</v>
      </c>
      <c r="K9" s="11">
        <f t="shared" ref="K9:K39" si="0">F9+H9+J9</f>
        <v>2204000</v>
      </c>
      <c r="L9" s="81">
        <f>K9/14084</f>
        <v>156.48963362681056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14</v>
      </c>
      <c r="D10" s="37">
        <f>Electricity!D9</f>
        <v>81</v>
      </c>
      <c r="E10" s="11">
        <v>0</v>
      </c>
      <c r="F10" s="4">
        <f>E10*13582</f>
        <v>0</v>
      </c>
      <c r="G10" s="11">
        <v>150</v>
      </c>
      <c r="H10" s="4">
        <f>G10*4000</f>
        <v>600000</v>
      </c>
      <c r="I10" s="11">
        <v>211</v>
      </c>
      <c r="J10" s="4">
        <f>I10*4000</f>
        <v>844000</v>
      </c>
      <c r="K10" s="11">
        <f t="shared" si="0"/>
        <v>1444000</v>
      </c>
      <c r="L10" s="81">
        <f t="shared" ref="L10:L39" si="1">K10/14084</f>
        <v>102.52769099687589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23</v>
      </c>
      <c r="D11" s="37">
        <f>Electricity!D10</f>
        <v>126</v>
      </c>
      <c r="E11" s="11">
        <v>0</v>
      </c>
      <c r="F11" s="4">
        <f t="shared" ref="F11:F39" si="2">E11*13582</f>
        <v>0</v>
      </c>
      <c r="G11" s="11">
        <v>136</v>
      </c>
      <c r="H11" s="4">
        <f t="shared" ref="H11:H39" si="3">G11*4000</f>
        <v>544000</v>
      </c>
      <c r="I11" s="11">
        <v>184</v>
      </c>
      <c r="J11" s="4">
        <f t="shared" ref="J11:J38" si="4">I11*4000</f>
        <v>736000</v>
      </c>
      <c r="K11" s="11">
        <f t="shared" si="0"/>
        <v>1280000</v>
      </c>
      <c r="L11" s="81">
        <f t="shared" si="1"/>
        <v>90.883271797784715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20</v>
      </c>
      <c r="D12" s="37">
        <f>Electricity!D11</f>
        <v>110</v>
      </c>
      <c r="E12" s="11">
        <v>0</v>
      </c>
      <c r="F12" s="4">
        <f t="shared" si="2"/>
        <v>0</v>
      </c>
      <c r="G12" s="11">
        <v>144</v>
      </c>
      <c r="H12" s="4">
        <f t="shared" si="3"/>
        <v>576000</v>
      </c>
      <c r="I12" s="11">
        <v>199</v>
      </c>
      <c r="J12" s="4">
        <f t="shared" si="4"/>
        <v>796000</v>
      </c>
      <c r="K12" s="11">
        <f t="shared" si="0"/>
        <v>1372000</v>
      </c>
      <c r="L12" s="81">
        <f t="shared" si="1"/>
        <v>97.415506958250504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21</v>
      </c>
      <c r="D13" s="37">
        <f>Electricity!D12</f>
        <v>115</v>
      </c>
      <c r="E13" s="11">
        <v>0</v>
      </c>
      <c r="F13" s="4">
        <f t="shared" si="2"/>
        <v>0</v>
      </c>
      <c r="G13" s="11">
        <v>138</v>
      </c>
      <c r="H13" s="4">
        <f t="shared" si="3"/>
        <v>552000</v>
      </c>
      <c r="I13" s="11">
        <v>192</v>
      </c>
      <c r="J13" s="4">
        <f t="shared" si="4"/>
        <v>768000</v>
      </c>
      <c r="K13" s="11">
        <f t="shared" si="0"/>
        <v>1320000</v>
      </c>
      <c r="L13" s="81">
        <f t="shared" si="1"/>
        <v>93.72337404146549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17</v>
      </c>
      <c r="D14" s="37">
        <f>Electricity!D13</f>
        <v>93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204</v>
      </c>
      <c r="J14" s="4">
        <f t="shared" si="4"/>
        <v>816000</v>
      </c>
      <c r="K14" s="11">
        <f t="shared" si="0"/>
        <v>1404000</v>
      </c>
      <c r="L14" s="81">
        <f t="shared" si="1"/>
        <v>99.687588753195115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10</v>
      </c>
      <c r="D15" s="37">
        <f>Electricity!D14</f>
        <v>55</v>
      </c>
      <c r="E15" s="11">
        <v>0</v>
      </c>
      <c r="F15" s="4">
        <f t="shared" si="2"/>
        <v>0</v>
      </c>
      <c r="G15" s="11">
        <v>97</v>
      </c>
      <c r="H15" s="4">
        <f t="shared" si="3"/>
        <v>388000</v>
      </c>
      <c r="I15" s="11">
        <v>232</v>
      </c>
      <c r="J15" s="4">
        <f t="shared" si="4"/>
        <v>928000</v>
      </c>
      <c r="K15" s="11">
        <f t="shared" si="0"/>
        <v>1316000</v>
      </c>
      <c r="L15" s="81">
        <f t="shared" si="1"/>
        <v>93.439363817097416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11</v>
      </c>
      <c r="D16" s="37">
        <f>Electricity!D15</f>
        <v>60</v>
      </c>
      <c r="E16" s="11">
        <v>0</v>
      </c>
      <c r="F16" s="4">
        <f t="shared" si="2"/>
        <v>0</v>
      </c>
      <c r="G16" s="11">
        <v>154</v>
      </c>
      <c r="H16" s="4">
        <f t="shared" si="3"/>
        <v>616000</v>
      </c>
      <c r="I16" s="11">
        <v>199</v>
      </c>
      <c r="J16" s="4">
        <f t="shared" si="4"/>
        <v>796000</v>
      </c>
      <c r="K16" s="11">
        <f t="shared" si="0"/>
        <v>1412000</v>
      </c>
      <c r="L16" s="81">
        <f t="shared" si="1"/>
        <v>100.25560920193126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11</v>
      </c>
      <c r="D17" s="37">
        <f>Electricity!D16</f>
        <v>60</v>
      </c>
      <c r="E17" s="11">
        <v>0</v>
      </c>
      <c r="F17" s="4">
        <f t="shared" si="2"/>
        <v>0</v>
      </c>
      <c r="G17" s="11">
        <v>158</v>
      </c>
      <c r="H17" s="4">
        <f t="shared" si="3"/>
        <v>632000</v>
      </c>
      <c r="I17" s="11">
        <v>218</v>
      </c>
      <c r="J17" s="4">
        <f t="shared" si="4"/>
        <v>872000</v>
      </c>
      <c r="K17" s="11">
        <f t="shared" si="0"/>
        <v>1504000</v>
      </c>
      <c r="L17" s="81">
        <f t="shared" si="1"/>
        <v>106.78784436239705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7</v>
      </c>
      <c r="D18" s="37">
        <f>Electricity!D17</f>
        <v>38</v>
      </c>
      <c r="E18" s="11">
        <v>0</v>
      </c>
      <c r="F18" s="4">
        <f t="shared" si="2"/>
        <v>0</v>
      </c>
      <c r="G18" s="11">
        <v>144</v>
      </c>
      <c r="H18" s="4">
        <f t="shared" si="3"/>
        <v>576000</v>
      </c>
      <c r="I18" s="11">
        <v>205</v>
      </c>
      <c r="J18" s="4">
        <f t="shared" si="4"/>
        <v>820000</v>
      </c>
      <c r="K18" s="11">
        <f t="shared" si="0"/>
        <v>1396000</v>
      </c>
      <c r="L18" s="81">
        <f t="shared" si="1"/>
        <v>99.119568304458966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6</v>
      </c>
      <c r="D19" s="37">
        <f>Electricity!D18</f>
        <v>33</v>
      </c>
      <c r="E19" s="11">
        <v>0</v>
      </c>
      <c r="F19" s="4">
        <f t="shared" si="2"/>
        <v>0</v>
      </c>
      <c r="G19" s="11">
        <v>177</v>
      </c>
      <c r="H19" s="4">
        <f t="shared" si="3"/>
        <v>708000</v>
      </c>
      <c r="I19" s="11">
        <v>227</v>
      </c>
      <c r="J19" s="4">
        <f t="shared" si="4"/>
        <v>908000</v>
      </c>
      <c r="K19" s="11">
        <f t="shared" si="0"/>
        <v>1616000</v>
      </c>
      <c r="L19" s="81">
        <f t="shared" si="1"/>
        <v>114.74013064470321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9</v>
      </c>
      <c r="D20" s="37">
        <f>Electricity!D19</f>
        <v>49</v>
      </c>
      <c r="E20" s="11">
        <v>0</v>
      </c>
      <c r="F20" s="4">
        <f t="shared" si="2"/>
        <v>0</v>
      </c>
      <c r="G20" s="11">
        <v>153</v>
      </c>
      <c r="H20" s="4">
        <f t="shared" si="3"/>
        <v>612000</v>
      </c>
      <c r="I20" s="11">
        <v>224</v>
      </c>
      <c r="J20" s="4">
        <f t="shared" si="4"/>
        <v>896000</v>
      </c>
      <c r="K20" s="11">
        <f t="shared" si="0"/>
        <v>1508000</v>
      </c>
      <c r="L20" s="81">
        <f t="shared" si="1"/>
        <v>107.07185458676513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8</v>
      </c>
      <c r="D21" s="37">
        <f>Electricity!D20</f>
        <v>44</v>
      </c>
      <c r="E21" s="11">
        <v>0</v>
      </c>
      <c r="F21" s="4">
        <f t="shared" si="2"/>
        <v>0</v>
      </c>
      <c r="G21" s="11">
        <v>164</v>
      </c>
      <c r="H21" s="4">
        <f t="shared" si="3"/>
        <v>656000</v>
      </c>
      <c r="I21" s="11">
        <v>234</v>
      </c>
      <c r="J21" s="4">
        <f t="shared" si="4"/>
        <v>936000</v>
      </c>
      <c r="K21" s="11">
        <f t="shared" si="0"/>
        <v>1592000</v>
      </c>
      <c r="L21" s="81">
        <f t="shared" si="1"/>
        <v>113.03606929849475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12</v>
      </c>
      <c r="D22" s="37">
        <f>Electricity!D21</f>
        <v>66</v>
      </c>
      <c r="E22" s="11">
        <v>0</v>
      </c>
      <c r="F22" s="4">
        <f t="shared" si="2"/>
        <v>0</v>
      </c>
      <c r="G22" s="11">
        <v>167</v>
      </c>
      <c r="H22" s="4">
        <f t="shared" si="3"/>
        <v>668000</v>
      </c>
      <c r="I22" s="11">
        <v>223</v>
      </c>
      <c r="J22" s="4">
        <f t="shared" si="4"/>
        <v>892000</v>
      </c>
      <c r="K22" s="11">
        <f t="shared" si="0"/>
        <v>1560000</v>
      </c>
      <c r="L22" s="81">
        <f t="shared" si="1"/>
        <v>110.76398750355013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12</v>
      </c>
      <c r="D23" s="37">
        <f>Electricity!D22</f>
        <v>66</v>
      </c>
      <c r="E23" s="11">
        <v>0</v>
      </c>
      <c r="F23" s="4">
        <f t="shared" si="2"/>
        <v>0</v>
      </c>
      <c r="G23" s="11">
        <v>173</v>
      </c>
      <c r="H23" s="4">
        <f t="shared" si="3"/>
        <v>692000</v>
      </c>
      <c r="I23" s="11">
        <v>237</v>
      </c>
      <c r="J23" s="4">
        <f t="shared" si="4"/>
        <v>948000</v>
      </c>
      <c r="K23" s="11">
        <f t="shared" si="0"/>
        <v>1640000</v>
      </c>
      <c r="L23" s="81">
        <f t="shared" si="1"/>
        <v>116.44419199091168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9</v>
      </c>
      <c r="D24" s="37">
        <f>Electricity!D23</f>
        <v>49</v>
      </c>
      <c r="E24" s="11">
        <v>0</v>
      </c>
      <c r="F24" s="4">
        <f t="shared" si="2"/>
        <v>0</v>
      </c>
      <c r="G24" s="11">
        <v>164</v>
      </c>
      <c r="H24" s="4">
        <f t="shared" si="3"/>
        <v>656000</v>
      </c>
      <c r="I24" s="11">
        <v>231</v>
      </c>
      <c r="J24" s="4">
        <f t="shared" si="4"/>
        <v>924000</v>
      </c>
      <c r="K24" s="11">
        <f t="shared" si="0"/>
        <v>1580000</v>
      </c>
      <c r="L24" s="81">
        <f t="shared" si="1"/>
        <v>112.18403862539051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8</v>
      </c>
      <c r="D25" s="37">
        <f>Electricity!D24</f>
        <v>44</v>
      </c>
      <c r="E25" s="11">
        <v>11</v>
      </c>
      <c r="F25" s="4">
        <f t="shared" si="2"/>
        <v>149402</v>
      </c>
      <c r="G25" s="11">
        <v>176</v>
      </c>
      <c r="H25" s="4">
        <f t="shared" si="3"/>
        <v>704000</v>
      </c>
      <c r="I25" s="11">
        <v>242</v>
      </c>
      <c r="J25" s="4">
        <f t="shared" si="4"/>
        <v>968000</v>
      </c>
      <c r="K25" s="11">
        <f t="shared" si="0"/>
        <v>1821402</v>
      </c>
      <c r="L25" s="81">
        <f t="shared" si="1"/>
        <v>129.32419767111617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3</v>
      </c>
      <c r="D26" s="37">
        <f>Electricity!D25</f>
        <v>16</v>
      </c>
      <c r="E26" s="11">
        <v>65</v>
      </c>
      <c r="F26" s="4">
        <f t="shared" si="2"/>
        <v>882830</v>
      </c>
      <c r="G26" s="11">
        <v>169</v>
      </c>
      <c r="H26" s="4">
        <f t="shared" si="3"/>
        <v>676000</v>
      </c>
      <c r="I26" s="11">
        <v>230</v>
      </c>
      <c r="J26" s="4">
        <f t="shared" si="4"/>
        <v>920000</v>
      </c>
      <c r="K26" s="11">
        <f t="shared" si="0"/>
        <v>2478830</v>
      </c>
      <c r="L26" s="81">
        <f t="shared" si="1"/>
        <v>176.00326611758024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4</v>
      </c>
      <c r="D27" s="37">
        <f>Electricity!D26</f>
        <v>22</v>
      </c>
      <c r="E27" s="11">
        <v>41</v>
      </c>
      <c r="F27" s="4">
        <f t="shared" si="2"/>
        <v>556862</v>
      </c>
      <c r="G27" s="11">
        <v>146</v>
      </c>
      <c r="H27" s="4">
        <f t="shared" si="3"/>
        <v>584000</v>
      </c>
      <c r="I27" s="11">
        <v>200</v>
      </c>
      <c r="J27" s="4">
        <f t="shared" si="4"/>
        <v>800000</v>
      </c>
      <c r="K27" s="11">
        <f t="shared" si="0"/>
        <v>1940862</v>
      </c>
      <c r="L27" s="81">
        <f t="shared" si="1"/>
        <v>137.8061630218688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11</v>
      </c>
      <c r="D28" s="37">
        <f>Electricity!D27</f>
        <v>60</v>
      </c>
      <c r="E28" s="11">
        <v>0</v>
      </c>
      <c r="F28" s="4">
        <f t="shared" si="2"/>
        <v>0</v>
      </c>
      <c r="G28" s="11">
        <v>80</v>
      </c>
      <c r="H28" s="4">
        <f t="shared" si="3"/>
        <v>320000</v>
      </c>
      <c r="I28" s="11">
        <v>111</v>
      </c>
      <c r="J28" s="4">
        <f t="shared" si="4"/>
        <v>444000</v>
      </c>
      <c r="K28" s="11">
        <f t="shared" si="0"/>
        <v>764000</v>
      </c>
      <c r="L28" s="81">
        <f t="shared" si="1"/>
        <v>54.245952854302757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14</v>
      </c>
      <c r="D29" s="37">
        <f>Electricity!D28</f>
        <v>77</v>
      </c>
      <c r="E29" s="11">
        <v>0</v>
      </c>
      <c r="F29" s="4">
        <f t="shared" si="2"/>
        <v>0</v>
      </c>
      <c r="G29" s="11">
        <v>75</v>
      </c>
      <c r="H29" s="4">
        <f t="shared" si="3"/>
        <v>300000</v>
      </c>
      <c r="I29" s="11">
        <v>109</v>
      </c>
      <c r="J29" s="4">
        <f t="shared" si="4"/>
        <v>436000</v>
      </c>
      <c r="K29" s="11">
        <f t="shared" si="0"/>
        <v>736000</v>
      </c>
      <c r="L29" s="81">
        <f t="shared" si="1"/>
        <v>52.257881283726213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9</v>
      </c>
      <c r="D30" s="37">
        <f>Electricity!D29</f>
        <v>49</v>
      </c>
      <c r="E30" s="11">
        <v>0</v>
      </c>
      <c r="F30" s="4">
        <f t="shared" si="2"/>
        <v>0</v>
      </c>
      <c r="G30" s="11">
        <v>48</v>
      </c>
      <c r="H30" s="4">
        <f t="shared" si="3"/>
        <v>192000</v>
      </c>
      <c r="I30" s="11">
        <v>114</v>
      </c>
      <c r="J30" s="4">
        <f t="shared" si="4"/>
        <v>456000</v>
      </c>
      <c r="K30" s="11">
        <f t="shared" si="0"/>
        <v>648000</v>
      </c>
      <c r="L30" s="81">
        <f t="shared" si="1"/>
        <v>46.009656347628514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7</v>
      </c>
      <c r="D31" s="37">
        <f>Electricity!D30</f>
        <v>40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152</v>
      </c>
      <c r="J31" s="4">
        <f t="shared" si="4"/>
        <v>608000</v>
      </c>
      <c r="K31" s="11">
        <f t="shared" si="0"/>
        <v>608000</v>
      </c>
      <c r="L31" s="81">
        <f t="shared" si="1"/>
        <v>43.169554103947739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3</v>
      </c>
      <c r="D32" s="37">
        <f>Electricity!D31</f>
        <v>16</v>
      </c>
      <c r="E32" s="11">
        <v>0</v>
      </c>
      <c r="F32" s="4">
        <f t="shared" si="2"/>
        <v>0</v>
      </c>
      <c r="G32" s="11">
        <v>0</v>
      </c>
      <c r="H32" s="4">
        <f t="shared" si="3"/>
        <v>0</v>
      </c>
      <c r="I32" s="11">
        <v>151</v>
      </c>
      <c r="J32" s="4">
        <f t="shared" si="4"/>
        <v>604000</v>
      </c>
      <c r="K32" s="11">
        <f t="shared" si="0"/>
        <v>604000</v>
      </c>
      <c r="L32" s="81">
        <f t="shared" si="1"/>
        <v>42.885543879579664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4</v>
      </c>
      <c r="D33" s="37">
        <f>Electricity!D32</f>
        <v>22</v>
      </c>
      <c r="E33" s="11">
        <v>0</v>
      </c>
      <c r="F33" s="4">
        <f t="shared" si="2"/>
        <v>0</v>
      </c>
      <c r="G33" s="11">
        <v>0</v>
      </c>
      <c r="H33" s="4">
        <f t="shared" si="3"/>
        <v>0</v>
      </c>
      <c r="I33" s="11">
        <v>142</v>
      </c>
      <c r="J33" s="4">
        <f t="shared" si="4"/>
        <v>568000</v>
      </c>
      <c r="K33" s="11">
        <f t="shared" si="0"/>
        <v>568000</v>
      </c>
      <c r="L33" s="81">
        <f t="shared" si="1"/>
        <v>40.329451860266971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2</v>
      </c>
      <c r="D34" s="37">
        <f>Electricity!D33</f>
        <v>11</v>
      </c>
      <c r="E34" s="11">
        <v>0</v>
      </c>
      <c r="F34" s="4">
        <f t="shared" si="2"/>
        <v>0</v>
      </c>
      <c r="G34" s="11">
        <v>0</v>
      </c>
      <c r="H34" s="4">
        <f t="shared" si="3"/>
        <v>0</v>
      </c>
      <c r="I34" s="11">
        <v>159</v>
      </c>
      <c r="J34" s="4">
        <f t="shared" si="4"/>
        <v>636000</v>
      </c>
      <c r="K34" s="11">
        <f t="shared" si="0"/>
        <v>636000</v>
      </c>
      <c r="L34" s="81">
        <f t="shared" si="1"/>
        <v>45.157625674524283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5</v>
      </c>
      <c r="D35" s="37">
        <f>Electricity!D34</f>
        <v>27</v>
      </c>
      <c r="E35" s="11"/>
      <c r="F35" s="4">
        <f t="shared" si="2"/>
        <v>0</v>
      </c>
      <c r="G35" s="11">
        <v>0</v>
      </c>
      <c r="H35" s="4">
        <f t="shared" si="3"/>
        <v>0</v>
      </c>
      <c r="I35" s="11">
        <v>164</v>
      </c>
      <c r="J35" s="4">
        <f t="shared" si="4"/>
        <v>656000</v>
      </c>
      <c r="K35" s="11">
        <f t="shared" si="0"/>
        <v>656000</v>
      </c>
      <c r="L35" s="81">
        <f t="shared" si="1"/>
        <v>46.577676796364671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4</v>
      </c>
      <c r="D36" s="37">
        <f>Electricity!D35</f>
        <v>22</v>
      </c>
      <c r="E36" s="11"/>
      <c r="F36" s="4">
        <f t="shared" si="2"/>
        <v>0</v>
      </c>
      <c r="G36" s="11">
        <v>0</v>
      </c>
      <c r="H36" s="4">
        <f t="shared" si="3"/>
        <v>0</v>
      </c>
      <c r="I36" s="11">
        <v>136</v>
      </c>
      <c r="J36" s="4">
        <f t="shared" si="4"/>
        <v>544000</v>
      </c>
      <c r="K36" s="11">
        <f t="shared" si="0"/>
        <v>544000</v>
      </c>
      <c r="L36" s="81">
        <f t="shared" si="1"/>
        <v>38.625390514058509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6</v>
      </c>
      <c r="D37" s="37">
        <f>Electricity!D36</f>
        <v>33</v>
      </c>
      <c r="E37" s="11"/>
      <c r="F37" s="4">
        <f t="shared" si="2"/>
        <v>0</v>
      </c>
      <c r="G37" s="11">
        <v>0</v>
      </c>
      <c r="H37" s="4">
        <f t="shared" si="3"/>
        <v>0</v>
      </c>
      <c r="I37" s="11">
        <v>167</v>
      </c>
      <c r="J37" s="4">
        <f t="shared" si="4"/>
        <v>668000</v>
      </c>
      <c r="K37" s="11">
        <f t="shared" si="0"/>
        <v>668000</v>
      </c>
      <c r="L37" s="81">
        <f t="shared" si="1"/>
        <v>47.429707469468902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7</v>
      </c>
      <c r="D38" s="37">
        <f>Electricity!D37</f>
        <v>38</v>
      </c>
      <c r="E38" s="11"/>
      <c r="F38" s="4">
        <f t="shared" si="2"/>
        <v>0</v>
      </c>
      <c r="G38" s="11">
        <v>0</v>
      </c>
      <c r="H38" s="4">
        <f t="shared" si="3"/>
        <v>0</v>
      </c>
      <c r="I38" s="11">
        <v>134</v>
      </c>
      <c r="J38" s="4">
        <f t="shared" si="4"/>
        <v>536000</v>
      </c>
      <c r="K38" s="11">
        <f t="shared" si="0"/>
        <v>536000</v>
      </c>
      <c r="L38" s="81">
        <f t="shared" si="1"/>
        <v>38.057370065322353</v>
      </c>
      <c r="M38" s="70"/>
    </row>
    <row r="39" spans="1:15" ht="17.100000000000001" customHeight="1" x14ac:dyDescent="0.25">
      <c r="A39" s="80"/>
      <c r="B39" s="77">
        <v>31</v>
      </c>
      <c r="C39" s="37">
        <f>Electricity!C38</f>
        <v>5</v>
      </c>
      <c r="D39" s="37">
        <f>Electricity!D38</f>
        <v>27</v>
      </c>
      <c r="E39" s="11"/>
      <c r="F39" s="4">
        <f t="shared" si="2"/>
        <v>0</v>
      </c>
      <c r="G39" s="11">
        <v>0</v>
      </c>
      <c r="H39" s="4">
        <f t="shared" si="3"/>
        <v>0</v>
      </c>
      <c r="I39" s="11">
        <v>153</v>
      </c>
      <c r="J39" s="4">
        <f>I39*4000</f>
        <v>612000</v>
      </c>
      <c r="K39" s="11">
        <f t="shared" si="0"/>
        <v>612000</v>
      </c>
      <c r="L39" s="81">
        <f t="shared" si="1"/>
        <v>43.453564328315821</v>
      </c>
      <c r="M39" s="70"/>
    </row>
    <row r="40" spans="1:15" ht="15.75" x14ac:dyDescent="0.25">
      <c r="C40" s="19">
        <f>SUM(C9:C39)</f>
        <v>295</v>
      </c>
      <c r="D40" s="19">
        <f>SUM(D9:D39)</f>
        <v>1637</v>
      </c>
      <c r="E40" s="19">
        <f>SUM(E9:E39)</f>
        <v>117</v>
      </c>
      <c r="G40" s="19">
        <f>SUM(G9:G39)</f>
        <v>3108</v>
      </c>
      <c r="I40" s="19">
        <f>SUM(I9:I39)</f>
        <v>5987</v>
      </c>
      <c r="J40" s="39">
        <f>G40+I40</f>
        <v>9095</v>
      </c>
      <c r="K40" s="46"/>
      <c r="L40" s="51">
        <f>SUM(L9:L39)</f>
        <v>2695.9027264981537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9095</v>
      </c>
      <c r="L41" s="42"/>
    </row>
    <row r="42" spans="1:15" x14ac:dyDescent="0.2">
      <c r="C42" t="s">
        <v>40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Mirah Candradewi</cp:lastModifiedBy>
  <cp:lastPrinted>2020-10-01T03:34:29Z</cp:lastPrinted>
  <dcterms:created xsi:type="dcterms:W3CDTF">2009-02-11T09:03:59Z</dcterms:created>
  <dcterms:modified xsi:type="dcterms:W3CDTF">2021-02-08T12:32:26Z</dcterms:modified>
</cp:coreProperties>
</file>