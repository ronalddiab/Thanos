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3AE978C7-5A0F-4F6F-8F16-F6CE5E08E42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" l="1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L4" i="4"/>
  <c r="N4" i="4" s="1"/>
  <c r="L5" i="4"/>
  <c r="N5" i="4" s="1"/>
  <c r="L6" i="4"/>
  <c r="L7" i="4"/>
  <c r="L8" i="4"/>
  <c r="L9" i="4"/>
  <c r="L10" i="4"/>
  <c r="N10" i="4" s="1"/>
  <c r="L11" i="4"/>
  <c r="N11" i="4" s="1"/>
  <c r="L12" i="4"/>
  <c r="L13" i="4"/>
  <c r="L14" i="4"/>
  <c r="L15" i="4"/>
  <c r="L16" i="4"/>
  <c r="N16" i="4" s="1"/>
  <c r="L17" i="4"/>
  <c r="N17" i="4" s="1"/>
  <c r="L18" i="4"/>
  <c r="L19" i="4"/>
  <c r="L20" i="4"/>
  <c r="L21" i="4"/>
  <c r="L22" i="4"/>
  <c r="N22" i="4" s="1"/>
  <c r="L23" i="4"/>
  <c r="N23" i="4" s="1"/>
  <c r="L24" i="4"/>
  <c r="L25" i="4"/>
  <c r="L26" i="4"/>
  <c r="L27" i="4"/>
  <c r="L28" i="4"/>
  <c r="N28" i="4" s="1"/>
  <c r="L29" i="4"/>
  <c r="N29" i="4" s="1"/>
  <c r="L30" i="4"/>
  <c r="L31" i="4"/>
  <c r="L32" i="4"/>
  <c r="L2" i="4"/>
  <c r="N2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N3" i="4"/>
  <c r="N6" i="4"/>
  <c r="N7" i="4"/>
  <c r="N8" i="4"/>
  <c r="N9" i="4"/>
  <c r="N12" i="4"/>
  <c r="N13" i="4"/>
  <c r="N14" i="4"/>
  <c r="N15" i="4"/>
  <c r="N18" i="4"/>
  <c r="N19" i="4"/>
  <c r="N20" i="4"/>
  <c r="N21" i="4"/>
  <c r="N24" i="4"/>
  <c r="N25" i="4"/>
  <c r="N26" i="4"/>
  <c r="N27" i="4"/>
  <c r="N30" i="4"/>
  <c r="N31" i="4"/>
  <c r="N32" i="4"/>
  <c r="C8" i="1" l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7" i="1"/>
  <c r="F36" i="2" l="1"/>
  <c r="E36" i="2"/>
  <c r="D2" i="4" l="1"/>
  <c r="D6" i="2"/>
  <c r="D3" i="4" s="1"/>
  <c r="D7" i="2" l="1"/>
  <c r="D4" i="4" s="1"/>
  <c r="D8" i="2"/>
  <c r="G31" i="4"/>
  <c r="G32" i="4"/>
  <c r="F31" i="4"/>
  <c r="F32" i="4"/>
  <c r="D9" i="2" l="1"/>
  <c r="D5" i="4"/>
  <c r="G35" i="1"/>
  <c r="E31" i="4" s="1"/>
  <c r="H35" i="1"/>
  <c r="I35" i="1"/>
  <c r="G36" i="1"/>
  <c r="E32" i="4" s="1"/>
  <c r="H36" i="1"/>
  <c r="I36" i="1"/>
  <c r="G35" i="2"/>
  <c r="D10" i="2" l="1"/>
  <c r="D6" i="4"/>
  <c r="J36" i="1"/>
  <c r="K36" i="1" s="1"/>
  <c r="L36" i="1" s="1"/>
  <c r="J32" i="4" s="1"/>
  <c r="J35" i="1"/>
  <c r="K35" i="1" s="1"/>
  <c r="L35" i="1" s="1"/>
  <c r="J31" i="4" s="1"/>
  <c r="D11" i="2" l="1"/>
  <c r="D7" i="4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D12" i="2"/>
  <c r="D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E37" i="1"/>
  <c r="F37" i="1"/>
  <c r="I6" i="1"/>
  <c r="H6" i="1"/>
  <c r="G34" i="1"/>
  <c r="E30" i="4" s="1"/>
  <c r="H34" i="1"/>
  <c r="I34" i="1"/>
  <c r="D13" i="2" l="1"/>
  <c r="D9" i="4"/>
  <c r="J34" i="1"/>
  <c r="K34" i="1" s="1"/>
  <c r="L34" i="1"/>
  <c r="J30" i="4" s="1"/>
  <c r="D14" i="2" l="1"/>
  <c r="D10" i="4"/>
  <c r="C37" i="1"/>
  <c r="G6" i="1"/>
  <c r="D15" i="2" l="1"/>
  <c r="D11" i="4"/>
  <c r="E2" i="4"/>
  <c r="G40" i="2"/>
  <c r="G46" i="2" s="1"/>
  <c r="D16" i="2" l="1"/>
  <c r="D12" i="4"/>
  <c r="H31" i="1"/>
  <c r="I31" i="1"/>
  <c r="H32" i="1"/>
  <c r="I32" i="1"/>
  <c r="H33" i="1"/>
  <c r="I33" i="1"/>
  <c r="G31" i="1"/>
  <c r="E27" i="4" s="1"/>
  <c r="G32" i="1"/>
  <c r="E28" i="4" s="1"/>
  <c r="G33" i="1"/>
  <c r="E29" i="4" s="1"/>
  <c r="D17" i="2" l="1"/>
  <c r="D13" i="4"/>
  <c r="J32" i="1"/>
  <c r="K32" i="1" s="1"/>
  <c r="J33" i="1"/>
  <c r="K33" i="1" s="1"/>
  <c r="J31" i="1"/>
  <c r="K31" i="1" s="1"/>
  <c r="D18" i="2" l="1"/>
  <c r="D14" i="4"/>
  <c r="L31" i="1"/>
  <c r="J27" i="4" s="1"/>
  <c r="L32" i="1"/>
  <c r="J28" i="4" s="1"/>
  <c r="L33" i="1"/>
  <c r="J29" i="4" s="1"/>
  <c r="D19" i="2" l="1"/>
  <c r="D15" i="4"/>
  <c r="G27" i="1"/>
  <c r="E23" i="4" s="1"/>
  <c r="G28" i="1"/>
  <c r="E24" i="4" s="1"/>
  <c r="G29" i="1"/>
  <c r="E25" i="4" s="1"/>
  <c r="G30" i="1"/>
  <c r="E26" i="4" s="1"/>
  <c r="D20" i="2" l="1"/>
  <c r="D16" i="4"/>
  <c r="H9" i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D21" i="2" l="1"/>
  <c r="D17" i="4"/>
  <c r="H37" i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D22" i="2" l="1"/>
  <c r="D18" i="4"/>
  <c r="I37" i="1"/>
  <c r="E3" i="4"/>
  <c r="G37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D23" i="2" l="1"/>
  <c r="D19" i="4"/>
  <c r="K6" i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D24" i="2" l="1"/>
  <c r="D20" i="4"/>
  <c r="L6" i="1"/>
  <c r="D25" i="2" l="1"/>
  <c r="D21" i="4"/>
  <c r="L37" i="1"/>
  <c r="J2" i="4"/>
  <c r="D26" i="2" l="1"/>
  <c r="D22" i="4"/>
  <c r="D27" i="2" l="1"/>
  <c r="D23" i="4"/>
  <c r="D28" i="2" l="1"/>
  <c r="D24" i="4"/>
  <c r="D29" i="2" l="1"/>
  <c r="D25" i="4"/>
  <c r="D30" i="2" l="1"/>
  <c r="D26" i="4"/>
  <c r="D31" i="2" l="1"/>
  <c r="D27" i="4"/>
  <c r="D32" i="2" l="1"/>
  <c r="D28" i="4"/>
  <c r="D33" i="2" l="1"/>
  <c r="D29" i="4"/>
  <c r="D34" i="2" l="1"/>
  <c r="D30" i="4"/>
  <c r="D35" i="2" l="1"/>
  <c r="D32" i="4" s="1"/>
  <c r="D31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<sst xmlns="http://schemas.openxmlformats.org/spreadsheetml/2006/main" count="117" uniqueCount="45">
  <si>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</si>
  <si>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</si>
  <si>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</si>
  <si>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</si>
  <si>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</si>
  <si>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</si>
  <si>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</si>
  <si>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</si>
  <si>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</si>
  <si>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</si>
  <si>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</si>
  <si>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</si>
  <si>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</si>
  <si>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</si>
  <si>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</si>
  <si>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</si>
  <si>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</si>
  <si>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</si>
  <si>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</si>
  <si>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</si>
  <si>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</si>
  <si>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</si>
  <si>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</si>
  <si>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</si>
  <si>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</si>
  <si>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</si>
  <si>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</si>
  <si>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</si>
  <si>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</si>
  <si>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</si>
  <si>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</si>
  <si>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</si>
  <si>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</si>
  <si>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</si>
  <si>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</si>
  <si>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</si>
  <si>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</si>
  <si>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2018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</si>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</sst>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C1" workbookViewId="0">
      <selection activeCell="O3" sqref="O3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5</v>
      </c>
      <c r="D2" s="45">
        <f>Water!D5</f>
        <v>2018</v>
      </c>
      <c r="E2" s="43">
        <f>Electricity!G6</f>
        <v>19800.000000000182</v>
      </c>
      <c r="F2" s="43">
        <f>Electricity!E6</f>
        <v>2880.0000000001091</v>
      </c>
      <c r="G2" s="43">
        <f>Electricity!F6</f>
        <v>16920.000000000073</v>
      </c>
      <c r="H2" s="47">
        <v>1553.67</v>
      </c>
      <c r="I2" s="57" t="s">
        <v>28</v>
      </c>
      <c r="J2" s="106">
        <f>Electricity!L6</f>
        <v>22527966.412800252</v>
      </c>
      <c r="K2" s="43">
        <f>J2/E2</f>
        <v>1137.7760814545477</v>
      </c>
      <c r="L2" s="58">
        <f>Water!G5</f>
        <v>445</v>
      </c>
      <c r="M2" s="58">
        <v>12550</v>
      </c>
      <c r="N2" s="106">
        <f>TOTAL!L2*TOTAL!M2</f>
        <v>5584750</v>
      </c>
      <c r="O2" s="43">
        <f>Electricity!C6</f>
        <v>164</v>
      </c>
    </row>
    <row r="3" spans="1:15" x14ac:dyDescent="0.25">
      <c r="A3" s="48" t="s">
        <v>44</v>
      </c>
      <c r="B3" s="45">
        <v>2</v>
      </c>
      <c r="C3" s="45">
        <v>5</v>
      </c>
      <c r="D3" s="45">
        <f>Water!D6</f>
        <v>2018</v>
      </c>
      <c r="E3" s="43">
        <f>Electricity!G7</f>
        <v>30480.000000000473</v>
      </c>
      <c r="F3" s="43">
        <f>Electricity!E7</f>
        <v>3800.0000000001819</v>
      </c>
      <c r="G3" s="43">
        <f>Electricity!F7</f>
        <v>26680.000000000291</v>
      </c>
      <c r="H3" s="47">
        <v>1553.67</v>
      </c>
      <c r="I3" s="57" t="s">
        <v>28</v>
      </c>
      <c r="J3" s="106">
        <f>Electricity!L7</f>
        <v>34343481.753600597</v>
      </c>
      <c r="K3" s="43">
        <f t="shared" ref="K3:K32" si="0">J3/E3</f>
        <v>1126.7546507086636</v>
      </c>
      <c r="L3" s="58">
        <f>Water!G6</f>
        <v>487</v>
      </c>
      <c r="M3" s="58">
        <v>12550</v>
      </c>
      <c r="N3" s="106">
        <f>TOTAL!L3*TOTAL!M3</f>
        <v>6111850</v>
      </c>
      <c r="O3" s="43">
        <f>O2</f>
        <v>164</v>
      </c>
    </row>
    <row r="4" spans="1:15" x14ac:dyDescent="0.25">
      <c r="A4" s="48" t="s">
        <v>44</v>
      </c>
      <c r="B4" s="45">
        <v>3</v>
      </c>
      <c r="C4" s="45">
        <v>5</v>
      </c>
      <c r="D4" s="45">
        <f>Water!D7</f>
        <v>2018</v>
      </c>
      <c r="E4" s="43">
        <f>Electricity!G8</f>
        <v>28919.999999999163</v>
      </c>
      <c r="F4" s="43">
        <f>Electricity!E8</f>
        <v>7199.9999999998181</v>
      </c>
      <c r="G4" s="43">
        <f>Electricity!F8</f>
        <v>21719.999999999345</v>
      </c>
      <c r="H4" s="47">
        <v>1553.67</v>
      </c>
      <c r="I4" s="57" t="s">
        <v>28</v>
      </c>
      <c r="J4" s="106">
        <f>Electricity!L8</f>
        <v>34491971.174399018</v>
      </c>
      <c r="K4" s="43">
        <f t="shared" si="0"/>
        <v>1192.6684361825733</v>
      </c>
      <c r="L4" s="58">
        <f>Water!G7</f>
        <v>454</v>
      </c>
      <c r="M4" s="58">
        <v>12550</v>
      </c>
      <c r="N4" s="106">
        <f>TOTAL!L4*TOTAL!M4</f>
        <v>5697700</v>
      </c>
      <c r="O4" s="43">
        <f t="shared" ref="O4:O32" si="1">O3</f>
        <v>164</v>
      </c>
    </row>
    <row r="5" spans="1:15" x14ac:dyDescent="0.25">
      <c r="A5" s="48" t="s">
        <v>44</v>
      </c>
      <c r="B5" s="45">
        <v>4</v>
      </c>
      <c r="C5" s="45">
        <v>5</v>
      </c>
      <c r="D5" s="45">
        <f>Water!D8</f>
        <v>2018</v>
      </c>
      <c r="E5" s="43">
        <f>Electricity!G9</f>
        <v>24800.000000000182</v>
      </c>
      <c r="F5" s="43">
        <f>Electricity!E9</f>
        <v>4800.0000000001819</v>
      </c>
      <c r="G5" s="43">
        <f>Electricity!F9</f>
        <v>20000</v>
      </c>
      <c r="H5" s="47">
        <v>1553.67</v>
      </c>
      <c r="I5" s="57" t="s">
        <v>28</v>
      </c>
      <c r="J5" s="106">
        <f>Electricity!L9</f>
        <v>28849373.184000291</v>
      </c>
      <c r="K5" s="43">
        <f t="shared" si="0"/>
        <v>1163.2811767741966</v>
      </c>
      <c r="L5" s="58">
        <f>Water!G8</f>
        <v>149</v>
      </c>
      <c r="M5" s="58">
        <v>12550</v>
      </c>
      <c r="N5" s="106">
        <f>TOTAL!L5*TOTAL!M5</f>
        <v>1869950</v>
      </c>
      <c r="O5" s="43">
        <f t="shared" si="1"/>
        <v>164</v>
      </c>
    </row>
    <row r="6" spans="1:15" x14ac:dyDescent="0.25">
      <c r="A6" s="48" t="s">
        <v>44</v>
      </c>
      <c r="B6" s="45">
        <v>5</v>
      </c>
      <c r="C6" s="45">
        <v>5</v>
      </c>
      <c r="D6" s="45">
        <f>Water!D9</f>
        <v>2018</v>
      </c>
      <c r="E6" s="43">
        <f>Electricity!G10</f>
        <v>28840.000000001055</v>
      </c>
      <c r="F6" s="43">
        <f>Electricity!E10</f>
        <v>6119.9999999998909</v>
      </c>
      <c r="G6" s="43">
        <f>Electricity!F10</f>
        <v>22720.000000001164</v>
      </c>
      <c r="H6" s="47">
        <v>1553.67</v>
      </c>
      <c r="I6" s="57" t="s">
        <v>28</v>
      </c>
      <c r="J6" s="106">
        <f>Electricity!L10</f>
        <v>33834375.168001063</v>
      </c>
      <c r="K6" s="43">
        <f t="shared" si="0"/>
        <v>1173.1752832177472</v>
      </c>
      <c r="L6" s="58">
        <f>Water!G9</f>
        <v>442</v>
      </c>
      <c r="M6" s="58">
        <v>12550</v>
      </c>
      <c r="N6" s="106">
        <f>TOTAL!L6*TOTAL!M6</f>
        <v>5547100</v>
      </c>
      <c r="O6" s="43">
        <f t="shared" si="1"/>
        <v>164</v>
      </c>
    </row>
    <row r="7" spans="1:15" x14ac:dyDescent="0.25">
      <c r="A7" s="48" t="s">
        <v>44</v>
      </c>
      <c r="B7" s="45">
        <v>6</v>
      </c>
      <c r="C7" s="45">
        <v>5</v>
      </c>
      <c r="D7" s="45">
        <f>Water!D10</f>
        <v>2018</v>
      </c>
      <c r="E7" s="43">
        <f>Electricity!G11</f>
        <v>27240.000000000236</v>
      </c>
      <c r="F7" s="43">
        <f>Electricity!E11</f>
        <v>5320.0000000001637</v>
      </c>
      <c r="G7" s="43">
        <f>Electricity!F11</f>
        <v>21920.000000000073</v>
      </c>
      <c r="H7" s="47">
        <v>1553.67</v>
      </c>
      <c r="I7" s="57" t="s">
        <v>28</v>
      </c>
      <c r="J7" s="106">
        <f>Electricity!L11</f>
        <v>31713097.728000335</v>
      </c>
      <c r="K7" s="43">
        <f t="shared" si="0"/>
        <v>1164.2106361233502</v>
      </c>
      <c r="L7" s="58">
        <f>Water!G10</f>
        <v>514</v>
      </c>
      <c r="M7" s="58">
        <v>12550</v>
      </c>
      <c r="N7" s="106">
        <f>TOTAL!L7*TOTAL!M7</f>
        <v>6450700</v>
      </c>
      <c r="O7" s="43">
        <f t="shared" si="1"/>
        <v>164</v>
      </c>
    </row>
    <row r="8" spans="1:15" x14ac:dyDescent="0.25">
      <c r="A8" s="48" t="s">
        <v>44</v>
      </c>
      <c r="B8" s="45">
        <v>7</v>
      </c>
      <c r="C8" s="45">
        <v>5</v>
      </c>
      <c r="D8" s="45">
        <f>Water!D11</f>
        <v>2018</v>
      </c>
      <c r="E8" s="43">
        <f>Electricity!G12</f>
        <v>26880.000000000109</v>
      </c>
      <c r="F8" s="43">
        <f>Electricity!E12</f>
        <v>5039.9999999999636</v>
      </c>
      <c r="G8" s="43">
        <f>Electricity!F12</f>
        <v>21840.000000000146</v>
      </c>
      <c r="H8" s="47">
        <v>1553.67</v>
      </c>
      <c r="I8" s="57" t="s">
        <v>28</v>
      </c>
      <c r="J8" s="106">
        <f>Electricity!L12</f>
        <v>31182778.368000098</v>
      </c>
      <c r="K8" s="43">
        <f t="shared" si="0"/>
        <v>1160.073599999999</v>
      </c>
      <c r="L8" s="58">
        <f>Water!G11</f>
        <v>293</v>
      </c>
      <c r="M8" s="58">
        <v>12550</v>
      </c>
      <c r="N8" s="106">
        <f>TOTAL!L8*TOTAL!M8</f>
        <v>3677150</v>
      </c>
      <c r="O8" s="43">
        <f t="shared" si="1"/>
        <v>164</v>
      </c>
    </row>
    <row r="9" spans="1:15" x14ac:dyDescent="0.25">
      <c r="A9" s="48" t="s">
        <v>44</v>
      </c>
      <c r="B9" s="45">
        <v>8</v>
      </c>
      <c r="C9" s="45">
        <v>5</v>
      </c>
      <c r="D9" s="45">
        <f>Water!D12</f>
        <v>2018</v>
      </c>
      <c r="E9" s="43">
        <f>Electricity!G13</f>
        <v>27039.999999999509</v>
      </c>
      <c r="F9" s="43">
        <f>Electricity!E13</f>
        <v>5559.9999999999454</v>
      </c>
      <c r="G9" s="43">
        <f>Electricity!F13</f>
        <v>21479.999999999563</v>
      </c>
      <c r="H9" s="47">
        <v>1553.67</v>
      </c>
      <c r="I9" s="57" t="s">
        <v>28</v>
      </c>
      <c r="J9" s="106">
        <f>Electricity!L13</f>
        <v>31628246.630399451</v>
      </c>
      <c r="K9" s="43">
        <f t="shared" si="0"/>
        <v>1169.6836771597643</v>
      </c>
      <c r="L9" s="58">
        <f>Water!G12</f>
        <v>462</v>
      </c>
      <c r="M9" s="58">
        <v>12550</v>
      </c>
      <c r="N9" s="106">
        <f>TOTAL!L9*TOTAL!M9</f>
        <v>5798100</v>
      </c>
      <c r="O9" s="43">
        <f t="shared" si="1"/>
        <v>164</v>
      </c>
    </row>
    <row r="10" spans="1:15" x14ac:dyDescent="0.25">
      <c r="A10" s="48" t="s">
        <v>44</v>
      </c>
      <c r="B10" s="45">
        <v>9</v>
      </c>
      <c r="C10" s="45">
        <v>5</v>
      </c>
      <c r="D10" s="45">
        <f>Water!D13</f>
        <v>2018</v>
      </c>
      <c r="E10" s="43">
        <f>Electricity!G14</f>
        <v>24000</v>
      </c>
      <c r="F10" s="43">
        <f>Electricity!E14</f>
        <v>4000</v>
      </c>
      <c r="G10" s="43">
        <f>Electricity!F14</f>
        <v>20000</v>
      </c>
      <c r="H10" s="47">
        <v>1553.67</v>
      </c>
      <c r="I10" s="57" t="s">
        <v>28</v>
      </c>
      <c r="J10" s="106">
        <f>Electricity!L14</f>
        <v>27576606.719999999</v>
      </c>
      <c r="K10" s="43">
        <f t="shared" si="0"/>
        <v>1149.0252799999998</v>
      </c>
      <c r="L10" s="58">
        <f>Water!G13</f>
        <v>431</v>
      </c>
      <c r="M10" s="58">
        <v>12550</v>
      </c>
      <c r="N10" s="106">
        <f>TOTAL!L10*TOTAL!M10</f>
        <v>5409050</v>
      </c>
      <c r="O10" s="43">
        <f t="shared" si="1"/>
        <v>164</v>
      </c>
    </row>
    <row r="11" spans="1:15" x14ac:dyDescent="0.25">
      <c r="A11" s="48" t="s">
        <v>44</v>
      </c>
      <c r="B11" s="45">
        <v>10</v>
      </c>
      <c r="C11" s="45">
        <v>5</v>
      </c>
      <c r="D11" s="45">
        <f>Water!D14</f>
        <v>2018</v>
      </c>
      <c r="E11" s="43">
        <f>Electricity!G15</f>
        <v>28559.999999999491</v>
      </c>
      <c r="F11" s="43">
        <f>Electricity!E15</f>
        <v>6079.9999999999272</v>
      </c>
      <c r="G11" s="43">
        <f>Electricity!F15</f>
        <v>22479.999999999563</v>
      </c>
      <c r="H11" s="47">
        <v>1553.67</v>
      </c>
      <c r="I11" s="57" t="s">
        <v>28</v>
      </c>
      <c r="J11" s="106">
        <f>Electricity!L15</f>
        <v>33516183.55199942</v>
      </c>
      <c r="K11" s="43">
        <f t="shared" si="0"/>
        <v>1173.5358386554628</v>
      </c>
      <c r="L11" s="58">
        <f>Water!G14</f>
        <v>322</v>
      </c>
      <c r="M11" s="58">
        <v>12550</v>
      </c>
      <c r="N11" s="106">
        <f>TOTAL!L11*TOTAL!M11</f>
        <v>4041100</v>
      </c>
      <c r="O11" s="43">
        <f t="shared" si="1"/>
        <v>164</v>
      </c>
    </row>
    <row r="12" spans="1:15" x14ac:dyDescent="0.25">
      <c r="A12" s="48" t="s">
        <v>44</v>
      </c>
      <c r="B12" s="45">
        <v>11</v>
      </c>
      <c r="C12" s="45">
        <v>5</v>
      </c>
      <c r="D12" s="45">
        <f>Water!D15</f>
        <v>2018</v>
      </c>
      <c r="E12" s="43">
        <f>Electricity!G16</f>
        <v>27799.999999999727</v>
      </c>
      <c r="F12" s="43">
        <f>Electricity!E16</f>
        <v>5320.0000000001637</v>
      </c>
      <c r="G12" s="43">
        <f>Electricity!F16</f>
        <v>22479.999999999563</v>
      </c>
      <c r="H12" s="47">
        <v>1553.67</v>
      </c>
      <c r="I12" s="57" t="s">
        <v>28</v>
      </c>
      <c r="J12" s="106">
        <f>Electricity!L16</f>
        <v>32307055.411199797</v>
      </c>
      <c r="K12" s="43">
        <f t="shared" si="0"/>
        <v>1162.1242953669105</v>
      </c>
      <c r="L12" s="58">
        <f>Water!G15</f>
        <v>321</v>
      </c>
      <c r="M12" s="58">
        <v>12550</v>
      </c>
      <c r="N12" s="106">
        <f>TOTAL!L12*TOTAL!M12</f>
        <v>4028550</v>
      </c>
      <c r="O12" s="43">
        <f t="shared" si="1"/>
        <v>164</v>
      </c>
    </row>
    <row r="13" spans="1:15" x14ac:dyDescent="0.25">
      <c r="A13" s="48" t="s">
        <v>44</v>
      </c>
      <c r="B13" s="45">
        <v>12</v>
      </c>
      <c r="C13" s="45">
        <v>5</v>
      </c>
      <c r="D13" s="45">
        <f>Water!D16</f>
        <v>2018</v>
      </c>
      <c r="E13" s="43">
        <f>Electricity!G17</f>
        <v>26839.999999999691</v>
      </c>
      <c r="F13" s="43">
        <f>Electricity!E17</f>
        <v>4759.9999999997635</v>
      </c>
      <c r="G13" s="43">
        <f>Electricity!F17</f>
        <v>22079.999999999927</v>
      </c>
      <c r="H13" s="47">
        <v>1553.67</v>
      </c>
      <c r="I13" s="57" t="s">
        <v>28</v>
      </c>
      <c r="J13" s="106">
        <f>Electricity!L17</f>
        <v>30991863.398399543</v>
      </c>
      <c r="K13" s="43">
        <f t="shared" si="0"/>
        <v>1154.6893963636326</v>
      </c>
      <c r="L13" s="58">
        <f>Water!G16</f>
        <v>323</v>
      </c>
      <c r="M13" s="58">
        <v>12550</v>
      </c>
      <c r="N13" s="106">
        <f>TOTAL!L13*TOTAL!M13</f>
        <v>4053650</v>
      </c>
      <c r="O13" s="43">
        <f t="shared" si="1"/>
        <v>164</v>
      </c>
    </row>
    <row r="14" spans="1:15" x14ac:dyDescent="0.25">
      <c r="A14" s="48" t="s">
        <v>44</v>
      </c>
      <c r="B14" s="45">
        <v>13</v>
      </c>
      <c r="C14" s="45">
        <v>5</v>
      </c>
      <c r="D14" s="45">
        <f>Water!D17</f>
        <v>2018</v>
      </c>
      <c r="E14" s="43">
        <f>Electricity!G18</f>
        <v>27680.000000000746</v>
      </c>
      <c r="F14" s="43">
        <f>Electricity!E18</f>
        <v>5559.9999999999454</v>
      </c>
      <c r="G14" s="43">
        <f>Electricity!F18</f>
        <v>22120.0000000008</v>
      </c>
      <c r="H14" s="47">
        <v>1553.67</v>
      </c>
      <c r="I14" s="57" t="s">
        <v>28</v>
      </c>
      <c r="J14" s="106">
        <f>Electricity!L18</f>
        <v>32307055.411200762</v>
      </c>
      <c r="K14" s="43">
        <f t="shared" si="0"/>
        <v>1167.1624064739844</v>
      </c>
      <c r="L14" s="58">
        <f>Water!G17</f>
        <v>326</v>
      </c>
      <c r="M14" s="58">
        <v>12550</v>
      </c>
      <c r="N14" s="106">
        <f>TOTAL!L14*TOTAL!M14</f>
        <v>4091300</v>
      </c>
      <c r="O14" s="43">
        <f t="shared" si="1"/>
        <v>164</v>
      </c>
    </row>
    <row r="15" spans="1:15" x14ac:dyDescent="0.25">
      <c r="A15" s="48" t="s">
        <v>44</v>
      </c>
      <c r="B15" s="45">
        <v>14</v>
      </c>
      <c r="C15" s="45">
        <v>5</v>
      </c>
      <c r="D15" s="45">
        <f>Water!D18</f>
        <v>2018</v>
      </c>
      <c r="E15" s="43">
        <f>Electricity!G19</f>
        <v>27719.9999999998</v>
      </c>
      <c r="F15" s="43">
        <f>Electricity!E19</f>
        <v>5320.0000000001637</v>
      </c>
      <c r="G15" s="43">
        <f>Electricity!F19</f>
        <v>22399.999999999636</v>
      </c>
      <c r="H15" s="47">
        <v>1553.67</v>
      </c>
      <c r="I15" s="57" t="s">
        <v>28</v>
      </c>
      <c r="J15" s="106">
        <f>Electricity!L19</f>
        <v>32222204.313599877</v>
      </c>
      <c r="K15" s="43">
        <f t="shared" si="0"/>
        <v>1162.4171830303069</v>
      </c>
      <c r="L15" s="58">
        <f>Water!G18</f>
        <v>264</v>
      </c>
      <c r="M15" s="58">
        <v>12550</v>
      </c>
      <c r="N15" s="106">
        <f>TOTAL!L15*TOTAL!M15</f>
        <v>3313200</v>
      </c>
      <c r="O15" s="43">
        <f t="shared" si="1"/>
        <v>164</v>
      </c>
    </row>
    <row r="16" spans="1:15" x14ac:dyDescent="0.25">
      <c r="A16" s="48" t="s">
        <v>44</v>
      </c>
      <c r="B16" s="45">
        <v>15</v>
      </c>
      <c r="C16" s="45">
        <v>5</v>
      </c>
      <c r="D16" s="45">
        <f>Water!D19</f>
        <v>2018</v>
      </c>
      <c r="E16" s="43">
        <f>Electricity!G20</f>
        <v>26320.000000000618</v>
      </c>
      <c r="F16" s="43">
        <f>Electricity!E20</f>
        <v>3800.0000000001819</v>
      </c>
      <c r="G16" s="43">
        <f>Electricity!F20</f>
        <v>22520.000000000437</v>
      </c>
      <c r="H16" s="47">
        <v>1553.67</v>
      </c>
      <c r="I16" s="57" t="s">
        <v>28</v>
      </c>
      <c r="J16" s="106">
        <f>Electricity!L20</f>
        <v>29931224.678400755</v>
      </c>
      <c r="K16" s="43">
        <f t="shared" si="0"/>
        <v>1137.2045850455947</v>
      </c>
      <c r="L16" s="58">
        <f>Water!G19</f>
        <v>177</v>
      </c>
      <c r="M16" s="58">
        <v>12550</v>
      </c>
      <c r="N16" s="106">
        <f>TOTAL!L16*TOTAL!M16</f>
        <v>2221350</v>
      </c>
      <c r="O16" s="43">
        <f t="shared" si="1"/>
        <v>164</v>
      </c>
    </row>
    <row r="17" spans="1:15" x14ac:dyDescent="0.25">
      <c r="A17" s="48" t="s">
        <v>44</v>
      </c>
      <c r="B17" s="45">
        <v>16</v>
      </c>
      <c r="C17" s="45">
        <v>5</v>
      </c>
      <c r="D17" s="45">
        <f>Water!D20</f>
        <v>2018</v>
      </c>
      <c r="E17" s="43">
        <f>Electricity!G21</f>
        <v>28919.999999999618</v>
      </c>
      <c r="F17" s="43">
        <f>Electricity!E21</f>
        <v>6519.9999999999818</v>
      </c>
      <c r="G17" s="43">
        <f>Electricity!F21</f>
        <v>22399.999999999636</v>
      </c>
      <c r="H17" s="47">
        <v>1553.67</v>
      </c>
      <c r="I17" s="57" t="s">
        <v>28</v>
      </c>
      <c r="J17" s="106">
        <f>Electricity!L21</f>
        <v>34131354.009599589</v>
      </c>
      <c r="K17" s="43">
        <f t="shared" si="0"/>
        <v>1180.1989629875532</v>
      </c>
      <c r="L17" s="58">
        <f>Water!G20</f>
        <v>484</v>
      </c>
      <c r="M17" s="58">
        <v>12550</v>
      </c>
      <c r="N17" s="106">
        <f>TOTAL!L17*TOTAL!M17</f>
        <v>6074200</v>
      </c>
      <c r="O17" s="43">
        <f t="shared" si="1"/>
        <v>164</v>
      </c>
    </row>
    <row r="18" spans="1:15" x14ac:dyDescent="0.25">
      <c r="A18" s="48" t="s">
        <v>44</v>
      </c>
      <c r="B18" s="45">
        <v>17</v>
      </c>
      <c r="C18" s="45">
        <v>5</v>
      </c>
      <c r="D18" s="45">
        <f>Water!D21</f>
        <v>2018</v>
      </c>
      <c r="E18" s="43">
        <f>Electricity!G22</f>
        <v>27520.000000000891</v>
      </c>
      <c r="F18" s="43">
        <f>Electricity!E22</f>
        <v>5480.0000000000182</v>
      </c>
      <c r="G18" s="43">
        <f>Electricity!F22</f>
        <v>22040.000000000873</v>
      </c>
      <c r="H18" s="47">
        <v>1553.67</v>
      </c>
      <c r="I18" s="57" t="s">
        <v>28</v>
      </c>
      <c r="J18" s="106">
        <f>Electricity!L22</f>
        <v>32094927.667200953</v>
      </c>
      <c r="K18" s="43">
        <f t="shared" si="0"/>
        <v>1166.2401041860433</v>
      </c>
      <c r="L18" s="58">
        <f>Water!G21</f>
        <v>414</v>
      </c>
      <c r="M18" s="58">
        <v>12550</v>
      </c>
      <c r="N18" s="106">
        <f>TOTAL!L18*TOTAL!M18</f>
        <v>5195700</v>
      </c>
      <c r="O18" s="43">
        <f t="shared" si="1"/>
        <v>164</v>
      </c>
    </row>
    <row r="19" spans="1:15" x14ac:dyDescent="0.25">
      <c r="A19" s="48" t="s">
        <v>44</v>
      </c>
      <c r="B19" s="45">
        <v>18</v>
      </c>
      <c r="C19" s="45">
        <v>5</v>
      </c>
      <c r="D19" s="45">
        <f>Water!D22</f>
        <v>2018</v>
      </c>
      <c r="E19" s="43">
        <f>Electricity!G23</f>
        <v>27519.999999998618</v>
      </c>
      <c r="F19" s="43">
        <f>Electricity!E23</f>
        <v>5319.999999999709</v>
      </c>
      <c r="G19" s="43">
        <f>Electricity!F23</f>
        <v>22199.999999998909</v>
      </c>
      <c r="H19" s="47">
        <v>1553.67</v>
      </c>
      <c r="I19" s="57" t="s">
        <v>28</v>
      </c>
      <c r="J19" s="106">
        <f>Electricity!L23</f>
        <v>32010076.569598377</v>
      </c>
      <c r="K19" s="43">
        <f t="shared" si="0"/>
        <v>1163.1568520930227</v>
      </c>
      <c r="L19" s="58">
        <f>Water!G22</f>
        <v>353</v>
      </c>
      <c r="M19" s="58">
        <v>12550</v>
      </c>
      <c r="N19" s="106">
        <f>TOTAL!L19*TOTAL!M19</f>
        <v>4430150</v>
      </c>
      <c r="O19" s="43">
        <f t="shared" si="1"/>
        <v>164</v>
      </c>
    </row>
    <row r="20" spans="1:15" x14ac:dyDescent="0.25">
      <c r="A20" s="48" t="s">
        <v>44</v>
      </c>
      <c r="B20" s="45">
        <v>19</v>
      </c>
      <c r="C20" s="45">
        <v>5</v>
      </c>
      <c r="D20" s="45">
        <f>Water!D23</f>
        <v>2018</v>
      </c>
      <c r="E20" s="43">
        <f>Electricity!G24</f>
        <v>26560.000000000855</v>
      </c>
      <c r="F20" s="43">
        <f>Electricity!E24</f>
        <v>4360.0000000001273</v>
      </c>
      <c r="G20" s="43">
        <f>Electricity!F24</f>
        <v>22200.000000000728</v>
      </c>
      <c r="H20" s="47">
        <v>1553.67</v>
      </c>
      <c r="I20" s="57" t="s">
        <v>28</v>
      </c>
      <c r="J20" s="106">
        <f>Electricity!L24</f>
        <v>30482756.812800974</v>
      </c>
      <c r="K20" s="43">
        <f t="shared" si="0"/>
        <v>1147.6941571084335</v>
      </c>
      <c r="L20" s="58">
        <f>Water!G23</f>
        <v>430</v>
      </c>
      <c r="M20" s="58">
        <v>12550</v>
      </c>
      <c r="N20" s="106">
        <f>TOTAL!L20*TOTAL!M20</f>
        <v>5396500</v>
      </c>
      <c r="O20" s="43">
        <f t="shared" si="1"/>
        <v>164</v>
      </c>
    </row>
    <row r="21" spans="1:15" x14ac:dyDescent="0.25">
      <c r="A21" s="48" t="s">
        <v>44</v>
      </c>
      <c r="B21" s="45">
        <v>20</v>
      </c>
      <c r="C21" s="45">
        <v>5</v>
      </c>
      <c r="D21" s="45">
        <f>Water!D24</f>
        <v>2018</v>
      </c>
      <c r="E21" s="43">
        <f>Electricity!G25</f>
        <v>27079.999999999927</v>
      </c>
      <c r="F21" s="43">
        <f>Electricity!E25</f>
        <v>5079.9999999999272</v>
      </c>
      <c r="G21" s="43">
        <f>Electricity!F25</f>
        <v>22000</v>
      </c>
      <c r="H21" s="47">
        <v>1553.67</v>
      </c>
      <c r="I21" s="57" t="s">
        <v>28</v>
      </c>
      <c r="J21" s="106">
        <f>Electricity!L25</f>
        <v>31416118.886399884</v>
      </c>
      <c r="K21" s="43">
        <f t="shared" si="0"/>
        <v>1160.1225585819782</v>
      </c>
      <c r="L21" s="58">
        <f>Water!G24</f>
        <v>338</v>
      </c>
      <c r="M21" s="58">
        <v>12550</v>
      </c>
      <c r="N21" s="106">
        <f>TOTAL!L21*TOTAL!M21</f>
        <v>4241900</v>
      </c>
      <c r="O21" s="43">
        <f t="shared" si="1"/>
        <v>164</v>
      </c>
    </row>
    <row r="22" spans="1:15" x14ac:dyDescent="0.25">
      <c r="A22" s="48" t="s">
        <v>44</v>
      </c>
      <c r="B22" s="45">
        <v>21</v>
      </c>
      <c r="C22" s="45">
        <v>5</v>
      </c>
      <c r="D22" s="45">
        <f>Water!D25</f>
        <v>2018</v>
      </c>
      <c r="E22" s="43">
        <f>Electricity!G26</f>
        <v>25399.999999999636</v>
      </c>
      <c r="F22" s="43">
        <f>Electricity!E26</f>
        <v>6079.9999999999272</v>
      </c>
      <c r="G22" s="43">
        <f>Electricity!F26</f>
        <v>19319.999999999709</v>
      </c>
      <c r="H22" s="47">
        <v>1553.67</v>
      </c>
      <c r="I22" s="57" t="s">
        <v>28</v>
      </c>
      <c r="J22" s="106">
        <f>Electricity!L26</f>
        <v>30164565.196799576</v>
      </c>
      <c r="K22" s="43">
        <f t="shared" si="0"/>
        <v>1187.5813069606302</v>
      </c>
      <c r="L22" s="58">
        <f>Water!G25</f>
        <v>420</v>
      </c>
      <c r="M22" s="58">
        <v>12550</v>
      </c>
      <c r="N22" s="106">
        <f>TOTAL!L22*TOTAL!M22</f>
        <v>5271000</v>
      </c>
      <c r="O22" s="43">
        <f t="shared" si="1"/>
        <v>164</v>
      </c>
    </row>
    <row r="23" spans="1:15" x14ac:dyDescent="0.25">
      <c r="A23" s="48" t="s">
        <v>44</v>
      </c>
      <c r="B23" s="45">
        <v>22</v>
      </c>
      <c r="C23" s="45">
        <v>5</v>
      </c>
      <c r="D23" s="45">
        <f>Water!D26</f>
        <v>2018</v>
      </c>
      <c r="E23" s="43">
        <f>Electricity!G27</f>
        <v>29440.000000000055</v>
      </c>
      <c r="F23" s="43">
        <f>Electricity!E27</f>
        <v>5360.0000000001273</v>
      </c>
      <c r="G23" s="43">
        <f>Electricity!F27</f>
        <v>24079.999999999927</v>
      </c>
      <c r="H23" s="47">
        <v>1553.67</v>
      </c>
      <c r="I23" s="57" t="s">
        <v>28</v>
      </c>
      <c r="J23" s="106">
        <f>Electricity!L27</f>
        <v>34067715.686400123</v>
      </c>
      <c r="K23" s="43">
        <f t="shared" si="0"/>
        <v>1157.1914295652193</v>
      </c>
      <c r="L23" s="58">
        <f>Water!G26</f>
        <v>351</v>
      </c>
      <c r="M23" s="58">
        <v>12550</v>
      </c>
      <c r="N23" s="106">
        <f>TOTAL!L23*TOTAL!M23</f>
        <v>4405050</v>
      </c>
      <c r="O23" s="43">
        <f t="shared" si="1"/>
        <v>164</v>
      </c>
    </row>
    <row r="24" spans="1:15" x14ac:dyDescent="0.25">
      <c r="A24" s="48" t="s">
        <v>44</v>
      </c>
      <c r="B24" s="45">
        <v>23</v>
      </c>
      <c r="C24" s="45">
        <v>5</v>
      </c>
      <c r="D24" s="45">
        <f>Water!D27</f>
        <v>2018</v>
      </c>
      <c r="E24" s="43">
        <f>Electricity!G28</f>
        <v>24839.999999999691</v>
      </c>
      <c r="F24" s="43">
        <f>Electricity!E28</f>
        <v>1360.0000000001273</v>
      </c>
      <c r="G24" s="43">
        <f>Electricity!F28</f>
        <v>23479.999999999563</v>
      </c>
      <c r="H24" s="47">
        <v>1553.67</v>
      </c>
      <c r="I24" s="57" t="s">
        <v>28</v>
      </c>
      <c r="J24" s="106">
        <f>Electricity!L28</f>
        <v>27067500.134399738</v>
      </c>
      <c r="K24" s="43">
        <f t="shared" si="0"/>
        <v>1089.6739184541093</v>
      </c>
      <c r="L24" s="58">
        <f>Water!G27</f>
        <v>349</v>
      </c>
      <c r="M24" s="58">
        <v>12550</v>
      </c>
      <c r="N24" s="106">
        <f>TOTAL!L24*TOTAL!M24</f>
        <v>4379950</v>
      </c>
      <c r="O24" s="43">
        <f t="shared" si="1"/>
        <v>164</v>
      </c>
    </row>
    <row r="25" spans="1:15" x14ac:dyDescent="0.25">
      <c r="A25" s="48" t="s">
        <v>44</v>
      </c>
      <c r="B25" s="45">
        <v>24</v>
      </c>
      <c r="C25" s="45">
        <v>5</v>
      </c>
      <c r="D25" s="45">
        <f>Water!D28</f>
        <v>2018</v>
      </c>
      <c r="E25" s="43">
        <f>Electricity!G29</f>
        <v>28760.000000000673</v>
      </c>
      <c r="F25" s="43">
        <f>Electricity!E29</f>
        <v>8719.9999999997999</v>
      </c>
      <c r="G25" s="43">
        <f>Electricity!F29</f>
        <v>20040.000000000873</v>
      </c>
      <c r="H25" s="47">
        <v>1553.67</v>
      </c>
      <c r="I25" s="57" t="s">
        <v>28</v>
      </c>
      <c r="J25" s="106">
        <f>Electricity!L29</f>
        <v>35128354.406400606</v>
      </c>
      <c r="K25" s="43">
        <f t="shared" si="0"/>
        <v>1221.4309598887269</v>
      </c>
      <c r="L25" s="58">
        <f>Water!G28</f>
        <v>363</v>
      </c>
      <c r="M25" s="58">
        <v>12550</v>
      </c>
      <c r="N25" s="106">
        <f>TOTAL!L25*TOTAL!M25</f>
        <v>4555650</v>
      </c>
      <c r="O25" s="43">
        <f t="shared" si="1"/>
        <v>164</v>
      </c>
    </row>
    <row r="26" spans="1:15" x14ac:dyDescent="0.25">
      <c r="A26" s="48" t="s">
        <v>44</v>
      </c>
      <c r="B26" s="45">
        <v>25</v>
      </c>
      <c r="C26" s="45">
        <v>5</v>
      </c>
      <c r="D26" s="45">
        <f>Water!D29</f>
        <v>2018</v>
      </c>
      <c r="E26" s="43">
        <f>Electricity!G30</f>
        <v>24920.000000000073</v>
      </c>
      <c r="F26" s="43">
        <f>Electricity!E30</f>
        <v>4840.0000000001455</v>
      </c>
      <c r="G26" s="43">
        <f>Electricity!F30</f>
        <v>20079.999999999927</v>
      </c>
      <c r="H26" s="47">
        <v>1553.67</v>
      </c>
      <c r="I26" s="57" t="s">
        <v>28</v>
      </c>
      <c r="J26" s="106">
        <f>Electricity!L30</f>
        <v>28997862.604800157</v>
      </c>
      <c r="K26" s="43">
        <f t="shared" si="0"/>
        <v>1163.638146260035</v>
      </c>
      <c r="L26" s="58">
        <f>Water!G29</f>
        <v>430</v>
      </c>
      <c r="M26" s="58">
        <v>12550</v>
      </c>
      <c r="N26" s="106">
        <f>TOTAL!L26*TOTAL!M26</f>
        <v>5396500</v>
      </c>
      <c r="O26" s="43">
        <f t="shared" si="1"/>
        <v>164</v>
      </c>
    </row>
    <row r="27" spans="1:15" x14ac:dyDescent="0.25">
      <c r="A27" s="48" t="s">
        <v>44</v>
      </c>
      <c r="B27" s="45">
        <v>26</v>
      </c>
      <c r="C27" s="45">
        <v>5</v>
      </c>
      <c r="D27" s="45">
        <f>Water!D30</f>
        <v>2018</v>
      </c>
      <c r="E27" s="43">
        <f>Electricity!G31</f>
        <v>25160.000000000309</v>
      </c>
      <c r="F27" s="43">
        <f>Electricity!E31</f>
        <v>3639.9999999998727</v>
      </c>
      <c r="G27" s="43">
        <f>Electricity!F31</f>
        <v>21520.000000000437</v>
      </c>
      <c r="H27" s="47">
        <v>1553.67</v>
      </c>
      <c r="I27" s="57" t="s">
        <v>28</v>
      </c>
      <c r="J27" s="106">
        <f>Electricity!L31</f>
        <v>28616032.665600263</v>
      </c>
      <c r="K27" s="43">
        <f t="shared" si="0"/>
        <v>1137.3621886168487</v>
      </c>
      <c r="L27" s="58">
        <f>Water!G30</f>
        <v>353</v>
      </c>
      <c r="M27" s="58">
        <v>12550</v>
      </c>
      <c r="N27" s="106">
        <f>TOTAL!L27*TOTAL!M27</f>
        <v>4430150</v>
      </c>
      <c r="O27" s="43">
        <f t="shared" si="1"/>
        <v>164</v>
      </c>
    </row>
    <row r="28" spans="1:15" x14ac:dyDescent="0.25">
      <c r="A28" s="48" t="s">
        <v>44</v>
      </c>
      <c r="B28" s="45">
        <v>27</v>
      </c>
      <c r="C28" s="45">
        <v>5</v>
      </c>
      <c r="D28" s="45">
        <f>Water!D31</f>
        <v>2018</v>
      </c>
      <c r="E28" s="43">
        <f>Electricity!G32</f>
        <v>25719.9999999998</v>
      </c>
      <c r="F28" s="43">
        <f>Electricity!E32</f>
        <v>4559.9999999999454</v>
      </c>
      <c r="G28" s="43">
        <f>Electricity!F32</f>
        <v>21159.999999999854</v>
      </c>
      <c r="H28" s="47">
        <v>1553.67</v>
      </c>
      <c r="I28" s="57" t="s">
        <v>28</v>
      </c>
      <c r="J28" s="106">
        <f>Electricity!L32</f>
        <v>29697884.159999754</v>
      </c>
      <c r="K28" s="43">
        <f t="shared" si="0"/>
        <v>1154.6611259720057</v>
      </c>
      <c r="L28" s="58">
        <f>Water!G31</f>
        <v>337</v>
      </c>
      <c r="M28" s="58">
        <v>12550</v>
      </c>
      <c r="N28" s="106">
        <f>TOTAL!L28*TOTAL!M28</f>
        <v>4229350</v>
      </c>
      <c r="O28" s="43">
        <f t="shared" si="1"/>
        <v>164</v>
      </c>
    </row>
    <row r="29" spans="1:15" x14ac:dyDescent="0.25">
      <c r="A29" s="48" t="s">
        <v>44</v>
      </c>
      <c r="B29" s="45">
        <v>28</v>
      </c>
      <c r="C29" s="45">
        <v>5</v>
      </c>
      <c r="D29" s="45">
        <f>Water!D32</f>
        <v>2018</v>
      </c>
      <c r="E29" s="43">
        <f>Electricity!G33</f>
        <v>24559.999999999945</v>
      </c>
      <c r="F29" s="43">
        <f>Electricity!E33</f>
        <v>4480.0000000000182</v>
      </c>
      <c r="G29" s="43">
        <f>Electricity!F33</f>
        <v>20079.999999999927</v>
      </c>
      <c r="H29" s="47">
        <v>1553.67</v>
      </c>
      <c r="I29" s="57" t="s">
        <v>28</v>
      </c>
      <c r="J29" s="106">
        <f>Electricity!L33</f>
        <v>28425117.69599995</v>
      </c>
      <c r="K29" s="43">
        <f t="shared" si="0"/>
        <v>1157.374499022802</v>
      </c>
      <c r="L29" s="58">
        <f>Water!G32</f>
        <v>462</v>
      </c>
      <c r="M29" s="58">
        <v>12550</v>
      </c>
      <c r="N29" s="106">
        <f>TOTAL!L29*TOTAL!M29</f>
        <v>5798100</v>
      </c>
      <c r="O29" s="43">
        <f t="shared" si="1"/>
        <v>164</v>
      </c>
    </row>
    <row r="30" spans="1:15" s="43" customFormat="1" x14ac:dyDescent="0.25">
      <c r="A30" s="48" t="s">
        <v>44</v>
      </c>
      <c r="B30" s="45">
        <v>29</v>
      </c>
      <c r="C30" s="45">
        <v>5</v>
      </c>
      <c r="D30" s="45">
        <f>Water!D33</f>
        <v>2018</v>
      </c>
      <c r="E30" s="43">
        <f>Electricity!G34</f>
        <v>23279.999999998836</v>
      </c>
      <c r="F30" s="43">
        <f>Electricity!E34</f>
        <v>2079.9999999999272</v>
      </c>
      <c r="G30" s="43">
        <f>Electricity!F34</f>
        <v>21199.999999998909</v>
      </c>
      <c r="H30" s="47">
        <v>1553.67</v>
      </c>
      <c r="I30" s="57" t="s">
        <v>28</v>
      </c>
      <c r="J30" s="106">
        <f>Electricity!L34</f>
        <v>25794733.670398723</v>
      </c>
      <c r="K30" s="43">
        <f t="shared" si="0"/>
        <v>1108.0212057731965</v>
      </c>
      <c r="L30" s="58">
        <f>Water!G33</f>
        <v>375</v>
      </c>
      <c r="M30" s="58">
        <v>12550</v>
      </c>
      <c r="N30" s="106">
        <f>TOTAL!L30*TOTAL!M30</f>
        <v>4706250</v>
      </c>
      <c r="O30" s="43">
        <f t="shared" si="1"/>
        <v>164</v>
      </c>
    </row>
    <row r="31" spans="1:15" s="43" customFormat="1" x14ac:dyDescent="0.25">
      <c r="A31" s="48" t="s">
        <v>44</v>
      </c>
      <c r="B31" s="45">
        <v>30</v>
      </c>
      <c r="C31" s="45">
        <v>5</v>
      </c>
      <c r="D31" s="45">
        <f>Water!D34</f>
        <v>2018</v>
      </c>
      <c r="E31" s="43">
        <f>Electricity!G35</f>
        <v>25960.000000000491</v>
      </c>
      <c r="F31" s="43">
        <f>Electricity!E35</f>
        <v>7360.0000000001273</v>
      </c>
      <c r="G31" s="43">
        <f>Electricity!F35</f>
        <v>18600.000000000364</v>
      </c>
      <c r="H31" s="47">
        <v>1553.67</v>
      </c>
      <c r="I31" s="57" t="s">
        <v>28</v>
      </c>
      <c r="J31" s="106">
        <f>Electricity!L35</f>
        <v>31437331.660800587</v>
      </c>
      <c r="K31" s="43">
        <f t="shared" si="0"/>
        <v>1210.9912041910629</v>
      </c>
      <c r="L31" s="58">
        <f>Water!G34</f>
        <v>411</v>
      </c>
      <c r="M31" s="58">
        <v>12550</v>
      </c>
      <c r="N31" s="106">
        <f>TOTAL!L31*TOTAL!M31</f>
        <v>5158050</v>
      </c>
      <c r="O31" s="43">
        <f t="shared" si="1"/>
        <v>164</v>
      </c>
    </row>
    <row r="32" spans="1:15" s="43" customFormat="1" x14ac:dyDescent="0.25">
      <c r="A32" s="48" t="s">
        <v>44</v>
      </c>
      <c r="B32" s="45">
        <v>31</v>
      </c>
      <c r="C32" s="45">
        <v>5</v>
      </c>
      <c r="D32" s="45">
        <f>Water!D35</f>
        <v>2018</v>
      </c>
      <c r="E32" s="43">
        <f>Electricity!G36</f>
        <v>25640.000000000327</v>
      </c>
      <c r="F32" s="43">
        <f>Electricity!E36</f>
        <v>6880.0000000001091</v>
      </c>
      <c r="G32" s="43">
        <f>Electricity!F36</f>
        <v>18760.000000000218</v>
      </c>
      <c r="H32" s="47">
        <v>1553.67</v>
      </c>
      <c r="I32" s="57" t="s">
        <v>28</v>
      </c>
      <c r="J32" s="106">
        <f>Electricity!L36</f>
        <v>30843373.977600403</v>
      </c>
      <c r="K32" s="43">
        <f t="shared" si="0"/>
        <v>1202.9397027145089</v>
      </c>
      <c r="L32" s="58">
        <f>Water!G35</f>
        <v>262</v>
      </c>
      <c r="M32" s="58">
        <v>12550</v>
      </c>
      <c r="N32" s="106">
        <f>TOTAL!L32*TOTAL!M32</f>
        <v>3288100</v>
      </c>
      <c r="O32" s="43">
        <f t="shared" si="1"/>
        <v>164</v>
      </c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H6" sqref="H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18" t="s">
        <v>37</v>
      </c>
      <c r="C1" s="119"/>
      <c r="D1" s="119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0" t="s">
        <v>0</v>
      </c>
      <c r="C2" s="132" t="s">
        <v>33</v>
      </c>
      <c r="D2" s="123" t="s">
        <v>9</v>
      </c>
      <c r="E2" s="126" t="s">
        <v>38</v>
      </c>
      <c r="F2" s="127"/>
      <c r="G2" s="127"/>
      <c r="H2" s="127"/>
      <c r="I2" s="127"/>
      <c r="J2" s="127"/>
      <c r="K2" s="127"/>
      <c r="L2" s="128"/>
      <c r="M2" s="2"/>
      <c r="N2" s="2"/>
      <c r="O2" s="1"/>
      <c r="P2" s="1"/>
      <c r="Q2" s="1"/>
    </row>
    <row r="3" spans="2:17" s="23" customFormat="1" ht="25.5" customHeight="1" x14ac:dyDescent="0.25">
      <c r="B3" s="121"/>
      <c r="C3" s="133"/>
      <c r="D3" s="124"/>
      <c r="E3" s="20" t="s">
        <v>7</v>
      </c>
      <c r="F3" s="24" t="s">
        <v>13</v>
      </c>
      <c r="G3" s="24" t="s">
        <v>16</v>
      </c>
      <c r="H3" s="129" t="s">
        <v>17</v>
      </c>
      <c r="I3" s="130"/>
      <c r="J3" s="131"/>
      <c r="K3" s="114" t="s">
        <v>35</v>
      </c>
      <c r="L3" s="116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2"/>
      <c r="C4" s="52"/>
      <c r="D4" s="125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5"/>
      <c r="L4" s="117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43221</v>
      </c>
      <c r="C6" s="59">
        <v>164</v>
      </c>
      <c r="D6" s="87">
        <v>1035.78</v>
      </c>
      <c r="E6" s="113">
        <v>2880.0000000001091</v>
      </c>
      <c r="F6" s="113">
        <v>16920.000000000073</v>
      </c>
      <c r="G6" s="80">
        <f>F6+E6</f>
        <v>19800.000000000182</v>
      </c>
      <c r="H6" s="81">
        <f t="shared" ref="H6:H33" si="0">E6*1.5*D6</f>
        <v>4474569.6000001691</v>
      </c>
      <c r="I6" s="81">
        <f t="shared" ref="I6:I33" si="1">F6*D6</f>
        <v>17525397.600000076</v>
      </c>
      <c r="J6" s="81">
        <f t="shared" ref="J6:J30" si="2">I6+H6</f>
        <v>21999967.200000245</v>
      </c>
      <c r="K6" s="81">
        <f>J6*0.024</f>
        <v>527999.21280000592</v>
      </c>
      <c r="L6" s="104">
        <f>J6+K6</f>
        <v>22527966.412800252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43222</v>
      </c>
      <c r="C7" s="59">
        <f>C6</f>
        <v>164</v>
      </c>
      <c r="D7" s="87">
        <v>1035.78</v>
      </c>
      <c r="E7" s="113">
        <v>3800.0000000001819</v>
      </c>
      <c r="F7" s="113">
        <v>26680.000000000291</v>
      </c>
      <c r="G7" s="80">
        <f t="shared" ref="G7:G33" si="3">F7+E7</f>
        <v>30480.000000000473</v>
      </c>
      <c r="H7" s="81">
        <f t="shared" si="0"/>
        <v>5903946.0000002822</v>
      </c>
      <c r="I7" s="81">
        <f t="shared" si="1"/>
        <v>27634610.4000003</v>
      </c>
      <c r="J7" s="81">
        <f t="shared" si="2"/>
        <v>33538556.400000583</v>
      </c>
      <c r="K7" s="81">
        <f t="shared" ref="K7:K36" si="4">J7*0.024</f>
        <v>804925.353600014</v>
      </c>
      <c r="L7" s="104">
        <f>J7+K7</f>
        <v>34343481.753600597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43223</v>
      </c>
      <c r="C8" s="59">
        <f t="shared" ref="C8:C36" si="5">C7</f>
        <v>164</v>
      </c>
      <c r="D8" s="87">
        <v>1035.78</v>
      </c>
      <c r="E8" s="113">
        <v>7199.9999999998181</v>
      </c>
      <c r="F8" s="113">
        <v>21719.999999999345</v>
      </c>
      <c r="G8" s="80">
        <f t="shared" si="3"/>
        <v>28919.999999999163</v>
      </c>
      <c r="H8" s="81">
        <f t="shared" si="0"/>
        <v>11186423.999999717</v>
      </c>
      <c r="I8" s="81">
        <f t="shared" si="1"/>
        <v>22497141.59999932</v>
      </c>
      <c r="J8" s="81">
        <f t="shared" si="2"/>
        <v>33683565.59999904</v>
      </c>
      <c r="K8" s="81">
        <f t="shared" si="4"/>
        <v>808405.57439997699</v>
      </c>
      <c r="L8" s="104">
        <f t="shared" ref="L8:L30" si="6">J8+K8</f>
        <v>34491971.174399018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43224</v>
      </c>
      <c r="C9" s="59">
        <f t="shared" si="5"/>
        <v>164</v>
      </c>
      <c r="D9" s="87">
        <v>1035.78</v>
      </c>
      <c r="E9" s="113">
        <v>4800.0000000001819</v>
      </c>
      <c r="F9" s="113">
        <v>20000</v>
      </c>
      <c r="G9" s="80">
        <f t="shared" si="3"/>
        <v>24800.000000000182</v>
      </c>
      <c r="H9" s="81">
        <f t="shared" si="0"/>
        <v>7457616.0000002822</v>
      </c>
      <c r="I9" s="81">
        <f t="shared" si="1"/>
        <v>20715600</v>
      </c>
      <c r="J9" s="81">
        <f t="shared" si="2"/>
        <v>28173216.000000283</v>
      </c>
      <c r="K9" s="81">
        <f t="shared" si="4"/>
        <v>676157.18400000676</v>
      </c>
      <c r="L9" s="104">
        <f t="shared" si="6"/>
        <v>28849373.184000291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43225</v>
      </c>
      <c r="C10" s="59">
        <f t="shared" si="5"/>
        <v>164</v>
      </c>
      <c r="D10" s="87">
        <v>1035.78</v>
      </c>
      <c r="E10" s="113">
        <v>6119.9999999998909</v>
      </c>
      <c r="F10" s="113">
        <v>22720.000000001164</v>
      </c>
      <c r="G10" s="80">
        <f t="shared" si="3"/>
        <v>28840.000000001055</v>
      </c>
      <c r="H10" s="81">
        <f t="shared" si="0"/>
        <v>9508460.3999998309</v>
      </c>
      <c r="I10" s="81">
        <f t="shared" si="1"/>
        <v>23532921.600001205</v>
      </c>
      <c r="J10" s="81">
        <f t="shared" si="2"/>
        <v>33041382.000001036</v>
      </c>
      <c r="K10" s="81">
        <f t="shared" si="4"/>
        <v>792993.16800002486</v>
      </c>
      <c r="L10" s="104">
        <f t="shared" si="6"/>
        <v>33834375.168001063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43226</v>
      </c>
      <c r="C11" s="59">
        <f t="shared" si="5"/>
        <v>164</v>
      </c>
      <c r="D11" s="87">
        <v>1035.78</v>
      </c>
      <c r="E11" s="113">
        <v>5320.0000000001637</v>
      </c>
      <c r="F11" s="113">
        <v>21920.000000000073</v>
      </c>
      <c r="G11" s="80">
        <f t="shared" si="3"/>
        <v>27240.000000000236</v>
      </c>
      <c r="H11" s="81">
        <f t="shared" si="0"/>
        <v>8265524.4000002537</v>
      </c>
      <c r="I11" s="81">
        <f t="shared" si="1"/>
        <v>22704297.600000076</v>
      </c>
      <c r="J11" s="81">
        <f t="shared" si="2"/>
        <v>30969822.000000328</v>
      </c>
      <c r="K11" s="81">
        <f t="shared" si="4"/>
        <v>743275.72800000792</v>
      </c>
      <c r="L11" s="104">
        <f t="shared" si="6"/>
        <v>31713097.728000335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43227</v>
      </c>
      <c r="C12" s="59">
        <f t="shared" si="5"/>
        <v>164</v>
      </c>
      <c r="D12" s="87">
        <v>1035.78</v>
      </c>
      <c r="E12" s="113">
        <v>5039.9999999999636</v>
      </c>
      <c r="F12" s="113">
        <v>21840.000000000146</v>
      </c>
      <c r="G12" s="80">
        <f t="shared" si="3"/>
        <v>26880.000000000109</v>
      </c>
      <c r="H12" s="81">
        <f t="shared" si="0"/>
        <v>7830496.799999943</v>
      </c>
      <c r="I12" s="81">
        <f t="shared" si="1"/>
        <v>22621435.200000152</v>
      </c>
      <c r="J12" s="81">
        <f t="shared" si="2"/>
        <v>30451932.000000097</v>
      </c>
      <c r="K12" s="81">
        <f t="shared" si="4"/>
        <v>730846.36800000235</v>
      </c>
      <c r="L12" s="104">
        <f t="shared" si="6"/>
        <v>31182778.368000098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43228</v>
      </c>
      <c r="C13" s="59">
        <f t="shared" si="5"/>
        <v>164</v>
      </c>
      <c r="D13" s="87">
        <v>1035.78</v>
      </c>
      <c r="E13" s="113">
        <v>5559.9999999999454</v>
      </c>
      <c r="F13" s="113">
        <v>21479.999999999563</v>
      </c>
      <c r="G13" s="80">
        <f t="shared" si="3"/>
        <v>27039.999999999509</v>
      </c>
      <c r="H13" s="81">
        <f t="shared" si="0"/>
        <v>8638405.1999999154</v>
      </c>
      <c r="I13" s="81">
        <f t="shared" si="1"/>
        <v>22248554.399999548</v>
      </c>
      <c r="J13" s="81">
        <f t="shared" si="2"/>
        <v>30886959.599999465</v>
      </c>
      <c r="K13" s="81">
        <f t="shared" si="4"/>
        <v>741287.03039998712</v>
      </c>
      <c r="L13" s="104">
        <f t="shared" si="6"/>
        <v>31628246.630399451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43229</v>
      </c>
      <c r="C14" s="59">
        <f t="shared" si="5"/>
        <v>164</v>
      </c>
      <c r="D14" s="87">
        <v>1035.78</v>
      </c>
      <c r="E14" s="113">
        <v>4000</v>
      </c>
      <c r="F14" s="113">
        <v>20000</v>
      </c>
      <c r="G14" s="80">
        <f t="shared" si="3"/>
        <v>24000</v>
      </c>
      <c r="H14" s="81">
        <f t="shared" si="0"/>
        <v>6214680</v>
      </c>
      <c r="I14" s="81">
        <f t="shared" si="1"/>
        <v>20715600</v>
      </c>
      <c r="J14" s="81">
        <f t="shared" si="2"/>
        <v>26930280</v>
      </c>
      <c r="K14" s="81">
        <f t="shared" si="4"/>
        <v>646326.72</v>
      </c>
      <c r="L14" s="104">
        <f t="shared" si="6"/>
        <v>27576606.719999999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43230</v>
      </c>
      <c r="C15" s="59">
        <f t="shared" si="5"/>
        <v>164</v>
      </c>
      <c r="D15" s="87">
        <v>1035.78</v>
      </c>
      <c r="E15" s="113">
        <v>6079.9999999999272</v>
      </c>
      <c r="F15" s="113">
        <v>22479.999999999563</v>
      </c>
      <c r="G15" s="80">
        <f t="shared" si="3"/>
        <v>28559.999999999491</v>
      </c>
      <c r="H15" s="81">
        <f t="shared" si="0"/>
        <v>9446313.599999886</v>
      </c>
      <c r="I15" s="81">
        <f t="shared" si="1"/>
        <v>23284334.399999548</v>
      </c>
      <c r="J15" s="81">
        <f t="shared" si="2"/>
        <v>32730647.999999434</v>
      </c>
      <c r="K15" s="81">
        <f t="shared" si="4"/>
        <v>785535.5519999864</v>
      </c>
      <c r="L15" s="104">
        <f t="shared" si="6"/>
        <v>33516183.55199942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43231</v>
      </c>
      <c r="C16" s="59">
        <f t="shared" si="5"/>
        <v>164</v>
      </c>
      <c r="D16" s="87">
        <v>1035.78</v>
      </c>
      <c r="E16" s="113">
        <v>5320.0000000001637</v>
      </c>
      <c r="F16" s="113">
        <v>22479.999999999563</v>
      </c>
      <c r="G16" s="80">
        <f t="shared" si="3"/>
        <v>27799.999999999727</v>
      </c>
      <c r="H16" s="81">
        <f t="shared" si="0"/>
        <v>8265524.4000002537</v>
      </c>
      <c r="I16" s="81">
        <f t="shared" si="1"/>
        <v>23284334.399999548</v>
      </c>
      <c r="J16" s="81">
        <f t="shared" si="2"/>
        <v>31549858.799999803</v>
      </c>
      <c r="K16" s="81">
        <f t="shared" si="4"/>
        <v>757196.61119999527</v>
      </c>
      <c r="L16" s="104">
        <f t="shared" si="6"/>
        <v>32307055.411199797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43232</v>
      </c>
      <c r="C17" s="59">
        <f t="shared" si="5"/>
        <v>164</v>
      </c>
      <c r="D17" s="87">
        <v>1035.78</v>
      </c>
      <c r="E17" s="113">
        <v>4759.9999999997635</v>
      </c>
      <c r="F17" s="113">
        <v>22079.999999999927</v>
      </c>
      <c r="G17" s="80">
        <f t="shared" si="3"/>
        <v>26839.999999999691</v>
      </c>
      <c r="H17" s="81">
        <f t="shared" si="0"/>
        <v>7395469.1999996323</v>
      </c>
      <c r="I17" s="81">
        <f t="shared" si="1"/>
        <v>22870022.399999924</v>
      </c>
      <c r="J17" s="81">
        <f t="shared" si="2"/>
        <v>30265491.599999554</v>
      </c>
      <c r="K17" s="81">
        <f t="shared" si="4"/>
        <v>726371.79839998938</v>
      </c>
      <c r="L17" s="104">
        <f t="shared" si="6"/>
        <v>30991863.398399543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43233</v>
      </c>
      <c r="C18" s="59">
        <f t="shared" si="5"/>
        <v>164</v>
      </c>
      <c r="D18" s="87">
        <v>1035.78</v>
      </c>
      <c r="E18" s="113">
        <v>5559.9999999999454</v>
      </c>
      <c r="F18" s="113">
        <v>22120.0000000008</v>
      </c>
      <c r="G18" s="80">
        <f t="shared" si="3"/>
        <v>27680.000000000746</v>
      </c>
      <c r="H18" s="81">
        <f t="shared" si="0"/>
        <v>8638405.1999999154</v>
      </c>
      <c r="I18" s="81">
        <f t="shared" si="1"/>
        <v>22911453.600000829</v>
      </c>
      <c r="J18" s="81">
        <f t="shared" si="2"/>
        <v>31549858.800000742</v>
      </c>
      <c r="K18" s="81">
        <f t="shared" si="4"/>
        <v>757196.61120001785</v>
      </c>
      <c r="L18" s="104">
        <f t="shared" si="6"/>
        <v>32307055.411200762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43234</v>
      </c>
      <c r="C19" s="59">
        <f t="shared" si="5"/>
        <v>164</v>
      </c>
      <c r="D19" s="87">
        <v>1035.78</v>
      </c>
      <c r="E19" s="113">
        <v>5320.0000000001637</v>
      </c>
      <c r="F19" s="113">
        <v>22399.999999999636</v>
      </c>
      <c r="G19" s="80">
        <f t="shared" si="3"/>
        <v>27719.9999999998</v>
      </c>
      <c r="H19" s="81">
        <f t="shared" si="0"/>
        <v>8265524.4000002537</v>
      </c>
      <c r="I19" s="81">
        <f t="shared" si="1"/>
        <v>23201471.999999624</v>
      </c>
      <c r="J19" s="81">
        <f t="shared" si="2"/>
        <v>31466996.399999879</v>
      </c>
      <c r="K19" s="81">
        <f t="shared" si="4"/>
        <v>755207.91359999718</v>
      </c>
      <c r="L19" s="104">
        <f t="shared" si="6"/>
        <v>32222204.313599877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43235</v>
      </c>
      <c r="C20" s="59">
        <f t="shared" si="5"/>
        <v>164</v>
      </c>
      <c r="D20" s="87">
        <v>1035.78</v>
      </c>
      <c r="E20" s="113">
        <v>3800.0000000001819</v>
      </c>
      <c r="F20" s="113">
        <v>22520.000000000437</v>
      </c>
      <c r="G20" s="80">
        <f t="shared" si="3"/>
        <v>26320.000000000618</v>
      </c>
      <c r="H20" s="81">
        <f t="shared" si="0"/>
        <v>5903946.0000002822</v>
      </c>
      <c r="I20" s="81">
        <f t="shared" si="1"/>
        <v>23325765.600000452</v>
      </c>
      <c r="J20" s="81">
        <f t="shared" si="2"/>
        <v>29229711.600000735</v>
      </c>
      <c r="K20" s="81">
        <f t="shared" si="4"/>
        <v>701513.07840001769</v>
      </c>
      <c r="L20" s="104">
        <f t="shared" si="6"/>
        <v>29931224.678400755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43236</v>
      </c>
      <c r="C21" s="59">
        <f t="shared" si="5"/>
        <v>164</v>
      </c>
      <c r="D21" s="87">
        <v>1035.78</v>
      </c>
      <c r="E21" s="113">
        <v>6519.9999999999818</v>
      </c>
      <c r="F21" s="113">
        <v>22399.999999999636</v>
      </c>
      <c r="G21" s="80">
        <f t="shared" si="3"/>
        <v>28919.999999999618</v>
      </c>
      <c r="H21" s="81">
        <f t="shared" si="0"/>
        <v>10129928.399999971</v>
      </c>
      <c r="I21" s="81">
        <f t="shared" si="1"/>
        <v>23201471.999999624</v>
      </c>
      <c r="J21" s="81">
        <f t="shared" si="2"/>
        <v>33331400.399999596</v>
      </c>
      <c r="K21" s="81">
        <f t="shared" si="4"/>
        <v>799953.6095999903</v>
      </c>
      <c r="L21" s="104">
        <f t="shared" si="6"/>
        <v>34131354.009599589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43237</v>
      </c>
      <c r="C22" s="59">
        <f t="shared" si="5"/>
        <v>164</v>
      </c>
      <c r="D22" s="87">
        <v>1035.78</v>
      </c>
      <c r="E22" s="113">
        <v>5480.0000000000182</v>
      </c>
      <c r="F22" s="113">
        <v>22040.000000000873</v>
      </c>
      <c r="G22" s="80">
        <f t="shared" si="3"/>
        <v>27520.000000000891</v>
      </c>
      <c r="H22" s="81">
        <f t="shared" si="0"/>
        <v>8514111.6000000276</v>
      </c>
      <c r="I22" s="81">
        <f t="shared" si="1"/>
        <v>22828591.200000905</v>
      </c>
      <c r="J22" s="81">
        <f t="shared" si="2"/>
        <v>31342702.800000932</v>
      </c>
      <c r="K22" s="81">
        <f t="shared" si="4"/>
        <v>752224.86720002233</v>
      </c>
      <c r="L22" s="104">
        <f t="shared" si="6"/>
        <v>32094927.667200953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43238</v>
      </c>
      <c r="C23" s="59">
        <f t="shared" si="5"/>
        <v>164</v>
      </c>
      <c r="D23" s="87">
        <v>1035.78</v>
      </c>
      <c r="E23" s="113">
        <v>5319.999999999709</v>
      </c>
      <c r="F23" s="113">
        <v>22199.999999998909</v>
      </c>
      <c r="G23" s="80">
        <f t="shared" si="3"/>
        <v>27519.999999998618</v>
      </c>
      <c r="H23" s="81">
        <f t="shared" si="0"/>
        <v>8265524.3999995477</v>
      </c>
      <c r="I23" s="81">
        <f t="shared" si="1"/>
        <v>22994315.999998868</v>
      </c>
      <c r="J23" s="81">
        <f t="shared" si="2"/>
        <v>31259840.399998415</v>
      </c>
      <c r="K23" s="81">
        <f t="shared" si="4"/>
        <v>750236.16959996196</v>
      </c>
      <c r="L23" s="104">
        <f t="shared" si="6"/>
        <v>32010076.569598377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43239</v>
      </c>
      <c r="C24" s="59">
        <f t="shared" si="5"/>
        <v>164</v>
      </c>
      <c r="D24" s="87">
        <v>1035.78</v>
      </c>
      <c r="E24" s="113">
        <v>4360.0000000001273</v>
      </c>
      <c r="F24" s="113">
        <v>22200.000000000728</v>
      </c>
      <c r="G24" s="80">
        <f t="shared" si="3"/>
        <v>26560.000000000855</v>
      </c>
      <c r="H24" s="81">
        <f t="shared" si="0"/>
        <v>6774001.2000001976</v>
      </c>
      <c r="I24" s="81">
        <f t="shared" si="1"/>
        <v>22994316.000000753</v>
      </c>
      <c r="J24" s="81">
        <f t="shared" si="2"/>
        <v>29768317.200000949</v>
      </c>
      <c r="K24" s="81">
        <f t="shared" si="4"/>
        <v>714439.61280002282</v>
      </c>
      <c r="L24" s="104">
        <f t="shared" si="6"/>
        <v>30482756.812800974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43240</v>
      </c>
      <c r="C25" s="59">
        <f t="shared" si="5"/>
        <v>164</v>
      </c>
      <c r="D25" s="87">
        <v>1035.78</v>
      </c>
      <c r="E25" s="113">
        <v>5079.9999999999272</v>
      </c>
      <c r="F25" s="113">
        <v>22000</v>
      </c>
      <c r="G25" s="80">
        <f t="shared" si="3"/>
        <v>27079.999999999927</v>
      </c>
      <c r="H25" s="81">
        <f t="shared" si="0"/>
        <v>7892643.5999998869</v>
      </c>
      <c r="I25" s="81">
        <f t="shared" si="1"/>
        <v>22787160</v>
      </c>
      <c r="J25" s="81">
        <f t="shared" si="2"/>
        <v>30679803.599999886</v>
      </c>
      <c r="K25" s="81">
        <f t="shared" si="4"/>
        <v>736315.28639999731</v>
      </c>
      <c r="L25" s="104">
        <f t="shared" si="6"/>
        <v>31416118.886399884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43241</v>
      </c>
      <c r="C26" s="59">
        <f t="shared" si="5"/>
        <v>164</v>
      </c>
      <c r="D26" s="87">
        <v>1035.78</v>
      </c>
      <c r="E26" s="113">
        <v>6079.9999999999272</v>
      </c>
      <c r="F26" s="113">
        <v>19319.999999999709</v>
      </c>
      <c r="G26" s="80">
        <f t="shared" si="3"/>
        <v>25399.999999999636</v>
      </c>
      <c r="H26" s="81">
        <f t="shared" si="0"/>
        <v>9446313.599999886</v>
      </c>
      <c r="I26" s="81">
        <f t="shared" si="1"/>
        <v>20011269.5999997</v>
      </c>
      <c r="J26" s="81">
        <f t="shared" si="2"/>
        <v>29457583.199999586</v>
      </c>
      <c r="K26" s="81">
        <f t="shared" si="4"/>
        <v>706981.99679999007</v>
      </c>
      <c r="L26" s="104">
        <f>J26+K26</f>
        <v>30164565.196799576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43242</v>
      </c>
      <c r="C27" s="59">
        <f t="shared" si="5"/>
        <v>164</v>
      </c>
      <c r="D27" s="87">
        <v>1035.78</v>
      </c>
      <c r="E27" s="113">
        <v>5360.0000000001273</v>
      </c>
      <c r="F27" s="113">
        <v>24079.999999999927</v>
      </c>
      <c r="G27" s="80">
        <f t="shared" si="3"/>
        <v>29440.000000000055</v>
      </c>
      <c r="H27" s="81">
        <f t="shared" si="0"/>
        <v>8327671.2000001976</v>
      </c>
      <c r="I27" s="81">
        <f t="shared" si="1"/>
        <v>24941582.399999924</v>
      </c>
      <c r="J27" s="81">
        <f t="shared" si="2"/>
        <v>33269253.600000121</v>
      </c>
      <c r="K27" s="81">
        <f t="shared" si="4"/>
        <v>798462.08640000294</v>
      </c>
      <c r="L27" s="104">
        <f t="shared" si="6"/>
        <v>34067715.686400123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43243</v>
      </c>
      <c r="C28" s="59">
        <f t="shared" si="5"/>
        <v>164</v>
      </c>
      <c r="D28" s="87">
        <v>1035.78</v>
      </c>
      <c r="E28" s="113">
        <v>1360.0000000001273</v>
      </c>
      <c r="F28" s="113">
        <v>23479.999999999563</v>
      </c>
      <c r="G28" s="80">
        <f t="shared" si="3"/>
        <v>24839.999999999691</v>
      </c>
      <c r="H28" s="81">
        <f t="shared" si="0"/>
        <v>2112991.2000001976</v>
      </c>
      <c r="I28" s="81">
        <f t="shared" si="1"/>
        <v>24320114.399999548</v>
      </c>
      <c r="J28" s="81">
        <f t="shared" si="2"/>
        <v>26433105.599999744</v>
      </c>
      <c r="K28" s="81">
        <f t="shared" si="4"/>
        <v>634394.53439999383</v>
      </c>
      <c r="L28" s="104">
        <f t="shared" si="6"/>
        <v>27067500.134399738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43244</v>
      </c>
      <c r="C29" s="59">
        <f t="shared" si="5"/>
        <v>164</v>
      </c>
      <c r="D29" s="87">
        <v>1035.78</v>
      </c>
      <c r="E29" s="113">
        <v>8719.9999999997999</v>
      </c>
      <c r="F29" s="113">
        <v>20040.000000000873</v>
      </c>
      <c r="G29" s="80">
        <f t="shared" si="3"/>
        <v>28760.000000000673</v>
      </c>
      <c r="H29" s="81">
        <f t="shared" si="0"/>
        <v>13548002.399999689</v>
      </c>
      <c r="I29" s="81">
        <f t="shared" si="1"/>
        <v>20757031.200000905</v>
      </c>
      <c r="J29" s="81">
        <f t="shared" si="2"/>
        <v>34305033.60000059</v>
      </c>
      <c r="K29" s="81">
        <f t="shared" si="4"/>
        <v>823320.8064000142</v>
      </c>
      <c r="L29" s="104">
        <f t="shared" si="6"/>
        <v>35128354.406400606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43245</v>
      </c>
      <c r="C30" s="59">
        <f t="shared" si="5"/>
        <v>164</v>
      </c>
      <c r="D30" s="87">
        <v>1035.78</v>
      </c>
      <c r="E30" s="113">
        <v>4840.0000000001455</v>
      </c>
      <c r="F30" s="113">
        <v>20079.999999999927</v>
      </c>
      <c r="G30" s="80">
        <f t="shared" si="3"/>
        <v>24920.000000000073</v>
      </c>
      <c r="H30" s="81">
        <f t="shared" si="0"/>
        <v>7519762.8000002261</v>
      </c>
      <c r="I30" s="81">
        <f t="shared" si="1"/>
        <v>20798462.399999924</v>
      </c>
      <c r="J30" s="81">
        <f t="shared" si="2"/>
        <v>28318225.200000152</v>
      </c>
      <c r="K30" s="81">
        <f t="shared" si="4"/>
        <v>679637.40480000363</v>
      </c>
      <c r="L30" s="104">
        <f t="shared" si="6"/>
        <v>28997862.604800157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43246</v>
      </c>
      <c r="C31" s="59">
        <f t="shared" si="5"/>
        <v>164</v>
      </c>
      <c r="D31" s="87">
        <v>1035.78</v>
      </c>
      <c r="E31" s="113">
        <v>3639.9999999998727</v>
      </c>
      <c r="F31" s="113">
        <v>21520.000000000437</v>
      </c>
      <c r="G31" s="80">
        <f t="shared" si="3"/>
        <v>25160.000000000309</v>
      </c>
      <c r="H31" s="81">
        <f t="shared" si="0"/>
        <v>5655358.7999998024</v>
      </c>
      <c r="I31" s="81">
        <f t="shared" si="1"/>
        <v>22289985.600000452</v>
      </c>
      <c r="J31" s="81">
        <f t="shared" ref="J31:J33" si="7">I31+H31</f>
        <v>27945344.400000256</v>
      </c>
      <c r="K31" s="81">
        <f t="shared" si="4"/>
        <v>670688.2656000061</v>
      </c>
      <c r="L31" s="104">
        <f t="shared" ref="L31:L33" si="8">J31+K31</f>
        <v>28616032.665600263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43247</v>
      </c>
      <c r="C32" s="59">
        <f t="shared" si="5"/>
        <v>164</v>
      </c>
      <c r="D32" s="87">
        <v>1035.78</v>
      </c>
      <c r="E32" s="113">
        <v>4559.9999999999454</v>
      </c>
      <c r="F32" s="113">
        <v>21159.999999999854</v>
      </c>
      <c r="G32" s="80">
        <f t="shared" si="3"/>
        <v>25719.9999999998</v>
      </c>
      <c r="H32" s="81">
        <f t="shared" si="0"/>
        <v>7084735.1999999154</v>
      </c>
      <c r="I32" s="81">
        <f t="shared" si="1"/>
        <v>21917104.799999848</v>
      </c>
      <c r="J32" s="81">
        <f t="shared" si="7"/>
        <v>29001839.999999762</v>
      </c>
      <c r="K32" s="81">
        <f t="shared" si="4"/>
        <v>696044.15999999433</v>
      </c>
      <c r="L32" s="104">
        <f t="shared" si="8"/>
        <v>29697884.159999754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43248</v>
      </c>
      <c r="C33" s="59">
        <f t="shared" si="5"/>
        <v>164</v>
      </c>
      <c r="D33" s="87">
        <v>1035.78</v>
      </c>
      <c r="E33" s="113">
        <v>4480.0000000000182</v>
      </c>
      <c r="F33" s="113">
        <v>20079.999999999927</v>
      </c>
      <c r="G33" s="80">
        <f t="shared" si="3"/>
        <v>24559.999999999945</v>
      </c>
      <c r="H33" s="81">
        <f t="shared" si="0"/>
        <v>6960441.6000000285</v>
      </c>
      <c r="I33" s="81">
        <f t="shared" si="1"/>
        <v>20798462.399999924</v>
      </c>
      <c r="J33" s="81">
        <f t="shared" si="7"/>
        <v>27758903.999999952</v>
      </c>
      <c r="K33" s="81">
        <f t="shared" si="4"/>
        <v>666213.69599999883</v>
      </c>
      <c r="L33" s="104">
        <f t="shared" si="8"/>
        <v>28425117.69599995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43249</v>
      </c>
      <c r="C34" s="59">
        <f t="shared" si="5"/>
        <v>164</v>
      </c>
      <c r="D34" s="87">
        <v>1035.78</v>
      </c>
      <c r="E34" s="113">
        <v>2079.9999999999272</v>
      </c>
      <c r="F34" s="113">
        <v>21199.999999998909</v>
      </c>
      <c r="G34" s="80">
        <f t="shared" ref="G34" si="9">F34+E34</f>
        <v>23279.999999998836</v>
      </c>
      <c r="H34" s="81">
        <f t="shared" ref="H34" si="10">E34*1.5*D34</f>
        <v>3231633.5999998869</v>
      </c>
      <c r="I34" s="81">
        <f t="shared" ref="I34" si="11">F34*D34</f>
        <v>21958535.999998868</v>
      </c>
      <c r="J34" s="81">
        <f t="shared" ref="J34" si="12">I34+H34</f>
        <v>25190169.599998754</v>
      </c>
      <c r="K34" s="81">
        <f t="shared" si="4"/>
        <v>604564.07039997005</v>
      </c>
      <c r="L34" s="104">
        <f t="shared" ref="L34" si="13">J34+K34</f>
        <v>25794733.670398723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43250</v>
      </c>
      <c r="C35" s="59">
        <f t="shared" si="5"/>
        <v>164</v>
      </c>
      <c r="D35" s="87">
        <v>1035.78</v>
      </c>
      <c r="E35" s="113">
        <v>7360.0000000001273</v>
      </c>
      <c r="F35" s="113">
        <v>18600.000000000364</v>
      </c>
      <c r="G35" s="80">
        <f t="shared" ref="G35:G36" si="14">F35+E35</f>
        <v>25960.000000000491</v>
      </c>
      <c r="H35" s="81">
        <f t="shared" ref="H35:H36" si="15">E35*1.5*D35</f>
        <v>11435011.200000197</v>
      </c>
      <c r="I35" s="81">
        <f t="shared" ref="I35:I36" si="16">F35*D35</f>
        <v>19265508.000000376</v>
      </c>
      <c r="J35" s="81">
        <f t="shared" ref="J35:J36" si="17">I35+H35</f>
        <v>30700519.200000573</v>
      </c>
      <c r="K35" s="81">
        <f t="shared" si="4"/>
        <v>736812.46080001374</v>
      </c>
      <c r="L35" s="104">
        <f t="shared" ref="L35:L36" si="18">J35+K35</f>
        <v>31437331.660800587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43251</v>
      </c>
      <c r="C36" s="59">
        <f t="shared" si="5"/>
        <v>164</v>
      </c>
      <c r="D36" s="87">
        <v>1035.78</v>
      </c>
      <c r="E36" s="113">
        <v>6880.0000000001091</v>
      </c>
      <c r="F36" s="113">
        <v>18760.000000000218</v>
      </c>
      <c r="G36" s="80">
        <f t="shared" si="14"/>
        <v>25640.000000000327</v>
      </c>
      <c r="H36" s="81">
        <f t="shared" si="15"/>
        <v>10689249.600000169</v>
      </c>
      <c r="I36" s="81">
        <f t="shared" si="16"/>
        <v>19431232.800000224</v>
      </c>
      <c r="J36" s="81">
        <f t="shared" si="17"/>
        <v>30120482.400000393</v>
      </c>
      <c r="K36" s="81">
        <f t="shared" si="4"/>
        <v>722891.57760000951</v>
      </c>
      <c r="L36" s="104">
        <f t="shared" si="18"/>
        <v>30843373.977600403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4592</v>
      </c>
      <c r="D37" s="88"/>
      <c r="E37" s="82">
        <f t="shared" ref="E37:L37" si="19">SUM(E6:E36)</f>
        <v>157680.00000000029</v>
      </c>
      <c r="F37" s="82">
        <f t="shared" si="19"/>
        <v>666520.00000000035</v>
      </c>
      <c r="G37" s="82">
        <f t="shared" si="19"/>
        <v>824200.00000000081</v>
      </c>
      <c r="H37" s="82">
        <f t="shared" si="19"/>
        <v>244982685.60000044</v>
      </c>
      <c r="I37" s="82">
        <f t="shared" si="19"/>
        <v>690368085.6000005</v>
      </c>
      <c r="J37" s="82">
        <f t="shared" si="19"/>
        <v>935350771.20000076</v>
      </c>
      <c r="K37" s="82">
        <f t="shared" si="19"/>
        <v>22448418.508800026</v>
      </c>
      <c r="L37" s="82">
        <f t="shared" si="19"/>
        <v>957799189.70880091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F5" sqref="F5:F35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4" t="s">
        <v>3</v>
      </c>
      <c r="C1" s="134"/>
      <c r="D1" s="134"/>
      <c r="E1" s="134"/>
      <c r="F1" s="134"/>
      <c r="G1" s="134"/>
    </row>
    <row r="2" spans="1:43" ht="15" customHeight="1" x14ac:dyDescent="0.25">
      <c r="B2" s="134"/>
      <c r="C2" s="134"/>
      <c r="D2" s="134"/>
      <c r="E2" s="134"/>
      <c r="F2" s="134"/>
      <c r="G2" s="134"/>
    </row>
    <row r="3" spans="1:43" s="63" customFormat="1" ht="27" customHeight="1" x14ac:dyDescent="0.3">
      <c r="A3" s="61"/>
      <c r="B3" s="135" t="s">
        <v>0</v>
      </c>
      <c r="C3" s="135" t="s">
        <v>22</v>
      </c>
      <c r="D3" s="136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5"/>
      <c r="C4" s="135"/>
      <c r="D4" s="137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5</v>
      </c>
      <c r="D5" s="78">
        <v>2018</v>
      </c>
      <c r="E5" s="108">
        <v>93</v>
      </c>
      <c r="F5" s="108">
        <v>352</v>
      </c>
      <c r="G5" s="56">
        <f>E5+F5</f>
        <v>445</v>
      </c>
    </row>
    <row r="6" spans="1:43" ht="15.75" x14ac:dyDescent="0.25">
      <c r="B6" s="78">
        <v>2</v>
      </c>
      <c r="C6" s="78">
        <v>5</v>
      </c>
      <c r="D6" s="78">
        <f>D5</f>
        <v>2018</v>
      </c>
      <c r="E6" s="108">
        <v>103</v>
      </c>
      <c r="F6" s="108">
        <v>384</v>
      </c>
      <c r="G6" s="56">
        <f t="shared" ref="G6:G34" si="0">E6+F6</f>
        <v>487</v>
      </c>
    </row>
    <row r="7" spans="1:43" ht="15.75" x14ac:dyDescent="0.25">
      <c r="B7" s="78">
        <v>3</v>
      </c>
      <c r="C7" s="78">
        <v>5</v>
      </c>
      <c r="D7" s="78">
        <f t="shared" ref="D7:D35" si="1">D6</f>
        <v>2018</v>
      </c>
      <c r="E7" s="108">
        <v>94</v>
      </c>
      <c r="F7" s="108">
        <v>360</v>
      </c>
      <c r="G7" s="56">
        <f t="shared" si="0"/>
        <v>454</v>
      </c>
    </row>
    <row r="8" spans="1:43" ht="15.75" x14ac:dyDescent="0.25">
      <c r="B8" s="78">
        <v>4</v>
      </c>
      <c r="C8" s="78">
        <v>5</v>
      </c>
      <c r="D8" s="78">
        <f t="shared" si="1"/>
        <v>2018</v>
      </c>
      <c r="E8" s="108">
        <v>31</v>
      </c>
      <c r="F8" s="108">
        <v>118</v>
      </c>
      <c r="G8" s="56">
        <f t="shared" si="0"/>
        <v>149</v>
      </c>
    </row>
    <row r="9" spans="1:43" ht="15.75" x14ac:dyDescent="0.25">
      <c r="B9" s="78">
        <v>5</v>
      </c>
      <c r="C9" s="78">
        <v>5</v>
      </c>
      <c r="D9" s="78">
        <f t="shared" si="1"/>
        <v>2018</v>
      </c>
      <c r="E9" s="109">
        <v>95</v>
      </c>
      <c r="F9" s="109">
        <v>347</v>
      </c>
      <c r="G9" s="56">
        <f t="shared" si="0"/>
        <v>442</v>
      </c>
    </row>
    <row r="10" spans="1:43" ht="15.75" x14ac:dyDescent="0.25">
      <c r="B10" s="78">
        <v>6</v>
      </c>
      <c r="C10" s="78">
        <v>5</v>
      </c>
      <c r="D10" s="78">
        <f t="shared" si="1"/>
        <v>2018</v>
      </c>
      <c r="E10" s="108">
        <v>103</v>
      </c>
      <c r="F10" s="108">
        <v>411</v>
      </c>
      <c r="G10" s="56">
        <f t="shared" si="0"/>
        <v>514</v>
      </c>
    </row>
    <row r="11" spans="1:43" ht="15.75" x14ac:dyDescent="0.25">
      <c r="B11" s="78">
        <v>7</v>
      </c>
      <c r="C11" s="78">
        <v>5</v>
      </c>
      <c r="D11" s="78">
        <f t="shared" si="1"/>
        <v>2018</v>
      </c>
      <c r="E11" s="108">
        <v>60</v>
      </c>
      <c r="F11" s="108">
        <v>233</v>
      </c>
      <c r="G11" s="56">
        <f t="shared" si="0"/>
        <v>293</v>
      </c>
    </row>
    <row r="12" spans="1:43" ht="15.75" x14ac:dyDescent="0.25">
      <c r="B12" s="78">
        <v>8</v>
      </c>
      <c r="C12" s="78">
        <v>5</v>
      </c>
      <c r="D12" s="78">
        <f t="shared" si="1"/>
        <v>2018</v>
      </c>
      <c r="E12" s="108">
        <v>94</v>
      </c>
      <c r="F12" s="108">
        <v>368</v>
      </c>
      <c r="G12" s="56">
        <f t="shared" si="0"/>
        <v>462</v>
      </c>
    </row>
    <row r="13" spans="1:43" ht="15.75" x14ac:dyDescent="0.25">
      <c r="B13" s="78">
        <v>9</v>
      </c>
      <c r="C13" s="78">
        <v>5</v>
      </c>
      <c r="D13" s="78">
        <f t="shared" si="1"/>
        <v>2018</v>
      </c>
      <c r="E13" s="108">
        <v>86</v>
      </c>
      <c r="F13" s="108">
        <v>345</v>
      </c>
      <c r="G13" s="56">
        <f t="shared" si="0"/>
        <v>431</v>
      </c>
    </row>
    <row r="14" spans="1:43" ht="15.75" x14ac:dyDescent="0.25">
      <c r="B14" s="78">
        <v>10</v>
      </c>
      <c r="C14" s="78">
        <v>5</v>
      </c>
      <c r="D14" s="78">
        <f t="shared" si="1"/>
        <v>2018</v>
      </c>
      <c r="E14" s="108">
        <v>65</v>
      </c>
      <c r="F14" s="108">
        <v>257</v>
      </c>
      <c r="G14" s="56">
        <f t="shared" si="0"/>
        <v>322</v>
      </c>
    </row>
    <row r="15" spans="1:43" ht="15.75" x14ac:dyDescent="0.25">
      <c r="B15" s="78">
        <v>11</v>
      </c>
      <c r="C15" s="78">
        <v>5</v>
      </c>
      <c r="D15" s="78">
        <f t="shared" si="1"/>
        <v>2018</v>
      </c>
      <c r="E15" s="108">
        <v>65</v>
      </c>
      <c r="F15" s="109">
        <v>256</v>
      </c>
      <c r="G15" s="56">
        <f t="shared" si="0"/>
        <v>321</v>
      </c>
    </row>
    <row r="16" spans="1:43" ht="15.75" x14ac:dyDescent="0.25">
      <c r="B16" s="78">
        <v>12</v>
      </c>
      <c r="C16" s="78">
        <v>5</v>
      </c>
      <c r="D16" s="78">
        <f t="shared" si="1"/>
        <v>2018</v>
      </c>
      <c r="E16" s="109">
        <v>65</v>
      </c>
      <c r="F16" s="109">
        <v>258</v>
      </c>
      <c r="G16" s="56">
        <f t="shared" si="0"/>
        <v>323</v>
      </c>
    </row>
    <row r="17" spans="2:7" ht="15.75" x14ac:dyDescent="0.25">
      <c r="B17" s="78">
        <v>13</v>
      </c>
      <c r="C17" s="78">
        <v>5</v>
      </c>
      <c r="D17" s="78">
        <f t="shared" si="1"/>
        <v>2018</v>
      </c>
      <c r="E17" s="108">
        <v>68</v>
      </c>
      <c r="F17" s="109">
        <v>258</v>
      </c>
      <c r="G17" s="56">
        <f t="shared" si="0"/>
        <v>326</v>
      </c>
    </row>
    <row r="18" spans="2:7" ht="15.75" x14ac:dyDescent="0.25">
      <c r="B18" s="78">
        <v>14</v>
      </c>
      <c r="C18" s="78">
        <v>5</v>
      </c>
      <c r="D18" s="78">
        <f t="shared" si="1"/>
        <v>2018</v>
      </c>
      <c r="E18" s="108">
        <v>54</v>
      </c>
      <c r="F18" s="108">
        <v>210</v>
      </c>
      <c r="G18" s="56">
        <f t="shared" si="0"/>
        <v>264</v>
      </c>
    </row>
    <row r="19" spans="2:7" ht="15.75" x14ac:dyDescent="0.25">
      <c r="B19" s="78">
        <v>15</v>
      </c>
      <c r="C19" s="78">
        <v>5</v>
      </c>
      <c r="D19" s="78">
        <f t="shared" si="1"/>
        <v>2018</v>
      </c>
      <c r="E19" s="108">
        <v>36</v>
      </c>
      <c r="F19" s="108">
        <v>141</v>
      </c>
      <c r="G19" s="56">
        <f t="shared" si="0"/>
        <v>177</v>
      </c>
    </row>
    <row r="20" spans="2:7" ht="15.75" x14ac:dyDescent="0.25">
      <c r="B20" s="78">
        <v>16</v>
      </c>
      <c r="C20" s="78">
        <v>5</v>
      </c>
      <c r="D20" s="78">
        <f t="shared" si="1"/>
        <v>2018</v>
      </c>
      <c r="E20" s="108">
        <v>97</v>
      </c>
      <c r="F20" s="108">
        <v>387</v>
      </c>
      <c r="G20" s="56">
        <f t="shared" si="0"/>
        <v>484</v>
      </c>
    </row>
    <row r="21" spans="2:7" ht="15.75" x14ac:dyDescent="0.25">
      <c r="B21" s="78">
        <v>17</v>
      </c>
      <c r="C21" s="78">
        <v>5</v>
      </c>
      <c r="D21" s="78">
        <f t="shared" si="1"/>
        <v>2018</v>
      </c>
      <c r="E21" s="108">
        <v>82</v>
      </c>
      <c r="F21" s="108">
        <v>332</v>
      </c>
      <c r="G21" s="56">
        <f t="shared" si="0"/>
        <v>414</v>
      </c>
    </row>
    <row r="22" spans="2:7" ht="15.75" x14ac:dyDescent="0.25">
      <c r="B22" s="78">
        <v>18</v>
      </c>
      <c r="C22" s="78">
        <v>5</v>
      </c>
      <c r="D22" s="78">
        <f t="shared" si="1"/>
        <v>2018</v>
      </c>
      <c r="E22" s="108">
        <v>72</v>
      </c>
      <c r="F22" s="108">
        <v>281</v>
      </c>
      <c r="G22" s="56">
        <f t="shared" si="0"/>
        <v>353</v>
      </c>
    </row>
    <row r="23" spans="2:7" ht="15.75" x14ac:dyDescent="0.25">
      <c r="B23" s="78">
        <v>19</v>
      </c>
      <c r="C23" s="78">
        <v>5</v>
      </c>
      <c r="D23" s="78">
        <f t="shared" si="1"/>
        <v>2018</v>
      </c>
      <c r="E23" s="109">
        <v>84</v>
      </c>
      <c r="F23" s="109">
        <v>346</v>
      </c>
      <c r="G23" s="56">
        <f t="shared" si="0"/>
        <v>430</v>
      </c>
    </row>
    <row r="24" spans="2:7" ht="15.75" x14ac:dyDescent="0.25">
      <c r="B24" s="78">
        <v>20</v>
      </c>
      <c r="C24" s="78">
        <v>5</v>
      </c>
      <c r="D24" s="78">
        <f t="shared" si="1"/>
        <v>2018</v>
      </c>
      <c r="E24" s="108">
        <v>72</v>
      </c>
      <c r="F24" s="108">
        <v>266</v>
      </c>
      <c r="G24" s="56">
        <f t="shared" si="0"/>
        <v>338</v>
      </c>
    </row>
    <row r="25" spans="2:7" ht="15.75" x14ac:dyDescent="0.25">
      <c r="B25" s="78">
        <v>21</v>
      </c>
      <c r="C25" s="78">
        <v>5</v>
      </c>
      <c r="D25" s="78">
        <f t="shared" si="1"/>
        <v>2018</v>
      </c>
      <c r="E25" s="108">
        <v>87</v>
      </c>
      <c r="F25" s="108">
        <v>333</v>
      </c>
      <c r="G25" s="56">
        <f t="shared" si="0"/>
        <v>420</v>
      </c>
    </row>
    <row r="26" spans="2:7" ht="15.75" x14ac:dyDescent="0.25">
      <c r="B26" s="78">
        <v>22</v>
      </c>
      <c r="C26" s="78">
        <v>5</v>
      </c>
      <c r="D26" s="78">
        <f t="shared" si="1"/>
        <v>2018</v>
      </c>
      <c r="E26" s="108">
        <v>73</v>
      </c>
      <c r="F26" s="108">
        <v>278</v>
      </c>
      <c r="G26" s="56">
        <f t="shared" si="0"/>
        <v>351</v>
      </c>
    </row>
    <row r="27" spans="2:7" ht="15.75" x14ac:dyDescent="0.25">
      <c r="B27" s="78">
        <v>23</v>
      </c>
      <c r="C27" s="78">
        <v>5</v>
      </c>
      <c r="D27" s="78">
        <f t="shared" si="1"/>
        <v>2018</v>
      </c>
      <c r="E27" s="108">
        <v>72</v>
      </c>
      <c r="F27" s="108">
        <v>277</v>
      </c>
      <c r="G27" s="56">
        <f t="shared" si="0"/>
        <v>349</v>
      </c>
    </row>
    <row r="28" spans="2:7" ht="15.75" x14ac:dyDescent="0.25">
      <c r="B28" s="78">
        <v>24</v>
      </c>
      <c r="C28" s="78">
        <v>5</v>
      </c>
      <c r="D28" s="78">
        <f t="shared" si="1"/>
        <v>2018</v>
      </c>
      <c r="E28" s="108">
        <v>75</v>
      </c>
      <c r="F28" s="108">
        <v>288</v>
      </c>
      <c r="G28" s="56">
        <f t="shared" si="0"/>
        <v>363</v>
      </c>
    </row>
    <row r="29" spans="2:7" ht="15.75" x14ac:dyDescent="0.25">
      <c r="B29" s="78">
        <v>25</v>
      </c>
      <c r="C29" s="78">
        <v>5</v>
      </c>
      <c r="D29" s="78">
        <f t="shared" si="1"/>
        <v>2018</v>
      </c>
      <c r="E29" s="108">
        <v>89</v>
      </c>
      <c r="F29" s="108">
        <v>341</v>
      </c>
      <c r="G29" s="56">
        <f t="shared" si="0"/>
        <v>430</v>
      </c>
    </row>
    <row r="30" spans="2:7" ht="15.75" x14ac:dyDescent="0.25">
      <c r="B30" s="78">
        <v>26</v>
      </c>
      <c r="C30" s="78">
        <v>5</v>
      </c>
      <c r="D30" s="78">
        <f t="shared" si="1"/>
        <v>2018</v>
      </c>
      <c r="E30" s="109">
        <v>74</v>
      </c>
      <c r="F30" s="109">
        <v>279</v>
      </c>
      <c r="G30" s="56">
        <f t="shared" si="0"/>
        <v>353</v>
      </c>
    </row>
    <row r="31" spans="2:7" ht="15.75" x14ac:dyDescent="0.25">
      <c r="B31" s="78">
        <v>27</v>
      </c>
      <c r="C31" s="78">
        <v>5</v>
      </c>
      <c r="D31" s="78">
        <f t="shared" si="1"/>
        <v>2018</v>
      </c>
      <c r="E31" s="108">
        <v>71</v>
      </c>
      <c r="F31" s="108">
        <v>266</v>
      </c>
      <c r="G31" s="56">
        <f t="shared" si="0"/>
        <v>337</v>
      </c>
    </row>
    <row r="32" spans="2:7" ht="15.75" x14ac:dyDescent="0.25">
      <c r="B32" s="78">
        <v>28</v>
      </c>
      <c r="C32" s="78">
        <v>5</v>
      </c>
      <c r="D32" s="78">
        <f t="shared" si="1"/>
        <v>2018</v>
      </c>
      <c r="E32" s="108">
        <v>99</v>
      </c>
      <c r="F32" s="108">
        <v>363</v>
      </c>
      <c r="G32" s="56">
        <f t="shared" si="0"/>
        <v>462</v>
      </c>
    </row>
    <row r="33" spans="2:9" ht="15.75" x14ac:dyDescent="0.25">
      <c r="B33" s="78">
        <v>29</v>
      </c>
      <c r="C33" s="78">
        <v>5</v>
      </c>
      <c r="D33" s="78">
        <f t="shared" si="1"/>
        <v>2018</v>
      </c>
      <c r="E33" s="108">
        <v>79</v>
      </c>
      <c r="F33" s="108">
        <v>296</v>
      </c>
      <c r="G33" s="56">
        <f t="shared" si="0"/>
        <v>375</v>
      </c>
    </row>
    <row r="34" spans="2:9" ht="15.75" x14ac:dyDescent="0.25">
      <c r="B34" s="78">
        <v>30</v>
      </c>
      <c r="C34" s="78">
        <v>5</v>
      </c>
      <c r="D34" s="78">
        <f t="shared" si="1"/>
        <v>2018</v>
      </c>
      <c r="E34" s="108">
        <v>92</v>
      </c>
      <c r="F34" s="108">
        <v>319</v>
      </c>
      <c r="G34" s="56">
        <f t="shared" si="0"/>
        <v>411</v>
      </c>
    </row>
    <row r="35" spans="2:9" ht="15.75" x14ac:dyDescent="0.25">
      <c r="B35" s="78">
        <v>31</v>
      </c>
      <c r="C35" s="78">
        <v>5</v>
      </c>
      <c r="D35" s="78">
        <f t="shared" si="1"/>
        <v>2018</v>
      </c>
      <c r="E35" s="108">
        <v>50</v>
      </c>
      <c r="F35" s="108">
        <v>212</v>
      </c>
      <c r="G35" s="56">
        <f t="shared" ref="G35" si="2">E35+F35</f>
        <v>262</v>
      </c>
    </row>
    <row r="36" spans="2:9" ht="21" x14ac:dyDescent="0.35">
      <c r="B36" s="64"/>
      <c r="C36" s="64"/>
      <c r="D36" s="64"/>
      <c r="E36" s="14">
        <f>SUM(E5:E35)</f>
        <v>2380</v>
      </c>
      <c r="F36" s="14">
        <f>SUM(F5:F35)</f>
        <v>9162</v>
      </c>
      <c r="G36" s="14">
        <f>SUM(G5:G35)</f>
        <v>11542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E36+F36</f>
        <v>11542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144852100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2023-03-10T08:26:51Z</dcterms:modified>
</cp:coreProperties>
</file>