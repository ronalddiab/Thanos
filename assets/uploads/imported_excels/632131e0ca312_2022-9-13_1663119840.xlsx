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 l="1"/>
  <c r="B16" i="5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4" i="3" l="1"/>
  <c r="C6" i="3"/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12" i="2"/>
  <c r="T14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11" i="2"/>
  <c r="P12" i="2" s="1"/>
  <c r="P13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F16" i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6" i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10" i="1" s="1"/>
  <c r="AB11" i="1" s="1"/>
  <c r="AB12" i="1" s="1"/>
  <c r="AB13" i="1" s="1"/>
  <c r="AB14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16" i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6" i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16" i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6" i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3" i="4" l="1"/>
  <c r="AA33" i="4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3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3" i="1" l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S33" i="2" s="1"/>
  <c r="I33" i="3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C33" i="3" l="1"/>
  <c r="AE11" i="8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K33" i="3" s="1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<sst xmlns="http://schemas.openxmlformats.org/spreadsheetml/2006/main" count="518" uniqueCount="151">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</sst>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1986.7284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68681.934748</v>
      </c>
      <c r="F7" s="138">
        <v>1.27</v>
      </c>
      <c r="G7" s="36">
        <f>Gas!C8*0.9147</f>
        <v>1620.8483999999999</v>
      </c>
      <c r="H7" s="139">
        <v>3.65</v>
      </c>
      <c r="I7" s="141">
        <f>Submetering!H7+Submetering!AD7+Submetering!AE7</f>
        <v>955.99999999999989</v>
      </c>
      <c r="J7" s="141">
        <v>10.029999999999999</v>
      </c>
      <c r="K7" s="36">
        <f>ELECT.!B8</f>
        <v>269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71827.97668800001</v>
      </c>
      <c r="F8" s="138">
        <v>1.27</v>
      </c>
      <c r="G8" s="36">
        <f>Gas!C9*0.9147</f>
        <v>1781.8355999999999</v>
      </c>
      <c r="H8" s="139">
        <v>3.65</v>
      </c>
      <c r="I8" s="141">
        <f>Submetering!H8+Submetering!AD8+Submetering!AE8</f>
        <v>726</v>
      </c>
      <c r="J8" s="141">
        <v>10.029999999999999</v>
      </c>
      <c r="K8" s="36">
        <f>ELECT.!B9</f>
        <v>257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92650.517076000004</v>
      </c>
      <c r="F9" s="138">
        <v>1.27</v>
      </c>
      <c r="G9" s="36">
        <f>Gas!C10*0.9147</f>
        <v>2193.4506000000001</v>
      </c>
      <c r="H9" s="139">
        <v>3.65</v>
      </c>
      <c r="I9" s="141">
        <f>Submetering!H9+Submetering!AD9+Submetering!AE9</f>
        <v>766</v>
      </c>
      <c r="J9" s="141">
        <v>10.029999999999999</v>
      </c>
      <c r="K9" s="36">
        <f>ELECT.!B10</f>
        <v>240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83255.654380000007</v>
      </c>
      <c r="F10" s="138">
        <v>1.27</v>
      </c>
      <c r="G10" s="36">
        <f>Gas!C11*0.9147</f>
        <v>2067.2219999999998</v>
      </c>
      <c r="H10" s="139">
        <v>3.65</v>
      </c>
      <c r="I10" s="141">
        <f>Submetering!H10+Submetering!AD10+Submetering!AE10</f>
        <v>766</v>
      </c>
      <c r="J10" s="141">
        <v>10.029999999999999</v>
      </c>
      <c r="K10" s="36">
        <f>ELECT.!B11</f>
        <v>255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62394.958427999998</v>
      </c>
      <c r="F11" s="138">
        <v>1.27</v>
      </c>
      <c r="G11" s="36">
        <f>Gas!C12*0.9147</f>
        <v>1867.8173999999999</v>
      </c>
      <c r="H11" s="139">
        <v>3.65</v>
      </c>
      <c r="I11" s="141">
        <f>Submetering!H11+Submetering!AD11+Submetering!AE11</f>
        <v>736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68786.49315200001</v>
      </c>
      <c r="F12" s="138">
        <v>1.27</v>
      </c>
      <c r="G12" s="36">
        <f>Gas!C13*0.9147</f>
        <v>2075.4542999999999</v>
      </c>
      <c r="H12" s="139">
        <v>3.65</v>
      </c>
      <c r="I12" s="141">
        <f>Submetering!H12+Submetering!AD12+Submetering!AE12</f>
        <v>775.99999999999989</v>
      </c>
      <c r="J12" s="141">
        <v>10.029999999999999</v>
      </c>
      <c r="K12" s="36">
        <f>ELECT.!B13</f>
        <v>225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95444.771544000003</v>
      </c>
      <c r="F13" s="138">
        <v>1.27</v>
      </c>
      <c r="G13" s="36">
        <f>Gas!C14*0.9147</f>
        <v>1645.5453</v>
      </c>
      <c r="H13" s="139">
        <v>3.65</v>
      </c>
      <c r="I13" s="141">
        <f>Submetering!H13+Submetering!AD13+Submetering!AE13</f>
        <v>785.99999999999989</v>
      </c>
      <c r="J13" s="141">
        <v>10.029999999999999</v>
      </c>
      <c r="K13" s="36">
        <f>ELECT.!B14</f>
        <v>210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64653.761896000004</v>
      </c>
      <c r="F14" s="138">
        <v>1.27</v>
      </c>
      <c r="G14" s="36">
        <f>Gas!C15*0.9147</f>
        <v>594.55499999999995</v>
      </c>
      <c r="H14" s="139">
        <v>3.65</v>
      </c>
      <c r="I14" s="141">
        <f>Submetering!H14+Submetering!AD14+Submetering!AE14</f>
        <v>586</v>
      </c>
      <c r="J14" s="141">
        <v>10.029999999999999</v>
      </c>
      <c r="K14" s="36">
        <f>ELECT.!B15</f>
        <v>174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1150</v>
      </c>
      <c r="F7" s="36">
        <f>Water!E8</f>
        <v>450</v>
      </c>
      <c r="G7" s="36">
        <f>Water!G8</f>
        <v>675</v>
      </c>
      <c r="H7" s="36">
        <f>Water!I8</f>
        <v>4.2389999999999999</v>
      </c>
      <c r="I7" s="36">
        <f>ELECT.!F8</f>
        <v>20996</v>
      </c>
      <c r="J7" s="36">
        <f>ELECT.!H8</f>
        <v>50629</v>
      </c>
      <c r="K7" s="36">
        <f>ELECT.!K8</f>
        <v>10352</v>
      </c>
      <c r="L7" s="36">
        <f>ELECT.!M8</f>
        <v>5783</v>
      </c>
      <c r="M7" s="36">
        <f>ELECT.!O8</f>
        <v>15010</v>
      </c>
      <c r="N7" s="36">
        <f>ELECT.!Q8</f>
        <v>12253</v>
      </c>
      <c r="O7" s="36">
        <f>ELECT.!S8</f>
        <v>10393</v>
      </c>
      <c r="P7" s="36">
        <f>ELECT.!W8*2</f>
        <v>21504</v>
      </c>
      <c r="Q7" s="36">
        <f>ELECT.!D8</f>
        <v>320</v>
      </c>
      <c r="R7" s="141">
        <f>BTU!C8</f>
        <v>12.288999999997031</v>
      </c>
      <c r="S7" s="141">
        <f>BTU!F8</f>
        <v>3.6390000000001237</v>
      </c>
      <c r="T7" s="141">
        <f>BTU!I8</f>
        <v>9</v>
      </c>
      <c r="U7" s="141">
        <f>BTU!O8</f>
        <v>2.2260000000001128</v>
      </c>
      <c r="V7" s="141">
        <f>BTU!L8</f>
        <v>2.2300000000013824</v>
      </c>
      <c r="W7" s="141">
        <f>BTU!R8</f>
        <v>2.3500000000003638</v>
      </c>
      <c r="X7" s="34">
        <f>ELECT.!B8</f>
        <v>269</v>
      </c>
      <c r="Y7" s="34">
        <f t="shared" si="0"/>
        <v>-3670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422</v>
      </c>
      <c r="AB7">
        <f>'Mall, Citadel, Rotana'!O8</f>
        <v>3</v>
      </c>
      <c r="AC7">
        <f>'Mall, Citadel, Rotana'!Q8+'Mall, Citadel, Rotana'!S8</f>
        <v>124</v>
      </c>
      <c r="AD7" s="34">
        <f t="shared" si="1"/>
        <v>125.44209979999999</v>
      </c>
      <c r="AE7" s="34">
        <f t="shared" si="2"/>
        <v>826.31890019999992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920</v>
      </c>
      <c r="F8" s="36">
        <f>Water!E9</f>
        <v>380</v>
      </c>
      <c r="G8" s="36">
        <f>Water!G9</f>
        <v>648</v>
      </c>
      <c r="H8" s="36">
        <f>Water!I9</f>
        <v>4.2930000000000001</v>
      </c>
      <c r="I8" s="36">
        <f>ELECT.!F9</f>
        <v>22331</v>
      </c>
      <c r="J8" s="36">
        <f>ELECT.!H9</f>
        <v>52415</v>
      </c>
      <c r="K8" s="36">
        <f>ELECT.!K9</f>
        <v>10732</v>
      </c>
      <c r="L8" s="36">
        <f>ELECT.!M9</f>
        <v>6357</v>
      </c>
      <c r="M8" s="36">
        <f>ELECT.!O9</f>
        <v>15790</v>
      </c>
      <c r="N8" s="36">
        <f>ELECT.!Q9</f>
        <v>12492</v>
      </c>
      <c r="O8" s="36">
        <f>ELECT.!S9</f>
        <v>10490</v>
      </c>
      <c r="P8" s="36">
        <f>ELECT.!W9*2</f>
        <v>22542</v>
      </c>
      <c r="Q8" s="36">
        <f>ELECT.!D9</f>
        <v>800</v>
      </c>
      <c r="R8" s="141">
        <f>BTU!C9</f>
        <v>13.351000000002387</v>
      </c>
      <c r="S8" s="141">
        <f>BTU!F9</f>
        <v>4.0160000000005311</v>
      </c>
      <c r="T8" s="141">
        <f>BTU!I9</f>
        <v>9</v>
      </c>
      <c r="U8" s="141">
        <f>BTU!O9</f>
        <v>2.0999999999999091</v>
      </c>
      <c r="V8" s="141">
        <f>BTU!L9</f>
        <v>2.5299999999988358</v>
      </c>
      <c r="W8" s="141">
        <f>BTU!R9</f>
        <v>2.9099999999998545</v>
      </c>
      <c r="X8" s="34">
        <f>ELECT.!B9</f>
        <v>257</v>
      </c>
      <c r="Y8" s="34">
        <f t="shared" si="0"/>
        <v>-3657</v>
      </c>
      <c r="Z8">
        <f>'Mall, Citadel, Rotana'!C9+'Mall, Citadel, Rotana'!E9+'Mall, Citadel, Rotana'!G9+'Mall, Citadel, Rotana'!I9</f>
        <v>1386</v>
      </c>
      <c r="AA8">
        <f>'Mall, Citadel, Rotana'!K9+'Mall, Citadel, Rotana'!M9</f>
        <v>417</v>
      </c>
      <c r="AB8">
        <f>'Mall, Citadel, Rotana'!O9</f>
        <v>3</v>
      </c>
      <c r="AC8">
        <f>'Mall, Citadel, Rotana'!Q9+'Mall, Citadel, Rotana'!S9</f>
        <v>119</v>
      </c>
      <c r="AD8" s="34">
        <f t="shared" si="1"/>
        <v>95.120982600000005</v>
      </c>
      <c r="AE8" s="34">
        <f t="shared" si="2"/>
        <v>626.58601739999995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960</v>
      </c>
      <c r="F9" s="36">
        <f>Water!E10</f>
        <v>430</v>
      </c>
      <c r="G9" s="36">
        <f>Water!G10</f>
        <v>556.20000000000005</v>
      </c>
      <c r="H9" s="36">
        <f>Water!I10</f>
        <v>4.5090000000000003</v>
      </c>
      <c r="I9" s="36">
        <f>ELECT.!F10</f>
        <v>28554</v>
      </c>
      <c r="J9" s="36">
        <f>ELECT.!H10</f>
        <v>67688</v>
      </c>
      <c r="K9" s="36">
        <f>ELECT.!K10</f>
        <v>13554</v>
      </c>
      <c r="L9" s="36">
        <f>ELECT.!M10</f>
        <v>8178</v>
      </c>
      <c r="M9" s="36">
        <f>ELECT.!O10</f>
        <v>20162</v>
      </c>
      <c r="N9" s="36">
        <f>ELECT.!Q10</f>
        <v>16539</v>
      </c>
      <c r="O9" s="36">
        <f>ELECT.!S10</f>
        <v>13827</v>
      </c>
      <c r="P9" s="36">
        <f>ELECT.!W10*2</f>
        <v>28712</v>
      </c>
      <c r="Q9" s="36">
        <f>ELECT.!D10</f>
        <v>640</v>
      </c>
      <c r="R9" s="141">
        <f>BTU!C10</f>
        <v>12.534999999999854</v>
      </c>
      <c r="S9" s="141">
        <f>BTU!F10</f>
        <v>3.2449999999998909</v>
      </c>
      <c r="T9" s="141">
        <f>BTU!I10</f>
        <v>9</v>
      </c>
      <c r="U9" s="141">
        <f>BTU!O10</f>
        <v>1.7439999999996871</v>
      </c>
      <c r="V9" s="141">
        <f>BTU!L10</f>
        <v>2.25</v>
      </c>
      <c r="W9" s="141">
        <f>BTU!R10</f>
        <v>2.7100000000000364</v>
      </c>
      <c r="X9" s="34">
        <f>ELECT.!B10</f>
        <v>240</v>
      </c>
      <c r="Y9" s="34">
        <f t="shared" si="0"/>
        <v>-4730</v>
      </c>
      <c r="Z9">
        <f>'Mall, Citadel, Rotana'!C10+'Mall, Citadel, Rotana'!E10+'Mall, Citadel, Rotana'!G10+'Mall, Citadel, Rotana'!I10</f>
        <v>1362</v>
      </c>
      <c r="AA9">
        <f>'Mall, Citadel, Rotana'!K10+'Mall, Citadel, Rotana'!M10</f>
        <v>349</v>
      </c>
      <c r="AB9">
        <f>'Mall, Citadel, Rotana'!O10</f>
        <v>4</v>
      </c>
      <c r="AC9">
        <f>'Mall, Citadel, Rotana'!Q10+'Mall, Citadel, Rotana'!S10</f>
        <v>531</v>
      </c>
      <c r="AD9" s="34">
        <f t="shared" si="1"/>
        <v>100.3645138</v>
      </c>
      <c r="AE9" s="34">
        <f t="shared" si="2"/>
        <v>661.12648620000004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960</v>
      </c>
      <c r="F10" s="36">
        <f>Water!E11</f>
        <v>400</v>
      </c>
      <c r="G10" s="36">
        <f>Water!G11</f>
        <v>572.4</v>
      </c>
      <c r="H10" s="36">
        <f>Water!I11</f>
        <v>5.1840000000000002</v>
      </c>
      <c r="I10" s="36">
        <f>ELECT.!F11</f>
        <v>25242</v>
      </c>
      <c r="J10" s="36">
        <f>ELECT.!H11</f>
        <v>60675</v>
      </c>
      <c r="K10" s="36">
        <f>ELECT.!K11</f>
        <v>11308</v>
      </c>
      <c r="L10" s="36">
        <f>ELECT.!M11</f>
        <v>6781</v>
      </c>
      <c r="M10" s="36">
        <f>ELECT.!O11</f>
        <v>18218</v>
      </c>
      <c r="N10" s="36">
        <f>ELECT.!Q11</f>
        <v>14621</v>
      </c>
      <c r="O10" s="36">
        <f>ELECT.!S11</f>
        <v>12903</v>
      </c>
      <c r="P10" s="36">
        <f>ELECT.!W11*2</f>
        <v>25942</v>
      </c>
      <c r="Q10" s="36">
        <f>ELECT.!D11</f>
        <v>640</v>
      </c>
      <c r="R10" s="141">
        <f>BTU!C11</f>
        <v>16.252000000000407</v>
      </c>
      <c r="S10" s="141">
        <f>BTU!F11</f>
        <v>2.0749999999998181</v>
      </c>
      <c r="T10" s="141">
        <f>BTU!I11</f>
        <v>10</v>
      </c>
      <c r="U10" s="141">
        <f>BTU!O11</f>
        <v>3.0150000000003274</v>
      </c>
      <c r="V10" s="141">
        <f>BTU!L11</f>
        <v>3.2200000000011642</v>
      </c>
      <c r="W10" s="141">
        <f>BTU!R11</f>
        <v>1.1099999999996726</v>
      </c>
      <c r="X10" s="34">
        <f>ELECT.!B11</f>
        <v>255</v>
      </c>
      <c r="Y10" s="34">
        <f t="shared" si="0"/>
        <v>-3856</v>
      </c>
      <c r="Z10">
        <f>'Mall, Citadel, Rotana'!C11+'Mall, Citadel, Rotana'!E11+'Mall, Citadel, Rotana'!G11+'Mall, Citadel, Rotana'!I11</f>
        <v>1217</v>
      </c>
      <c r="AA10">
        <f>'Mall, Citadel, Rotana'!K11+'Mall, Citadel, Rotana'!M11</f>
        <v>229</v>
      </c>
      <c r="AB10">
        <f>'Mall, Citadel, Rotana'!O11</f>
        <v>2</v>
      </c>
      <c r="AC10">
        <f>'Mall, Citadel, Rotana'!Q11+'Mall, Citadel, Rotana'!S11</f>
        <v>0</v>
      </c>
      <c r="AD10" s="34">
        <f t="shared" si="1"/>
        <v>100.27554880000001</v>
      </c>
      <c r="AE10" s="34">
        <f t="shared" si="2"/>
        <v>660.54045120000001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930</v>
      </c>
      <c r="F11" s="36">
        <f>Water!E12</f>
        <v>420</v>
      </c>
      <c r="G11" s="36">
        <f>Water!G12</f>
        <v>567</v>
      </c>
      <c r="H11" s="36">
        <f>Water!I12</f>
        <v>5.13</v>
      </c>
      <c r="I11" s="36">
        <f>ELECT.!F12</f>
        <v>18966</v>
      </c>
      <c r="J11" s="36">
        <f>ELECT.!H12</f>
        <v>45936</v>
      </c>
      <c r="K11" s="36">
        <f>ELECT.!K12</f>
        <v>8534</v>
      </c>
      <c r="L11" s="36">
        <f>ELECT.!M12</f>
        <v>5309</v>
      </c>
      <c r="M11" s="36">
        <f>ELECT.!O12</f>
        <v>13490</v>
      </c>
      <c r="N11" s="36">
        <f>ELECT.!Q12</f>
        <v>10762</v>
      </c>
      <c r="O11" s="36">
        <f>ELECT.!S12</f>
        <v>9239</v>
      </c>
      <c r="P11" s="36">
        <f>ELECT.!W12*2</f>
        <v>19878</v>
      </c>
      <c r="Q11" s="36">
        <f>ELECT.!D12</f>
        <v>800</v>
      </c>
      <c r="R11" s="141">
        <f>BTU!C12</f>
        <v>11.463999999999942</v>
      </c>
      <c r="S11" s="141">
        <f>BTU!F12</f>
        <v>1.918999999999869</v>
      </c>
      <c r="T11" s="141">
        <f>BTU!I12</f>
        <v>8</v>
      </c>
      <c r="U11" s="141">
        <f>BTU!O12</f>
        <v>1.6079999999997199</v>
      </c>
      <c r="V11" s="141">
        <f>BTU!L12</f>
        <v>1.9099999999998545</v>
      </c>
      <c r="W11" s="141">
        <f>BTU!R12</f>
        <v>3.1000000000003638</v>
      </c>
      <c r="X11" s="34">
        <f>ELECT.!B12</f>
        <v>222</v>
      </c>
      <c r="Y11" s="34">
        <f t="shared" si="0"/>
        <v>-2310</v>
      </c>
      <c r="Z11">
        <f>'Mall, Citadel, Rotana'!C12+'Mall, Citadel, Rotana'!E12+'Mall, Citadel, Rotana'!G12+'Mall, Citadel, Rotana'!I12</f>
        <v>1374</v>
      </c>
      <c r="AA11">
        <f>'Mall, Citadel, Rotana'!K12+'Mall, Citadel, Rotana'!M12</f>
        <v>260</v>
      </c>
      <c r="AB11">
        <f>'Mall, Citadel, Rotana'!O12</f>
        <v>4</v>
      </c>
      <c r="AC11">
        <f>'Mall, Citadel, Rotana'!Q12+'Mall, Citadel, Rotana'!S12</f>
        <v>0</v>
      </c>
      <c r="AD11" s="34">
        <f t="shared" si="1"/>
        <v>96.328665999999998</v>
      </c>
      <c r="AE11" s="34">
        <f t="shared" si="2"/>
        <v>634.54133400000001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970</v>
      </c>
      <c r="F12" s="36">
        <f>Water!E13</f>
        <v>380</v>
      </c>
      <c r="G12" s="36">
        <f>Water!G13</f>
        <v>583.20000000000005</v>
      </c>
      <c r="H12" s="36">
        <f>Water!I13</f>
        <v>4.6710000000000003</v>
      </c>
      <c r="I12" s="36">
        <f>ELECT.!F13</f>
        <v>21260</v>
      </c>
      <c r="J12" s="36">
        <f>ELECT.!H13</f>
        <v>50156</v>
      </c>
      <c r="K12" s="36">
        <f>ELECT.!K13</f>
        <v>9460</v>
      </c>
      <c r="L12" s="36">
        <f>ELECT.!M13</f>
        <v>6063</v>
      </c>
      <c r="M12" s="36">
        <f>ELECT.!O13</f>
        <v>15012</v>
      </c>
      <c r="N12" s="36">
        <f>ELECT.!Q13</f>
        <v>11760</v>
      </c>
      <c r="O12" s="36">
        <f>ELECT.!S13</f>
        <v>10904</v>
      </c>
      <c r="P12" s="36">
        <f>ELECT.!W13*2</f>
        <v>22324</v>
      </c>
      <c r="Q12" s="36">
        <f>ELECT.!D13</f>
        <v>640</v>
      </c>
      <c r="R12" s="141">
        <f>BTU!C13</f>
        <v>8.8719999999993888</v>
      </c>
      <c r="S12" s="141">
        <f>BTU!F13</f>
        <v>2.2100000000000364</v>
      </c>
      <c r="T12" s="141">
        <f>BTU!I13</f>
        <v>7</v>
      </c>
      <c r="U12" s="141">
        <f>BTU!O13</f>
        <v>1.2960000000002765</v>
      </c>
      <c r="V12" s="141">
        <f>BTU!L13</f>
        <v>1.2199999999993452</v>
      </c>
      <c r="W12" s="141">
        <f>BTU!R13</f>
        <v>3.2299999999995634</v>
      </c>
      <c r="X12" s="34">
        <f>ELECT.!B13</f>
        <v>225</v>
      </c>
      <c r="Y12" s="34">
        <f t="shared" si="0"/>
        <v>-4107</v>
      </c>
      <c r="Z12">
        <f>'Mall, Citadel, Rotana'!C13+'Mall, Citadel, Rotana'!E13+'Mall, Citadel, Rotana'!G13+'Mall, Citadel, Rotana'!I13</f>
        <v>1362</v>
      </c>
      <c r="AA12">
        <f>'Mall, Citadel, Rotana'!K13+'Mall, Citadel, Rotana'!M13</f>
        <v>310</v>
      </c>
      <c r="AB12">
        <f>'Mall, Citadel, Rotana'!O13</f>
        <v>4</v>
      </c>
      <c r="AC12">
        <f>'Mall, Citadel, Rotana'!Q13+'Mall, Citadel, Rotana'!S13</f>
        <v>0</v>
      </c>
      <c r="AD12" s="34">
        <f t="shared" si="1"/>
        <v>101.66116219999999</v>
      </c>
      <c r="AE12" s="34">
        <f t="shared" si="2"/>
        <v>669.66783779999992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980</v>
      </c>
      <c r="F13" s="36">
        <f>Water!E14</f>
        <v>330</v>
      </c>
      <c r="G13" s="36">
        <f>Water!G14</f>
        <v>572.4</v>
      </c>
      <c r="H13" s="36">
        <f>Water!I14</f>
        <v>4.6710000000000003</v>
      </c>
      <c r="I13" s="36">
        <f>ELECT.!F14</f>
        <v>29667</v>
      </c>
      <c r="J13" s="36">
        <f>ELECT.!H14</f>
        <v>69578</v>
      </c>
      <c r="K13" s="36">
        <f>ELECT.!K14</f>
        <v>11560</v>
      </c>
      <c r="L13" s="36">
        <f>ELECT.!M14</f>
        <v>8787</v>
      </c>
      <c r="M13" s="36">
        <f>ELECT.!O14</f>
        <v>20654</v>
      </c>
      <c r="N13" s="36">
        <f>ELECT.!Q14</f>
        <v>16451</v>
      </c>
      <c r="O13" s="36">
        <f>ELECT.!S14</f>
        <v>14374</v>
      </c>
      <c r="P13" s="36">
        <f>ELECT.!W14*2</f>
        <v>31292</v>
      </c>
      <c r="Q13" s="36">
        <f>ELECT.!D14</f>
        <v>640</v>
      </c>
      <c r="R13" s="141">
        <f>BTU!C14</f>
        <v>12.639999999999418</v>
      </c>
      <c r="S13" s="141">
        <f>BTU!F14</f>
        <v>3.5290000000004511</v>
      </c>
      <c r="T13" s="141">
        <f>BTU!I14</f>
        <v>10</v>
      </c>
      <c r="U13" s="141">
        <f>BTU!O14</f>
        <v>1.9659999999998945</v>
      </c>
      <c r="V13" s="141">
        <f>BTU!L14</f>
        <v>0.4750000000003638</v>
      </c>
      <c r="W13" s="141">
        <f>BTU!R14</f>
        <v>1.5</v>
      </c>
      <c r="X13" s="34">
        <f>ELECT.!B14</f>
        <v>210</v>
      </c>
      <c r="Y13" s="34">
        <f t="shared" si="0"/>
        <v>-3873</v>
      </c>
      <c r="Z13">
        <f>'Mall, Citadel, Rotana'!C14+'Mall, Citadel, Rotana'!E14+'Mall, Citadel, Rotana'!G14+'Mall, Citadel, Rotana'!I14</f>
        <v>1364</v>
      </c>
      <c r="AA13">
        <f>'Mall, Citadel, Rotana'!K14+'Mall, Citadel, Rotana'!M14</f>
        <v>444</v>
      </c>
      <c r="AB13">
        <f>'Mall, Citadel, Rotana'!O14</f>
        <v>2</v>
      </c>
      <c r="AC13">
        <f>'Mall, Citadel, Rotana'!Q14+'Mall, Citadel, Rotana'!S14</f>
        <v>575</v>
      </c>
      <c r="AD13" s="34">
        <f t="shared" si="1"/>
        <v>102.97916219999999</v>
      </c>
      <c r="AE13" s="34">
        <f t="shared" si="2"/>
        <v>678.34983779999993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780</v>
      </c>
      <c r="F14" s="36">
        <f>Water!E15</f>
        <v>340</v>
      </c>
      <c r="G14" s="36">
        <f>Water!G15</f>
        <v>588.6</v>
      </c>
      <c r="H14" s="36">
        <f>Water!I15</f>
        <v>4.2930000000000001</v>
      </c>
      <c r="I14" s="36">
        <f>ELECT.!F15</f>
        <v>20256</v>
      </c>
      <c r="J14" s="36">
        <f>ELECT.!H15</f>
        <v>47234</v>
      </c>
      <c r="K14" s="36">
        <f>ELECT.!K15</f>
        <v>8980</v>
      </c>
      <c r="L14" s="36">
        <f>ELECT.!M15</f>
        <v>6042</v>
      </c>
      <c r="M14" s="36">
        <f>ELECT.!O15</f>
        <v>14014</v>
      </c>
      <c r="N14" s="36">
        <f>ELECT.!Q15</f>
        <v>11448</v>
      </c>
      <c r="O14" s="36">
        <f>ELECT.!S15</f>
        <v>9736</v>
      </c>
      <c r="P14" s="36">
        <f>ELECT.!W15*2</f>
        <v>20558</v>
      </c>
      <c r="Q14" s="36">
        <f>ELECT.!D15</f>
        <v>800</v>
      </c>
      <c r="R14" s="141">
        <f>BTU!C15</f>
        <v>12.307000000000698</v>
      </c>
      <c r="S14" s="141">
        <f>BTU!F15</f>
        <v>3.1619999999993524</v>
      </c>
      <c r="T14" s="141">
        <f>BTU!I15</f>
        <v>10</v>
      </c>
      <c r="U14" s="141">
        <f>BTU!O15</f>
        <v>1.8101000000001477</v>
      </c>
      <c r="V14" s="141">
        <f>BTU!L15</f>
        <v>3.6350000000002183</v>
      </c>
      <c r="W14" s="141">
        <f>BTU!R15</f>
        <v>3.9900000000006912</v>
      </c>
      <c r="X14" s="34">
        <f>ELECT.!B15</f>
        <v>174</v>
      </c>
      <c r="Y14" s="34">
        <f t="shared" si="0"/>
        <v>-3288</v>
      </c>
      <c r="Z14">
        <f>'Mall, Citadel, Rotana'!C15+'Mall, Citadel, Rotana'!E15+'Mall, Citadel, Rotana'!G15+'Mall, Citadel, Rotana'!I15</f>
        <v>1367</v>
      </c>
      <c r="AA14">
        <f>'Mall, Citadel, Rotana'!K15+'Mall, Citadel, Rotana'!M15</f>
        <v>413</v>
      </c>
      <c r="AB14">
        <f>'Mall, Citadel, Rotana'!O15</f>
        <v>3</v>
      </c>
      <c r="AC14">
        <f>'Mall, Citadel, Rotana'!Q15+'Mall, Citadel, Rotana'!S15</f>
        <v>166</v>
      </c>
      <c r="AD14" s="34">
        <f t="shared" si="1"/>
        <v>76.668982599999993</v>
      </c>
      <c r="AE14" s="34">
        <f t="shared" si="2"/>
        <v>505.03801739999994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 t="str">
        <f>ELECT.!F16</f>
        <v>0</v>
      </c>
      <c r="J15" s="36" t="str">
        <f>ELECT.!H16</f>
        <v>0</v>
      </c>
      <c r="K15" s="36">
        <f>ELECT.!K16</f>
        <v>0</v>
      </c>
      <c r="L15" s="36" t="str">
        <f>ELECT.!M16</f>
        <v>0</v>
      </c>
      <c r="M15" s="36">
        <f>ELECT.!O16</f>
        <v>0</v>
      </c>
      <c r="N15" s="36" t="str">
        <f>ELECT.!Q16</f>
        <v>0</v>
      </c>
      <c r="O15" s="36" t="str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v>47537</v>
      </c>
      <c r="C8" s="14">
        <f t="shared" si="3"/>
        <v>800</v>
      </c>
      <c r="D8" s="32">
        <v>40942</v>
      </c>
      <c r="E8" s="14">
        <f t="shared" si="4"/>
        <v>480</v>
      </c>
      <c r="F8" s="32">
        <v>22041</v>
      </c>
      <c r="G8" s="14">
        <f t="shared" si="5"/>
        <v>80</v>
      </c>
      <c r="H8" s="32">
        <v>258124</v>
      </c>
      <c r="I8" s="14">
        <f t="shared" si="6"/>
        <v>14</v>
      </c>
      <c r="J8" s="32">
        <v>331583</v>
      </c>
      <c r="K8" s="14">
        <f t="shared" si="7"/>
        <v>182</v>
      </c>
      <c r="L8" s="32">
        <v>26468</v>
      </c>
      <c r="M8" s="14">
        <f t="shared" si="8"/>
        <v>240</v>
      </c>
      <c r="N8" s="32">
        <v>226349</v>
      </c>
      <c r="O8" s="14">
        <f t="shared" si="9"/>
        <v>3</v>
      </c>
      <c r="P8" s="32">
        <v>168421</v>
      </c>
      <c r="Q8" s="14">
        <f t="shared" si="2"/>
        <v>124</v>
      </c>
      <c r="R8" s="1">
        <f t="shared" si="12"/>
        <v>55047</v>
      </c>
      <c r="S8" s="14">
        <f>R8-R7</f>
        <v>0</v>
      </c>
      <c r="T8" s="32">
        <v>4049</v>
      </c>
      <c r="U8" s="14">
        <f t="shared" si="10"/>
        <v>160</v>
      </c>
    </row>
    <row r="9" spans="1:24" ht="13.5" thickBot="1" x14ac:dyDescent="0.25">
      <c r="A9" s="9">
        <v>44811</v>
      </c>
      <c r="B9" s="32">
        <v>47542</v>
      </c>
      <c r="C9" s="14">
        <f t="shared" si="3"/>
        <v>800</v>
      </c>
      <c r="D9" s="32">
        <v>40945</v>
      </c>
      <c r="E9" s="14">
        <f t="shared" si="4"/>
        <v>480</v>
      </c>
      <c r="F9" s="32">
        <v>22045</v>
      </c>
      <c r="G9" s="14">
        <f t="shared" si="5"/>
        <v>80</v>
      </c>
      <c r="H9" s="32">
        <v>258150</v>
      </c>
      <c r="I9" s="14">
        <f t="shared" si="6"/>
        <v>26</v>
      </c>
      <c r="J9" s="32">
        <v>331760</v>
      </c>
      <c r="K9" s="14">
        <f t="shared" si="7"/>
        <v>177</v>
      </c>
      <c r="L9" s="32">
        <v>26472</v>
      </c>
      <c r="M9" s="14">
        <f t="shared" si="8"/>
        <v>240</v>
      </c>
      <c r="N9" s="32">
        <v>226352</v>
      </c>
      <c r="O9" s="14">
        <f t="shared" si="9"/>
        <v>3</v>
      </c>
      <c r="P9" s="32">
        <v>168540</v>
      </c>
      <c r="Q9" s="14">
        <f t="shared" si="2"/>
        <v>119</v>
      </c>
      <c r="R9" s="1">
        <f t="shared" si="12"/>
        <v>55047</v>
      </c>
      <c r="S9" s="14">
        <f>R9-R8</f>
        <v>0</v>
      </c>
      <c r="T9" s="32">
        <v>4050</v>
      </c>
      <c r="U9" s="14">
        <f t="shared" si="10"/>
        <v>160</v>
      </c>
    </row>
    <row r="10" spans="1:24" ht="13.5" thickBot="1" x14ac:dyDescent="0.25">
      <c r="A10" s="9">
        <v>44812</v>
      </c>
      <c r="B10" s="32">
        <v>47547</v>
      </c>
      <c r="C10" s="14">
        <f t="shared" si="3"/>
        <v>800</v>
      </c>
      <c r="D10" s="32">
        <v>40948</v>
      </c>
      <c r="E10" s="14">
        <f t="shared" si="4"/>
        <v>480</v>
      </c>
      <c r="F10" s="32">
        <v>22048</v>
      </c>
      <c r="G10" s="14">
        <f t="shared" si="5"/>
        <v>60</v>
      </c>
      <c r="H10" s="32">
        <v>258172</v>
      </c>
      <c r="I10" s="14">
        <f t="shared" si="6"/>
        <v>22</v>
      </c>
      <c r="J10" s="32">
        <v>331929</v>
      </c>
      <c r="K10" s="14">
        <f t="shared" si="7"/>
        <v>169</v>
      </c>
      <c r="L10" s="32">
        <v>26475</v>
      </c>
      <c r="M10" s="14">
        <f t="shared" si="8"/>
        <v>180</v>
      </c>
      <c r="N10" s="32">
        <v>226356</v>
      </c>
      <c r="O10" s="14">
        <f t="shared" si="9"/>
        <v>4</v>
      </c>
      <c r="P10" s="32">
        <v>169071</v>
      </c>
      <c r="Q10" s="14">
        <f t="shared" si="2"/>
        <v>531</v>
      </c>
      <c r="R10" s="1">
        <f t="shared" si="12"/>
        <v>55047</v>
      </c>
      <c r="S10" s="14">
        <f>R10-R9</f>
        <v>0</v>
      </c>
      <c r="T10" s="32">
        <v>4050</v>
      </c>
      <c r="U10" s="14">
        <f t="shared" si="10"/>
        <v>0</v>
      </c>
    </row>
    <row r="11" spans="1:24" ht="13.5" thickBot="1" x14ac:dyDescent="0.25">
      <c r="A11" s="9">
        <v>44813</v>
      </c>
      <c r="B11" s="32">
        <v>47551</v>
      </c>
      <c r="C11" s="14">
        <f t="shared" si="3"/>
        <v>640</v>
      </c>
      <c r="D11" s="32">
        <v>40951</v>
      </c>
      <c r="E11" s="14">
        <f t="shared" si="4"/>
        <v>480</v>
      </c>
      <c r="F11" s="32">
        <v>22052</v>
      </c>
      <c r="G11" s="14">
        <f t="shared" si="5"/>
        <v>80</v>
      </c>
      <c r="H11" s="32">
        <v>258189</v>
      </c>
      <c r="I11" s="14">
        <f t="shared" si="6"/>
        <v>17</v>
      </c>
      <c r="J11" s="32">
        <v>332038</v>
      </c>
      <c r="K11" s="14">
        <f t="shared" si="7"/>
        <v>109</v>
      </c>
      <c r="L11" s="32">
        <v>26477</v>
      </c>
      <c r="M11" s="14">
        <f t="shared" si="8"/>
        <v>120</v>
      </c>
      <c r="N11" s="32">
        <v>226358</v>
      </c>
      <c r="O11" s="14">
        <f t="shared" si="9"/>
        <v>2</v>
      </c>
      <c r="P11" s="32">
        <f t="shared" ref="P11:P32" si="13">P10</f>
        <v>169071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v>4051</v>
      </c>
      <c r="U11" s="14">
        <f t="shared" si="10"/>
        <v>160</v>
      </c>
    </row>
    <row r="12" spans="1:24" ht="13.5" thickBot="1" x14ac:dyDescent="0.25">
      <c r="A12" s="9">
        <v>44814</v>
      </c>
      <c r="B12" s="32">
        <v>47556</v>
      </c>
      <c r="C12" s="14">
        <f t="shared" si="3"/>
        <v>800</v>
      </c>
      <c r="D12" s="32">
        <v>40954</v>
      </c>
      <c r="E12" s="14">
        <f t="shared" si="4"/>
        <v>480</v>
      </c>
      <c r="F12" s="32">
        <v>22056</v>
      </c>
      <c r="G12" s="14">
        <f t="shared" si="5"/>
        <v>80</v>
      </c>
      <c r="H12" s="32">
        <v>258203</v>
      </c>
      <c r="I12" s="14">
        <f t="shared" si="6"/>
        <v>14</v>
      </c>
      <c r="J12" s="32">
        <v>332178</v>
      </c>
      <c r="K12" s="14">
        <f t="shared" si="7"/>
        <v>140</v>
      </c>
      <c r="L12" s="32">
        <v>26479</v>
      </c>
      <c r="M12" s="14">
        <f t="shared" si="8"/>
        <v>120</v>
      </c>
      <c r="N12" s="32">
        <v>226362</v>
      </c>
      <c r="O12" s="14">
        <f t="shared" si="9"/>
        <v>4</v>
      </c>
      <c r="P12" s="32">
        <f t="shared" si="13"/>
        <v>169071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ref="T12:T32" si="14">T11</f>
        <v>4051</v>
      </c>
      <c r="U12" s="14">
        <f t="shared" si="10"/>
        <v>0</v>
      </c>
    </row>
    <row r="13" spans="1:24" ht="13.5" thickBot="1" x14ac:dyDescent="0.25">
      <c r="A13" s="9">
        <v>44815</v>
      </c>
      <c r="B13" s="32">
        <v>47561</v>
      </c>
      <c r="C13" s="14">
        <f t="shared" si="3"/>
        <v>800</v>
      </c>
      <c r="D13" s="32">
        <v>40957</v>
      </c>
      <c r="E13" s="14">
        <f t="shared" si="4"/>
        <v>480</v>
      </c>
      <c r="F13" s="32">
        <v>22059</v>
      </c>
      <c r="G13" s="14">
        <f t="shared" si="5"/>
        <v>60</v>
      </c>
      <c r="H13" s="32">
        <v>258225</v>
      </c>
      <c r="I13" s="14">
        <f t="shared" si="6"/>
        <v>22</v>
      </c>
      <c r="J13" s="32">
        <v>332308</v>
      </c>
      <c r="K13" s="14">
        <f t="shared" si="7"/>
        <v>130</v>
      </c>
      <c r="L13" s="32">
        <v>26482</v>
      </c>
      <c r="M13" s="14">
        <f t="shared" si="8"/>
        <v>180</v>
      </c>
      <c r="N13" s="32">
        <v>226366</v>
      </c>
      <c r="O13" s="14">
        <f t="shared" si="9"/>
        <v>4</v>
      </c>
      <c r="P13" s="32">
        <f t="shared" si="13"/>
        <v>169071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v>4052</v>
      </c>
      <c r="U13" s="14">
        <f t="shared" si="10"/>
        <v>160</v>
      </c>
    </row>
    <row r="14" spans="1:24" ht="13.5" thickBot="1" x14ac:dyDescent="0.25">
      <c r="A14" s="9">
        <v>44816</v>
      </c>
      <c r="B14" s="32">
        <v>47566</v>
      </c>
      <c r="C14" s="14">
        <f t="shared" si="3"/>
        <v>800</v>
      </c>
      <c r="D14" s="32">
        <v>40960</v>
      </c>
      <c r="E14" s="14">
        <f t="shared" si="4"/>
        <v>480</v>
      </c>
      <c r="F14" s="32">
        <v>22063</v>
      </c>
      <c r="G14" s="14">
        <f t="shared" si="5"/>
        <v>80</v>
      </c>
      <c r="H14" s="32">
        <v>258229</v>
      </c>
      <c r="I14" s="14">
        <f t="shared" si="6"/>
        <v>4</v>
      </c>
      <c r="J14" s="32">
        <v>332512</v>
      </c>
      <c r="K14" s="14">
        <f t="shared" si="7"/>
        <v>204</v>
      </c>
      <c r="L14" s="32">
        <v>26486</v>
      </c>
      <c r="M14" s="14">
        <f t="shared" si="8"/>
        <v>240</v>
      </c>
      <c r="N14" s="32">
        <v>226368</v>
      </c>
      <c r="O14" s="14">
        <f t="shared" si="9"/>
        <v>2</v>
      </c>
      <c r="P14" s="32">
        <v>169646</v>
      </c>
      <c r="Q14" s="14">
        <f t="shared" si="2"/>
        <v>575</v>
      </c>
      <c r="R14" s="1">
        <f t="shared" si="12"/>
        <v>55047</v>
      </c>
      <c r="S14" s="14">
        <v>0</v>
      </c>
      <c r="T14" s="32">
        <f t="shared" si="14"/>
        <v>4052</v>
      </c>
      <c r="U14" s="14">
        <f t="shared" si="10"/>
        <v>0</v>
      </c>
    </row>
    <row r="15" spans="1:24" ht="13.5" thickBot="1" x14ac:dyDescent="0.25">
      <c r="A15" s="9">
        <v>44817</v>
      </c>
      <c r="B15" s="32">
        <v>47571</v>
      </c>
      <c r="C15" s="14">
        <f t="shared" si="3"/>
        <v>800</v>
      </c>
      <c r="D15" s="32">
        <v>40963</v>
      </c>
      <c r="E15" s="14">
        <f t="shared" si="4"/>
        <v>480</v>
      </c>
      <c r="F15" s="32">
        <v>22066</v>
      </c>
      <c r="G15" s="14">
        <f t="shared" si="5"/>
        <v>60</v>
      </c>
      <c r="H15" s="32">
        <v>258256</v>
      </c>
      <c r="I15" s="14">
        <f t="shared" si="6"/>
        <v>27</v>
      </c>
      <c r="J15" s="32">
        <v>332685</v>
      </c>
      <c r="K15" s="14">
        <f t="shared" si="7"/>
        <v>173</v>
      </c>
      <c r="L15" s="32">
        <v>26490</v>
      </c>
      <c r="M15" s="14">
        <f t="shared" si="8"/>
        <v>240</v>
      </c>
      <c r="N15" s="32">
        <v>226371</v>
      </c>
      <c r="O15" s="14">
        <f t="shared" si="9"/>
        <v>3</v>
      </c>
      <c r="P15" s="32">
        <v>169812</v>
      </c>
      <c r="Q15" s="14">
        <f t="shared" si="2"/>
        <v>166</v>
      </c>
      <c r="R15" s="1">
        <v>55047</v>
      </c>
      <c r="S15" s="14">
        <v>0</v>
      </c>
      <c r="T15" s="32">
        <v>4053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44818</v>
      </c>
      <c r="B16" s="32">
        <f t="shared" ref="B15:B32" si="15">B15</f>
        <v>47571</v>
      </c>
      <c r="C16" s="14">
        <f t="shared" si="3"/>
        <v>0</v>
      </c>
      <c r="D16" s="32">
        <f t="shared" ref="D15:D32" si="16">D15</f>
        <v>40963</v>
      </c>
      <c r="E16" s="14">
        <f t="shared" si="4"/>
        <v>0</v>
      </c>
      <c r="F16" s="32">
        <f t="shared" ref="F15:F32" si="17">F15</f>
        <v>22066</v>
      </c>
      <c r="G16" s="14">
        <f t="shared" si="5"/>
        <v>0</v>
      </c>
      <c r="H16" s="32">
        <f t="shared" ref="H15:H32" si="18">H15</f>
        <v>258256</v>
      </c>
      <c r="I16" s="14">
        <f t="shared" si="6"/>
        <v>0</v>
      </c>
      <c r="J16" s="32">
        <f t="shared" ref="J15:J32" si="19">J15</f>
        <v>332685</v>
      </c>
      <c r="K16" s="14">
        <f t="shared" si="7"/>
        <v>0</v>
      </c>
      <c r="L16" s="32">
        <f t="shared" ref="L15:L32" si="20">L15</f>
        <v>26490</v>
      </c>
      <c r="M16" s="14">
        <f t="shared" si="8"/>
        <v>0</v>
      </c>
      <c r="N16" s="32">
        <f t="shared" ref="N15:N32" si="21">N15</f>
        <v>226371</v>
      </c>
      <c r="O16" s="14">
        <f t="shared" si="9"/>
        <v>0</v>
      </c>
      <c r="P16" s="32">
        <f t="shared" si="13"/>
        <v>169812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4"/>
        <v>4053</v>
      </c>
      <c r="U16" s="14">
        <f t="shared" si="10"/>
        <v>0</v>
      </c>
      <c r="W16" t="s">
        <v>12</v>
      </c>
    </row>
    <row r="17" spans="1:23" ht="13.5" thickBot="1" x14ac:dyDescent="0.25">
      <c r="A17" s="9">
        <v>44819</v>
      </c>
      <c r="B17" s="32">
        <f t="shared" si="15"/>
        <v>47571</v>
      </c>
      <c r="C17" s="14">
        <f t="shared" si="3"/>
        <v>0</v>
      </c>
      <c r="D17" s="32">
        <f t="shared" si="16"/>
        <v>40963</v>
      </c>
      <c r="E17" s="14">
        <f t="shared" si="4"/>
        <v>0</v>
      </c>
      <c r="F17" s="32">
        <f t="shared" si="17"/>
        <v>22066</v>
      </c>
      <c r="G17" s="14">
        <f t="shared" si="5"/>
        <v>0</v>
      </c>
      <c r="H17" s="32">
        <f t="shared" si="18"/>
        <v>258256</v>
      </c>
      <c r="I17" s="14">
        <f t="shared" si="6"/>
        <v>0</v>
      </c>
      <c r="J17" s="32">
        <f t="shared" si="19"/>
        <v>332685</v>
      </c>
      <c r="K17" s="14">
        <f t="shared" si="7"/>
        <v>0</v>
      </c>
      <c r="L17" s="32">
        <f t="shared" si="20"/>
        <v>26490</v>
      </c>
      <c r="M17" s="14">
        <f t="shared" si="8"/>
        <v>0</v>
      </c>
      <c r="N17" s="32">
        <f t="shared" si="21"/>
        <v>226371</v>
      </c>
      <c r="O17" s="14">
        <f t="shared" si="9"/>
        <v>0</v>
      </c>
      <c r="P17" s="32">
        <f t="shared" si="13"/>
        <v>169812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4"/>
        <v>4053</v>
      </c>
      <c r="U17" s="14">
        <f t="shared" si="10"/>
        <v>0</v>
      </c>
    </row>
    <row r="18" spans="1:23" ht="13.5" thickBot="1" x14ac:dyDescent="0.25">
      <c r="A18" s="9">
        <v>44820</v>
      </c>
      <c r="B18" s="32">
        <f t="shared" si="15"/>
        <v>47571</v>
      </c>
      <c r="C18" s="14">
        <f t="shared" si="3"/>
        <v>0</v>
      </c>
      <c r="D18" s="32">
        <f t="shared" si="16"/>
        <v>40963</v>
      </c>
      <c r="E18" s="14">
        <f t="shared" si="4"/>
        <v>0</v>
      </c>
      <c r="F18" s="32">
        <f t="shared" si="17"/>
        <v>22066</v>
      </c>
      <c r="G18" s="14">
        <f t="shared" si="5"/>
        <v>0</v>
      </c>
      <c r="H18" s="32">
        <f t="shared" si="18"/>
        <v>258256</v>
      </c>
      <c r="I18" s="14">
        <f t="shared" si="6"/>
        <v>0</v>
      </c>
      <c r="J18" s="32">
        <f t="shared" si="19"/>
        <v>332685</v>
      </c>
      <c r="K18" s="14">
        <f t="shared" si="7"/>
        <v>0</v>
      </c>
      <c r="L18" s="32">
        <f t="shared" si="20"/>
        <v>26490</v>
      </c>
      <c r="M18" s="14">
        <f t="shared" si="8"/>
        <v>0</v>
      </c>
      <c r="N18" s="32">
        <f t="shared" si="21"/>
        <v>226371</v>
      </c>
      <c r="O18" s="14">
        <f t="shared" si="9"/>
        <v>0</v>
      </c>
      <c r="P18" s="32">
        <f t="shared" si="13"/>
        <v>169812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4"/>
        <v>4053</v>
      </c>
      <c r="U18" s="14">
        <f t="shared" si="10"/>
        <v>0</v>
      </c>
    </row>
    <row r="19" spans="1:23" ht="13.5" thickBot="1" x14ac:dyDescent="0.25">
      <c r="A19" s="9">
        <v>44821</v>
      </c>
      <c r="B19" s="32">
        <f t="shared" si="15"/>
        <v>47571</v>
      </c>
      <c r="C19" s="14">
        <f t="shared" si="3"/>
        <v>0</v>
      </c>
      <c r="D19" s="32">
        <f t="shared" si="16"/>
        <v>40963</v>
      </c>
      <c r="E19" s="14">
        <f t="shared" si="4"/>
        <v>0</v>
      </c>
      <c r="F19" s="32">
        <f t="shared" si="17"/>
        <v>22066</v>
      </c>
      <c r="G19" s="14">
        <f t="shared" si="5"/>
        <v>0</v>
      </c>
      <c r="H19" s="32">
        <f t="shared" si="18"/>
        <v>258256</v>
      </c>
      <c r="I19" s="14">
        <f t="shared" si="6"/>
        <v>0</v>
      </c>
      <c r="J19" s="32">
        <f t="shared" si="19"/>
        <v>332685</v>
      </c>
      <c r="K19" s="14">
        <f t="shared" si="7"/>
        <v>0</v>
      </c>
      <c r="L19" s="32">
        <f t="shared" si="20"/>
        <v>26490</v>
      </c>
      <c r="M19" s="14">
        <f t="shared" si="8"/>
        <v>0</v>
      </c>
      <c r="N19" s="32">
        <f t="shared" si="21"/>
        <v>226371</v>
      </c>
      <c r="O19" s="14">
        <f t="shared" si="9"/>
        <v>0</v>
      </c>
      <c r="P19" s="32">
        <f t="shared" si="13"/>
        <v>169812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4"/>
        <v>4053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f t="shared" si="15"/>
        <v>47571</v>
      </c>
      <c r="C20" s="14">
        <f t="shared" si="3"/>
        <v>0</v>
      </c>
      <c r="D20" s="32">
        <f t="shared" si="16"/>
        <v>40963</v>
      </c>
      <c r="E20" s="14">
        <f t="shared" si="4"/>
        <v>0</v>
      </c>
      <c r="F20" s="32">
        <f t="shared" si="17"/>
        <v>22066</v>
      </c>
      <c r="G20" s="14">
        <f t="shared" si="5"/>
        <v>0</v>
      </c>
      <c r="H20" s="32">
        <f t="shared" si="18"/>
        <v>258256</v>
      </c>
      <c r="I20" s="14">
        <f t="shared" si="6"/>
        <v>0</v>
      </c>
      <c r="J20" s="32">
        <f t="shared" si="19"/>
        <v>332685</v>
      </c>
      <c r="K20" s="14">
        <f t="shared" si="7"/>
        <v>0</v>
      </c>
      <c r="L20" s="32">
        <f t="shared" si="20"/>
        <v>26490</v>
      </c>
      <c r="M20" s="14">
        <f t="shared" si="8"/>
        <v>0</v>
      </c>
      <c r="N20" s="32">
        <f t="shared" si="21"/>
        <v>226371</v>
      </c>
      <c r="O20" s="14">
        <f t="shared" si="9"/>
        <v>0</v>
      </c>
      <c r="P20" s="32">
        <f t="shared" si="13"/>
        <v>169812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4"/>
        <v>4053</v>
      </c>
      <c r="U20" s="14">
        <f t="shared" si="10"/>
        <v>0</v>
      </c>
    </row>
    <row r="21" spans="1:23" ht="13.5" thickBot="1" x14ac:dyDescent="0.25">
      <c r="A21" s="9">
        <v>44823</v>
      </c>
      <c r="B21" s="32">
        <f t="shared" si="15"/>
        <v>47571</v>
      </c>
      <c r="C21" s="14">
        <f t="shared" si="3"/>
        <v>0</v>
      </c>
      <c r="D21" s="32">
        <f t="shared" si="16"/>
        <v>40963</v>
      </c>
      <c r="E21" s="14">
        <f t="shared" si="4"/>
        <v>0</v>
      </c>
      <c r="F21" s="32">
        <f t="shared" si="17"/>
        <v>22066</v>
      </c>
      <c r="G21" s="14">
        <f t="shared" si="5"/>
        <v>0</v>
      </c>
      <c r="H21" s="32">
        <f t="shared" si="18"/>
        <v>258256</v>
      </c>
      <c r="I21" s="14">
        <f t="shared" si="6"/>
        <v>0</v>
      </c>
      <c r="J21" s="32">
        <f t="shared" si="19"/>
        <v>332685</v>
      </c>
      <c r="K21" s="14">
        <f t="shared" si="7"/>
        <v>0</v>
      </c>
      <c r="L21" s="32">
        <f t="shared" si="20"/>
        <v>26490</v>
      </c>
      <c r="M21" s="14">
        <f t="shared" si="8"/>
        <v>0</v>
      </c>
      <c r="N21" s="32">
        <f t="shared" si="21"/>
        <v>226371</v>
      </c>
      <c r="O21" s="14">
        <f t="shared" si="9"/>
        <v>0</v>
      </c>
      <c r="P21" s="32">
        <f t="shared" si="13"/>
        <v>169812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4"/>
        <v>4053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5"/>
        <v>47571</v>
      </c>
      <c r="C22" s="14">
        <f t="shared" si="3"/>
        <v>0</v>
      </c>
      <c r="D22" s="32">
        <f t="shared" si="16"/>
        <v>40963</v>
      </c>
      <c r="E22" s="14">
        <f t="shared" si="4"/>
        <v>0</v>
      </c>
      <c r="F22" s="32">
        <f t="shared" si="17"/>
        <v>22066</v>
      </c>
      <c r="G22" s="14">
        <f t="shared" si="5"/>
        <v>0</v>
      </c>
      <c r="H22" s="32">
        <f t="shared" si="18"/>
        <v>258256</v>
      </c>
      <c r="I22" s="14">
        <f t="shared" si="6"/>
        <v>0</v>
      </c>
      <c r="J22" s="32">
        <f t="shared" si="19"/>
        <v>332685</v>
      </c>
      <c r="K22" s="14">
        <f t="shared" si="7"/>
        <v>0</v>
      </c>
      <c r="L22" s="32">
        <f t="shared" si="20"/>
        <v>26490</v>
      </c>
      <c r="M22" s="14">
        <f t="shared" si="8"/>
        <v>0</v>
      </c>
      <c r="N22" s="32">
        <f t="shared" si="21"/>
        <v>226371</v>
      </c>
      <c r="O22" s="14">
        <f t="shared" si="9"/>
        <v>0</v>
      </c>
      <c r="P22" s="32">
        <f t="shared" si="13"/>
        <v>169812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4"/>
        <v>4053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5"/>
        <v>47571</v>
      </c>
      <c r="C23" s="14">
        <f t="shared" si="3"/>
        <v>0</v>
      </c>
      <c r="D23" s="32">
        <f t="shared" si="16"/>
        <v>40963</v>
      </c>
      <c r="E23" s="14">
        <f t="shared" si="4"/>
        <v>0</v>
      </c>
      <c r="F23" s="32">
        <f t="shared" si="17"/>
        <v>22066</v>
      </c>
      <c r="G23" s="14">
        <f t="shared" si="5"/>
        <v>0</v>
      </c>
      <c r="H23" s="32">
        <f t="shared" si="18"/>
        <v>258256</v>
      </c>
      <c r="I23" s="14">
        <f t="shared" si="6"/>
        <v>0</v>
      </c>
      <c r="J23" s="32">
        <f t="shared" si="19"/>
        <v>332685</v>
      </c>
      <c r="K23" s="14">
        <f t="shared" si="7"/>
        <v>0</v>
      </c>
      <c r="L23" s="32">
        <f t="shared" si="20"/>
        <v>26490</v>
      </c>
      <c r="M23" s="14">
        <f t="shared" si="8"/>
        <v>0</v>
      </c>
      <c r="N23" s="32">
        <f t="shared" si="21"/>
        <v>226371</v>
      </c>
      <c r="O23" s="14">
        <f t="shared" si="9"/>
        <v>0</v>
      </c>
      <c r="P23" s="32">
        <f t="shared" si="13"/>
        <v>169812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4"/>
        <v>4053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5"/>
        <v>47571</v>
      </c>
      <c r="C24" s="14">
        <f t="shared" si="3"/>
        <v>0</v>
      </c>
      <c r="D24" s="32">
        <f t="shared" si="16"/>
        <v>40963</v>
      </c>
      <c r="E24" s="14">
        <f t="shared" si="4"/>
        <v>0</v>
      </c>
      <c r="F24" s="32">
        <f t="shared" si="17"/>
        <v>22066</v>
      </c>
      <c r="G24" s="14">
        <f t="shared" si="5"/>
        <v>0</v>
      </c>
      <c r="H24" s="32">
        <f t="shared" si="18"/>
        <v>258256</v>
      </c>
      <c r="I24" s="14">
        <f t="shared" si="6"/>
        <v>0</v>
      </c>
      <c r="J24" s="32">
        <f t="shared" si="19"/>
        <v>332685</v>
      </c>
      <c r="K24" s="14">
        <f t="shared" si="7"/>
        <v>0</v>
      </c>
      <c r="L24" s="32">
        <f t="shared" si="20"/>
        <v>26490</v>
      </c>
      <c r="M24" s="14">
        <f t="shared" si="8"/>
        <v>0</v>
      </c>
      <c r="N24" s="32">
        <f t="shared" si="21"/>
        <v>226371</v>
      </c>
      <c r="O24" s="14">
        <f t="shared" si="9"/>
        <v>0</v>
      </c>
      <c r="P24" s="32">
        <f t="shared" si="13"/>
        <v>169812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4"/>
        <v>4053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5"/>
        <v>47571</v>
      </c>
      <c r="C25" s="14">
        <f t="shared" si="3"/>
        <v>0</v>
      </c>
      <c r="D25" s="32">
        <f t="shared" si="16"/>
        <v>40963</v>
      </c>
      <c r="E25" s="14">
        <f t="shared" si="4"/>
        <v>0</v>
      </c>
      <c r="F25" s="32">
        <f t="shared" si="17"/>
        <v>22066</v>
      </c>
      <c r="G25" s="14">
        <f t="shared" si="5"/>
        <v>0</v>
      </c>
      <c r="H25" s="32">
        <f t="shared" si="18"/>
        <v>258256</v>
      </c>
      <c r="I25" s="14">
        <f t="shared" si="6"/>
        <v>0</v>
      </c>
      <c r="J25" s="32">
        <f t="shared" si="19"/>
        <v>332685</v>
      </c>
      <c r="K25" s="14">
        <f t="shared" si="7"/>
        <v>0</v>
      </c>
      <c r="L25" s="32">
        <f t="shared" si="20"/>
        <v>26490</v>
      </c>
      <c r="M25" s="14">
        <f t="shared" si="8"/>
        <v>0</v>
      </c>
      <c r="N25" s="32">
        <f t="shared" si="21"/>
        <v>226371</v>
      </c>
      <c r="O25" s="14">
        <f t="shared" si="9"/>
        <v>0</v>
      </c>
      <c r="P25" s="32">
        <f t="shared" si="13"/>
        <v>169812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4"/>
        <v>4053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5"/>
        <v>47571</v>
      </c>
      <c r="C26" s="14">
        <f t="shared" si="3"/>
        <v>0</v>
      </c>
      <c r="D26" s="32">
        <f t="shared" si="16"/>
        <v>40963</v>
      </c>
      <c r="E26" s="14">
        <f t="shared" si="4"/>
        <v>0</v>
      </c>
      <c r="F26" s="32">
        <f t="shared" si="17"/>
        <v>22066</v>
      </c>
      <c r="G26" s="14">
        <f t="shared" si="5"/>
        <v>0</v>
      </c>
      <c r="H26" s="32">
        <f t="shared" si="18"/>
        <v>258256</v>
      </c>
      <c r="I26" s="14">
        <f t="shared" si="6"/>
        <v>0</v>
      </c>
      <c r="J26" s="32">
        <f t="shared" si="19"/>
        <v>332685</v>
      </c>
      <c r="K26" s="14">
        <f t="shared" si="7"/>
        <v>0</v>
      </c>
      <c r="L26" s="32">
        <f t="shared" si="20"/>
        <v>26490</v>
      </c>
      <c r="M26" s="14">
        <f t="shared" si="8"/>
        <v>0</v>
      </c>
      <c r="N26" s="32">
        <f t="shared" si="21"/>
        <v>226371</v>
      </c>
      <c r="O26" s="14">
        <f t="shared" si="9"/>
        <v>0</v>
      </c>
      <c r="P26" s="32">
        <f t="shared" si="13"/>
        <v>169812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4"/>
        <v>4053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5"/>
        <v>47571</v>
      </c>
      <c r="C27" s="14">
        <f t="shared" si="3"/>
        <v>0</v>
      </c>
      <c r="D27" s="32">
        <f t="shared" si="16"/>
        <v>40963</v>
      </c>
      <c r="E27" s="14">
        <f t="shared" si="4"/>
        <v>0</v>
      </c>
      <c r="F27" s="32">
        <f t="shared" si="17"/>
        <v>22066</v>
      </c>
      <c r="G27" s="14">
        <f t="shared" si="5"/>
        <v>0</v>
      </c>
      <c r="H27" s="32">
        <f t="shared" si="18"/>
        <v>258256</v>
      </c>
      <c r="I27" s="14">
        <f t="shared" si="6"/>
        <v>0</v>
      </c>
      <c r="J27" s="32">
        <f t="shared" si="19"/>
        <v>332685</v>
      </c>
      <c r="K27" s="14">
        <f t="shared" si="7"/>
        <v>0</v>
      </c>
      <c r="L27" s="32">
        <f t="shared" si="20"/>
        <v>26490</v>
      </c>
      <c r="M27" s="14">
        <f t="shared" si="8"/>
        <v>0</v>
      </c>
      <c r="N27" s="32">
        <f t="shared" si="21"/>
        <v>226371</v>
      </c>
      <c r="O27" s="14">
        <f t="shared" si="9"/>
        <v>0</v>
      </c>
      <c r="P27" s="32">
        <f t="shared" si="13"/>
        <v>169812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4"/>
        <v>4053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5"/>
        <v>47571</v>
      </c>
      <c r="C28" s="14">
        <f t="shared" si="3"/>
        <v>0</v>
      </c>
      <c r="D28" s="32">
        <f t="shared" si="16"/>
        <v>40963</v>
      </c>
      <c r="E28" s="14">
        <f t="shared" si="4"/>
        <v>0</v>
      </c>
      <c r="F28" s="32">
        <f t="shared" si="17"/>
        <v>22066</v>
      </c>
      <c r="G28" s="14">
        <f t="shared" si="5"/>
        <v>0</v>
      </c>
      <c r="H28" s="32">
        <f t="shared" si="18"/>
        <v>258256</v>
      </c>
      <c r="I28" s="14">
        <f t="shared" si="6"/>
        <v>0</v>
      </c>
      <c r="J28" s="32">
        <f t="shared" si="19"/>
        <v>332685</v>
      </c>
      <c r="K28" s="14">
        <f t="shared" si="7"/>
        <v>0</v>
      </c>
      <c r="L28" s="32">
        <f t="shared" si="20"/>
        <v>26490</v>
      </c>
      <c r="M28" s="14">
        <f t="shared" si="8"/>
        <v>0</v>
      </c>
      <c r="N28" s="32">
        <f t="shared" si="21"/>
        <v>226371</v>
      </c>
      <c r="O28" s="14">
        <f t="shared" si="9"/>
        <v>0</v>
      </c>
      <c r="P28" s="32">
        <f t="shared" si="13"/>
        <v>169812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4"/>
        <v>4053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5"/>
        <v>47571</v>
      </c>
      <c r="C29" s="14">
        <f t="shared" si="3"/>
        <v>0</v>
      </c>
      <c r="D29" s="32">
        <f t="shared" si="16"/>
        <v>40963</v>
      </c>
      <c r="E29" s="14">
        <f t="shared" si="4"/>
        <v>0</v>
      </c>
      <c r="F29" s="32">
        <f t="shared" si="17"/>
        <v>22066</v>
      </c>
      <c r="G29" s="14">
        <f t="shared" si="5"/>
        <v>0</v>
      </c>
      <c r="H29" s="32">
        <f t="shared" si="18"/>
        <v>258256</v>
      </c>
      <c r="I29" s="14">
        <f t="shared" si="6"/>
        <v>0</v>
      </c>
      <c r="J29" s="32">
        <f t="shared" si="19"/>
        <v>332685</v>
      </c>
      <c r="K29" s="14">
        <f t="shared" si="7"/>
        <v>0</v>
      </c>
      <c r="L29" s="32">
        <f t="shared" si="20"/>
        <v>26490</v>
      </c>
      <c r="M29" s="14">
        <f t="shared" si="8"/>
        <v>0</v>
      </c>
      <c r="N29" s="32">
        <f t="shared" si="21"/>
        <v>226371</v>
      </c>
      <c r="O29" s="14">
        <f t="shared" si="9"/>
        <v>0</v>
      </c>
      <c r="P29" s="32">
        <f t="shared" si="13"/>
        <v>169812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4"/>
        <v>4053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5"/>
        <v>47571</v>
      </c>
      <c r="C30" s="14">
        <f t="shared" si="3"/>
        <v>0</v>
      </c>
      <c r="D30" s="32">
        <f t="shared" si="16"/>
        <v>40963</v>
      </c>
      <c r="E30" s="14">
        <f t="shared" si="4"/>
        <v>0</v>
      </c>
      <c r="F30" s="32">
        <f t="shared" si="17"/>
        <v>22066</v>
      </c>
      <c r="G30" s="14">
        <f t="shared" si="5"/>
        <v>0</v>
      </c>
      <c r="H30" s="32">
        <f t="shared" si="18"/>
        <v>258256</v>
      </c>
      <c r="I30" s="14">
        <f t="shared" si="6"/>
        <v>0</v>
      </c>
      <c r="J30" s="32">
        <f t="shared" si="19"/>
        <v>332685</v>
      </c>
      <c r="K30" s="14">
        <f t="shared" si="7"/>
        <v>0</v>
      </c>
      <c r="L30" s="32">
        <f t="shared" si="20"/>
        <v>26490</v>
      </c>
      <c r="M30" s="14">
        <f t="shared" si="8"/>
        <v>0</v>
      </c>
      <c r="N30" s="32">
        <f t="shared" si="21"/>
        <v>226371</v>
      </c>
      <c r="O30" s="14">
        <f t="shared" si="9"/>
        <v>0</v>
      </c>
      <c r="P30" s="32">
        <f t="shared" si="13"/>
        <v>169812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4"/>
        <v>4053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5"/>
        <v>47571</v>
      </c>
      <c r="C31" s="14">
        <f t="shared" si="3"/>
        <v>0</v>
      </c>
      <c r="D31" s="32">
        <f t="shared" si="16"/>
        <v>40963</v>
      </c>
      <c r="E31" s="14">
        <f t="shared" si="4"/>
        <v>0</v>
      </c>
      <c r="F31" s="32">
        <f t="shared" si="17"/>
        <v>22066</v>
      </c>
      <c r="G31" s="14">
        <f t="shared" si="5"/>
        <v>0</v>
      </c>
      <c r="H31" s="32">
        <f t="shared" si="18"/>
        <v>258256</v>
      </c>
      <c r="I31" s="14">
        <f t="shared" si="6"/>
        <v>0</v>
      </c>
      <c r="J31" s="32">
        <f t="shared" si="19"/>
        <v>332685</v>
      </c>
      <c r="K31" s="14">
        <f t="shared" si="7"/>
        <v>0</v>
      </c>
      <c r="L31" s="32">
        <f t="shared" si="20"/>
        <v>26490</v>
      </c>
      <c r="M31" s="14">
        <f t="shared" si="8"/>
        <v>0</v>
      </c>
      <c r="N31" s="32">
        <f t="shared" si="21"/>
        <v>226371</v>
      </c>
      <c r="O31" s="14">
        <f t="shared" si="9"/>
        <v>0</v>
      </c>
      <c r="P31" s="32">
        <f t="shared" si="13"/>
        <v>169812</v>
      </c>
      <c r="Q31" s="14">
        <f t="shared" si="2"/>
        <v>0</v>
      </c>
      <c r="R31" s="1">
        <v>55047</v>
      </c>
      <c r="S31" s="14">
        <v>0</v>
      </c>
      <c r="T31" s="32">
        <f t="shared" si="14"/>
        <v>4053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5"/>
        <v>47571</v>
      </c>
      <c r="C32" s="14">
        <f t="shared" si="3"/>
        <v>0</v>
      </c>
      <c r="D32" s="32">
        <f t="shared" si="16"/>
        <v>40963</v>
      </c>
      <c r="E32" s="14">
        <f t="shared" si="4"/>
        <v>0</v>
      </c>
      <c r="F32" s="32">
        <f t="shared" si="17"/>
        <v>22066</v>
      </c>
      <c r="G32" s="14">
        <f t="shared" si="5"/>
        <v>0</v>
      </c>
      <c r="H32" s="32">
        <f t="shared" si="18"/>
        <v>258256</v>
      </c>
      <c r="I32" s="14">
        <f t="shared" si="6"/>
        <v>0</v>
      </c>
      <c r="J32" s="32">
        <f t="shared" si="19"/>
        <v>332685</v>
      </c>
      <c r="K32" s="14">
        <f t="shared" si="7"/>
        <v>0</v>
      </c>
      <c r="L32" s="32">
        <f t="shared" si="20"/>
        <v>26490</v>
      </c>
      <c r="M32" s="14">
        <f t="shared" si="8"/>
        <v>0</v>
      </c>
      <c r="N32" s="32">
        <f t="shared" si="21"/>
        <v>226371</v>
      </c>
      <c r="O32" s="14">
        <f t="shared" si="9"/>
        <v>0</v>
      </c>
      <c r="P32" s="32">
        <f t="shared" si="13"/>
        <v>169812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4"/>
        <v>4053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9920</v>
      </c>
      <c r="D33" s="14"/>
      <c r="E33" s="14">
        <f>SUM(E2:E32)</f>
        <v>6240</v>
      </c>
      <c r="F33" s="14"/>
      <c r="G33" s="14">
        <f>SUM(G2:G32)</f>
        <v>940</v>
      </c>
      <c r="H33" s="14"/>
      <c r="I33" s="14">
        <f>SUM(I2:I32)</f>
        <v>286</v>
      </c>
      <c r="J33" s="14"/>
      <c r="K33" s="14">
        <f>SUM(K2:K32)</f>
        <v>2078</v>
      </c>
      <c r="L33" s="14"/>
      <c r="M33" s="14">
        <f>SUM(M2:M32)</f>
        <v>2460</v>
      </c>
      <c r="N33" s="14"/>
      <c r="O33" s="14">
        <f>SUM(O2:O32)</f>
        <v>41</v>
      </c>
      <c r="P33" s="14"/>
      <c r="Q33" s="14">
        <f>SUM(Q2:Q32)</f>
        <v>2111</v>
      </c>
      <c r="R33" s="14"/>
      <c r="S33" s="14">
        <f>SUM(S2:S32)</f>
        <v>0</v>
      </c>
      <c r="T33" s="14"/>
      <c r="U33" s="14">
        <f>SUM(U2:U32)</f>
        <v>1120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15" sqref="A15:XFD1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>
        <v>269</v>
      </c>
      <c r="C8" s="144">
        <v>20083</v>
      </c>
      <c r="D8" s="38">
        <f t="shared" si="4"/>
        <v>320</v>
      </c>
      <c r="E8" s="145">
        <v>33342136</v>
      </c>
      <c r="F8" s="38">
        <f t="shared" si="5"/>
        <v>20996</v>
      </c>
      <c r="G8" s="146">
        <v>5009938</v>
      </c>
      <c r="H8" s="38">
        <f t="shared" si="6"/>
        <v>50629</v>
      </c>
      <c r="I8" s="147">
        <f t="shared" si="7"/>
        <v>71625</v>
      </c>
      <c r="J8" s="145">
        <v>457182</v>
      </c>
      <c r="K8" s="38">
        <f t="shared" si="15"/>
        <v>10352</v>
      </c>
      <c r="L8" s="148">
        <v>740801</v>
      </c>
      <c r="M8" s="38">
        <f t="shared" si="8"/>
        <v>5783</v>
      </c>
      <c r="N8" s="145">
        <v>7436673</v>
      </c>
      <c r="O8" s="38">
        <f t="shared" si="16"/>
        <v>15010</v>
      </c>
      <c r="P8" s="148">
        <v>7993594</v>
      </c>
      <c r="Q8" s="38">
        <f t="shared" si="9"/>
        <v>12253</v>
      </c>
      <c r="R8" s="145">
        <v>22281912</v>
      </c>
      <c r="S8" s="38">
        <f t="shared" si="10"/>
        <v>10393</v>
      </c>
      <c r="T8" s="145">
        <v>0</v>
      </c>
      <c r="U8" s="149"/>
      <c r="V8" s="145">
        <v>308039</v>
      </c>
      <c r="W8" s="38">
        <f t="shared" si="11"/>
        <v>10752</v>
      </c>
      <c r="X8" s="19">
        <f t="shared" si="12"/>
        <v>64543</v>
      </c>
      <c r="Y8" s="165">
        <f t="shared" si="13"/>
        <v>7082</v>
      </c>
      <c r="Z8" s="3">
        <f t="shared" si="14"/>
        <v>9079.0228880000013</v>
      </c>
      <c r="AA8" s="3">
        <f>SUM(Z1:Z8)</f>
        <v>60566.523638400002</v>
      </c>
    </row>
    <row r="9" spans="1:27" ht="16.5" thickBot="1" x14ac:dyDescent="0.3">
      <c r="A9" s="9">
        <v>44811</v>
      </c>
      <c r="B9" s="38">
        <v>257</v>
      </c>
      <c r="C9" s="144">
        <v>20088</v>
      </c>
      <c r="D9" s="38">
        <f t="shared" si="4"/>
        <v>800</v>
      </c>
      <c r="E9" s="145">
        <v>33364467</v>
      </c>
      <c r="F9" s="38">
        <f t="shared" si="5"/>
        <v>22331</v>
      </c>
      <c r="G9" s="146">
        <v>5062353</v>
      </c>
      <c r="H9" s="38">
        <f t="shared" si="6"/>
        <v>52415</v>
      </c>
      <c r="I9" s="147">
        <f t="shared" si="7"/>
        <v>74746</v>
      </c>
      <c r="J9" s="145">
        <v>462548</v>
      </c>
      <c r="K9" s="38">
        <f t="shared" si="15"/>
        <v>10732</v>
      </c>
      <c r="L9" s="148">
        <v>747158</v>
      </c>
      <c r="M9" s="38">
        <f t="shared" si="8"/>
        <v>6357</v>
      </c>
      <c r="N9" s="145">
        <v>7444568</v>
      </c>
      <c r="O9" s="38">
        <f t="shared" si="16"/>
        <v>15790</v>
      </c>
      <c r="P9" s="148">
        <v>8006086</v>
      </c>
      <c r="Q9" s="38">
        <f t="shared" si="9"/>
        <v>12492</v>
      </c>
      <c r="R9" s="145">
        <v>22292402</v>
      </c>
      <c r="S9" s="38">
        <f t="shared" si="10"/>
        <v>10490</v>
      </c>
      <c r="T9" s="145">
        <v>0</v>
      </c>
      <c r="U9" s="149"/>
      <c r="V9" s="145">
        <v>319310</v>
      </c>
      <c r="W9" s="38">
        <f t="shared" si="11"/>
        <v>11271</v>
      </c>
      <c r="X9" s="19">
        <f t="shared" si="12"/>
        <v>67132</v>
      </c>
      <c r="Y9" s="165">
        <f t="shared" si="13"/>
        <v>7614</v>
      </c>
      <c r="Z9" s="3">
        <f t="shared" si="14"/>
        <v>9376.0540431999998</v>
      </c>
      <c r="AA9" s="3">
        <f>SUM(Z1:Z9)</f>
        <v>69942.5776816</v>
      </c>
    </row>
    <row r="10" spans="1:27" ht="16.5" thickBot="1" x14ac:dyDescent="0.3">
      <c r="A10" s="9">
        <v>44812</v>
      </c>
      <c r="B10" s="38">
        <v>240</v>
      </c>
      <c r="C10" s="144">
        <v>20092</v>
      </c>
      <c r="D10" s="38">
        <f>IF((C10-C9)&lt;0,"0",(C10-C9))*160</f>
        <v>640</v>
      </c>
      <c r="E10" s="145">
        <v>33393021</v>
      </c>
      <c r="F10" s="38">
        <f t="shared" si="5"/>
        <v>28554</v>
      </c>
      <c r="G10" s="146">
        <v>5130041</v>
      </c>
      <c r="H10" s="38">
        <f t="shared" si="6"/>
        <v>67688</v>
      </c>
      <c r="I10" s="147">
        <f t="shared" si="7"/>
        <v>96242</v>
      </c>
      <c r="J10" s="145">
        <v>469325</v>
      </c>
      <c r="K10" s="38">
        <f t="shared" si="15"/>
        <v>13554</v>
      </c>
      <c r="L10" s="148">
        <v>755336</v>
      </c>
      <c r="M10" s="38">
        <f t="shared" si="8"/>
        <v>8178</v>
      </c>
      <c r="N10" s="145">
        <v>7454649</v>
      </c>
      <c r="O10" s="38">
        <f t="shared" si="16"/>
        <v>20162</v>
      </c>
      <c r="P10" s="148">
        <v>8022625</v>
      </c>
      <c r="Q10" s="38">
        <f t="shared" si="9"/>
        <v>16539</v>
      </c>
      <c r="R10" s="145">
        <v>22306229</v>
      </c>
      <c r="S10" s="38">
        <f t="shared" si="10"/>
        <v>13827</v>
      </c>
      <c r="T10" s="145">
        <v>0</v>
      </c>
      <c r="U10" s="149"/>
      <c r="V10" s="145">
        <v>333666</v>
      </c>
      <c r="W10" s="38">
        <f t="shared" si="11"/>
        <v>14356</v>
      </c>
      <c r="X10" s="19">
        <f t="shared" si="12"/>
        <v>86616</v>
      </c>
      <c r="Y10" s="165">
        <f t="shared" si="13"/>
        <v>9626</v>
      </c>
      <c r="Z10" s="3">
        <f t="shared" si="14"/>
        <v>12153.572849600001</v>
      </c>
      <c r="AA10" s="3">
        <f>SUM(Z1:Z10)</f>
        <v>82096.150531199994</v>
      </c>
    </row>
    <row r="11" spans="1:27" ht="15.75" customHeight="1" thickBot="1" x14ac:dyDescent="0.3">
      <c r="A11" s="9">
        <v>44813</v>
      </c>
      <c r="B11" s="38">
        <v>255</v>
      </c>
      <c r="C11" s="144">
        <v>20096</v>
      </c>
      <c r="D11" s="38">
        <f>IF((C11-C10)&lt;0,"0",(C11-C10))*160</f>
        <v>640</v>
      </c>
      <c r="E11" s="145">
        <v>33418263</v>
      </c>
      <c r="F11" s="38">
        <f t="shared" si="5"/>
        <v>25242</v>
      </c>
      <c r="G11" s="146">
        <v>5190716</v>
      </c>
      <c r="H11" s="38">
        <f t="shared" si="6"/>
        <v>60675</v>
      </c>
      <c r="I11" s="147">
        <f t="shared" si="7"/>
        <v>85917</v>
      </c>
      <c r="J11" s="145">
        <v>474979</v>
      </c>
      <c r="K11" s="38">
        <f t="shared" si="15"/>
        <v>11308</v>
      </c>
      <c r="L11" s="148">
        <v>762117</v>
      </c>
      <c r="M11" s="38">
        <f t="shared" si="8"/>
        <v>6781</v>
      </c>
      <c r="N11" s="145">
        <v>7463758</v>
      </c>
      <c r="O11" s="38">
        <f t="shared" si="16"/>
        <v>18218</v>
      </c>
      <c r="P11" s="148">
        <v>8037246</v>
      </c>
      <c r="Q11" s="38">
        <f t="shared" si="9"/>
        <v>14621</v>
      </c>
      <c r="R11" s="145">
        <v>22319132</v>
      </c>
      <c r="S11" s="38">
        <f t="shared" si="10"/>
        <v>12903</v>
      </c>
      <c r="T11" s="145">
        <v>0</v>
      </c>
      <c r="U11" s="149"/>
      <c r="V11" s="145">
        <v>346637</v>
      </c>
      <c r="W11" s="38">
        <f t="shared" si="11"/>
        <v>12971</v>
      </c>
      <c r="X11" s="19">
        <f t="shared" si="12"/>
        <v>76802</v>
      </c>
      <c r="Y11" s="165">
        <f t="shared" si="13"/>
        <v>9115</v>
      </c>
      <c r="Z11" s="3">
        <f t="shared" si="14"/>
        <v>11034.0494368</v>
      </c>
      <c r="AA11" s="3">
        <f>SUM(Z1:Z11)</f>
        <v>93130.199968000001</v>
      </c>
    </row>
    <row r="12" spans="1:27" ht="16.5" thickBot="1" x14ac:dyDescent="0.3">
      <c r="A12" s="9">
        <v>44814</v>
      </c>
      <c r="B12" s="38">
        <v>222</v>
      </c>
      <c r="C12" s="144">
        <v>20101</v>
      </c>
      <c r="D12" s="38">
        <f>IF((C12-C11)&lt;0,"0",(C12-C11))*160</f>
        <v>800</v>
      </c>
      <c r="E12" s="145">
        <v>33437229</v>
      </c>
      <c r="F12" s="38">
        <f t="shared" si="5"/>
        <v>18966</v>
      </c>
      <c r="G12" s="146">
        <v>5236652</v>
      </c>
      <c r="H12" s="38">
        <f t="shared" si="6"/>
        <v>45936</v>
      </c>
      <c r="I12" s="147">
        <f t="shared" si="7"/>
        <v>64902</v>
      </c>
      <c r="J12" s="145">
        <v>479246</v>
      </c>
      <c r="K12" s="38">
        <f t="shared" si="15"/>
        <v>8534</v>
      </c>
      <c r="L12" s="148">
        <v>767426</v>
      </c>
      <c r="M12" s="38">
        <f t="shared" si="8"/>
        <v>5309</v>
      </c>
      <c r="N12" s="145">
        <v>7470503</v>
      </c>
      <c r="O12" s="38">
        <f t="shared" si="16"/>
        <v>13490</v>
      </c>
      <c r="P12" s="148">
        <v>8048008</v>
      </c>
      <c r="Q12" s="38">
        <f t="shared" si="9"/>
        <v>10762</v>
      </c>
      <c r="R12" s="145">
        <v>22328371</v>
      </c>
      <c r="S12" s="38">
        <f t="shared" si="10"/>
        <v>9239</v>
      </c>
      <c r="T12" s="145">
        <v>0</v>
      </c>
      <c r="U12" s="149"/>
      <c r="V12" s="145">
        <v>356576</v>
      </c>
      <c r="W12" s="38">
        <f t="shared" si="11"/>
        <v>9939</v>
      </c>
      <c r="X12" s="19">
        <f t="shared" si="12"/>
        <v>57273</v>
      </c>
      <c r="Y12" s="165">
        <f t="shared" si="13"/>
        <v>7629</v>
      </c>
      <c r="Z12" s="3">
        <f t="shared" si="14"/>
        <v>8165.7056415999996</v>
      </c>
      <c r="AA12" s="3">
        <f>SUM(Z1:Z12)</f>
        <v>101295.9056096</v>
      </c>
    </row>
    <row r="13" spans="1:27" ht="16.5" thickBot="1" x14ac:dyDescent="0.3">
      <c r="A13" s="9">
        <v>44815</v>
      </c>
      <c r="B13" s="38">
        <v>225</v>
      </c>
      <c r="C13" s="144">
        <v>20105</v>
      </c>
      <c r="D13" s="38">
        <f t="shared" ref="D13" si="17">IF((C13-C12)&lt;0,"0",(C13-C12))*160</f>
        <v>640</v>
      </c>
      <c r="E13" s="145">
        <v>33458489</v>
      </c>
      <c r="F13" s="38">
        <f t="shared" ref="F13" si="18">IF((E13-E12)&lt;0,"0",(E13-E12))</f>
        <v>21260</v>
      </c>
      <c r="G13" s="146">
        <v>5286808</v>
      </c>
      <c r="H13" s="38">
        <f t="shared" si="6"/>
        <v>50156</v>
      </c>
      <c r="I13" s="147">
        <f t="shared" ref="I13" si="19">F13+H13</f>
        <v>71416</v>
      </c>
      <c r="J13" s="145">
        <v>483976</v>
      </c>
      <c r="K13" s="38">
        <f t="shared" ref="K13" si="20">(IF((J13-J12)&lt;0,"0",(J13-J12)))*2</f>
        <v>9460</v>
      </c>
      <c r="L13" s="148">
        <v>773489</v>
      </c>
      <c r="M13" s="38">
        <f t="shared" ref="M13" si="21">IF((L13-L12)&lt;0,"0",(L13-L12))</f>
        <v>6063</v>
      </c>
      <c r="N13" s="145">
        <v>7478009</v>
      </c>
      <c r="O13" s="38">
        <f t="shared" ref="O13" si="22">(IF((N13-N12)&lt;0,"0",(N13-N12)))*2</f>
        <v>15012</v>
      </c>
      <c r="P13" s="148">
        <v>8059768</v>
      </c>
      <c r="Q13" s="38">
        <f t="shared" ref="Q13" si="23">IF((P13-P12)&lt;0,"0",(P13-P12))</f>
        <v>11760</v>
      </c>
      <c r="R13" s="145">
        <v>22339275</v>
      </c>
      <c r="S13" s="38">
        <f t="shared" ref="S13" si="24">IF((R13-R12)&lt;0,"0",(R13-R12))</f>
        <v>10904</v>
      </c>
      <c r="T13" s="145">
        <v>0</v>
      </c>
      <c r="U13" s="149"/>
      <c r="V13" s="145">
        <v>367738</v>
      </c>
      <c r="W13" s="38">
        <f t="shared" si="11"/>
        <v>11162</v>
      </c>
      <c r="X13" s="19">
        <f t="shared" ref="X13" si="25">K13+M13+O13+Q13+S13+U13+W13</f>
        <v>64361</v>
      </c>
      <c r="Y13" s="165">
        <f t="shared" si="13"/>
        <v>7055</v>
      </c>
      <c r="Z13" s="3">
        <f t="shared" ref="Z13" si="26">(0.93352*(W13+S13)+0.5568*(Q13+O13))*0.26</f>
        <v>9231.4824991999994</v>
      </c>
      <c r="AA13" s="3">
        <f>SUM(Z1:Z13)</f>
        <v>110527.38810879999</v>
      </c>
    </row>
    <row r="14" spans="1:27" ht="16.5" thickBot="1" x14ac:dyDescent="0.3">
      <c r="A14" s="9">
        <v>44816</v>
      </c>
      <c r="B14" s="38">
        <v>210</v>
      </c>
      <c r="C14" s="144">
        <v>20109</v>
      </c>
      <c r="D14" s="38">
        <f t="shared" si="4"/>
        <v>640</v>
      </c>
      <c r="E14" s="145">
        <v>33488156</v>
      </c>
      <c r="F14" s="38">
        <f t="shared" si="5"/>
        <v>29667</v>
      </c>
      <c r="G14" s="146">
        <v>5356386</v>
      </c>
      <c r="H14" s="38">
        <f t="shared" si="6"/>
        <v>69578</v>
      </c>
      <c r="I14" s="147">
        <f t="shared" si="7"/>
        <v>99245</v>
      </c>
      <c r="J14" s="145">
        <v>489756</v>
      </c>
      <c r="K14" s="38">
        <f t="shared" si="15"/>
        <v>11560</v>
      </c>
      <c r="L14" s="148">
        <v>782276</v>
      </c>
      <c r="M14" s="38">
        <f t="shared" si="8"/>
        <v>8787</v>
      </c>
      <c r="N14" s="145">
        <v>7488336</v>
      </c>
      <c r="O14" s="38">
        <f t="shared" si="16"/>
        <v>20654</v>
      </c>
      <c r="P14" s="148">
        <v>8076219</v>
      </c>
      <c r="Q14" s="38">
        <f t="shared" si="9"/>
        <v>16451</v>
      </c>
      <c r="R14" s="145">
        <v>22353649</v>
      </c>
      <c r="S14" s="38">
        <f>IF((R14-R13)&lt;0,"0",(R14-R13))</f>
        <v>14374</v>
      </c>
      <c r="T14" s="145">
        <v>0</v>
      </c>
      <c r="U14" s="149"/>
      <c r="V14" s="145">
        <v>383384</v>
      </c>
      <c r="W14" s="38">
        <f t="shared" si="11"/>
        <v>15646</v>
      </c>
      <c r="X14" s="19">
        <f t="shared" si="12"/>
        <v>87472</v>
      </c>
      <c r="Y14" s="165">
        <f t="shared" si="13"/>
        <v>11773</v>
      </c>
      <c r="Z14" s="3">
        <f t="shared" si="14"/>
        <v>12657.926944000001</v>
      </c>
      <c r="AA14" s="3">
        <f>SUM(Z1:Z14)</f>
        <v>123185.3150528</v>
      </c>
    </row>
    <row r="15" spans="1:27" ht="16.5" thickBot="1" x14ac:dyDescent="0.3">
      <c r="A15" s="9">
        <v>44817</v>
      </c>
      <c r="B15" s="38">
        <v>174</v>
      </c>
      <c r="C15" s="144">
        <v>20114</v>
      </c>
      <c r="D15" s="38">
        <f t="shared" si="4"/>
        <v>800</v>
      </c>
      <c r="E15" s="145">
        <v>33508412</v>
      </c>
      <c r="F15" s="38">
        <f t="shared" si="5"/>
        <v>20256</v>
      </c>
      <c r="G15" s="146">
        <v>5403620</v>
      </c>
      <c r="H15" s="38">
        <f t="shared" si="6"/>
        <v>47234</v>
      </c>
      <c r="I15" s="147">
        <f t="shared" si="7"/>
        <v>67490</v>
      </c>
      <c r="J15" s="145">
        <v>494246</v>
      </c>
      <c r="K15" s="38">
        <f t="shared" si="15"/>
        <v>8980</v>
      </c>
      <c r="L15" s="148">
        <v>788318</v>
      </c>
      <c r="M15" s="38">
        <f t="shared" si="8"/>
        <v>6042</v>
      </c>
      <c r="N15" s="145">
        <v>7495343</v>
      </c>
      <c r="O15" s="38">
        <f t="shared" si="16"/>
        <v>14014</v>
      </c>
      <c r="P15" s="148">
        <v>8087667</v>
      </c>
      <c r="Q15" s="38">
        <f t="shared" si="9"/>
        <v>11448</v>
      </c>
      <c r="R15" s="145">
        <v>22363385</v>
      </c>
      <c r="S15" s="38">
        <f>IF((R15-R14)&lt;0,"0",(R15-R14))</f>
        <v>9736</v>
      </c>
      <c r="T15" s="145">
        <v>0</v>
      </c>
      <c r="U15" s="149"/>
      <c r="V15" s="145">
        <v>393663</v>
      </c>
      <c r="W15" s="38">
        <f t="shared" si="11"/>
        <v>10279</v>
      </c>
      <c r="X15" s="19">
        <f t="shared" si="12"/>
        <v>60499</v>
      </c>
      <c r="Y15" s="165">
        <f t="shared" si="13"/>
        <v>6991</v>
      </c>
      <c r="Z15" s="3">
        <f t="shared" si="14"/>
        <v>8544.0275440000005</v>
      </c>
      <c r="AA15" s="3">
        <f>SUM(Z1:Z15)</f>
        <v>131729.34259680001</v>
      </c>
    </row>
    <row r="16" spans="1:27" ht="16.5" thickBot="1" x14ac:dyDescent="0.3">
      <c r="A16" s="9">
        <v>44818</v>
      </c>
      <c r="B16" s="38"/>
      <c r="C16" s="144"/>
      <c r="D16" s="38">
        <f t="shared" si="4"/>
        <v>0</v>
      </c>
      <c r="E16" s="145"/>
      <c r="F16" s="38" t="str">
        <f t="shared" si="5"/>
        <v>0</v>
      </c>
      <c r="G16" s="146"/>
      <c r="H16" s="38" t="str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 t="str">
        <f t="shared" si="8"/>
        <v>0</v>
      </c>
      <c r="N16" s="145"/>
      <c r="O16" s="38">
        <f t="shared" si="16"/>
        <v>0</v>
      </c>
      <c r="P16" s="148"/>
      <c r="Q16" s="38" t="str">
        <f t="shared" si="9"/>
        <v>0</v>
      </c>
      <c r="R16" s="145"/>
      <c r="S16" s="38" t="str">
        <f t="shared" si="10"/>
        <v>0</v>
      </c>
      <c r="T16" s="145">
        <v>0</v>
      </c>
      <c r="U16" s="149"/>
      <c r="V16" s="145"/>
      <c r="W16" s="38" t="str">
        <f t="shared" si="11"/>
        <v>0</v>
      </c>
      <c r="X16" s="19">
        <f t="shared" si="12"/>
        <v>0</v>
      </c>
      <c r="Y16" s="165">
        <f t="shared" si="13"/>
        <v>0</v>
      </c>
      <c r="Z16" s="3">
        <f t="shared" si="14"/>
        <v>0</v>
      </c>
      <c r="AA16" s="3">
        <f>SUM(Z1:Z16)</f>
        <v>131729.34259680001</v>
      </c>
    </row>
    <row r="17" spans="1:27" s="130" customFormat="1" ht="16.5" thickBot="1" x14ac:dyDescent="0.3">
      <c r="A17" s="9">
        <v>44819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0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1">
        <v>0</v>
      </c>
      <c r="U17" s="149"/>
      <c r="V17" s="145"/>
      <c r="W17" s="129">
        <f t="shared" si="11"/>
        <v>0</v>
      </c>
      <c r="X17" s="19">
        <f t="shared" si="12"/>
        <v>0</v>
      </c>
      <c r="Y17" s="151">
        <f t="shared" si="13"/>
        <v>0</v>
      </c>
      <c r="Z17" s="152">
        <f t="shared" si="14"/>
        <v>0</v>
      </c>
      <c r="AA17" s="3">
        <f>SUM(Z1:Z17)</f>
        <v>131729.34259680001</v>
      </c>
    </row>
    <row r="18" spans="1:27" s="130" customFormat="1" ht="16.5" thickBot="1" x14ac:dyDescent="0.3">
      <c r="A18" s="9">
        <v>44820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0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1">
        <v>0</v>
      </c>
      <c r="U18" s="149"/>
      <c r="V18" s="145"/>
      <c r="W18" s="129">
        <f t="shared" si="11"/>
        <v>0</v>
      </c>
      <c r="X18" s="19">
        <f t="shared" si="12"/>
        <v>0</v>
      </c>
      <c r="Y18" s="151">
        <f t="shared" si="13"/>
        <v>0</v>
      </c>
      <c r="Z18" s="152">
        <f t="shared" si="14"/>
        <v>0</v>
      </c>
      <c r="AA18" s="3">
        <f>SUM(Z1:Z18)</f>
        <v>131729.34259680001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1">
        <v>0</v>
      </c>
      <c r="U19" s="149"/>
      <c r="V19" s="145"/>
      <c r="W19" s="129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131729.34259680001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131729.34259680001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131729.34259680001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131729.34259680001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131729.34259680001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131729.34259680001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131729.34259680001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131729.34259680001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131729.34259680001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131729.34259680001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131729.34259680001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131729.34259680001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131729.34259680001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131729.34259680001</v>
      </c>
    </row>
    <row r="33" spans="1:27" ht="16.5" thickBot="1" x14ac:dyDescent="0.3">
      <c r="A33" s="136" t="s">
        <v>23</v>
      </c>
      <c r="B33" s="136">
        <f>SUM(B2:B32)</f>
        <v>3210</v>
      </c>
      <c r="C33" s="136">
        <v>0</v>
      </c>
      <c r="D33" s="136">
        <f>SUM(D2:D32)</f>
        <v>8640</v>
      </c>
      <c r="E33" s="55">
        <v>0</v>
      </c>
      <c r="F33" s="136">
        <f>SUM(F2:F32)</f>
        <v>307270</v>
      </c>
      <c r="G33" s="55">
        <v>0</v>
      </c>
      <c r="H33" s="136">
        <f>SUM(H2:H32)</f>
        <v>731708</v>
      </c>
      <c r="I33" s="136">
        <f t="shared" ref="I33" si="38">F33+H33</f>
        <v>1038978</v>
      </c>
      <c r="J33" s="55">
        <v>0</v>
      </c>
      <c r="K33" s="136">
        <f>SUM(K2:K32)</f>
        <v>142816</v>
      </c>
      <c r="L33" s="55">
        <v>0</v>
      </c>
      <c r="M33" s="136">
        <f>SUM(M2:M32)</f>
        <v>86409</v>
      </c>
      <c r="N33" s="55">
        <v>0</v>
      </c>
      <c r="O33" s="136">
        <f>SUM(O2:O32)</f>
        <v>218226</v>
      </c>
      <c r="P33" s="55">
        <v>0</v>
      </c>
      <c r="Q33" s="136">
        <f>SUM(Q2:Q32)</f>
        <v>176899</v>
      </c>
      <c r="R33" s="55">
        <v>0</v>
      </c>
      <c r="S33" s="136">
        <f>SUM(S2:S32)</f>
        <v>149927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157132</v>
      </c>
      <c r="X33" s="136">
        <f>SUM(X2:X32)</f>
        <v>931409</v>
      </c>
      <c r="Y33" s="136">
        <f>SUM(Y1:Y32)</f>
        <v>107569</v>
      </c>
      <c r="Z33" s="136">
        <f>SUM(Z1:Z32)</f>
        <v>131729.34259680001</v>
      </c>
      <c r="AA33" s="136">
        <f>SUM(AA2:AA32)</f>
        <v>3167069.6834400008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>
        <v>460427</v>
      </c>
      <c r="C8" s="38">
        <f t="shared" si="2"/>
        <v>1150</v>
      </c>
      <c r="D8" s="3">
        <v>13258</v>
      </c>
      <c r="E8" s="38">
        <f t="shared" si="2"/>
        <v>450</v>
      </c>
      <c r="F8" s="3">
        <v>11354600</v>
      </c>
      <c r="G8" s="38">
        <f t="shared" si="5"/>
        <v>675</v>
      </c>
      <c r="H8" s="3">
        <v>809192</v>
      </c>
      <c r="I8" s="43">
        <f t="shared" si="6"/>
        <v>4.2389999999999999</v>
      </c>
      <c r="J8" s="19">
        <f t="shared" si="3"/>
        <v>2279.239</v>
      </c>
      <c r="K8" s="20">
        <f t="shared" si="4"/>
        <v>13356.340540000001</v>
      </c>
    </row>
    <row r="9" spans="1:14" ht="16.5" thickBot="1" x14ac:dyDescent="0.3">
      <c r="A9" s="9">
        <v>44811</v>
      </c>
      <c r="B9" s="3">
        <v>460519</v>
      </c>
      <c r="C9" s="38">
        <f t="shared" ref="C9:C32" si="7">(IF((B9-B8)&lt;0,"0",(B9-B8)))*10</f>
        <v>920</v>
      </c>
      <c r="D9" s="3">
        <v>13296</v>
      </c>
      <c r="E9" s="38">
        <f t="shared" si="2"/>
        <v>380</v>
      </c>
      <c r="F9" s="3">
        <v>11378600</v>
      </c>
      <c r="G9" s="38">
        <f t="shared" si="5"/>
        <v>648</v>
      </c>
      <c r="H9" s="3">
        <v>809351</v>
      </c>
      <c r="I9" s="43">
        <f t="shared" si="6"/>
        <v>4.2930000000000001</v>
      </c>
      <c r="J9" s="19">
        <f t="shared" si="3"/>
        <v>1952.2929999999999</v>
      </c>
      <c r="K9" s="20">
        <f t="shared" si="4"/>
        <v>11440.43698</v>
      </c>
    </row>
    <row r="10" spans="1:14" ht="16.5" thickBot="1" x14ac:dyDescent="0.3">
      <c r="A10" s="9">
        <v>44812</v>
      </c>
      <c r="B10" s="3">
        <v>460615</v>
      </c>
      <c r="C10" s="38">
        <f>(IF((B10-B9)&lt;0,"0",(B10-B9)))*10</f>
        <v>960</v>
      </c>
      <c r="D10" s="3">
        <v>13339</v>
      </c>
      <c r="E10" s="38">
        <f t="shared" si="2"/>
        <v>430</v>
      </c>
      <c r="F10" s="3">
        <v>11399200</v>
      </c>
      <c r="G10" s="38">
        <f t="shared" si="5"/>
        <v>556.20000000000005</v>
      </c>
      <c r="H10" s="3">
        <v>809518</v>
      </c>
      <c r="I10" s="43">
        <f t="shared" si="6"/>
        <v>4.5090000000000003</v>
      </c>
      <c r="J10" s="19">
        <f t="shared" si="3"/>
        <v>1950.7090000000001</v>
      </c>
      <c r="K10" s="20">
        <f t="shared" si="4"/>
        <v>11431.154740000002</v>
      </c>
    </row>
    <row r="11" spans="1:14" ht="16.5" thickBot="1" x14ac:dyDescent="0.3">
      <c r="A11" s="9">
        <v>44813</v>
      </c>
      <c r="B11" s="3">
        <v>460711</v>
      </c>
      <c r="C11" s="38">
        <f t="shared" si="7"/>
        <v>960</v>
      </c>
      <c r="D11" s="3">
        <v>13379</v>
      </c>
      <c r="E11" s="38">
        <f t="shared" si="2"/>
        <v>400</v>
      </c>
      <c r="F11" s="3">
        <v>11420400</v>
      </c>
      <c r="G11" s="38">
        <f t="shared" si="5"/>
        <v>572.4</v>
      </c>
      <c r="H11" s="3">
        <v>809710</v>
      </c>
      <c r="I11" s="43">
        <f t="shared" si="6"/>
        <v>5.1840000000000002</v>
      </c>
      <c r="J11" s="19">
        <f t="shared" si="3"/>
        <v>1937.5840000000001</v>
      </c>
      <c r="K11" s="20">
        <f t="shared" si="4"/>
        <v>11354.242240000001</v>
      </c>
      <c r="N11" t="s">
        <v>12</v>
      </c>
    </row>
    <row r="12" spans="1:14" ht="16.5" thickBot="1" x14ac:dyDescent="0.3">
      <c r="A12" s="9">
        <v>44814</v>
      </c>
      <c r="B12" s="3">
        <v>460804</v>
      </c>
      <c r="C12" s="38">
        <f t="shared" si="7"/>
        <v>930</v>
      </c>
      <c r="D12" s="3">
        <v>13421</v>
      </c>
      <c r="E12" s="38">
        <f t="shared" si="2"/>
        <v>420</v>
      </c>
      <c r="F12" s="3">
        <v>11441400</v>
      </c>
      <c r="G12" s="38">
        <f t="shared" si="5"/>
        <v>567</v>
      </c>
      <c r="H12" s="3">
        <v>809900</v>
      </c>
      <c r="I12" s="43">
        <f t="shared" si="6"/>
        <v>5.13</v>
      </c>
      <c r="J12" s="19">
        <f t="shared" si="3"/>
        <v>1922.13</v>
      </c>
      <c r="K12" s="20">
        <f t="shared" si="4"/>
        <v>11263.681800000002</v>
      </c>
    </row>
    <row r="13" spans="1:14" ht="16.5" thickBot="1" x14ac:dyDescent="0.3">
      <c r="A13" s="9">
        <v>44815</v>
      </c>
      <c r="B13" s="3">
        <v>460901</v>
      </c>
      <c r="C13" s="38">
        <f t="shared" si="7"/>
        <v>970</v>
      </c>
      <c r="D13" s="3">
        <v>13459</v>
      </c>
      <c r="E13" s="38">
        <f t="shared" si="2"/>
        <v>380</v>
      </c>
      <c r="F13" s="3">
        <v>11463000</v>
      </c>
      <c r="G13" s="38">
        <f t="shared" si="5"/>
        <v>583.20000000000005</v>
      </c>
      <c r="H13" s="3">
        <v>810073</v>
      </c>
      <c r="I13" s="43">
        <f t="shared" si="6"/>
        <v>4.6710000000000003</v>
      </c>
      <c r="J13" s="19">
        <f t="shared" si="3"/>
        <v>1937.8710000000001</v>
      </c>
      <c r="K13" s="20">
        <f t="shared" si="4"/>
        <v>11355.924060000001</v>
      </c>
    </row>
    <row r="14" spans="1:14" ht="16.5" thickBot="1" x14ac:dyDescent="0.3">
      <c r="A14" s="9">
        <v>44816</v>
      </c>
      <c r="B14" s="3">
        <v>460999</v>
      </c>
      <c r="C14" s="38">
        <f t="shared" si="7"/>
        <v>980</v>
      </c>
      <c r="D14" s="3">
        <v>13492</v>
      </c>
      <c r="E14" s="38">
        <f t="shared" si="2"/>
        <v>330</v>
      </c>
      <c r="F14" s="3">
        <v>11484200</v>
      </c>
      <c r="G14" s="38">
        <f t="shared" si="5"/>
        <v>572.4</v>
      </c>
      <c r="H14" s="3">
        <v>810246</v>
      </c>
      <c r="I14" s="43">
        <f t="shared" si="6"/>
        <v>4.6710000000000003</v>
      </c>
      <c r="J14" s="19">
        <f t="shared" si="3"/>
        <v>1887.0710000000001</v>
      </c>
      <c r="K14" s="20">
        <f t="shared" si="4"/>
        <v>11058.236060000001</v>
      </c>
    </row>
    <row r="15" spans="1:14" ht="16.5" thickBot="1" x14ac:dyDescent="0.3">
      <c r="A15" s="9">
        <v>44817</v>
      </c>
      <c r="B15" s="3">
        <v>461077</v>
      </c>
      <c r="C15" s="38">
        <f t="shared" si="7"/>
        <v>780</v>
      </c>
      <c r="D15" s="3">
        <v>13526</v>
      </c>
      <c r="E15" s="38">
        <f t="shared" si="2"/>
        <v>340</v>
      </c>
      <c r="F15" s="3">
        <v>11506000</v>
      </c>
      <c r="G15" s="38">
        <f t="shared" si="5"/>
        <v>588.6</v>
      </c>
      <c r="H15" s="3">
        <v>810405</v>
      </c>
      <c r="I15" s="43">
        <f t="shared" si="6"/>
        <v>4.2930000000000001</v>
      </c>
      <c r="J15" s="19">
        <f t="shared" si="3"/>
        <v>1712.8929999999998</v>
      </c>
      <c r="K15" s="20">
        <f t="shared" si="4"/>
        <v>10037.552979999999</v>
      </c>
    </row>
    <row r="16" spans="1:14" ht="16.5" thickBot="1" x14ac:dyDescent="0.3">
      <c r="A16" s="9">
        <v>44818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44819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2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12820</v>
      </c>
      <c r="D33" s="55"/>
      <c r="E33" s="55">
        <f>SUM(E2:E32)</f>
        <v>5350</v>
      </c>
      <c r="F33" s="55"/>
      <c r="G33" s="55">
        <f>SUM(G2:G32)</f>
        <v>7654.4999999999991</v>
      </c>
      <c r="H33" s="55"/>
      <c r="I33" s="55">
        <f>SUM(I2:I32)</f>
        <v>57.725999999999999</v>
      </c>
      <c r="J33" s="55">
        <v>0</v>
      </c>
      <c r="K33" s="55">
        <f>SUM(K3:K32)</f>
        <v>151669.84436000005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15" sqref="A15:XFD1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18488496</v>
      </c>
      <c r="C7" s="44">
        <f t="shared" si="0"/>
        <v>2172</v>
      </c>
    </row>
    <row r="8" spans="1:9" ht="24" thickBot="1" x14ac:dyDescent="0.4">
      <c r="A8" s="9">
        <v>44810</v>
      </c>
      <c r="B8" s="132">
        <v>18490268</v>
      </c>
      <c r="C8" s="44">
        <f t="shared" si="0"/>
        <v>1772</v>
      </c>
    </row>
    <row r="9" spans="1:9" ht="24" thickBot="1" x14ac:dyDescent="0.4">
      <c r="A9" s="9">
        <v>44811</v>
      </c>
      <c r="B9" s="132">
        <v>18492216</v>
      </c>
      <c r="C9" s="44">
        <f t="shared" si="0"/>
        <v>1948</v>
      </c>
    </row>
    <row r="10" spans="1:9" ht="24" thickBot="1" x14ac:dyDescent="0.4">
      <c r="A10" s="9">
        <v>44812</v>
      </c>
      <c r="B10" s="132">
        <v>18494614</v>
      </c>
      <c r="C10" s="44">
        <f t="shared" si="0"/>
        <v>2398</v>
      </c>
    </row>
    <row r="11" spans="1:9" ht="24" thickBot="1" x14ac:dyDescent="0.4">
      <c r="A11" s="9">
        <v>44813</v>
      </c>
      <c r="B11" s="132">
        <v>18496874</v>
      </c>
      <c r="C11" s="44">
        <f t="shared" si="0"/>
        <v>2260</v>
      </c>
    </row>
    <row r="12" spans="1:9" ht="24" thickBot="1" x14ac:dyDescent="0.4">
      <c r="A12" s="9">
        <v>44814</v>
      </c>
      <c r="B12" s="132">
        <v>18498916</v>
      </c>
      <c r="C12" s="44">
        <f t="shared" si="0"/>
        <v>2042</v>
      </c>
    </row>
    <row r="13" spans="1:9" ht="24" thickBot="1" x14ac:dyDescent="0.4">
      <c r="A13" s="9">
        <v>44815</v>
      </c>
      <c r="B13" s="132">
        <v>18501185</v>
      </c>
      <c r="C13" s="44">
        <f t="shared" si="0"/>
        <v>2269</v>
      </c>
    </row>
    <row r="14" spans="1:9" ht="24" thickBot="1" x14ac:dyDescent="0.4">
      <c r="A14" s="9">
        <v>44816</v>
      </c>
      <c r="B14" s="132">
        <v>18502984</v>
      </c>
      <c r="C14" s="44">
        <f t="shared" si="0"/>
        <v>1799</v>
      </c>
    </row>
    <row r="15" spans="1:9" ht="24" thickBot="1" x14ac:dyDescent="0.4">
      <c r="A15" s="9">
        <v>44817</v>
      </c>
      <c r="B15" s="132">
        <v>18503634</v>
      </c>
      <c r="C15" s="44">
        <f t="shared" si="0"/>
        <v>650</v>
      </c>
      <c r="I15" t="s">
        <v>12</v>
      </c>
    </row>
    <row r="16" spans="1:9" ht="26.25" customHeight="1" thickBot="1" x14ac:dyDescent="0.4">
      <c r="A16" s="9">
        <v>44818</v>
      </c>
      <c r="B16" s="132">
        <f t="shared" ref="B15:B32" si="1">B15</f>
        <v>18503634</v>
      </c>
      <c r="C16" s="44">
        <f t="shared" si="0"/>
        <v>0</v>
      </c>
      <c r="F16" s="153"/>
    </row>
    <row r="17" spans="1:9" ht="25.5" customHeight="1" thickBot="1" x14ac:dyDescent="0.4">
      <c r="A17" s="9">
        <v>44819</v>
      </c>
      <c r="B17" s="132">
        <f t="shared" si="1"/>
        <v>18503634</v>
      </c>
      <c r="C17" s="44">
        <f t="shared" si="0"/>
        <v>0</v>
      </c>
    </row>
    <row r="18" spans="1:9" ht="24" thickBot="1" x14ac:dyDescent="0.4">
      <c r="A18" s="9">
        <v>44820</v>
      </c>
      <c r="B18" s="132">
        <f t="shared" si="1"/>
        <v>18503634</v>
      </c>
      <c r="C18" s="44">
        <f t="shared" si="0"/>
        <v>0</v>
      </c>
      <c r="I18" s="34"/>
    </row>
    <row r="19" spans="1:9" ht="24" thickBot="1" x14ac:dyDescent="0.4">
      <c r="A19" s="9">
        <v>44821</v>
      </c>
      <c r="B19" s="132">
        <f t="shared" si="1"/>
        <v>18503634</v>
      </c>
      <c r="C19" s="44">
        <f t="shared" si="0"/>
        <v>0</v>
      </c>
    </row>
    <row r="20" spans="1:9" ht="24" thickBot="1" x14ac:dyDescent="0.4">
      <c r="A20" s="9">
        <v>44822</v>
      </c>
      <c r="B20" s="132">
        <f t="shared" si="1"/>
        <v>18503634</v>
      </c>
      <c r="C20" s="44">
        <f t="shared" si="0"/>
        <v>0</v>
      </c>
    </row>
    <row r="21" spans="1:9" ht="24" thickBot="1" x14ac:dyDescent="0.4">
      <c r="A21" s="9">
        <v>44823</v>
      </c>
      <c r="B21" s="132">
        <f t="shared" si="1"/>
        <v>18503634</v>
      </c>
      <c r="C21" s="44">
        <f t="shared" si="0"/>
        <v>0</v>
      </c>
    </row>
    <row r="22" spans="1:9" ht="24" thickBot="1" x14ac:dyDescent="0.4">
      <c r="A22" s="9">
        <v>44824</v>
      </c>
      <c r="B22" s="132">
        <f t="shared" si="1"/>
        <v>18503634</v>
      </c>
      <c r="C22" s="44">
        <f t="shared" si="0"/>
        <v>0</v>
      </c>
    </row>
    <row r="23" spans="1:9" ht="24" thickBot="1" x14ac:dyDescent="0.4">
      <c r="A23" s="9">
        <v>44825</v>
      </c>
      <c r="B23" s="132">
        <f t="shared" si="1"/>
        <v>18503634</v>
      </c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>
        <f t="shared" si="1"/>
        <v>18503634</v>
      </c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>
        <f t="shared" si="1"/>
        <v>18503634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18503634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18503634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18503634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18503634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18503634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18503634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18503634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24807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v>24814.813999999998</v>
      </c>
      <c r="C8" s="43">
        <f t="shared" si="21"/>
        <v>12.288999999997031</v>
      </c>
      <c r="D8" s="28">
        <f t="shared" si="22"/>
        <v>23349.09999999436</v>
      </c>
      <c r="E8" s="1">
        <v>4511.5349999999999</v>
      </c>
      <c r="F8" s="43">
        <f t="shared" si="23"/>
        <v>3.6390000000001237</v>
      </c>
      <c r="G8" s="28">
        <f t="shared" si="24"/>
        <v>6914.100000000235</v>
      </c>
      <c r="H8" s="1">
        <v>6041</v>
      </c>
      <c r="I8" s="43">
        <f t="shared" si="25"/>
        <v>9</v>
      </c>
      <c r="J8" s="28">
        <f t="shared" si="26"/>
        <v>17099.999999999996</v>
      </c>
      <c r="K8" s="7">
        <v>14213.03</v>
      </c>
      <c r="L8" s="43">
        <f t="shared" si="27"/>
        <v>2.2300000000013824</v>
      </c>
      <c r="M8" s="28">
        <f t="shared" si="28"/>
        <v>4237.0000000026266</v>
      </c>
      <c r="N8" s="7">
        <v>3735.4050000000002</v>
      </c>
      <c r="O8" s="43">
        <f t="shared" si="29"/>
        <v>2.2260000000001128</v>
      </c>
      <c r="P8" s="28">
        <f t="shared" si="30"/>
        <v>4229.4000000002143</v>
      </c>
      <c r="Q8" s="7">
        <v>5518.17</v>
      </c>
      <c r="R8" s="43">
        <f t="shared" si="31"/>
        <v>2.3500000000003638</v>
      </c>
      <c r="S8" s="28">
        <f t="shared" si="32"/>
        <v>4465.0000000006912</v>
      </c>
      <c r="T8" s="8">
        <f t="shared" si="35"/>
        <v>31.733999999999014</v>
      </c>
      <c r="U8" s="30">
        <f t="shared" si="33"/>
        <v>60294.599999998129</v>
      </c>
      <c r="W8" s="154">
        <v>44810</v>
      </c>
      <c r="X8" s="155">
        <v>205819</v>
      </c>
      <c r="Y8" s="160">
        <f t="shared" si="20"/>
        <v>321</v>
      </c>
      <c r="Z8" s="155">
        <v>9937</v>
      </c>
      <c r="AA8" s="160">
        <f t="shared" si="20"/>
        <v>18</v>
      </c>
      <c r="AB8" s="155">
        <f t="shared" si="34"/>
        <v>33.799999999999997</v>
      </c>
      <c r="AC8" s="160">
        <f t="shared" si="20"/>
        <v>0</v>
      </c>
      <c r="AD8" s="155">
        <v>674</v>
      </c>
      <c r="AE8" s="160">
        <f t="shared" si="20"/>
        <v>3</v>
      </c>
      <c r="AF8" s="155">
        <v>8932</v>
      </c>
      <c r="AG8" s="160">
        <f t="shared" si="20"/>
        <v>12</v>
      </c>
    </row>
    <row r="9" spans="1:33" ht="16.5" thickBot="1" x14ac:dyDescent="0.25">
      <c r="A9" s="9">
        <v>44811</v>
      </c>
      <c r="B9" s="157">
        <v>24828.165000000001</v>
      </c>
      <c r="C9" s="43">
        <f t="shared" si="21"/>
        <v>13.351000000002387</v>
      </c>
      <c r="D9" s="28">
        <f t="shared" si="22"/>
        <v>25366.900000004534</v>
      </c>
      <c r="E9" s="1">
        <v>4515.5510000000004</v>
      </c>
      <c r="F9" s="43">
        <f t="shared" si="23"/>
        <v>4.0160000000005311</v>
      </c>
      <c r="G9" s="28">
        <f t="shared" si="24"/>
        <v>7630.4000000010092</v>
      </c>
      <c r="H9" s="1">
        <v>6050</v>
      </c>
      <c r="I9" s="43">
        <f t="shared" si="25"/>
        <v>9</v>
      </c>
      <c r="J9" s="28">
        <f t="shared" si="26"/>
        <v>17099.999999999996</v>
      </c>
      <c r="K9" s="7">
        <v>14215.56</v>
      </c>
      <c r="L9" s="43">
        <f t="shared" si="27"/>
        <v>2.5299999999988358</v>
      </c>
      <c r="M9" s="28">
        <f t="shared" si="28"/>
        <v>4806.9999999977881</v>
      </c>
      <c r="N9" s="7">
        <v>3737.5050000000001</v>
      </c>
      <c r="O9" s="43">
        <f t="shared" si="29"/>
        <v>2.0999999999999091</v>
      </c>
      <c r="P9" s="28">
        <f t="shared" si="30"/>
        <v>3989.9999999998272</v>
      </c>
      <c r="Q9" s="7">
        <v>5521.08</v>
      </c>
      <c r="R9" s="43">
        <f t="shared" si="31"/>
        <v>2.9099999999998545</v>
      </c>
      <c r="S9" s="28">
        <f t="shared" si="32"/>
        <v>5528.9999999997235</v>
      </c>
      <c r="T9" s="8">
        <f t="shared" si="35"/>
        <v>33.907000000001517</v>
      </c>
      <c r="U9" s="30">
        <f t="shared" si="33"/>
        <v>64423.300000002884</v>
      </c>
      <c r="W9" s="154">
        <v>44811</v>
      </c>
      <c r="X9" s="155">
        <v>206127</v>
      </c>
      <c r="Y9" s="160">
        <f t="shared" si="20"/>
        <v>308</v>
      </c>
      <c r="Z9" s="155">
        <v>9950</v>
      </c>
      <c r="AA9" s="160">
        <f t="shared" si="20"/>
        <v>13</v>
      </c>
      <c r="AB9" s="155">
        <v>34.6</v>
      </c>
      <c r="AC9" s="160">
        <f t="shared" si="20"/>
        <v>0.80000000000000426</v>
      </c>
      <c r="AD9" s="155">
        <v>674</v>
      </c>
      <c r="AE9" s="160">
        <f t="shared" si="20"/>
        <v>0</v>
      </c>
      <c r="AF9" s="155">
        <v>8944</v>
      </c>
      <c r="AG9" s="160">
        <f t="shared" si="20"/>
        <v>12</v>
      </c>
    </row>
    <row r="10" spans="1:33" ht="16.5" thickBot="1" x14ac:dyDescent="0.25">
      <c r="A10" s="9">
        <v>44812</v>
      </c>
      <c r="B10" s="157">
        <v>24840.7</v>
      </c>
      <c r="C10" s="43">
        <f t="shared" si="21"/>
        <v>12.534999999999854</v>
      </c>
      <c r="D10" s="28">
        <f t="shared" si="22"/>
        <v>23816.49999999972</v>
      </c>
      <c r="E10" s="1">
        <v>4518.7960000000003</v>
      </c>
      <c r="F10" s="43">
        <f t="shared" si="23"/>
        <v>3.2449999999998909</v>
      </c>
      <c r="G10" s="28">
        <f t="shared" si="24"/>
        <v>6165.4999999997917</v>
      </c>
      <c r="H10" s="1">
        <v>6059</v>
      </c>
      <c r="I10" s="43">
        <f t="shared" si="25"/>
        <v>9</v>
      </c>
      <c r="J10" s="28">
        <f t="shared" si="26"/>
        <v>17099.999999999996</v>
      </c>
      <c r="K10" s="7">
        <v>14217.81</v>
      </c>
      <c r="L10" s="43">
        <f t="shared" si="27"/>
        <v>2.25</v>
      </c>
      <c r="M10" s="28">
        <f t="shared" si="28"/>
        <v>4274.9999999999991</v>
      </c>
      <c r="N10" s="7">
        <v>3739.2489999999998</v>
      </c>
      <c r="O10" s="43">
        <f>IF((N10-N9)&lt;0,"0",(N10-N9))</f>
        <v>1.7439999999996871</v>
      </c>
      <c r="P10" s="28">
        <f t="shared" si="30"/>
        <v>3313.5999999994056</v>
      </c>
      <c r="Q10" s="7">
        <v>5523.79</v>
      </c>
      <c r="R10" s="43">
        <f t="shared" si="31"/>
        <v>2.7100000000000364</v>
      </c>
      <c r="S10" s="28">
        <f t="shared" si="32"/>
        <v>5149.0000000000691</v>
      </c>
      <c r="T10" s="8">
        <f t="shared" si="35"/>
        <v>31.483999999999469</v>
      </c>
      <c r="U10" s="30">
        <f t="shared" si="33"/>
        <v>59819.599999998987</v>
      </c>
      <c r="W10" s="154">
        <v>44812</v>
      </c>
      <c r="X10" s="155">
        <v>206468</v>
      </c>
      <c r="Y10" s="160">
        <f t="shared" si="20"/>
        <v>341</v>
      </c>
      <c r="Z10" s="155">
        <v>9955</v>
      </c>
      <c r="AA10" s="160">
        <f t="shared" si="20"/>
        <v>5</v>
      </c>
      <c r="AB10" s="155">
        <f t="shared" si="34"/>
        <v>34.6</v>
      </c>
      <c r="AC10" s="160">
        <f t="shared" si="20"/>
        <v>0</v>
      </c>
      <c r="AD10" s="155">
        <v>675</v>
      </c>
      <c r="AE10" s="160">
        <f t="shared" si="20"/>
        <v>1</v>
      </c>
      <c r="AF10" s="155">
        <v>8958</v>
      </c>
      <c r="AG10" s="160">
        <f t="shared" si="20"/>
        <v>14</v>
      </c>
    </row>
    <row r="11" spans="1:33" ht="16.5" thickBot="1" x14ac:dyDescent="0.25">
      <c r="A11" s="9">
        <v>44813</v>
      </c>
      <c r="B11" s="157">
        <v>24856.952000000001</v>
      </c>
      <c r="C11" s="43">
        <f t="shared" si="21"/>
        <v>16.252000000000407</v>
      </c>
      <c r="D11" s="28">
        <f t="shared" si="22"/>
        <v>30878.800000000774</v>
      </c>
      <c r="E11" s="1">
        <v>4520.8710000000001</v>
      </c>
      <c r="F11" s="43">
        <f t="shared" si="23"/>
        <v>2.0749999999998181</v>
      </c>
      <c r="G11" s="28">
        <f t="shared" si="24"/>
        <v>3942.4999999996544</v>
      </c>
      <c r="H11" s="1">
        <v>6069</v>
      </c>
      <c r="I11" s="43">
        <f t="shared" si="25"/>
        <v>10</v>
      </c>
      <c r="J11" s="28">
        <f t="shared" si="26"/>
        <v>19000</v>
      </c>
      <c r="K11" s="7">
        <v>14221.03</v>
      </c>
      <c r="L11" s="43">
        <f t="shared" si="27"/>
        <v>3.2200000000011642</v>
      </c>
      <c r="M11" s="28">
        <f t="shared" si="28"/>
        <v>6118.0000000022119</v>
      </c>
      <c r="N11" s="7">
        <v>3742.2640000000001</v>
      </c>
      <c r="O11" s="43">
        <f t="shared" si="29"/>
        <v>3.0150000000003274</v>
      </c>
      <c r="P11" s="28">
        <f t="shared" si="30"/>
        <v>5728.5000000006221</v>
      </c>
      <c r="Q11" s="7">
        <v>5524.9</v>
      </c>
      <c r="R11" s="43">
        <f t="shared" si="31"/>
        <v>1.1099999999996726</v>
      </c>
      <c r="S11" s="28">
        <f t="shared" si="32"/>
        <v>2108.9999999993779</v>
      </c>
      <c r="T11" s="8">
        <f t="shared" si="35"/>
        <v>35.67200000000139</v>
      </c>
      <c r="U11" s="30">
        <f t="shared" si="33"/>
        <v>67776.800000002637</v>
      </c>
      <c r="W11" s="154">
        <v>44813</v>
      </c>
      <c r="X11" s="155">
        <v>206887</v>
      </c>
      <c r="Y11" s="160">
        <f t="shared" si="20"/>
        <v>419</v>
      </c>
      <c r="Z11" s="155">
        <v>9962</v>
      </c>
      <c r="AA11" s="160">
        <f t="shared" si="20"/>
        <v>7</v>
      </c>
      <c r="AB11" s="155">
        <f t="shared" si="34"/>
        <v>34.6</v>
      </c>
      <c r="AC11" s="160">
        <f t="shared" si="20"/>
        <v>0</v>
      </c>
      <c r="AD11" s="155">
        <v>676</v>
      </c>
      <c r="AE11" s="160">
        <f t="shared" si="20"/>
        <v>1</v>
      </c>
      <c r="AF11" s="155">
        <v>8972</v>
      </c>
      <c r="AG11" s="160">
        <f t="shared" si="20"/>
        <v>14</v>
      </c>
    </row>
    <row r="12" spans="1:33" ht="16.5" thickBot="1" x14ac:dyDescent="0.25">
      <c r="A12" s="9">
        <v>44814</v>
      </c>
      <c r="B12" s="157">
        <v>24868.416000000001</v>
      </c>
      <c r="C12" s="43">
        <f t="shared" si="21"/>
        <v>11.463999999999942</v>
      </c>
      <c r="D12" s="28">
        <f t="shared" si="22"/>
        <v>21781.599999999886</v>
      </c>
      <c r="E12" s="1">
        <v>4522.79</v>
      </c>
      <c r="F12" s="43">
        <f t="shared" si="23"/>
        <v>1.918999999999869</v>
      </c>
      <c r="G12" s="28">
        <f t="shared" si="24"/>
        <v>3646.0999999997512</v>
      </c>
      <c r="H12" s="1">
        <v>6077</v>
      </c>
      <c r="I12" s="43">
        <f t="shared" si="25"/>
        <v>8</v>
      </c>
      <c r="J12" s="28">
        <f t="shared" si="26"/>
        <v>15200</v>
      </c>
      <c r="K12" s="7">
        <v>14222.94</v>
      </c>
      <c r="L12" s="43">
        <f t="shared" si="27"/>
        <v>1.9099999999998545</v>
      </c>
      <c r="M12" s="28">
        <f t="shared" si="28"/>
        <v>3628.9999999997235</v>
      </c>
      <c r="N12" s="7">
        <v>3743.8719999999998</v>
      </c>
      <c r="O12" s="43">
        <f t="shared" si="29"/>
        <v>1.6079999999997199</v>
      </c>
      <c r="P12" s="28">
        <f t="shared" si="30"/>
        <v>3055.1999999994678</v>
      </c>
      <c r="Q12" s="7">
        <v>5528</v>
      </c>
      <c r="R12" s="43">
        <f t="shared" si="31"/>
        <v>3.1000000000003638</v>
      </c>
      <c r="S12" s="28">
        <f t="shared" si="32"/>
        <v>5890.0000000006903</v>
      </c>
      <c r="T12" s="8">
        <f t="shared" si="35"/>
        <v>28.000999999999749</v>
      </c>
      <c r="U12" s="30">
        <f t="shared" si="33"/>
        <v>53201.899999999521</v>
      </c>
      <c r="W12" s="154">
        <v>44814</v>
      </c>
      <c r="X12" s="155">
        <v>207079</v>
      </c>
      <c r="Y12" s="160">
        <f t="shared" si="20"/>
        <v>192</v>
      </c>
      <c r="Z12" s="155">
        <v>9964</v>
      </c>
      <c r="AA12" s="160">
        <f t="shared" si="20"/>
        <v>2</v>
      </c>
      <c r="AB12" s="155">
        <f t="shared" si="34"/>
        <v>34.6</v>
      </c>
      <c r="AC12" s="160">
        <f t="shared" si="20"/>
        <v>0</v>
      </c>
      <c r="AD12" s="155">
        <v>677</v>
      </c>
      <c r="AE12" s="160">
        <f t="shared" si="20"/>
        <v>1</v>
      </c>
      <c r="AF12" s="155">
        <v>8979</v>
      </c>
      <c r="AG12" s="160">
        <f t="shared" si="20"/>
        <v>7</v>
      </c>
    </row>
    <row r="13" spans="1:33" ht="16.5" thickBot="1" x14ac:dyDescent="0.25">
      <c r="A13" s="9">
        <v>44815</v>
      </c>
      <c r="B13" s="157">
        <v>24877.288</v>
      </c>
      <c r="C13" s="43">
        <f t="shared" si="21"/>
        <v>8.8719999999993888</v>
      </c>
      <c r="D13" s="28">
        <f t="shared" si="22"/>
        <v>16856.799999998839</v>
      </c>
      <c r="E13" s="1">
        <v>4525</v>
      </c>
      <c r="F13" s="43">
        <f t="shared" si="23"/>
        <v>2.2100000000000364</v>
      </c>
      <c r="G13" s="28">
        <f t="shared" si="24"/>
        <v>4199.0000000000691</v>
      </c>
      <c r="H13" s="1">
        <v>6084</v>
      </c>
      <c r="I13" s="43">
        <f t="shared" si="25"/>
        <v>7</v>
      </c>
      <c r="J13" s="28">
        <f t="shared" si="26"/>
        <v>13299.999999999998</v>
      </c>
      <c r="K13" s="7">
        <v>14224.16</v>
      </c>
      <c r="L13" s="43">
        <f t="shared" si="27"/>
        <v>1.2199999999993452</v>
      </c>
      <c r="M13" s="28">
        <f t="shared" si="28"/>
        <v>2317.9999999987558</v>
      </c>
      <c r="N13" s="7">
        <v>3745.1680000000001</v>
      </c>
      <c r="O13" s="43">
        <f t="shared" si="29"/>
        <v>1.2960000000002765</v>
      </c>
      <c r="P13" s="28">
        <f t="shared" si="30"/>
        <v>2462.4000000005249</v>
      </c>
      <c r="Q13" s="7">
        <v>5531.23</v>
      </c>
      <c r="R13" s="43">
        <f t="shared" si="31"/>
        <v>3.2299999999995634</v>
      </c>
      <c r="S13" s="28">
        <f t="shared" si="32"/>
        <v>6136.9999999991696</v>
      </c>
      <c r="T13" s="8">
        <f t="shared" si="35"/>
        <v>23.82799999999861</v>
      </c>
      <c r="U13" s="30">
        <f t="shared" si="33"/>
        <v>45273.199999997363</v>
      </c>
      <c r="W13" s="154">
        <v>44815</v>
      </c>
      <c r="X13" s="155">
        <v>207389</v>
      </c>
      <c r="Y13" s="160">
        <f t="shared" si="20"/>
        <v>310</v>
      </c>
      <c r="Z13" s="155">
        <v>9969</v>
      </c>
      <c r="AA13" s="160">
        <f t="shared" si="20"/>
        <v>5</v>
      </c>
      <c r="AB13" s="155">
        <f t="shared" si="34"/>
        <v>34.6</v>
      </c>
      <c r="AC13" s="160">
        <f t="shared" si="20"/>
        <v>0</v>
      </c>
      <c r="AD13" s="155">
        <v>678</v>
      </c>
      <c r="AE13" s="160">
        <f t="shared" si="20"/>
        <v>1</v>
      </c>
      <c r="AF13" s="155">
        <v>8991</v>
      </c>
      <c r="AG13" s="160">
        <f t="shared" si="20"/>
        <v>12</v>
      </c>
    </row>
    <row r="14" spans="1:33" ht="16.5" thickBot="1" x14ac:dyDescent="0.25">
      <c r="A14" s="9">
        <v>44816</v>
      </c>
      <c r="B14" s="157">
        <v>24889.928</v>
      </c>
      <c r="C14" s="43">
        <f t="shared" si="21"/>
        <v>12.639999999999418</v>
      </c>
      <c r="D14" s="28">
        <f t="shared" si="22"/>
        <v>24015.999999998894</v>
      </c>
      <c r="E14" s="1">
        <v>4528.5290000000005</v>
      </c>
      <c r="F14" s="43">
        <f t="shared" si="23"/>
        <v>3.5290000000004511</v>
      </c>
      <c r="G14" s="28">
        <f t="shared" si="24"/>
        <v>6705.1000000008571</v>
      </c>
      <c r="H14" s="1">
        <v>6094</v>
      </c>
      <c r="I14" s="43">
        <f t="shared" si="25"/>
        <v>10</v>
      </c>
      <c r="J14" s="28">
        <f t="shared" si="26"/>
        <v>19000</v>
      </c>
      <c r="K14" s="7">
        <v>14224.635</v>
      </c>
      <c r="L14" s="43">
        <f t="shared" si="27"/>
        <v>0.4750000000003638</v>
      </c>
      <c r="M14" s="28">
        <f t="shared" si="28"/>
        <v>902.50000000069122</v>
      </c>
      <c r="N14" s="7">
        <v>3747.134</v>
      </c>
      <c r="O14" s="43">
        <f>IF((N14-N13)&lt;0,"0",(N14-N13))</f>
        <v>1.9659999999998945</v>
      </c>
      <c r="P14" s="28">
        <f t="shared" si="30"/>
        <v>3735.3999999997995</v>
      </c>
      <c r="Q14" s="7">
        <v>5532.73</v>
      </c>
      <c r="R14" s="43">
        <f t="shared" si="31"/>
        <v>1.5</v>
      </c>
      <c r="S14" s="28">
        <f t="shared" si="32"/>
        <v>2849.9999999999995</v>
      </c>
      <c r="T14" s="8">
        <f t="shared" si="35"/>
        <v>30.110000000000127</v>
      </c>
      <c r="U14" s="30">
        <f t="shared" si="33"/>
        <v>57209.00000000024</v>
      </c>
      <c r="W14" s="154">
        <v>44816</v>
      </c>
      <c r="X14" s="155">
        <v>207712</v>
      </c>
      <c r="Y14" s="160">
        <f t="shared" si="20"/>
        <v>323</v>
      </c>
      <c r="Z14" s="155">
        <v>9977</v>
      </c>
      <c r="AA14" s="160">
        <f t="shared" si="20"/>
        <v>8</v>
      </c>
      <c r="AB14" s="155">
        <f t="shared" si="34"/>
        <v>34.6</v>
      </c>
      <c r="AC14" s="160">
        <f t="shared" si="20"/>
        <v>0</v>
      </c>
      <c r="AD14" s="155">
        <v>679</v>
      </c>
      <c r="AE14" s="160">
        <f t="shared" si="20"/>
        <v>1</v>
      </c>
      <c r="AF14" s="155">
        <v>9008</v>
      </c>
      <c r="AG14" s="160">
        <f t="shared" si="20"/>
        <v>17</v>
      </c>
    </row>
    <row r="15" spans="1:33" ht="16.5" thickBot="1" x14ac:dyDescent="0.25">
      <c r="A15" s="9">
        <v>44817</v>
      </c>
      <c r="B15" s="157">
        <v>24902.235000000001</v>
      </c>
      <c r="C15" s="43">
        <f t="shared" ref="C15" si="36">IF((B15-B14)&lt;0,"0",(B15-B14))</f>
        <v>12.307000000000698</v>
      </c>
      <c r="D15" s="28">
        <f t="shared" ref="D15" si="37">C15*1.9*1000</f>
        <v>23383.300000001327</v>
      </c>
      <c r="E15" s="1">
        <v>4531.6909999999998</v>
      </c>
      <c r="F15" s="43">
        <f t="shared" ref="F15" si="38">IF((E15-E14)&lt;0,"0",(E15-E14))</f>
        <v>3.1619999999993524</v>
      </c>
      <c r="G15" s="28">
        <f t="shared" ref="G15" si="39">F15*1.9*1000</f>
        <v>6007.7999999987696</v>
      </c>
      <c r="H15" s="1">
        <v>6104</v>
      </c>
      <c r="I15" s="43">
        <f t="shared" ref="I15" si="40">IF((H15-H14)&lt;0,"0",(H15-H14))</f>
        <v>10</v>
      </c>
      <c r="J15" s="28">
        <f t="shared" ref="J15" si="41">I15*1.9*1000</f>
        <v>19000</v>
      </c>
      <c r="K15" s="7">
        <v>14228.27</v>
      </c>
      <c r="L15" s="43">
        <f t="shared" ref="L15" si="42">IF((K15-K14)&lt;0,"0",(K15-K14))</f>
        <v>3.6350000000002183</v>
      </c>
      <c r="M15" s="28">
        <f t="shared" ref="M15" si="43">L15*1.9*1000</f>
        <v>6906.5000000004138</v>
      </c>
      <c r="N15" s="7">
        <v>3748.9441000000002</v>
      </c>
      <c r="O15" s="43">
        <f>IF((N15-N14)&lt;0,"0",(N15-N14))</f>
        <v>1.8101000000001477</v>
      </c>
      <c r="P15" s="28">
        <f t="shared" ref="P15" si="44">O15*1.9*1000</f>
        <v>3439.1900000002806</v>
      </c>
      <c r="Q15" s="7">
        <v>5536.72</v>
      </c>
      <c r="R15" s="43">
        <f t="shared" ref="R15" si="45">IF((Q15-Q14)&lt;0,"0",(Q15-Q14))</f>
        <v>3.9900000000006912</v>
      </c>
      <c r="S15" s="28">
        <f t="shared" ref="S15" si="46">R15*1.9*1000</f>
        <v>7581.0000000013133</v>
      </c>
      <c r="T15" s="8">
        <f t="shared" ref="T15" si="47">C15+F15+I15+L15+O15+R15</f>
        <v>34.904100000001108</v>
      </c>
      <c r="U15" s="30">
        <f t="shared" ref="U15" si="48">T15*1.9*1000</f>
        <v>66317.790000002104</v>
      </c>
      <c r="W15" s="154">
        <v>44817</v>
      </c>
      <c r="X15" s="155">
        <v>208041</v>
      </c>
      <c r="Y15" s="160">
        <f t="shared" si="20"/>
        <v>329</v>
      </c>
      <c r="Z15" s="155">
        <v>9982</v>
      </c>
      <c r="AA15" s="160">
        <f t="shared" si="20"/>
        <v>5</v>
      </c>
      <c r="AB15" s="155">
        <v>35.6</v>
      </c>
      <c r="AC15" s="160">
        <f t="shared" si="20"/>
        <v>1</v>
      </c>
      <c r="AD15" s="155">
        <v>682</v>
      </c>
      <c r="AE15" s="160">
        <f t="shared" si="20"/>
        <v>3</v>
      </c>
      <c r="AF15" s="155">
        <v>9020</v>
      </c>
      <c r="AG15" s="160">
        <f t="shared" si="20"/>
        <v>12</v>
      </c>
    </row>
    <row r="16" spans="1:33" ht="16.5" thickBot="1" x14ac:dyDescent="0.25">
      <c r="A16" s="9">
        <v>44818</v>
      </c>
      <c r="B16" s="157">
        <f t="shared" ref="B15:B32" si="49">B15</f>
        <v>24902.235000000001</v>
      </c>
      <c r="C16" s="43">
        <f t="shared" si="21"/>
        <v>0</v>
      </c>
      <c r="D16" s="28">
        <f t="shared" si="22"/>
        <v>0</v>
      </c>
      <c r="E16" s="1">
        <f t="shared" ref="E15:E32" si="50">E15</f>
        <v>4531.6909999999998</v>
      </c>
      <c r="F16" s="43">
        <f t="shared" si="23"/>
        <v>0</v>
      </c>
      <c r="G16" s="28">
        <f t="shared" si="24"/>
        <v>0</v>
      </c>
      <c r="H16" s="1">
        <f t="shared" ref="H15:H32" si="51">H15</f>
        <v>6104</v>
      </c>
      <c r="I16" s="43">
        <f t="shared" si="25"/>
        <v>0</v>
      </c>
      <c r="J16" s="28">
        <f t="shared" si="26"/>
        <v>0</v>
      </c>
      <c r="K16" s="7">
        <f t="shared" ref="K15:K32" si="52">K15</f>
        <v>14228.27</v>
      </c>
      <c r="L16" s="43">
        <f t="shared" si="27"/>
        <v>0</v>
      </c>
      <c r="M16" s="28">
        <f t="shared" si="28"/>
        <v>0</v>
      </c>
      <c r="N16" s="7">
        <f t="shared" ref="N15:N32" si="53">N15</f>
        <v>3748.9441000000002</v>
      </c>
      <c r="O16" s="43">
        <f t="shared" si="29"/>
        <v>0</v>
      </c>
      <c r="P16" s="28">
        <f t="shared" si="30"/>
        <v>0</v>
      </c>
      <c r="Q16" s="7">
        <f t="shared" ref="Q15:Q32" si="54">Q15</f>
        <v>5536.72</v>
      </c>
      <c r="R16" s="43">
        <f t="shared" si="31"/>
        <v>0</v>
      </c>
      <c r="S16" s="28">
        <f t="shared" si="32"/>
        <v>0</v>
      </c>
      <c r="T16" s="8">
        <f t="shared" si="35"/>
        <v>0</v>
      </c>
      <c r="U16" s="30">
        <f t="shared" si="33"/>
        <v>0</v>
      </c>
      <c r="W16" s="154">
        <v>44818</v>
      </c>
      <c r="X16" s="155">
        <f t="shared" ref="X15:X32" si="55">X15</f>
        <v>208041</v>
      </c>
      <c r="Y16" s="160">
        <f t="shared" si="20"/>
        <v>0</v>
      </c>
      <c r="Z16" s="155">
        <f t="shared" ref="Z15:Z32" si="56">Z15</f>
        <v>9982</v>
      </c>
      <c r="AA16" s="160">
        <f t="shared" si="20"/>
        <v>0</v>
      </c>
      <c r="AB16" s="155">
        <f t="shared" si="34"/>
        <v>35.6</v>
      </c>
      <c r="AC16" s="160">
        <f t="shared" si="20"/>
        <v>0</v>
      </c>
      <c r="AD16" s="155">
        <f t="shared" ref="AD15:AD32" si="57">AD15</f>
        <v>682</v>
      </c>
      <c r="AE16" s="160">
        <f t="shared" si="20"/>
        <v>0</v>
      </c>
      <c r="AF16" s="155">
        <f t="shared" ref="AF15:AF32" si="58">AF15</f>
        <v>9020</v>
      </c>
      <c r="AG16" s="160">
        <f t="shared" si="20"/>
        <v>0</v>
      </c>
    </row>
    <row r="17" spans="1:33" ht="16.5" thickBot="1" x14ac:dyDescent="0.25">
      <c r="A17" s="9">
        <v>44819</v>
      </c>
      <c r="B17" s="157">
        <f t="shared" si="49"/>
        <v>24902.235000000001</v>
      </c>
      <c r="C17" s="43">
        <f t="shared" si="21"/>
        <v>0</v>
      </c>
      <c r="D17" s="28">
        <f t="shared" si="22"/>
        <v>0</v>
      </c>
      <c r="E17" s="1">
        <f t="shared" si="50"/>
        <v>4531.6909999999998</v>
      </c>
      <c r="F17" s="43">
        <f t="shared" si="23"/>
        <v>0</v>
      </c>
      <c r="G17" s="28">
        <f t="shared" si="24"/>
        <v>0</v>
      </c>
      <c r="H17" s="1">
        <f t="shared" si="51"/>
        <v>6104</v>
      </c>
      <c r="I17" s="43">
        <f t="shared" si="25"/>
        <v>0</v>
      </c>
      <c r="J17" s="28">
        <f t="shared" si="26"/>
        <v>0</v>
      </c>
      <c r="K17" s="7">
        <f t="shared" si="52"/>
        <v>14228.27</v>
      </c>
      <c r="L17" s="43">
        <f t="shared" si="27"/>
        <v>0</v>
      </c>
      <c r="M17" s="28">
        <f t="shared" si="28"/>
        <v>0</v>
      </c>
      <c r="N17" s="7">
        <f t="shared" si="53"/>
        <v>3748.9441000000002</v>
      </c>
      <c r="O17" s="43">
        <f t="shared" si="29"/>
        <v>0</v>
      </c>
      <c r="P17" s="28">
        <f t="shared" si="30"/>
        <v>0</v>
      </c>
      <c r="Q17" s="7">
        <f t="shared" si="54"/>
        <v>5536.72</v>
      </c>
      <c r="R17" s="43">
        <f t="shared" si="31"/>
        <v>0</v>
      </c>
      <c r="S17" s="28">
        <f t="shared" si="32"/>
        <v>0</v>
      </c>
      <c r="T17" s="8">
        <f t="shared" si="35"/>
        <v>0</v>
      </c>
      <c r="U17" s="30">
        <f t="shared" si="33"/>
        <v>0</v>
      </c>
      <c r="W17" s="154">
        <v>44819</v>
      </c>
      <c r="X17" s="155">
        <f t="shared" si="55"/>
        <v>208041</v>
      </c>
      <c r="Y17" s="160">
        <f t="shared" si="20"/>
        <v>0</v>
      </c>
      <c r="Z17" s="155">
        <f t="shared" si="56"/>
        <v>9982</v>
      </c>
      <c r="AA17" s="160">
        <f t="shared" si="20"/>
        <v>0</v>
      </c>
      <c r="AB17" s="155">
        <f t="shared" si="34"/>
        <v>35.6</v>
      </c>
      <c r="AC17" s="160">
        <f t="shared" si="20"/>
        <v>0</v>
      </c>
      <c r="AD17" s="155">
        <f t="shared" si="57"/>
        <v>682</v>
      </c>
      <c r="AE17" s="160">
        <f t="shared" si="20"/>
        <v>0</v>
      </c>
      <c r="AF17" s="155">
        <f t="shared" si="58"/>
        <v>9020</v>
      </c>
      <c r="AG17" s="160">
        <f t="shared" si="20"/>
        <v>0</v>
      </c>
    </row>
    <row r="18" spans="1:33" ht="16.5" thickBot="1" x14ac:dyDescent="0.25">
      <c r="A18" s="9">
        <v>44820</v>
      </c>
      <c r="B18" s="157">
        <f t="shared" si="49"/>
        <v>24902.235000000001</v>
      </c>
      <c r="C18" s="43">
        <f t="shared" si="21"/>
        <v>0</v>
      </c>
      <c r="D18" s="28">
        <f t="shared" si="22"/>
        <v>0</v>
      </c>
      <c r="E18" s="1">
        <f t="shared" si="50"/>
        <v>4531.6909999999998</v>
      </c>
      <c r="F18" s="43">
        <f t="shared" si="23"/>
        <v>0</v>
      </c>
      <c r="G18" s="28">
        <f t="shared" si="24"/>
        <v>0</v>
      </c>
      <c r="H18" s="1">
        <f t="shared" si="51"/>
        <v>6104</v>
      </c>
      <c r="I18" s="43">
        <f t="shared" si="25"/>
        <v>0</v>
      </c>
      <c r="J18" s="28">
        <f t="shared" si="26"/>
        <v>0</v>
      </c>
      <c r="K18" s="7">
        <f t="shared" si="52"/>
        <v>14228.27</v>
      </c>
      <c r="L18" s="43">
        <f t="shared" si="27"/>
        <v>0</v>
      </c>
      <c r="M18" s="28">
        <f t="shared" si="28"/>
        <v>0</v>
      </c>
      <c r="N18" s="7">
        <f t="shared" si="53"/>
        <v>3748.9441000000002</v>
      </c>
      <c r="O18" s="43">
        <f t="shared" si="29"/>
        <v>0</v>
      </c>
      <c r="P18" s="28">
        <f t="shared" si="30"/>
        <v>0</v>
      </c>
      <c r="Q18" s="7">
        <f t="shared" si="54"/>
        <v>5536.72</v>
      </c>
      <c r="R18" s="43">
        <f t="shared" si="31"/>
        <v>0</v>
      </c>
      <c r="S18" s="28">
        <f t="shared" si="32"/>
        <v>0</v>
      </c>
      <c r="T18" s="8">
        <f t="shared" si="35"/>
        <v>0</v>
      </c>
      <c r="U18" s="30">
        <f t="shared" si="33"/>
        <v>0</v>
      </c>
      <c r="W18" s="154">
        <v>44820</v>
      </c>
      <c r="X18" s="155">
        <f t="shared" si="55"/>
        <v>208041</v>
      </c>
      <c r="Y18" s="160">
        <f t="shared" si="20"/>
        <v>0</v>
      </c>
      <c r="Z18" s="155">
        <f t="shared" si="56"/>
        <v>9982</v>
      </c>
      <c r="AA18" s="160">
        <f t="shared" si="20"/>
        <v>0</v>
      </c>
      <c r="AB18" s="155">
        <f t="shared" si="34"/>
        <v>35.6</v>
      </c>
      <c r="AC18" s="160">
        <f t="shared" si="20"/>
        <v>0</v>
      </c>
      <c r="AD18" s="155">
        <f t="shared" si="57"/>
        <v>682</v>
      </c>
      <c r="AE18" s="160">
        <f t="shared" si="20"/>
        <v>0</v>
      </c>
      <c r="AF18" s="155">
        <f t="shared" si="58"/>
        <v>9020</v>
      </c>
      <c r="AG18" s="160">
        <f t="shared" si="20"/>
        <v>0</v>
      </c>
    </row>
    <row r="19" spans="1:33" ht="16.5" thickBot="1" x14ac:dyDescent="0.25">
      <c r="A19" s="9">
        <v>44821</v>
      </c>
      <c r="B19" s="157">
        <f t="shared" si="49"/>
        <v>24902.235000000001</v>
      </c>
      <c r="C19" s="43">
        <f t="shared" si="21"/>
        <v>0</v>
      </c>
      <c r="D19" s="28">
        <f t="shared" si="22"/>
        <v>0</v>
      </c>
      <c r="E19" s="1">
        <f t="shared" si="50"/>
        <v>4531.6909999999998</v>
      </c>
      <c r="F19" s="43">
        <f t="shared" si="23"/>
        <v>0</v>
      </c>
      <c r="G19" s="28">
        <f t="shared" si="24"/>
        <v>0</v>
      </c>
      <c r="H19" s="1">
        <f t="shared" si="51"/>
        <v>6104</v>
      </c>
      <c r="I19" s="43">
        <f t="shared" si="25"/>
        <v>0</v>
      </c>
      <c r="J19" s="28">
        <f t="shared" si="26"/>
        <v>0</v>
      </c>
      <c r="K19" s="7">
        <f t="shared" si="52"/>
        <v>14228.27</v>
      </c>
      <c r="L19" s="43">
        <f t="shared" si="27"/>
        <v>0</v>
      </c>
      <c r="M19" s="28">
        <f t="shared" si="28"/>
        <v>0</v>
      </c>
      <c r="N19" s="7">
        <f t="shared" si="53"/>
        <v>3748.9441000000002</v>
      </c>
      <c r="O19" s="43">
        <f t="shared" si="29"/>
        <v>0</v>
      </c>
      <c r="P19" s="28">
        <f t="shared" si="30"/>
        <v>0</v>
      </c>
      <c r="Q19" s="7">
        <f t="shared" si="54"/>
        <v>5536.72</v>
      </c>
      <c r="R19" s="43">
        <f t="shared" si="31"/>
        <v>0</v>
      </c>
      <c r="S19" s="28">
        <f t="shared" si="32"/>
        <v>0</v>
      </c>
      <c r="T19" s="8">
        <f t="shared" si="35"/>
        <v>0</v>
      </c>
      <c r="U19" s="30">
        <f t="shared" si="33"/>
        <v>0</v>
      </c>
      <c r="W19" s="154">
        <v>44821</v>
      </c>
      <c r="X19" s="155">
        <f t="shared" si="55"/>
        <v>208041</v>
      </c>
      <c r="Y19" s="160">
        <f t="shared" si="20"/>
        <v>0</v>
      </c>
      <c r="Z19" s="155">
        <f t="shared" si="56"/>
        <v>9982</v>
      </c>
      <c r="AA19" s="160">
        <f t="shared" si="20"/>
        <v>0</v>
      </c>
      <c r="AB19" s="155">
        <f t="shared" si="34"/>
        <v>35.6</v>
      </c>
      <c r="AC19" s="160">
        <f t="shared" si="20"/>
        <v>0</v>
      </c>
      <c r="AD19" s="155">
        <f t="shared" si="57"/>
        <v>682</v>
      </c>
      <c r="AE19" s="160">
        <f t="shared" si="20"/>
        <v>0</v>
      </c>
      <c r="AF19" s="155">
        <f t="shared" si="58"/>
        <v>9020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49"/>
        <v>24902.235000000001</v>
      </c>
      <c r="C20" s="43">
        <f t="shared" si="21"/>
        <v>0</v>
      </c>
      <c r="D20" s="28">
        <f t="shared" si="22"/>
        <v>0</v>
      </c>
      <c r="E20" s="1">
        <f t="shared" si="50"/>
        <v>4531.6909999999998</v>
      </c>
      <c r="F20" s="43">
        <f t="shared" si="23"/>
        <v>0</v>
      </c>
      <c r="G20" s="28">
        <f t="shared" si="24"/>
        <v>0</v>
      </c>
      <c r="H20" s="1">
        <f t="shared" si="51"/>
        <v>6104</v>
      </c>
      <c r="I20" s="43">
        <f t="shared" si="25"/>
        <v>0</v>
      </c>
      <c r="J20" s="28">
        <f t="shared" si="26"/>
        <v>0</v>
      </c>
      <c r="K20" s="7">
        <f t="shared" si="52"/>
        <v>14228.27</v>
      </c>
      <c r="L20" s="43">
        <f t="shared" si="27"/>
        <v>0</v>
      </c>
      <c r="M20" s="28">
        <f t="shared" si="28"/>
        <v>0</v>
      </c>
      <c r="N20" s="7">
        <f t="shared" si="53"/>
        <v>3748.9441000000002</v>
      </c>
      <c r="O20" s="43">
        <f t="shared" si="29"/>
        <v>0</v>
      </c>
      <c r="P20" s="28">
        <f t="shared" si="30"/>
        <v>0</v>
      </c>
      <c r="Q20" s="7">
        <f t="shared" si="54"/>
        <v>5536.72</v>
      </c>
      <c r="R20" s="43">
        <f t="shared" si="31"/>
        <v>0</v>
      </c>
      <c r="S20" s="28">
        <f t="shared" si="32"/>
        <v>0</v>
      </c>
      <c r="T20" s="8">
        <f t="shared" si="35"/>
        <v>0</v>
      </c>
      <c r="U20" s="30">
        <f t="shared" si="33"/>
        <v>0</v>
      </c>
      <c r="W20" s="154">
        <v>44822</v>
      </c>
      <c r="X20" s="155">
        <f t="shared" si="55"/>
        <v>208041</v>
      </c>
      <c r="Y20" s="160">
        <f t="shared" si="20"/>
        <v>0</v>
      </c>
      <c r="Z20" s="155">
        <f t="shared" si="56"/>
        <v>9982</v>
      </c>
      <c r="AA20" s="160">
        <f t="shared" si="20"/>
        <v>0</v>
      </c>
      <c r="AB20" s="155">
        <f t="shared" si="34"/>
        <v>35.6</v>
      </c>
      <c r="AC20" s="160">
        <f t="shared" si="20"/>
        <v>0</v>
      </c>
      <c r="AD20" s="155">
        <f t="shared" si="57"/>
        <v>682</v>
      </c>
      <c r="AE20" s="160">
        <f t="shared" si="20"/>
        <v>0</v>
      </c>
      <c r="AF20" s="155">
        <f t="shared" si="58"/>
        <v>9020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49"/>
        <v>24902.235000000001</v>
      </c>
      <c r="C21" s="43">
        <f t="shared" si="21"/>
        <v>0</v>
      </c>
      <c r="D21" s="28">
        <f t="shared" si="22"/>
        <v>0</v>
      </c>
      <c r="E21" s="1">
        <f t="shared" si="50"/>
        <v>4531.6909999999998</v>
      </c>
      <c r="F21" s="43">
        <f t="shared" si="23"/>
        <v>0</v>
      </c>
      <c r="G21" s="28">
        <f t="shared" si="24"/>
        <v>0</v>
      </c>
      <c r="H21" s="1">
        <f t="shared" si="51"/>
        <v>6104</v>
      </c>
      <c r="I21" s="43">
        <f t="shared" si="25"/>
        <v>0</v>
      </c>
      <c r="J21" s="28">
        <f t="shared" si="26"/>
        <v>0</v>
      </c>
      <c r="K21" s="7">
        <f t="shared" si="52"/>
        <v>14228.27</v>
      </c>
      <c r="L21" s="43">
        <f t="shared" si="27"/>
        <v>0</v>
      </c>
      <c r="M21" s="28">
        <f t="shared" si="28"/>
        <v>0</v>
      </c>
      <c r="N21" s="7">
        <f t="shared" si="53"/>
        <v>3748.9441000000002</v>
      </c>
      <c r="O21" s="43">
        <f t="shared" si="29"/>
        <v>0</v>
      </c>
      <c r="P21" s="28">
        <f t="shared" si="30"/>
        <v>0</v>
      </c>
      <c r="Q21" s="7">
        <f t="shared" si="54"/>
        <v>5536.72</v>
      </c>
      <c r="R21" s="43">
        <f t="shared" si="31"/>
        <v>0</v>
      </c>
      <c r="S21" s="28">
        <f t="shared" si="32"/>
        <v>0</v>
      </c>
      <c r="T21" s="8">
        <f t="shared" si="35"/>
        <v>0</v>
      </c>
      <c r="U21" s="30">
        <f t="shared" si="33"/>
        <v>0</v>
      </c>
      <c r="W21" s="154">
        <v>44823</v>
      </c>
      <c r="X21" s="155">
        <f t="shared" si="55"/>
        <v>208041</v>
      </c>
      <c r="Y21" s="160">
        <f t="shared" si="20"/>
        <v>0</v>
      </c>
      <c r="Z21" s="155">
        <f t="shared" si="56"/>
        <v>9982</v>
      </c>
      <c r="AA21" s="160">
        <f t="shared" si="20"/>
        <v>0</v>
      </c>
      <c r="AB21" s="155">
        <f t="shared" si="34"/>
        <v>35.6</v>
      </c>
      <c r="AC21" s="160">
        <f t="shared" si="20"/>
        <v>0</v>
      </c>
      <c r="AD21" s="155">
        <f t="shared" si="57"/>
        <v>682</v>
      </c>
      <c r="AE21" s="160">
        <f t="shared" si="20"/>
        <v>0</v>
      </c>
      <c r="AF21" s="155">
        <f t="shared" si="58"/>
        <v>9020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49"/>
        <v>24902.235000000001</v>
      </c>
      <c r="C22" s="43">
        <f t="shared" si="21"/>
        <v>0</v>
      </c>
      <c r="D22" s="28">
        <f t="shared" si="22"/>
        <v>0</v>
      </c>
      <c r="E22" s="1">
        <f t="shared" si="50"/>
        <v>4531.6909999999998</v>
      </c>
      <c r="F22" s="43">
        <f t="shared" si="23"/>
        <v>0</v>
      </c>
      <c r="G22" s="28">
        <f t="shared" si="24"/>
        <v>0</v>
      </c>
      <c r="H22" s="1">
        <f t="shared" si="51"/>
        <v>6104</v>
      </c>
      <c r="I22" s="43">
        <f t="shared" si="25"/>
        <v>0</v>
      </c>
      <c r="J22" s="28">
        <f t="shared" si="26"/>
        <v>0</v>
      </c>
      <c r="K22" s="7">
        <f t="shared" si="52"/>
        <v>14228.27</v>
      </c>
      <c r="L22" s="43">
        <f t="shared" si="27"/>
        <v>0</v>
      </c>
      <c r="M22" s="28">
        <f t="shared" si="28"/>
        <v>0</v>
      </c>
      <c r="N22" s="7">
        <f t="shared" si="53"/>
        <v>3748.9441000000002</v>
      </c>
      <c r="O22" s="43">
        <f t="shared" si="29"/>
        <v>0</v>
      </c>
      <c r="P22" s="28">
        <f t="shared" si="30"/>
        <v>0</v>
      </c>
      <c r="Q22" s="7">
        <f t="shared" si="54"/>
        <v>5536.72</v>
      </c>
      <c r="R22" s="43">
        <f t="shared" si="31"/>
        <v>0</v>
      </c>
      <c r="S22" s="28">
        <f t="shared" si="32"/>
        <v>0</v>
      </c>
      <c r="T22" s="8">
        <f t="shared" si="35"/>
        <v>0</v>
      </c>
      <c r="U22" s="30">
        <f t="shared" si="33"/>
        <v>0</v>
      </c>
      <c r="W22" s="154">
        <v>44824</v>
      </c>
      <c r="X22" s="155">
        <f t="shared" si="55"/>
        <v>208041</v>
      </c>
      <c r="Y22" s="160">
        <f t="shared" si="20"/>
        <v>0</v>
      </c>
      <c r="Z22" s="155">
        <f t="shared" si="56"/>
        <v>9982</v>
      </c>
      <c r="AA22" s="160">
        <f t="shared" si="20"/>
        <v>0</v>
      </c>
      <c r="AB22" s="155">
        <f t="shared" si="34"/>
        <v>35.6</v>
      </c>
      <c r="AC22" s="160">
        <f t="shared" si="20"/>
        <v>0</v>
      </c>
      <c r="AD22" s="155">
        <f t="shared" si="57"/>
        <v>682</v>
      </c>
      <c r="AE22" s="160">
        <f t="shared" si="20"/>
        <v>0</v>
      </c>
      <c r="AF22" s="155">
        <f t="shared" si="58"/>
        <v>9020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49"/>
        <v>24902.235000000001</v>
      </c>
      <c r="C23" s="43">
        <f t="shared" si="21"/>
        <v>0</v>
      </c>
      <c r="D23" s="28">
        <f t="shared" si="22"/>
        <v>0</v>
      </c>
      <c r="E23" s="1">
        <f t="shared" si="50"/>
        <v>4531.6909999999998</v>
      </c>
      <c r="F23" s="43">
        <f t="shared" si="23"/>
        <v>0</v>
      </c>
      <c r="G23" s="28">
        <f t="shared" si="24"/>
        <v>0</v>
      </c>
      <c r="H23" s="1">
        <f t="shared" si="51"/>
        <v>6104</v>
      </c>
      <c r="I23" s="43">
        <f t="shared" si="25"/>
        <v>0</v>
      </c>
      <c r="J23" s="28">
        <f t="shared" si="26"/>
        <v>0</v>
      </c>
      <c r="K23" s="7">
        <f t="shared" si="52"/>
        <v>14228.27</v>
      </c>
      <c r="L23" s="43">
        <f t="shared" si="27"/>
        <v>0</v>
      </c>
      <c r="M23" s="28">
        <f t="shared" si="28"/>
        <v>0</v>
      </c>
      <c r="N23" s="7">
        <f t="shared" si="53"/>
        <v>3748.9441000000002</v>
      </c>
      <c r="O23" s="43">
        <f t="shared" si="29"/>
        <v>0</v>
      </c>
      <c r="P23" s="28">
        <f t="shared" si="30"/>
        <v>0</v>
      </c>
      <c r="Q23" s="7">
        <f t="shared" si="54"/>
        <v>5536.72</v>
      </c>
      <c r="R23" s="43">
        <f t="shared" si="31"/>
        <v>0</v>
      </c>
      <c r="S23" s="28">
        <f t="shared" si="32"/>
        <v>0</v>
      </c>
      <c r="T23" s="8">
        <f t="shared" si="35"/>
        <v>0</v>
      </c>
      <c r="U23" s="30">
        <f t="shared" si="33"/>
        <v>0</v>
      </c>
      <c r="W23" s="154">
        <v>44825</v>
      </c>
      <c r="X23" s="155">
        <f t="shared" si="55"/>
        <v>208041</v>
      </c>
      <c r="Y23" s="160">
        <f t="shared" si="20"/>
        <v>0</v>
      </c>
      <c r="Z23" s="155">
        <f t="shared" si="56"/>
        <v>9982</v>
      </c>
      <c r="AA23" s="160">
        <f t="shared" si="20"/>
        <v>0</v>
      </c>
      <c r="AB23" s="155">
        <f t="shared" si="34"/>
        <v>35.6</v>
      </c>
      <c r="AC23" s="160">
        <f t="shared" si="20"/>
        <v>0</v>
      </c>
      <c r="AD23" s="155">
        <f t="shared" si="57"/>
        <v>682</v>
      </c>
      <c r="AE23" s="160">
        <f t="shared" si="20"/>
        <v>0</v>
      </c>
      <c r="AF23" s="155">
        <f t="shared" si="58"/>
        <v>9020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49"/>
        <v>24902.235000000001</v>
      </c>
      <c r="C24" s="43">
        <f t="shared" si="21"/>
        <v>0</v>
      </c>
      <c r="D24" s="28">
        <f t="shared" si="22"/>
        <v>0</v>
      </c>
      <c r="E24" s="1">
        <f t="shared" si="50"/>
        <v>4531.6909999999998</v>
      </c>
      <c r="F24" s="43">
        <f t="shared" si="23"/>
        <v>0</v>
      </c>
      <c r="G24" s="28">
        <f t="shared" si="24"/>
        <v>0</v>
      </c>
      <c r="H24" s="1">
        <f t="shared" si="51"/>
        <v>6104</v>
      </c>
      <c r="I24" s="43">
        <f t="shared" si="25"/>
        <v>0</v>
      </c>
      <c r="J24" s="28">
        <f t="shared" si="26"/>
        <v>0</v>
      </c>
      <c r="K24" s="7">
        <f t="shared" si="52"/>
        <v>14228.27</v>
      </c>
      <c r="L24" s="43">
        <f t="shared" si="27"/>
        <v>0</v>
      </c>
      <c r="M24" s="28">
        <f t="shared" si="28"/>
        <v>0</v>
      </c>
      <c r="N24" s="7">
        <f t="shared" si="53"/>
        <v>3748.9441000000002</v>
      </c>
      <c r="O24" s="43">
        <f t="shared" si="29"/>
        <v>0</v>
      </c>
      <c r="P24" s="28">
        <f t="shared" si="30"/>
        <v>0</v>
      </c>
      <c r="Q24" s="7">
        <f t="shared" si="54"/>
        <v>5536.72</v>
      </c>
      <c r="R24" s="43">
        <f t="shared" si="31"/>
        <v>0</v>
      </c>
      <c r="S24" s="28">
        <f t="shared" si="32"/>
        <v>0</v>
      </c>
      <c r="T24" s="8">
        <f t="shared" si="35"/>
        <v>0</v>
      </c>
      <c r="U24" s="30">
        <f t="shared" si="33"/>
        <v>0</v>
      </c>
      <c r="W24" s="154">
        <v>44826</v>
      </c>
      <c r="X24" s="155">
        <f t="shared" si="55"/>
        <v>208041</v>
      </c>
      <c r="Y24" s="160">
        <f t="shared" si="20"/>
        <v>0</v>
      </c>
      <c r="Z24" s="155">
        <f t="shared" si="56"/>
        <v>9982</v>
      </c>
      <c r="AA24" s="160">
        <f t="shared" si="20"/>
        <v>0</v>
      </c>
      <c r="AB24" s="155">
        <f t="shared" si="34"/>
        <v>35.6</v>
      </c>
      <c r="AC24" s="160">
        <f t="shared" si="20"/>
        <v>0</v>
      </c>
      <c r="AD24" s="155">
        <f t="shared" si="57"/>
        <v>682</v>
      </c>
      <c r="AE24" s="160">
        <f t="shared" si="20"/>
        <v>0</v>
      </c>
      <c r="AF24" s="155">
        <f t="shared" si="58"/>
        <v>9020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49"/>
        <v>24902.235000000001</v>
      </c>
      <c r="C25" s="43">
        <f t="shared" si="21"/>
        <v>0</v>
      </c>
      <c r="D25" s="28">
        <f t="shared" si="22"/>
        <v>0</v>
      </c>
      <c r="E25" s="1">
        <f t="shared" si="50"/>
        <v>4531.6909999999998</v>
      </c>
      <c r="F25" s="43">
        <f t="shared" si="23"/>
        <v>0</v>
      </c>
      <c r="G25" s="28">
        <f t="shared" si="24"/>
        <v>0</v>
      </c>
      <c r="H25" s="1">
        <f t="shared" si="51"/>
        <v>6104</v>
      </c>
      <c r="I25" s="43">
        <f t="shared" si="25"/>
        <v>0</v>
      </c>
      <c r="J25" s="28">
        <f t="shared" si="26"/>
        <v>0</v>
      </c>
      <c r="K25" s="7">
        <f t="shared" si="52"/>
        <v>14228.27</v>
      </c>
      <c r="L25" s="43">
        <f t="shared" si="27"/>
        <v>0</v>
      </c>
      <c r="M25" s="28">
        <f t="shared" si="28"/>
        <v>0</v>
      </c>
      <c r="N25" s="7">
        <f t="shared" si="53"/>
        <v>3748.9441000000002</v>
      </c>
      <c r="O25" s="43">
        <f t="shared" si="29"/>
        <v>0</v>
      </c>
      <c r="P25" s="28">
        <f t="shared" si="30"/>
        <v>0</v>
      </c>
      <c r="Q25" s="7">
        <f t="shared" si="54"/>
        <v>5536.72</v>
      </c>
      <c r="R25" s="43">
        <f t="shared" si="31"/>
        <v>0</v>
      </c>
      <c r="S25" s="28">
        <f t="shared" si="32"/>
        <v>0</v>
      </c>
      <c r="T25" s="8">
        <f t="shared" si="35"/>
        <v>0</v>
      </c>
      <c r="U25" s="30">
        <f t="shared" si="33"/>
        <v>0</v>
      </c>
      <c r="W25" s="154">
        <v>44827</v>
      </c>
      <c r="X25" s="155">
        <f t="shared" si="55"/>
        <v>208041</v>
      </c>
      <c r="Y25" s="160">
        <f t="shared" si="20"/>
        <v>0</v>
      </c>
      <c r="Z25" s="155">
        <f t="shared" si="56"/>
        <v>9982</v>
      </c>
      <c r="AA25" s="160">
        <f t="shared" si="20"/>
        <v>0</v>
      </c>
      <c r="AB25" s="155">
        <f t="shared" si="34"/>
        <v>35.6</v>
      </c>
      <c r="AC25" s="160">
        <f t="shared" si="20"/>
        <v>0</v>
      </c>
      <c r="AD25" s="155">
        <f t="shared" si="57"/>
        <v>682</v>
      </c>
      <c r="AE25" s="160">
        <f t="shared" si="20"/>
        <v>0</v>
      </c>
      <c r="AF25" s="155">
        <f t="shared" si="58"/>
        <v>9020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49"/>
        <v>24902.235000000001</v>
      </c>
      <c r="C26" s="43">
        <f t="shared" si="21"/>
        <v>0</v>
      </c>
      <c r="D26" s="28">
        <f t="shared" si="22"/>
        <v>0</v>
      </c>
      <c r="E26" s="1">
        <f t="shared" si="50"/>
        <v>4531.6909999999998</v>
      </c>
      <c r="F26" s="43">
        <f t="shared" si="23"/>
        <v>0</v>
      </c>
      <c r="G26" s="28">
        <f t="shared" si="24"/>
        <v>0</v>
      </c>
      <c r="H26" s="1">
        <f t="shared" si="51"/>
        <v>6104</v>
      </c>
      <c r="I26" s="43">
        <f t="shared" si="25"/>
        <v>0</v>
      </c>
      <c r="J26" s="28">
        <f t="shared" si="26"/>
        <v>0</v>
      </c>
      <c r="K26" s="7">
        <f t="shared" si="52"/>
        <v>14228.27</v>
      </c>
      <c r="L26" s="43">
        <f>IF((K26-K25)&lt;0,"0",(K26-K25))</f>
        <v>0</v>
      </c>
      <c r="M26" s="28">
        <f t="shared" si="28"/>
        <v>0</v>
      </c>
      <c r="N26" s="7">
        <f t="shared" si="53"/>
        <v>3748.9441000000002</v>
      </c>
      <c r="O26" s="43">
        <f t="shared" si="29"/>
        <v>0</v>
      </c>
      <c r="P26" s="28">
        <f t="shared" si="30"/>
        <v>0</v>
      </c>
      <c r="Q26" s="7">
        <f t="shared" si="54"/>
        <v>5536.72</v>
      </c>
      <c r="R26" s="43">
        <f t="shared" si="31"/>
        <v>0</v>
      </c>
      <c r="S26" s="28">
        <f t="shared" si="32"/>
        <v>0</v>
      </c>
      <c r="T26" s="8">
        <f t="shared" si="3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55"/>
        <v>208041</v>
      </c>
      <c r="Y26" s="160">
        <f t="shared" si="20"/>
        <v>0</v>
      </c>
      <c r="Z26" s="155">
        <f t="shared" si="56"/>
        <v>9982</v>
      </c>
      <c r="AA26" s="160">
        <f t="shared" si="20"/>
        <v>0</v>
      </c>
      <c r="AB26" s="155">
        <f t="shared" si="34"/>
        <v>35.6</v>
      </c>
      <c r="AC26" s="160">
        <f t="shared" si="20"/>
        <v>0</v>
      </c>
      <c r="AD26" s="155">
        <f t="shared" si="57"/>
        <v>682</v>
      </c>
      <c r="AE26" s="160">
        <f t="shared" si="20"/>
        <v>0</v>
      </c>
      <c r="AF26" s="155">
        <f t="shared" si="58"/>
        <v>9020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49"/>
        <v>24902.235000000001</v>
      </c>
      <c r="C27" s="43">
        <f t="shared" si="21"/>
        <v>0</v>
      </c>
      <c r="D27" s="28">
        <f t="shared" si="22"/>
        <v>0</v>
      </c>
      <c r="E27" s="1">
        <f t="shared" si="50"/>
        <v>4531.6909999999998</v>
      </c>
      <c r="F27" s="43">
        <f t="shared" si="23"/>
        <v>0</v>
      </c>
      <c r="G27" s="28">
        <f t="shared" si="24"/>
        <v>0</v>
      </c>
      <c r="H27" s="1">
        <f t="shared" si="51"/>
        <v>6104</v>
      </c>
      <c r="I27" s="43">
        <f t="shared" si="25"/>
        <v>0</v>
      </c>
      <c r="J27" s="28">
        <f t="shared" si="26"/>
        <v>0</v>
      </c>
      <c r="K27" s="7">
        <f t="shared" si="52"/>
        <v>14228.27</v>
      </c>
      <c r="L27" s="43">
        <f t="shared" si="27"/>
        <v>0</v>
      </c>
      <c r="M27" s="28">
        <f t="shared" si="28"/>
        <v>0</v>
      </c>
      <c r="N27" s="7">
        <f t="shared" si="53"/>
        <v>3748.9441000000002</v>
      </c>
      <c r="O27" s="43">
        <f t="shared" si="29"/>
        <v>0</v>
      </c>
      <c r="P27" s="28">
        <f t="shared" si="30"/>
        <v>0</v>
      </c>
      <c r="Q27" s="7">
        <f t="shared" si="54"/>
        <v>5536.72</v>
      </c>
      <c r="R27" s="43">
        <f t="shared" si="31"/>
        <v>0</v>
      </c>
      <c r="S27" s="28">
        <f t="shared" si="32"/>
        <v>0</v>
      </c>
      <c r="T27" s="8">
        <f t="shared" si="3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55"/>
        <v>208041</v>
      </c>
      <c r="Y27" s="160">
        <f t="shared" si="20"/>
        <v>0</v>
      </c>
      <c r="Z27" s="155">
        <f t="shared" si="56"/>
        <v>9982</v>
      </c>
      <c r="AA27" s="160">
        <f t="shared" si="20"/>
        <v>0</v>
      </c>
      <c r="AB27" s="155">
        <f t="shared" si="34"/>
        <v>35.6</v>
      </c>
      <c r="AC27" s="160">
        <f t="shared" si="20"/>
        <v>0</v>
      </c>
      <c r="AD27" s="155">
        <f t="shared" si="57"/>
        <v>682</v>
      </c>
      <c r="AE27" s="160">
        <f t="shared" si="20"/>
        <v>0</v>
      </c>
      <c r="AF27" s="155">
        <f t="shared" si="58"/>
        <v>9020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49"/>
        <v>24902.235000000001</v>
      </c>
      <c r="C28" s="43">
        <f t="shared" si="21"/>
        <v>0</v>
      </c>
      <c r="D28" s="28">
        <f t="shared" si="22"/>
        <v>0</v>
      </c>
      <c r="E28" s="1">
        <f t="shared" si="50"/>
        <v>4531.6909999999998</v>
      </c>
      <c r="F28" s="43">
        <f t="shared" si="23"/>
        <v>0</v>
      </c>
      <c r="G28" s="28">
        <f t="shared" si="24"/>
        <v>0</v>
      </c>
      <c r="H28" s="1">
        <f t="shared" si="51"/>
        <v>6104</v>
      </c>
      <c r="I28" s="43">
        <f t="shared" si="25"/>
        <v>0</v>
      </c>
      <c r="J28" s="28">
        <f t="shared" si="26"/>
        <v>0</v>
      </c>
      <c r="K28" s="7">
        <f t="shared" si="52"/>
        <v>14228.27</v>
      </c>
      <c r="L28" s="43">
        <f t="shared" si="27"/>
        <v>0</v>
      </c>
      <c r="M28" s="28">
        <f t="shared" si="28"/>
        <v>0</v>
      </c>
      <c r="N28" s="7">
        <f t="shared" si="53"/>
        <v>3748.9441000000002</v>
      </c>
      <c r="O28" s="43">
        <f t="shared" si="29"/>
        <v>0</v>
      </c>
      <c r="P28" s="28">
        <f t="shared" si="30"/>
        <v>0</v>
      </c>
      <c r="Q28" s="7">
        <f t="shared" si="54"/>
        <v>5536.72</v>
      </c>
      <c r="R28" s="43">
        <f t="shared" si="31"/>
        <v>0</v>
      </c>
      <c r="S28" s="28">
        <f t="shared" si="32"/>
        <v>0</v>
      </c>
      <c r="T28" s="8">
        <f t="shared" si="35"/>
        <v>0</v>
      </c>
      <c r="U28" s="30">
        <f t="shared" si="33"/>
        <v>0</v>
      </c>
      <c r="W28" s="154">
        <v>44830</v>
      </c>
      <c r="X28" s="155">
        <f t="shared" si="55"/>
        <v>208041</v>
      </c>
      <c r="Y28" s="160">
        <f t="shared" si="20"/>
        <v>0</v>
      </c>
      <c r="Z28" s="155">
        <f t="shared" si="56"/>
        <v>9982</v>
      </c>
      <c r="AA28" s="160">
        <f t="shared" si="20"/>
        <v>0</v>
      </c>
      <c r="AB28" s="155">
        <f t="shared" si="34"/>
        <v>35.6</v>
      </c>
      <c r="AC28" s="160">
        <f t="shared" si="20"/>
        <v>0</v>
      </c>
      <c r="AD28" s="155">
        <f t="shared" si="57"/>
        <v>682</v>
      </c>
      <c r="AE28" s="160">
        <f t="shared" si="20"/>
        <v>0</v>
      </c>
      <c r="AF28" s="155">
        <f t="shared" si="58"/>
        <v>9020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49"/>
        <v>24902.235000000001</v>
      </c>
      <c r="C29" s="43">
        <f t="shared" si="21"/>
        <v>0</v>
      </c>
      <c r="D29" s="28">
        <f t="shared" si="22"/>
        <v>0</v>
      </c>
      <c r="E29" s="1">
        <f t="shared" si="50"/>
        <v>4531.6909999999998</v>
      </c>
      <c r="F29" s="43">
        <f t="shared" si="23"/>
        <v>0</v>
      </c>
      <c r="G29" s="28">
        <f t="shared" si="24"/>
        <v>0</v>
      </c>
      <c r="H29" s="1">
        <f t="shared" si="51"/>
        <v>6104</v>
      </c>
      <c r="I29" s="43">
        <f t="shared" si="25"/>
        <v>0</v>
      </c>
      <c r="J29" s="28">
        <f t="shared" si="26"/>
        <v>0</v>
      </c>
      <c r="K29" s="7">
        <f t="shared" si="52"/>
        <v>14228.27</v>
      </c>
      <c r="L29" s="43">
        <f t="shared" si="27"/>
        <v>0</v>
      </c>
      <c r="M29" s="28">
        <f t="shared" si="28"/>
        <v>0</v>
      </c>
      <c r="N29" s="7">
        <f t="shared" si="53"/>
        <v>3748.9441000000002</v>
      </c>
      <c r="O29" s="43">
        <f t="shared" si="29"/>
        <v>0</v>
      </c>
      <c r="P29" s="28">
        <f t="shared" si="30"/>
        <v>0</v>
      </c>
      <c r="Q29" s="7">
        <f t="shared" si="54"/>
        <v>5536.72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si="55"/>
        <v>208041</v>
      </c>
      <c r="Y29" s="160">
        <f t="shared" si="20"/>
        <v>0</v>
      </c>
      <c r="Z29" s="155">
        <f t="shared" si="56"/>
        <v>9982</v>
      </c>
      <c r="AA29" s="160">
        <f t="shared" si="20"/>
        <v>0</v>
      </c>
      <c r="AB29" s="155">
        <f t="shared" si="34"/>
        <v>35.6</v>
      </c>
      <c r="AC29" s="160">
        <f t="shared" si="20"/>
        <v>0</v>
      </c>
      <c r="AD29" s="155">
        <f t="shared" si="57"/>
        <v>682</v>
      </c>
      <c r="AE29" s="160">
        <f t="shared" si="20"/>
        <v>0</v>
      </c>
      <c r="AF29" s="155">
        <f t="shared" si="58"/>
        <v>9020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49"/>
        <v>24902.235000000001</v>
      </c>
      <c r="C30" s="43">
        <f t="shared" si="21"/>
        <v>0</v>
      </c>
      <c r="D30" s="28">
        <f t="shared" si="22"/>
        <v>0</v>
      </c>
      <c r="E30" s="1">
        <f t="shared" si="50"/>
        <v>4531.6909999999998</v>
      </c>
      <c r="F30" s="43">
        <f t="shared" si="23"/>
        <v>0</v>
      </c>
      <c r="G30" s="28">
        <f t="shared" si="24"/>
        <v>0</v>
      </c>
      <c r="H30" s="1">
        <f t="shared" si="51"/>
        <v>6104</v>
      </c>
      <c r="I30" s="43">
        <f t="shared" si="25"/>
        <v>0</v>
      </c>
      <c r="J30" s="28">
        <f t="shared" si="26"/>
        <v>0</v>
      </c>
      <c r="K30" s="7">
        <f t="shared" si="52"/>
        <v>14228.27</v>
      </c>
      <c r="L30" s="43">
        <f t="shared" si="27"/>
        <v>0</v>
      </c>
      <c r="M30" s="28">
        <f t="shared" si="28"/>
        <v>0</v>
      </c>
      <c r="N30" s="7">
        <f t="shared" si="53"/>
        <v>3748.9441000000002</v>
      </c>
      <c r="O30" s="43">
        <f t="shared" si="29"/>
        <v>0</v>
      </c>
      <c r="P30" s="28">
        <f t="shared" si="30"/>
        <v>0</v>
      </c>
      <c r="Q30" s="7">
        <f t="shared" si="54"/>
        <v>5536.72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55"/>
        <v>208041</v>
      </c>
      <c r="Y30" s="160">
        <f t="shared" si="20"/>
        <v>0</v>
      </c>
      <c r="Z30" s="155">
        <f t="shared" si="56"/>
        <v>9982</v>
      </c>
      <c r="AA30" s="160">
        <f t="shared" si="20"/>
        <v>0</v>
      </c>
      <c r="AB30" s="155">
        <f t="shared" si="34"/>
        <v>35.6</v>
      </c>
      <c r="AC30" s="160">
        <f t="shared" si="20"/>
        <v>0</v>
      </c>
      <c r="AD30" s="155">
        <f t="shared" si="57"/>
        <v>682</v>
      </c>
      <c r="AE30" s="160">
        <f t="shared" si="20"/>
        <v>0</v>
      </c>
      <c r="AF30" s="155">
        <f t="shared" si="58"/>
        <v>9020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49"/>
        <v>24902.235000000001</v>
      </c>
      <c r="C31" s="43">
        <f t="shared" si="21"/>
        <v>0</v>
      </c>
      <c r="D31" s="28">
        <f t="shared" si="22"/>
        <v>0</v>
      </c>
      <c r="E31" s="1">
        <f t="shared" si="50"/>
        <v>4531.6909999999998</v>
      </c>
      <c r="F31" s="43">
        <f t="shared" si="23"/>
        <v>0</v>
      </c>
      <c r="G31" s="28">
        <f t="shared" si="24"/>
        <v>0</v>
      </c>
      <c r="H31" s="1">
        <f t="shared" si="51"/>
        <v>6104</v>
      </c>
      <c r="I31" s="43">
        <f t="shared" si="25"/>
        <v>0</v>
      </c>
      <c r="J31" s="28">
        <f t="shared" si="26"/>
        <v>0</v>
      </c>
      <c r="K31" s="7">
        <f t="shared" si="52"/>
        <v>14228.27</v>
      </c>
      <c r="L31" s="43">
        <f t="shared" si="27"/>
        <v>0</v>
      </c>
      <c r="M31" s="28">
        <f t="shared" si="28"/>
        <v>0</v>
      </c>
      <c r="N31" s="7">
        <f t="shared" si="53"/>
        <v>3748.9441000000002</v>
      </c>
      <c r="O31" s="43">
        <f t="shared" si="29"/>
        <v>0</v>
      </c>
      <c r="P31" s="28">
        <f t="shared" si="30"/>
        <v>0</v>
      </c>
      <c r="Q31" s="7">
        <f t="shared" si="54"/>
        <v>5536.72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55"/>
        <v>208041</v>
      </c>
      <c r="Y31" s="160">
        <f t="shared" si="20"/>
        <v>0</v>
      </c>
      <c r="Z31" s="155">
        <f t="shared" si="56"/>
        <v>9982</v>
      </c>
      <c r="AA31" s="160">
        <f t="shared" si="20"/>
        <v>0</v>
      </c>
      <c r="AB31" s="155">
        <f t="shared" si="34"/>
        <v>35.6</v>
      </c>
      <c r="AC31" s="160">
        <f t="shared" si="20"/>
        <v>0</v>
      </c>
      <c r="AD31" s="155">
        <f t="shared" si="57"/>
        <v>682</v>
      </c>
      <c r="AE31" s="160">
        <f t="shared" si="20"/>
        <v>0</v>
      </c>
      <c r="AF31" s="155">
        <f t="shared" si="58"/>
        <v>9020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49"/>
        <v>24902.235000000001</v>
      </c>
      <c r="C32" s="43">
        <f t="shared" si="21"/>
        <v>0</v>
      </c>
      <c r="D32" s="28">
        <f t="shared" si="22"/>
        <v>0</v>
      </c>
      <c r="E32" s="1">
        <f t="shared" si="50"/>
        <v>4531.6909999999998</v>
      </c>
      <c r="F32" s="43">
        <f t="shared" si="23"/>
        <v>0</v>
      </c>
      <c r="G32" s="28">
        <f t="shared" si="24"/>
        <v>0</v>
      </c>
      <c r="H32" s="1">
        <f t="shared" si="51"/>
        <v>6104</v>
      </c>
      <c r="I32" s="43">
        <f t="shared" si="25"/>
        <v>0</v>
      </c>
      <c r="J32" s="28">
        <f t="shared" si="26"/>
        <v>0</v>
      </c>
      <c r="K32" s="7">
        <f t="shared" si="52"/>
        <v>14228.27</v>
      </c>
      <c r="L32" s="43">
        <f t="shared" si="27"/>
        <v>0</v>
      </c>
      <c r="M32" s="28">
        <f t="shared" si="28"/>
        <v>0</v>
      </c>
      <c r="N32" s="7">
        <f t="shared" si="53"/>
        <v>3748.9441000000002</v>
      </c>
      <c r="O32" s="43">
        <f t="shared" si="29"/>
        <v>0</v>
      </c>
      <c r="P32" s="28">
        <f t="shared" si="30"/>
        <v>0</v>
      </c>
      <c r="Q32" s="7">
        <f t="shared" si="54"/>
        <v>5536.72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55"/>
        <v>208041</v>
      </c>
      <c r="Y32" s="160">
        <f t="shared" ref="Y32" si="59">IF((X32-X31)&lt;0,"0",(X32-X31))</f>
        <v>0</v>
      </c>
      <c r="Z32" s="155">
        <f t="shared" si="56"/>
        <v>9982</v>
      </c>
      <c r="AA32" s="160">
        <f t="shared" ref="AA32" si="60">IF((Z32-Z31)&lt;0,"0",(Z32-Z31))</f>
        <v>0</v>
      </c>
      <c r="AB32" s="155">
        <f t="shared" si="34"/>
        <v>35.6</v>
      </c>
      <c r="AC32" s="160">
        <f t="shared" ref="AC32" si="61">IF((AB32-AB31)&lt;0,"0",(AB32-AB31))</f>
        <v>0</v>
      </c>
      <c r="AD32" s="155">
        <f t="shared" si="57"/>
        <v>682</v>
      </c>
      <c r="AE32" s="160">
        <f t="shared" ref="AE32" si="62">IF((AD32-AD31)&lt;0,"0",(AD32-AD31))</f>
        <v>0</v>
      </c>
      <c r="AF32" s="155">
        <f t="shared" si="58"/>
        <v>9020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163.3070000000007</v>
      </c>
      <c r="D33" s="136">
        <f>SUM(D3:D32)</f>
        <v>310283.30000000133</v>
      </c>
      <c r="E33" s="136"/>
      <c r="F33" s="136">
        <f>SUM(F2:F32)</f>
        <v>36.645999999999731</v>
      </c>
      <c r="G33" s="136">
        <f>SUM(G3:G32)</f>
        <v>69627.399999999485</v>
      </c>
      <c r="H33" s="136"/>
      <c r="I33" s="136">
        <f>SUM(I2:I32)</f>
        <v>113</v>
      </c>
      <c r="J33" s="136">
        <f>SUM(J3:J32)</f>
        <v>214700</v>
      </c>
      <c r="K33" s="136"/>
      <c r="L33" s="136">
        <f>SUM(L2:L32)</f>
        <v>29.840000000000146</v>
      </c>
      <c r="M33" s="136">
        <f>SUM(M3:M32)</f>
        <v>56696.000000000276</v>
      </c>
      <c r="N33" s="136"/>
      <c r="O33" s="136">
        <f>SUM(O2:O32)</f>
        <v>26.805100000000039</v>
      </c>
      <c r="P33" s="136">
        <f>SUM(P3:P32)</f>
        <v>50929.690000000068</v>
      </c>
      <c r="Q33" s="136"/>
      <c r="R33" s="136">
        <v>2.21</v>
      </c>
      <c r="S33" s="136">
        <f>SUM(S3:S32)</f>
        <v>52896.000000000276</v>
      </c>
      <c r="T33" s="136">
        <v>22.454999999999998</v>
      </c>
      <c r="U33" s="136">
        <f>SUM(U3:U32)</f>
        <v>755132.39000000153</v>
      </c>
      <c r="V33"/>
      <c r="W33" s="136" t="s">
        <v>141</v>
      </c>
      <c r="X33" s="136"/>
      <c r="Y33" s="136">
        <f>SUM(Y2:Y32)</f>
        <v>4143</v>
      </c>
      <c r="Z33" s="136"/>
      <c r="AA33" s="136">
        <f>SUM(AA2:AA32)</f>
        <v>109</v>
      </c>
      <c r="AB33" s="136"/>
      <c r="AC33" s="136">
        <f>SUM(AC2:AC32)</f>
        <v>2</v>
      </c>
      <c r="AD33" s="136"/>
      <c r="AE33" s="136">
        <f>SUM(AE2:AE32)</f>
        <v>27</v>
      </c>
      <c r="AF33" s="136">
        <v>0</v>
      </c>
      <c r="AG33" s="136">
        <f>SUM(AG2:AG32)</f>
        <v>173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2058037</v>
      </c>
      <c r="D7" s="104">
        <f t="shared" si="0"/>
        <v>2613706.9900000002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14906</v>
      </c>
      <c r="D8" s="104">
        <f t="shared" si="0"/>
        <v>18930.62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3239</v>
      </c>
      <c r="D9" s="104">
        <f t="shared" si="0"/>
        <v>4113.53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6560</v>
      </c>
      <c r="D10" s="104">
        <f t="shared" si="0"/>
        <v>8331.2000000000007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2111</v>
      </c>
      <c r="D11" s="104">
        <f t="shared" si="0"/>
        <v>2680.9700000000003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4053</v>
      </c>
      <c r="K16" s="93">
        <f>(J16-I16)*160</f>
        <v>1120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332685</v>
      </c>
      <c r="K17" s="93">
        <f>(J17-I17)</f>
        <v>2078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26490</v>
      </c>
      <c r="K18" s="93">
        <f>(J18-I18)*160</f>
        <v>6560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169812</v>
      </c>
      <c r="K19" s="93">
        <f>J19-I19</f>
        <v>2111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47571</v>
      </c>
      <c r="K21" s="93">
        <f>(J21-I21)*120</f>
        <v>7440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40963</v>
      </c>
      <c r="K22" s="93">
        <f>(J22-I22)*160</f>
        <v>6240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22066</v>
      </c>
      <c r="K23" s="93">
        <f>(J23-I23)*20</f>
        <v>940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258256</v>
      </c>
      <c r="K24" s="93">
        <f>J24-I24</f>
        <v>286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226371</v>
      </c>
      <c r="K25" s="93">
        <f>J25-I25</f>
        <v>41</v>
      </c>
    </row>
    <row r="26" spans="1:11" ht="13.5" thickBot="1" x14ac:dyDescent="0.25">
      <c r="A26" s="94"/>
      <c r="B26" s="100" t="s">
        <v>42</v>
      </c>
      <c r="C26" s="118">
        <f>K35</f>
        <v>82634</v>
      </c>
      <c r="D26" s="104">
        <f>C26*3.65</f>
        <v>301614.09999999998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82634</v>
      </c>
      <c r="D27" s="104">
        <f>C27*3.65</f>
        <v>301614.09999999998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18503634</v>
      </c>
      <c r="K35" s="124">
        <f>J35-I35</f>
        <v>82634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2022-09-14T01:41:47Z</dcterms:modified>
</cp:coreProperties>
</file>