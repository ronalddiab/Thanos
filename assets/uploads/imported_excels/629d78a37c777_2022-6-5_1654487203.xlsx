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<sst xmlns="http://schemas.openxmlformats.org/spreadsheetml/2006/main" count="111" uniqueCount="57">
  <si>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</si>
  <si>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</si>
  <si>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</si>
  <si>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</si>
  <si>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</si>
  <si>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</si>
  <si>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</si>
  <si>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</si>
  <si>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</si>
  <si>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</si>
  <si>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</si>
  <si>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</si>
  <si>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</si>
  <si>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</si>
  <si>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</si>
  <si>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</si>
  <si>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</si>
  <si>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</si>
  <si>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</si>
  <si>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</si>
  <si>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</si>
  <si>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</si>
  <si>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</si>
  <si>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</si>
  <si>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</si>
  <si>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</si>
  <si>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</si>
  <si>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</si>
  <si>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</si>
  <si>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</si>
  <si>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</si>
  <si>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</si>
  <si>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</si>
  <si>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</si>
  <si>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</si>
  <si>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</si>
  <si>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</si>
  <si>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</si>
  <si>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</si>
  <si>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</si>
  <si>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</si>
  <si>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</si>
  <si>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</si>
  <si>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</si>
  <si>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</si>
  <si>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</si>
  <si>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</si>
  <si>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</si>
  <si>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</si>
  <si>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</si>
  <si>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NATURAL GAS CONSUMPTION , JUNE.2021</t>
  </si>
  <si>
    <t>CAPACITIVE / ACTIVE CONSUMPTIONS , JUNE.2021</t>
  </si>
  <si>
    <t>BİRİM FİYAT : 0.75  x 44794,8 =28668,6 TL/Kwh+KDV</t>
  </si>
  <si>
    <t>BİRİM FİYAT : 1.69 TL/m3 + KDV  x 39 = 64.74 TL + KDV</t>
  </si>
  <si>
    <t>ELECTRICITY CONSUMPTION , JUNE.2022</t>
  </si>
  <si>
    <t>REACTIVE / ACTIVE CONSUMPTIONS , JUNE.2022</t>
  </si>
  <si>
    <t>WATER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</si>
</sst>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5088"/>
        <c:axId val="203135872"/>
      </c:lineChart>
      <c:dateAx>
        <c:axId val="20313508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031358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031358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3508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4696"/>
        <c:axId val="379335480"/>
      </c:lineChart>
      <c:dateAx>
        <c:axId val="203134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335480"/>
        <c:crosses val="autoZero"/>
        <c:auto val="0"/>
        <c:lblOffset val="100"/>
        <c:baseTimeUnit val="days"/>
        <c:majorUnit val="1"/>
        <c:majorTimeUnit val="days"/>
      </c:dateAx>
      <c:valAx>
        <c:axId val="3793354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469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ENG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ENG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ENG/Elektrik%20su%20do&#287;algaz%202021/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opLeftCell="A7" zoomScale="110" zoomScaleNormal="110" workbookViewId="0">
      <selection activeCell="M17" sqref="M1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0.8</v>
      </c>
      <c r="G2" s="13">
        <v>0</v>
      </c>
      <c r="H2" s="3">
        <v>1.69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3599.0399999972433</v>
      </c>
      <c r="F3" s="3">
        <v>0.8</v>
      </c>
      <c r="G3" s="13">
        <f>Gas!J5</f>
        <v>120.82755300006829</v>
      </c>
      <c r="H3" s="3">
        <v>1.69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1896.1200000029057</v>
      </c>
      <c r="F4" s="3">
        <v>0.8</v>
      </c>
      <c r="G4" s="13">
        <f>Gas!J6</f>
        <v>12.992210000054911</v>
      </c>
      <c r="H4" s="3">
        <v>1.69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4366.3199999984354</v>
      </c>
      <c r="F5" s="3">
        <v>0.8</v>
      </c>
      <c r="G5" s="13">
        <f>Gas!J7</f>
        <v>190.98548699985258</v>
      </c>
      <c r="H5" s="3">
        <v>1.69</v>
      </c>
      <c r="I5" s="13">
        <f>Water!H7</f>
        <v>30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5163.9600000008941</v>
      </c>
      <c r="F6" s="3">
        <v>0.8</v>
      </c>
      <c r="G6" s="13">
        <f>Gas!J8</f>
        <v>135.11898400005884</v>
      </c>
      <c r="H6" s="3">
        <v>1.69</v>
      </c>
      <c r="I6" s="13">
        <f>Water!H8</f>
        <v>24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4794.1199999991804</v>
      </c>
      <c r="F7" s="3">
        <v>0.8</v>
      </c>
      <c r="G7" s="13">
        <f>Gas!J9</f>
        <v>124.72521600010805</v>
      </c>
      <c r="H7" s="3">
        <v>1.69</v>
      </c>
      <c r="I7" s="13">
        <f>Water!H9</f>
        <v>5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-13486099.68</v>
      </c>
      <c r="F8" s="3">
        <v>0.8</v>
      </c>
      <c r="G8" s="13">
        <f>Gas!J10</f>
        <v>-1217425.9435030001</v>
      </c>
      <c r="H8" s="3">
        <v>1.69</v>
      </c>
      <c r="I8" s="13">
        <f>Water!H10</f>
        <v>-12794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0</v>
      </c>
      <c r="F9" s="3">
        <v>0.8</v>
      </c>
      <c r="G9" s="13">
        <f>Gas!J11</f>
        <v>0</v>
      </c>
      <c r="H9" s="3">
        <v>1.69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D2" sqref="D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D2" s="107" t="s">
        <v>56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f>+(G4-[1]May.2021!$G$34)</f>
        <v>3114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/>
      <c r="F10" s="24">
        <v>1065</v>
      </c>
      <c r="G10" s="24">
        <f t="shared" si="1"/>
        <v>1065</v>
      </c>
      <c r="H10" s="25">
        <f t="shared" si="0"/>
        <v>-12794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/>
      <c r="F11" s="24">
        <v>1065</v>
      </c>
      <c r="G11" s="24">
        <f t="shared" si="1"/>
        <v>1065</v>
      </c>
      <c r="H11" s="25">
        <f t="shared" si="0"/>
        <v>0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/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/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/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/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/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/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/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0" sqref="F1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50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1.299221</v>
      </c>
      <c r="I4" s="24">
        <f t="shared" ref="I4:I33" si="0">H4*G4</f>
        <v>1216841.2940529999</v>
      </c>
      <c r="J4" s="25">
        <f>I4-[2]May.2021!$I$34</f>
        <v>4760.3457440000493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1.299221</v>
      </c>
      <c r="I5" s="24">
        <f t="shared" si="0"/>
        <v>1216962.121606</v>
      </c>
      <c r="J5" s="25">
        <f t="shared" ref="J5:J31" si="2">I5-I4</f>
        <v>120.82755300006829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1.299221</v>
      </c>
      <c r="I6" s="24">
        <f t="shared" si="0"/>
        <v>1216975.1138160001</v>
      </c>
      <c r="J6" s="25">
        <f t="shared" si="2"/>
        <v>12.992210000054911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1.299221</v>
      </c>
      <c r="I7" s="24">
        <f t="shared" si="0"/>
        <v>1217166.0993029999</v>
      </c>
      <c r="J7" s="25">
        <f t="shared" si="2"/>
        <v>190.98548699985258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1.299221</v>
      </c>
      <c r="I8" s="24">
        <f t="shared" si="0"/>
        <v>1217301.218287</v>
      </c>
      <c r="J8" s="25">
        <f t="shared" si="2"/>
        <v>135.11898400005884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1.299221</v>
      </c>
      <c r="I9" s="24">
        <f t="shared" si="0"/>
        <v>1217425.9435030001</v>
      </c>
      <c r="J9" s="25">
        <f t="shared" si="2"/>
        <v>124.72521600010805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44719</v>
      </c>
      <c r="E10" s="24"/>
      <c r="F10" s="24"/>
      <c r="G10" s="24">
        <f t="shared" si="1"/>
        <v>0</v>
      </c>
      <c r="H10" s="18">
        <v>1.299221</v>
      </c>
      <c r="I10" s="24">
        <f t="shared" si="0"/>
        <v>0</v>
      </c>
      <c r="J10" s="25">
        <f t="shared" si="2"/>
        <v>-1217425.9435030001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44720</v>
      </c>
      <c r="E11" s="24"/>
      <c r="F11" s="24"/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44721</v>
      </c>
      <c r="E12" s="24"/>
      <c r="F12" s="24"/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44722</v>
      </c>
      <c r="E13" s="24"/>
      <c r="F13" s="24"/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44723</v>
      </c>
      <c r="E14" s="24"/>
      <c r="F14" s="24"/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44724</v>
      </c>
      <c r="E15" s="24"/>
      <c r="F15" s="24"/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44725</v>
      </c>
      <c r="E16" s="24"/>
      <c r="F16" s="24"/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44726</v>
      </c>
      <c r="E17" s="24"/>
      <c r="F17" s="24"/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44727</v>
      </c>
      <c r="E18" s="24"/>
      <c r="F18" s="24"/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44728</v>
      </c>
      <c r="E19" s="24"/>
      <c r="F19" s="24"/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44729</v>
      </c>
      <c r="E20" s="24"/>
      <c r="F20" s="24"/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44730</v>
      </c>
      <c r="E21" s="24"/>
      <c r="F21" s="24"/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44731</v>
      </c>
      <c r="E22" s="24"/>
      <c r="F22" s="24"/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44732</v>
      </c>
      <c r="E23" s="24"/>
      <c r="F23" s="24"/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1044.0539956000168</v>
      </c>
      <c r="M36" s="17">
        <f>+(L36*31)</f>
        <v>32365.673863600521</v>
      </c>
    </row>
    <row r="37" spans="4:18" ht="12.75" customHeight="1" x14ac:dyDescent="0.25">
      <c r="D37" s="50" t="s">
        <v>53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A26" sqref="A2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54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55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47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9" t="s">
        <v>43</v>
      </c>
      <c r="AP3" s="110"/>
      <c r="AQ3" s="109" t="s">
        <v>44</v>
      </c>
      <c r="AR3" s="110"/>
      <c r="AS3" s="109" t="s">
        <v>45</v>
      </c>
      <c r="AT3" s="110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44713</v>
      </c>
      <c r="F4" s="92">
        <v>4879.0870000000004</v>
      </c>
      <c r="G4" s="23">
        <v>2760</v>
      </c>
      <c r="H4" s="24">
        <f>G4*F4</f>
        <v>13466280.120000001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44714</v>
      </c>
      <c r="F5" s="92">
        <v>4880.3909999999996</v>
      </c>
      <c r="G5" s="23">
        <v>2760</v>
      </c>
      <c r="H5" s="24">
        <f t="shared" ref="H5:H33" si="11">G5*F5</f>
        <v>13469879.159999998</v>
      </c>
      <c r="I5" s="25">
        <f>H5-H4</f>
        <v>3599.0399999972433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3599.0399999972433</v>
      </c>
      <c r="W5" s="74">
        <f t="shared" si="2"/>
        <v>-95.081288343631101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3599.0399999972433</v>
      </c>
      <c r="AF5" s="74">
        <f t="shared" si="5"/>
        <v>1.5337423312898418E-2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3599.0399999972433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44715</v>
      </c>
      <c r="F6" s="92">
        <v>4881.0780000000004</v>
      </c>
      <c r="G6" s="23">
        <v>2760</v>
      </c>
      <c r="H6" s="24">
        <f t="shared" si="11"/>
        <v>13471775.280000001</v>
      </c>
      <c r="I6" s="25">
        <f t="shared" ref="I6:I32" si="18">H6-H5</f>
        <v>1896.1200000029057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1896.1200000029057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1896.1200000029057</v>
      </c>
      <c r="AF6" s="74">
        <f t="shared" si="5"/>
        <v>2.7656477438126371E-2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1896.1200000029057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44716</v>
      </c>
      <c r="F7" s="92">
        <v>4882.66</v>
      </c>
      <c r="G7" s="23">
        <v>2760</v>
      </c>
      <c r="H7" s="24">
        <f t="shared" si="11"/>
        <v>13476141.6</v>
      </c>
      <c r="I7" s="25">
        <f t="shared" si="18"/>
        <v>4366.3199999984354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4366.3199999984354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4366.3199999984354</v>
      </c>
      <c r="AF7" s="74">
        <f t="shared" si="5"/>
        <v>-104.10429835654806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4366.3199999984354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44717</v>
      </c>
      <c r="F8" s="92">
        <v>4884.5309999999999</v>
      </c>
      <c r="G8" s="23">
        <v>2760</v>
      </c>
      <c r="H8" s="24">
        <f t="shared" si="11"/>
        <v>13481305.560000001</v>
      </c>
      <c r="I8" s="25">
        <f t="shared" si="18"/>
        <v>5163.9600000008941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5163.9600000008941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5163.9600000008941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5163.9600000008941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44718</v>
      </c>
      <c r="F9" s="92">
        <v>4886.268</v>
      </c>
      <c r="G9" s="23">
        <v>2760</v>
      </c>
      <c r="H9" s="24">
        <f t="shared" si="11"/>
        <v>13486099.68</v>
      </c>
      <c r="I9" s="25">
        <f t="shared" si="18"/>
        <v>4794.1199999991804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4794.1199999991804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4794.1199999991804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4794.1199999991804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44719</v>
      </c>
      <c r="F10" s="92"/>
      <c r="G10" s="23">
        <v>2760</v>
      </c>
      <c r="H10" s="24">
        <f t="shared" si="11"/>
        <v>0</v>
      </c>
      <c r="I10" s="25">
        <f t="shared" si="18"/>
        <v>-13486099.68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-13486099.68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-13486099.68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-13486099.68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44720</v>
      </c>
      <c r="F11" s="92"/>
      <c r="G11" s="23">
        <v>2760</v>
      </c>
      <c r="H11" s="24">
        <f t="shared" si="11"/>
        <v>0</v>
      </c>
      <c r="I11" s="25">
        <f t="shared" si="18"/>
        <v>0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0</v>
      </c>
      <c r="W11" s="74" t="e">
        <f t="shared" si="2"/>
        <v>#DIV/0!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0</v>
      </c>
      <c r="AF11" s="74" t="e">
        <f>AD11/AE11</f>
        <v>#DIV/0!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44721</v>
      </c>
      <c r="F12" s="92"/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44722</v>
      </c>
      <c r="F13" s="92"/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44723</v>
      </c>
      <c r="F14" s="92"/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44724</v>
      </c>
      <c r="F15" s="92"/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44725</v>
      </c>
      <c r="F16" s="92"/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44726</v>
      </c>
      <c r="F17" s="92"/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44727</v>
      </c>
      <c r="F18" s="92"/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44728</v>
      </c>
      <c r="F19" s="92"/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44729</v>
      </c>
      <c r="F20" s="92"/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44730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44731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44732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44733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44734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44735</v>
      </c>
      <c r="F26" s="92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44736</v>
      </c>
      <c r="F27" s="92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44737</v>
      </c>
      <c r="F28" s="92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44738</v>
      </c>
      <c r="F29" s="92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44739</v>
      </c>
      <c r="F30" s="92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44740</v>
      </c>
      <c r="F31" s="92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44741</v>
      </c>
      <c r="F32" s="92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44742</v>
      </c>
      <c r="F33" s="92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-13465316.920000002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-13465316.920000002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-13465316.920000002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-13465316.920000002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2022-06-06T03:43:18Z</dcterms:modified>
</cp:coreProperties>
</file>