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<sst xmlns="http://schemas.openxmlformats.org/spreadsheetml/2006/main" count="106" uniqueCount="33">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</sst>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0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8652.11</v>
      </c>
      <c r="F2" s="16">
        <v>0.12</v>
      </c>
      <c r="G2" s="20">
        <f>Submetering!F2+Submetering!G2</f>
        <v>137.46</v>
      </c>
      <c r="H2" s="16">
        <v>0.71</v>
      </c>
      <c r="I2" s="20">
        <f>Submetering!J2+Submetering!I2+Submetering!H2</f>
        <v>0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0</v>
      </c>
      <c r="F3" s="16">
        <v>0.12</v>
      </c>
      <c r="G3" s="20">
        <f>Submetering!F3+Submetering!G3</f>
        <v>0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5</v>
      </c>
      <c r="D4" s="9">
        <f>Submetering!D4</f>
        <v>2022</v>
      </c>
      <c r="E4" s="20">
        <f>Submetering!E4</f>
        <v>0</v>
      </c>
      <c r="F4" s="16">
        <v>0.12</v>
      </c>
      <c r="G4" s="20">
        <f>Submetering!F4+Submetering!G4</f>
        <v>0</v>
      </c>
      <c r="H4" s="16">
        <v>0.71</v>
      </c>
      <c r="I4" s="20">
        <f>Submetering!J4+Submetering!I4+Submetering!H4</f>
        <v>0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0</v>
      </c>
      <c r="J5" s="16">
        <v>2.3196172978505634</v>
      </c>
      <c r="K5" s="20">
        <f>Submetering!K5</f>
        <v>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E3" sqref="E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8652.11</v>
      </c>
      <c r="F2" s="37">
        <v>111.56</v>
      </c>
      <c r="G2" s="37">
        <v>25.9</v>
      </c>
      <c r="H2" s="37"/>
      <c r="I2" s="37"/>
      <c r="J2" s="37"/>
      <c r="K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/>
      <c r="F3" s="37"/>
      <c r="G3" s="37"/>
      <c r="H3" s="37">
        <v>5.86</v>
      </c>
      <c r="I3" s="37">
        <v>30</v>
      </c>
      <c r="J3" s="37">
        <v>52.5</v>
      </c>
      <c r="K3" s="6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/>
      <c r="F4" s="37"/>
      <c r="G4" s="37"/>
      <c r="H4" s="37"/>
      <c r="I4" s="37"/>
      <c r="J4" s="37"/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/>
      <c r="F5" s="37"/>
      <c r="G5" s="37"/>
      <c r="H5" s="37"/>
      <c r="I5" s="37"/>
      <c r="J5" s="37"/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/>
      <c r="F6" s="37"/>
      <c r="G6" s="37"/>
      <c r="H6" s="37"/>
      <c r="I6" s="37"/>
      <c r="J6" s="37"/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/>
      <c r="F8" s="37"/>
      <c r="G8" s="37"/>
      <c r="H8" s="37"/>
      <c r="I8" s="37"/>
      <c r="J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/>
      <c r="F9" s="37"/>
      <c r="G9" s="37"/>
      <c r="H9" s="37"/>
      <c r="I9" s="37"/>
      <c r="J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/>
      <c r="F10" s="37"/>
      <c r="G10" s="37"/>
      <c r="H10" s="37"/>
      <c r="I10" s="37"/>
      <c r="J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/>
      <c r="F11" s="37"/>
      <c r="G11" s="37"/>
      <c r="H11" s="37"/>
      <c r="I11" s="37"/>
      <c r="J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/>
      <c r="F12" s="37"/>
      <c r="G12" s="37"/>
      <c r="H12" s="37"/>
      <c r="I12" s="37"/>
      <c r="J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/>
      <c r="F13" s="37"/>
      <c r="G13" s="37"/>
      <c r="H13" s="37"/>
      <c r="I13" s="37"/>
      <c r="J13" s="37"/>
      <c r="K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/>
      <c r="F14" s="37"/>
      <c r="G14" s="37"/>
      <c r="H14" s="37"/>
      <c r="I14" s="37"/>
      <c r="J14" s="37"/>
      <c r="K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/>
      <c r="F15" s="37"/>
      <c r="G15" s="37"/>
      <c r="H15" s="37"/>
      <c r="I15" s="37"/>
      <c r="J15" s="37"/>
      <c r="K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/>
      <c r="F16" s="37"/>
      <c r="G16" s="37"/>
      <c r="H16" s="37"/>
      <c r="I16" s="37"/>
      <c r="J16" s="37"/>
      <c r="K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/>
      <c r="F17" s="37"/>
      <c r="G17" s="37"/>
      <c r="H17" s="37"/>
      <c r="I17" s="37"/>
      <c r="J17" s="37"/>
      <c r="K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K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2"/>
      <c r="C1" s="1"/>
      <c r="D1" s="11"/>
      <c r="E1" s="1"/>
      <c r="F1" s="14"/>
      <c r="G1" s="1"/>
      <c r="H1" s="1"/>
      <c r="I1" s="53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52"/>
      <c r="C2" s="46" t="s">
        <v>22</v>
      </c>
      <c r="D2" s="47"/>
      <c r="E2" s="56" t="s">
        <v>23</v>
      </c>
      <c r="F2" s="56"/>
      <c r="G2" s="56" t="s">
        <v>24</v>
      </c>
      <c r="H2" s="56"/>
      <c r="I2" s="54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5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2"/>
      <c r="C4" s="18">
        <v>22342913</v>
      </c>
      <c r="D4" s="49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9">
        <f>IF((G5-G4&lt;0), "",G5-G4)</f>
        <v>3477</v>
      </c>
      <c r="I4" s="54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2"/>
      <c r="C5" s="18">
        <v>22350888</v>
      </c>
      <c r="D5" s="49"/>
      <c r="E5" s="18">
        <v>23843311</v>
      </c>
      <c r="F5" s="51"/>
      <c r="G5" s="18">
        <v>9979293</v>
      </c>
      <c r="H5" s="49"/>
      <c r="I5" s="54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5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2022-06-03T06:58:01Z</dcterms:modified>
</cp:coreProperties>
</file>