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6E27801E-6FE7-4254-992B-A134BBEEE25C}" xr6:coauthVersionLast="47" xr6:coauthVersionMax="47" xr10:uidLastSave="{00000000-0000-0000-0000-000000000000}"/>
  <bookViews>
    <workbookView xWindow="-108" yWindow="-108" windowWidth="23256" windowHeight="12456" firstSheet="5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Oct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7" l="1"/>
  <c r="H34" i="7"/>
  <c r="I34" i="7"/>
  <c r="E34" i="7"/>
  <c r="E33" i="7"/>
  <c r="E31" i="7"/>
  <c r="E30" i="7"/>
  <c r="H31" i="7"/>
  <c r="C26" i="8"/>
  <c r="C27" i="8"/>
  <c r="H24" i="7"/>
  <c r="H19" i="7"/>
  <c r="H25" i="7"/>
  <c r="H20" i="7"/>
  <c r="H21" i="7"/>
  <c r="H10" i="7"/>
  <c r="I10" i="7"/>
  <c r="E9" i="7"/>
  <c r="E10" i="7"/>
  <c r="H9" i="7"/>
  <c r="I9" i="7"/>
  <c r="C27" i="10"/>
  <c r="C25" i="10"/>
  <c r="C24" i="10"/>
  <c r="E15" i="9"/>
  <c r="E14" i="9"/>
  <c r="H33" i="7"/>
  <c r="I33" i="7"/>
  <c r="C11" i="1"/>
  <c r="H11" i="7"/>
  <c r="H12" i="7"/>
  <c r="H13" i="7"/>
  <c r="H14" i="7"/>
  <c r="H15" i="7"/>
  <c r="H17" i="7"/>
  <c r="H16" i="7"/>
  <c r="E34" i="1"/>
  <c r="C34" i="1"/>
  <c r="I34" i="1"/>
  <c r="E33" i="1"/>
  <c r="C33" i="1"/>
  <c r="I33" i="1"/>
  <c r="E32" i="1"/>
  <c r="C32" i="1"/>
  <c r="I32" i="1"/>
  <c r="E31" i="1"/>
  <c r="C31" i="1"/>
  <c r="I31" i="1"/>
  <c r="E30" i="1"/>
  <c r="C30" i="1"/>
  <c r="I30" i="1"/>
  <c r="E29" i="1"/>
  <c r="C29" i="1"/>
  <c r="I29" i="1"/>
  <c r="E28" i="1"/>
  <c r="C28" i="1"/>
  <c r="I28" i="1"/>
  <c r="E27" i="1"/>
  <c r="C27" i="1"/>
  <c r="I27" i="1"/>
  <c r="E26" i="1"/>
  <c r="C26" i="1"/>
  <c r="I26" i="1"/>
  <c r="E25" i="1"/>
  <c r="C25" i="1"/>
  <c r="I25" i="1"/>
  <c r="E24" i="1"/>
  <c r="C24" i="1"/>
  <c r="I24" i="1"/>
  <c r="E23" i="1"/>
  <c r="C23" i="1"/>
  <c r="I23" i="1"/>
  <c r="E22" i="1"/>
  <c r="C22" i="1"/>
  <c r="I22" i="1"/>
  <c r="E21" i="1"/>
  <c r="C21" i="1"/>
  <c r="I21" i="1"/>
  <c r="E20" i="1"/>
  <c r="C20" i="1"/>
  <c r="I20" i="1"/>
  <c r="E19" i="1"/>
  <c r="C19" i="1"/>
  <c r="I19" i="1"/>
  <c r="E18" i="1"/>
  <c r="C18" i="1"/>
  <c r="I18" i="1"/>
  <c r="E17" i="1"/>
  <c r="C17" i="1"/>
  <c r="I17" i="1"/>
  <c r="E16" i="1"/>
  <c r="C16" i="1"/>
  <c r="I16" i="1"/>
  <c r="E15" i="1"/>
  <c r="C15" i="1"/>
  <c r="I15" i="1"/>
  <c r="E14" i="1"/>
  <c r="C14" i="1"/>
  <c r="I14" i="1"/>
  <c r="E13" i="1"/>
  <c r="C13" i="1"/>
  <c r="I13" i="1"/>
  <c r="E12" i="1"/>
  <c r="C12" i="1"/>
  <c r="I12" i="1"/>
  <c r="E11" i="1"/>
  <c r="I11" i="1"/>
  <c r="E10" i="1"/>
  <c r="C10" i="1"/>
  <c r="I10" i="1"/>
  <c r="E9" i="1"/>
  <c r="C9" i="1"/>
  <c r="I9" i="1"/>
  <c r="E8" i="1"/>
  <c r="C8" i="1"/>
  <c r="I8" i="1"/>
  <c r="E7" i="1"/>
  <c r="C7" i="1"/>
  <c r="I7" i="1"/>
  <c r="E6" i="1"/>
  <c r="C6" i="1"/>
  <c r="I6" i="1"/>
  <c r="E5" i="1"/>
  <c r="C5" i="1"/>
  <c r="I5" i="1"/>
  <c r="E4" i="1"/>
  <c r="C4" i="1"/>
  <c r="A37" i="8"/>
  <c r="F36" i="8"/>
  <c r="J35" i="8"/>
  <c r="I35" i="8"/>
  <c r="J34" i="8"/>
  <c r="I34" i="8"/>
  <c r="E33" i="8"/>
  <c r="C33" i="8"/>
  <c r="J33" i="8"/>
  <c r="E32" i="8"/>
  <c r="C32" i="8"/>
  <c r="J32" i="8"/>
  <c r="E31" i="8"/>
  <c r="C31" i="8"/>
  <c r="J31" i="8"/>
  <c r="E30" i="8"/>
  <c r="C30" i="8"/>
  <c r="J30" i="8"/>
  <c r="E29" i="8"/>
  <c r="C29" i="8"/>
  <c r="J29" i="8"/>
  <c r="E28" i="8"/>
  <c r="C28" i="8"/>
  <c r="J28" i="8"/>
  <c r="E27" i="8"/>
  <c r="J27" i="8"/>
  <c r="E26" i="8"/>
  <c r="J26" i="8"/>
  <c r="E25" i="8"/>
  <c r="C25" i="8"/>
  <c r="J25" i="8"/>
  <c r="E24" i="8"/>
  <c r="C24" i="8"/>
  <c r="J24" i="8"/>
  <c r="E23" i="8"/>
  <c r="C23" i="8"/>
  <c r="J23" i="8"/>
  <c r="E22" i="8"/>
  <c r="C22" i="8"/>
  <c r="J22" i="8"/>
  <c r="E21" i="8"/>
  <c r="C21" i="8"/>
  <c r="J21" i="8"/>
  <c r="E20" i="8"/>
  <c r="C20" i="8"/>
  <c r="J20" i="8"/>
  <c r="E19" i="8"/>
  <c r="C19" i="8"/>
  <c r="J19" i="8"/>
  <c r="E18" i="8"/>
  <c r="C18" i="8"/>
  <c r="J18" i="8"/>
  <c r="E17" i="8"/>
  <c r="C17" i="8"/>
  <c r="J17" i="8"/>
  <c r="E16" i="8"/>
  <c r="C16" i="8"/>
  <c r="J16" i="8"/>
  <c r="E15" i="8"/>
  <c r="C15" i="8"/>
  <c r="J15" i="8"/>
  <c r="E14" i="8"/>
  <c r="C14" i="8"/>
  <c r="J14" i="8"/>
  <c r="E13" i="8"/>
  <c r="C13" i="8"/>
  <c r="J13" i="8"/>
  <c r="E12" i="8"/>
  <c r="C12" i="8"/>
  <c r="J12" i="8"/>
  <c r="E11" i="8"/>
  <c r="C11" i="8"/>
  <c r="J11" i="8"/>
  <c r="E10" i="8"/>
  <c r="C10" i="8"/>
  <c r="J10" i="8"/>
  <c r="E9" i="8"/>
  <c r="C9" i="8"/>
  <c r="J9" i="8"/>
  <c r="E8" i="8"/>
  <c r="C8" i="8"/>
  <c r="J8" i="8"/>
  <c r="E7" i="8"/>
  <c r="C7" i="8"/>
  <c r="J7" i="8"/>
  <c r="E6" i="8"/>
  <c r="C6" i="8"/>
  <c r="J6" i="8"/>
  <c r="E5" i="8"/>
  <c r="C5" i="8"/>
  <c r="J5" i="8"/>
  <c r="E4" i="8"/>
  <c r="C4" i="8"/>
  <c r="A37" i="9"/>
  <c r="F36" i="9"/>
  <c r="J35" i="9"/>
  <c r="I35" i="9"/>
  <c r="J34" i="9"/>
  <c r="I34" i="9"/>
  <c r="E33" i="9"/>
  <c r="C33" i="9"/>
  <c r="J33" i="9"/>
  <c r="E32" i="9"/>
  <c r="C32" i="9"/>
  <c r="J32" i="9"/>
  <c r="E31" i="9"/>
  <c r="C31" i="9"/>
  <c r="J31" i="9"/>
  <c r="E30" i="9"/>
  <c r="C30" i="9"/>
  <c r="J30" i="9"/>
  <c r="E29" i="9"/>
  <c r="C29" i="9"/>
  <c r="J29" i="9"/>
  <c r="E28" i="9"/>
  <c r="C28" i="9"/>
  <c r="J28" i="9"/>
  <c r="E27" i="9"/>
  <c r="C27" i="9"/>
  <c r="J27" i="9"/>
  <c r="E26" i="9"/>
  <c r="C26" i="9"/>
  <c r="J26" i="9"/>
  <c r="E25" i="9"/>
  <c r="C25" i="9"/>
  <c r="J25" i="9"/>
  <c r="E24" i="9"/>
  <c r="C24" i="9"/>
  <c r="J24" i="9"/>
  <c r="E23" i="9"/>
  <c r="C23" i="9"/>
  <c r="J23" i="9"/>
  <c r="E22" i="9"/>
  <c r="C22" i="9"/>
  <c r="J22" i="9"/>
  <c r="E21" i="9"/>
  <c r="C21" i="9"/>
  <c r="J21" i="9"/>
  <c r="E20" i="9"/>
  <c r="C20" i="9"/>
  <c r="J20" i="9"/>
  <c r="E19" i="9"/>
  <c r="C19" i="9"/>
  <c r="J19" i="9"/>
  <c r="E18" i="9"/>
  <c r="C18" i="9"/>
  <c r="J18" i="9"/>
  <c r="E17" i="9"/>
  <c r="C17" i="9"/>
  <c r="J17" i="9"/>
  <c r="E16" i="9"/>
  <c r="C16" i="9"/>
  <c r="J16" i="9"/>
  <c r="C15" i="9"/>
  <c r="J15" i="9"/>
  <c r="C14" i="9"/>
  <c r="J14" i="9"/>
  <c r="E13" i="9"/>
  <c r="C13" i="9"/>
  <c r="J13" i="9"/>
  <c r="E12" i="9"/>
  <c r="C12" i="9"/>
  <c r="J12" i="9"/>
  <c r="E11" i="9"/>
  <c r="C11" i="9"/>
  <c r="J11" i="9"/>
  <c r="E10" i="9"/>
  <c r="C10" i="9"/>
  <c r="J10" i="9"/>
  <c r="E9" i="9"/>
  <c r="C9" i="9"/>
  <c r="J9" i="9"/>
  <c r="E8" i="9"/>
  <c r="C8" i="9"/>
  <c r="J8" i="9"/>
  <c r="E7" i="9"/>
  <c r="C7" i="9"/>
  <c r="J7" i="9"/>
  <c r="E6" i="9"/>
  <c r="C6" i="9"/>
  <c r="J6" i="9"/>
  <c r="E5" i="9"/>
  <c r="C5" i="9"/>
  <c r="J5" i="9"/>
  <c r="E4" i="9"/>
  <c r="C4" i="9"/>
  <c r="A37" i="10"/>
  <c r="F36" i="10"/>
  <c r="J35" i="10"/>
  <c r="I35" i="10"/>
  <c r="E34" i="10"/>
  <c r="C34" i="10"/>
  <c r="J34" i="10"/>
  <c r="E33" i="10"/>
  <c r="C33" i="10"/>
  <c r="J33" i="10"/>
  <c r="E32" i="10"/>
  <c r="C32" i="10"/>
  <c r="J32" i="10"/>
  <c r="E31" i="10"/>
  <c r="C31" i="10"/>
  <c r="J31" i="10"/>
  <c r="E30" i="10"/>
  <c r="C30" i="10"/>
  <c r="J30" i="10"/>
  <c r="E29" i="10"/>
  <c r="C29" i="10"/>
  <c r="J29" i="10"/>
  <c r="E28" i="10"/>
  <c r="C28" i="10"/>
  <c r="J28" i="10"/>
  <c r="E27" i="10"/>
  <c r="J27" i="10"/>
  <c r="E26" i="10"/>
  <c r="C26" i="10"/>
  <c r="J26" i="10"/>
  <c r="E25" i="10"/>
  <c r="J25" i="10"/>
  <c r="E24" i="10"/>
  <c r="J24" i="10"/>
  <c r="E23" i="10"/>
  <c r="C23" i="10"/>
  <c r="J23" i="10"/>
  <c r="E22" i="10"/>
  <c r="C22" i="10"/>
  <c r="J22" i="10"/>
  <c r="E21" i="10"/>
  <c r="C21" i="10"/>
  <c r="J21" i="10"/>
  <c r="E20" i="10"/>
  <c r="C20" i="10"/>
  <c r="J20" i="10"/>
  <c r="E19" i="10"/>
  <c r="C19" i="10"/>
  <c r="J19" i="10"/>
  <c r="E18" i="10"/>
  <c r="C18" i="10"/>
  <c r="J18" i="10"/>
  <c r="E17" i="10"/>
  <c r="C17" i="10"/>
  <c r="J17" i="10"/>
  <c r="E16" i="10"/>
  <c r="C16" i="10"/>
  <c r="J16" i="10"/>
  <c r="E15" i="10"/>
  <c r="C15" i="10"/>
  <c r="J15" i="10"/>
  <c r="E14" i="10"/>
  <c r="C14" i="10"/>
  <c r="J14" i="10"/>
  <c r="E13" i="10"/>
  <c r="C13" i="10"/>
  <c r="J13" i="10"/>
  <c r="E12" i="10"/>
  <c r="C12" i="10"/>
  <c r="J12" i="10"/>
  <c r="E11" i="10"/>
  <c r="C11" i="10"/>
  <c r="J11" i="10"/>
  <c r="E10" i="10"/>
  <c r="C10" i="10"/>
  <c r="J10" i="10"/>
  <c r="E9" i="10"/>
  <c r="C9" i="10"/>
  <c r="J9" i="10"/>
  <c r="E8" i="10"/>
  <c r="C8" i="10"/>
  <c r="J8" i="10"/>
  <c r="E7" i="10"/>
  <c r="C7" i="10"/>
  <c r="J7" i="10"/>
  <c r="E6" i="10"/>
  <c r="C6" i="10"/>
  <c r="J6" i="10"/>
  <c r="E5" i="10"/>
  <c r="C5" i="10"/>
  <c r="J5" i="10"/>
  <c r="E4" i="10"/>
  <c r="C4" i="10"/>
  <c r="H6" i="7"/>
  <c r="H7" i="7"/>
  <c r="H8" i="7"/>
  <c r="I6" i="7"/>
  <c r="I7" i="7"/>
  <c r="I8" i="7"/>
  <c r="I11" i="7"/>
  <c r="I12" i="7"/>
  <c r="I13" i="7"/>
  <c r="I14" i="7"/>
  <c r="I15" i="7"/>
  <c r="I16" i="7"/>
  <c r="I17" i="7"/>
  <c r="I35" i="7"/>
  <c r="H32" i="7"/>
  <c r="I32" i="7"/>
  <c r="E32" i="7"/>
  <c r="I31" i="7"/>
  <c r="H30" i="7"/>
  <c r="I30" i="7"/>
  <c r="H29" i="7"/>
  <c r="I29" i="7"/>
  <c r="E29" i="7"/>
  <c r="H28" i="7"/>
  <c r="I28" i="7"/>
  <c r="E28" i="7"/>
  <c r="H27" i="7"/>
  <c r="I27" i="7"/>
  <c r="E27" i="7"/>
  <c r="H26" i="7"/>
  <c r="I26" i="7"/>
  <c r="E26" i="7"/>
  <c r="I25" i="7"/>
  <c r="E25" i="7"/>
  <c r="I24" i="7"/>
  <c r="E24" i="7"/>
  <c r="H23" i="7"/>
  <c r="I23" i="7"/>
  <c r="E23" i="7"/>
  <c r="H22" i="7"/>
  <c r="I22" i="7"/>
  <c r="E22" i="7"/>
  <c r="I21" i="7"/>
  <c r="E21" i="7"/>
  <c r="I20" i="7"/>
  <c r="E20" i="7"/>
  <c r="I19" i="7"/>
  <c r="E19" i="7"/>
  <c r="H18" i="7"/>
  <c r="I18" i="7"/>
  <c r="E18" i="7"/>
  <c r="E17" i="7"/>
  <c r="E16" i="7"/>
  <c r="E15" i="7"/>
  <c r="E13" i="7"/>
  <c r="E12" i="7"/>
  <c r="E11" i="7"/>
  <c r="E8" i="7"/>
  <c r="E7" i="7"/>
  <c r="E6" i="7"/>
  <c r="H5" i="7"/>
  <c r="I5" i="7"/>
  <c r="E5" i="7"/>
  <c r="H4" i="7"/>
  <c r="H36" i="7"/>
  <c r="J36" i="7"/>
  <c r="E4" i="7"/>
  <c r="G15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G16" i="6"/>
  <c r="H15" i="6"/>
  <c r="H14" i="6"/>
  <c r="H13" i="6"/>
  <c r="G12" i="6"/>
  <c r="H11" i="6"/>
  <c r="H10" i="6"/>
  <c r="H9" i="6"/>
  <c r="G8" i="6"/>
  <c r="H7" i="6"/>
  <c r="H6" i="6"/>
  <c r="H5" i="6"/>
  <c r="G4" i="6"/>
  <c r="H3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G30" i="6"/>
  <c r="G27" i="6"/>
  <c r="G21" i="6"/>
  <c r="G20" i="6"/>
  <c r="G14" i="6"/>
  <c r="G25" i="6"/>
  <c r="H12" i="6"/>
  <c r="G31" i="6"/>
  <c r="G29" i="6"/>
  <c r="G13" i="6"/>
  <c r="H8" i="6"/>
  <c r="G28" i="6"/>
  <c r="G17" i="6"/>
  <c r="G9" i="6"/>
  <c r="G26" i="6"/>
  <c r="G18" i="6"/>
  <c r="G10" i="6"/>
  <c r="H4" i="6"/>
  <c r="G19" i="6"/>
  <c r="G11" i="6"/>
  <c r="G3" i="6"/>
  <c r="G5" i="6"/>
  <c r="G22" i="6"/>
  <c r="G6" i="6"/>
  <c r="G23" i="6"/>
  <c r="G7" i="6"/>
  <c r="G24" i="6"/>
  <c r="C35" i="1"/>
  <c r="I4" i="1"/>
  <c r="E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C37" i="8"/>
  <c r="C36" i="8"/>
  <c r="J4" i="8"/>
  <c r="E36" i="8"/>
  <c r="I36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C36" i="9"/>
  <c r="J4" i="9"/>
  <c r="E36" i="9"/>
  <c r="I36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C36" i="10"/>
  <c r="J4" i="10"/>
  <c r="E36" i="10"/>
  <c r="I36" i="10"/>
  <c r="I4" i="10"/>
  <c r="E2" i="6"/>
  <c r="I5" i="10"/>
  <c r="E3" i="6"/>
  <c r="F3" i="6"/>
  <c r="I6" i="10"/>
  <c r="E4" i="6"/>
  <c r="F4" i="6"/>
  <c r="I7" i="10"/>
  <c r="E5" i="6"/>
  <c r="F5" i="6"/>
  <c r="I8" i="10"/>
  <c r="E6" i="6"/>
  <c r="F6" i="6"/>
  <c r="I9" i="10"/>
  <c r="E7" i="6"/>
  <c r="F7" i="6"/>
  <c r="I10" i="10"/>
  <c r="E8" i="6"/>
  <c r="F8" i="6"/>
  <c r="I11" i="10"/>
  <c r="E9" i="6"/>
  <c r="F9" i="6"/>
  <c r="I12" i="10"/>
  <c r="E10" i="6"/>
  <c r="F10" i="6"/>
  <c r="I13" i="10"/>
  <c r="E11" i="6"/>
  <c r="F11" i="6"/>
  <c r="I14" i="10"/>
  <c r="E12" i="6"/>
  <c r="F12" i="6"/>
  <c r="I15" i="10"/>
  <c r="E13" i="6"/>
  <c r="F13" i="6"/>
  <c r="I16" i="10"/>
  <c r="E14" i="6"/>
  <c r="F14" i="6"/>
  <c r="I17" i="10"/>
  <c r="E15" i="6"/>
  <c r="F15" i="6"/>
  <c r="I18" i="10"/>
  <c r="E16" i="6"/>
  <c r="F16" i="6"/>
  <c r="I19" i="10"/>
  <c r="E17" i="6"/>
  <c r="F17" i="6"/>
  <c r="I20" i="10"/>
  <c r="E18" i="6"/>
  <c r="F18" i="6"/>
  <c r="I21" i="10"/>
  <c r="E19" i="6"/>
  <c r="F19" i="6"/>
  <c r="I22" i="10"/>
  <c r="E20" i="6"/>
  <c r="F20" i="6"/>
  <c r="I23" i="10"/>
  <c r="E21" i="6"/>
  <c r="F21" i="6"/>
  <c r="I24" i="10"/>
  <c r="E22" i="6"/>
  <c r="F22" i="6"/>
  <c r="I25" i="10"/>
  <c r="E23" i="6"/>
  <c r="F23" i="6"/>
  <c r="I26" i="10"/>
  <c r="E24" i="6"/>
  <c r="F24" i="6"/>
  <c r="I27" i="10"/>
  <c r="E25" i="6"/>
  <c r="F25" i="6"/>
  <c r="I28" i="10"/>
  <c r="E26" i="6"/>
  <c r="F26" i="6"/>
  <c r="I29" i="10"/>
  <c r="E27" i="6"/>
  <c r="F27" i="6"/>
  <c r="I30" i="10"/>
  <c r="E28" i="6"/>
  <c r="F28" i="6"/>
  <c r="I31" i="10"/>
  <c r="E29" i="6"/>
  <c r="F29" i="6"/>
  <c r="I32" i="10"/>
  <c r="E30" i="6"/>
  <c r="F30" i="6"/>
  <c r="I33" i="10"/>
  <c r="E31" i="6"/>
  <c r="F31" i="6"/>
  <c r="I34" i="10"/>
  <c r="E32" i="6"/>
  <c r="F32" i="6"/>
  <c r="I32" i="6"/>
  <c r="J32" i="6"/>
  <c r="I31" i="6"/>
  <c r="J31" i="6"/>
  <c r="I30" i="6"/>
  <c r="J30" i="6"/>
  <c r="I29" i="6"/>
  <c r="J29" i="6"/>
  <c r="I28" i="6"/>
  <c r="J28" i="6"/>
  <c r="I27" i="6"/>
  <c r="J27" i="6"/>
  <c r="I26" i="6"/>
  <c r="J26" i="6"/>
  <c r="I25" i="6"/>
  <c r="J25" i="6"/>
  <c r="I24" i="6"/>
  <c r="J24" i="6"/>
  <c r="I23" i="6"/>
  <c r="J23" i="6"/>
  <c r="I22" i="6"/>
  <c r="J22" i="6"/>
  <c r="I21" i="6"/>
  <c r="J21" i="6"/>
  <c r="I20" i="6"/>
  <c r="J20" i="6"/>
  <c r="I19" i="6"/>
  <c r="J19" i="6"/>
  <c r="I18" i="6"/>
  <c r="J18" i="6"/>
  <c r="I17" i="6"/>
  <c r="J17" i="6"/>
  <c r="I16" i="6"/>
  <c r="J16" i="6"/>
  <c r="I15" i="6"/>
  <c r="J15" i="6"/>
  <c r="I14" i="6"/>
  <c r="J14" i="6"/>
  <c r="I13" i="6"/>
  <c r="J13" i="6"/>
  <c r="I12" i="6"/>
  <c r="J12" i="6"/>
  <c r="I11" i="6"/>
  <c r="J11" i="6"/>
  <c r="I10" i="6"/>
  <c r="J10" i="6"/>
  <c r="I9" i="6"/>
  <c r="J9" i="6"/>
  <c r="I8" i="6"/>
  <c r="J8" i="6"/>
  <c r="I7" i="6"/>
  <c r="J7" i="6"/>
  <c r="I6" i="6"/>
  <c r="J6" i="6"/>
  <c r="J5" i="6"/>
  <c r="I5" i="6"/>
  <c r="I4" i="6"/>
  <c r="J4" i="6"/>
  <c r="I3" i="6"/>
  <c r="J3" i="6"/>
  <c r="H35" i="1"/>
  <c r="I2" i="6"/>
  <c r="I35" i="1"/>
  <c r="J2" i="6"/>
  <c r="J36" i="8"/>
  <c r="J36" i="9"/>
  <c r="F2" i="6"/>
  <c r="J36" i="10"/>
  <c r="I4" i="7"/>
  <c r="H2" i="6"/>
  <c r="I36" i="7"/>
  <c r="H32" i="6"/>
</calcChain>
</file>

<file path=xl/sharedStrings.xml><?xml version="1.0" encoding="utf-8"?>
<sst xmlns="http://schemas.openxmlformats.org/spreadsheetml/2006/main" count="274" uniqueCount="57">
  <si>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</si>
  <si>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</si>
  <si>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</si>
  <si>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</si>
  <si>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</si>
  <si>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</si>
  <si>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</si>
  <si>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</si>
  <si>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</si>
  <si>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</si>
  <si>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</si>
  <si>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</si>
  <si>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</si>
  <si>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</si>
  <si>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</si>
  <si>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</si>
  <si>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</si>
  <si>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</si>
  <si>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</si>
  <si>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</si>
  <si>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</si>
  <si>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</si>
  <si>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</si>
  <si>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</si>
  <si>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</si>
  <si>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</si>
  <si>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FAIR</t>
  </si>
  <si>
    <t>ISOLATE RAIN</t>
  </si>
  <si>
    <t>SCATTERED RAIN</t>
  </si>
  <si>
    <t>CLOUDY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</si>
  <si>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</si>
  <si>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</si>
  <si>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</si>
  <si>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</si>
  <si>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</si>
  <si>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</si>
  <si>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</si>
  <si>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</si>
  <si>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</si>
  <si>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</si>
  <si>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(m3)</t>
  </si>
  <si>
    <t>Daily Diesel Consumption</t>
  </si>
  <si>
    <t>BOILER</t>
  </si>
  <si>
    <t>TIME</t>
  </si>
  <si>
    <t>TOTAL</t>
  </si>
  <si>
    <t>Meter Reading</t>
  </si>
  <si>
    <t>Diesel in/Litre</t>
  </si>
  <si>
    <t>NO</t>
  </si>
  <si>
    <t>START</t>
  </si>
  <si>
    <t>STOP</t>
  </si>
  <si>
    <t>HRS</t>
  </si>
  <si>
    <t>(L)</t>
  </si>
  <si>
    <t>Carry foward last Month</t>
  </si>
  <si>
    <t>Diesel In</t>
  </si>
  <si>
    <t>Beach Comber</t>
  </si>
  <si>
    <t>OFF</t>
  </si>
  <si>
    <t>Balance (Litre)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</si>
</sst>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#,##0.0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165" fontId="3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5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6" fontId="1" fillId="3" borderId="3" xfId="0" applyNumberFormat="1" applyFont="1" applyFill="1" applyBorder="1" applyAlignment="1" applyProtection="1">
      <alignment horizontal="center"/>
      <protection locked="0"/>
    </xf>
    <xf numFmtId="166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3" borderId="3" xfId="0" applyNumberFormat="1" applyFill="1" applyBorder="1" applyAlignment="1" applyProtection="1">
      <alignment horizontal="center"/>
      <protection locked="0"/>
    </xf>
    <xf numFmtId="166" fontId="0" fillId="0" borderId="1" xfId="0" applyNumberFormat="1" applyBorder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39" fontId="0" fillId="0" borderId="5" xfId="1" applyNumberFormat="1" applyFont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6" fontId="1" fillId="0" borderId="0" xfId="0" applyNumberFormat="1" applyFont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165" fontId="0" fillId="0" borderId="2" xfId="0" applyNumberFormat="1" applyBorder="1" applyAlignment="1">
      <alignment horizontal="center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7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0" fontId="1" fillId="0" borderId="5" xfId="0" applyFont="1" applyBorder="1" applyAlignment="1">
      <alignment horizontal="center"/>
    </xf>
    <xf numFmtId="166" fontId="1" fillId="3" borderId="5" xfId="0" applyNumberFormat="1" applyFont="1" applyFill="1" applyBorder="1" applyAlignment="1">
      <alignment horizontal="center"/>
    </xf>
    <xf numFmtId="166" fontId="1" fillId="3" borderId="4" xfId="0" applyNumberFormat="1" applyFont="1" applyFill="1" applyBorder="1" applyAlignment="1" applyProtection="1">
      <alignment horizontal="center"/>
      <protection locked="0"/>
    </xf>
    <xf numFmtId="166" fontId="1" fillId="0" borderId="5" xfId="0" applyNumberFormat="1" applyFont="1" applyBorder="1" applyAlignment="1">
      <alignment horizontal="center"/>
    </xf>
    <xf numFmtId="9" fontId="6" fillId="2" borderId="1" xfId="0" applyNumberFormat="1" applyFont="1" applyFill="1" applyBorder="1" applyAlignment="1" applyProtection="1">
      <alignment horizontal="center"/>
      <protection locked="0"/>
    </xf>
    <xf numFmtId="0" fontId="1" fillId="0" borderId="8" xfId="0" applyFont="1" applyBorder="1" applyAlignment="1">
      <alignment horizontal="center"/>
    </xf>
    <xf numFmtId="166" fontId="1" fillId="3" borderId="9" xfId="0" applyNumberFormat="1" applyFont="1" applyFill="1" applyBorder="1" applyAlignment="1" applyProtection="1">
      <alignment horizontal="center"/>
      <protection locked="0"/>
    </xf>
    <xf numFmtId="166" fontId="1" fillId="0" borderId="8" xfId="0" applyNumberFormat="1" applyFont="1" applyBorder="1" applyAlignment="1">
      <alignment horizontal="center"/>
    </xf>
    <xf numFmtId="165" fontId="3" fillId="0" borderId="13" xfId="0" applyNumberFormat="1" applyFont="1" applyBorder="1"/>
    <xf numFmtId="0" fontId="2" fillId="0" borderId="14" xfId="0" applyFont="1" applyBorder="1" applyAlignment="1">
      <alignment horizontal="center"/>
    </xf>
    <xf numFmtId="39" fontId="2" fillId="0" borderId="14" xfId="1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39" fontId="2" fillId="0" borderId="14" xfId="1" applyNumberFormat="1" applyFont="1" applyFill="1" applyBorder="1" applyAlignment="1">
      <alignment horizontal="center"/>
    </xf>
    <xf numFmtId="166" fontId="2" fillId="0" borderId="16" xfId="0" applyNumberFormat="1" applyFont="1" applyBorder="1" applyAlignment="1">
      <alignment horizontal="center" wrapText="1"/>
    </xf>
    <xf numFmtId="165" fontId="0" fillId="0" borderId="17" xfId="0" applyNumberFormat="1" applyBorder="1"/>
    <xf numFmtId="166" fontId="2" fillId="0" borderId="18" xfId="0" applyNumberFormat="1" applyFon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6" fontId="0" fillId="6" borderId="18" xfId="0" applyNumberFormat="1" applyFill="1" applyBorder="1" applyAlignment="1" applyProtection="1">
      <alignment horizontal="center"/>
      <protection locked="0"/>
    </xf>
    <xf numFmtId="166" fontId="12" fillId="7" borderId="18" xfId="0" applyNumberFormat="1" applyFont="1" applyFill="1" applyBorder="1" applyAlignment="1" applyProtection="1">
      <alignment horizontal="center"/>
      <protection locked="0"/>
    </xf>
    <xf numFmtId="166" fontId="0" fillId="0" borderId="18" xfId="0" applyNumberFormat="1" applyBorder="1" applyAlignment="1" applyProtection="1">
      <alignment horizontal="center"/>
      <protection locked="0"/>
    </xf>
    <xf numFmtId="166" fontId="1" fillId="0" borderId="18" xfId="0" applyNumberFormat="1" applyFont="1" applyBorder="1" applyAlignment="1" applyProtection="1">
      <alignment horizontal="center"/>
      <protection locked="0"/>
    </xf>
    <xf numFmtId="166" fontId="1" fillId="4" borderId="18" xfId="0" applyNumberFormat="1" applyFont="1" applyFill="1" applyBorder="1" applyAlignment="1" applyProtection="1">
      <alignment horizontal="center"/>
      <protection locked="0"/>
    </xf>
    <xf numFmtId="166" fontId="12" fillId="7" borderId="19" xfId="0" applyNumberFormat="1" applyFont="1" applyFill="1" applyBorder="1" applyAlignment="1">
      <alignment horizontal="center"/>
    </xf>
    <xf numFmtId="166" fontId="1" fillId="4" borderId="20" xfId="0" applyNumberFormat="1" applyFont="1" applyFill="1" applyBorder="1" applyAlignment="1" applyProtection="1">
      <alignment horizontal="center"/>
      <protection locked="0"/>
    </xf>
    <xf numFmtId="166" fontId="1" fillId="0" borderId="21" xfId="0" applyNumberFormat="1" applyFont="1" applyBorder="1" applyAlignment="1" applyProtection="1">
      <alignment horizontal="center"/>
      <protection locked="0"/>
    </xf>
    <xf numFmtId="0" fontId="0" fillId="0" borderId="24" xfId="0" applyBorder="1" applyAlignment="1">
      <alignment horizontal="center"/>
    </xf>
    <xf numFmtId="39" fontId="0" fillId="0" borderId="24" xfId="1" applyNumberFormat="1" applyFont="1" applyBorder="1" applyAlignment="1">
      <alignment horizontal="center"/>
    </xf>
    <xf numFmtId="3" fontId="2" fillId="0" borderId="23" xfId="0" applyNumberFormat="1" applyFont="1" applyBorder="1" applyAlignment="1">
      <alignment horizontal="center"/>
    </xf>
    <xf numFmtId="0" fontId="0" fillId="0" borderId="24" xfId="0" applyBorder="1"/>
    <xf numFmtId="39" fontId="2" fillId="0" borderId="24" xfId="1" applyNumberFormat="1" applyFont="1" applyBorder="1" applyAlignment="1">
      <alignment horizontal="center"/>
    </xf>
    <xf numFmtId="166" fontId="11" fillId="5" borderId="25" xfId="0" quotePrefix="1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66" fontId="0" fillId="6" borderId="12" xfId="0" applyNumberFormat="1" applyFill="1" applyBorder="1" applyAlignment="1">
      <alignment horizontal="center"/>
    </xf>
    <xf numFmtId="166" fontId="0" fillId="6" borderId="11" xfId="0" applyNumberFormat="1" applyFill="1" applyBorder="1" applyAlignment="1">
      <alignment horizontal="center"/>
    </xf>
    <xf numFmtId="1" fontId="2" fillId="0" borderId="22" xfId="0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7" borderId="0" xfId="0" applyNumberFormat="1" applyFill="1" applyAlignment="1">
      <alignment horizontal="center"/>
    </xf>
    <xf numFmtId="166" fontId="0" fillId="6" borderId="10" xfId="0" applyNumberForma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E7" sqref="E7"/>
    </sheetView>
  </sheetViews>
  <sheetFormatPr defaultColWidth="9.109375" defaultRowHeight="13.2" x14ac:dyDescent="0.25"/>
  <cols>
    <col min="1" max="1" width="12.6640625" style="23" bestFit="1" customWidth="1"/>
    <col min="2" max="4" width="9.109375" style="23"/>
    <col min="5" max="5" width="14.33203125" style="23" customWidth="1"/>
    <col min="6" max="6" width="12.109375" style="23" customWidth="1"/>
    <col min="7" max="7" width="9.109375" style="23"/>
    <col min="8" max="8" width="19.33203125" style="23" customWidth="1"/>
    <col min="9" max="9" width="13.5546875" style="23" customWidth="1"/>
    <col min="10" max="10" width="11.33203125" style="23" customWidth="1"/>
    <col min="11" max="16384" width="9.109375" style="23"/>
  </cols>
  <sheetData>
    <row r="1" spans="1:12" ht="57.6" x14ac:dyDescent="0.25">
      <c r="A1" s="18" t="s">
        <v>0</v>
      </c>
      <c r="B1" s="18" t="s">
        <v>1</v>
      </c>
      <c r="C1" s="19" t="s">
        <v>2</v>
      </c>
      <c r="D1" s="18" t="s">
        <v>3</v>
      </c>
      <c r="E1" s="20" t="s">
        <v>4</v>
      </c>
      <c r="F1" s="21" t="s">
        <v>5</v>
      </c>
      <c r="G1" s="20" t="s">
        <v>6</v>
      </c>
      <c r="H1" s="21" t="s">
        <v>7</v>
      </c>
      <c r="I1" s="20" t="s">
        <v>8</v>
      </c>
      <c r="J1" s="22" t="s">
        <v>9</v>
      </c>
      <c r="K1" s="20" t="s">
        <v>10</v>
      </c>
      <c r="L1" s="20" t="s">
        <v>11</v>
      </c>
    </row>
    <row r="2" spans="1:12" ht="14.4" x14ac:dyDescent="0.3">
      <c r="A2" s="24" t="s">
        <v>12</v>
      </c>
      <c r="B2" s="25">
        <v>1</v>
      </c>
      <c r="C2" s="26">
        <v>12</v>
      </c>
      <c r="D2" s="25">
        <v>2022</v>
      </c>
      <c r="E2" s="27">
        <f>'B16'!I4+'B16 ext'!I4+'B17'!I4</f>
        <v>18785</v>
      </c>
      <c r="F2" s="29">
        <f>('B16'!J4+'B16 ext'!J4+'B17'!J4)/TOTAL!E2</f>
        <v>0.25043076923076923</v>
      </c>
      <c r="G2" s="27">
        <f>'Diesel Reading Oct'!H4</f>
        <v>444.80000000004657</v>
      </c>
      <c r="H2" s="28">
        <f>'Diesel Reading Oct'!I4/'Diesel Reading Oct'!H4</f>
        <v>2.8399999999999994</v>
      </c>
      <c r="I2" s="27">
        <f>'Water Reading'!H4</f>
        <v>14</v>
      </c>
      <c r="J2" s="29">
        <f>'Water Reading'!I4/'Water Reading'!H4</f>
        <v>1.35</v>
      </c>
      <c r="K2" s="27">
        <v>58</v>
      </c>
      <c r="L2" s="27"/>
    </row>
    <row r="3" spans="1:12" ht="14.4" x14ac:dyDescent="0.3">
      <c r="A3" s="24" t="s">
        <v>12</v>
      </c>
      <c r="B3" s="25">
        <f>B2+1</f>
        <v>2</v>
      </c>
      <c r="C3" s="26">
        <v>12</v>
      </c>
      <c r="D3" s="25">
        <v>2022</v>
      </c>
      <c r="E3" s="27">
        <f>'B16'!I5+'B16 ext'!I5+'B17'!I5</f>
        <v>17963</v>
      </c>
      <c r="F3" s="29">
        <f>('B16'!J5+'B16 ext'!J5+'B17'!J5)/TOTAL!E3</f>
        <v>0.24691337749819073</v>
      </c>
      <c r="G3" s="27">
        <f>'Diesel Reading Oct'!H5</f>
        <v>506.69999999995343</v>
      </c>
      <c r="H3" s="28">
        <f>'Diesel Reading Oct'!I5/'Diesel Reading Oct'!H5</f>
        <v>2.84</v>
      </c>
      <c r="I3" s="27">
        <f>'Water Reading'!H5</f>
        <v>17</v>
      </c>
      <c r="J3" s="29">
        <f>'Water Reading'!I5/'Water Reading'!H5</f>
        <v>1.35</v>
      </c>
      <c r="K3" s="27">
        <v>50</v>
      </c>
      <c r="L3" s="27"/>
    </row>
    <row r="4" spans="1:12" ht="14.4" x14ac:dyDescent="0.3">
      <c r="A4" s="24" t="s">
        <v>12</v>
      </c>
      <c r="B4" s="25">
        <f t="shared" ref="B4:B31" si="0">B3+1</f>
        <v>3</v>
      </c>
      <c r="C4" s="26">
        <v>12</v>
      </c>
      <c r="D4" s="25">
        <v>2022</v>
      </c>
      <c r="E4" s="27">
        <f>'B16'!I6+'B16 ext'!I6+'B17'!I6</f>
        <v>17479</v>
      </c>
      <c r="F4" s="29">
        <f>('B16'!J6+'B16 ext'!J6+'B17'!J6)/TOTAL!E4</f>
        <v>0.25067189198466727</v>
      </c>
      <c r="G4" s="27">
        <f>'Diesel Reading Oct'!H6</f>
        <v>472.10000000009313</v>
      </c>
      <c r="H4" s="28">
        <f>'Diesel Reading Oct'!I6/'Diesel Reading Oct'!H6</f>
        <v>2.84</v>
      </c>
      <c r="I4" s="27">
        <f>'Water Reading'!H6</f>
        <v>5</v>
      </c>
      <c r="J4" s="29">
        <f>'Water Reading'!I6/'Water Reading'!H6</f>
        <v>1.35</v>
      </c>
      <c r="K4" s="27">
        <v>56</v>
      </c>
      <c r="L4" s="27"/>
    </row>
    <row r="5" spans="1:12" ht="14.4" x14ac:dyDescent="0.3">
      <c r="A5" s="24" t="s">
        <v>12</v>
      </c>
      <c r="B5" s="25">
        <f t="shared" si="0"/>
        <v>4</v>
      </c>
      <c r="C5" s="26">
        <v>12</v>
      </c>
      <c r="D5" s="25">
        <v>2022</v>
      </c>
      <c r="E5" s="27">
        <f>'B16'!I7+'B16 ext'!I7+'B17'!I7</f>
        <v>20763</v>
      </c>
      <c r="F5" s="29">
        <f>('B16'!J7+'B16 ext'!J7+'B17'!J7)/TOTAL!E5</f>
        <v>0.23624490680537497</v>
      </c>
      <c r="G5" s="27">
        <f>'Diesel Reading Oct'!H7</f>
        <v>414.0999999998603</v>
      </c>
      <c r="H5" s="28">
        <f>'Diesel Reading Oct'!I7/'Diesel Reading Oct'!H7</f>
        <v>2.8399999999999994</v>
      </c>
      <c r="I5" s="27">
        <f>'Water Reading'!H7</f>
        <v>48</v>
      </c>
      <c r="J5" s="29">
        <f>'Water Reading'!I7/'Water Reading'!H7</f>
        <v>1.3499999999999999</v>
      </c>
      <c r="K5" s="27">
        <v>34</v>
      </c>
      <c r="L5" s="27"/>
    </row>
    <row r="6" spans="1:12" ht="14.4" x14ac:dyDescent="0.3">
      <c r="A6" s="24" t="s">
        <v>12</v>
      </c>
      <c r="B6" s="25">
        <f t="shared" si="0"/>
        <v>5</v>
      </c>
      <c r="C6" s="26">
        <v>12</v>
      </c>
      <c r="D6" s="25">
        <v>2022</v>
      </c>
      <c r="E6" s="27">
        <f>'B16'!I8+'B16 ext'!I8+'B17'!I8</f>
        <v>17290</v>
      </c>
      <c r="F6" s="29">
        <f>('B16'!J8+'B16 ext'!J8+'B17'!J8)/TOTAL!E6</f>
        <v>0.24944210526315785</v>
      </c>
      <c r="G6" s="27">
        <f>'Diesel Reading Oct'!H8</f>
        <v>428.20000000018626</v>
      </c>
      <c r="H6" s="28">
        <f>'Diesel Reading Oct'!I8/'Diesel Reading Oct'!H8</f>
        <v>2.84</v>
      </c>
      <c r="I6" s="27">
        <f>'Water Reading'!H8</f>
        <v>14</v>
      </c>
      <c r="J6" s="29">
        <f>'Water Reading'!I8/'Water Reading'!H8</f>
        <v>1.3499999999999999</v>
      </c>
      <c r="K6" s="27">
        <v>25</v>
      </c>
      <c r="L6" s="27"/>
    </row>
    <row r="7" spans="1:12" ht="14.4" x14ac:dyDescent="0.3">
      <c r="A7" s="24" t="s">
        <v>12</v>
      </c>
      <c r="B7" s="25">
        <f t="shared" si="0"/>
        <v>6</v>
      </c>
      <c r="C7" s="26">
        <v>12</v>
      </c>
      <c r="D7" s="25">
        <v>2022</v>
      </c>
      <c r="E7" s="27">
        <f>'B16'!I9+'B16 ext'!I9+'B17'!I9</f>
        <v>20827</v>
      </c>
      <c r="F7" s="29">
        <f>('B16'!J9+'B16 ext'!J9+'B17'!J9)/TOTAL!E7</f>
        <v>0.24567215633552597</v>
      </c>
      <c r="G7" s="27">
        <f>'Diesel Reading Oct'!H9</f>
        <v>0</v>
      </c>
      <c r="H7" s="28" t="e">
        <f>'Diesel Reading Oct'!I9/'Diesel Reading Oct'!H9</f>
        <v>#DIV/0!</v>
      </c>
      <c r="I7" s="27">
        <f>'Water Reading'!H9</f>
        <v>1</v>
      </c>
      <c r="J7" s="29">
        <f>'Water Reading'!I9/'Water Reading'!H9</f>
        <v>1.35</v>
      </c>
      <c r="K7" s="27">
        <v>15</v>
      </c>
      <c r="L7" s="27"/>
    </row>
    <row r="8" spans="1:12" ht="14.4" x14ac:dyDescent="0.3">
      <c r="A8" s="24" t="s">
        <v>12</v>
      </c>
      <c r="B8" s="25">
        <f t="shared" si="0"/>
        <v>7</v>
      </c>
      <c r="C8" s="26">
        <v>12</v>
      </c>
      <c r="D8" s="25">
        <v>2022</v>
      </c>
      <c r="E8" s="27">
        <f>'B16'!I10+'B16 ext'!I10+'B17'!I10</f>
        <v>14568</v>
      </c>
      <c r="F8" s="29">
        <f>('B16'!J10+'B16 ext'!J10+'B17'!J10)/TOTAL!E8</f>
        <v>0.25762891268533772</v>
      </c>
      <c r="G8" s="27">
        <f>'Diesel Reading Oct'!H11</f>
        <v>540.4000000001397</v>
      </c>
      <c r="H8" s="28">
        <f>'Diesel Reading Oct'!I11/'Diesel Reading Oct'!H11</f>
        <v>2.84</v>
      </c>
      <c r="I8" s="27">
        <f>'Water Reading'!H10</f>
        <v>1</v>
      </c>
      <c r="J8" s="29">
        <f>'Water Reading'!I10/'Water Reading'!H10</f>
        <v>1.35</v>
      </c>
      <c r="K8" s="27">
        <v>81</v>
      </c>
      <c r="L8" s="27"/>
    </row>
    <row r="9" spans="1:12" ht="14.4" x14ac:dyDescent="0.3">
      <c r="A9" s="24" t="s">
        <v>12</v>
      </c>
      <c r="B9" s="25">
        <f t="shared" si="0"/>
        <v>8</v>
      </c>
      <c r="C9" s="26">
        <v>12</v>
      </c>
      <c r="D9" s="25">
        <v>2022</v>
      </c>
      <c r="E9" s="27">
        <f>'B16'!I11+'B16 ext'!I11+'B17'!I11</f>
        <v>15919</v>
      </c>
      <c r="F9" s="29">
        <f>('B16'!J11+'B16 ext'!J11+'B17'!J11)/TOTAL!E9</f>
        <v>0.24371574847666314</v>
      </c>
      <c r="G9" s="27">
        <f>'Diesel Reading Oct'!H12</f>
        <v>595.39999999990687</v>
      </c>
      <c r="H9" s="28">
        <f>'Diesel Reading Oct'!I12/'Diesel Reading Oct'!H12</f>
        <v>2.84</v>
      </c>
      <c r="I9" s="27">
        <f>'Water Reading'!H11</f>
        <v>1</v>
      </c>
      <c r="J9" s="29">
        <f>'Water Reading'!I11/'Water Reading'!H11</f>
        <v>1.35</v>
      </c>
      <c r="K9" s="27">
        <v>81</v>
      </c>
      <c r="L9" s="27"/>
    </row>
    <row r="10" spans="1:12" ht="14.4" x14ac:dyDescent="0.3">
      <c r="A10" s="24" t="s">
        <v>12</v>
      </c>
      <c r="B10" s="25">
        <f t="shared" si="0"/>
        <v>9</v>
      </c>
      <c r="C10" s="26">
        <v>12</v>
      </c>
      <c r="D10" s="25">
        <v>2022</v>
      </c>
      <c r="E10" s="27">
        <f>'B16'!I12+'B16 ext'!I12+'B17'!I12</f>
        <v>11628</v>
      </c>
      <c r="F10" s="29">
        <f>('B16'!J12+'B16 ext'!J12+'B17'!J12)/TOTAL!E10</f>
        <v>0.27562848297213621</v>
      </c>
      <c r="G10" s="27">
        <f>'Diesel Reading Oct'!H13</f>
        <v>497.30000000004657</v>
      </c>
      <c r="H10" s="28">
        <f>'Diesel Reading Oct'!I13/'Diesel Reading Oct'!H13</f>
        <v>2.84</v>
      </c>
      <c r="I10" s="27">
        <f>'Water Reading'!H12</f>
        <v>0</v>
      </c>
      <c r="J10" s="29" t="e">
        <f>'Water Reading'!I12/'Water Reading'!H12</f>
        <v>#DIV/0!</v>
      </c>
      <c r="K10" s="27">
        <v>81</v>
      </c>
      <c r="L10" s="27"/>
    </row>
    <row r="11" spans="1:12" ht="14.4" x14ac:dyDescent="0.3">
      <c r="A11" s="24" t="s">
        <v>12</v>
      </c>
      <c r="B11" s="25">
        <f t="shared" si="0"/>
        <v>10</v>
      </c>
      <c r="C11" s="26">
        <v>12</v>
      </c>
      <c r="D11" s="25">
        <v>2022</v>
      </c>
      <c r="E11" s="27">
        <f>'B16'!I13+'B16 ext'!I13+'B17'!I13</f>
        <v>15709</v>
      </c>
      <c r="F11" s="29">
        <f>('B16'!J13+'B16 ext'!J13+'B17'!J13)/TOTAL!E11</f>
        <v>0.25141925011140109</v>
      </c>
      <c r="G11" s="27">
        <f>'Diesel Reading Oct'!H14</f>
        <v>0</v>
      </c>
      <c r="H11" s="28" t="e">
        <f>'Diesel Reading Oct'!I14/'Diesel Reading Oct'!H14</f>
        <v>#DIV/0!</v>
      </c>
      <c r="I11" s="27">
        <f>'Water Reading'!H13</f>
        <v>3</v>
      </c>
      <c r="J11" s="29">
        <f>'Water Reading'!I13/'Water Reading'!H13</f>
        <v>1.3500000000000003</v>
      </c>
      <c r="K11" s="27">
        <v>35</v>
      </c>
      <c r="L11" s="27"/>
    </row>
    <row r="12" spans="1:12" ht="14.4" x14ac:dyDescent="0.3">
      <c r="A12" s="24" t="s">
        <v>12</v>
      </c>
      <c r="B12" s="25">
        <f t="shared" si="0"/>
        <v>11</v>
      </c>
      <c r="C12" s="26">
        <v>12</v>
      </c>
      <c r="D12" s="25">
        <v>2022</v>
      </c>
      <c r="E12" s="27">
        <f>'B16'!I14+'B16 ext'!I14+'B17'!I14</f>
        <v>16589</v>
      </c>
      <c r="F12" s="29">
        <f>('B16'!J14+'B16 ext'!J14+'B17'!J14)/TOTAL!E12</f>
        <v>0.25128549038519499</v>
      </c>
      <c r="G12" s="27">
        <f>'Diesel Reading Oct'!H15</f>
        <v>410.5999999998603</v>
      </c>
      <c r="H12" s="28">
        <f>'Diesel Reading Oct'!I15/'Diesel Reading Oct'!H15</f>
        <v>2.84</v>
      </c>
      <c r="I12" s="27">
        <f>'Water Reading'!H14</f>
        <v>11</v>
      </c>
      <c r="J12" s="29">
        <f>'Water Reading'!I14/'Water Reading'!H14</f>
        <v>1.35</v>
      </c>
      <c r="K12" s="27">
        <v>43</v>
      </c>
      <c r="L12" s="27"/>
    </row>
    <row r="13" spans="1:12" ht="14.4" x14ac:dyDescent="0.3">
      <c r="A13" s="24" t="s">
        <v>12</v>
      </c>
      <c r="B13" s="25">
        <f t="shared" si="0"/>
        <v>12</v>
      </c>
      <c r="C13" s="26">
        <v>12</v>
      </c>
      <c r="D13" s="25">
        <v>2022</v>
      </c>
      <c r="E13" s="27">
        <f>'B16'!I15+'B16 ext'!I15+'B17'!I15</f>
        <v>17618</v>
      </c>
      <c r="F13" s="29">
        <f>('B16'!J15+'B16 ext'!J15+'B17'!J15)/TOTAL!E13</f>
        <v>0.24912668861391757</v>
      </c>
      <c r="G13" s="27">
        <f>'Diesel Reading Oct'!H16</f>
        <v>115</v>
      </c>
      <c r="H13" s="28">
        <f>'Diesel Reading Oct'!I16/'Diesel Reading Oct'!H16</f>
        <v>2.84</v>
      </c>
      <c r="I13" s="27">
        <f>'Water Reading'!H15</f>
        <v>25</v>
      </c>
      <c r="J13" s="29">
        <f>'Water Reading'!I15/'Water Reading'!H15</f>
        <v>1.3500000000000003</v>
      </c>
      <c r="K13" s="27">
        <v>56</v>
      </c>
      <c r="L13" s="27"/>
    </row>
    <row r="14" spans="1:12" ht="14.4" x14ac:dyDescent="0.3">
      <c r="A14" s="24" t="s">
        <v>12</v>
      </c>
      <c r="B14" s="25">
        <f t="shared" si="0"/>
        <v>13</v>
      </c>
      <c r="C14" s="26">
        <v>12</v>
      </c>
      <c r="D14" s="25">
        <v>2022</v>
      </c>
      <c r="E14" s="27">
        <f>'B16'!I16+'B16 ext'!I16+'B17'!I16</f>
        <v>17443</v>
      </c>
      <c r="F14" s="29">
        <f>('B16'!J16+'B16 ext'!J16+'B17'!J16)/TOTAL!E14</f>
        <v>0.25146029926044833</v>
      </c>
      <c r="G14" s="27">
        <f>'Diesel Reading Oct'!H17</f>
        <v>515.60000000009313</v>
      </c>
      <c r="H14" s="28">
        <f>'Diesel Reading Oct'!I17/'Diesel Reading Oct'!H17</f>
        <v>2.84</v>
      </c>
      <c r="I14" s="27">
        <f>'Water Reading'!H16</f>
        <v>32</v>
      </c>
      <c r="J14" s="29">
        <f>'Water Reading'!I16/'Water Reading'!H16</f>
        <v>1.35</v>
      </c>
      <c r="K14" s="27">
        <v>57</v>
      </c>
      <c r="L14" s="27"/>
    </row>
    <row r="15" spans="1:12" ht="14.4" x14ac:dyDescent="0.3">
      <c r="A15" s="24" t="s">
        <v>12</v>
      </c>
      <c r="B15" s="25">
        <f t="shared" si="0"/>
        <v>14</v>
      </c>
      <c r="C15" s="26">
        <v>12</v>
      </c>
      <c r="D15" s="25">
        <v>2022</v>
      </c>
      <c r="E15" s="27">
        <f>'B16'!I17+'B16 ext'!I17+'B17'!I17</f>
        <v>20859</v>
      </c>
      <c r="F15" s="29">
        <f>('B16'!J17+'B16 ext'!J17+'B17'!J17)/TOTAL!E15</f>
        <v>0.24543376959585789</v>
      </c>
      <c r="G15" s="27">
        <f>'Diesel Reading Oct'!H18</f>
        <v>504.5999999998603</v>
      </c>
      <c r="H15" s="28">
        <f>'Diesel Reading Oct'!I18/'Diesel Reading Oct'!H18</f>
        <v>2.84</v>
      </c>
      <c r="I15" s="27">
        <f>'Water Reading'!H17</f>
        <v>32</v>
      </c>
      <c r="J15" s="29">
        <f>'Water Reading'!I17/'Water Reading'!H17</f>
        <v>1.35</v>
      </c>
      <c r="K15" s="27">
        <v>57</v>
      </c>
      <c r="L15" s="27"/>
    </row>
    <row r="16" spans="1:12" ht="14.4" x14ac:dyDescent="0.3">
      <c r="A16" s="24" t="s">
        <v>12</v>
      </c>
      <c r="B16" s="25">
        <f t="shared" si="0"/>
        <v>15</v>
      </c>
      <c r="C16" s="26">
        <v>12</v>
      </c>
      <c r="D16" s="25">
        <v>2022</v>
      </c>
      <c r="E16" s="27">
        <f>'B16'!I18+'B16 ext'!I18+'B17'!I18</f>
        <v>19921</v>
      </c>
      <c r="F16" s="29">
        <f>('B16'!J18+'B16 ext'!J18+'B17'!J18)/TOTAL!E16</f>
        <v>0.24181918578384617</v>
      </c>
      <c r="G16" s="27">
        <f>'Diesel Reading Oct'!H19</f>
        <v>448</v>
      </c>
      <c r="H16" s="28">
        <f>'Diesel Reading Oct'!I19/'Diesel Reading Oct'!H19</f>
        <v>2.84</v>
      </c>
      <c r="I16" s="27">
        <f>'Water Reading'!H18</f>
        <v>1</v>
      </c>
      <c r="J16" s="29">
        <f>'Water Reading'!I18/'Water Reading'!H18</f>
        <v>1.35</v>
      </c>
      <c r="K16" s="27">
        <v>61</v>
      </c>
      <c r="L16" s="27"/>
    </row>
    <row r="17" spans="1:12" ht="14.4" x14ac:dyDescent="0.3">
      <c r="A17" s="24" t="s">
        <v>12</v>
      </c>
      <c r="B17" s="25">
        <f t="shared" si="0"/>
        <v>16</v>
      </c>
      <c r="C17" s="26">
        <v>12</v>
      </c>
      <c r="D17" s="25">
        <v>2022</v>
      </c>
      <c r="E17" s="27">
        <f>'B16'!I19+'B16 ext'!I19+'B17'!I19</f>
        <v>14725</v>
      </c>
      <c r="F17" s="29">
        <f>('B16'!J19+'B16 ext'!J19+'B17'!J19)/TOTAL!E17</f>
        <v>0.26436020373514429</v>
      </c>
      <c r="G17" s="27">
        <f>'Diesel Reading Oct'!H20</f>
        <v>505.5</v>
      </c>
      <c r="H17" s="28">
        <f>'Diesel Reading Oct'!I20/'Diesel Reading Oct'!H20</f>
        <v>2.84</v>
      </c>
      <c r="I17" s="27">
        <f>'Water Reading'!H19</f>
        <v>5</v>
      </c>
      <c r="J17" s="29">
        <f>'Water Reading'!I19/'Water Reading'!H19</f>
        <v>1.35</v>
      </c>
      <c r="K17" s="27">
        <v>43</v>
      </c>
      <c r="L17" s="27"/>
    </row>
    <row r="18" spans="1:12" ht="14.4" x14ac:dyDescent="0.3">
      <c r="A18" s="24" t="s">
        <v>12</v>
      </c>
      <c r="B18" s="25">
        <f t="shared" si="0"/>
        <v>17</v>
      </c>
      <c r="C18" s="26">
        <v>12</v>
      </c>
      <c r="D18" s="25">
        <v>2022</v>
      </c>
      <c r="E18" s="27">
        <f>'B16'!I20+'B16 ext'!I20+'B17'!I20</f>
        <v>15662</v>
      </c>
      <c r="F18" s="29">
        <f>('B16'!J20+'B16 ext'!J20+'B17'!J20)/TOTAL!E18</f>
        <v>0.24790761077767842</v>
      </c>
      <c r="G18" s="27">
        <f>'Diesel Reading Oct'!H21</f>
        <v>508.60000000009313</v>
      </c>
      <c r="H18" s="28">
        <f>'Diesel Reading Oct'!I21/'Diesel Reading Oct'!H21</f>
        <v>2.84</v>
      </c>
      <c r="I18" s="27">
        <f>'Water Reading'!H20</f>
        <v>6</v>
      </c>
      <c r="J18" s="29">
        <f>'Water Reading'!I20/'Water Reading'!H20</f>
        <v>1.3500000000000003</v>
      </c>
      <c r="K18" s="27">
        <v>50</v>
      </c>
      <c r="L18" s="27"/>
    </row>
    <row r="19" spans="1:12" ht="14.4" x14ac:dyDescent="0.3">
      <c r="A19" s="24" t="s">
        <v>12</v>
      </c>
      <c r="B19" s="25">
        <f t="shared" si="0"/>
        <v>18</v>
      </c>
      <c r="C19" s="26">
        <v>12</v>
      </c>
      <c r="D19" s="25">
        <v>2022</v>
      </c>
      <c r="E19" s="27">
        <f>'B16'!I21+'B16 ext'!I21+'B17'!I21</f>
        <v>15177</v>
      </c>
      <c r="F19" s="29">
        <f>('B16'!J21+'B16 ext'!J21+'B17'!J21)/TOTAL!E19</f>
        <v>0.25256513144890291</v>
      </c>
      <c r="G19" s="27">
        <f>'Diesel Reading Oct'!H22</f>
        <v>412.69999999995343</v>
      </c>
      <c r="H19" s="28">
        <f>'Diesel Reading Oct'!I22/'Diesel Reading Oct'!H22</f>
        <v>2.84</v>
      </c>
      <c r="I19" s="27">
        <f>'Water Reading'!H21</f>
        <v>12</v>
      </c>
      <c r="J19" s="29">
        <f>'Water Reading'!I21/'Water Reading'!H21</f>
        <v>1.3500000000000003</v>
      </c>
      <c r="K19" s="27">
        <v>56</v>
      </c>
      <c r="L19" s="27"/>
    </row>
    <row r="20" spans="1:12" ht="14.4" x14ac:dyDescent="0.3">
      <c r="A20" s="24" t="s">
        <v>12</v>
      </c>
      <c r="B20" s="25">
        <f t="shared" si="0"/>
        <v>19</v>
      </c>
      <c r="C20" s="26">
        <v>12</v>
      </c>
      <c r="D20" s="25">
        <v>2022</v>
      </c>
      <c r="E20" s="27">
        <f>'B16'!I22+'B16 ext'!I22+'B17'!I22</f>
        <v>16691</v>
      </c>
      <c r="F20" s="29">
        <f>('B16'!J22+'B16 ext'!J22+'B17'!J22)/TOTAL!E20</f>
        <v>0.24859037804804984</v>
      </c>
      <c r="G20" s="27">
        <f>'Diesel Reading Oct'!H23</f>
        <v>499.80000000004657</v>
      </c>
      <c r="H20" s="28">
        <f>'Diesel Reading Oct'!I23/'Diesel Reading Oct'!H23</f>
        <v>2.84</v>
      </c>
      <c r="I20" s="27">
        <f>'Water Reading'!H22</f>
        <v>1</v>
      </c>
      <c r="J20" s="29">
        <f>'Water Reading'!I22/'Water Reading'!H22</f>
        <v>1.35</v>
      </c>
      <c r="K20" s="27">
        <v>65</v>
      </c>
      <c r="L20" s="27"/>
    </row>
    <row r="21" spans="1:12" ht="14.4" x14ac:dyDescent="0.3">
      <c r="A21" s="24" t="s">
        <v>12</v>
      </c>
      <c r="B21" s="25">
        <f t="shared" si="0"/>
        <v>20</v>
      </c>
      <c r="C21" s="26">
        <v>12</v>
      </c>
      <c r="D21" s="25">
        <v>2022</v>
      </c>
      <c r="E21" s="27">
        <f>'B16'!I23+'B16 ext'!I23+'B17'!I23</f>
        <v>18938</v>
      </c>
      <c r="F21" s="29">
        <f>('B16'!J23+'B16 ext'!J23+'B17'!J23)/TOTAL!E21</f>
        <v>0.25247507656563523</v>
      </c>
      <c r="G21" s="27">
        <f>'Diesel Reading Oct'!H24</f>
        <v>494.60000000009313</v>
      </c>
      <c r="H21" s="28">
        <f>'Diesel Reading Oct'!I24/'Diesel Reading Oct'!H24</f>
        <v>2.84</v>
      </c>
      <c r="I21" s="27">
        <f>'Water Reading'!H23</f>
        <v>12</v>
      </c>
      <c r="J21" s="29">
        <f>'Water Reading'!I23/'Water Reading'!H23</f>
        <v>1.3499999999999999</v>
      </c>
      <c r="K21" s="27">
        <v>68</v>
      </c>
      <c r="L21" s="27"/>
    </row>
    <row r="22" spans="1:12" ht="14.4" x14ac:dyDescent="0.3">
      <c r="A22" s="24" t="s">
        <v>12</v>
      </c>
      <c r="B22" s="25">
        <f t="shared" si="0"/>
        <v>21</v>
      </c>
      <c r="C22" s="26">
        <v>12</v>
      </c>
      <c r="D22" s="25">
        <v>2022</v>
      </c>
      <c r="E22" s="27">
        <f>'B16'!I24+'B16 ext'!I24+'B17'!I24</f>
        <v>18208</v>
      </c>
      <c r="F22" s="29">
        <f>('B16'!J24+'B16 ext'!J24+'B17'!J24)/TOTAL!E22</f>
        <v>0.25075818321616872</v>
      </c>
      <c r="G22" s="27">
        <f>'Diesel Reading Oct'!H25</f>
        <v>540.5</v>
      </c>
      <c r="H22" s="28">
        <f>'Diesel Reading Oct'!I25/'Diesel Reading Oct'!H25</f>
        <v>2.84</v>
      </c>
      <c r="I22" s="27">
        <f>'Water Reading'!H24</f>
        <v>8</v>
      </c>
      <c r="J22" s="29">
        <f>'Water Reading'!I24/'Water Reading'!H24</f>
        <v>1.35</v>
      </c>
      <c r="K22" s="27">
        <v>67</v>
      </c>
      <c r="L22" s="27"/>
    </row>
    <row r="23" spans="1:12" ht="14.4" x14ac:dyDescent="0.3">
      <c r="A23" s="24" t="s">
        <v>12</v>
      </c>
      <c r="B23" s="25">
        <f t="shared" si="0"/>
        <v>22</v>
      </c>
      <c r="C23" s="26">
        <v>12</v>
      </c>
      <c r="D23" s="25">
        <v>2022</v>
      </c>
      <c r="E23" s="27">
        <f>'B16'!I25+'B16 ext'!I25+'B17'!I25</f>
        <v>18461</v>
      </c>
      <c r="F23" s="29">
        <f>('B16'!J25+'B16 ext'!J25+'B17'!J25)/TOTAL!E23</f>
        <v>0.25185179567737392</v>
      </c>
      <c r="G23" s="27">
        <f>'Diesel Reading Oct'!H26</f>
        <v>547</v>
      </c>
      <c r="H23" s="28">
        <f>'Diesel Reading Oct'!I26/'Diesel Reading Oct'!H26</f>
        <v>2.84</v>
      </c>
      <c r="I23" s="27">
        <f>'Water Reading'!H25</f>
        <v>1</v>
      </c>
      <c r="J23" s="29">
        <f>'Water Reading'!I25/'Water Reading'!H25</f>
        <v>1.35</v>
      </c>
      <c r="K23" s="27">
        <v>60</v>
      </c>
      <c r="L23" s="27"/>
    </row>
    <row r="24" spans="1:12" ht="14.4" x14ac:dyDescent="0.3">
      <c r="A24" s="24" t="s">
        <v>12</v>
      </c>
      <c r="B24" s="25">
        <f t="shared" si="0"/>
        <v>23</v>
      </c>
      <c r="C24" s="26">
        <v>12</v>
      </c>
      <c r="D24" s="25">
        <v>2022</v>
      </c>
      <c r="E24" s="27">
        <f>'B16'!I26+'B16 ext'!I26+'B17'!I26</f>
        <v>18371</v>
      </c>
      <c r="F24" s="29">
        <f>('B16'!J26+'B16 ext'!J26+'B17'!J26)/TOTAL!E24</f>
        <v>0.24839382722769579</v>
      </c>
      <c r="G24" s="27">
        <f>'Diesel Reading Oct'!H27</f>
        <v>504.39999999990687</v>
      </c>
      <c r="H24" s="28">
        <f>'Diesel Reading Oct'!I27/'Diesel Reading Oct'!H27</f>
        <v>2.84</v>
      </c>
      <c r="I24" s="27">
        <f>'Water Reading'!H26</f>
        <v>3</v>
      </c>
      <c r="J24" s="29">
        <f>'Water Reading'!I26/'Water Reading'!H26</f>
        <v>1.3500000000000003</v>
      </c>
      <c r="K24" s="27">
        <v>52</v>
      </c>
      <c r="L24" s="27"/>
    </row>
    <row r="25" spans="1:12" ht="14.4" x14ac:dyDescent="0.3">
      <c r="A25" s="24" t="s">
        <v>12</v>
      </c>
      <c r="B25" s="25">
        <f t="shared" si="0"/>
        <v>24</v>
      </c>
      <c r="C25" s="26">
        <v>12</v>
      </c>
      <c r="D25" s="25">
        <v>2022</v>
      </c>
      <c r="E25" s="27">
        <f>'B16'!I27+'B16 ext'!I27+'B17'!I27</f>
        <v>18309</v>
      </c>
      <c r="F25" s="29">
        <f>('B16'!J27+'B16 ext'!J27+'B17'!J27)/TOTAL!E25</f>
        <v>0.24909028346714732</v>
      </c>
      <c r="G25" s="27">
        <f>'Diesel Reading Oct'!H28</f>
        <v>545.80000000004657</v>
      </c>
      <c r="H25" s="28">
        <f>'Diesel Reading Oct'!I28/'Diesel Reading Oct'!H28</f>
        <v>2.84</v>
      </c>
      <c r="I25" s="27">
        <f>'Water Reading'!H27</f>
        <v>2</v>
      </c>
      <c r="J25" s="29">
        <f>'Water Reading'!I27/'Water Reading'!H27</f>
        <v>1.35</v>
      </c>
      <c r="K25" s="27">
        <v>58</v>
      </c>
      <c r="L25" s="27"/>
    </row>
    <row r="26" spans="1:12" ht="14.4" x14ac:dyDescent="0.3">
      <c r="A26" s="24" t="s">
        <v>12</v>
      </c>
      <c r="B26" s="25">
        <f>B25+1</f>
        <v>25</v>
      </c>
      <c r="C26" s="26">
        <v>12</v>
      </c>
      <c r="D26" s="25">
        <v>2022</v>
      </c>
      <c r="E26" s="27">
        <f>'B16'!I28+'B16 ext'!I28+'B17'!I28</f>
        <v>18381</v>
      </c>
      <c r="F26" s="29">
        <f>('B16'!J28+'B16 ext'!J28+'B17'!J28)/TOTAL!E26</f>
        <v>0.24764240248082253</v>
      </c>
      <c r="G26" s="27">
        <f>'Diesel Reading Oct'!H29</f>
        <v>479.80000000004657</v>
      </c>
      <c r="H26" s="28">
        <f>'Diesel Reading Oct'!I29/'Diesel Reading Oct'!H29</f>
        <v>2.84</v>
      </c>
      <c r="I26" s="27">
        <f>'Water Reading'!H28</f>
        <v>2</v>
      </c>
      <c r="J26" s="29">
        <f>'Water Reading'!I28/'Water Reading'!H28</f>
        <v>1.35</v>
      </c>
      <c r="K26" s="27">
        <v>61</v>
      </c>
      <c r="L26" s="27"/>
    </row>
    <row r="27" spans="1:12" ht="14.4" x14ac:dyDescent="0.3">
      <c r="A27" s="24" t="s">
        <v>12</v>
      </c>
      <c r="B27" s="25">
        <f t="shared" si="0"/>
        <v>26</v>
      </c>
      <c r="C27" s="26">
        <v>12</v>
      </c>
      <c r="D27" s="25">
        <v>2022</v>
      </c>
      <c r="E27" s="27">
        <f>'B16'!I29+'B16 ext'!I29+'B17'!I29</f>
        <v>18693</v>
      </c>
      <c r="F27" s="29">
        <f>('B16'!J29+'B16 ext'!J29+'B17'!J29)/TOTAL!E27</f>
        <v>0.2504715134007382</v>
      </c>
      <c r="G27" s="27">
        <f>'Diesel Reading Oct'!H30</f>
        <v>533.0999999998603</v>
      </c>
      <c r="H27" s="28">
        <f>'Diesel Reading Oct'!I30/'Diesel Reading Oct'!H30</f>
        <v>2.84</v>
      </c>
      <c r="I27" s="27">
        <f>'Water Reading'!H29</f>
        <v>5</v>
      </c>
      <c r="J27" s="29">
        <f>'Water Reading'!I29/'Water Reading'!H29</f>
        <v>1.35</v>
      </c>
      <c r="K27" s="27">
        <v>61</v>
      </c>
      <c r="L27" s="27"/>
    </row>
    <row r="28" spans="1:12" ht="14.4" x14ac:dyDescent="0.3">
      <c r="A28" s="24" t="s">
        <v>12</v>
      </c>
      <c r="B28" s="25">
        <f t="shared" si="0"/>
        <v>27</v>
      </c>
      <c r="C28" s="26">
        <v>12</v>
      </c>
      <c r="D28" s="25">
        <v>2022</v>
      </c>
      <c r="E28" s="27">
        <f>'B16'!I30+'B16 ext'!I30+'B17'!I30</f>
        <v>16630</v>
      </c>
      <c r="F28" s="29">
        <f>('B16'!J30+'B16 ext'!J30+'B17'!J30)/TOTAL!E28</f>
        <v>0.25385231509320505</v>
      </c>
      <c r="G28" s="27">
        <f>'Diesel Reading Oct'!H31</f>
        <v>495.80000000004657</v>
      </c>
      <c r="H28" s="28">
        <f>'Diesel Reading Oct'!I31/'Diesel Reading Oct'!H31</f>
        <v>2.84</v>
      </c>
      <c r="I28" s="27">
        <f>'Water Reading'!H30</f>
        <v>5</v>
      </c>
      <c r="J28" s="29">
        <f>'Water Reading'!I30/'Water Reading'!H30</f>
        <v>1.35</v>
      </c>
      <c r="K28" s="27">
        <v>50</v>
      </c>
      <c r="L28" s="27"/>
    </row>
    <row r="29" spans="1:12" ht="14.4" x14ac:dyDescent="0.3">
      <c r="A29" s="24" t="s">
        <v>12</v>
      </c>
      <c r="B29" s="25">
        <f t="shared" si="0"/>
        <v>28</v>
      </c>
      <c r="C29" s="26">
        <v>12</v>
      </c>
      <c r="D29" s="25">
        <v>2022</v>
      </c>
      <c r="E29" s="27">
        <f>'B16'!I31+'B16 ext'!I31+'B17'!I31</f>
        <v>17871</v>
      </c>
      <c r="F29" s="29">
        <f>('B16'!J31+'B16 ext'!J31+'B17'!J31)/TOTAL!E29</f>
        <v>0.24940372670807448</v>
      </c>
      <c r="G29" s="27">
        <f>'Diesel Reading Oct'!H32</f>
        <v>536.69999999995343</v>
      </c>
      <c r="H29" s="28">
        <f>'Diesel Reading Oct'!I32/'Diesel Reading Oct'!H32</f>
        <v>2.84</v>
      </c>
      <c r="I29" s="27">
        <f>'Water Reading'!H31</f>
        <v>6</v>
      </c>
      <c r="J29" s="29">
        <f>'Water Reading'!I31/'Water Reading'!H31</f>
        <v>1.3500000000000003</v>
      </c>
      <c r="K29" s="27">
        <v>52</v>
      </c>
      <c r="L29" s="27"/>
    </row>
    <row r="30" spans="1:12" ht="14.4" x14ac:dyDescent="0.3">
      <c r="A30" s="24" t="s">
        <v>12</v>
      </c>
      <c r="B30" s="25">
        <f t="shared" si="0"/>
        <v>29</v>
      </c>
      <c r="C30" s="26">
        <v>12</v>
      </c>
      <c r="D30" s="25">
        <v>2022</v>
      </c>
      <c r="E30" s="27">
        <f>'B16'!I32+'B16 ext'!I32+'B17'!I32</f>
        <v>20280</v>
      </c>
      <c r="F30" s="29">
        <f>('B16'!J32+'B16 ext'!J32+'B17'!J32)/TOTAL!E30</f>
        <v>0.24043091715976334</v>
      </c>
      <c r="G30" s="27">
        <f>'Diesel Reading Oct'!H33</f>
        <v>522.30000000004657</v>
      </c>
      <c r="H30" s="28">
        <f>'Diesel Reading Oct'!I33/'Diesel Reading Oct'!H33</f>
        <v>2.84</v>
      </c>
      <c r="I30" s="27">
        <f>'Water Reading'!H32</f>
        <v>17</v>
      </c>
      <c r="J30" s="29">
        <f>'Water Reading'!I32/'Water Reading'!H32</f>
        <v>1.35</v>
      </c>
      <c r="K30" s="27">
        <v>56</v>
      </c>
      <c r="L30" s="27"/>
    </row>
    <row r="31" spans="1:12" ht="14.4" x14ac:dyDescent="0.3">
      <c r="A31" s="24" t="s">
        <v>12</v>
      </c>
      <c r="B31" s="25">
        <f t="shared" si="0"/>
        <v>30</v>
      </c>
      <c r="C31" s="26">
        <v>12</v>
      </c>
      <c r="D31" s="25">
        <v>2022</v>
      </c>
      <c r="E31" s="27">
        <f>'B16'!I33+'B16 ext'!I33+'B17'!I33</f>
        <v>20357</v>
      </c>
      <c r="F31" s="29">
        <f>('B16'!J33+'B16 ext'!J33+'B17'!J33)/TOTAL!E31</f>
        <v>0.24072535245861373</v>
      </c>
      <c r="G31" s="27">
        <f>'Diesel Reading Oct'!H35</f>
        <v>550.80000000004657</v>
      </c>
      <c r="H31" s="28">
        <f>'Diesel Reading Oct'!I35/'Diesel Reading Oct'!H35</f>
        <v>2.84</v>
      </c>
      <c r="I31" s="27">
        <f>'Water Reading'!H33</f>
        <v>6</v>
      </c>
      <c r="J31" s="29">
        <f>'Water Reading'!I33/'Water Reading'!H33</f>
        <v>1.3500000000000003</v>
      </c>
      <c r="K31" s="27">
        <v>63</v>
      </c>
      <c r="L31" s="27"/>
    </row>
    <row r="32" spans="1:12" ht="14.4" x14ac:dyDescent="0.3">
      <c r="A32" s="24" t="s">
        <v>12</v>
      </c>
      <c r="B32" s="25">
        <v>31</v>
      </c>
      <c r="C32" s="26">
        <v>12</v>
      </c>
      <c r="D32" s="25">
        <v>2022</v>
      </c>
      <c r="E32" s="27">
        <f>'B16'!I34+'B16 ext'!I34+'B17'!I34</f>
        <v>0</v>
      </c>
      <c r="F32" s="29" t="e">
        <f>('B16'!J34+'B16 ext'!J34+'B17'!J34)/TOTAL!E32</f>
        <v>#DIV/0!</v>
      </c>
      <c r="G32" s="27"/>
      <c r="H32" s="28">
        <f>'Diesel Reading Oct'!I36/'Diesel Reading Oct'!H36</f>
        <v>2.84</v>
      </c>
      <c r="I32" s="27">
        <f>'Water Reading'!H34</f>
        <v>0</v>
      </c>
      <c r="J32" s="29" t="e">
        <f>'Water Reading'!I34/'Water Reading'!H34</f>
        <v>#DIV/0!</v>
      </c>
      <c r="K32" s="27">
        <v>64</v>
      </c>
      <c r="L3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11" zoomScaleNormal="100" workbookViewId="0">
      <selection activeCell="H32" sqref="H32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21.33203125" customWidth="1"/>
    <col min="9" max="9" width="19.109375" style="1" bestFit="1" customWidth="1"/>
    <col min="10" max="10" width="10.109375" style="14" bestFit="1" customWidth="1"/>
  </cols>
  <sheetData>
    <row r="1" spans="1:10" ht="17.399999999999999" x14ac:dyDescent="0.3">
      <c r="A1" s="6" t="s">
        <v>13</v>
      </c>
    </row>
    <row r="2" spans="1:10" ht="17.399999999999999" x14ac:dyDescent="0.3">
      <c r="A2" s="2"/>
      <c r="B2" s="7" t="s">
        <v>14</v>
      </c>
      <c r="C2" s="7" t="s">
        <v>15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15" t="s">
        <v>20</v>
      </c>
    </row>
    <row r="3" spans="1:10" x14ac:dyDescent="0.25">
      <c r="A3" s="3"/>
      <c r="B3" s="7" t="s">
        <v>21</v>
      </c>
      <c r="C3" s="7" t="s">
        <v>21</v>
      </c>
      <c r="D3" s="7" t="s">
        <v>22</v>
      </c>
      <c r="E3" s="7" t="s">
        <v>22</v>
      </c>
      <c r="F3" s="49" t="s">
        <v>21</v>
      </c>
      <c r="G3" s="7" t="s">
        <v>23</v>
      </c>
      <c r="H3" s="11"/>
      <c r="I3" s="7" t="s">
        <v>24</v>
      </c>
      <c r="J3" s="15" t="s">
        <v>25</v>
      </c>
    </row>
    <row r="4" spans="1:10" x14ac:dyDescent="0.25">
      <c r="A4" s="5">
        <v>44896</v>
      </c>
      <c r="B4" s="10">
        <v>5574</v>
      </c>
      <c r="C4" s="8">
        <f>IF(B5-B4 &lt; 0,0,B5-B4)</f>
        <v>5710</v>
      </c>
      <c r="D4" s="10">
        <v>2722</v>
      </c>
      <c r="E4" s="8">
        <f>IF(D5-D4 &lt; 0,0,D5-D4)</f>
        <v>3144</v>
      </c>
      <c r="F4" s="10">
        <v>447</v>
      </c>
      <c r="G4" s="53">
        <v>0.63</v>
      </c>
      <c r="H4" s="12" t="s">
        <v>26</v>
      </c>
      <c r="I4" s="8">
        <f>+E4+C4</f>
        <v>8854</v>
      </c>
      <c r="J4" s="16">
        <f>(C4*0.288)+(E4*0.177)</f>
        <v>2200.9679999999998</v>
      </c>
    </row>
    <row r="5" spans="1:10" x14ac:dyDescent="0.25">
      <c r="A5" s="5">
        <v>44897</v>
      </c>
      <c r="B5" s="10">
        <v>11284</v>
      </c>
      <c r="C5" s="8">
        <f t="shared" ref="C5:C33" si="0">IF(B6-B5 &lt; 0,0,B6-B5)</f>
        <v>5233</v>
      </c>
      <c r="D5" s="10">
        <v>5866</v>
      </c>
      <c r="E5" s="8">
        <f t="shared" ref="E5:E33" si="1">IF(D6-D5 &lt; 0,0,D6-D5)</f>
        <v>3354</v>
      </c>
      <c r="F5" s="10">
        <v>496</v>
      </c>
      <c r="G5" s="53">
        <v>0.54</v>
      </c>
      <c r="H5" s="12" t="s">
        <v>27</v>
      </c>
      <c r="I5" s="8">
        <f t="shared" ref="I5:I35" si="2">+E5+C5</f>
        <v>8587</v>
      </c>
      <c r="J5" s="16">
        <f t="shared" ref="J5:J35" si="3">(C5*0.288)+(E5*0.177)</f>
        <v>2100.7619999999997</v>
      </c>
    </row>
    <row r="6" spans="1:10" x14ac:dyDescent="0.25">
      <c r="A6" s="5">
        <v>44898</v>
      </c>
      <c r="B6" s="10">
        <v>16517</v>
      </c>
      <c r="C6" s="8">
        <f t="shared" si="0"/>
        <v>5225</v>
      </c>
      <c r="D6" s="10">
        <v>9220</v>
      </c>
      <c r="E6" s="8">
        <f t="shared" si="1"/>
        <v>2953</v>
      </c>
      <c r="F6" s="10">
        <v>496</v>
      </c>
      <c r="G6" s="53">
        <v>0.61</v>
      </c>
      <c r="H6" s="12" t="s">
        <v>28</v>
      </c>
      <c r="I6" s="8">
        <f t="shared" si="2"/>
        <v>8178</v>
      </c>
      <c r="J6" s="16">
        <f t="shared" si="3"/>
        <v>2027.4809999999998</v>
      </c>
    </row>
    <row r="7" spans="1:10" x14ac:dyDescent="0.25">
      <c r="A7" s="5">
        <v>44899</v>
      </c>
      <c r="B7" s="10">
        <v>21742</v>
      </c>
      <c r="C7" s="8">
        <f t="shared" si="0"/>
        <v>5017</v>
      </c>
      <c r="D7" s="10">
        <v>12173</v>
      </c>
      <c r="E7" s="8">
        <f t="shared" si="1"/>
        <v>5519</v>
      </c>
      <c r="F7" s="10">
        <v>496</v>
      </c>
      <c r="G7" s="53">
        <v>0.37</v>
      </c>
      <c r="H7" s="12" t="s">
        <v>26</v>
      </c>
      <c r="I7" s="8">
        <f t="shared" si="2"/>
        <v>10536</v>
      </c>
      <c r="J7" s="16">
        <f t="shared" si="3"/>
        <v>2421.759</v>
      </c>
    </row>
    <row r="8" spans="1:10" x14ac:dyDescent="0.25">
      <c r="A8" s="5">
        <v>44900</v>
      </c>
      <c r="B8" s="10">
        <v>26759</v>
      </c>
      <c r="C8" s="8">
        <f t="shared" si="0"/>
        <v>5209</v>
      </c>
      <c r="D8" s="10">
        <v>17692</v>
      </c>
      <c r="E8" s="8">
        <f t="shared" si="1"/>
        <v>3093</v>
      </c>
      <c r="F8" s="10">
        <v>498</v>
      </c>
      <c r="G8" s="53">
        <v>0.27</v>
      </c>
      <c r="H8" s="12" t="s">
        <v>27</v>
      </c>
      <c r="I8" s="8">
        <f t="shared" si="2"/>
        <v>8302</v>
      </c>
      <c r="J8" s="16">
        <f t="shared" si="3"/>
        <v>2047.6529999999998</v>
      </c>
    </row>
    <row r="9" spans="1:10" x14ac:dyDescent="0.25">
      <c r="A9" s="5">
        <v>44901</v>
      </c>
      <c r="B9" s="10">
        <v>31968</v>
      </c>
      <c r="C9" s="8">
        <f t="shared" si="0"/>
        <v>5938</v>
      </c>
      <c r="D9" s="10">
        <v>20785</v>
      </c>
      <c r="E9" s="8">
        <f t="shared" si="1"/>
        <v>3074</v>
      </c>
      <c r="F9" s="10">
        <v>498</v>
      </c>
      <c r="G9" s="53">
        <v>0.16</v>
      </c>
      <c r="H9" s="12" t="s">
        <v>27</v>
      </c>
      <c r="I9" s="8">
        <f t="shared" si="2"/>
        <v>9012</v>
      </c>
      <c r="J9" s="16">
        <f t="shared" si="3"/>
        <v>2254.2419999999997</v>
      </c>
    </row>
    <row r="10" spans="1:10" x14ac:dyDescent="0.25">
      <c r="A10" s="5">
        <v>44902</v>
      </c>
      <c r="B10" s="10">
        <v>37906</v>
      </c>
      <c r="C10" s="8">
        <f t="shared" si="0"/>
        <v>4768</v>
      </c>
      <c r="D10" s="10">
        <v>23859</v>
      </c>
      <c r="E10" s="8">
        <f t="shared" si="1"/>
        <v>2545</v>
      </c>
      <c r="F10" s="10">
        <v>498</v>
      </c>
      <c r="G10" s="54">
        <v>0.88</v>
      </c>
      <c r="H10" s="12" t="s">
        <v>26</v>
      </c>
      <c r="I10" s="8">
        <f t="shared" si="2"/>
        <v>7313</v>
      </c>
      <c r="J10" s="16">
        <f t="shared" si="3"/>
        <v>1823.6489999999999</v>
      </c>
    </row>
    <row r="11" spans="1:10" x14ac:dyDescent="0.25">
      <c r="A11" s="5">
        <v>44903</v>
      </c>
      <c r="B11" s="10">
        <v>42674</v>
      </c>
      <c r="C11" s="8">
        <f t="shared" si="0"/>
        <v>4186</v>
      </c>
      <c r="D11" s="10">
        <v>26404</v>
      </c>
      <c r="E11" s="8">
        <f t="shared" si="1"/>
        <v>2404</v>
      </c>
      <c r="F11" s="10">
        <v>198</v>
      </c>
      <c r="G11" s="53">
        <v>0.88</v>
      </c>
      <c r="H11" s="12" t="s">
        <v>26</v>
      </c>
      <c r="I11" s="8">
        <f t="shared" si="2"/>
        <v>6590</v>
      </c>
      <c r="J11" s="16">
        <f t="shared" si="3"/>
        <v>1631.076</v>
      </c>
    </row>
    <row r="12" spans="1:10" x14ac:dyDescent="0.25">
      <c r="A12" s="5">
        <v>44904</v>
      </c>
      <c r="B12" s="10">
        <v>46860</v>
      </c>
      <c r="C12" s="8">
        <f t="shared" si="0"/>
        <v>4603</v>
      </c>
      <c r="D12" s="10">
        <v>28808</v>
      </c>
      <c r="E12" s="8">
        <f t="shared" si="1"/>
        <v>447</v>
      </c>
      <c r="F12" s="10">
        <v>498</v>
      </c>
      <c r="G12" s="53">
        <v>0.88</v>
      </c>
      <c r="H12" s="12" t="s">
        <v>27</v>
      </c>
      <c r="I12" s="8">
        <f t="shared" si="2"/>
        <v>5050</v>
      </c>
      <c r="J12" s="16">
        <f t="shared" si="3"/>
        <v>1404.7829999999999</v>
      </c>
    </row>
    <row r="13" spans="1:10" x14ac:dyDescent="0.25">
      <c r="A13" s="5">
        <v>44905</v>
      </c>
      <c r="B13" s="10">
        <v>51463</v>
      </c>
      <c r="C13" s="8">
        <f t="shared" si="0"/>
        <v>4698</v>
      </c>
      <c r="D13" s="10">
        <v>29255</v>
      </c>
      <c r="E13" s="8">
        <f t="shared" si="1"/>
        <v>2543</v>
      </c>
      <c r="F13" s="10">
        <v>498</v>
      </c>
      <c r="G13" s="53">
        <v>0.38</v>
      </c>
      <c r="H13" s="12" t="s">
        <v>27</v>
      </c>
      <c r="I13" s="8">
        <f t="shared" si="2"/>
        <v>7241</v>
      </c>
      <c r="J13" s="16">
        <f t="shared" si="3"/>
        <v>1803.1349999999998</v>
      </c>
    </row>
    <row r="14" spans="1:10" x14ac:dyDescent="0.25">
      <c r="A14" s="5">
        <v>44906</v>
      </c>
      <c r="B14" s="10">
        <v>56161</v>
      </c>
      <c r="C14" s="8">
        <f t="shared" si="0"/>
        <v>5187</v>
      </c>
      <c r="D14" s="10">
        <v>31798</v>
      </c>
      <c r="E14" s="8">
        <f t="shared" si="1"/>
        <v>2621</v>
      </c>
      <c r="F14" s="10">
        <v>498</v>
      </c>
      <c r="G14" s="53">
        <v>0.47</v>
      </c>
      <c r="H14" s="12" t="s">
        <v>29</v>
      </c>
      <c r="I14" s="8">
        <f t="shared" si="2"/>
        <v>7808</v>
      </c>
      <c r="J14" s="16">
        <f t="shared" si="3"/>
        <v>1957.7729999999999</v>
      </c>
    </row>
    <row r="15" spans="1:10" x14ac:dyDescent="0.25">
      <c r="A15" s="5">
        <v>44907</v>
      </c>
      <c r="B15" s="10">
        <v>61348</v>
      </c>
      <c r="C15" s="8">
        <f t="shared" si="0"/>
        <v>5382</v>
      </c>
      <c r="D15" s="10">
        <v>34419</v>
      </c>
      <c r="E15" s="8">
        <f t="shared" si="1"/>
        <v>3203</v>
      </c>
      <c r="F15" s="10">
        <v>498</v>
      </c>
      <c r="G15" s="53">
        <v>0.61</v>
      </c>
      <c r="H15" s="12" t="s">
        <v>26</v>
      </c>
      <c r="I15" s="8">
        <f t="shared" si="2"/>
        <v>8585</v>
      </c>
      <c r="J15" s="16">
        <f t="shared" si="3"/>
        <v>2116.9469999999997</v>
      </c>
    </row>
    <row r="16" spans="1:10" x14ac:dyDescent="0.25">
      <c r="A16" s="5">
        <v>44908</v>
      </c>
      <c r="B16" s="10">
        <v>66730</v>
      </c>
      <c r="C16" s="8">
        <f t="shared" si="0"/>
        <v>5430</v>
      </c>
      <c r="D16" s="10">
        <v>37622</v>
      </c>
      <c r="E16" s="8">
        <f t="shared" si="1"/>
        <v>2937</v>
      </c>
      <c r="F16" s="10">
        <v>498</v>
      </c>
      <c r="G16" s="53">
        <v>0.62</v>
      </c>
      <c r="H16" s="12" t="s">
        <v>26</v>
      </c>
      <c r="I16" s="8">
        <f t="shared" si="2"/>
        <v>8367</v>
      </c>
      <c r="J16" s="16">
        <f t="shared" si="3"/>
        <v>2083.6889999999999</v>
      </c>
    </row>
    <row r="17" spans="1:10" x14ac:dyDescent="0.25">
      <c r="A17" s="5">
        <v>44909</v>
      </c>
      <c r="B17" s="10">
        <v>72160</v>
      </c>
      <c r="C17" s="8">
        <f t="shared" si="0"/>
        <v>6221</v>
      </c>
      <c r="D17" s="10">
        <v>40559</v>
      </c>
      <c r="E17" s="8">
        <f t="shared" si="1"/>
        <v>3294</v>
      </c>
      <c r="F17" s="10">
        <v>498</v>
      </c>
      <c r="G17" s="53">
        <v>0.62</v>
      </c>
      <c r="H17" s="12" t="s">
        <v>27</v>
      </c>
      <c r="I17" s="8">
        <f t="shared" si="2"/>
        <v>9515</v>
      </c>
      <c r="J17" s="16">
        <f t="shared" si="3"/>
        <v>2374.6859999999997</v>
      </c>
    </row>
    <row r="18" spans="1:10" x14ac:dyDescent="0.25">
      <c r="A18" s="5">
        <v>44910</v>
      </c>
      <c r="B18" s="10">
        <v>78381</v>
      </c>
      <c r="C18" s="8">
        <f t="shared" si="0"/>
        <v>4877</v>
      </c>
      <c r="D18" s="10">
        <v>43853</v>
      </c>
      <c r="E18" s="8">
        <f t="shared" si="1"/>
        <v>5356</v>
      </c>
      <c r="F18" s="10">
        <v>498</v>
      </c>
      <c r="G18" s="53">
        <v>0.66</v>
      </c>
      <c r="H18" s="12" t="s">
        <v>27</v>
      </c>
      <c r="I18" s="8">
        <f t="shared" si="2"/>
        <v>10233</v>
      </c>
      <c r="J18" s="16">
        <f t="shared" si="3"/>
        <v>2352.5879999999997</v>
      </c>
    </row>
    <row r="19" spans="1:10" x14ac:dyDescent="0.25">
      <c r="A19" s="5">
        <v>44911</v>
      </c>
      <c r="B19" s="10">
        <v>83258</v>
      </c>
      <c r="C19" s="8">
        <f t="shared" si="0"/>
        <v>5163</v>
      </c>
      <c r="D19" s="10">
        <v>49209</v>
      </c>
      <c r="E19" s="8">
        <f t="shared" si="1"/>
        <v>656</v>
      </c>
      <c r="F19" s="10">
        <v>498</v>
      </c>
      <c r="G19" s="53">
        <v>0.47</v>
      </c>
      <c r="H19" s="12" t="s">
        <v>27</v>
      </c>
      <c r="I19" s="8">
        <f t="shared" si="2"/>
        <v>5819</v>
      </c>
      <c r="J19" s="16">
        <f t="shared" si="3"/>
        <v>1603.056</v>
      </c>
    </row>
    <row r="20" spans="1:10" x14ac:dyDescent="0.25">
      <c r="A20" s="5">
        <v>44912</v>
      </c>
      <c r="B20" s="10">
        <v>88421</v>
      </c>
      <c r="C20" s="8">
        <f t="shared" si="0"/>
        <v>4566</v>
      </c>
      <c r="D20" s="10">
        <v>49865</v>
      </c>
      <c r="E20" s="8">
        <f t="shared" si="1"/>
        <v>2942</v>
      </c>
      <c r="F20" s="12">
        <v>498</v>
      </c>
      <c r="G20" s="53">
        <v>0.54</v>
      </c>
      <c r="H20" s="12" t="s">
        <v>26</v>
      </c>
      <c r="I20" s="8">
        <f t="shared" si="2"/>
        <v>7508</v>
      </c>
      <c r="J20" s="16">
        <f t="shared" si="3"/>
        <v>1835.7419999999997</v>
      </c>
    </row>
    <row r="21" spans="1:10" x14ac:dyDescent="0.25">
      <c r="A21" s="5">
        <v>44913</v>
      </c>
      <c r="B21" s="10">
        <v>92987</v>
      </c>
      <c r="C21" s="8">
        <f t="shared" si="0"/>
        <v>4930</v>
      </c>
      <c r="D21" s="10">
        <v>52807</v>
      </c>
      <c r="E21" s="8">
        <f t="shared" si="1"/>
        <v>2351</v>
      </c>
      <c r="F21" s="12">
        <v>498</v>
      </c>
      <c r="G21" s="53">
        <v>0.61</v>
      </c>
      <c r="H21" s="12" t="s">
        <v>28</v>
      </c>
      <c r="I21" s="8">
        <f t="shared" si="2"/>
        <v>7281</v>
      </c>
      <c r="J21" s="16">
        <f t="shared" si="3"/>
        <v>1835.9669999999999</v>
      </c>
    </row>
    <row r="22" spans="1:10" x14ac:dyDescent="0.25">
      <c r="A22" s="5">
        <v>44914</v>
      </c>
      <c r="B22" s="10">
        <v>97917</v>
      </c>
      <c r="C22" s="8">
        <f t="shared" si="0"/>
        <v>5555</v>
      </c>
      <c r="D22" s="10">
        <v>55158</v>
      </c>
      <c r="E22" s="8">
        <f t="shared" si="1"/>
        <v>3118</v>
      </c>
      <c r="F22" s="12">
        <v>498</v>
      </c>
      <c r="G22" s="53">
        <v>0.71</v>
      </c>
      <c r="H22" s="12" t="s">
        <v>28</v>
      </c>
      <c r="I22" s="8">
        <f t="shared" si="2"/>
        <v>8673</v>
      </c>
      <c r="J22" s="16">
        <f t="shared" si="3"/>
        <v>2151.7259999999997</v>
      </c>
    </row>
    <row r="23" spans="1:10" x14ac:dyDescent="0.25">
      <c r="A23" s="5">
        <v>44915</v>
      </c>
      <c r="B23" s="10">
        <v>103472</v>
      </c>
      <c r="C23" s="8">
        <f t="shared" si="0"/>
        <v>5751</v>
      </c>
      <c r="D23" s="10">
        <v>58276</v>
      </c>
      <c r="E23" s="8">
        <f t="shared" si="1"/>
        <v>3106</v>
      </c>
      <c r="F23" s="10">
        <v>498</v>
      </c>
      <c r="G23" s="53">
        <v>0.74</v>
      </c>
      <c r="H23" s="12" t="s">
        <v>26</v>
      </c>
      <c r="I23" s="8">
        <f t="shared" si="2"/>
        <v>8857</v>
      </c>
      <c r="J23" s="16">
        <f t="shared" si="3"/>
        <v>2206.0499999999997</v>
      </c>
    </row>
    <row r="24" spans="1:10" x14ac:dyDescent="0.25">
      <c r="A24" s="5">
        <v>44916</v>
      </c>
      <c r="B24" s="10">
        <v>109223</v>
      </c>
      <c r="C24" s="8">
        <f t="shared" si="0"/>
        <v>5747</v>
      </c>
      <c r="D24" s="10">
        <v>61382</v>
      </c>
      <c r="E24" s="8">
        <f t="shared" si="1"/>
        <v>3162</v>
      </c>
      <c r="F24" s="10">
        <v>498</v>
      </c>
      <c r="G24" s="53">
        <v>0.73</v>
      </c>
      <c r="H24" s="12" t="s">
        <v>26</v>
      </c>
      <c r="I24" s="8">
        <f t="shared" si="2"/>
        <v>8909</v>
      </c>
      <c r="J24" s="16">
        <f t="shared" si="3"/>
        <v>2214.81</v>
      </c>
    </row>
    <row r="25" spans="1:10" x14ac:dyDescent="0.25">
      <c r="A25" s="5">
        <v>44917</v>
      </c>
      <c r="B25" s="10">
        <v>114970</v>
      </c>
      <c r="C25" s="8">
        <f t="shared" si="0"/>
        <v>5682</v>
      </c>
      <c r="D25" s="10">
        <v>64544</v>
      </c>
      <c r="E25" s="8">
        <f t="shared" si="1"/>
        <v>3022</v>
      </c>
      <c r="F25" s="10">
        <v>498</v>
      </c>
      <c r="G25" s="53">
        <v>0.64</v>
      </c>
      <c r="H25" s="12" t="s">
        <v>26</v>
      </c>
      <c r="I25" s="8">
        <f t="shared" si="2"/>
        <v>8704</v>
      </c>
      <c r="J25" s="16">
        <f t="shared" si="3"/>
        <v>2171.31</v>
      </c>
    </row>
    <row r="26" spans="1:10" x14ac:dyDescent="0.25">
      <c r="A26" s="5">
        <v>44918</v>
      </c>
      <c r="B26" s="10">
        <v>120652</v>
      </c>
      <c r="C26" s="8">
        <f>IF(B27-B26 &lt; 0,0,B27-B26)</f>
        <v>4933</v>
      </c>
      <c r="D26" s="10">
        <v>67566</v>
      </c>
      <c r="E26" s="8">
        <f t="shared" si="1"/>
        <v>3345</v>
      </c>
      <c r="F26" s="10">
        <v>498</v>
      </c>
      <c r="G26" s="66">
        <v>0.56999999999999995</v>
      </c>
      <c r="H26" s="12" t="s">
        <v>26</v>
      </c>
      <c r="I26" s="8">
        <f t="shared" si="2"/>
        <v>8278</v>
      </c>
      <c r="J26" s="16">
        <f t="shared" si="3"/>
        <v>2012.7689999999998</v>
      </c>
    </row>
    <row r="27" spans="1:10" x14ac:dyDescent="0.25">
      <c r="A27" s="5">
        <v>44919</v>
      </c>
      <c r="B27" s="10">
        <v>125585</v>
      </c>
      <c r="C27" s="8">
        <f>IF(B28-B27 &lt; 0,0,B28-B27)</f>
        <v>5658</v>
      </c>
      <c r="D27" s="10">
        <v>70911</v>
      </c>
      <c r="E27" s="8">
        <f t="shared" si="1"/>
        <v>2851</v>
      </c>
      <c r="F27" s="10">
        <v>498</v>
      </c>
      <c r="G27" s="53">
        <v>0.63</v>
      </c>
      <c r="H27" s="12" t="s">
        <v>26</v>
      </c>
      <c r="I27" s="8">
        <f t="shared" si="2"/>
        <v>8509</v>
      </c>
      <c r="J27" s="16">
        <f t="shared" si="3"/>
        <v>2134.1309999999999</v>
      </c>
    </row>
    <row r="28" spans="1:10" x14ac:dyDescent="0.25">
      <c r="A28" s="5">
        <v>44920</v>
      </c>
      <c r="B28" s="10">
        <v>131243</v>
      </c>
      <c r="C28" s="8">
        <f t="shared" si="0"/>
        <v>5181</v>
      </c>
      <c r="D28" s="10">
        <v>73762</v>
      </c>
      <c r="E28" s="8">
        <f t="shared" si="1"/>
        <v>3370</v>
      </c>
      <c r="F28" s="10">
        <v>498</v>
      </c>
      <c r="G28" s="53">
        <v>0.66</v>
      </c>
      <c r="H28" s="12" t="s">
        <v>26</v>
      </c>
      <c r="I28" s="8">
        <f t="shared" si="2"/>
        <v>8551</v>
      </c>
      <c r="J28" s="16">
        <f t="shared" si="3"/>
        <v>2088.6179999999999</v>
      </c>
    </row>
    <row r="29" spans="1:10" x14ac:dyDescent="0.25">
      <c r="A29" s="5">
        <v>44921</v>
      </c>
      <c r="B29" s="10">
        <v>136424</v>
      </c>
      <c r="C29" s="8">
        <f t="shared" si="0"/>
        <v>5522</v>
      </c>
      <c r="D29" s="10">
        <v>77132</v>
      </c>
      <c r="E29" s="8">
        <f t="shared" si="1"/>
        <v>3185</v>
      </c>
      <c r="F29" s="10">
        <v>498</v>
      </c>
      <c r="G29" s="53">
        <v>0.66</v>
      </c>
      <c r="H29" s="12" t="s">
        <v>26</v>
      </c>
      <c r="I29" s="8">
        <f t="shared" si="2"/>
        <v>8707</v>
      </c>
      <c r="J29" s="16">
        <f t="shared" si="3"/>
        <v>2154.0809999999997</v>
      </c>
    </row>
    <row r="30" spans="1:10" x14ac:dyDescent="0.25">
      <c r="A30" s="5">
        <v>44922</v>
      </c>
      <c r="B30" s="10">
        <v>141946</v>
      </c>
      <c r="C30" s="8">
        <f t="shared" si="0"/>
        <v>5239</v>
      </c>
      <c r="D30" s="10">
        <v>80317</v>
      </c>
      <c r="E30" s="8">
        <f t="shared" si="1"/>
        <v>2498</v>
      </c>
      <c r="F30" s="10">
        <v>498</v>
      </c>
      <c r="G30" s="53">
        <v>0.54</v>
      </c>
      <c r="H30" s="12" t="s">
        <v>26</v>
      </c>
      <c r="I30" s="8">
        <f t="shared" si="2"/>
        <v>7737</v>
      </c>
      <c r="J30" s="16">
        <f t="shared" si="3"/>
        <v>1950.9779999999998</v>
      </c>
    </row>
    <row r="31" spans="1:10" x14ac:dyDescent="0.25">
      <c r="A31" s="5">
        <v>44923</v>
      </c>
      <c r="B31" s="10">
        <v>147185</v>
      </c>
      <c r="C31" s="8">
        <f t="shared" si="0"/>
        <v>5441</v>
      </c>
      <c r="D31" s="10">
        <v>82815</v>
      </c>
      <c r="E31" s="8">
        <f t="shared" si="1"/>
        <v>3097</v>
      </c>
      <c r="F31" s="10">
        <v>498</v>
      </c>
      <c r="G31" s="53">
        <v>0.56999999999999995</v>
      </c>
      <c r="H31" s="12" t="s">
        <v>26</v>
      </c>
      <c r="I31" s="8">
        <f t="shared" si="2"/>
        <v>8538</v>
      </c>
      <c r="J31" s="16">
        <f t="shared" si="3"/>
        <v>2115.1769999999997</v>
      </c>
    </row>
    <row r="32" spans="1:10" x14ac:dyDescent="0.25">
      <c r="A32" s="5">
        <v>44924</v>
      </c>
      <c r="B32" s="10">
        <v>152626</v>
      </c>
      <c r="C32" s="8">
        <f t="shared" si="0"/>
        <v>5454</v>
      </c>
      <c r="D32" s="10">
        <v>85912</v>
      </c>
      <c r="E32" s="8">
        <f t="shared" si="1"/>
        <v>5179</v>
      </c>
      <c r="F32" s="10">
        <v>498</v>
      </c>
      <c r="G32" s="53">
        <v>0.61</v>
      </c>
      <c r="H32" s="12" t="s">
        <v>26</v>
      </c>
      <c r="I32" s="8">
        <f t="shared" si="2"/>
        <v>10633</v>
      </c>
      <c r="J32" s="16">
        <f t="shared" si="3"/>
        <v>2487.4349999999999</v>
      </c>
    </row>
    <row r="33" spans="1:10" x14ac:dyDescent="0.25">
      <c r="A33" s="5">
        <v>44925</v>
      </c>
      <c r="B33" s="10">
        <v>158080</v>
      </c>
      <c r="C33" s="8">
        <f t="shared" si="0"/>
        <v>5454</v>
      </c>
      <c r="D33" s="10">
        <v>91091</v>
      </c>
      <c r="E33" s="8">
        <f t="shared" si="1"/>
        <v>5179</v>
      </c>
      <c r="F33" s="10">
        <v>497</v>
      </c>
      <c r="G33" s="53">
        <v>0.68</v>
      </c>
      <c r="H33" s="12" t="s">
        <v>26</v>
      </c>
      <c r="I33" s="8">
        <f t="shared" si="2"/>
        <v>10633</v>
      </c>
      <c r="J33" s="16">
        <f t="shared" si="3"/>
        <v>2487.4349999999999</v>
      </c>
    </row>
    <row r="34" spans="1:10" x14ac:dyDescent="0.25">
      <c r="A34" s="5">
        <v>44926</v>
      </c>
      <c r="B34" s="51">
        <v>163534</v>
      </c>
      <c r="C34" s="8">
        <v>0</v>
      </c>
      <c r="D34" s="10">
        <v>96270</v>
      </c>
      <c r="E34" s="8">
        <v>0</v>
      </c>
      <c r="F34" s="10">
        <v>497</v>
      </c>
      <c r="G34" s="53">
        <v>0.7</v>
      </c>
      <c r="H34" s="12" t="s">
        <v>26</v>
      </c>
      <c r="I34" s="8">
        <f t="shared" si="2"/>
        <v>0</v>
      </c>
      <c r="J34" s="16">
        <f t="shared" si="3"/>
        <v>0</v>
      </c>
    </row>
    <row r="35" spans="1:10" x14ac:dyDescent="0.25">
      <c r="A35" s="52"/>
      <c r="B35" s="10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x14ac:dyDescent="0.25">
      <c r="A36" s="93" t="s">
        <v>30</v>
      </c>
      <c r="B36" s="94"/>
      <c r="C36" s="9">
        <f>SUM(C4:C34)</f>
        <v>157960</v>
      </c>
      <c r="D36" s="9"/>
      <c r="E36" s="9">
        <f>SUM(E4:E34)</f>
        <v>93548</v>
      </c>
      <c r="F36" s="9">
        <f>MAX(F4:F34)</f>
        <v>498</v>
      </c>
      <c r="G36" s="11"/>
      <c r="H36" s="11"/>
      <c r="I36" s="8">
        <f>+E36+C36</f>
        <v>251508</v>
      </c>
      <c r="J36" s="16">
        <f>(C36*0.288)+(E36*0.177)</f>
        <v>62050.475999999995</v>
      </c>
    </row>
    <row r="37" spans="1:10" x14ac:dyDescent="0.25">
      <c r="A37" s="17">
        <f>COUNT(A4:A34)</f>
        <v>31</v>
      </c>
      <c r="C37" s="1">
        <f>COUNTIF(C4:C34,"&gt;0")</f>
        <v>30</v>
      </c>
      <c r="G37" s="1"/>
    </row>
    <row r="39" spans="1:10" ht="15.6" x14ac:dyDescent="0.3">
      <c r="A39" s="13" t="s">
        <v>31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topLeftCell="A11" zoomScaleNormal="100" workbookViewId="0">
      <selection activeCell="H4" sqref="H4:H34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8.44140625" customWidth="1"/>
    <col min="9" max="9" width="19.109375" style="1" bestFit="1" customWidth="1"/>
    <col min="10" max="10" width="10.109375" style="14" bestFit="1" customWidth="1"/>
  </cols>
  <sheetData>
    <row r="1" spans="1:10" ht="17.399999999999999" x14ac:dyDescent="0.3">
      <c r="A1" s="6" t="s">
        <v>13</v>
      </c>
    </row>
    <row r="2" spans="1:10" ht="17.399999999999999" x14ac:dyDescent="0.3">
      <c r="A2" s="2"/>
      <c r="B2" s="7" t="s">
        <v>14</v>
      </c>
      <c r="C2" s="7" t="s">
        <v>15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15" t="s">
        <v>20</v>
      </c>
    </row>
    <row r="3" spans="1:10" x14ac:dyDescent="0.25">
      <c r="A3" s="3"/>
      <c r="B3" s="7" t="s">
        <v>21</v>
      </c>
      <c r="C3" s="7" t="s">
        <v>21</v>
      </c>
      <c r="D3" s="7" t="s">
        <v>22</v>
      </c>
      <c r="E3" s="7" t="s">
        <v>22</v>
      </c>
      <c r="F3" s="49" t="s">
        <v>21</v>
      </c>
      <c r="G3" s="7" t="s">
        <v>23</v>
      </c>
      <c r="H3" s="11"/>
      <c r="I3" s="7" t="s">
        <v>24</v>
      </c>
      <c r="J3" s="15" t="s">
        <v>25</v>
      </c>
    </row>
    <row r="4" spans="1:10" x14ac:dyDescent="0.25">
      <c r="A4" s="5">
        <v>44896</v>
      </c>
      <c r="B4" s="10">
        <v>2315</v>
      </c>
      <c r="C4" s="8">
        <f>IF(B5-B4 &lt; 0,0,B5-B4)</f>
        <v>2159</v>
      </c>
      <c r="D4" s="10">
        <v>661</v>
      </c>
      <c r="E4" s="8">
        <f t="shared" ref="E4:E33" si="0">IF(D5-D4 &lt; 0,0,D5-D4)</f>
        <v>719</v>
      </c>
      <c r="F4" s="10">
        <v>214</v>
      </c>
      <c r="G4" s="53">
        <v>0.63</v>
      </c>
      <c r="H4" s="12" t="s">
        <v>26</v>
      </c>
      <c r="I4" s="8">
        <f>+E4+C4</f>
        <v>2878</v>
      </c>
      <c r="J4" s="16">
        <f>(C4*0.288)+(E4*0.177)</f>
        <v>749.05499999999995</v>
      </c>
    </row>
    <row r="5" spans="1:10" x14ac:dyDescent="0.25">
      <c r="A5" s="5">
        <v>44897</v>
      </c>
      <c r="B5" s="10">
        <v>4474</v>
      </c>
      <c r="C5" s="8">
        <f t="shared" ref="C5:C33" si="1">IF(B6-B5 &lt; 0,0,B6-B5)</f>
        <v>2163</v>
      </c>
      <c r="D5" s="10">
        <v>1380</v>
      </c>
      <c r="E5" s="8">
        <f t="shared" si="0"/>
        <v>710</v>
      </c>
      <c r="F5" s="10">
        <v>214</v>
      </c>
      <c r="G5" s="53">
        <v>0.54</v>
      </c>
      <c r="H5" s="12" t="s">
        <v>27</v>
      </c>
      <c r="I5" s="8">
        <f t="shared" ref="I5:I35" si="2">+E5+C5</f>
        <v>2873</v>
      </c>
      <c r="J5" s="16">
        <f t="shared" ref="J5:J35" si="3">(C5*0.288)+(E5*0.177)</f>
        <v>748.61399999999992</v>
      </c>
    </row>
    <row r="6" spans="1:10" x14ac:dyDescent="0.25">
      <c r="A6" s="5">
        <v>44898</v>
      </c>
      <c r="B6" s="10">
        <v>6637</v>
      </c>
      <c r="C6" s="8">
        <f t="shared" si="1"/>
        <v>2227</v>
      </c>
      <c r="D6" s="10">
        <v>2090</v>
      </c>
      <c r="E6" s="8">
        <f t="shared" si="0"/>
        <v>700</v>
      </c>
      <c r="F6" s="10">
        <v>214</v>
      </c>
      <c r="G6" s="53">
        <v>0.61</v>
      </c>
      <c r="H6" s="12" t="s">
        <v>28</v>
      </c>
      <c r="I6" s="8">
        <f t="shared" si="2"/>
        <v>2927</v>
      </c>
      <c r="J6" s="16">
        <f t="shared" si="3"/>
        <v>765.27599999999995</v>
      </c>
    </row>
    <row r="7" spans="1:10" x14ac:dyDescent="0.25">
      <c r="A7" s="5">
        <v>44899</v>
      </c>
      <c r="B7" s="10">
        <v>8864</v>
      </c>
      <c r="C7" s="8">
        <f t="shared" si="1"/>
        <v>2157</v>
      </c>
      <c r="D7" s="10">
        <v>2790</v>
      </c>
      <c r="E7" s="8">
        <f t="shared" si="0"/>
        <v>1402</v>
      </c>
      <c r="F7" s="10">
        <v>214</v>
      </c>
      <c r="G7" s="53">
        <v>0.37</v>
      </c>
      <c r="H7" s="12" t="s">
        <v>26</v>
      </c>
      <c r="I7" s="8">
        <f t="shared" si="2"/>
        <v>3559</v>
      </c>
      <c r="J7" s="16">
        <f t="shared" si="3"/>
        <v>869.37</v>
      </c>
    </row>
    <row r="8" spans="1:10" x14ac:dyDescent="0.25">
      <c r="A8" s="5">
        <v>44900</v>
      </c>
      <c r="B8" s="10">
        <v>11021</v>
      </c>
      <c r="C8" s="8">
        <f t="shared" si="1"/>
        <v>2107</v>
      </c>
      <c r="D8" s="10">
        <v>4192</v>
      </c>
      <c r="E8" s="8">
        <f t="shared" si="0"/>
        <v>778</v>
      </c>
      <c r="F8" s="10">
        <v>214</v>
      </c>
      <c r="G8" s="53">
        <v>0.27</v>
      </c>
      <c r="H8" s="12" t="s">
        <v>27</v>
      </c>
      <c r="I8" s="8">
        <f t="shared" si="2"/>
        <v>2885</v>
      </c>
      <c r="J8" s="16">
        <f t="shared" si="3"/>
        <v>744.52199999999993</v>
      </c>
    </row>
    <row r="9" spans="1:10" x14ac:dyDescent="0.25">
      <c r="A9" s="5">
        <v>44901</v>
      </c>
      <c r="B9" s="10">
        <v>13128</v>
      </c>
      <c r="C9" s="8">
        <f t="shared" si="1"/>
        <v>2329</v>
      </c>
      <c r="D9" s="10">
        <v>4970</v>
      </c>
      <c r="E9" s="8">
        <f t="shared" si="0"/>
        <v>794</v>
      </c>
      <c r="F9" s="10">
        <v>214</v>
      </c>
      <c r="G9" s="53">
        <v>0.16</v>
      </c>
      <c r="H9" s="12" t="s">
        <v>27</v>
      </c>
      <c r="I9" s="8">
        <f t="shared" si="2"/>
        <v>3123</v>
      </c>
      <c r="J9" s="16">
        <f t="shared" si="3"/>
        <v>811.29</v>
      </c>
    </row>
    <row r="10" spans="1:10" x14ac:dyDescent="0.25">
      <c r="A10" s="5">
        <v>44902</v>
      </c>
      <c r="B10" s="10">
        <v>15457</v>
      </c>
      <c r="C10" s="8">
        <f t="shared" si="1"/>
        <v>2235</v>
      </c>
      <c r="D10" s="10">
        <v>5764</v>
      </c>
      <c r="E10" s="8">
        <f t="shared" si="0"/>
        <v>709</v>
      </c>
      <c r="F10" s="10">
        <v>214</v>
      </c>
      <c r="G10" s="54">
        <v>0.88</v>
      </c>
      <c r="H10" s="12" t="s">
        <v>26</v>
      </c>
      <c r="I10" s="8">
        <f t="shared" si="2"/>
        <v>2944</v>
      </c>
      <c r="J10" s="16">
        <f t="shared" si="3"/>
        <v>769.173</v>
      </c>
    </row>
    <row r="11" spans="1:10" x14ac:dyDescent="0.25">
      <c r="A11" s="5">
        <v>44903</v>
      </c>
      <c r="B11" s="10">
        <v>17692</v>
      </c>
      <c r="C11" s="8">
        <f t="shared" si="1"/>
        <v>2144</v>
      </c>
      <c r="D11" s="10">
        <v>6473</v>
      </c>
      <c r="E11" s="8">
        <f t="shared" si="0"/>
        <v>638</v>
      </c>
      <c r="F11" s="10">
        <v>214</v>
      </c>
      <c r="G11" s="53">
        <v>0.88</v>
      </c>
      <c r="H11" s="12" t="s">
        <v>26</v>
      </c>
      <c r="I11" s="8">
        <f t="shared" si="2"/>
        <v>2782</v>
      </c>
      <c r="J11" s="16">
        <f t="shared" si="3"/>
        <v>730.39799999999991</v>
      </c>
    </row>
    <row r="12" spans="1:10" x14ac:dyDescent="0.25">
      <c r="A12" s="5">
        <v>44904</v>
      </c>
      <c r="B12" s="10">
        <v>19836</v>
      </c>
      <c r="C12" s="8">
        <f t="shared" si="1"/>
        <v>2152</v>
      </c>
      <c r="D12" s="10">
        <v>7111</v>
      </c>
      <c r="E12" s="8">
        <f t="shared" si="0"/>
        <v>352</v>
      </c>
      <c r="F12" s="10">
        <v>214</v>
      </c>
      <c r="G12" s="53">
        <v>0.88</v>
      </c>
      <c r="H12" s="12" t="s">
        <v>27</v>
      </c>
      <c r="I12" s="8">
        <f t="shared" si="2"/>
        <v>2504</v>
      </c>
      <c r="J12" s="16">
        <f t="shared" si="3"/>
        <v>682.07999999999993</v>
      </c>
    </row>
    <row r="13" spans="1:10" x14ac:dyDescent="0.25">
      <c r="A13" s="5">
        <v>44905</v>
      </c>
      <c r="B13" s="10">
        <v>21988</v>
      </c>
      <c r="C13" s="8">
        <f t="shared" si="1"/>
        <v>2136</v>
      </c>
      <c r="D13" s="10">
        <v>7463</v>
      </c>
      <c r="E13" s="8">
        <f t="shared" si="0"/>
        <v>449</v>
      </c>
      <c r="F13" s="10">
        <v>214</v>
      </c>
      <c r="G13" s="53">
        <v>0.38</v>
      </c>
      <c r="H13" s="12" t="s">
        <v>27</v>
      </c>
      <c r="I13" s="8">
        <f t="shared" si="2"/>
        <v>2585</v>
      </c>
      <c r="J13" s="16">
        <f t="shared" si="3"/>
        <v>694.64099999999996</v>
      </c>
    </row>
    <row r="14" spans="1:10" x14ac:dyDescent="0.25">
      <c r="A14" s="5">
        <v>44906</v>
      </c>
      <c r="B14" s="10">
        <v>24124</v>
      </c>
      <c r="C14" s="8">
        <f t="shared" si="1"/>
        <v>2096</v>
      </c>
      <c r="D14" s="10">
        <v>7912</v>
      </c>
      <c r="E14" s="8">
        <f>IF(D15-D14 &lt; 0,0,D15-D14)</f>
        <v>652</v>
      </c>
      <c r="F14" s="10">
        <v>214</v>
      </c>
      <c r="G14" s="53">
        <v>0.47</v>
      </c>
      <c r="H14" s="12" t="s">
        <v>29</v>
      </c>
      <c r="I14" s="8">
        <f t="shared" si="2"/>
        <v>2748</v>
      </c>
      <c r="J14" s="16">
        <f t="shared" si="3"/>
        <v>719.05199999999991</v>
      </c>
    </row>
    <row r="15" spans="1:10" x14ac:dyDescent="0.25">
      <c r="A15" s="5">
        <v>44907</v>
      </c>
      <c r="B15" s="10">
        <v>26220</v>
      </c>
      <c r="C15" s="8">
        <f t="shared" si="1"/>
        <v>2308</v>
      </c>
      <c r="D15" s="10">
        <v>8564</v>
      </c>
      <c r="E15" s="8">
        <f>IF(D16-D15 &lt; 0,0,D16-D15)</f>
        <v>783</v>
      </c>
      <c r="F15" s="10">
        <v>214</v>
      </c>
      <c r="G15" s="53">
        <v>0.61</v>
      </c>
      <c r="H15" s="12" t="s">
        <v>26</v>
      </c>
      <c r="I15" s="8">
        <f t="shared" si="2"/>
        <v>3091</v>
      </c>
      <c r="J15" s="16">
        <f t="shared" si="3"/>
        <v>803.29499999999996</v>
      </c>
    </row>
    <row r="16" spans="1:10" x14ac:dyDescent="0.25">
      <c r="A16" s="5">
        <v>44908</v>
      </c>
      <c r="B16" s="10">
        <v>28528</v>
      </c>
      <c r="C16" s="8">
        <f t="shared" si="1"/>
        <v>2303</v>
      </c>
      <c r="D16" s="10">
        <v>9347</v>
      </c>
      <c r="E16" s="8">
        <f t="shared" si="0"/>
        <v>691</v>
      </c>
      <c r="F16" s="10">
        <v>214</v>
      </c>
      <c r="G16" s="53">
        <v>0.62</v>
      </c>
      <c r="H16" s="12" t="s">
        <v>26</v>
      </c>
      <c r="I16" s="8">
        <f t="shared" si="2"/>
        <v>2994</v>
      </c>
      <c r="J16" s="16">
        <f t="shared" si="3"/>
        <v>785.57099999999991</v>
      </c>
    </row>
    <row r="17" spans="1:10" x14ac:dyDescent="0.25">
      <c r="A17" s="5">
        <v>44909</v>
      </c>
      <c r="B17" s="10">
        <v>30831</v>
      </c>
      <c r="C17" s="8">
        <f t="shared" si="1"/>
        <v>2290</v>
      </c>
      <c r="D17" s="10">
        <v>10038</v>
      </c>
      <c r="E17" s="8">
        <f t="shared" si="0"/>
        <v>1356</v>
      </c>
      <c r="F17" s="10">
        <v>214</v>
      </c>
      <c r="G17" s="53">
        <v>0.62</v>
      </c>
      <c r="H17" s="12" t="s">
        <v>27</v>
      </c>
      <c r="I17" s="8">
        <f t="shared" si="2"/>
        <v>3646</v>
      </c>
      <c r="J17" s="16">
        <f t="shared" si="3"/>
        <v>899.53199999999993</v>
      </c>
    </row>
    <row r="18" spans="1:10" x14ac:dyDescent="0.25">
      <c r="A18" s="5">
        <v>44910</v>
      </c>
      <c r="B18" s="10">
        <v>33121</v>
      </c>
      <c r="C18" s="8">
        <f t="shared" si="1"/>
        <v>2437</v>
      </c>
      <c r="D18" s="10">
        <v>11394</v>
      </c>
      <c r="E18" s="8">
        <f t="shared" si="0"/>
        <v>751</v>
      </c>
      <c r="F18" s="10">
        <v>214</v>
      </c>
      <c r="G18" s="53">
        <v>0.66</v>
      </c>
      <c r="H18" s="12" t="s">
        <v>27</v>
      </c>
      <c r="I18" s="8">
        <f t="shared" si="2"/>
        <v>3188</v>
      </c>
      <c r="J18" s="16">
        <f t="shared" si="3"/>
        <v>834.78300000000002</v>
      </c>
    </row>
    <row r="19" spans="1:10" x14ac:dyDescent="0.25">
      <c r="A19" s="5">
        <v>44911</v>
      </c>
      <c r="B19" s="10">
        <v>35558</v>
      </c>
      <c r="C19" s="8">
        <f t="shared" si="1"/>
        <v>2389</v>
      </c>
      <c r="D19" s="10">
        <v>12145</v>
      </c>
      <c r="E19" s="8">
        <f t="shared" si="0"/>
        <v>188</v>
      </c>
      <c r="F19" s="10">
        <v>218</v>
      </c>
      <c r="G19" s="53">
        <v>0.47</v>
      </c>
      <c r="H19" s="12" t="s">
        <v>27</v>
      </c>
      <c r="I19" s="8">
        <f t="shared" si="2"/>
        <v>2577</v>
      </c>
      <c r="J19" s="16">
        <f t="shared" si="3"/>
        <v>721.30799999999988</v>
      </c>
    </row>
    <row r="20" spans="1:10" x14ac:dyDescent="0.25">
      <c r="A20" s="5">
        <v>44912</v>
      </c>
      <c r="B20" s="10">
        <v>37947</v>
      </c>
      <c r="C20" s="8">
        <f t="shared" si="1"/>
        <v>2030</v>
      </c>
      <c r="D20" s="10">
        <v>12333</v>
      </c>
      <c r="E20" s="8">
        <f t="shared" si="0"/>
        <v>642</v>
      </c>
      <c r="F20" s="10">
        <v>218</v>
      </c>
      <c r="G20" s="53">
        <v>0.54</v>
      </c>
      <c r="H20" s="12" t="s">
        <v>26</v>
      </c>
      <c r="I20" s="8">
        <f t="shared" si="2"/>
        <v>2672</v>
      </c>
      <c r="J20" s="16">
        <f t="shared" si="3"/>
        <v>698.274</v>
      </c>
    </row>
    <row r="21" spans="1:10" x14ac:dyDescent="0.25">
      <c r="A21" s="5">
        <v>44913</v>
      </c>
      <c r="B21" s="10">
        <v>39977</v>
      </c>
      <c r="C21" s="8">
        <f t="shared" si="1"/>
        <v>2204</v>
      </c>
      <c r="D21" s="10">
        <v>12975</v>
      </c>
      <c r="E21" s="8">
        <f t="shared" si="0"/>
        <v>569</v>
      </c>
      <c r="F21" s="10">
        <v>218</v>
      </c>
      <c r="G21" s="53">
        <v>0.61</v>
      </c>
      <c r="H21" s="12" t="s">
        <v>28</v>
      </c>
      <c r="I21" s="8">
        <f t="shared" si="2"/>
        <v>2773</v>
      </c>
      <c r="J21" s="16">
        <f t="shared" si="3"/>
        <v>735.46499999999992</v>
      </c>
    </row>
    <row r="22" spans="1:10" x14ac:dyDescent="0.25">
      <c r="A22" s="5">
        <v>44914</v>
      </c>
      <c r="B22" s="10">
        <v>42181</v>
      </c>
      <c r="C22" s="8">
        <f t="shared" si="1"/>
        <v>2322</v>
      </c>
      <c r="D22" s="10">
        <v>13544</v>
      </c>
      <c r="E22" s="8">
        <f t="shared" si="0"/>
        <v>721</v>
      </c>
      <c r="F22" s="10">
        <v>218</v>
      </c>
      <c r="G22" s="53">
        <v>0.71</v>
      </c>
      <c r="H22" s="12" t="s">
        <v>28</v>
      </c>
      <c r="I22" s="8">
        <f t="shared" si="2"/>
        <v>3043</v>
      </c>
      <c r="J22" s="16">
        <f t="shared" si="3"/>
        <v>796.35299999999995</v>
      </c>
    </row>
    <row r="23" spans="1:10" x14ac:dyDescent="0.25">
      <c r="A23" s="5">
        <v>44915</v>
      </c>
      <c r="B23" s="10">
        <v>44503</v>
      </c>
      <c r="C23" s="8">
        <f t="shared" si="1"/>
        <v>2317</v>
      </c>
      <c r="D23" s="10">
        <v>14265</v>
      </c>
      <c r="E23" s="8">
        <f t="shared" si="0"/>
        <v>740</v>
      </c>
      <c r="F23" s="10">
        <v>218</v>
      </c>
      <c r="G23" s="53">
        <v>0.74</v>
      </c>
      <c r="H23" s="12" t="s">
        <v>26</v>
      </c>
      <c r="I23" s="8">
        <f t="shared" si="2"/>
        <v>3057</v>
      </c>
      <c r="J23" s="16">
        <f t="shared" si="3"/>
        <v>798.27599999999995</v>
      </c>
    </row>
    <row r="24" spans="1:10" x14ac:dyDescent="0.25">
      <c r="A24" s="5">
        <v>44916</v>
      </c>
      <c r="B24" s="10">
        <v>46820</v>
      </c>
      <c r="C24" s="8">
        <f t="shared" si="1"/>
        <v>2323</v>
      </c>
      <c r="D24" s="10">
        <v>15005</v>
      </c>
      <c r="E24" s="8">
        <f t="shared" si="0"/>
        <v>761</v>
      </c>
      <c r="F24" s="10">
        <v>218</v>
      </c>
      <c r="G24" s="53">
        <v>0.73</v>
      </c>
      <c r="H24" s="12" t="s">
        <v>26</v>
      </c>
      <c r="I24" s="8">
        <f t="shared" si="2"/>
        <v>3084</v>
      </c>
      <c r="J24" s="16">
        <f t="shared" si="3"/>
        <v>803.721</v>
      </c>
    </row>
    <row r="25" spans="1:10" x14ac:dyDescent="0.25">
      <c r="A25" s="5">
        <v>44917</v>
      </c>
      <c r="B25" s="10">
        <v>49143</v>
      </c>
      <c r="C25" s="8">
        <f t="shared" si="1"/>
        <v>2499</v>
      </c>
      <c r="D25" s="10">
        <v>15766</v>
      </c>
      <c r="E25" s="8">
        <f t="shared" si="0"/>
        <v>745</v>
      </c>
      <c r="F25" s="10">
        <v>218</v>
      </c>
      <c r="G25" s="53">
        <v>0.64</v>
      </c>
      <c r="H25" s="12" t="s">
        <v>26</v>
      </c>
      <c r="I25" s="8">
        <f t="shared" si="2"/>
        <v>3244</v>
      </c>
      <c r="J25" s="16">
        <f t="shared" si="3"/>
        <v>851.577</v>
      </c>
    </row>
    <row r="26" spans="1:10" x14ac:dyDescent="0.25">
      <c r="A26" s="5">
        <v>44918</v>
      </c>
      <c r="B26" s="10">
        <v>51642</v>
      </c>
      <c r="C26" s="8">
        <f t="shared" si="1"/>
        <v>2494</v>
      </c>
      <c r="D26" s="10">
        <v>16511</v>
      </c>
      <c r="E26" s="8">
        <f t="shared" si="0"/>
        <v>775</v>
      </c>
      <c r="F26" s="10">
        <v>218</v>
      </c>
      <c r="G26" s="66">
        <v>0.56999999999999995</v>
      </c>
      <c r="H26" s="12" t="s">
        <v>26</v>
      </c>
      <c r="I26" s="8">
        <f t="shared" si="2"/>
        <v>3269</v>
      </c>
      <c r="J26" s="16">
        <f t="shared" si="3"/>
        <v>855.44699999999989</v>
      </c>
    </row>
    <row r="27" spans="1:10" x14ac:dyDescent="0.25">
      <c r="A27" s="5">
        <v>44919</v>
      </c>
      <c r="B27" s="10">
        <v>54136</v>
      </c>
      <c r="C27" s="8">
        <f t="shared" si="1"/>
        <v>2465</v>
      </c>
      <c r="D27" s="10">
        <v>17286</v>
      </c>
      <c r="E27" s="8">
        <f t="shared" si="0"/>
        <v>788</v>
      </c>
      <c r="F27" s="10">
        <v>218</v>
      </c>
      <c r="G27" s="53">
        <v>0.63</v>
      </c>
      <c r="H27" s="12" t="s">
        <v>26</v>
      </c>
      <c r="I27" s="8">
        <f t="shared" si="2"/>
        <v>3253</v>
      </c>
      <c r="J27" s="16">
        <f t="shared" si="3"/>
        <v>849.39599999999996</v>
      </c>
    </row>
    <row r="28" spans="1:10" x14ac:dyDescent="0.25">
      <c r="A28" s="5">
        <v>44920</v>
      </c>
      <c r="B28" s="10">
        <v>56601</v>
      </c>
      <c r="C28" s="8">
        <f t="shared" si="1"/>
        <v>2528</v>
      </c>
      <c r="D28" s="10">
        <v>18074</v>
      </c>
      <c r="E28" s="8">
        <f t="shared" si="0"/>
        <v>904</v>
      </c>
      <c r="F28" s="10">
        <v>221</v>
      </c>
      <c r="G28" s="53">
        <v>0.66</v>
      </c>
      <c r="H28" s="12" t="s">
        <v>26</v>
      </c>
      <c r="I28" s="8">
        <f t="shared" si="2"/>
        <v>3432</v>
      </c>
      <c r="J28" s="16">
        <f t="shared" si="3"/>
        <v>888.07199999999989</v>
      </c>
    </row>
    <row r="29" spans="1:10" x14ac:dyDescent="0.25">
      <c r="A29" s="5">
        <v>44921</v>
      </c>
      <c r="B29" s="10">
        <v>59129</v>
      </c>
      <c r="C29" s="8">
        <f t="shared" si="1"/>
        <v>2492</v>
      </c>
      <c r="D29" s="10">
        <v>18978</v>
      </c>
      <c r="E29" s="8">
        <f t="shared" si="0"/>
        <v>868</v>
      </c>
      <c r="F29" s="10">
        <v>221</v>
      </c>
      <c r="G29" s="53">
        <v>0.66</v>
      </c>
      <c r="H29" s="12" t="s">
        <v>26</v>
      </c>
      <c r="I29" s="8">
        <f t="shared" si="2"/>
        <v>3360</v>
      </c>
      <c r="J29" s="16">
        <f t="shared" si="3"/>
        <v>871.33199999999988</v>
      </c>
    </row>
    <row r="30" spans="1:10" x14ac:dyDescent="0.25">
      <c r="A30" s="5">
        <v>44922</v>
      </c>
      <c r="B30" s="10">
        <v>61621</v>
      </c>
      <c r="C30" s="8">
        <f t="shared" si="1"/>
        <v>2456</v>
      </c>
      <c r="D30" s="10">
        <v>19846</v>
      </c>
      <c r="E30" s="8">
        <f t="shared" si="0"/>
        <v>658</v>
      </c>
      <c r="F30" s="10">
        <v>226</v>
      </c>
      <c r="G30" s="53">
        <v>0.54</v>
      </c>
      <c r="H30" s="12" t="s">
        <v>26</v>
      </c>
      <c r="I30" s="8">
        <f t="shared" si="2"/>
        <v>3114</v>
      </c>
      <c r="J30" s="16">
        <f t="shared" si="3"/>
        <v>823.79399999999998</v>
      </c>
    </row>
    <row r="31" spans="1:10" x14ac:dyDescent="0.25">
      <c r="A31" s="5">
        <v>44923</v>
      </c>
      <c r="B31" s="10">
        <v>64077</v>
      </c>
      <c r="C31" s="8">
        <f t="shared" si="1"/>
        <v>2257</v>
      </c>
      <c r="D31" s="10">
        <v>20504</v>
      </c>
      <c r="E31" s="8">
        <f t="shared" si="0"/>
        <v>780</v>
      </c>
      <c r="F31" s="10">
        <v>226</v>
      </c>
      <c r="G31" s="53">
        <v>0.56999999999999995</v>
      </c>
      <c r="H31" s="12" t="s">
        <v>26</v>
      </c>
      <c r="I31" s="8">
        <f t="shared" si="2"/>
        <v>3037</v>
      </c>
      <c r="J31" s="16">
        <f t="shared" si="3"/>
        <v>788.07600000000002</v>
      </c>
    </row>
    <row r="32" spans="1:10" x14ac:dyDescent="0.25">
      <c r="A32" s="5">
        <v>44924</v>
      </c>
      <c r="B32" s="10">
        <v>66334</v>
      </c>
      <c r="C32" s="8">
        <f t="shared" si="1"/>
        <v>2345</v>
      </c>
      <c r="D32" s="10">
        <v>21284</v>
      </c>
      <c r="E32" s="8">
        <f t="shared" si="0"/>
        <v>1216</v>
      </c>
      <c r="F32" s="10">
        <v>226</v>
      </c>
      <c r="G32" s="53">
        <v>0.61</v>
      </c>
      <c r="H32" s="12" t="s">
        <v>26</v>
      </c>
      <c r="I32" s="8">
        <f t="shared" si="2"/>
        <v>3561</v>
      </c>
      <c r="J32" s="16">
        <f t="shared" si="3"/>
        <v>890.59199999999987</v>
      </c>
    </row>
    <row r="33" spans="1:10" x14ac:dyDescent="0.25">
      <c r="A33" s="5">
        <v>44925</v>
      </c>
      <c r="B33" s="10">
        <v>68679</v>
      </c>
      <c r="C33" s="8">
        <f t="shared" si="1"/>
        <v>2445</v>
      </c>
      <c r="D33" s="10">
        <v>22500</v>
      </c>
      <c r="E33" s="8">
        <f t="shared" si="0"/>
        <v>1316</v>
      </c>
      <c r="F33" s="10">
        <v>226</v>
      </c>
      <c r="G33" s="53">
        <v>0.68</v>
      </c>
      <c r="H33" s="12" t="s">
        <v>26</v>
      </c>
      <c r="I33" s="8">
        <f t="shared" si="2"/>
        <v>3761</v>
      </c>
      <c r="J33" s="16">
        <f t="shared" si="3"/>
        <v>937.09199999999998</v>
      </c>
    </row>
    <row r="34" spans="1:10" x14ac:dyDescent="0.25">
      <c r="A34" s="5">
        <v>44926</v>
      </c>
      <c r="B34" s="10">
        <v>71124</v>
      </c>
      <c r="C34" s="8">
        <v>0</v>
      </c>
      <c r="D34" s="10">
        <v>23816</v>
      </c>
      <c r="E34" s="8">
        <v>0</v>
      </c>
      <c r="F34" s="10">
        <v>226</v>
      </c>
      <c r="G34" s="53">
        <v>0.7</v>
      </c>
      <c r="H34" s="12" t="s">
        <v>26</v>
      </c>
      <c r="I34" s="8">
        <f t="shared" si="2"/>
        <v>0</v>
      </c>
      <c r="J34" s="16">
        <f t="shared" si="3"/>
        <v>0</v>
      </c>
    </row>
    <row r="35" spans="1:10" x14ac:dyDescent="0.25">
      <c r="A35" s="5"/>
      <c r="B35" s="51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ht="13.5" customHeight="1" x14ac:dyDescent="0.25">
      <c r="A36" s="93"/>
      <c r="B36" s="94"/>
      <c r="C36" s="9">
        <f>SUM(C4:C35)</f>
        <v>68809</v>
      </c>
      <c r="D36" s="9"/>
      <c r="E36" s="9">
        <f>SUM(E4:E35)</f>
        <v>23155</v>
      </c>
      <c r="F36" s="9">
        <f>MAX(F4:F34)</f>
        <v>226</v>
      </c>
      <c r="G36" s="11"/>
      <c r="H36" s="11"/>
      <c r="I36" s="8">
        <f>+E36+C36</f>
        <v>91964</v>
      </c>
      <c r="J36" s="16">
        <f>(C36*0.288)+(E36*0.177)</f>
        <v>23915.426999999996</v>
      </c>
    </row>
    <row r="37" spans="1:10" x14ac:dyDescent="0.25">
      <c r="A37" s="4">
        <f>COUNT(A4:A34)</f>
        <v>31</v>
      </c>
      <c r="G37" s="1"/>
      <c r="H37" t="s">
        <v>32</v>
      </c>
    </row>
    <row r="38" spans="1:10" x14ac:dyDescent="0.25">
      <c r="H38" t="s">
        <v>33</v>
      </c>
    </row>
    <row r="39" spans="1:10" ht="15.6" x14ac:dyDescent="0.3">
      <c r="A39" s="13" t="s">
        <v>31</v>
      </c>
      <c r="H39" t="s">
        <v>34</v>
      </c>
    </row>
    <row r="40" spans="1:10" x14ac:dyDescent="0.25">
      <c r="H40" t="s">
        <v>35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topLeftCell="A23" zoomScaleNormal="100" workbookViewId="0">
      <selection activeCell="H4" sqref="H4:H34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8.6640625" style="55" customWidth="1"/>
    <col min="9" max="9" width="19.109375" style="1" bestFit="1" customWidth="1"/>
    <col min="10" max="10" width="10.109375" style="14" bestFit="1" customWidth="1"/>
  </cols>
  <sheetData>
    <row r="1" spans="1:10" ht="17.399999999999999" x14ac:dyDescent="0.3">
      <c r="A1" s="6" t="s">
        <v>13</v>
      </c>
    </row>
    <row r="2" spans="1:10" ht="17.399999999999999" x14ac:dyDescent="0.3">
      <c r="A2" s="2"/>
      <c r="B2" s="7" t="s">
        <v>14</v>
      </c>
      <c r="C2" s="7" t="s">
        <v>15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15" t="s">
        <v>20</v>
      </c>
    </row>
    <row r="3" spans="1:10" x14ac:dyDescent="0.25">
      <c r="A3" s="3"/>
      <c r="B3" s="7" t="s">
        <v>21</v>
      </c>
      <c r="C3" s="7" t="s">
        <v>21</v>
      </c>
      <c r="D3" s="7"/>
      <c r="E3" s="7" t="s">
        <v>22</v>
      </c>
      <c r="F3" s="49" t="s">
        <v>21</v>
      </c>
      <c r="G3" s="7" t="s">
        <v>23</v>
      </c>
      <c r="H3" s="56"/>
      <c r="I3" s="7" t="s">
        <v>24</v>
      </c>
      <c r="J3" s="15" t="s">
        <v>25</v>
      </c>
    </row>
    <row r="4" spans="1:10" x14ac:dyDescent="0.25">
      <c r="A4" s="5">
        <v>44896</v>
      </c>
      <c r="B4" s="10">
        <v>4148</v>
      </c>
      <c r="C4" s="8">
        <f>IF(B5-B4 &lt; 0,0,B5-B4)</f>
        <v>4558</v>
      </c>
      <c r="D4" s="10">
        <v>2101</v>
      </c>
      <c r="E4" s="8">
        <f>IF(D5-D4 &lt; 0,0,D5-D4)</f>
        <v>2495</v>
      </c>
      <c r="F4" s="10">
        <v>363</v>
      </c>
      <c r="G4" s="53">
        <v>0.63</v>
      </c>
      <c r="H4" s="12" t="s">
        <v>26</v>
      </c>
      <c r="I4" s="8">
        <f>+E4+C4</f>
        <v>7053</v>
      </c>
      <c r="J4" s="16">
        <f>(C4*0.288)+(E4*0.177)</f>
        <v>1754.319</v>
      </c>
    </row>
    <row r="5" spans="1:10" x14ac:dyDescent="0.25">
      <c r="A5" s="5">
        <v>44897</v>
      </c>
      <c r="B5" s="10">
        <v>8706</v>
      </c>
      <c r="C5" s="8">
        <f t="shared" ref="C5:C34" si="0">IF(B6-B5 &lt; 0,0,B6-B5)</f>
        <v>3918</v>
      </c>
      <c r="D5" s="10">
        <v>4596</v>
      </c>
      <c r="E5" s="8">
        <f t="shared" ref="E5:E34" si="1">IF(D6-D5 &lt; 0,0,D6-D5)</f>
        <v>2585</v>
      </c>
      <c r="F5" s="10">
        <v>363</v>
      </c>
      <c r="G5" s="53">
        <v>0.54</v>
      </c>
      <c r="H5" s="12" t="s">
        <v>27</v>
      </c>
      <c r="I5" s="8">
        <f>+E5+C5</f>
        <v>6503</v>
      </c>
      <c r="J5" s="16">
        <f t="shared" ref="J5:J35" si="2">(C5*0.288)+(E5*0.177)</f>
        <v>1585.9290000000001</v>
      </c>
    </row>
    <row r="6" spans="1:10" s="61" customFormat="1" ht="11.25" customHeight="1" x14ac:dyDescent="0.25">
      <c r="A6" s="5">
        <v>44898</v>
      </c>
      <c r="B6" s="58">
        <v>12624</v>
      </c>
      <c r="C6" s="59">
        <f t="shared" si="0"/>
        <v>4149</v>
      </c>
      <c r="D6" s="58">
        <v>7181</v>
      </c>
      <c r="E6" s="59">
        <f t="shared" si="1"/>
        <v>2225</v>
      </c>
      <c r="F6" s="58">
        <v>363</v>
      </c>
      <c r="G6" s="53">
        <v>0.61</v>
      </c>
      <c r="H6" s="12" t="s">
        <v>28</v>
      </c>
      <c r="I6" s="59">
        <f>+E6+C6</f>
        <v>6374</v>
      </c>
      <c r="J6" s="60">
        <f t="shared" si="2"/>
        <v>1588.7369999999999</v>
      </c>
    </row>
    <row r="7" spans="1:10" x14ac:dyDescent="0.25">
      <c r="A7" s="5">
        <v>44899</v>
      </c>
      <c r="B7" s="10">
        <v>16773</v>
      </c>
      <c r="C7" s="8">
        <f t="shared" si="0"/>
        <v>3908</v>
      </c>
      <c r="D7" s="10">
        <v>9406</v>
      </c>
      <c r="E7" s="8">
        <f t="shared" si="1"/>
        <v>2760</v>
      </c>
      <c r="F7" s="12">
        <v>363</v>
      </c>
      <c r="G7" s="53">
        <v>0.37</v>
      </c>
      <c r="H7" s="12" t="s">
        <v>26</v>
      </c>
      <c r="I7" s="8">
        <f t="shared" ref="I7:I35" si="3">+E7+C7</f>
        <v>6668</v>
      </c>
      <c r="J7" s="16">
        <f t="shared" si="2"/>
        <v>1614.0239999999999</v>
      </c>
    </row>
    <row r="8" spans="1:10" x14ac:dyDescent="0.25">
      <c r="A8" s="5">
        <v>44900</v>
      </c>
      <c r="B8" s="10">
        <v>20681</v>
      </c>
      <c r="C8" s="8">
        <f t="shared" si="0"/>
        <v>3968</v>
      </c>
      <c r="D8" s="10">
        <v>12166</v>
      </c>
      <c r="E8" s="8">
        <f t="shared" si="1"/>
        <v>2135</v>
      </c>
      <c r="F8" s="12">
        <v>383</v>
      </c>
      <c r="G8" s="53">
        <v>0.27</v>
      </c>
      <c r="H8" s="12" t="s">
        <v>27</v>
      </c>
      <c r="I8" s="8">
        <f t="shared" si="3"/>
        <v>6103</v>
      </c>
      <c r="J8" s="16">
        <f t="shared" si="2"/>
        <v>1520.6789999999999</v>
      </c>
    </row>
    <row r="9" spans="1:10" x14ac:dyDescent="0.25">
      <c r="A9" s="5">
        <v>44901</v>
      </c>
      <c r="B9" s="10">
        <v>24649</v>
      </c>
      <c r="C9" s="8">
        <f t="shared" si="0"/>
        <v>4618</v>
      </c>
      <c r="D9" s="10">
        <v>14301</v>
      </c>
      <c r="E9" s="8">
        <f t="shared" si="1"/>
        <v>4074</v>
      </c>
      <c r="F9" s="10">
        <v>383</v>
      </c>
      <c r="G9" s="53">
        <v>0.16</v>
      </c>
      <c r="H9" s="12" t="s">
        <v>27</v>
      </c>
      <c r="I9" s="8">
        <f t="shared" si="3"/>
        <v>8692</v>
      </c>
      <c r="J9" s="16">
        <f t="shared" si="2"/>
        <v>2051.0819999999999</v>
      </c>
    </row>
    <row r="10" spans="1:10" x14ac:dyDescent="0.25">
      <c r="A10" s="5">
        <v>44902</v>
      </c>
      <c r="B10" s="10">
        <v>29267</v>
      </c>
      <c r="C10" s="8">
        <f t="shared" si="0"/>
        <v>3579</v>
      </c>
      <c r="D10" s="10">
        <v>18375</v>
      </c>
      <c r="E10" s="8">
        <f t="shared" si="1"/>
        <v>732</v>
      </c>
      <c r="F10" s="10">
        <v>384</v>
      </c>
      <c r="G10" s="54">
        <v>0.88</v>
      </c>
      <c r="H10" s="12" t="s">
        <v>26</v>
      </c>
      <c r="I10" s="8">
        <f t="shared" si="3"/>
        <v>4311</v>
      </c>
      <c r="J10" s="16">
        <f t="shared" si="2"/>
        <v>1160.316</v>
      </c>
    </row>
    <row r="11" spans="1:10" x14ac:dyDescent="0.25">
      <c r="A11" s="5">
        <v>44903</v>
      </c>
      <c r="B11" s="10">
        <v>32846</v>
      </c>
      <c r="C11" s="8">
        <f t="shared" si="0"/>
        <v>3238</v>
      </c>
      <c r="D11" s="10">
        <v>19107</v>
      </c>
      <c r="E11" s="8">
        <f t="shared" si="1"/>
        <v>3309</v>
      </c>
      <c r="F11" s="10">
        <v>384</v>
      </c>
      <c r="G11" s="53">
        <v>0.88</v>
      </c>
      <c r="H11" s="12" t="s">
        <v>26</v>
      </c>
      <c r="I11" s="8">
        <f t="shared" si="3"/>
        <v>6547</v>
      </c>
      <c r="J11" s="16">
        <f t="shared" si="2"/>
        <v>1518.2370000000001</v>
      </c>
    </row>
    <row r="12" spans="1:10" x14ac:dyDescent="0.25">
      <c r="A12" s="5">
        <v>44904</v>
      </c>
      <c r="B12" s="10">
        <v>36084</v>
      </c>
      <c r="C12" s="8">
        <f t="shared" si="0"/>
        <v>3577</v>
      </c>
      <c r="D12" s="10">
        <v>22416</v>
      </c>
      <c r="E12" s="8">
        <f t="shared" si="1"/>
        <v>497</v>
      </c>
      <c r="F12" s="10">
        <v>384</v>
      </c>
      <c r="G12" s="53">
        <v>0.88</v>
      </c>
      <c r="H12" s="12" t="s">
        <v>27</v>
      </c>
      <c r="I12" s="8">
        <f t="shared" si="3"/>
        <v>4074</v>
      </c>
      <c r="J12" s="16">
        <f t="shared" si="2"/>
        <v>1118.145</v>
      </c>
    </row>
    <row r="13" spans="1:10" x14ac:dyDescent="0.25">
      <c r="A13" s="5">
        <v>44905</v>
      </c>
      <c r="B13" s="10">
        <v>39661</v>
      </c>
      <c r="C13" s="8">
        <f t="shared" si="0"/>
        <v>3698</v>
      </c>
      <c r="D13" s="10">
        <v>22913</v>
      </c>
      <c r="E13" s="8">
        <f t="shared" si="1"/>
        <v>2185</v>
      </c>
      <c r="F13" s="10">
        <v>384</v>
      </c>
      <c r="G13" s="53">
        <v>0.38</v>
      </c>
      <c r="H13" s="12" t="s">
        <v>27</v>
      </c>
      <c r="I13" s="8">
        <f t="shared" si="3"/>
        <v>5883</v>
      </c>
      <c r="J13" s="16">
        <f t="shared" si="2"/>
        <v>1451.7689999999998</v>
      </c>
    </row>
    <row r="14" spans="1:10" x14ac:dyDescent="0.25">
      <c r="A14" s="5">
        <v>44906</v>
      </c>
      <c r="B14" s="10">
        <v>43359</v>
      </c>
      <c r="C14" s="8">
        <f t="shared" si="0"/>
        <v>3819</v>
      </c>
      <c r="D14" s="10">
        <v>25098</v>
      </c>
      <c r="E14" s="8">
        <f t="shared" si="1"/>
        <v>2214</v>
      </c>
      <c r="F14" s="10">
        <v>384</v>
      </c>
      <c r="G14" s="53">
        <v>0.47</v>
      </c>
      <c r="H14" s="12" t="s">
        <v>29</v>
      </c>
      <c r="I14" s="8">
        <f t="shared" si="3"/>
        <v>6033</v>
      </c>
      <c r="J14" s="16">
        <f t="shared" si="2"/>
        <v>1491.7499999999998</v>
      </c>
    </row>
    <row r="15" spans="1:10" x14ac:dyDescent="0.25">
      <c r="A15" s="5">
        <v>44907</v>
      </c>
      <c r="B15" s="10">
        <v>47178</v>
      </c>
      <c r="C15" s="8">
        <f t="shared" si="0"/>
        <v>3758</v>
      </c>
      <c r="D15" s="10">
        <v>27312</v>
      </c>
      <c r="E15" s="8">
        <f t="shared" si="1"/>
        <v>2184</v>
      </c>
      <c r="F15" s="10">
        <v>384</v>
      </c>
      <c r="G15" s="53">
        <v>0.61</v>
      </c>
      <c r="H15" s="12" t="s">
        <v>26</v>
      </c>
      <c r="I15" s="8">
        <f t="shared" si="3"/>
        <v>5942</v>
      </c>
      <c r="J15" s="16">
        <f t="shared" si="2"/>
        <v>1468.8719999999998</v>
      </c>
    </row>
    <row r="16" spans="1:10" x14ac:dyDescent="0.25">
      <c r="A16" s="5">
        <v>44908</v>
      </c>
      <c r="B16" s="10">
        <v>50936</v>
      </c>
      <c r="C16" s="8">
        <f t="shared" si="0"/>
        <v>3968</v>
      </c>
      <c r="D16" s="10">
        <v>29496</v>
      </c>
      <c r="E16" s="8">
        <f t="shared" si="1"/>
        <v>2114</v>
      </c>
      <c r="F16" s="10">
        <v>384</v>
      </c>
      <c r="G16" s="53">
        <v>0.62</v>
      </c>
      <c r="H16" s="12" t="s">
        <v>26</v>
      </c>
      <c r="I16" s="8">
        <f t="shared" si="3"/>
        <v>6082</v>
      </c>
      <c r="J16" s="16">
        <f t="shared" si="2"/>
        <v>1516.962</v>
      </c>
    </row>
    <row r="17" spans="1:10" x14ac:dyDescent="0.25">
      <c r="A17" s="5">
        <v>44909</v>
      </c>
      <c r="B17" s="10">
        <v>54904</v>
      </c>
      <c r="C17" s="8">
        <f t="shared" si="0"/>
        <v>4349</v>
      </c>
      <c r="D17" s="10">
        <v>31610</v>
      </c>
      <c r="E17" s="8">
        <f t="shared" si="1"/>
        <v>3349</v>
      </c>
      <c r="F17" s="10">
        <v>384</v>
      </c>
      <c r="G17" s="53">
        <v>0.62</v>
      </c>
      <c r="H17" s="12" t="s">
        <v>27</v>
      </c>
      <c r="I17" s="8">
        <f t="shared" si="3"/>
        <v>7698</v>
      </c>
      <c r="J17" s="16">
        <f t="shared" si="2"/>
        <v>1845.2849999999999</v>
      </c>
    </row>
    <row r="18" spans="1:10" x14ac:dyDescent="0.25">
      <c r="A18" s="5">
        <v>44910</v>
      </c>
      <c r="B18" s="10">
        <v>59253</v>
      </c>
      <c r="C18" s="8">
        <f t="shared" si="0"/>
        <v>4319</v>
      </c>
      <c r="D18" s="10">
        <v>34959</v>
      </c>
      <c r="E18" s="8">
        <f t="shared" si="1"/>
        <v>2181</v>
      </c>
      <c r="F18" s="10">
        <v>384</v>
      </c>
      <c r="G18" s="53">
        <v>0.66</v>
      </c>
      <c r="H18" s="12" t="s">
        <v>27</v>
      </c>
      <c r="I18" s="8">
        <f t="shared" si="3"/>
        <v>6500</v>
      </c>
      <c r="J18" s="16">
        <f t="shared" si="2"/>
        <v>1629.9089999999999</v>
      </c>
    </row>
    <row r="19" spans="1:10" x14ac:dyDescent="0.25">
      <c r="A19" s="5">
        <v>44911</v>
      </c>
      <c r="B19" s="10">
        <v>63572</v>
      </c>
      <c r="C19" s="8">
        <f t="shared" si="0"/>
        <v>4037</v>
      </c>
      <c r="D19" s="10">
        <v>37140</v>
      </c>
      <c r="E19" s="8">
        <f t="shared" si="1"/>
        <v>2292</v>
      </c>
      <c r="F19" s="10">
        <v>384</v>
      </c>
      <c r="G19" s="53">
        <v>0.47</v>
      </c>
      <c r="H19" s="12" t="s">
        <v>27</v>
      </c>
      <c r="I19" s="8">
        <f t="shared" si="3"/>
        <v>6329</v>
      </c>
      <c r="J19" s="16">
        <f t="shared" si="2"/>
        <v>1568.34</v>
      </c>
    </row>
    <row r="20" spans="1:10" x14ac:dyDescent="0.25">
      <c r="A20" s="5">
        <v>44912</v>
      </c>
      <c r="B20" s="10">
        <v>67609</v>
      </c>
      <c r="C20" s="8">
        <f t="shared" si="0"/>
        <v>3409</v>
      </c>
      <c r="D20" s="10">
        <v>39432</v>
      </c>
      <c r="E20" s="8">
        <f t="shared" si="1"/>
        <v>2073</v>
      </c>
      <c r="F20" s="10">
        <v>384</v>
      </c>
      <c r="G20" s="53">
        <v>0.54</v>
      </c>
      <c r="H20" s="12" t="s">
        <v>26</v>
      </c>
      <c r="I20" s="8">
        <f t="shared" si="3"/>
        <v>5482</v>
      </c>
      <c r="J20" s="16">
        <f t="shared" si="2"/>
        <v>1348.713</v>
      </c>
    </row>
    <row r="21" spans="1:10" x14ac:dyDescent="0.25">
      <c r="A21" s="5">
        <v>44913</v>
      </c>
      <c r="B21" s="10">
        <v>71018</v>
      </c>
      <c r="C21" s="8">
        <f t="shared" si="0"/>
        <v>3198</v>
      </c>
      <c r="D21" s="10">
        <v>41505</v>
      </c>
      <c r="E21" s="8">
        <f t="shared" si="1"/>
        <v>1925</v>
      </c>
      <c r="F21" s="10">
        <v>384</v>
      </c>
      <c r="G21" s="53">
        <v>0.61</v>
      </c>
      <c r="H21" s="12" t="s">
        <v>28</v>
      </c>
      <c r="I21" s="8">
        <f t="shared" si="3"/>
        <v>5123</v>
      </c>
      <c r="J21" s="16">
        <f t="shared" si="2"/>
        <v>1261.7489999999998</v>
      </c>
    </row>
    <row r="22" spans="1:10" x14ac:dyDescent="0.25">
      <c r="A22" s="5">
        <v>44914</v>
      </c>
      <c r="B22" s="10">
        <v>74216</v>
      </c>
      <c r="C22" s="8">
        <f t="shared" si="0"/>
        <v>2888</v>
      </c>
      <c r="D22" s="10">
        <v>43430</v>
      </c>
      <c r="E22" s="8">
        <f t="shared" si="1"/>
        <v>2087</v>
      </c>
      <c r="F22" s="10">
        <v>384</v>
      </c>
      <c r="G22" s="53">
        <v>0.71</v>
      </c>
      <c r="H22" s="12" t="s">
        <v>28</v>
      </c>
      <c r="I22" s="8">
        <f t="shared" si="3"/>
        <v>4975</v>
      </c>
      <c r="J22" s="16">
        <f t="shared" si="2"/>
        <v>1201.143</v>
      </c>
    </row>
    <row r="23" spans="1:10" x14ac:dyDescent="0.25">
      <c r="A23" s="5">
        <v>44915</v>
      </c>
      <c r="B23" s="10">
        <v>77104</v>
      </c>
      <c r="C23" s="8">
        <f t="shared" si="0"/>
        <v>4809</v>
      </c>
      <c r="D23" s="10">
        <v>45517</v>
      </c>
      <c r="E23" s="8">
        <f t="shared" si="1"/>
        <v>2215</v>
      </c>
      <c r="F23" s="10">
        <v>384</v>
      </c>
      <c r="G23" s="53">
        <v>0.74</v>
      </c>
      <c r="H23" s="12" t="s">
        <v>26</v>
      </c>
      <c r="I23" s="8">
        <f t="shared" si="3"/>
        <v>7024</v>
      </c>
      <c r="J23" s="16">
        <f t="shared" si="2"/>
        <v>1777.047</v>
      </c>
    </row>
    <row r="24" spans="1:10" x14ac:dyDescent="0.25">
      <c r="A24" s="5">
        <v>44916</v>
      </c>
      <c r="B24" s="10">
        <v>81913</v>
      </c>
      <c r="C24" s="8">
        <f>IF(B25-B24 &lt; 0,0,B25-B24)</f>
        <v>4029</v>
      </c>
      <c r="D24" s="10">
        <v>47732</v>
      </c>
      <c r="E24" s="8">
        <f t="shared" si="1"/>
        <v>2186</v>
      </c>
      <c r="F24" s="10">
        <v>384</v>
      </c>
      <c r="G24" s="53">
        <v>0.73</v>
      </c>
      <c r="H24" s="12" t="s">
        <v>26</v>
      </c>
      <c r="I24" s="8">
        <f t="shared" si="3"/>
        <v>6215</v>
      </c>
      <c r="J24" s="16">
        <f t="shared" si="2"/>
        <v>1547.2739999999999</v>
      </c>
    </row>
    <row r="25" spans="1:10" x14ac:dyDescent="0.25">
      <c r="A25" s="5">
        <v>44917</v>
      </c>
      <c r="B25" s="50">
        <v>85942</v>
      </c>
      <c r="C25" s="8">
        <f>IF(B26-B25 &lt; 0,0,B26-B25)</f>
        <v>4268</v>
      </c>
      <c r="D25" s="10">
        <v>49918</v>
      </c>
      <c r="E25" s="8">
        <f t="shared" si="1"/>
        <v>2245</v>
      </c>
      <c r="F25" s="10">
        <v>384</v>
      </c>
      <c r="G25" s="53">
        <v>0.64</v>
      </c>
      <c r="H25" s="12" t="s">
        <v>26</v>
      </c>
      <c r="I25" s="8">
        <f t="shared" si="3"/>
        <v>6513</v>
      </c>
      <c r="J25" s="16">
        <f t="shared" si="2"/>
        <v>1626.549</v>
      </c>
    </row>
    <row r="26" spans="1:10" x14ac:dyDescent="0.25">
      <c r="A26" s="5">
        <v>44918</v>
      </c>
      <c r="B26" s="10">
        <v>90210</v>
      </c>
      <c r="C26" s="8">
        <f t="shared" si="0"/>
        <v>4389</v>
      </c>
      <c r="D26" s="10">
        <v>52163</v>
      </c>
      <c r="E26" s="8">
        <f t="shared" si="1"/>
        <v>2435</v>
      </c>
      <c r="F26" s="10">
        <v>384</v>
      </c>
      <c r="G26" s="66">
        <v>0.56999999999999995</v>
      </c>
      <c r="H26" s="12" t="s">
        <v>26</v>
      </c>
      <c r="I26" s="8">
        <f t="shared" si="3"/>
        <v>6824</v>
      </c>
      <c r="J26" s="16">
        <f t="shared" si="2"/>
        <v>1695.027</v>
      </c>
    </row>
    <row r="27" spans="1:10" x14ac:dyDescent="0.25">
      <c r="A27" s="5">
        <v>44919</v>
      </c>
      <c r="B27" s="10">
        <v>94599</v>
      </c>
      <c r="C27" s="8">
        <f>IF(B28-B27 &lt; 0,0,B28-B27)</f>
        <v>3768</v>
      </c>
      <c r="D27" s="10">
        <v>54598</v>
      </c>
      <c r="E27" s="8">
        <f t="shared" si="1"/>
        <v>2779</v>
      </c>
      <c r="F27" s="10">
        <v>384</v>
      </c>
      <c r="G27" s="53">
        <v>0.63</v>
      </c>
      <c r="H27" s="12" t="s">
        <v>26</v>
      </c>
      <c r="I27" s="8">
        <f t="shared" si="3"/>
        <v>6547</v>
      </c>
      <c r="J27" s="16">
        <f t="shared" si="2"/>
        <v>1577.067</v>
      </c>
    </row>
    <row r="28" spans="1:10" x14ac:dyDescent="0.25">
      <c r="A28" s="5">
        <v>44920</v>
      </c>
      <c r="B28" s="10">
        <v>98367</v>
      </c>
      <c r="C28" s="8">
        <f t="shared" si="0"/>
        <v>3989</v>
      </c>
      <c r="D28" s="10">
        <v>57377</v>
      </c>
      <c r="E28" s="8">
        <f t="shared" si="1"/>
        <v>2409</v>
      </c>
      <c r="F28" s="10">
        <v>384</v>
      </c>
      <c r="G28" s="53">
        <v>0.66</v>
      </c>
      <c r="H28" s="12" t="s">
        <v>26</v>
      </c>
      <c r="I28" s="8">
        <f t="shared" si="3"/>
        <v>6398</v>
      </c>
      <c r="J28" s="16">
        <f t="shared" si="2"/>
        <v>1575.2249999999999</v>
      </c>
    </row>
    <row r="29" spans="1:10" x14ac:dyDescent="0.25">
      <c r="A29" s="5">
        <v>44921</v>
      </c>
      <c r="B29" s="10">
        <v>102356</v>
      </c>
      <c r="C29" s="8">
        <f t="shared" si="0"/>
        <v>4359</v>
      </c>
      <c r="D29" s="10">
        <v>59786</v>
      </c>
      <c r="E29" s="8">
        <f t="shared" si="1"/>
        <v>2267</v>
      </c>
      <c r="F29" s="10">
        <v>384</v>
      </c>
      <c r="G29" s="53">
        <v>0.66</v>
      </c>
      <c r="H29" s="12" t="s">
        <v>26</v>
      </c>
      <c r="I29" s="8">
        <f t="shared" si="3"/>
        <v>6626</v>
      </c>
      <c r="J29" s="16">
        <f t="shared" si="2"/>
        <v>1656.6509999999998</v>
      </c>
    </row>
    <row r="30" spans="1:10" x14ac:dyDescent="0.25">
      <c r="A30" s="5">
        <v>44922</v>
      </c>
      <c r="B30" s="10">
        <v>106715</v>
      </c>
      <c r="C30" s="8">
        <f t="shared" si="0"/>
        <v>3819</v>
      </c>
      <c r="D30" s="10">
        <v>62053</v>
      </c>
      <c r="E30" s="8">
        <f t="shared" si="1"/>
        <v>1960</v>
      </c>
      <c r="F30" s="10">
        <v>384</v>
      </c>
      <c r="G30" s="53">
        <v>0.54</v>
      </c>
      <c r="H30" s="12" t="s">
        <v>26</v>
      </c>
      <c r="I30" s="8">
        <f t="shared" si="3"/>
        <v>5779</v>
      </c>
      <c r="J30" s="16">
        <f t="shared" si="2"/>
        <v>1446.7919999999999</v>
      </c>
    </row>
    <row r="31" spans="1:10" x14ac:dyDescent="0.25">
      <c r="A31" s="5">
        <v>44923</v>
      </c>
      <c r="B31" s="10">
        <v>110534</v>
      </c>
      <c r="C31" s="8">
        <f t="shared" si="0"/>
        <v>3959</v>
      </c>
      <c r="D31" s="10">
        <v>64013</v>
      </c>
      <c r="E31" s="8">
        <f t="shared" si="1"/>
        <v>2337</v>
      </c>
      <c r="F31" s="10">
        <v>384</v>
      </c>
      <c r="G31" s="53">
        <v>0.56999999999999995</v>
      </c>
      <c r="H31" s="12" t="s">
        <v>26</v>
      </c>
      <c r="I31" s="8">
        <f t="shared" si="3"/>
        <v>6296</v>
      </c>
      <c r="J31" s="16">
        <f t="shared" si="2"/>
        <v>1553.8409999999999</v>
      </c>
    </row>
    <row r="32" spans="1:10" x14ac:dyDescent="0.25">
      <c r="A32" s="5">
        <v>44924</v>
      </c>
      <c r="B32" s="10">
        <v>114493</v>
      </c>
      <c r="C32" s="8">
        <f t="shared" si="0"/>
        <v>3790</v>
      </c>
      <c r="D32" s="10">
        <v>66350</v>
      </c>
      <c r="E32" s="8">
        <f t="shared" si="1"/>
        <v>2296</v>
      </c>
      <c r="F32" s="10">
        <v>384</v>
      </c>
      <c r="G32" s="53">
        <v>0.61</v>
      </c>
      <c r="H32" s="12" t="s">
        <v>26</v>
      </c>
      <c r="I32" s="8">
        <f t="shared" si="3"/>
        <v>6086</v>
      </c>
      <c r="J32" s="16">
        <f t="shared" si="2"/>
        <v>1497.912</v>
      </c>
    </row>
    <row r="33" spans="1:10" x14ac:dyDescent="0.25">
      <c r="A33" s="5">
        <v>44925</v>
      </c>
      <c r="B33" s="10">
        <v>118283</v>
      </c>
      <c r="C33" s="8">
        <f t="shared" si="0"/>
        <v>3788</v>
      </c>
      <c r="D33" s="10">
        <v>68646</v>
      </c>
      <c r="E33" s="8">
        <f t="shared" si="1"/>
        <v>2175</v>
      </c>
      <c r="F33" s="10">
        <v>384</v>
      </c>
      <c r="G33" s="53">
        <v>0.68</v>
      </c>
      <c r="H33" s="12" t="s">
        <v>26</v>
      </c>
      <c r="I33" s="8">
        <f t="shared" si="3"/>
        <v>5963</v>
      </c>
      <c r="J33" s="16">
        <f t="shared" si="2"/>
        <v>1475.9189999999999</v>
      </c>
    </row>
    <row r="34" spans="1:10" x14ac:dyDescent="0.25">
      <c r="A34" s="5">
        <v>44926</v>
      </c>
      <c r="B34" s="10">
        <v>122071</v>
      </c>
      <c r="C34" s="8">
        <f t="shared" si="0"/>
        <v>0</v>
      </c>
      <c r="D34" s="10">
        <v>70821</v>
      </c>
      <c r="E34" s="8">
        <f t="shared" si="1"/>
        <v>0</v>
      </c>
      <c r="F34" s="10">
        <v>384</v>
      </c>
      <c r="G34" s="53">
        <v>0.7</v>
      </c>
      <c r="H34" s="12" t="s">
        <v>26</v>
      </c>
      <c r="I34" s="8">
        <f t="shared" si="3"/>
        <v>0</v>
      </c>
      <c r="J34" s="16">
        <f t="shared" si="2"/>
        <v>0</v>
      </c>
    </row>
    <row r="35" spans="1:10" x14ac:dyDescent="0.25">
      <c r="A35" s="5"/>
      <c r="B35" s="51"/>
      <c r="C35" s="8"/>
      <c r="D35" s="10"/>
      <c r="E35" s="8"/>
      <c r="F35" s="10"/>
      <c r="G35" s="12"/>
      <c r="H35" s="57"/>
      <c r="I35" s="8">
        <f t="shared" si="3"/>
        <v>0</v>
      </c>
      <c r="J35" s="16">
        <f t="shared" si="2"/>
        <v>0</v>
      </c>
    </row>
    <row r="36" spans="1:10" x14ac:dyDescent="0.25">
      <c r="A36" s="93"/>
      <c r="B36" s="94"/>
      <c r="C36" s="9">
        <f>SUM(C4:C35)</f>
        <v>117923</v>
      </c>
      <c r="D36" s="9"/>
      <c r="E36" s="9">
        <f>SUM(E4:E35)</f>
        <v>68720</v>
      </c>
      <c r="F36" s="9">
        <f>MAX(F4:F34)</f>
        <v>384</v>
      </c>
      <c r="G36" s="11"/>
      <c r="H36" s="56"/>
      <c r="I36" s="8">
        <f>+E36+C36</f>
        <v>186643</v>
      </c>
      <c r="J36" s="16">
        <f>(C36*0.288)+(E36*0.177)</f>
        <v>46125.263999999996</v>
      </c>
    </row>
    <row r="37" spans="1:10" x14ac:dyDescent="0.25">
      <c r="A37" s="4">
        <f>COUNT(A4:A34)</f>
        <v>31</v>
      </c>
      <c r="G37" s="1"/>
    </row>
    <row r="38" spans="1:10" x14ac:dyDescent="0.25">
      <c r="H38" s="55" t="s">
        <v>33</v>
      </c>
    </row>
    <row r="39" spans="1:10" ht="15.6" x14ac:dyDescent="0.3">
      <c r="A39" s="13" t="s">
        <v>31</v>
      </c>
      <c r="H39" s="55" t="s">
        <v>34</v>
      </c>
    </row>
    <row r="40" spans="1:10" x14ac:dyDescent="0.25">
      <c r="H40" s="55" t="s">
        <v>35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8"/>
  <sheetViews>
    <sheetView topLeftCell="A17" zoomScale="90" zoomScaleNormal="90" workbookViewId="0">
      <selection activeCell="G4" sqref="G4:G34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5.6640625" style="1" bestFit="1" customWidth="1"/>
    <col min="5" max="5" width="18.88671875" style="1" customWidth="1"/>
    <col min="6" max="6" width="11.33203125" customWidth="1"/>
    <col min="7" max="7" width="17.88671875" customWidth="1"/>
    <col min="8" max="8" width="19.109375" style="1" bestFit="1" customWidth="1"/>
    <col min="9" max="9" width="13.33203125" style="14" customWidth="1"/>
  </cols>
  <sheetData>
    <row r="1" spans="1:9" ht="17.399999999999999" x14ac:dyDescent="0.3">
      <c r="A1" s="6" t="s">
        <v>36</v>
      </c>
    </row>
    <row r="2" spans="1:9" ht="17.399999999999999" x14ac:dyDescent="0.3">
      <c r="A2" s="2"/>
      <c r="B2" s="7" t="s">
        <v>37</v>
      </c>
      <c r="C2" s="7" t="s">
        <v>38</v>
      </c>
      <c r="D2" s="7" t="s">
        <v>39</v>
      </c>
      <c r="E2" s="7" t="s">
        <v>38</v>
      </c>
      <c r="F2" s="7" t="s">
        <v>17</v>
      </c>
      <c r="G2" s="7" t="s">
        <v>18</v>
      </c>
      <c r="H2" s="7" t="s">
        <v>19</v>
      </c>
      <c r="I2" s="15" t="s">
        <v>20</v>
      </c>
    </row>
    <row r="3" spans="1:9" x14ac:dyDescent="0.25">
      <c r="A3" s="3"/>
      <c r="B3" s="7" t="s">
        <v>40</v>
      </c>
      <c r="C3" s="7" t="s">
        <v>40</v>
      </c>
      <c r="D3" s="7" t="s">
        <v>40</v>
      </c>
      <c r="E3" s="7" t="s">
        <v>40</v>
      </c>
      <c r="F3" s="7" t="s">
        <v>23</v>
      </c>
      <c r="G3" s="11"/>
      <c r="H3" s="7" t="s">
        <v>40</v>
      </c>
      <c r="I3" s="15" t="s">
        <v>25</v>
      </c>
    </row>
    <row r="4" spans="1:9" x14ac:dyDescent="0.25">
      <c r="A4" s="5">
        <v>44896</v>
      </c>
      <c r="B4" s="10">
        <v>525750</v>
      </c>
      <c r="C4" s="8">
        <f t="shared" ref="C4:C6" si="0">IF(B5-B4&lt;0,0,B5-B4)</f>
        <v>0</v>
      </c>
      <c r="D4" s="10">
        <v>3677</v>
      </c>
      <c r="E4" s="8">
        <f t="shared" ref="E4:E6" si="1">IF(D5-D4&lt;0,0,D5-D4)</f>
        <v>14</v>
      </c>
      <c r="F4" s="53">
        <v>0.63</v>
      </c>
      <c r="G4" s="12" t="s">
        <v>26</v>
      </c>
      <c r="H4" s="8">
        <f>+E4+C4</f>
        <v>14</v>
      </c>
      <c r="I4" s="16">
        <f>(C4*1.35)+(E4*1.35)</f>
        <v>18.900000000000002</v>
      </c>
    </row>
    <row r="5" spans="1:9" x14ac:dyDescent="0.25">
      <c r="A5" s="5">
        <v>44897</v>
      </c>
      <c r="B5" s="10">
        <v>525750</v>
      </c>
      <c r="C5" s="8">
        <f t="shared" si="0"/>
        <v>7</v>
      </c>
      <c r="D5" s="10">
        <v>3691</v>
      </c>
      <c r="E5" s="8">
        <f t="shared" si="1"/>
        <v>10</v>
      </c>
      <c r="F5" s="53">
        <v>0.54</v>
      </c>
      <c r="G5" s="12" t="s">
        <v>27</v>
      </c>
      <c r="H5" s="8">
        <f t="shared" ref="H5:H34" si="2">+E5+C5</f>
        <v>17</v>
      </c>
      <c r="I5" s="16">
        <f t="shared" ref="I5:I34" si="3">(C5*1.35)+(E5*1.35)</f>
        <v>22.950000000000003</v>
      </c>
    </row>
    <row r="6" spans="1:9" x14ac:dyDescent="0.25">
      <c r="A6" s="5">
        <v>44898</v>
      </c>
      <c r="B6" s="10">
        <v>525757</v>
      </c>
      <c r="C6" s="8">
        <f t="shared" si="0"/>
        <v>3</v>
      </c>
      <c r="D6" s="10">
        <v>3701</v>
      </c>
      <c r="E6" s="8">
        <f t="shared" si="1"/>
        <v>2</v>
      </c>
      <c r="F6" s="53">
        <v>0.61</v>
      </c>
      <c r="G6" s="12" t="s">
        <v>28</v>
      </c>
      <c r="H6" s="8">
        <f t="shared" si="2"/>
        <v>5</v>
      </c>
      <c r="I6" s="16">
        <f>(C6*1.35)+(E6*1.35)</f>
        <v>6.7500000000000009</v>
      </c>
    </row>
    <row r="7" spans="1:9" x14ac:dyDescent="0.25">
      <c r="A7" s="5">
        <v>44899</v>
      </c>
      <c r="B7" s="10">
        <v>525760</v>
      </c>
      <c r="C7" s="8">
        <f>IF(B8-B7&lt;0,0,B8-B7)</f>
        <v>46</v>
      </c>
      <c r="D7" s="10">
        <v>3703</v>
      </c>
      <c r="E7" s="8">
        <f>IF(D8-D7&lt;0,0,D8-D7)</f>
        <v>2</v>
      </c>
      <c r="F7" s="53">
        <v>0.37</v>
      </c>
      <c r="G7" s="12" t="s">
        <v>26</v>
      </c>
      <c r="H7" s="8">
        <f t="shared" si="2"/>
        <v>48</v>
      </c>
      <c r="I7" s="16">
        <f t="shared" si="3"/>
        <v>64.8</v>
      </c>
    </row>
    <row r="8" spans="1:9" x14ac:dyDescent="0.25">
      <c r="A8" s="5">
        <v>44900</v>
      </c>
      <c r="B8" s="10">
        <v>525806</v>
      </c>
      <c r="C8" s="8">
        <f>IF(B9-B8&lt;0,0,B9-B8)</f>
        <v>10</v>
      </c>
      <c r="D8" s="10">
        <v>3705</v>
      </c>
      <c r="E8" s="8">
        <f>IF(D9-D8&lt;0,0,D9-D8)</f>
        <v>4</v>
      </c>
      <c r="F8" s="53">
        <v>0.27</v>
      </c>
      <c r="G8" s="12" t="s">
        <v>27</v>
      </c>
      <c r="H8" s="8">
        <f t="shared" si="2"/>
        <v>14</v>
      </c>
      <c r="I8" s="16">
        <f t="shared" si="3"/>
        <v>18.899999999999999</v>
      </c>
    </row>
    <row r="9" spans="1:9" x14ac:dyDescent="0.25">
      <c r="A9" s="5">
        <v>44901</v>
      </c>
      <c r="B9" s="10">
        <v>525816</v>
      </c>
      <c r="C9" s="8">
        <f t="shared" ref="C9:C34" si="4">IF(B10-B9&lt;0,0,B10-B9)</f>
        <v>0</v>
      </c>
      <c r="D9" s="10">
        <v>3709</v>
      </c>
      <c r="E9" s="8">
        <f t="shared" ref="E9:E34" si="5">IF(D10-D9&lt;0,0,D10-D9)</f>
        <v>1</v>
      </c>
      <c r="F9" s="53">
        <v>0.16</v>
      </c>
      <c r="G9" s="12" t="s">
        <v>27</v>
      </c>
      <c r="H9" s="8">
        <f t="shared" si="2"/>
        <v>1</v>
      </c>
      <c r="I9" s="16">
        <f t="shared" si="3"/>
        <v>1.35</v>
      </c>
    </row>
    <row r="10" spans="1:9" x14ac:dyDescent="0.25">
      <c r="A10" s="5">
        <v>44902</v>
      </c>
      <c r="B10" s="10">
        <v>525816</v>
      </c>
      <c r="C10" s="8">
        <f t="shared" si="4"/>
        <v>0</v>
      </c>
      <c r="D10" s="10">
        <v>3710</v>
      </c>
      <c r="E10" s="8">
        <f t="shared" si="5"/>
        <v>1</v>
      </c>
      <c r="F10" s="54">
        <v>0.88</v>
      </c>
      <c r="G10" s="12" t="s">
        <v>26</v>
      </c>
      <c r="H10" s="8">
        <f t="shared" si="2"/>
        <v>1</v>
      </c>
      <c r="I10" s="16">
        <f t="shared" si="3"/>
        <v>1.35</v>
      </c>
    </row>
    <row r="11" spans="1:9" x14ac:dyDescent="0.25">
      <c r="A11" s="5">
        <v>44903</v>
      </c>
      <c r="B11" s="10">
        <v>525816</v>
      </c>
      <c r="C11" s="8">
        <f>IF(B12-B11&lt;0,0,B12-B11)</f>
        <v>0</v>
      </c>
      <c r="D11" s="10">
        <v>3711</v>
      </c>
      <c r="E11" s="8">
        <f t="shared" si="5"/>
        <v>1</v>
      </c>
      <c r="F11" s="53">
        <v>0.88</v>
      </c>
      <c r="G11" s="12" t="s">
        <v>26</v>
      </c>
      <c r="H11" s="8">
        <f t="shared" si="2"/>
        <v>1</v>
      </c>
      <c r="I11" s="16">
        <f t="shared" si="3"/>
        <v>1.35</v>
      </c>
    </row>
    <row r="12" spans="1:9" x14ac:dyDescent="0.25">
      <c r="A12" s="5">
        <v>44904</v>
      </c>
      <c r="B12" s="10">
        <v>525816</v>
      </c>
      <c r="C12" s="8">
        <f t="shared" si="4"/>
        <v>0</v>
      </c>
      <c r="D12" s="10">
        <v>3712</v>
      </c>
      <c r="E12" s="8">
        <f t="shared" si="5"/>
        <v>0</v>
      </c>
      <c r="F12" s="53">
        <v>0.88</v>
      </c>
      <c r="G12" s="12" t="s">
        <v>27</v>
      </c>
      <c r="H12" s="8">
        <f t="shared" si="2"/>
        <v>0</v>
      </c>
      <c r="I12" s="16">
        <f t="shared" si="3"/>
        <v>0</v>
      </c>
    </row>
    <row r="13" spans="1:9" x14ac:dyDescent="0.25">
      <c r="A13" s="5">
        <v>44905</v>
      </c>
      <c r="B13" s="10">
        <v>525816</v>
      </c>
      <c r="C13" s="8">
        <f t="shared" si="4"/>
        <v>1</v>
      </c>
      <c r="D13" s="10">
        <v>3712</v>
      </c>
      <c r="E13" s="8">
        <f t="shared" si="5"/>
        <v>2</v>
      </c>
      <c r="F13" s="53">
        <v>0.38</v>
      </c>
      <c r="G13" s="12" t="s">
        <v>27</v>
      </c>
      <c r="H13" s="8">
        <f t="shared" si="2"/>
        <v>3</v>
      </c>
      <c r="I13" s="16">
        <f t="shared" si="3"/>
        <v>4.0500000000000007</v>
      </c>
    </row>
    <row r="14" spans="1:9" x14ac:dyDescent="0.25">
      <c r="A14" s="5">
        <v>44906</v>
      </c>
      <c r="B14" s="10">
        <v>525817</v>
      </c>
      <c r="C14" s="8">
        <f t="shared" si="4"/>
        <v>9</v>
      </c>
      <c r="D14" s="10">
        <v>3714</v>
      </c>
      <c r="E14" s="8">
        <f t="shared" si="5"/>
        <v>2</v>
      </c>
      <c r="F14" s="53">
        <v>0.47</v>
      </c>
      <c r="G14" s="12" t="s">
        <v>29</v>
      </c>
      <c r="H14" s="8">
        <f t="shared" si="2"/>
        <v>11</v>
      </c>
      <c r="I14" s="16">
        <f t="shared" si="3"/>
        <v>14.850000000000001</v>
      </c>
    </row>
    <row r="15" spans="1:9" x14ac:dyDescent="0.25">
      <c r="A15" s="5">
        <v>44907</v>
      </c>
      <c r="B15" s="10">
        <v>525826</v>
      </c>
      <c r="C15" s="8">
        <f t="shared" si="4"/>
        <v>24</v>
      </c>
      <c r="D15" s="10">
        <v>3716</v>
      </c>
      <c r="E15" s="8">
        <f t="shared" si="5"/>
        <v>1</v>
      </c>
      <c r="F15" s="53">
        <v>0.61</v>
      </c>
      <c r="G15" s="12" t="s">
        <v>26</v>
      </c>
      <c r="H15" s="8">
        <f t="shared" si="2"/>
        <v>25</v>
      </c>
      <c r="I15" s="16">
        <f t="shared" si="3"/>
        <v>33.750000000000007</v>
      </c>
    </row>
    <row r="16" spans="1:9" x14ac:dyDescent="0.25">
      <c r="A16" s="5">
        <v>44908</v>
      </c>
      <c r="B16" s="10">
        <v>525850</v>
      </c>
      <c r="C16" s="8">
        <f t="shared" si="4"/>
        <v>30</v>
      </c>
      <c r="D16" s="10">
        <v>3717</v>
      </c>
      <c r="E16" s="8">
        <f t="shared" si="5"/>
        <v>2</v>
      </c>
      <c r="F16" s="53">
        <v>0.62</v>
      </c>
      <c r="G16" s="12" t="s">
        <v>26</v>
      </c>
      <c r="H16" s="8">
        <f t="shared" si="2"/>
        <v>32</v>
      </c>
      <c r="I16" s="16">
        <f t="shared" si="3"/>
        <v>43.2</v>
      </c>
    </row>
    <row r="17" spans="1:9" x14ac:dyDescent="0.25">
      <c r="A17" s="5">
        <v>44909</v>
      </c>
      <c r="B17" s="10">
        <v>525880</v>
      </c>
      <c r="C17" s="8">
        <f t="shared" si="4"/>
        <v>30</v>
      </c>
      <c r="D17" s="10">
        <v>3719</v>
      </c>
      <c r="E17" s="8">
        <f t="shared" si="5"/>
        <v>2</v>
      </c>
      <c r="F17" s="53">
        <v>0.62</v>
      </c>
      <c r="G17" s="12" t="s">
        <v>27</v>
      </c>
      <c r="H17" s="8">
        <f t="shared" si="2"/>
        <v>32</v>
      </c>
      <c r="I17" s="16">
        <f t="shared" si="3"/>
        <v>43.2</v>
      </c>
    </row>
    <row r="18" spans="1:9" x14ac:dyDescent="0.25">
      <c r="A18" s="5">
        <v>44910</v>
      </c>
      <c r="B18" s="10">
        <v>525910</v>
      </c>
      <c r="C18" s="8">
        <f t="shared" si="4"/>
        <v>0</v>
      </c>
      <c r="D18" s="10">
        <v>3721</v>
      </c>
      <c r="E18" s="8">
        <f t="shared" si="5"/>
        <v>1</v>
      </c>
      <c r="F18" s="53">
        <v>0.66</v>
      </c>
      <c r="G18" s="12" t="s">
        <v>27</v>
      </c>
      <c r="H18" s="8">
        <f t="shared" si="2"/>
        <v>1</v>
      </c>
      <c r="I18" s="16">
        <f t="shared" si="3"/>
        <v>1.35</v>
      </c>
    </row>
    <row r="19" spans="1:9" x14ac:dyDescent="0.25">
      <c r="A19" s="5">
        <v>44911</v>
      </c>
      <c r="B19" s="10">
        <v>525910</v>
      </c>
      <c r="C19" s="8">
        <f t="shared" si="4"/>
        <v>0</v>
      </c>
      <c r="D19" s="10">
        <v>3722</v>
      </c>
      <c r="E19" s="8">
        <f t="shared" si="5"/>
        <v>5</v>
      </c>
      <c r="F19" s="53">
        <v>0.47</v>
      </c>
      <c r="G19" s="12" t="s">
        <v>27</v>
      </c>
      <c r="H19" s="8">
        <f t="shared" si="2"/>
        <v>5</v>
      </c>
      <c r="I19" s="16">
        <f t="shared" si="3"/>
        <v>6.75</v>
      </c>
    </row>
    <row r="20" spans="1:9" x14ac:dyDescent="0.25">
      <c r="A20" s="5">
        <v>44912</v>
      </c>
      <c r="B20" s="10">
        <v>525910</v>
      </c>
      <c r="C20" s="8">
        <f t="shared" si="4"/>
        <v>0</v>
      </c>
      <c r="D20" s="10">
        <v>3727</v>
      </c>
      <c r="E20" s="8">
        <f t="shared" si="5"/>
        <v>6</v>
      </c>
      <c r="F20" s="53">
        <v>0.54</v>
      </c>
      <c r="G20" s="12" t="s">
        <v>26</v>
      </c>
      <c r="H20" s="8">
        <f t="shared" si="2"/>
        <v>6</v>
      </c>
      <c r="I20" s="16">
        <f t="shared" si="3"/>
        <v>8.1000000000000014</v>
      </c>
    </row>
    <row r="21" spans="1:9" x14ac:dyDescent="0.25">
      <c r="A21" s="5">
        <v>44913</v>
      </c>
      <c r="B21" s="10">
        <v>525910</v>
      </c>
      <c r="C21" s="8">
        <f t="shared" si="4"/>
        <v>0</v>
      </c>
      <c r="D21" s="10">
        <v>3733</v>
      </c>
      <c r="E21" s="8">
        <f t="shared" si="5"/>
        <v>12</v>
      </c>
      <c r="F21" s="53">
        <v>0.61</v>
      </c>
      <c r="G21" s="12" t="s">
        <v>28</v>
      </c>
      <c r="H21" s="8">
        <f t="shared" si="2"/>
        <v>12</v>
      </c>
      <c r="I21" s="16">
        <f t="shared" si="3"/>
        <v>16.200000000000003</v>
      </c>
    </row>
    <row r="22" spans="1:9" x14ac:dyDescent="0.25">
      <c r="A22" s="5">
        <v>44914</v>
      </c>
      <c r="B22" s="10">
        <v>525910</v>
      </c>
      <c r="C22" s="8">
        <f t="shared" si="4"/>
        <v>0</v>
      </c>
      <c r="D22" s="10">
        <v>3745</v>
      </c>
      <c r="E22" s="8">
        <f t="shared" si="5"/>
        <v>1</v>
      </c>
      <c r="F22" s="53">
        <v>0.71</v>
      </c>
      <c r="G22" s="12" t="s">
        <v>28</v>
      </c>
      <c r="H22" s="8">
        <f t="shared" si="2"/>
        <v>1</v>
      </c>
      <c r="I22" s="16">
        <f t="shared" si="3"/>
        <v>1.35</v>
      </c>
    </row>
    <row r="23" spans="1:9" x14ac:dyDescent="0.25">
      <c r="A23" s="5">
        <v>44915</v>
      </c>
      <c r="B23" s="10">
        <v>525910</v>
      </c>
      <c r="C23" s="8">
        <f t="shared" si="4"/>
        <v>10</v>
      </c>
      <c r="D23" s="10">
        <v>3746</v>
      </c>
      <c r="E23" s="8">
        <f t="shared" si="5"/>
        <v>2</v>
      </c>
      <c r="F23" s="53">
        <v>0.74</v>
      </c>
      <c r="G23" s="12" t="s">
        <v>26</v>
      </c>
      <c r="H23" s="8">
        <f t="shared" si="2"/>
        <v>12</v>
      </c>
      <c r="I23" s="16">
        <f t="shared" si="3"/>
        <v>16.2</v>
      </c>
    </row>
    <row r="24" spans="1:9" x14ac:dyDescent="0.25">
      <c r="A24" s="5">
        <v>44916</v>
      </c>
      <c r="B24" s="10">
        <v>525920</v>
      </c>
      <c r="C24" s="8">
        <f t="shared" si="4"/>
        <v>6</v>
      </c>
      <c r="D24" s="10">
        <v>3748</v>
      </c>
      <c r="E24" s="8">
        <f t="shared" si="5"/>
        <v>2</v>
      </c>
      <c r="F24" s="53">
        <v>0.73</v>
      </c>
      <c r="G24" s="12" t="s">
        <v>26</v>
      </c>
      <c r="H24" s="8">
        <f t="shared" si="2"/>
        <v>8</v>
      </c>
      <c r="I24" s="16">
        <f t="shared" si="3"/>
        <v>10.8</v>
      </c>
    </row>
    <row r="25" spans="1:9" x14ac:dyDescent="0.25">
      <c r="A25" s="5">
        <v>44917</v>
      </c>
      <c r="B25" s="10">
        <v>525926</v>
      </c>
      <c r="C25" s="8">
        <f t="shared" si="4"/>
        <v>0</v>
      </c>
      <c r="D25" s="10">
        <v>3750</v>
      </c>
      <c r="E25" s="8">
        <f t="shared" si="5"/>
        <v>1</v>
      </c>
      <c r="F25" s="53">
        <v>0.64</v>
      </c>
      <c r="G25" s="12" t="s">
        <v>26</v>
      </c>
      <c r="H25" s="8">
        <f t="shared" si="2"/>
        <v>1</v>
      </c>
      <c r="I25" s="16">
        <f t="shared" si="3"/>
        <v>1.35</v>
      </c>
    </row>
    <row r="26" spans="1:9" x14ac:dyDescent="0.25">
      <c r="A26" s="5">
        <v>44918</v>
      </c>
      <c r="B26" s="10">
        <v>525926</v>
      </c>
      <c r="C26" s="8">
        <f t="shared" si="4"/>
        <v>1</v>
      </c>
      <c r="D26" s="10">
        <v>3751</v>
      </c>
      <c r="E26" s="8">
        <f t="shared" si="5"/>
        <v>2</v>
      </c>
      <c r="F26" s="66">
        <v>0.56999999999999995</v>
      </c>
      <c r="G26" s="12" t="s">
        <v>26</v>
      </c>
      <c r="H26" s="8">
        <f t="shared" si="2"/>
        <v>3</v>
      </c>
      <c r="I26" s="16">
        <f t="shared" si="3"/>
        <v>4.0500000000000007</v>
      </c>
    </row>
    <row r="27" spans="1:9" x14ac:dyDescent="0.25">
      <c r="A27" s="5">
        <v>44919</v>
      </c>
      <c r="B27" s="10">
        <v>525927</v>
      </c>
      <c r="C27" s="8">
        <f t="shared" si="4"/>
        <v>0</v>
      </c>
      <c r="D27" s="10">
        <v>3753</v>
      </c>
      <c r="E27" s="8">
        <f t="shared" si="5"/>
        <v>2</v>
      </c>
      <c r="F27" s="53">
        <v>0.63</v>
      </c>
      <c r="G27" s="12" t="s">
        <v>26</v>
      </c>
      <c r="H27" s="8">
        <f t="shared" si="2"/>
        <v>2</v>
      </c>
      <c r="I27" s="16">
        <f t="shared" si="3"/>
        <v>2.7</v>
      </c>
    </row>
    <row r="28" spans="1:9" x14ac:dyDescent="0.25">
      <c r="A28" s="5">
        <v>44920</v>
      </c>
      <c r="B28" s="10">
        <v>525927</v>
      </c>
      <c r="C28" s="8">
        <f t="shared" si="4"/>
        <v>0</v>
      </c>
      <c r="D28" s="10">
        <v>3755</v>
      </c>
      <c r="E28" s="8">
        <f t="shared" si="5"/>
        <v>2</v>
      </c>
      <c r="F28" s="53">
        <v>0.66</v>
      </c>
      <c r="G28" s="12" t="s">
        <v>26</v>
      </c>
      <c r="H28" s="8">
        <f t="shared" si="2"/>
        <v>2</v>
      </c>
      <c r="I28" s="16">
        <f t="shared" si="3"/>
        <v>2.7</v>
      </c>
    </row>
    <row r="29" spans="1:9" x14ac:dyDescent="0.25">
      <c r="A29" s="5">
        <v>44921</v>
      </c>
      <c r="B29" s="10">
        <v>525927</v>
      </c>
      <c r="C29" s="8">
        <f t="shared" si="4"/>
        <v>0</v>
      </c>
      <c r="D29" s="10">
        <v>3757</v>
      </c>
      <c r="E29" s="8">
        <f t="shared" si="5"/>
        <v>5</v>
      </c>
      <c r="F29" s="53">
        <v>0.66</v>
      </c>
      <c r="G29" s="12" t="s">
        <v>26</v>
      </c>
      <c r="H29" s="8">
        <f t="shared" si="2"/>
        <v>5</v>
      </c>
      <c r="I29" s="16">
        <f t="shared" si="3"/>
        <v>6.75</v>
      </c>
    </row>
    <row r="30" spans="1:9" x14ac:dyDescent="0.25">
      <c r="A30" s="5">
        <v>44922</v>
      </c>
      <c r="B30" s="10">
        <v>525927</v>
      </c>
      <c r="C30" s="8">
        <f t="shared" si="4"/>
        <v>0</v>
      </c>
      <c r="D30" s="10">
        <v>3762</v>
      </c>
      <c r="E30" s="8">
        <f t="shared" si="5"/>
        <v>5</v>
      </c>
      <c r="F30" s="53">
        <v>0.54</v>
      </c>
      <c r="G30" s="12" t="s">
        <v>26</v>
      </c>
      <c r="H30" s="8">
        <f t="shared" si="2"/>
        <v>5</v>
      </c>
      <c r="I30" s="16">
        <f t="shared" si="3"/>
        <v>6.75</v>
      </c>
    </row>
    <row r="31" spans="1:9" x14ac:dyDescent="0.25">
      <c r="A31" s="5">
        <v>44923</v>
      </c>
      <c r="B31" s="10">
        <v>525927</v>
      </c>
      <c r="C31" s="8">
        <f t="shared" si="4"/>
        <v>0</v>
      </c>
      <c r="D31" s="10">
        <v>3767</v>
      </c>
      <c r="E31" s="8">
        <f t="shared" si="5"/>
        <v>6</v>
      </c>
      <c r="F31" s="53">
        <v>0.56999999999999995</v>
      </c>
      <c r="G31" s="12" t="s">
        <v>26</v>
      </c>
      <c r="H31" s="8">
        <f t="shared" si="2"/>
        <v>6</v>
      </c>
      <c r="I31" s="16">
        <f t="shared" si="3"/>
        <v>8.1000000000000014</v>
      </c>
    </row>
    <row r="32" spans="1:9" x14ac:dyDescent="0.25">
      <c r="A32" s="5">
        <v>44924</v>
      </c>
      <c r="B32" s="10">
        <v>525927</v>
      </c>
      <c r="C32" s="8">
        <f t="shared" si="4"/>
        <v>3</v>
      </c>
      <c r="D32" s="10">
        <v>3773</v>
      </c>
      <c r="E32" s="8">
        <f t="shared" si="5"/>
        <v>14</v>
      </c>
      <c r="F32" s="53">
        <v>0.61</v>
      </c>
      <c r="G32" s="12" t="s">
        <v>26</v>
      </c>
      <c r="H32" s="8">
        <f t="shared" si="2"/>
        <v>17</v>
      </c>
      <c r="I32" s="16">
        <f t="shared" si="3"/>
        <v>22.950000000000003</v>
      </c>
    </row>
    <row r="33" spans="1:9" x14ac:dyDescent="0.25">
      <c r="A33" s="5">
        <v>44925</v>
      </c>
      <c r="B33" s="10">
        <v>525930</v>
      </c>
      <c r="C33" s="8">
        <f t="shared" si="4"/>
        <v>6</v>
      </c>
      <c r="D33" s="10">
        <v>3787</v>
      </c>
      <c r="E33" s="8">
        <f t="shared" si="5"/>
        <v>0</v>
      </c>
      <c r="F33" s="53">
        <v>0.68</v>
      </c>
      <c r="G33" s="12" t="s">
        <v>26</v>
      </c>
      <c r="H33" s="8">
        <f t="shared" si="2"/>
        <v>6</v>
      </c>
      <c r="I33" s="16">
        <f t="shared" si="3"/>
        <v>8.1000000000000014</v>
      </c>
    </row>
    <row r="34" spans="1:9" x14ac:dyDescent="0.25">
      <c r="A34" s="5">
        <v>44926</v>
      </c>
      <c r="B34" s="10">
        <v>525936</v>
      </c>
      <c r="C34" s="8">
        <f t="shared" si="4"/>
        <v>0</v>
      </c>
      <c r="D34" s="10">
        <v>3787</v>
      </c>
      <c r="E34" s="8">
        <f t="shared" si="5"/>
        <v>0</v>
      </c>
      <c r="F34" s="53">
        <v>0.7</v>
      </c>
      <c r="G34" s="12" t="s">
        <v>26</v>
      </c>
      <c r="H34" s="8">
        <f t="shared" si="2"/>
        <v>0</v>
      </c>
      <c r="I34" s="16">
        <f t="shared" si="3"/>
        <v>0</v>
      </c>
    </row>
    <row r="35" spans="1:9" x14ac:dyDescent="0.25">
      <c r="A35" s="93"/>
      <c r="B35" s="94"/>
      <c r="C35" s="9">
        <f>SUM(C4:C34)</f>
        <v>186</v>
      </c>
      <c r="D35" s="9"/>
      <c r="E35" s="9">
        <f>SUM(E4:E34)</f>
        <v>110</v>
      </c>
      <c r="F35" s="11"/>
      <c r="G35" s="11"/>
      <c r="H35" s="8">
        <f>SUM(H4:H34)</f>
        <v>296</v>
      </c>
      <c r="I35" s="16">
        <f>SUM(I4:I34)</f>
        <v>399.60000000000008</v>
      </c>
    </row>
    <row r="36" spans="1:9" x14ac:dyDescent="0.25">
      <c r="A36" s="17"/>
      <c r="F36" s="1"/>
    </row>
    <row r="38" spans="1:9" ht="15.6" x14ac:dyDescent="0.3">
      <c r="A38" s="13" t="s">
        <v>31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topLeftCell="A20" zoomScale="85" workbookViewId="0">
      <selection activeCell="L34" sqref="L34"/>
    </sheetView>
  </sheetViews>
  <sheetFormatPr defaultRowHeight="13.2" x14ac:dyDescent="0.25"/>
  <cols>
    <col min="1" max="1" width="14" style="4" customWidth="1"/>
    <col min="2" max="2" width="12.109375" style="1" customWidth="1"/>
    <col min="3" max="3" width="12.5546875" style="1" customWidth="1"/>
    <col min="4" max="4" width="12.5546875" customWidth="1"/>
    <col min="5" max="5" width="9.44140625" style="14" customWidth="1"/>
    <col min="6" max="6" width="14" style="39" bestFit="1" customWidth="1"/>
    <col min="7" max="7" width="16.6640625" style="39" customWidth="1"/>
    <col min="8" max="8" width="13.6640625" style="39" customWidth="1"/>
    <col min="9" max="9" width="11" style="39" customWidth="1"/>
    <col min="10" max="10" width="9" style="39" customWidth="1"/>
  </cols>
  <sheetData>
    <row r="1" spans="1:13" ht="17.399999999999999" x14ac:dyDescent="0.3">
      <c r="A1" s="6" t="s">
        <v>41</v>
      </c>
    </row>
    <row r="2" spans="1:13" ht="27" x14ac:dyDescent="0.3">
      <c r="A2" s="70"/>
      <c r="B2" s="71" t="s">
        <v>42</v>
      </c>
      <c r="C2" s="71" t="s">
        <v>43</v>
      </c>
      <c r="D2" s="71" t="s">
        <v>43</v>
      </c>
      <c r="E2" s="72" t="s">
        <v>44</v>
      </c>
      <c r="F2" s="73" t="s">
        <v>45</v>
      </c>
      <c r="G2" s="71" t="s">
        <v>45</v>
      </c>
      <c r="H2" s="71" t="s">
        <v>38</v>
      </c>
      <c r="I2" s="74" t="s">
        <v>20</v>
      </c>
      <c r="J2" s="75" t="s">
        <v>46</v>
      </c>
      <c r="K2" s="40"/>
    </row>
    <row r="3" spans="1:13" x14ac:dyDescent="0.25">
      <c r="A3" s="76"/>
      <c r="B3" s="7" t="s">
        <v>47</v>
      </c>
      <c r="C3" s="7" t="s">
        <v>48</v>
      </c>
      <c r="D3" s="7" t="s">
        <v>49</v>
      </c>
      <c r="E3" s="30" t="s">
        <v>50</v>
      </c>
      <c r="F3" s="41" t="s">
        <v>48</v>
      </c>
      <c r="G3" s="7" t="s">
        <v>49</v>
      </c>
      <c r="H3" s="7" t="s">
        <v>51</v>
      </c>
      <c r="I3" s="15" t="s">
        <v>25</v>
      </c>
      <c r="J3" s="77"/>
      <c r="K3" s="40"/>
    </row>
    <row r="4" spans="1:13" x14ac:dyDescent="0.25">
      <c r="A4" s="78">
        <v>44896</v>
      </c>
      <c r="B4" s="31">
        <v>1</v>
      </c>
      <c r="C4" s="31">
        <v>8.3000000000000007</v>
      </c>
      <c r="D4" s="31">
        <v>20</v>
      </c>
      <c r="E4" s="42">
        <f>D4-C4</f>
        <v>11.7</v>
      </c>
      <c r="F4" s="32">
        <v>1729158.7</v>
      </c>
      <c r="G4" s="33">
        <v>1729603.5</v>
      </c>
      <c r="H4" s="42">
        <f>G4-F4</f>
        <v>444.80000000004657</v>
      </c>
      <c r="I4" s="16">
        <f>(H4*[1]Summary!$C$6)</f>
        <v>1263.2320000001321</v>
      </c>
      <c r="J4" s="79">
        <v>3640.8</v>
      </c>
      <c r="K4" s="95" t="s">
        <v>52</v>
      </c>
      <c r="L4" s="95"/>
      <c r="M4" s="96"/>
    </row>
    <row r="5" spans="1:13" x14ac:dyDescent="0.25">
      <c r="A5" s="78">
        <v>44897</v>
      </c>
      <c r="B5" s="31">
        <v>1</v>
      </c>
      <c r="C5" s="34">
        <v>8.3000000000000007</v>
      </c>
      <c r="D5" s="34">
        <v>21</v>
      </c>
      <c r="E5" s="42">
        <f>D5-C5</f>
        <v>12.7</v>
      </c>
      <c r="F5" s="32">
        <v>1729603.5</v>
      </c>
      <c r="G5" s="33">
        <v>1730110.2</v>
      </c>
      <c r="H5" s="43">
        <f t="shared" ref="H5:H35" si="0">G5-F5</f>
        <v>506.69999999995343</v>
      </c>
      <c r="I5" s="16">
        <f>(H5*[1]Summary!$C$6)</f>
        <v>1439.0279999998677</v>
      </c>
      <c r="J5" s="80">
        <v>5640</v>
      </c>
      <c r="K5" s="101" t="s">
        <v>53</v>
      </c>
      <c r="L5" s="96"/>
    </row>
    <row r="6" spans="1:13" x14ac:dyDescent="0.25">
      <c r="A6" s="78">
        <v>44898</v>
      </c>
      <c r="B6" s="34">
        <v>1</v>
      </c>
      <c r="C6" s="34">
        <v>8.3000000000000007</v>
      </c>
      <c r="D6" s="34">
        <v>20</v>
      </c>
      <c r="E6" s="42">
        <f t="shared" ref="E6:E32" si="1">D6-C6</f>
        <v>11.7</v>
      </c>
      <c r="F6" s="35">
        <v>1730110.2</v>
      </c>
      <c r="G6" s="36">
        <v>1730582.3</v>
      </c>
      <c r="H6" s="43">
        <f t="shared" si="0"/>
        <v>472.10000000009313</v>
      </c>
      <c r="I6" s="16">
        <f>(H6*[1]Summary!$C$6)</f>
        <v>1340.7640000002643</v>
      </c>
      <c r="J6" s="81"/>
      <c r="K6" s="100"/>
      <c r="L6" s="100"/>
    </row>
    <row r="7" spans="1:13" x14ac:dyDescent="0.25">
      <c r="A7" s="78">
        <v>44899</v>
      </c>
      <c r="B7" s="34">
        <v>1</v>
      </c>
      <c r="C7" s="34">
        <v>8.3000000000000007</v>
      </c>
      <c r="D7" s="34">
        <v>20</v>
      </c>
      <c r="E7" s="42">
        <f t="shared" si="1"/>
        <v>11.7</v>
      </c>
      <c r="F7" s="32">
        <v>1730582.3</v>
      </c>
      <c r="G7" s="33">
        <v>1730996.4</v>
      </c>
      <c r="H7" s="43">
        <f t="shared" si="0"/>
        <v>414.0999999998603</v>
      </c>
      <c r="I7" s="16">
        <f>(H7*[1]Summary!$C$6)</f>
        <v>1176.0439999996031</v>
      </c>
      <c r="J7" s="81"/>
    </row>
    <row r="8" spans="1:13" x14ac:dyDescent="0.25">
      <c r="A8" s="78">
        <v>44900</v>
      </c>
      <c r="B8" s="31">
        <v>1</v>
      </c>
      <c r="C8" s="31">
        <v>8.3000000000000007</v>
      </c>
      <c r="D8" s="31">
        <v>20</v>
      </c>
      <c r="E8" s="42">
        <f t="shared" si="1"/>
        <v>11.7</v>
      </c>
      <c r="F8" s="32">
        <v>1730996.4</v>
      </c>
      <c r="G8" s="33">
        <v>1731424.6</v>
      </c>
      <c r="H8" s="42">
        <f t="shared" si="0"/>
        <v>428.20000000018626</v>
      </c>
      <c r="I8" s="16">
        <f>(H8*[1]Summary!$C$6)</f>
        <v>1216.0880000005288</v>
      </c>
      <c r="J8" s="82"/>
      <c r="K8" s="39"/>
    </row>
    <row r="9" spans="1:13" hidden="1" x14ac:dyDescent="0.25">
      <c r="A9" s="78">
        <v>44901</v>
      </c>
      <c r="B9" s="31"/>
      <c r="C9" s="31"/>
      <c r="D9" s="31"/>
      <c r="E9" s="42">
        <f t="shared" si="1"/>
        <v>0</v>
      </c>
      <c r="F9" s="32"/>
      <c r="G9" s="37"/>
      <c r="H9" s="42">
        <f t="shared" si="0"/>
        <v>0</v>
      </c>
      <c r="I9" s="16">
        <f>(H9*[1]Summary!$C$6)</f>
        <v>0</v>
      </c>
      <c r="J9" s="82"/>
      <c r="K9" s="99"/>
      <c r="L9" s="99"/>
    </row>
    <row r="10" spans="1:13" x14ac:dyDescent="0.25">
      <c r="A10" s="78">
        <v>44901</v>
      </c>
      <c r="B10" s="31">
        <v>1</v>
      </c>
      <c r="C10" s="31">
        <v>8.3000000000000007</v>
      </c>
      <c r="D10" s="31">
        <v>20</v>
      </c>
      <c r="E10" s="42">
        <f t="shared" si="1"/>
        <v>11.7</v>
      </c>
      <c r="F10" s="32">
        <v>1731424.6</v>
      </c>
      <c r="G10" s="37">
        <v>1731846.2</v>
      </c>
      <c r="H10" s="42">
        <f>G10-F10</f>
        <v>421.5999999998603</v>
      </c>
      <c r="I10" s="16">
        <f>(H10*[1]Summary!$C$6)</f>
        <v>1197.3439999996033</v>
      </c>
      <c r="J10" s="82"/>
      <c r="K10" s="39"/>
      <c r="L10" s="39"/>
    </row>
    <row r="11" spans="1:13" x14ac:dyDescent="0.25">
      <c r="A11" s="78">
        <v>44902</v>
      </c>
      <c r="B11" s="31">
        <v>1</v>
      </c>
      <c r="C11" s="31">
        <v>8.3000000000000007</v>
      </c>
      <c r="D11" s="31">
        <v>21</v>
      </c>
      <c r="E11" s="42">
        <f t="shared" si="1"/>
        <v>12.7</v>
      </c>
      <c r="F11" s="32">
        <v>1731846.2</v>
      </c>
      <c r="G11" s="37">
        <v>1732386.6</v>
      </c>
      <c r="H11" s="42">
        <f t="shared" si="0"/>
        <v>540.4000000001397</v>
      </c>
      <c r="I11" s="16">
        <f>(H11*[1]Summary!$C$6)</f>
        <v>1534.7360000003966</v>
      </c>
      <c r="J11" s="82"/>
      <c r="K11" s="99"/>
      <c r="L11" s="99"/>
    </row>
    <row r="12" spans="1:13" x14ac:dyDescent="0.25">
      <c r="A12" s="78">
        <v>44903</v>
      </c>
      <c r="B12" s="31">
        <v>1</v>
      </c>
      <c r="C12" s="34">
        <v>8.3000000000000007</v>
      </c>
      <c r="D12" s="34">
        <v>21</v>
      </c>
      <c r="E12" s="42">
        <f t="shared" si="1"/>
        <v>12.7</v>
      </c>
      <c r="F12" s="32">
        <v>1732386.6</v>
      </c>
      <c r="G12" s="37">
        <v>1732982</v>
      </c>
      <c r="H12" s="42">
        <f t="shared" si="0"/>
        <v>595.39999999990687</v>
      </c>
      <c r="I12" s="16">
        <f>(H12*[1]Summary!$C$6)</f>
        <v>1690.9359999997355</v>
      </c>
      <c r="J12" s="82">
        <v>-100</v>
      </c>
      <c r="K12" s="101" t="s">
        <v>54</v>
      </c>
      <c r="L12" s="96"/>
    </row>
    <row r="13" spans="1:13" x14ac:dyDescent="0.25">
      <c r="A13" s="78">
        <v>44904</v>
      </c>
      <c r="B13" s="31">
        <v>1</v>
      </c>
      <c r="C13" s="31">
        <v>8.3000000000000007</v>
      </c>
      <c r="D13" s="31">
        <v>20</v>
      </c>
      <c r="E13" s="42">
        <f t="shared" si="1"/>
        <v>11.7</v>
      </c>
      <c r="F13" s="32">
        <v>1732982</v>
      </c>
      <c r="G13" s="37">
        <v>1733479.3</v>
      </c>
      <c r="H13" s="42">
        <f t="shared" si="0"/>
        <v>497.30000000004657</v>
      </c>
      <c r="I13" s="16">
        <f>(H13*[1]Summary!$C$6)</f>
        <v>1412.3320000001322</v>
      </c>
      <c r="J13" s="83"/>
      <c r="K13" s="39"/>
    </row>
    <row r="14" spans="1:13" x14ac:dyDescent="0.25">
      <c r="A14" s="78">
        <v>44905</v>
      </c>
      <c r="B14" s="31" t="s">
        <v>55</v>
      </c>
      <c r="C14" s="31"/>
      <c r="D14" s="31"/>
      <c r="E14" s="42"/>
      <c r="F14" s="32"/>
      <c r="G14" s="37"/>
      <c r="H14" s="42">
        <f t="shared" si="0"/>
        <v>0</v>
      </c>
      <c r="I14" s="16">
        <f>(H14*[1]Summary!$C$6)</f>
        <v>0</v>
      </c>
      <c r="J14" s="83"/>
      <c r="K14" s="99"/>
      <c r="L14" s="99"/>
      <c r="M14" s="99"/>
    </row>
    <row r="15" spans="1:13" x14ac:dyDescent="0.25">
      <c r="A15" s="78">
        <v>44906</v>
      </c>
      <c r="B15" s="31">
        <v>1</v>
      </c>
      <c r="C15" s="31">
        <v>8.3000000000000007</v>
      </c>
      <c r="D15" s="31">
        <v>20</v>
      </c>
      <c r="E15" s="42">
        <f t="shared" si="1"/>
        <v>11.7</v>
      </c>
      <c r="F15" s="32">
        <v>1733943.6</v>
      </c>
      <c r="G15" s="37">
        <v>1734354.2</v>
      </c>
      <c r="H15" s="42">
        <f t="shared" si="0"/>
        <v>410.5999999998603</v>
      </c>
      <c r="I15" s="16">
        <f>(H15*[1]Summary!$C$6)</f>
        <v>1166.1039999996033</v>
      </c>
      <c r="J15" s="83"/>
      <c r="K15" s="39"/>
    </row>
    <row r="16" spans="1:13" x14ac:dyDescent="0.25">
      <c r="A16" s="78">
        <v>44907</v>
      </c>
      <c r="B16" s="31">
        <v>1</v>
      </c>
      <c r="C16" s="31">
        <v>8.3000000000000007</v>
      </c>
      <c r="D16" s="31">
        <v>18</v>
      </c>
      <c r="E16" s="42">
        <f t="shared" si="1"/>
        <v>9.6999999999999993</v>
      </c>
      <c r="F16" s="32">
        <v>1734354.2</v>
      </c>
      <c r="G16" s="37">
        <v>1734469.2</v>
      </c>
      <c r="H16" s="42">
        <f t="shared" si="0"/>
        <v>115</v>
      </c>
      <c r="I16" s="16">
        <f>(H16*[1]Summary!$C$6)</f>
        <v>326.59999999999997</v>
      </c>
      <c r="J16" s="83">
        <v>5640</v>
      </c>
      <c r="K16" s="39"/>
    </row>
    <row r="17" spans="1:12" x14ac:dyDescent="0.25">
      <c r="A17" s="78">
        <v>44908</v>
      </c>
      <c r="B17" s="31">
        <v>1</v>
      </c>
      <c r="C17" s="31">
        <v>8.3000000000000007</v>
      </c>
      <c r="D17" s="31">
        <v>20</v>
      </c>
      <c r="E17" s="42">
        <f t="shared" si="1"/>
        <v>11.7</v>
      </c>
      <c r="F17" s="32">
        <v>1734769.2</v>
      </c>
      <c r="G17" s="37">
        <v>1735284.8</v>
      </c>
      <c r="H17" s="42">
        <f>G17-F17</f>
        <v>515.60000000009313</v>
      </c>
      <c r="I17" s="16">
        <f>(H17*[1]Summary!$C$6)</f>
        <v>1464.3040000002645</v>
      </c>
      <c r="J17" s="83"/>
      <c r="K17" s="39"/>
    </row>
    <row r="18" spans="1:12" x14ac:dyDescent="0.25">
      <c r="A18" s="78">
        <v>44909</v>
      </c>
      <c r="B18" s="38">
        <v>1</v>
      </c>
      <c r="C18" s="38">
        <v>8.3000000000000007</v>
      </c>
      <c r="D18" s="38">
        <v>20</v>
      </c>
      <c r="E18" s="42">
        <f t="shared" si="1"/>
        <v>11.7</v>
      </c>
      <c r="F18" s="32">
        <v>1735284.8</v>
      </c>
      <c r="G18" s="37">
        <v>1735789.4</v>
      </c>
      <c r="H18" s="42">
        <f t="shared" si="0"/>
        <v>504.5999999998603</v>
      </c>
      <c r="I18" s="16">
        <f>(H18*[1]Summary!$C$6)</f>
        <v>1433.0639999996031</v>
      </c>
      <c r="J18" s="83"/>
      <c r="K18" s="39"/>
    </row>
    <row r="19" spans="1:12" x14ac:dyDescent="0.25">
      <c r="A19" s="78">
        <v>44910</v>
      </c>
      <c r="B19" s="38">
        <v>1</v>
      </c>
      <c r="C19" s="38">
        <v>8.3000000000000007</v>
      </c>
      <c r="D19" s="38">
        <v>20.3</v>
      </c>
      <c r="E19" s="42">
        <f t="shared" si="1"/>
        <v>12</v>
      </c>
      <c r="F19" s="32">
        <v>1735789.4</v>
      </c>
      <c r="G19" s="37">
        <v>1736237.4</v>
      </c>
      <c r="H19" s="42">
        <f>G19-F19</f>
        <v>448</v>
      </c>
      <c r="I19" s="16">
        <f>(H19*[1]Summary!$C$6)</f>
        <v>1272.32</v>
      </c>
      <c r="J19" s="83">
        <v>-100</v>
      </c>
      <c r="K19" s="101" t="s">
        <v>54</v>
      </c>
      <c r="L19" s="96"/>
    </row>
    <row r="20" spans="1:12" x14ac:dyDescent="0.25">
      <c r="A20" s="78">
        <v>44911</v>
      </c>
      <c r="B20" s="38">
        <v>1</v>
      </c>
      <c r="C20" s="38">
        <v>8.3000000000000007</v>
      </c>
      <c r="D20" s="38">
        <v>20</v>
      </c>
      <c r="E20" s="42">
        <f t="shared" si="1"/>
        <v>11.7</v>
      </c>
      <c r="F20" s="32">
        <v>1736237.4</v>
      </c>
      <c r="G20" s="37">
        <v>1736742.9</v>
      </c>
      <c r="H20" s="42">
        <f t="shared" si="0"/>
        <v>505.5</v>
      </c>
      <c r="I20" s="16">
        <f>(H20*[1]Summary!$C$6)</f>
        <v>1435.62</v>
      </c>
      <c r="J20" s="83"/>
      <c r="K20" s="100"/>
      <c r="L20" s="100"/>
    </row>
    <row r="21" spans="1:12" x14ac:dyDescent="0.25">
      <c r="A21" s="78">
        <v>44912</v>
      </c>
      <c r="B21" s="38">
        <v>1</v>
      </c>
      <c r="C21" s="38">
        <v>8.3000000000000007</v>
      </c>
      <c r="D21" s="38">
        <v>20</v>
      </c>
      <c r="E21" s="42">
        <f t="shared" si="1"/>
        <v>11.7</v>
      </c>
      <c r="F21" s="32">
        <v>1736742.9</v>
      </c>
      <c r="G21" s="37">
        <v>1737251.5</v>
      </c>
      <c r="H21" s="42">
        <f t="shared" si="0"/>
        <v>508.60000000009313</v>
      </c>
      <c r="I21" s="16">
        <f>(H21*[1]Summary!$C$6)</f>
        <v>1444.4240000002644</v>
      </c>
      <c r="J21" s="83"/>
      <c r="K21" s="39"/>
    </row>
    <row r="22" spans="1:12" x14ac:dyDescent="0.25">
      <c r="A22" s="78">
        <v>44913</v>
      </c>
      <c r="B22" s="38">
        <v>1</v>
      </c>
      <c r="C22" s="38">
        <v>8.3000000000000007</v>
      </c>
      <c r="D22" s="38">
        <v>18</v>
      </c>
      <c r="E22" s="42">
        <f t="shared" si="1"/>
        <v>9.6999999999999993</v>
      </c>
      <c r="F22" s="42">
        <v>1737251.5</v>
      </c>
      <c r="G22" s="37">
        <v>1737664.2</v>
      </c>
      <c r="H22" s="42">
        <f>G22-F22</f>
        <v>412.69999999995343</v>
      </c>
      <c r="I22" s="16">
        <f>(H22*[1]Summary!$C$6)</f>
        <v>1172.0679999998677</v>
      </c>
      <c r="J22" s="84"/>
      <c r="K22" s="39"/>
    </row>
    <row r="23" spans="1:12" x14ac:dyDescent="0.25">
      <c r="A23" s="78">
        <v>44914</v>
      </c>
      <c r="B23" s="38">
        <v>1</v>
      </c>
      <c r="C23" s="38">
        <v>8.3000000000000007</v>
      </c>
      <c r="D23" s="38">
        <v>20</v>
      </c>
      <c r="E23" s="42">
        <f t="shared" si="1"/>
        <v>11.7</v>
      </c>
      <c r="F23" s="42">
        <v>1737664.2</v>
      </c>
      <c r="G23" s="37">
        <v>1738164</v>
      </c>
      <c r="H23" s="42">
        <f t="shared" si="0"/>
        <v>499.80000000004657</v>
      </c>
      <c r="I23" s="16">
        <f>(H23*[1]Summary!$C$6)</f>
        <v>1419.4320000001321</v>
      </c>
      <c r="J23" s="83"/>
      <c r="K23" s="44"/>
    </row>
    <row r="24" spans="1:12" x14ac:dyDescent="0.25">
      <c r="A24" s="78">
        <v>44915</v>
      </c>
      <c r="B24" s="38">
        <v>1</v>
      </c>
      <c r="C24" s="38">
        <v>8.3000000000000007</v>
      </c>
      <c r="D24" s="38">
        <v>20</v>
      </c>
      <c r="E24" s="42">
        <f t="shared" si="1"/>
        <v>11.7</v>
      </c>
      <c r="F24" s="42">
        <v>1738164</v>
      </c>
      <c r="G24" s="37">
        <v>1738658.6</v>
      </c>
      <c r="H24" s="42">
        <f>G24-F24</f>
        <v>494.60000000009313</v>
      </c>
      <c r="I24" s="16">
        <f>(H24*[1]Summary!$C$6)</f>
        <v>1404.6640000002644</v>
      </c>
      <c r="J24" s="83"/>
      <c r="K24" s="39"/>
    </row>
    <row r="25" spans="1:12" x14ac:dyDescent="0.25">
      <c r="A25" s="78">
        <v>44916</v>
      </c>
      <c r="B25" s="38">
        <v>1</v>
      </c>
      <c r="C25" s="38">
        <v>8.3000000000000007</v>
      </c>
      <c r="D25" s="38">
        <v>20</v>
      </c>
      <c r="E25" s="42">
        <f t="shared" si="1"/>
        <v>11.7</v>
      </c>
      <c r="F25" s="42">
        <v>1738658.6</v>
      </c>
      <c r="G25" s="37">
        <v>1739199.1</v>
      </c>
      <c r="H25" s="42">
        <f t="shared" si="0"/>
        <v>540.5</v>
      </c>
      <c r="I25" s="16">
        <f>(H25*[1]Summary!$C$6)</f>
        <v>1535.02</v>
      </c>
      <c r="J25" s="83"/>
      <c r="K25" s="39"/>
    </row>
    <row r="26" spans="1:12" x14ac:dyDescent="0.25">
      <c r="A26" s="78">
        <v>44917</v>
      </c>
      <c r="B26" s="38">
        <v>1</v>
      </c>
      <c r="C26" s="38">
        <v>8.3000000000000007</v>
      </c>
      <c r="D26" s="38">
        <v>21</v>
      </c>
      <c r="E26" s="42">
        <f t="shared" si="1"/>
        <v>12.7</v>
      </c>
      <c r="F26" s="32">
        <v>1739199.1</v>
      </c>
      <c r="G26" s="37">
        <v>1739746.1</v>
      </c>
      <c r="H26" s="42">
        <f t="shared" si="0"/>
        <v>547</v>
      </c>
      <c r="I26" s="16">
        <f>(H26*[1]Summary!$C$6)</f>
        <v>1553.48</v>
      </c>
      <c r="J26" s="83"/>
      <c r="K26" s="39"/>
    </row>
    <row r="27" spans="1:12" x14ac:dyDescent="0.25">
      <c r="A27" s="78">
        <v>44918</v>
      </c>
      <c r="B27" s="38">
        <v>1</v>
      </c>
      <c r="C27" s="38">
        <v>8.3000000000000007</v>
      </c>
      <c r="D27" s="38">
        <v>21</v>
      </c>
      <c r="E27" s="42">
        <f t="shared" si="1"/>
        <v>12.7</v>
      </c>
      <c r="F27" s="32">
        <v>1739746.1</v>
      </c>
      <c r="G27" s="37">
        <v>1740250.5</v>
      </c>
      <c r="H27" s="42">
        <f t="shared" si="0"/>
        <v>504.39999999990687</v>
      </c>
      <c r="I27" s="16">
        <f>(H27*[1]Summary!$C$6)</f>
        <v>1432.4959999997354</v>
      </c>
      <c r="J27" s="83"/>
      <c r="K27" s="39"/>
    </row>
    <row r="28" spans="1:12" x14ac:dyDescent="0.25">
      <c r="A28" s="78">
        <v>44919</v>
      </c>
      <c r="B28" s="38">
        <v>1</v>
      </c>
      <c r="C28" s="38">
        <v>8.3000000000000007</v>
      </c>
      <c r="D28" s="38">
        <v>21</v>
      </c>
      <c r="E28" s="42">
        <f t="shared" si="1"/>
        <v>12.7</v>
      </c>
      <c r="F28" s="32">
        <v>1740250.5</v>
      </c>
      <c r="G28" s="37">
        <v>1740796.3</v>
      </c>
      <c r="H28" s="42">
        <f t="shared" si="0"/>
        <v>545.80000000004657</v>
      </c>
      <c r="I28" s="16">
        <f>(H28*[1]Summary!$C$6)</f>
        <v>1550.0720000001322</v>
      </c>
      <c r="J28" s="83">
        <v>-100</v>
      </c>
      <c r="K28" s="101" t="s">
        <v>54</v>
      </c>
      <c r="L28" s="96"/>
    </row>
    <row r="29" spans="1:12" x14ac:dyDescent="0.25">
      <c r="A29" s="78">
        <v>44920</v>
      </c>
      <c r="B29" s="38">
        <v>1</v>
      </c>
      <c r="C29" s="38">
        <v>8.3000000000000007</v>
      </c>
      <c r="D29" s="38">
        <v>20</v>
      </c>
      <c r="E29" s="42">
        <f t="shared" si="1"/>
        <v>11.7</v>
      </c>
      <c r="F29" s="32">
        <v>1740796.3</v>
      </c>
      <c r="G29" s="37">
        <v>1741276.1</v>
      </c>
      <c r="H29" s="42">
        <f t="shared" si="0"/>
        <v>479.80000000004657</v>
      </c>
      <c r="I29" s="16">
        <f>(H29*[1]Summary!$C$6)</f>
        <v>1362.6320000001322</v>
      </c>
      <c r="J29" s="83"/>
      <c r="K29" s="39"/>
    </row>
    <row r="30" spans="1:12" x14ac:dyDescent="0.25">
      <c r="A30" s="78">
        <v>44921</v>
      </c>
      <c r="B30" s="38">
        <v>1</v>
      </c>
      <c r="C30" s="38">
        <v>8.3000000000000007</v>
      </c>
      <c r="D30" s="38">
        <v>21</v>
      </c>
      <c r="E30" s="42">
        <f>D30-C30</f>
        <v>12.7</v>
      </c>
      <c r="F30" s="32">
        <v>1741276.1</v>
      </c>
      <c r="G30" s="37">
        <v>1741809.2</v>
      </c>
      <c r="H30" s="42">
        <f t="shared" si="0"/>
        <v>533.0999999998603</v>
      </c>
      <c r="I30" s="16">
        <f>(H30*[1]Summary!$C$6)</f>
        <v>1514.0039999996031</v>
      </c>
      <c r="J30" s="83"/>
      <c r="K30" s="39"/>
    </row>
    <row r="31" spans="1:12" x14ac:dyDescent="0.25">
      <c r="A31" s="78">
        <v>44922</v>
      </c>
      <c r="B31" s="31">
        <v>1</v>
      </c>
      <c r="C31" s="31">
        <v>8.3000000000000007</v>
      </c>
      <c r="D31" s="31">
        <v>20</v>
      </c>
      <c r="E31" s="42">
        <f>D31-C31</f>
        <v>11.7</v>
      </c>
      <c r="F31" s="32">
        <v>1741809.2</v>
      </c>
      <c r="G31" s="33">
        <v>1742305</v>
      </c>
      <c r="H31" s="42">
        <f>G31-F31</f>
        <v>495.80000000004657</v>
      </c>
      <c r="I31" s="16">
        <f>(H31*[1]Summary!$C$6)</f>
        <v>1408.0720000001322</v>
      </c>
      <c r="J31" s="83"/>
      <c r="K31" s="100"/>
      <c r="L31" s="100"/>
    </row>
    <row r="32" spans="1:12" x14ac:dyDescent="0.25">
      <c r="A32" s="78">
        <v>44923</v>
      </c>
      <c r="B32" s="31">
        <v>1</v>
      </c>
      <c r="C32" s="31">
        <v>8.3000000000000007</v>
      </c>
      <c r="D32" s="31">
        <v>21</v>
      </c>
      <c r="E32" s="42">
        <f t="shared" si="1"/>
        <v>12.7</v>
      </c>
      <c r="F32" s="32">
        <v>1742305</v>
      </c>
      <c r="G32" s="33">
        <v>1742841.7</v>
      </c>
      <c r="H32" s="42">
        <f t="shared" si="0"/>
        <v>536.69999999995343</v>
      </c>
      <c r="I32" s="16">
        <f>(H32*[1]Summary!$C$6)</f>
        <v>1524.2279999998677</v>
      </c>
      <c r="J32" s="83"/>
      <c r="K32" s="39"/>
    </row>
    <row r="33" spans="1:12" x14ac:dyDescent="0.25">
      <c r="A33" s="78">
        <v>44924</v>
      </c>
      <c r="B33" s="31">
        <v>1</v>
      </c>
      <c r="C33" s="31">
        <v>8.3000000000000007</v>
      </c>
      <c r="D33" s="31">
        <v>21</v>
      </c>
      <c r="E33" s="42">
        <f>D33-C33</f>
        <v>12.7</v>
      </c>
      <c r="F33" s="32">
        <v>1742841.7</v>
      </c>
      <c r="G33" s="33">
        <v>1743364</v>
      </c>
      <c r="H33" s="42">
        <f>G33-F33</f>
        <v>522.30000000004657</v>
      </c>
      <c r="I33" s="16">
        <f>(H33*[1]Summary!$C$6)</f>
        <v>1483.3320000001322</v>
      </c>
      <c r="J33" s="83"/>
      <c r="K33" s="39"/>
    </row>
    <row r="34" spans="1:12" x14ac:dyDescent="0.25">
      <c r="A34" s="78">
        <v>44925</v>
      </c>
      <c r="B34" s="67">
        <v>1</v>
      </c>
      <c r="C34" s="67">
        <v>8.3000000000000007</v>
      </c>
      <c r="D34" s="67">
        <v>21</v>
      </c>
      <c r="E34" s="42">
        <f>D34-C34</f>
        <v>12.7</v>
      </c>
      <c r="F34" s="68">
        <v>1743364</v>
      </c>
      <c r="G34" s="69">
        <v>1743867.3</v>
      </c>
      <c r="H34" s="42">
        <f>G34-F34</f>
        <v>503.30000000004657</v>
      </c>
      <c r="I34" s="16">
        <f>(H34*[1]Summary!$C$6)</f>
        <v>1429.3720000001322</v>
      </c>
      <c r="J34" s="85"/>
      <c r="K34" s="39"/>
    </row>
    <row r="35" spans="1:12" x14ac:dyDescent="0.25">
      <c r="A35" s="78">
        <v>44926</v>
      </c>
      <c r="B35" s="62">
        <v>1</v>
      </c>
      <c r="C35" s="62">
        <v>8.3000000000000007</v>
      </c>
      <c r="D35" s="62">
        <v>21</v>
      </c>
      <c r="E35" s="63"/>
      <c r="F35" s="64">
        <v>1743867.3</v>
      </c>
      <c r="G35" s="65">
        <v>1744418.1</v>
      </c>
      <c r="H35" s="63">
        <f t="shared" si="0"/>
        <v>550.80000000004657</v>
      </c>
      <c r="I35" s="45">
        <f>(H35*[1]Summary!$C$6)</f>
        <v>1564.2720000001323</v>
      </c>
      <c r="J35" s="86"/>
      <c r="K35" s="39"/>
    </row>
    <row r="36" spans="1:12" ht="26.4" x14ac:dyDescent="0.25">
      <c r="A36" s="97" t="s">
        <v>30</v>
      </c>
      <c r="B36" s="98"/>
      <c r="C36" s="87"/>
      <c r="D36" s="87"/>
      <c r="E36" s="88"/>
      <c r="F36" s="89"/>
      <c r="G36" s="90"/>
      <c r="H36" s="91">
        <f>SUM(H4:H35)</f>
        <v>14495.100000000093</v>
      </c>
      <c r="I36" s="91">
        <f>SUM(I4:I35)</f>
        <v>41166.084000000264</v>
      </c>
      <c r="J36" s="92">
        <f>SUM(J4:J35)-H36</f>
        <v>125.69999999990614</v>
      </c>
      <c r="K36" s="46" t="s">
        <v>56</v>
      </c>
      <c r="L36" s="47"/>
    </row>
    <row r="37" spans="1:12" x14ac:dyDescent="0.25">
      <c r="A37" s="17"/>
      <c r="D37" s="1"/>
    </row>
    <row r="38" spans="1:12" x14ac:dyDescent="0.25">
      <c r="F38" s="48"/>
      <c r="G38" s="40"/>
      <c r="H38" s="40"/>
    </row>
    <row r="39" spans="1:12" ht="15.6" x14ac:dyDescent="0.3">
      <c r="A39" s="13"/>
    </row>
  </sheetData>
  <mergeCells count="12">
    <mergeCell ref="K4:M4"/>
    <mergeCell ref="A36:B36"/>
    <mergeCell ref="K9:L9"/>
    <mergeCell ref="K11:L11"/>
    <mergeCell ref="K20:L20"/>
    <mergeCell ref="K14:M14"/>
    <mergeCell ref="K6:L6"/>
    <mergeCell ref="K12:L12"/>
    <mergeCell ref="K31:L31"/>
    <mergeCell ref="K5:L5"/>
    <mergeCell ref="K19:L19"/>
    <mergeCell ref="K28:L28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Oct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Khoury</cp:lastModifiedBy>
  <cp:revision/>
  <dcterms:created xsi:type="dcterms:W3CDTF">2010-04-20T02:02:44Z</dcterms:created>
  <dcterms:modified xsi:type="dcterms:W3CDTF">2023-01-03T10:39:20Z</dcterms:modified>
  <cp:category/>
  <cp:contentStatus/>
</cp:coreProperties>
</file>