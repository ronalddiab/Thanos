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16"/>
  <workbookPr/>
  <mc:AlternateContent xmlns:mc="http://schemas.openxmlformats.org/markup-compatibility/2006">
    <mc:Choice Requires="x15">
      <x15ac:absPath xmlns:x15ac="http://schemas.microsoft.com/office/spreadsheetml/2010/11/ac" url="C:\Users\dinna.safitri\Downloads\sayan\"/>
    </mc:Choice>
  </mc:AlternateContent>
  <xr:revisionPtr revIDLastSave="817" documentId="11_DC81A93F666FDC05A12A2552F63581A5A6980FBF" xr6:coauthVersionLast="47" xr6:coauthVersionMax="47" xr10:uidLastSave="{45F57F72-1C99-4717-929C-196D9F539734}"/>
  <bookViews>
    <workbookView xWindow="0" yWindow="0" windowWidth="20400" windowHeight="8445" tabRatio="762" xr2:uid="{00000000-000D-0000-FFFF-FFFF00000000}"/>
  </bookViews>
  <sheets>
    <sheet name="Sheet1" sheetId="15" r:id="rId1"/>
    <sheet name="TOTAL" sheetId="11" r:id="rId2"/>
    <sheet name="Sep 2019" sheetId="1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2" i="11" l="1"/>
  <c r="I32" i="11"/>
  <c r="H32" i="11"/>
  <c r="G32" i="11"/>
  <c r="F32" i="11"/>
  <c r="N32" i="11"/>
  <c r="M32" i="11"/>
  <c r="V31" i="11"/>
  <c r="V32" i="11" s="1"/>
  <c r="U31" i="11"/>
  <c r="U32" i="11" s="1"/>
  <c r="T31" i="11"/>
  <c r="T32" i="11" s="1"/>
  <c r="S31" i="11"/>
  <c r="S32" i="11" s="1"/>
  <c r="R31" i="11"/>
  <c r="R32" i="11" s="1"/>
  <c r="Q31" i="11"/>
  <c r="Q32" i="11" s="1"/>
  <c r="P31" i="11"/>
  <c r="P32" i="11" s="1"/>
  <c r="AV31" i="11"/>
  <c r="AV32" i="11" s="1"/>
  <c r="AU31" i="11"/>
  <c r="AU32" i="11" s="1"/>
  <c r="AT31" i="11"/>
  <c r="AT32" i="11" s="1"/>
  <c r="AS31" i="11"/>
  <c r="AS32" i="11" s="1"/>
  <c r="AR31" i="11"/>
  <c r="AR32" i="11" s="1"/>
  <c r="AQ31" i="11"/>
  <c r="AQ32" i="11" s="1"/>
  <c r="AP31" i="11"/>
  <c r="AP32" i="11" s="1"/>
  <c r="AO31" i="11"/>
  <c r="AO32" i="11" s="1"/>
  <c r="AN31" i="11"/>
  <c r="AN32" i="11" s="1"/>
  <c r="AM31" i="11"/>
  <c r="AM32" i="11" s="1"/>
  <c r="AL31" i="11"/>
  <c r="AL32" i="11" s="1"/>
  <c r="AK31" i="11"/>
  <c r="AK32" i="11" s="1"/>
  <c r="AJ31" i="11"/>
  <c r="AJ32" i="11" s="1"/>
  <c r="AI31" i="11"/>
  <c r="AI32" i="11" s="1"/>
  <c r="AH31" i="11"/>
  <c r="AH32" i="11" s="1"/>
  <c r="AG31" i="11"/>
  <c r="AG32" i="11" s="1"/>
  <c r="AF31" i="11"/>
  <c r="AF32" i="11" s="1"/>
  <c r="AE31" i="11"/>
  <c r="AE32" i="11" s="1"/>
  <c r="AD31" i="11"/>
  <c r="AD32" i="11" s="1"/>
  <c r="AC31" i="11"/>
  <c r="AC32" i="11" s="1"/>
  <c r="AB31" i="11"/>
  <c r="AB32" i="11" s="1"/>
  <c r="AA31" i="11"/>
  <c r="AA32" i="11" s="1"/>
  <c r="Z31" i="11"/>
  <c r="Z32" i="11" s="1"/>
  <c r="Y31" i="11"/>
  <c r="Y32" i="11" s="1"/>
  <c r="AX30" i="11"/>
  <c r="AX31" i="11"/>
  <c r="AX32" i="11"/>
  <c r="AZ32" i="11"/>
  <c r="AY32" i="11"/>
  <c r="AZ31" i="11"/>
  <c r="AY31" i="11"/>
  <c r="BP32" i="11"/>
  <c r="BO32" i="11"/>
  <c r="BN32" i="11"/>
  <c r="BM32" i="11"/>
  <c r="BL32" i="11"/>
  <c r="BK32" i="11"/>
  <c r="BJ32" i="11"/>
  <c r="BI32" i="11"/>
  <c r="BH32" i="11"/>
  <c r="BG32" i="11"/>
  <c r="BF32" i="11"/>
  <c r="BE32" i="11"/>
  <c r="BD32" i="11"/>
  <c r="BP31" i="11"/>
  <c r="BO31" i="11"/>
  <c r="BN31" i="11"/>
  <c r="BM31" i="11"/>
  <c r="BL31" i="11"/>
  <c r="BK31" i="11"/>
  <c r="BJ31" i="11"/>
  <c r="BI31" i="11"/>
  <c r="BH31" i="11"/>
  <c r="BG31" i="11"/>
  <c r="BF31" i="11"/>
  <c r="BE31" i="11"/>
  <c r="BD31" i="11"/>
  <c r="BB18" i="11"/>
  <c r="BB19" i="11"/>
  <c r="BB20" i="11"/>
  <c r="BB21" i="11"/>
  <c r="BB22" i="11"/>
  <c r="BB23" i="11"/>
  <c r="BB24" i="11"/>
  <c r="BB25" i="11"/>
  <c r="BB26" i="11"/>
  <c r="BB27" i="11"/>
  <c r="BB28" i="11"/>
  <c r="BB29" i="11"/>
  <c r="BB30" i="11"/>
  <c r="BB31" i="11"/>
  <c r="BB32" i="11"/>
  <c r="AW25" i="11"/>
  <c r="AW26" i="11"/>
  <c r="AW27" i="11"/>
  <c r="AW28" i="11"/>
  <c r="AW29" i="11"/>
  <c r="AW30" i="11"/>
  <c r="AW31" i="11"/>
  <c r="AW32" i="11"/>
  <c r="W32" i="11"/>
  <c r="W5" i="11"/>
  <c r="W6" i="11"/>
  <c r="W7" i="11"/>
  <c r="W8" i="11"/>
  <c r="W9" i="11"/>
  <c r="W10" i="11"/>
  <c r="W11" i="11"/>
  <c r="W12" i="11"/>
  <c r="W13" i="11"/>
  <c r="W14" i="11"/>
  <c r="W15" i="11"/>
  <c r="W16" i="11"/>
  <c r="W17" i="11"/>
  <c r="W18" i="11"/>
  <c r="W19" i="11"/>
  <c r="W20" i="11"/>
  <c r="W21" i="11"/>
  <c r="W22" i="11"/>
  <c r="W23" i="11"/>
  <c r="W24" i="11"/>
  <c r="W25" i="11"/>
  <c r="W26" i="11"/>
  <c r="W27" i="11"/>
  <c r="W28" i="11"/>
  <c r="W29" i="11"/>
  <c r="W30" i="11"/>
  <c r="W31" i="11"/>
  <c r="O11" i="11"/>
  <c r="O12" i="11"/>
  <c r="O13" i="11"/>
  <c r="O14" i="11"/>
  <c r="O15" i="11"/>
  <c r="O16" i="11"/>
  <c r="O17" i="11"/>
  <c r="O18" i="11"/>
  <c r="O19" i="11"/>
  <c r="O20" i="11"/>
  <c r="O21" i="11"/>
  <c r="O22" i="11"/>
  <c r="O23" i="11"/>
  <c r="O24" i="11"/>
  <c r="O25" i="11"/>
  <c r="O26" i="11"/>
  <c r="O27" i="11"/>
  <c r="O28" i="11"/>
  <c r="O29" i="11"/>
  <c r="O30" i="11"/>
  <c r="O31" i="11"/>
  <c r="O32" i="11"/>
  <c r="L4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2" i="11"/>
  <c r="L23" i="11"/>
  <c r="L24" i="11"/>
  <c r="L25" i="11"/>
  <c r="L26" i="11"/>
  <c r="L27" i="11"/>
  <c r="L28" i="11"/>
  <c r="L29" i="11"/>
  <c r="L30" i="11"/>
  <c r="L31" i="11"/>
  <c r="L32" i="11"/>
  <c r="K3" i="1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K23" i="11"/>
  <c r="K24" i="11"/>
  <c r="K25" i="11"/>
  <c r="K26" i="11"/>
  <c r="K27" i="11"/>
  <c r="K28" i="11"/>
  <c r="K29" i="11"/>
  <c r="K30" i="11"/>
  <c r="K31" i="1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W38" i="14"/>
  <c r="BD14" i="11"/>
  <c r="BD15" i="11"/>
  <c r="BD16" i="11"/>
  <c r="BD17" i="11"/>
  <c r="BD18" i="11"/>
  <c r="BD19" i="11"/>
  <c r="BD20" i="11"/>
  <c r="BD21" i="11"/>
  <c r="BD22" i="11"/>
  <c r="BD23" i="11"/>
  <c r="BD24" i="11"/>
  <c r="BD25" i="11"/>
  <c r="BD26" i="11"/>
  <c r="BD27" i="11"/>
  <c r="BD28" i="11"/>
  <c r="BD29" i="11"/>
  <c r="BD30" i="11"/>
  <c r="BC15" i="11"/>
  <c r="BC16" i="11"/>
  <c r="BC17" i="11"/>
  <c r="BC18" i="11"/>
  <c r="BC19" i="11"/>
  <c r="BC20" i="11"/>
  <c r="BC21" i="11"/>
  <c r="BC22" i="11"/>
  <c r="BC23" i="11"/>
  <c r="BC24" i="11"/>
  <c r="BC25" i="11"/>
  <c r="BC26" i="11"/>
  <c r="BC27" i="11"/>
  <c r="BC28" i="11"/>
  <c r="BC29" i="11"/>
  <c r="BC30" i="11"/>
  <c r="BC31" i="11"/>
  <c r="BB13" i="11"/>
  <c r="BB14" i="11"/>
  <c r="BB15" i="11"/>
  <c r="BB16" i="11"/>
  <c r="BB17" i="11"/>
  <c r="BA19" i="11"/>
  <c r="BA20" i="11"/>
  <c r="BA21" i="11"/>
  <c r="BA22" i="11"/>
  <c r="BA23" i="11"/>
  <c r="BA24" i="11"/>
  <c r="BA25" i="11"/>
  <c r="BA26" i="11"/>
  <c r="BA27" i="11"/>
  <c r="BA28" i="11"/>
  <c r="BA29" i="11"/>
  <c r="BA30" i="11"/>
  <c r="BA31" i="11"/>
  <c r="AW22" i="11"/>
  <c r="AW23" i="11"/>
  <c r="AW24" i="11"/>
  <c r="X5" i="11"/>
  <c r="X6" i="11"/>
  <c r="X7" i="11"/>
  <c r="X8" i="11"/>
  <c r="X9" i="11"/>
  <c r="X10" i="11"/>
  <c r="X11" i="11"/>
  <c r="X12" i="11"/>
  <c r="X13" i="11"/>
  <c r="X14" i="11"/>
  <c r="X15" i="11"/>
  <c r="X16" i="11"/>
  <c r="X17" i="11"/>
  <c r="X18" i="11"/>
  <c r="X19" i="11"/>
  <c r="X20" i="11"/>
  <c r="X21" i="11"/>
  <c r="X22" i="11"/>
  <c r="X23" i="11"/>
  <c r="X24" i="11"/>
  <c r="X25" i="11"/>
  <c r="X26" i="11"/>
  <c r="X27" i="11"/>
  <c r="X28" i="11"/>
  <c r="X29" i="11"/>
  <c r="X30" i="11"/>
  <c r="X31" i="11"/>
  <c r="W3" i="11"/>
  <c r="W4" i="11"/>
  <c r="O3" i="11"/>
  <c r="O4" i="11"/>
  <c r="O5" i="11"/>
  <c r="O6" i="11"/>
  <c r="O7" i="11"/>
  <c r="O8" i="11"/>
  <c r="O9" i="11"/>
  <c r="O10" i="11"/>
  <c r="L3" i="11"/>
  <c r="E38" i="14"/>
  <c r="C38" i="14"/>
  <c r="D38" i="14"/>
  <c r="K38" i="14"/>
  <c r="K32" i="11" s="1"/>
  <c r="M38" i="14"/>
  <c r="E32" i="11" s="1"/>
  <c r="U38" i="14"/>
  <c r="X38" i="14"/>
  <c r="X32" i="11" s="1"/>
  <c r="AG38" i="14"/>
  <c r="BC32" i="11" s="1"/>
  <c r="F38" i="14"/>
  <c r="G38" i="14"/>
  <c r="H38" i="14"/>
  <c r="I38" i="14"/>
  <c r="J38" i="14"/>
  <c r="N38" i="14"/>
  <c r="O38" i="14"/>
  <c r="P38" i="14"/>
  <c r="Q38" i="14"/>
  <c r="R38" i="14"/>
  <c r="S38" i="14"/>
  <c r="T38" i="14"/>
  <c r="Y38" i="14"/>
  <c r="Z38" i="14"/>
  <c r="AA38" i="14"/>
  <c r="AB38" i="14"/>
  <c r="AC38" i="14"/>
  <c r="AD38" i="14"/>
  <c r="AE38" i="14"/>
  <c r="AF38" i="14"/>
  <c r="AH38" i="14"/>
  <c r="K2" i="11"/>
  <c r="E2" i="11"/>
  <c r="AW3" i="11"/>
  <c r="AW4" i="11"/>
  <c r="AW5" i="11"/>
  <c r="AW6" i="11"/>
  <c r="AW7" i="11"/>
  <c r="AW8" i="11"/>
  <c r="AW9" i="11"/>
  <c r="AW10" i="11"/>
  <c r="AW11" i="11"/>
  <c r="AW12" i="11"/>
  <c r="AW13" i="11"/>
  <c r="AW14" i="11"/>
  <c r="AW15" i="11"/>
  <c r="AW16" i="11"/>
  <c r="AW17" i="11"/>
  <c r="AW18" i="11"/>
  <c r="AW19" i="11"/>
  <c r="AW20" i="11"/>
  <c r="AW21" i="11"/>
  <c r="M30" i="11"/>
  <c r="M31" i="11"/>
  <c r="J27" i="11"/>
  <c r="J28" i="11"/>
  <c r="J29" i="11"/>
  <c r="J30" i="11"/>
  <c r="J31" i="11"/>
  <c r="I27" i="11"/>
  <c r="I28" i="11"/>
  <c r="I29" i="11"/>
  <c r="I30" i="11"/>
  <c r="I31" i="11"/>
  <c r="H27" i="11"/>
  <c r="H28" i="11"/>
  <c r="H29" i="11"/>
  <c r="H30" i="11"/>
  <c r="H31" i="11"/>
  <c r="G27" i="11"/>
  <c r="G28" i="11"/>
  <c r="G29" i="11"/>
  <c r="G30" i="11"/>
  <c r="G31" i="11"/>
  <c r="F27" i="11"/>
  <c r="F28" i="11"/>
  <c r="F29" i="11"/>
  <c r="F30" i="11"/>
  <c r="F31" i="11"/>
  <c r="BC3" i="11"/>
  <c r="BC4" i="11"/>
  <c r="BC5" i="11"/>
  <c r="BC6" i="11"/>
  <c r="BC7" i="11"/>
  <c r="BC8" i="11"/>
  <c r="BC9" i="11"/>
  <c r="BC10" i="11"/>
  <c r="BC11" i="11"/>
  <c r="BC12" i="11"/>
  <c r="BC13" i="11"/>
  <c r="BC14" i="11"/>
  <c r="BC2" i="11"/>
  <c r="BA2" i="11"/>
  <c r="AW2" i="11"/>
  <c r="W2" i="11"/>
  <c r="O2" i="11"/>
  <c r="AI36" i="14"/>
  <c r="AJ36" i="14"/>
  <c r="AK36" i="14"/>
  <c r="AL36" i="14"/>
  <c r="AM36" i="14"/>
  <c r="AN36" i="14"/>
  <c r="AO36" i="14"/>
  <c r="AP36" i="14"/>
  <c r="AQ36" i="14"/>
  <c r="AR36" i="14"/>
  <c r="AS36" i="14"/>
  <c r="AT36" i="14"/>
  <c r="AU36" i="14"/>
  <c r="AV36" i="14"/>
  <c r="AW36" i="14"/>
  <c r="AX36" i="14"/>
  <c r="AY36" i="14"/>
  <c r="AZ36" i="14"/>
  <c r="BA36" i="14"/>
  <c r="BB36" i="14"/>
  <c r="BC36" i="14"/>
  <c r="BD36" i="14"/>
  <c r="BE36" i="14"/>
  <c r="BF36" i="14"/>
  <c r="BG36" i="14"/>
  <c r="BH36" i="14"/>
  <c r="BI36" i="14"/>
  <c r="BJ36" i="14"/>
  <c r="BK36" i="14"/>
  <c r="BL36" i="14"/>
  <c r="BM36" i="14"/>
  <c r="BN36" i="14"/>
  <c r="BA3" i="11"/>
  <c r="BA4" i="11"/>
  <c r="BA5" i="11"/>
  <c r="BA6" i="11"/>
  <c r="BA7" i="11"/>
  <c r="BA8" i="11"/>
  <c r="BA9" i="11"/>
  <c r="BA10" i="11"/>
  <c r="BA11" i="11"/>
  <c r="BA12" i="11"/>
  <c r="BA13" i="11"/>
  <c r="BA14" i="11"/>
  <c r="BA15" i="11"/>
  <c r="BA16" i="11"/>
  <c r="BA17" i="11"/>
  <c r="BA18" i="11"/>
  <c r="G7" i="11"/>
  <c r="BB3" i="11"/>
  <c r="BB4" i="11"/>
  <c r="BB5" i="11"/>
  <c r="BB6" i="11"/>
  <c r="BB7" i="11"/>
  <c r="BB8" i="11"/>
  <c r="BB9" i="11"/>
  <c r="BB10" i="11"/>
  <c r="BB11" i="11"/>
  <c r="BB12" i="11"/>
  <c r="BB2" i="11"/>
  <c r="BA32" i="11" l="1"/>
  <c r="BN38" i="14"/>
  <c r="BM38" i="14"/>
  <c r="BL38" i="14"/>
  <c r="BK38" i="14"/>
  <c r="BJ38" i="14"/>
  <c r="BI38" i="14"/>
  <c r="BH38" i="14"/>
  <c r="BG38" i="14"/>
  <c r="BF38" i="14"/>
  <c r="BE38" i="14"/>
  <c r="BD38" i="14"/>
  <c r="BC38" i="14"/>
  <c r="BB38" i="14"/>
  <c r="BA38" i="14"/>
  <c r="AZ38" i="14"/>
  <c r="AY38" i="14"/>
  <c r="AX38" i="14"/>
  <c r="AW38" i="14"/>
  <c r="AV38" i="14"/>
  <c r="AU38" i="14"/>
  <c r="AT38" i="14"/>
  <c r="AS38" i="14"/>
  <c r="AR38" i="14"/>
  <c r="AQ38" i="14"/>
  <c r="AP38" i="14"/>
  <c r="AO38" i="14"/>
  <c r="AN38" i="14"/>
  <c r="AM38" i="14"/>
  <c r="AL38" i="14"/>
  <c r="AK38" i="14"/>
  <c r="AJ38" i="14"/>
  <c r="AI38" i="14"/>
  <c r="V38" i="14"/>
  <c r="G2" i="11"/>
  <c r="F2" i="11"/>
  <c r="H2" i="11"/>
  <c r="BM30" i="11"/>
  <c r="BN30" i="11"/>
  <c r="BP3" i="11" l="1"/>
  <c r="BP4" i="11"/>
  <c r="BP5" i="11"/>
  <c r="BP6" i="11"/>
  <c r="BP7" i="11"/>
  <c r="BP8" i="11"/>
  <c r="BP9" i="11"/>
  <c r="BP10" i="11"/>
  <c r="BP11" i="11"/>
  <c r="BP12" i="11"/>
  <c r="BP13" i="11"/>
  <c r="BP14" i="11"/>
  <c r="BP15" i="11"/>
  <c r="BP16" i="11"/>
  <c r="BP17" i="11"/>
  <c r="BP18" i="11"/>
  <c r="BP19" i="11"/>
  <c r="BP20" i="11"/>
  <c r="BP21" i="11"/>
  <c r="BP22" i="11"/>
  <c r="BP23" i="11"/>
  <c r="BP24" i="11"/>
  <c r="BP25" i="11"/>
  <c r="BP26" i="11"/>
  <c r="BP27" i="11"/>
  <c r="BP28" i="11"/>
  <c r="BP29" i="11"/>
  <c r="BO3" i="11"/>
  <c r="BO4" i="11"/>
  <c r="BO5" i="11"/>
  <c r="BO6" i="11"/>
  <c r="BO7" i="11"/>
  <c r="BO8" i="11"/>
  <c r="BO9" i="11"/>
  <c r="BO10" i="11"/>
  <c r="BO11" i="11"/>
  <c r="BO12" i="11"/>
  <c r="BO13" i="11"/>
  <c r="BO14" i="11"/>
  <c r="BO15" i="11"/>
  <c r="BO16" i="11"/>
  <c r="BO17" i="11"/>
  <c r="BO18" i="11"/>
  <c r="BO19" i="11"/>
  <c r="BO20" i="11"/>
  <c r="BO21" i="11"/>
  <c r="BO22" i="11"/>
  <c r="BO23" i="11"/>
  <c r="BO24" i="11"/>
  <c r="BO25" i="11"/>
  <c r="BO26" i="11"/>
  <c r="BO27" i="11"/>
  <c r="BO28" i="11"/>
  <c r="BO29" i="11"/>
  <c r="BP2" i="11"/>
  <c r="BO2" i="11"/>
  <c r="BL3" i="11"/>
  <c r="BL4" i="11"/>
  <c r="BL5" i="11"/>
  <c r="BL6" i="11"/>
  <c r="BL7" i="11"/>
  <c r="BL8" i="11"/>
  <c r="BL9" i="11"/>
  <c r="BL10" i="11"/>
  <c r="BL11" i="11"/>
  <c r="BL12" i="11"/>
  <c r="BL13" i="11"/>
  <c r="BL14" i="11"/>
  <c r="BL15" i="11"/>
  <c r="BL16" i="11"/>
  <c r="BL17" i="11"/>
  <c r="BL18" i="11"/>
  <c r="BL19" i="11"/>
  <c r="BL20" i="11"/>
  <c r="BL21" i="11"/>
  <c r="BL22" i="11"/>
  <c r="BL23" i="11"/>
  <c r="BL24" i="11"/>
  <c r="BL25" i="11"/>
  <c r="BL26" i="11"/>
  <c r="BL27" i="11"/>
  <c r="BL28" i="11"/>
  <c r="BL29" i="11"/>
  <c r="BL2" i="11"/>
  <c r="BK3" i="11"/>
  <c r="BK4" i="11"/>
  <c r="BK5" i="11"/>
  <c r="BK6" i="11"/>
  <c r="BK7" i="11"/>
  <c r="BK8" i="11"/>
  <c r="BK9" i="11"/>
  <c r="BK10" i="11"/>
  <c r="BK11" i="11"/>
  <c r="BK12" i="11"/>
  <c r="BK13" i="11"/>
  <c r="BK14" i="11"/>
  <c r="BK15" i="11"/>
  <c r="BK16" i="11"/>
  <c r="BK17" i="11"/>
  <c r="BK18" i="11"/>
  <c r="BK19" i="11"/>
  <c r="BK20" i="11"/>
  <c r="BK21" i="11"/>
  <c r="BK22" i="11"/>
  <c r="BK23" i="11"/>
  <c r="BK24" i="11"/>
  <c r="BK25" i="11"/>
  <c r="BK26" i="11"/>
  <c r="BK27" i="11"/>
  <c r="BK28" i="11"/>
  <c r="BK29" i="11"/>
  <c r="BK2" i="11"/>
  <c r="BJ3" i="11"/>
  <c r="BJ4" i="11"/>
  <c r="BJ5" i="11"/>
  <c r="BJ6" i="11"/>
  <c r="BJ7" i="11"/>
  <c r="BJ8" i="11"/>
  <c r="BJ9" i="11"/>
  <c r="BJ10" i="11"/>
  <c r="BJ11" i="11"/>
  <c r="BJ12" i="11"/>
  <c r="BJ13" i="11"/>
  <c r="BJ14" i="11"/>
  <c r="BJ15" i="11"/>
  <c r="BJ16" i="11"/>
  <c r="BJ17" i="11"/>
  <c r="BJ18" i="11"/>
  <c r="BJ19" i="11"/>
  <c r="BJ20" i="11"/>
  <c r="BJ21" i="11"/>
  <c r="BJ22" i="11"/>
  <c r="BJ23" i="11"/>
  <c r="BJ24" i="11"/>
  <c r="BJ25" i="11"/>
  <c r="BJ26" i="11"/>
  <c r="BJ27" i="11"/>
  <c r="BJ28" i="11"/>
  <c r="BJ29" i="11"/>
  <c r="BJ2" i="11"/>
  <c r="BI3" i="11"/>
  <c r="BI4" i="11"/>
  <c r="BI5" i="11"/>
  <c r="BI6" i="11"/>
  <c r="BI7" i="11"/>
  <c r="BI8" i="11"/>
  <c r="BI9" i="11"/>
  <c r="BI10" i="11"/>
  <c r="BI11" i="11"/>
  <c r="BI12" i="11"/>
  <c r="BI13" i="11"/>
  <c r="BI14" i="11"/>
  <c r="BI15" i="11"/>
  <c r="BI16" i="11"/>
  <c r="BI17" i="11"/>
  <c r="BI18" i="11"/>
  <c r="BI19" i="11"/>
  <c r="BI20" i="11"/>
  <c r="BI21" i="11"/>
  <c r="BI22" i="11"/>
  <c r="BI23" i="11"/>
  <c r="BI24" i="11"/>
  <c r="BI25" i="11"/>
  <c r="BI26" i="11"/>
  <c r="BI27" i="11"/>
  <c r="BI28" i="11"/>
  <c r="BI29" i="11"/>
  <c r="BI2" i="11"/>
  <c r="BH3" i="11"/>
  <c r="BH4" i="11"/>
  <c r="BH5" i="11"/>
  <c r="BH6" i="11"/>
  <c r="BH7" i="11"/>
  <c r="BH8" i="11"/>
  <c r="BH9" i="11"/>
  <c r="BH10" i="11"/>
  <c r="BH11" i="11"/>
  <c r="BH12" i="11"/>
  <c r="BH13" i="11"/>
  <c r="BH14" i="11"/>
  <c r="BH15" i="11"/>
  <c r="BH16" i="11"/>
  <c r="BH17" i="11"/>
  <c r="BH18" i="11"/>
  <c r="BH19" i="11"/>
  <c r="BH20" i="11"/>
  <c r="BH21" i="11"/>
  <c r="BH22" i="11"/>
  <c r="BH23" i="11"/>
  <c r="BH24" i="11"/>
  <c r="BH25" i="11"/>
  <c r="BH26" i="11"/>
  <c r="BH27" i="11"/>
  <c r="BH28" i="11"/>
  <c r="BH29" i="11"/>
  <c r="BH2" i="11"/>
  <c r="BG3" i="11"/>
  <c r="BG4" i="11"/>
  <c r="BG5" i="11"/>
  <c r="BG6" i="11"/>
  <c r="BG7" i="11"/>
  <c r="BG8" i="11"/>
  <c r="BG9" i="11"/>
  <c r="BG10" i="11"/>
  <c r="BG11" i="11"/>
  <c r="BG12" i="11"/>
  <c r="BG13" i="11"/>
  <c r="BG14" i="11"/>
  <c r="BG15" i="11"/>
  <c r="BG16" i="11"/>
  <c r="BG17" i="11"/>
  <c r="BG18" i="11"/>
  <c r="BG19" i="11"/>
  <c r="BG20" i="11"/>
  <c r="BG21" i="11"/>
  <c r="BG22" i="11"/>
  <c r="BG23" i="11"/>
  <c r="BG24" i="11"/>
  <c r="BG25" i="11"/>
  <c r="BG26" i="11"/>
  <c r="BG27" i="11"/>
  <c r="BG28" i="11"/>
  <c r="BG29" i="11"/>
  <c r="BG2" i="11"/>
  <c r="BF3" i="11"/>
  <c r="BF4" i="11"/>
  <c r="BF5" i="11"/>
  <c r="BF6" i="11"/>
  <c r="BF7" i="11"/>
  <c r="BF8" i="11"/>
  <c r="BF9" i="11"/>
  <c r="BF10" i="11"/>
  <c r="BF11" i="11"/>
  <c r="BF12" i="11"/>
  <c r="BF13" i="11"/>
  <c r="BF14" i="11"/>
  <c r="BF15" i="11"/>
  <c r="BF16" i="11"/>
  <c r="BF17" i="11"/>
  <c r="BF18" i="11"/>
  <c r="BF19" i="11"/>
  <c r="BF20" i="11"/>
  <c r="BF21" i="11"/>
  <c r="BF22" i="11"/>
  <c r="BF23" i="11"/>
  <c r="BF24" i="11"/>
  <c r="BF25" i="11"/>
  <c r="BF26" i="11"/>
  <c r="BF27" i="11"/>
  <c r="BF28" i="11"/>
  <c r="BF29" i="11"/>
  <c r="BF2" i="11"/>
  <c r="BE3" i="11"/>
  <c r="BE4" i="11"/>
  <c r="BE5" i="11"/>
  <c r="BE6" i="11"/>
  <c r="BE7" i="11"/>
  <c r="BE8" i="11"/>
  <c r="BE9" i="11"/>
  <c r="BE10" i="11"/>
  <c r="BE11" i="11"/>
  <c r="BE12" i="11"/>
  <c r="BE13" i="11"/>
  <c r="BE14" i="11"/>
  <c r="BE15" i="11"/>
  <c r="BE16" i="11"/>
  <c r="BE17" i="11"/>
  <c r="BE18" i="11"/>
  <c r="BE19" i="11"/>
  <c r="BE20" i="11"/>
  <c r="BE21" i="11"/>
  <c r="BE22" i="11"/>
  <c r="BE23" i="11"/>
  <c r="BE24" i="11"/>
  <c r="BE25" i="11"/>
  <c r="BE26" i="11"/>
  <c r="BE27" i="11"/>
  <c r="BE28" i="11"/>
  <c r="BE29" i="11"/>
  <c r="BE2" i="11"/>
  <c r="BD3" i="11"/>
  <c r="BD4" i="11"/>
  <c r="BD5" i="11"/>
  <c r="BD6" i="11"/>
  <c r="BD7" i="11"/>
  <c r="BD8" i="11"/>
  <c r="BD9" i="11"/>
  <c r="BD10" i="11"/>
  <c r="BD11" i="11"/>
  <c r="BD12" i="11"/>
  <c r="BD13" i="11"/>
  <c r="BD2" i="11"/>
  <c r="AZ3" i="11"/>
  <c r="AZ4" i="11"/>
  <c r="AZ5" i="11"/>
  <c r="AZ6" i="11"/>
  <c r="AZ7" i="11"/>
  <c r="AZ8" i="11"/>
  <c r="AZ9" i="11"/>
  <c r="AZ10" i="11"/>
  <c r="AZ11" i="11"/>
  <c r="AZ12" i="11"/>
  <c r="AZ13" i="11"/>
  <c r="AZ14" i="11"/>
  <c r="AZ15" i="11"/>
  <c r="AZ16" i="11"/>
  <c r="AZ17" i="11"/>
  <c r="AZ18" i="11"/>
  <c r="AZ19" i="11"/>
  <c r="AZ20" i="11"/>
  <c r="AZ21" i="11"/>
  <c r="AZ22" i="11"/>
  <c r="AZ23" i="11"/>
  <c r="AZ24" i="11"/>
  <c r="AZ25" i="11"/>
  <c r="AZ26" i="11"/>
  <c r="AZ27" i="11"/>
  <c r="AZ28" i="11"/>
  <c r="AZ29" i="11"/>
  <c r="AZ2" i="11"/>
  <c r="AY3" i="11"/>
  <c r="AY4" i="11"/>
  <c r="AY5" i="11"/>
  <c r="AY6" i="11"/>
  <c r="AY7" i="11"/>
  <c r="AY8" i="11"/>
  <c r="AY9" i="11"/>
  <c r="AY10" i="11"/>
  <c r="AY11" i="11"/>
  <c r="AY12" i="11"/>
  <c r="AY13" i="11"/>
  <c r="AY14" i="11"/>
  <c r="AY15" i="11"/>
  <c r="AY16" i="11"/>
  <c r="AY17" i="11"/>
  <c r="AY18" i="11"/>
  <c r="AY19" i="11"/>
  <c r="AY20" i="11"/>
  <c r="AY21" i="11"/>
  <c r="AY22" i="11"/>
  <c r="AY23" i="11"/>
  <c r="AY24" i="11"/>
  <c r="AY25" i="11"/>
  <c r="AY26" i="11"/>
  <c r="AY27" i="11"/>
  <c r="AY28" i="11"/>
  <c r="AY29" i="11"/>
  <c r="AY2" i="11"/>
  <c r="AX3" i="11"/>
  <c r="AX4" i="11"/>
  <c r="AX5" i="11"/>
  <c r="AX6" i="11"/>
  <c r="AX7" i="11"/>
  <c r="AX8" i="11"/>
  <c r="AX9" i="11"/>
  <c r="AX10" i="11"/>
  <c r="AX11" i="11"/>
  <c r="AX12" i="11"/>
  <c r="AX13" i="11"/>
  <c r="AX14" i="11"/>
  <c r="AX15" i="11"/>
  <c r="AX16" i="11"/>
  <c r="AX17" i="11"/>
  <c r="AX18" i="11"/>
  <c r="AX19" i="11"/>
  <c r="AX20" i="11"/>
  <c r="AX21" i="11"/>
  <c r="AX22" i="11"/>
  <c r="AX23" i="11"/>
  <c r="AX24" i="11"/>
  <c r="AX25" i="11"/>
  <c r="AX26" i="11"/>
  <c r="AX27" i="11"/>
  <c r="AX28" i="11"/>
  <c r="AX29" i="11"/>
  <c r="AX2" i="11"/>
  <c r="AV3" i="11"/>
  <c r="AV4" i="11"/>
  <c r="AV5" i="11"/>
  <c r="AV6" i="11"/>
  <c r="AV7" i="11"/>
  <c r="AV8" i="11"/>
  <c r="AV9" i="11"/>
  <c r="AV10" i="11"/>
  <c r="AV11" i="11"/>
  <c r="AV12" i="11"/>
  <c r="AV13" i="11"/>
  <c r="AV14" i="11"/>
  <c r="AV15" i="11"/>
  <c r="AV16" i="11"/>
  <c r="AV17" i="11"/>
  <c r="AV18" i="11"/>
  <c r="AV19" i="11"/>
  <c r="AV20" i="11"/>
  <c r="AV21" i="11"/>
  <c r="AV22" i="11"/>
  <c r="AV23" i="11"/>
  <c r="AV24" i="11"/>
  <c r="AV25" i="11"/>
  <c r="AV26" i="11"/>
  <c r="AV27" i="11"/>
  <c r="AV28" i="11"/>
  <c r="AV29" i="11"/>
  <c r="AV2" i="11"/>
  <c r="AU3" i="11"/>
  <c r="AU4" i="11"/>
  <c r="AU5" i="11"/>
  <c r="AU6" i="11"/>
  <c r="AU7" i="11"/>
  <c r="AU8" i="11"/>
  <c r="AU9" i="11"/>
  <c r="AU10" i="11"/>
  <c r="AU11" i="11"/>
  <c r="AU12" i="11"/>
  <c r="AU13" i="11"/>
  <c r="AU14" i="11"/>
  <c r="AU15" i="11"/>
  <c r="AU16" i="11"/>
  <c r="AU17" i="11"/>
  <c r="AU18" i="11"/>
  <c r="AU19" i="11"/>
  <c r="AU20" i="11"/>
  <c r="AU21" i="11"/>
  <c r="AU22" i="11"/>
  <c r="AU23" i="11"/>
  <c r="AU24" i="11"/>
  <c r="AU25" i="11"/>
  <c r="AU26" i="11"/>
  <c r="AU27" i="11"/>
  <c r="AU28" i="11"/>
  <c r="AU29" i="11"/>
  <c r="AU2" i="11"/>
  <c r="AT3" i="11"/>
  <c r="AT4" i="11"/>
  <c r="AT5" i="11"/>
  <c r="AT6" i="11"/>
  <c r="AT7" i="11"/>
  <c r="AT8" i="11"/>
  <c r="AT9" i="11"/>
  <c r="AT10" i="11"/>
  <c r="AT11" i="11"/>
  <c r="AT12" i="11"/>
  <c r="AT13" i="11"/>
  <c r="AT14" i="11"/>
  <c r="AT15" i="11"/>
  <c r="AT16" i="11"/>
  <c r="AT17" i="11"/>
  <c r="AT18" i="11"/>
  <c r="AT19" i="11"/>
  <c r="AT20" i="11"/>
  <c r="AT21" i="11"/>
  <c r="AT22" i="11"/>
  <c r="AT23" i="11"/>
  <c r="AT24" i="11"/>
  <c r="AT25" i="11"/>
  <c r="AT26" i="11"/>
  <c r="AT27" i="11"/>
  <c r="AT28" i="11"/>
  <c r="AT29" i="11"/>
  <c r="AT2" i="11"/>
  <c r="AS3" i="11"/>
  <c r="AS4" i="11"/>
  <c r="AS5" i="11"/>
  <c r="AS6" i="11"/>
  <c r="AS7" i="11"/>
  <c r="AS8" i="11"/>
  <c r="AS9" i="11"/>
  <c r="AS10" i="11"/>
  <c r="AS11" i="11"/>
  <c r="AS12" i="11"/>
  <c r="AS13" i="11"/>
  <c r="AS14" i="11"/>
  <c r="AS15" i="11"/>
  <c r="AS16" i="11"/>
  <c r="AS17" i="11"/>
  <c r="AS18" i="11"/>
  <c r="AS19" i="11"/>
  <c r="AS20" i="11"/>
  <c r="AS21" i="11"/>
  <c r="AS22" i="11"/>
  <c r="AS23" i="11"/>
  <c r="AS24" i="11"/>
  <c r="AS25" i="11"/>
  <c r="AS26" i="11"/>
  <c r="AS27" i="11"/>
  <c r="AS28" i="11"/>
  <c r="AS29" i="11"/>
  <c r="AS2" i="11"/>
  <c r="AR3" i="11"/>
  <c r="AR4" i="11"/>
  <c r="AR5" i="11"/>
  <c r="AR6" i="11"/>
  <c r="AR7" i="11"/>
  <c r="AR8" i="11"/>
  <c r="AR9" i="11"/>
  <c r="AR10" i="11"/>
  <c r="AR11" i="11"/>
  <c r="AR12" i="11"/>
  <c r="AR13" i="11"/>
  <c r="AR14" i="11"/>
  <c r="AR15" i="11"/>
  <c r="AR16" i="11"/>
  <c r="AR17" i="11"/>
  <c r="AR18" i="11"/>
  <c r="AR19" i="11"/>
  <c r="AR20" i="11"/>
  <c r="AR21" i="11"/>
  <c r="AR22" i="11"/>
  <c r="AR23" i="11"/>
  <c r="AR24" i="11"/>
  <c r="AR25" i="11"/>
  <c r="AR26" i="11"/>
  <c r="AR27" i="11"/>
  <c r="AR28" i="11"/>
  <c r="AR29" i="11"/>
  <c r="AR2" i="11"/>
  <c r="AQ3" i="11"/>
  <c r="AQ4" i="11"/>
  <c r="AQ5" i="11"/>
  <c r="AQ6" i="11"/>
  <c r="AQ7" i="11"/>
  <c r="AQ8" i="11"/>
  <c r="AQ9" i="11"/>
  <c r="AQ10" i="11"/>
  <c r="AQ11" i="11"/>
  <c r="AQ12" i="11"/>
  <c r="AQ13" i="11"/>
  <c r="AQ14" i="11"/>
  <c r="AQ15" i="11"/>
  <c r="AQ16" i="11"/>
  <c r="AQ17" i="11"/>
  <c r="AQ18" i="11"/>
  <c r="AQ19" i="11"/>
  <c r="AQ20" i="11"/>
  <c r="AQ21" i="11"/>
  <c r="AQ22" i="11"/>
  <c r="AQ23" i="11"/>
  <c r="AQ24" i="11"/>
  <c r="AQ25" i="11"/>
  <c r="AQ26" i="11"/>
  <c r="AQ27" i="11"/>
  <c r="AQ28" i="11"/>
  <c r="AQ29" i="11"/>
  <c r="AQ2" i="11"/>
  <c r="AP3" i="11"/>
  <c r="AP4" i="11"/>
  <c r="AP5" i="11"/>
  <c r="AP6" i="11"/>
  <c r="AP7" i="11"/>
  <c r="AP8" i="11"/>
  <c r="AP9" i="11"/>
  <c r="AP10" i="11"/>
  <c r="AP11" i="11"/>
  <c r="AP12" i="11"/>
  <c r="AP13" i="11"/>
  <c r="AP14" i="11"/>
  <c r="AP15" i="11"/>
  <c r="AP16" i="11"/>
  <c r="AP17" i="11"/>
  <c r="AP18" i="11"/>
  <c r="AP19" i="11"/>
  <c r="AP20" i="11"/>
  <c r="AP21" i="11"/>
  <c r="AP22" i="11"/>
  <c r="AP23" i="11"/>
  <c r="AP24" i="11"/>
  <c r="AP25" i="11"/>
  <c r="AP26" i="11"/>
  <c r="AP27" i="11"/>
  <c r="AP28" i="11"/>
  <c r="AP29" i="11"/>
  <c r="AP2" i="11"/>
  <c r="AO3" i="11"/>
  <c r="AO4" i="11"/>
  <c r="AO5" i="11"/>
  <c r="AO6" i="11"/>
  <c r="AO7" i="11"/>
  <c r="AO8" i="11"/>
  <c r="AO9" i="11"/>
  <c r="AO10" i="11"/>
  <c r="AO11" i="11"/>
  <c r="AO12" i="11"/>
  <c r="AO13" i="11"/>
  <c r="AO14" i="11"/>
  <c r="AO15" i="11"/>
  <c r="AO16" i="11"/>
  <c r="AO17" i="11"/>
  <c r="AO18" i="11"/>
  <c r="AO19" i="11"/>
  <c r="AO20" i="11"/>
  <c r="AO21" i="11"/>
  <c r="AO22" i="11"/>
  <c r="AO23" i="11"/>
  <c r="AO24" i="11"/>
  <c r="AO25" i="11"/>
  <c r="AO26" i="11"/>
  <c r="AO27" i="11"/>
  <c r="AO28" i="11"/>
  <c r="AO29" i="11"/>
  <c r="AO2" i="11"/>
  <c r="AN3" i="11"/>
  <c r="AN4" i="11"/>
  <c r="AN5" i="11"/>
  <c r="AN6" i="11"/>
  <c r="AN7" i="11"/>
  <c r="AN8" i="11"/>
  <c r="AN9" i="11"/>
  <c r="AN10" i="11"/>
  <c r="AN11" i="11"/>
  <c r="AN12" i="11"/>
  <c r="AN13" i="11"/>
  <c r="AN14" i="11"/>
  <c r="AN15" i="11"/>
  <c r="AN16" i="11"/>
  <c r="AN17" i="11"/>
  <c r="AN18" i="11"/>
  <c r="AN19" i="11"/>
  <c r="AN20" i="11"/>
  <c r="AN21" i="11"/>
  <c r="AN22" i="11"/>
  <c r="AN23" i="11"/>
  <c r="AN24" i="11"/>
  <c r="AN25" i="11"/>
  <c r="AN26" i="11"/>
  <c r="AN27" i="11"/>
  <c r="AN28" i="11"/>
  <c r="AN29" i="11"/>
  <c r="AN2" i="11"/>
  <c r="AM3" i="11"/>
  <c r="AM4" i="11"/>
  <c r="AM5" i="11"/>
  <c r="AM6" i="11"/>
  <c r="AM7" i="11"/>
  <c r="AM8" i="11"/>
  <c r="AM9" i="11"/>
  <c r="AM10" i="11"/>
  <c r="AM11" i="11"/>
  <c r="AM12" i="11"/>
  <c r="AM13" i="11"/>
  <c r="AM14" i="11"/>
  <c r="AM15" i="11"/>
  <c r="AM16" i="11"/>
  <c r="AM17" i="11"/>
  <c r="AM18" i="11"/>
  <c r="AM19" i="11"/>
  <c r="AM20" i="11"/>
  <c r="AM21" i="11"/>
  <c r="AM22" i="11"/>
  <c r="AM23" i="11"/>
  <c r="AM24" i="11"/>
  <c r="AM25" i="11"/>
  <c r="AM26" i="11"/>
  <c r="AM27" i="11"/>
  <c r="AM28" i="11"/>
  <c r="AM29" i="11"/>
  <c r="AM2" i="11"/>
  <c r="AL3" i="11"/>
  <c r="AL4" i="11"/>
  <c r="AL5" i="11"/>
  <c r="AL6" i="11"/>
  <c r="AL7" i="11"/>
  <c r="AL8" i="11"/>
  <c r="AL9" i="11"/>
  <c r="AL10" i="11"/>
  <c r="AL11" i="11"/>
  <c r="AL12" i="11"/>
  <c r="AL13" i="11"/>
  <c r="AL14" i="11"/>
  <c r="AL15" i="11"/>
  <c r="AL16" i="11"/>
  <c r="AL17" i="11"/>
  <c r="AL18" i="11"/>
  <c r="AL19" i="11"/>
  <c r="AL20" i="11"/>
  <c r="AL21" i="11"/>
  <c r="AL22" i="11"/>
  <c r="AL23" i="11"/>
  <c r="AL24" i="11"/>
  <c r="AL25" i="11"/>
  <c r="AL26" i="11"/>
  <c r="AL27" i="11"/>
  <c r="AL28" i="11"/>
  <c r="AL29" i="11"/>
  <c r="AL2" i="11"/>
  <c r="AK3" i="11"/>
  <c r="AK4" i="11"/>
  <c r="AK5" i="11"/>
  <c r="AK6" i="11"/>
  <c r="AK7" i="11"/>
  <c r="AK8" i="11"/>
  <c r="AK9" i="11"/>
  <c r="AK10" i="11"/>
  <c r="AK11" i="11"/>
  <c r="AK12" i="11"/>
  <c r="AK13" i="11"/>
  <c r="AK14" i="11"/>
  <c r="AK15" i="11"/>
  <c r="AK16" i="11"/>
  <c r="AK17" i="11"/>
  <c r="AK18" i="11"/>
  <c r="AK19" i="11"/>
  <c r="AK20" i="11"/>
  <c r="AK21" i="11"/>
  <c r="AK22" i="11"/>
  <c r="AK23" i="11"/>
  <c r="AK24" i="11"/>
  <c r="AK25" i="11"/>
  <c r="AK26" i="11"/>
  <c r="AK27" i="11"/>
  <c r="AK28" i="11"/>
  <c r="AK29" i="11"/>
  <c r="AK2" i="11"/>
  <c r="AI2" i="11"/>
  <c r="AJ3" i="11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2" i="11"/>
  <c r="AJ23" i="11"/>
  <c r="AJ24" i="11"/>
  <c r="AJ25" i="11"/>
  <c r="AJ26" i="11"/>
  <c r="AJ27" i="11"/>
  <c r="AJ28" i="11"/>
  <c r="AJ29" i="11"/>
  <c r="AJ2" i="11"/>
  <c r="AI3" i="11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H3" i="11"/>
  <c r="AH4" i="11"/>
  <c r="AH5" i="11"/>
  <c r="AH6" i="11"/>
  <c r="AH7" i="11"/>
  <c r="AH8" i="11"/>
  <c r="AH9" i="11"/>
  <c r="AH10" i="11"/>
  <c r="AH11" i="11"/>
  <c r="AH12" i="11"/>
  <c r="AH13" i="11"/>
  <c r="AH14" i="11"/>
  <c r="AH15" i="11"/>
  <c r="AH16" i="11"/>
  <c r="AH17" i="11"/>
  <c r="AH18" i="11"/>
  <c r="AH19" i="11"/>
  <c r="AH20" i="11"/>
  <c r="AH21" i="11"/>
  <c r="AH22" i="11"/>
  <c r="AH23" i="11"/>
  <c r="AH24" i="11"/>
  <c r="AH25" i="11"/>
  <c r="AH26" i="11"/>
  <c r="AH27" i="11"/>
  <c r="AH28" i="11"/>
  <c r="AH29" i="11"/>
  <c r="AH2" i="11"/>
  <c r="AG3" i="11"/>
  <c r="AG4" i="11"/>
  <c r="AG5" i="11"/>
  <c r="AG6" i="11"/>
  <c r="AG7" i="11"/>
  <c r="AG8" i="11"/>
  <c r="AG9" i="11"/>
  <c r="AG10" i="11"/>
  <c r="AG11" i="11"/>
  <c r="AG12" i="11"/>
  <c r="AG13" i="11"/>
  <c r="AG14" i="11"/>
  <c r="AG15" i="11"/>
  <c r="AG16" i="11"/>
  <c r="AG17" i="11"/>
  <c r="AG18" i="11"/>
  <c r="AG19" i="11"/>
  <c r="AG20" i="11"/>
  <c r="AG21" i="11"/>
  <c r="AG22" i="11"/>
  <c r="AG23" i="11"/>
  <c r="AG24" i="11"/>
  <c r="AG25" i="11"/>
  <c r="AG26" i="11"/>
  <c r="AG27" i="11"/>
  <c r="AG28" i="11"/>
  <c r="AG29" i="11"/>
  <c r="AG2" i="11"/>
  <c r="AF3" i="11"/>
  <c r="AF4" i="11"/>
  <c r="AF5" i="11"/>
  <c r="AF6" i="11"/>
  <c r="AF7" i="11"/>
  <c r="AF8" i="11"/>
  <c r="AF9" i="11"/>
  <c r="AF10" i="11"/>
  <c r="AF11" i="11"/>
  <c r="AF12" i="11"/>
  <c r="AF13" i="11"/>
  <c r="AF14" i="11"/>
  <c r="AF15" i="11"/>
  <c r="AF16" i="11"/>
  <c r="AF17" i="11"/>
  <c r="AF18" i="11"/>
  <c r="AF19" i="11"/>
  <c r="AF20" i="11"/>
  <c r="AF21" i="11"/>
  <c r="AF22" i="11"/>
  <c r="AF23" i="11"/>
  <c r="AF24" i="11"/>
  <c r="AF25" i="11"/>
  <c r="AF26" i="11"/>
  <c r="AF27" i="11"/>
  <c r="AF28" i="11"/>
  <c r="AF29" i="11"/>
  <c r="AF2" i="11"/>
  <c r="AE3" i="11"/>
  <c r="AE4" i="11"/>
  <c r="AE5" i="11"/>
  <c r="AE6" i="11"/>
  <c r="AE7" i="11"/>
  <c r="AE8" i="11"/>
  <c r="AE9" i="11"/>
  <c r="AE10" i="11"/>
  <c r="AE11" i="11"/>
  <c r="AE12" i="11"/>
  <c r="AE13" i="11"/>
  <c r="AE14" i="11"/>
  <c r="AE15" i="11"/>
  <c r="AE16" i="11"/>
  <c r="AE17" i="11"/>
  <c r="AE18" i="11"/>
  <c r="AE19" i="11"/>
  <c r="AE20" i="11"/>
  <c r="AE21" i="11"/>
  <c r="AE22" i="11"/>
  <c r="AE23" i="11"/>
  <c r="AE24" i="11"/>
  <c r="AE25" i="11"/>
  <c r="AE26" i="11"/>
  <c r="AE27" i="11"/>
  <c r="AE28" i="11"/>
  <c r="AE29" i="11"/>
  <c r="AE2" i="11"/>
  <c r="AD3" i="11"/>
  <c r="AD4" i="11"/>
  <c r="AD5" i="11"/>
  <c r="AD6" i="11"/>
  <c r="AD7" i="11"/>
  <c r="AD8" i="11"/>
  <c r="AD9" i="11"/>
  <c r="AD10" i="11"/>
  <c r="AD11" i="11"/>
  <c r="AD12" i="11"/>
  <c r="AD13" i="11"/>
  <c r="AD14" i="11"/>
  <c r="AD15" i="11"/>
  <c r="AD16" i="11"/>
  <c r="AD17" i="11"/>
  <c r="AD18" i="11"/>
  <c r="AD19" i="11"/>
  <c r="AD20" i="11"/>
  <c r="AD21" i="11"/>
  <c r="AD22" i="11"/>
  <c r="AD23" i="11"/>
  <c r="AD24" i="11"/>
  <c r="AD25" i="11"/>
  <c r="AD26" i="11"/>
  <c r="AD27" i="11"/>
  <c r="AD28" i="11"/>
  <c r="AD29" i="11"/>
  <c r="AD2" i="11"/>
  <c r="AC3" i="11"/>
  <c r="AC4" i="11"/>
  <c r="AC5" i="11"/>
  <c r="AC6" i="11"/>
  <c r="AC7" i="11"/>
  <c r="AC8" i="11"/>
  <c r="AC9" i="11"/>
  <c r="AC10" i="11"/>
  <c r="AC11" i="11"/>
  <c r="AC12" i="11"/>
  <c r="AC13" i="11"/>
  <c r="AC14" i="11"/>
  <c r="AC15" i="11"/>
  <c r="AC16" i="11"/>
  <c r="AC17" i="11"/>
  <c r="AC18" i="11"/>
  <c r="AC19" i="11"/>
  <c r="AC20" i="11"/>
  <c r="AC21" i="11"/>
  <c r="AC22" i="11"/>
  <c r="AC23" i="11"/>
  <c r="AC24" i="11"/>
  <c r="AC25" i="11"/>
  <c r="AC26" i="11"/>
  <c r="AC27" i="11"/>
  <c r="AC28" i="11"/>
  <c r="AC29" i="11"/>
  <c r="AC2" i="11"/>
  <c r="AB3" i="11"/>
  <c r="AB4" i="11"/>
  <c r="AB5" i="11"/>
  <c r="AB6" i="11"/>
  <c r="AB7" i="11"/>
  <c r="AB8" i="11"/>
  <c r="AB9" i="11"/>
  <c r="AB10" i="11"/>
  <c r="AB11" i="11"/>
  <c r="AB12" i="11"/>
  <c r="AB13" i="11"/>
  <c r="AB14" i="11"/>
  <c r="AB15" i="11"/>
  <c r="AB16" i="11"/>
  <c r="AB17" i="11"/>
  <c r="AB18" i="11"/>
  <c r="AB19" i="11"/>
  <c r="AB20" i="11"/>
  <c r="AB21" i="11"/>
  <c r="AB22" i="11"/>
  <c r="AB23" i="11"/>
  <c r="AB24" i="11"/>
  <c r="AB25" i="11"/>
  <c r="AB26" i="11"/>
  <c r="AB27" i="11"/>
  <c r="AB28" i="11"/>
  <c r="AB29" i="11"/>
  <c r="AB2" i="11"/>
  <c r="AA3" i="11"/>
  <c r="AA4" i="11"/>
  <c r="AA5" i="11"/>
  <c r="AA6" i="11"/>
  <c r="AA7" i="11"/>
  <c r="AA8" i="11"/>
  <c r="AA9" i="11"/>
  <c r="AA10" i="11"/>
  <c r="AA11" i="11"/>
  <c r="AA12" i="11"/>
  <c r="AA13" i="11"/>
  <c r="AA14" i="11"/>
  <c r="AA15" i="11"/>
  <c r="AA16" i="11"/>
  <c r="AA17" i="11"/>
  <c r="AA18" i="11"/>
  <c r="AA19" i="11"/>
  <c r="AA20" i="11"/>
  <c r="AA21" i="11"/>
  <c r="AA22" i="11"/>
  <c r="AA23" i="11"/>
  <c r="AA24" i="11"/>
  <c r="AA25" i="11"/>
  <c r="AA26" i="11"/>
  <c r="AA27" i="11"/>
  <c r="AA28" i="11"/>
  <c r="AA29" i="11"/>
  <c r="AA2" i="11"/>
  <c r="Z3" i="11"/>
  <c r="Z4" i="11"/>
  <c r="Z5" i="11"/>
  <c r="Z6" i="11"/>
  <c r="Z7" i="11"/>
  <c r="Z8" i="11"/>
  <c r="Z9" i="11"/>
  <c r="Z10" i="11"/>
  <c r="Z11" i="11"/>
  <c r="Z12" i="11"/>
  <c r="Z13" i="11"/>
  <c r="Z14" i="11"/>
  <c r="Z15" i="11"/>
  <c r="Z16" i="11"/>
  <c r="Z17" i="11"/>
  <c r="Z18" i="11"/>
  <c r="Z19" i="11"/>
  <c r="Z20" i="11"/>
  <c r="Z21" i="11"/>
  <c r="Z22" i="11"/>
  <c r="Z23" i="11"/>
  <c r="Z24" i="11"/>
  <c r="Z25" i="11"/>
  <c r="Z26" i="11"/>
  <c r="Z27" i="11"/>
  <c r="Z28" i="11"/>
  <c r="Z29" i="11"/>
  <c r="Z2" i="11"/>
  <c r="Y3" i="11"/>
  <c r="Y4" i="11"/>
  <c r="Y5" i="11"/>
  <c r="Y6" i="11"/>
  <c r="Y7" i="11"/>
  <c r="Y8" i="11"/>
  <c r="Y9" i="11"/>
  <c r="Y10" i="11"/>
  <c r="Y11" i="11"/>
  <c r="Y12" i="11"/>
  <c r="Y13" i="11"/>
  <c r="Y14" i="11"/>
  <c r="Y15" i="11"/>
  <c r="Y16" i="11"/>
  <c r="Y17" i="11"/>
  <c r="Y18" i="11"/>
  <c r="Y19" i="11"/>
  <c r="Y20" i="11"/>
  <c r="Y21" i="11"/>
  <c r="Y22" i="11"/>
  <c r="Y23" i="11"/>
  <c r="Y24" i="11"/>
  <c r="Y25" i="11"/>
  <c r="Y26" i="11"/>
  <c r="Y27" i="11"/>
  <c r="Y28" i="11"/>
  <c r="Y29" i="11"/>
  <c r="Y2" i="11"/>
  <c r="X3" i="11"/>
  <c r="X4" i="11"/>
  <c r="X2" i="11"/>
  <c r="V3" i="11"/>
  <c r="V4" i="11"/>
  <c r="V5" i="11"/>
  <c r="V6" i="11"/>
  <c r="V7" i="11"/>
  <c r="V8" i="11"/>
  <c r="V9" i="11"/>
  <c r="V10" i="11"/>
  <c r="V11" i="11"/>
  <c r="V12" i="11"/>
  <c r="V13" i="11"/>
  <c r="V14" i="11"/>
  <c r="V15" i="11"/>
  <c r="V16" i="11"/>
  <c r="V17" i="11"/>
  <c r="V18" i="11"/>
  <c r="V19" i="11"/>
  <c r="V20" i="11"/>
  <c r="V21" i="11"/>
  <c r="V22" i="11"/>
  <c r="V23" i="11"/>
  <c r="V24" i="11"/>
  <c r="V25" i="11"/>
  <c r="V26" i="11"/>
  <c r="V27" i="11"/>
  <c r="V28" i="11"/>
  <c r="V29" i="11"/>
  <c r="V2" i="11"/>
  <c r="U3" i="11"/>
  <c r="U4" i="11"/>
  <c r="U5" i="11"/>
  <c r="U6" i="11"/>
  <c r="U7" i="11"/>
  <c r="U8" i="11"/>
  <c r="U9" i="11"/>
  <c r="U10" i="11"/>
  <c r="U11" i="11"/>
  <c r="U12" i="11"/>
  <c r="U13" i="11"/>
  <c r="U14" i="11"/>
  <c r="U15" i="11"/>
  <c r="U16" i="11"/>
  <c r="U17" i="11"/>
  <c r="U18" i="11"/>
  <c r="U19" i="11"/>
  <c r="U20" i="11"/>
  <c r="U21" i="11"/>
  <c r="U22" i="11"/>
  <c r="U23" i="11"/>
  <c r="U24" i="11"/>
  <c r="U25" i="11"/>
  <c r="U26" i="11"/>
  <c r="U27" i="11"/>
  <c r="U28" i="11"/>
  <c r="U29" i="11"/>
  <c r="U2" i="11"/>
  <c r="T3" i="11"/>
  <c r="T4" i="11"/>
  <c r="T5" i="11"/>
  <c r="T6" i="11"/>
  <c r="T7" i="11"/>
  <c r="T8" i="11"/>
  <c r="T9" i="11"/>
  <c r="T10" i="11"/>
  <c r="T11" i="11"/>
  <c r="T12" i="11"/>
  <c r="T13" i="11"/>
  <c r="T14" i="11"/>
  <c r="T15" i="11"/>
  <c r="T16" i="11"/>
  <c r="T17" i="11"/>
  <c r="T18" i="11"/>
  <c r="T19" i="11"/>
  <c r="T20" i="11"/>
  <c r="T21" i="11"/>
  <c r="T22" i="11"/>
  <c r="T23" i="11"/>
  <c r="T24" i="11"/>
  <c r="T25" i="11"/>
  <c r="T26" i="11"/>
  <c r="T27" i="11"/>
  <c r="T28" i="11"/>
  <c r="T29" i="11"/>
  <c r="T2" i="11"/>
  <c r="S3" i="11"/>
  <c r="S4" i="11"/>
  <c r="S5" i="11"/>
  <c r="S6" i="11"/>
  <c r="S7" i="11"/>
  <c r="S8" i="11"/>
  <c r="S9" i="11"/>
  <c r="S10" i="11"/>
  <c r="S11" i="11"/>
  <c r="S12" i="11"/>
  <c r="S13" i="11"/>
  <c r="S14" i="11"/>
  <c r="S15" i="11"/>
  <c r="S16" i="11"/>
  <c r="S17" i="11"/>
  <c r="S18" i="11"/>
  <c r="S19" i="11"/>
  <c r="S20" i="11"/>
  <c r="S21" i="11"/>
  <c r="S22" i="11"/>
  <c r="S23" i="11"/>
  <c r="S24" i="11"/>
  <c r="S25" i="11"/>
  <c r="S26" i="11"/>
  <c r="S27" i="11"/>
  <c r="S28" i="11"/>
  <c r="S29" i="11"/>
  <c r="S2" i="11"/>
  <c r="R3" i="11"/>
  <c r="R4" i="11"/>
  <c r="R5" i="11"/>
  <c r="R6" i="11"/>
  <c r="R7" i="11"/>
  <c r="R8" i="11"/>
  <c r="R9" i="11"/>
  <c r="R10" i="11"/>
  <c r="R11" i="11"/>
  <c r="R12" i="11"/>
  <c r="R13" i="11"/>
  <c r="R14" i="11"/>
  <c r="R15" i="11"/>
  <c r="R16" i="11"/>
  <c r="R17" i="11"/>
  <c r="R18" i="11"/>
  <c r="R19" i="11"/>
  <c r="R20" i="11"/>
  <c r="R21" i="11"/>
  <c r="R22" i="11"/>
  <c r="R23" i="11"/>
  <c r="R24" i="11"/>
  <c r="R25" i="11"/>
  <c r="R26" i="11"/>
  <c r="R27" i="11"/>
  <c r="R28" i="11"/>
  <c r="R29" i="11"/>
  <c r="R2" i="11"/>
  <c r="Q3" i="11"/>
  <c r="Q4" i="11"/>
  <c r="Q5" i="11"/>
  <c r="Q6" i="11"/>
  <c r="Q7" i="11"/>
  <c r="Q8" i="11"/>
  <c r="Q9" i="11"/>
  <c r="Q10" i="11"/>
  <c r="Q11" i="11"/>
  <c r="Q12" i="11"/>
  <c r="Q13" i="11"/>
  <c r="Q14" i="11"/>
  <c r="Q15" i="11"/>
  <c r="Q16" i="11"/>
  <c r="Q17" i="11"/>
  <c r="Q18" i="11"/>
  <c r="Q19" i="11"/>
  <c r="Q20" i="11"/>
  <c r="Q21" i="11"/>
  <c r="Q22" i="11"/>
  <c r="Q23" i="11"/>
  <c r="Q24" i="11"/>
  <c r="Q25" i="11"/>
  <c r="Q26" i="11"/>
  <c r="Q27" i="11"/>
  <c r="Q28" i="11"/>
  <c r="Q29" i="11"/>
  <c r="Q2" i="11"/>
  <c r="P3" i="11"/>
  <c r="P4" i="11"/>
  <c r="P5" i="11"/>
  <c r="P6" i="11"/>
  <c r="P7" i="11"/>
  <c r="P8" i="11"/>
  <c r="P9" i="11"/>
  <c r="P10" i="11"/>
  <c r="P11" i="11"/>
  <c r="P12" i="11"/>
  <c r="P13" i="11"/>
  <c r="P14" i="11"/>
  <c r="P15" i="11"/>
  <c r="P16" i="11"/>
  <c r="P17" i="11"/>
  <c r="P18" i="11"/>
  <c r="P19" i="11"/>
  <c r="P20" i="11"/>
  <c r="P21" i="11"/>
  <c r="P22" i="11"/>
  <c r="P23" i="11"/>
  <c r="P24" i="11"/>
  <c r="P25" i="11"/>
  <c r="P26" i="11"/>
  <c r="P27" i="11"/>
  <c r="P28" i="11"/>
  <c r="P29" i="11"/>
  <c r="P2" i="11"/>
  <c r="N3" i="1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2" i="11"/>
  <c r="L2" i="11"/>
  <c r="J3" i="11"/>
  <c r="J4" i="11"/>
  <c r="J5" i="11"/>
  <c r="J6" i="11"/>
  <c r="J7" i="11"/>
  <c r="J8" i="11"/>
  <c r="J9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22" i="11"/>
  <c r="J23" i="11"/>
  <c r="J24" i="11"/>
  <c r="J25" i="11"/>
  <c r="J26" i="11"/>
  <c r="J2" i="11"/>
  <c r="I3" i="11"/>
  <c r="I4" i="11"/>
  <c r="I5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" i="11"/>
  <c r="H3" i="11"/>
  <c r="H4" i="1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G3" i="11"/>
  <c r="G4" i="11"/>
  <c r="G5" i="11"/>
  <c r="G6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F3" i="11"/>
  <c r="F4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Q30" i="11" l="1"/>
  <c r="AO30" i="11"/>
  <c r="BE30" i="11"/>
  <c r="BO30" i="11"/>
  <c r="BL30" i="11"/>
  <c r="AE30" i="11"/>
  <c r="AM30" i="11"/>
  <c r="AU30" i="11"/>
  <c r="BK30" i="11"/>
  <c r="AG30" i="11"/>
  <c r="AF30" i="11"/>
  <c r="N30" i="11"/>
  <c r="V30" i="11"/>
  <c r="AD30" i="11"/>
  <c r="AL30" i="11"/>
  <c r="AT30" i="11"/>
  <c r="BJ30" i="11"/>
  <c r="U30" i="11"/>
  <c r="AC30" i="11"/>
  <c r="AJ30" i="11"/>
  <c r="AK30" i="11"/>
  <c r="AS30" i="11"/>
  <c r="BI30" i="11"/>
  <c r="P30" i="11"/>
  <c r="T30" i="11"/>
  <c r="AB30" i="11"/>
  <c r="AR30" i="11"/>
  <c r="AZ30" i="11"/>
  <c r="BH30" i="11"/>
  <c r="S30" i="11"/>
  <c r="AQ30" i="11"/>
  <c r="AY30" i="11"/>
  <c r="BG30" i="11"/>
  <c r="AN30" i="11"/>
  <c r="AV30" i="11"/>
  <c r="BP30" i="11"/>
  <c r="R30" i="11"/>
  <c r="Z30" i="11"/>
  <c r="AH30" i="11"/>
  <c r="AP30" i="11"/>
  <c r="BF30" i="11"/>
  <c r="AI30" i="11"/>
  <c r="AA30" i="11"/>
  <c r="Y30" i="11"/>
  <c r="N31" i="11" l="1"/>
  <c r="B3" i="11"/>
  <c r="B4" i="11" s="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</calcChain>
</file>

<file path=xl/sharedStrings.xml><?xml version="1.0" encoding="utf-8"?>
<sst xmlns="http://schemas.openxmlformats.org/spreadsheetml/2006/main" count="251" uniqueCount="83">
  <si>
    <t>Site Name</t>
  </si>
  <si>
    <t>Month</t>
  </si>
  <si>
    <t>Year</t>
  </si>
  <si>
    <t>Total (per Unit) bottles cans</t>
  </si>
  <si>
    <t>Total cost bottles cans</t>
  </si>
  <si>
    <t>Total (per Unit) cardboard</t>
  </si>
  <si>
    <t>Total cost cardboard</t>
  </si>
  <si>
    <t>Total (per Unit) paper</t>
  </si>
  <si>
    <t>Total cost paper</t>
  </si>
  <si>
    <t>Total (per Unit) mixed metal</t>
  </si>
  <si>
    <t>Total cost mixed metal</t>
  </si>
  <si>
    <t>Total (per Unit) aluminum</t>
  </si>
  <si>
    <t>Total cost aluminum</t>
  </si>
  <si>
    <t>Total (per Unit) other plastics</t>
  </si>
  <si>
    <t>Total cost other plastics</t>
  </si>
  <si>
    <t>Total (per Unit) soap bars</t>
  </si>
  <si>
    <t>Total cost soap bars</t>
  </si>
  <si>
    <t>Total (per Unit) e waste</t>
  </si>
  <si>
    <t>Total cost e waste</t>
  </si>
  <si>
    <t>Total (per Unit) durable goods</t>
  </si>
  <si>
    <t>Total cost durable goods</t>
  </si>
  <si>
    <t>Total (per Unit) solid food waste</t>
  </si>
  <si>
    <t>Total cost solid food waste</t>
  </si>
  <si>
    <t>Total (per Unit) leftover food</t>
  </si>
  <si>
    <t>Total cost leftover food</t>
  </si>
  <si>
    <t>Total (per Unit) inedible parts</t>
  </si>
  <si>
    <t>Total cost inedible parts</t>
  </si>
  <si>
    <t>Total (per Unit) liquid food waste</t>
  </si>
  <si>
    <t>Total cost liquid food waste</t>
  </si>
  <si>
    <t>Total (per Unit) kitchen grease</t>
  </si>
  <si>
    <t>Total cost kitchen grease</t>
  </si>
  <si>
    <t>Total (per Unit) liquid hazardous waste</t>
  </si>
  <si>
    <t>Total cost liquid hazardous waste</t>
  </si>
  <si>
    <t>Total (per Unit) other hazardous waste</t>
  </si>
  <si>
    <t>Total cost other hazardous waste</t>
  </si>
  <si>
    <t>Total (per Unit) batteries</t>
  </si>
  <si>
    <t>Total cost batteries</t>
  </si>
  <si>
    <t>Total (per Unit) light bulbs</t>
  </si>
  <si>
    <t>Total cost light bulbs</t>
  </si>
  <si>
    <t>Total (per Unit) textiles</t>
  </si>
  <si>
    <t>Total cost textiles</t>
  </si>
  <si>
    <t>Total (per Unit) paint</t>
  </si>
  <si>
    <t>Total cost paint</t>
  </si>
  <si>
    <t>Total (per Unit) recyclable</t>
  </si>
  <si>
    <t>Total cost recyclable</t>
  </si>
  <si>
    <t>Total (per Unit) commingled recyclables</t>
  </si>
  <si>
    <t>Total cost commingled recyclables</t>
  </si>
  <si>
    <t>Total (per Unit) paper cardboard</t>
  </si>
  <si>
    <t>Total cost paper cardboard</t>
  </si>
  <si>
    <t>Total (per Unit) mixed metals</t>
  </si>
  <si>
    <t>Total cost mixed metals</t>
  </si>
  <si>
    <t>Total (per Unit) plastics</t>
  </si>
  <si>
    <t>Total cost plastics</t>
  </si>
  <si>
    <t>Total (per Unit) biodegradable</t>
  </si>
  <si>
    <t>Total cost biodegradable</t>
  </si>
  <si>
    <t>Total (per Unit) food waste</t>
  </si>
  <si>
    <t>Total cost food waste</t>
  </si>
  <si>
    <t>Total (per Unit) hazardous waste</t>
  </si>
  <si>
    <t>Total cost hazardous waste</t>
  </si>
  <si>
    <t>Total (per Unit) universal waste</t>
  </si>
  <si>
    <t>Total cost universal waste</t>
  </si>
  <si>
    <t>Total (per Unit) hazardous and universal waste</t>
  </si>
  <si>
    <t>Total cost hazardous and universal waste</t>
  </si>
  <si>
    <t>Total (per Unit) medical waste</t>
  </si>
  <si>
    <t>Total cost medical waste</t>
  </si>
  <si>
    <t>Total (per Unit) tin</t>
  </si>
  <si>
    <t>Total cost tin</t>
  </si>
  <si>
    <t>Bali at Sayan</t>
  </si>
  <si>
    <t>Day</t>
  </si>
  <si>
    <t>Total (per Unit) mixed glass</t>
  </si>
  <si>
    <t>Total cost mixed glass</t>
  </si>
  <si>
    <t>Four Seasons Resort Bali at Sayan</t>
  </si>
  <si>
    <t>Sep 2019</t>
  </si>
  <si>
    <t>Date</t>
  </si>
  <si>
    <t>Room Nights</t>
  </si>
  <si>
    <t>Food Covers</t>
  </si>
  <si>
    <t>Paper Waste</t>
  </si>
  <si>
    <t>Glass Waste</t>
  </si>
  <si>
    <t>Metal Waste</t>
  </si>
  <si>
    <t>Plastic Waste</t>
  </si>
  <si>
    <t>Organic Waste</t>
  </si>
  <si>
    <t>Hazardous Waste</t>
  </si>
  <si>
    <t>Recycleable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</si>
</sst>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_(* #,##0.0_);_(* \(#,##0.0\);_(* &quot;-&quot;?_);_(@_)"/>
    <numFmt numFmtId="167" formatCode="#,##0.0_);[Red]\(#,##0.0\)"/>
    <numFmt numFmtId="168" formatCode="_(* #,##0_);_(* \(#,##0\);_(* &quot;-&quot;??_);_(@_)"/>
    <numFmt numFmtId="169" formatCode="0.0"/>
  </numFmts>
  <fonts count="1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u/>
      <sz val="8.8000000000000007"/>
      <color theme="1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sz val="11"/>
      <color indexed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0">
    <xf numFmtId="0" fontId="0" fillId="0" borderId="0"/>
    <xf numFmtId="164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41" fontId="10" fillId="0" borderId="0" applyFont="0" applyFill="0" applyBorder="0" applyAlignment="0" applyProtection="0"/>
    <xf numFmtId="0" fontId="10" fillId="0" borderId="0"/>
    <xf numFmtId="43" fontId="2" fillId="0" borderId="0" applyFont="0" applyFill="0" applyBorder="0" applyAlignment="0" applyProtection="0"/>
    <xf numFmtId="0" fontId="13" fillId="0" borderId="0"/>
    <xf numFmtId="43" fontId="2" fillId="0" borderId="0" applyFont="0" applyFill="0" applyBorder="0" applyAlignment="0" applyProtection="0"/>
  </cellStyleXfs>
  <cellXfs count="95">
    <xf numFmtId="0" fontId="0" fillId="0" borderId="0" xfId="0"/>
    <xf numFmtId="165" fontId="0" fillId="0" borderId="0" xfId="1" applyNumberFormat="1" applyFont="1"/>
    <xf numFmtId="0" fontId="0" fillId="3" borderId="0" xfId="0" applyFill="1"/>
    <xf numFmtId="0" fontId="5" fillId="0" borderId="0" xfId="0" applyFont="1"/>
    <xf numFmtId="165" fontId="0" fillId="3" borderId="0" xfId="0" applyNumberFormat="1" applyFill="1"/>
    <xf numFmtId="0" fontId="4" fillId="3" borderId="0" xfId="0" applyFont="1" applyFill="1"/>
    <xf numFmtId="0" fontId="0" fillId="3" borderId="0" xfId="0" applyFill="1" applyAlignment="1">
      <alignment horizontal="center" vertical="center" wrapText="1"/>
    </xf>
    <xf numFmtId="0" fontId="6" fillId="3" borderId="0" xfId="0" applyFont="1" applyFill="1"/>
    <xf numFmtId="165" fontId="0" fillId="3" borderId="0" xfId="1" applyNumberFormat="1" applyFont="1" applyFill="1" applyBorder="1" applyAlignment="1">
      <alignment horizontal="right"/>
    </xf>
    <xf numFmtId="165" fontId="4" fillId="3" borderId="0" xfId="1" applyNumberFormat="1" applyFont="1" applyFill="1" applyBorder="1" applyAlignment="1"/>
    <xf numFmtId="0" fontId="8" fillId="7" borderId="10" xfId="0" applyFont="1" applyFill="1" applyBorder="1" applyAlignment="1">
      <alignment horizontal="center" vertical="center" shrinkToFit="1"/>
    </xf>
    <xf numFmtId="0" fontId="1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4" fillId="3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0" fillId="0" borderId="2" xfId="0" applyBorder="1" applyAlignment="1">
      <alignment vertical="center"/>
    </xf>
    <xf numFmtId="0" fontId="0" fillId="0" borderId="5" xfId="0" applyBorder="1" applyAlignment="1">
      <alignment vertical="center"/>
    </xf>
    <xf numFmtId="0" fontId="15" fillId="0" borderId="2" xfId="0" applyFont="1" applyBorder="1" applyAlignment="1">
      <alignment horizontal="center"/>
    </xf>
    <xf numFmtId="0" fontId="12" fillId="0" borderId="2" xfId="0" applyFont="1" applyBorder="1"/>
    <xf numFmtId="0" fontId="0" fillId="0" borderId="2" xfId="0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14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12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13" xfId="0" applyBorder="1" applyAlignment="1">
      <alignment vertical="center"/>
    </xf>
    <xf numFmtId="0" fontId="1" fillId="0" borderId="12" xfId="0" applyFont="1" applyBorder="1" applyAlignment="1">
      <alignment horizontal="center" vertical="center"/>
    </xf>
    <xf numFmtId="0" fontId="0" fillId="0" borderId="12" xfId="0" applyBorder="1" applyAlignment="1">
      <alignment vertical="center" wrapText="1"/>
    </xf>
    <xf numFmtId="0" fontId="0" fillId="0" borderId="12" xfId="0" applyBorder="1"/>
    <xf numFmtId="1" fontId="0" fillId="0" borderId="12" xfId="0" applyNumberFormat="1" applyBorder="1"/>
    <xf numFmtId="0" fontId="11" fillId="0" borderId="12" xfId="0" applyFont="1" applyBorder="1"/>
    <xf numFmtId="166" fontId="11" fillId="0" borderId="12" xfId="8" applyNumberFormat="1" applyFont="1" applyBorder="1" applyAlignment="1">
      <alignment horizontal="right"/>
    </xf>
    <xf numFmtId="0" fontId="11" fillId="0" borderId="12" xfId="0" applyFont="1" applyBorder="1" applyAlignment="1">
      <alignment horizontal="right"/>
    </xf>
    <xf numFmtId="167" fontId="11" fillId="0" borderId="12" xfId="8" applyNumberFormat="1" applyFont="1" applyBorder="1" applyAlignment="1">
      <alignment horizontal="right"/>
    </xf>
    <xf numFmtId="0" fontId="8" fillId="7" borderId="3" xfId="0" applyFont="1" applyFill="1" applyBorder="1" applyAlignment="1">
      <alignment horizontal="center" vertical="center" shrinkToFit="1"/>
    </xf>
    <xf numFmtId="165" fontId="0" fillId="0" borderId="14" xfId="1" applyNumberFormat="1" applyFont="1" applyBorder="1" applyAlignment="1">
      <alignment horizontal="center" vertical="center" wrapText="1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horizontal="center" vertical="center" wrapText="1"/>
    </xf>
    <xf numFmtId="0" fontId="0" fillId="0" borderId="19" xfId="0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12" xfId="0" applyBorder="1" applyAlignment="1">
      <alignment horizontal="center"/>
    </xf>
    <xf numFmtId="168" fontId="0" fillId="0" borderId="13" xfId="0" applyNumberFormat="1" applyBorder="1" applyAlignment="1">
      <alignment vertical="center"/>
    </xf>
    <xf numFmtId="0" fontId="15" fillId="0" borderId="12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5" xfId="0" applyBorder="1" applyAlignment="1">
      <alignment vertical="center" wrapText="1"/>
    </xf>
    <xf numFmtId="0" fontId="0" fillId="0" borderId="21" xfId="0" applyBorder="1" applyAlignment="1">
      <alignment vertical="center" wrapText="1"/>
    </xf>
    <xf numFmtId="0" fontId="8" fillId="7" borderId="20" xfId="0" applyFont="1" applyFill="1" applyBorder="1" applyAlignment="1">
      <alignment horizontal="center" vertical="center" shrinkToFit="1"/>
    </xf>
    <xf numFmtId="0" fontId="0" fillId="0" borderId="22" xfId="0" applyBorder="1" applyAlignment="1">
      <alignment vertical="center"/>
    </xf>
    <xf numFmtId="0" fontId="0" fillId="0" borderId="23" xfId="0" applyBorder="1" applyAlignment="1">
      <alignment vertical="center"/>
    </xf>
    <xf numFmtId="0" fontId="0" fillId="0" borderId="24" xfId="0" applyBorder="1" applyAlignment="1">
      <alignment vertical="center"/>
    </xf>
    <xf numFmtId="0" fontId="0" fillId="0" borderId="21" xfId="0" applyBorder="1" applyAlignment="1">
      <alignment vertical="center"/>
    </xf>
    <xf numFmtId="0" fontId="8" fillId="7" borderId="15" xfId="0" applyFont="1" applyFill="1" applyBorder="1" applyAlignment="1">
      <alignment horizontal="center" vertical="center" shrinkToFit="1"/>
    </xf>
    <xf numFmtId="38" fontId="11" fillId="0" borderId="12" xfId="8" applyNumberFormat="1" applyFont="1" applyBorder="1" applyAlignment="1">
      <alignment horizontal="right"/>
    </xf>
    <xf numFmtId="0" fontId="0" fillId="0" borderId="25" xfId="0" applyBorder="1" applyAlignment="1">
      <alignment vertical="center"/>
    </xf>
    <xf numFmtId="0" fontId="0" fillId="0" borderId="26" xfId="0" applyBorder="1" applyAlignment="1">
      <alignment vertical="center"/>
    </xf>
    <xf numFmtId="165" fontId="0" fillId="3" borderId="22" xfId="0" applyNumberFormat="1" applyFill="1" applyBorder="1" applyAlignment="1">
      <alignment vertical="center"/>
    </xf>
    <xf numFmtId="0" fontId="14" fillId="0" borderId="12" xfId="0" applyFont="1" applyBorder="1" applyAlignment="1">
      <alignment horizontal="center"/>
    </xf>
    <xf numFmtId="1" fontId="0" fillId="0" borderId="12" xfId="0" applyNumberFormat="1" applyBorder="1" applyAlignment="1">
      <alignment vertical="center"/>
    </xf>
    <xf numFmtId="1" fontId="11" fillId="0" borderId="12" xfId="0" applyNumberFormat="1" applyFont="1" applyBorder="1"/>
    <xf numFmtId="1" fontId="11" fillId="0" borderId="12" xfId="0" applyNumberFormat="1" applyFont="1" applyBorder="1" applyAlignment="1">
      <alignment horizontal="right"/>
    </xf>
    <xf numFmtId="169" fontId="0" fillId="0" borderId="12" xfId="0" applyNumberFormat="1" applyBorder="1" applyAlignment="1">
      <alignment vertical="center" wrapText="1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4" borderId="2" xfId="0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0" fontId="0" fillId="10" borderId="2" xfId="0" applyFill="1" applyBorder="1" applyAlignment="1">
      <alignment horizontal="center" vertical="center" wrapText="1"/>
    </xf>
    <xf numFmtId="0" fontId="0" fillId="11" borderId="2" xfId="0" applyFill="1" applyBorder="1" applyAlignment="1">
      <alignment horizontal="center" vertical="center" wrapText="1"/>
    </xf>
    <xf numFmtId="0" fontId="0" fillId="9" borderId="0" xfId="0" applyFill="1" applyAlignment="1">
      <alignment horizontal="center" vertical="center" wrapText="1"/>
    </xf>
    <xf numFmtId="0" fontId="0" fillId="9" borderId="2" xfId="0" applyFill="1" applyBorder="1" applyAlignment="1">
      <alignment horizontal="center" vertical="center" wrapText="1"/>
    </xf>
    <xf numFmtId="0" fontId="0" fillId="5" borderId="11" xfId="0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left"/>
    </xf>
    <xf numFmtId="49" fontId="6" fillId="2" borderId="9" xfId="0" applyNumberFormat="1" applyFont="1" applyFill="1" applyBorder="1" applyAlignment="1">
      <alignment horizontal="left"/>
    </xf>
    <xf numFmtId="0" fontId="7" fillId="6" borderId="6" xfId="0" applyFont="1" applyFill="1" applyBorder="1" applyAlignment="1">
      <alignment horizontal="center" vertical="center" wrapText="1"/>
    </xf>
    <xf numFmtId="0" fontId="7" fillId="6" borderId="7" xfId="0" applyFont="1" applyFill="1" applyBorder="1" applyAlignment="1">
      <alignment horizontal="center" vertical="center" wrapText="1"/>
    </xf>
    <xf numFmtId="0" fontId="7" fillId="6" borderId="8" xfId="0" applyFont="1" applyFill="1" applyBorder="1" applyAlignment="1">
      <alignment horizontal="center" vertical="center" wrapText="1"/>
    </xf>
    <xf numFmtId="164" fontId="0" fillId="0" borderId="6" xfId="1" applyFont="1" applyBorder="1" applyAlignment="1">
      <alignment horizontal="center" vertical="center" wrapText="1"/>
    </xf>
    <xf numFmtId="164" fontId="0" fillId="0" borderId="7" xfId="1" applyFont="1" applyBorder="1" applyAlignment="1">
      <alignment horizontal="center" vertical="center" wrapText="1"/>
    </xf>
    <xf numFmtId="164" fontId="0" fillId="0" borderId="8" xfId="1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</cellXfs>
  <cellStyles count="10">
    <cellStyle name="Comma" xfId="1" builtinId="3"/>
    <cellStyle name="Comma [0] 2" xfId="5" xr:uid="{00000000-0005-0000-0000-000001000000}"/>
    <cellStyle name="Comma 10" xfId="2" xr:uid="{00000000-0005-0000-0000-000002000000}"/>
    <cellStyle name="Comma 2" xfId="3" xr:uid="{00000000-0005-0000-0000-000003000000}"/>
    <cellStyle name="Comma 3" xfId="7" xr:uid="{00000000-0005-0000-0000-000004000000}"/>
    <cellStyle name="Comma 4" xfId="9" xr:uid="{00000000-0005-0000-0000-000005000000}"/>
    <cellStyle name="Hyperlink 2" xfId="4" xr:uid="{00000000-0005-0000-0000-000006000000}"/>
    <cellStyle name="Normal" xfId="0" builtinId="0"/>
    <cellStyle name="Normal 2" xfId="6" xr:uid="{00000000-0005-0000-0000-000008000000}"/>
    <cellStyle name="Normal 2 3" xfId="8" xr:uid="{00000000-0005-0000-0000-000009000000}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13"/>
  <sheetViews>
    <sheetView tabSelected="1" workbookViewId="0">
      <selection activeCell="BH17" sqref="BH17"/>
    </sheetView>
  </sheetViews>
  <sheetFormatPr defaultRowHeight="15"/>
  <cols>
    <col min="1" max="1" width="12.7109375" bestFit="1" customWidth="1"/>
    <col min="2" max="3" width="8.42578125" customWidth="1"/>
    <col min="4" max="67" width="25.7109375" customWidth="1"/>
  </cols>
  <sheetData>
    <row r="1" spans="1:67" s="33" customFormat="1" ht="30">
      <c r="A1" s="37" t="s">
        <v>0</v>
      </c>
      <c r="B1" s="37" t="s">
        <v>1</v>
      </c>
      <c r="C1" s="37" t="s">
        <v>2</v>
      </c>
      <c r="D1" s="38" t="s">
        <v>3</v>
      </c>
      <c r="E1" s="38" t="s">
        <v>4</v>
      </c>
      <c r="F1" s="38" t="s">
        <v>5</v>
      </c>
      <c r="G1" s="38" t="s">
        <v>6</v>
      </c>
      <c r="H1" s="38" t="s">
        <v>7</v>
      </c>
      <c r="I1" s="38" t="s">
        <v>8</v>
      </c>
      <c r="J1" s="38" t="s">
        <v>9</v>
      </c>
      <c r="K1" s="38" t="s">
        <v>10</v>
      </c>
      <c r="L1" s="38" t="s">
        <v>11</v>
      </c>
      <c r="M1" s="38" t="s">
        <v>12</v>
      </c>
      <c r="N1" s="38" t="s">
        <v>13</v>
      </c>
      <c r="O1" s="38" t="s">
        <v>14</v>
      </c>
      <c r="P1" s="38" t="s">
        <v>15</v>
      </c>
      <c r="Q1" s="38" t="s">
        <v>16</v>
      </c>
      <c r="R1" s="38" t="s">
        <v>17</v>
      </c>
      <c r="S1" s="38" t="s">
        <v>18</v>
      </c>
      <c r="T1" s="38" t="s">
        <v>19</v>
      </c>
      <c r="U1" s="38" t="s">
        <v>20</v>
      </c>
      <c r="V1" s="38" t="s">
        <v>21</v>
      </c>
      <c r="W1" s="38" t="s">
        <v>22</v>
      </c>
      <c r="X1" s="38" t="s">
        <v>23</v>
      </c>
      <c r="Y1" s="38" t="s">
        <v>24</v>
      </c>
      <c r="Z1" s="38" t="s">
        <v>25</v>
      </c>
      <c r="AA1" s="38" t="s">
        <v>26</v>
      </c>
      <c r="AB1" s="38" t="s">
        <v>27</v>
      </c>
      <c r="AC1" s="38" t="s">
        <v>28</v>
      </c>
      <c r="AD1" s="38" t="s">
        <v>29</v>
      </c>
      <c r="AE1" s="38" t="s">
        <v>30</v>
      </c>
      <c r="AF1" s="38" t="s">
        <v>31</v>
      </c>
      <c r="AG1" s="38" t="s">
        <v>32</v>
      </c>
      <c r="AH1" s="38" t="s">
        <v>33</v>
      </c>
      <c r="AI1" s="38" t="s">
        <v>34</v>
      </c>
      <c r="AJ1" s="38" t="s">
        <v>35</v>
      </c>
      <c r="AK1" s="38" t="s">
        <v>36</v>
      </c>
      <c r="AL1" s="38" t="s">
        <v>37</v>
      </c>
      <c r="AM1" s="38" t="s">
        <v>38</v>
      </c>
      <c r="AN1" s="38" t="s">
        <v>39</v>
      </c>
      <c r="AO1" s="38" t="s">
        <v>40</v>
      </c>
      <c r="AP1" s="38" t="s">
        <v>41</v>
      </c>
      <c r="AQ1" s="38" t="s">
        <v>42</v>
      </c>
      <c r="AR1" s="38" t="s">
        <v>43</v>
      </c>
      <c r="AS1" s="38" t="s">
        <v>44</v>
      </c>
      <c r="AT1" s="38" t="s">
        <v>45</v>
      </c>
      <c r="AU1" s="38" t="s">
        <v>46</v>
      </c>
      <c r="AV1" s="38" t="s">
        <v>47</v>
      </c>
      <c r="AW1" s="38" t="s">
        <v>48</v>
      </c>
      <c r="AX1" s="38" t="s">
        <v>49</v>
      </c>
      <c r="AY1" s="38" t="s">
        <v>50</v>
      </c>
      <c r="AZ1" s="38" t="s">
        <v>51</v>
      </c>
      <c r="BA1" s="38" t="s">
        <v>52</v>
      </c>
      <c r="BB1" s="38" t="s">
        <v>53</v>
      </c>
      <c r="BC1" s="38" t="s">
        <v>54</v>
      </c>
      <c r="BD1" s="38" t="s">
        <v>55</v>
      </c>
      <c r="BE1" s="38" t="s">
        <v>56</v>
      </c>
      <c r="BF1" s="38" t="s">
        <v>57</v>
      </c>
      <c r="BG1" s="38" t="s">
        <v>58</v>
      </c>
      <c r="BH1" s="38" t="s">
        <v>59</v>
      </c>
      <c r="BI1" s="38" t="s">
        <v>60</v>
      </c>
      <c r="BJ1" s="38" t="s">
        <v>61</v>
      </c>
      <c r="BK1" s="38" t="s">
        <v>62</v>
      </c>
      <c r="BL1" s="38" t="s">
        <v>63</v>
      </c>
      <c r="BM1" s="38" t="s">
        <v>64</v>
      </c>
      <c r="BN1" s="38" t="s">
        <v>65</v>
      </c>
      <c r="BO1" s="38" t="s">
        <v>66</v>
      </c>
    </row>
    <row r="2" spans="1:67">
      <c r="A2" s="39" t="s">
        <v>67</v>
      </c>
      <c r="B2" s="40">
        <v>1</v>
      </c>
      <c r="C2" s="40">
        <v>2019</v>
      </c>
      <c r="D2" s="41">
        <v>261.5</v>
      </c>
      <c r="E2" s="41">
        <v>0</v>
      </c>
      <c r="F2" s="41">
        <v>0</v>
      </c>
      <c r="G2" s="41">
        <v>0</v>
      </c>
      <c r="H2" s="41">
        <v>0</v>
      </c>
      <c r="I2" s="41">
        <v>0</v>
      </c>
      <c r="J2" s="72">
        <v>646.5</v>
      </c>
      <c r="K2" s="41">
        <v>0</v>
      </c>
      <c r="L2" s="41">
        <v>0</v>
      </c>
      <c r="M2" s="41">
        <v>0</v>
      </c>
      <c r="N2" s="41">
        <v>822.50000000000011</v>
      </c>
      <c r="O2" s="41">
        <v>0</v>
      </c>
      <c r="P2" s="41">
        <v>0</v>
      </c>
      <c r="Q2" s="41">
        <v>0</v>
      </c>
      <c r="R2" s="41">
        <v>0</v>
      </c>
      <c r="S2" s="41">
        <v>0</v>
      </c>
      <c r="T2" s="41">
        <v>0</v>
      </c>
      <c r="U2" s="41">
        <v>0</v>
      </c>
      <c r="V2" s="41">
        <v>7855</v>
      </c>
      <c r="W2" s="41">
        <v>17800000</v>
      </c>
      <c r="X2" s="41">
        <v>0</v>
      </c>
      <c r="Y2" s="41">
        <v>0</v>
      </c>
      <c r="Z2" s="41">
        <v>0</v>
      </c>
      <c r="AA2" s="41">
        <v>0</v>
      </c>
      <c r="AB2" s="41">
        <v>0</v>
      </c>
      <c r="AC2" s="41">
        <v>0</v>
      </c>
      <c r="AD2" s="41">
        <v>0</v>
      </c>
      <c r="AE2" s="41">
        <v>0</v>
      </c>
      <c r="AF2" s="41">
        <v>0</v>
      </c>
      <c r="AG2" s="41">
        <v>0</v>
      </c>
      <c r="AH2" s="41">
        <v>0</v>
      </c>
      <c r="AI2" s="41">
        <v>0</v>
      </c>
      <c r="AJ2" s="41">
        <v>0</v>
      </c>
      <c r="AK2" s="41">
        <v>0</v>
      </c>
      <c r="AL2" s="41">
        <v>0</v>
      </c>
      <c r="AM2" s="41">
        <v>0</v>
      </c>
      <c r="AN2" s="41">
        <v>0</v>
      </c>
      <c r="AO2" s="41">
        <v>0</v>
      </c>
      <c r="AP2" s="41">
        <v>0</v>
      </c>
      <c r="AQ2" s="41">
        <v>0</v>
      </c>
      <c r="AR2" s="41">
        <v>0</v>
      </c>
      <c r="AS2" s="41">
        <v>0</v>
      </c>
      <c r="AT2" s="41">
        <v>0</v>
      </c>
      <c r="AU2" s="41">
        <v>0</v>
      </c>
      <c r="AV2" s="41">
        <v>508.49999999999994</v>
      </c>
      <c r="AW2" s="41">
        <v>0</v>
      </c>
      <c r="AX2" s="41">
        <v>0</v>
      </c>
      <c r="AY2" s="41">
        <v>0</v>
      </c>
      <c r="AZ2" s="41">
        <v>822.50000000000011</v>
      </c>
      <c r="BA2" s="41">
        <v>0</v>
      </c>
      <c r="BB2" s="41">
        <v>13375</v>
      </c>
      <c r="BC2" s="41">
        <v>0</v>
      </c>
      <c r="BD2" s="41">
        <v>0</v>
      </c>
      <c r="BE2" s="41">
        <v>0</v>
      </c>
      <c r="BF2" s="41">
        <v>0</v>
      </c>
      <c r="BG2" s="41">
        <v>0</v>
      </c>
      <c r="BH2" s="41">
        <v>0</v>
      </c>
      <c r="BI2" s="41">
        <v>0</v>
      </c>
      <c r="BJ2" s="41">
        <v>0</v>
      </c>
      <c r="BK2" s="41">
        <v>0</v>
      </c>
      <c r="BL2" s="41">
        <v>0</v>
      </c>
      <c r="BM2" s="41">
        <v>0</v>
      </c>
      <c r="BN2" s="41">
        <v>0</v>
      </c>
      <c r="BO2" s="41">
        <v>0</v>
      </c>
    </row>
    <row r="3" spans="1:67">
      <c r="A3" s="39" t="s">
        <v>67</v>
      </c>
      <c r="B3" s="40">
        <v>2</v>
      </c>
      <c r="C3" s="40">
        <v>2019</v>
      </c>
      <c r="D3" s="34">
        <v>302.2</v>
      </c>
      <c r="E3" s="38">
        <v>0</v>
      </c>
      <c r="F3" s="41">
        <v>0</v>
      </c>
      <c r="G3" s="38">
        <v>0</v>
      </c>
      <c r="H3" s="34">
        <v>0</v>
      </c>
      <c r="I3" s="38">
        <v>0</v>
      </c>
      <c r="J3" s="71">
        <v>657.8</v>
      </c>
      <c r="K3" s="38">
        <v>0</v>
      </c>
      <c r="L3" s="38">
        <v>0</v>
      </c>
      <c r="M3" s="38">
        <v>0</v>
      </c>
      <c r="N3" s="42">
        <v>1111.9999999999998</v>
      </c>
      <c r="O3" s="38">
        <v>0</v>
      </c>
      <c r="P3" s="38">
        <v>0</v>
      </c>
      <c r="Q3" s="38">
        <v>0</v>
      </c>
      <c r="R3" s="38">
        <v>0</v>
      </c>
      <c r="S3" s="38">
        <v>0</v>
      </c>
      <c r="T3" s="38">
        <v>0</v>
      </c>
      <c r="U3" s="38">
        <v>0</v>
      </c>
      <c r="V3" s="41">
        <v>7505</v>
      </c>
      <c r="W3" s="38">
        <v>17800000</v>
      </c>
      <c r="X3" s="38">
        <v>0</v>
      </c>
      <c r="Y3" s="38">
        <v>0</v>
      </c>
      <c r="Z3" s="38">
        <v>0</v>
      </c>
      <c r="AA3" s="38">
        <v>0</v>
      </c>
      <c r="AB3" s="38">
        <v>0</v>
      </c>
      <c r="AC3" s="38">
        <v>0</v>
      </c>
      <c r="AD3" s="38">
        <v>0</v>
      </c>
      <c r="AE3" s="38">
        <v>0</v>
      </c>
      <c r="AF3" s="38">
        <v>0</v>
      </c>
      <c r="AG3" s="38">
        <v>0</v>
      </c>
      <c r="AH3" s="38">
        <v>0</v>
      </c>
      <c r="AI3" s="38">
        <v>0</v>
      </c>
      <c r="AJ3" s="38">
        <v>0</v>
      </c>
      <c r="AK3" s="38">
        <v>0</v>
      </c>
      <c r="AL3" s="38">
        <v>0</v>
      </c>
      <c r="AM3" s="38">
        <v>0</v>
      </c>
      <c r="AN3" s="38">
        <v>0</v>
      </c>
      <c r="AO3" s="38">
        <v>0</v>
      </c>
      <c r="AP3" s="38">
        <v>0</v>
      </c>
      <c r="AQ3" s="38">
        <v>0</v>
      </c>
      <c r="AR3" s="38">
        <v>0</v>
      </c>
      <c r="AS3" s="38">
        <v>0</v>
      </c>
      <c r="AT3" s="38">
        <v>0</v>
      </c>
      <c r="AU3" s="38">
        <v>0</v>
      </c>
      <c r="AV3" s="38">
        <v>727.80000000000007</v>
      </c>
      <c r="AW3" s="38">
        <v>0</v>
      </c>
      <c r="AX3" s="38">
        <v>0</v>
      </c>
      <c r="AY3" s="38">
        <v>0</v>
      </c>
      <c r="AZ3" s="38">
        <v>1111.9999999999998</v>
      </c>
      <c r="BA3" s="38">
        <v>0</v>
      </c>
      <c r="BB3" s="43">
        <v>11695</v>
      </c>
      <c r="BC3" s="38">
        <v>0</v>
      </c>
      <c r="BD3" s="38">
        <v>0</v>
      </c>
      <c r="BE3" s="38">
        <v>0</v>
      </c>
      <c r="BF3" s="38">
        <v>0</v>
      </c>
      <c r="BG3" s="38">
        <v>0</v>
      </c>
      <c r="BH3" s="38">
        <v>0</v>
      </c>
      <c r="BI3" s="38">
        <v>0</v>
      </c>
      <c r="BJ3" s="38">
        <v>0</v>
      </c>
      <c r="BK3" s="38">
        <v>0</v>
      </c>
      <c r="BL3" s="38">
        <v>0</v>
      </c>
      <c r="BM3" s="38">
        <v>0</v>
      </c>
      <c r="BN3" s="38">
        <v>0</v>
      </c>
      <c r="BO3" s="38">
        <v>0</v>
      </c>
    </row>
    <row r="4" spans="1:67">
      <c r="A4" s="39" t="s">
        <v>67</v>
      </c>
      <c r="B4" s="40">
        <v>3</v>
      </c>
      <c r="C4" s="40">
        <v>2019</v>
      </c>
      <c r="D4" s="34">
        <v>369.50000000000006</v>
      </c>
      <c r="E4" s="38">
        <v>0</v>
      </c>
      <c r="F4" s="38">
        <v>0</v>
      </c>
      <c r="G4" s="38">
        <v>0</v>
      </c>
      <c r="H4" s="38">
        <v>0</v>
      </c>
      <c r="I4" s="38">
        <v>0</v>
      </c>
      <c r="J4" s="71">
        <v>262.39999999999998</v>
      </c>
      <c r="K4" s="38">
        <v>0</v>
      </c>
      <c r="L4" s="38">
        <v>0</v>
      </c>
      <c r="M4" s="38">
        <v>0</v>
      </c>
      <c r="N4" s="42">
        <v>1251.4000000000001</v>
      </c>
      <c r="O4" s="38">
        <v>0</v>
      </c>
      <c r="P4" s="38">
        <v>0</v>
      </c>
      <c r="Q4" s="38">
        <v>0</v>
      </c>
      <c r="R4" s="38">
        <v>0</v>
      </c>
      <c r="S4" s="38">
        <v>0</v>
      </c>
      <c r="T4" s="38">
        <v>0</v>
      </c>
      <c r="U4" s="38">
        <v>0</v>
      </c>
      <c r="V4" s="41">
        <v>9130</v>
      </c>
      <c r="W4" s="38">
        <v>17800000</v>
      </c>
      <c r="X4" s="38">
        <v>0</v>
      </c>
      <c r="Y4" s="38">
        <v>0</v>
      </c>
      <c r="Z4" s="38">
        <v>0</v>
      </c>
      <c r="AA4" s="38">
        <v>0</v>
      </c>
      <c r="AB4" s="38">
        <v>0</v>
      </c>
      <c r="AC4" s="38">
        <v>0</v>
      </c>
      <c r="AD4" s="38">
        <v>0</v>
      </c>
      <c r="AE4" s="38">
        <v>0</v>
      </c>
      <c r="AF4" s="38">
        <v>0</v>
      </c>
      <c r="AG4" s="38">
        <v>0</v>
      </c>
      <c r="AH4" s="38">
        <v>0</v>
      </c>
      <c r="AI4" s="38">
        <v>0</v>
      </c>
      <c r="AJ4" s="38">
        <v>0</v>
      </c>
      <c r="AK4" s="38">
        <v>0</v>
      </c>
      <c r="AL4" s="38">
        <v>0</v>
      </c>
      <c r="AM4" s="38">
        <v>0</v>
      </c>
      <c r="AN4" s="38">
        <v>0</v>
      </c>
      <c r="AO4" s="38">
        <v>0</v>
      </c>
      <c r="AP4" s="38">
        <v>0</v>
      </c>
      <c r="AQ4" s="38">
        <v>0</v>
      </c>
      <c r="AR4" s="38">
        <v>0</v>
      </c>
      <c r="AS4" s="38">
        <v>0</v>
      </c>
      <c r="AT4" s="38">
        <v>0</v>
      </c>
      <c r="AU4" s="38">
        <v>0</v>
      </c>
      <c r="AV4" s="38">
        <v>501.29999999999995</v>
      </c>
      <c r="AW4" s="38">
        <v>0</v>
      </c>
      <c r="AX4" s="38">
        <v>0</v>
      </c>
      <c r="AY4" s="38">
        <v>0</v>
      </c>
      <c r="AZ4" s="38">
        <v>1251.3999999999999</v>
      </c>
      <c r="BA4" s="38">
        <v>0</v>
      </c>
      <c r="BB4" s="43">
        <v>13260</v>
      </c>
      <c r="BC4" s="41">
        <v>0</v>
      </c>
      <c r="BD4" s="41">
        <v>0</v>
      </c>
      <c r="BE4" s="41">
        <v>0</v>
      </c>
      <c r="BF4" s="41">
        <v>0</v>
      </c>
      <c r="BG4" s="41">
        <v>0</v>
      </c>
      <c r="BH4" s="41">
        <v>0</v>
      </c>
      <c r="BI4" s="41">
        <v>0</v>
      </c>
      <c r="BJ4" s="41">
        <v>0</v>
      </c>
      <c r="BK4" s="41">
        <v>0</v>
      </c>
      <c r="BL4" s="41">
        <v>0</v>
      </c>
      <c r="BM4" s="41">
        <v>0</v>
      </c>
      <c r="BN4" s="41">
        <v>0</v>
      </c>
      <c r="BO4" s="41">
        <v>0</v>
      </c>
    </row>
    <row r="5" spans="1:67">
      <c r="A5" s="39" t="s">
        <v>67</v>
      </c>
      <c r="B5" s="40">
        <v>4</v>
      </c>
      <c r="C5" s="40">
        <v>2019</v>
      </c>
      <c r="D5" s="34">
        <v>383.30000000000018</v>
      </c>
      <c r="E5" s="38">
        <v>0</v>
      </c>
      <c r="F5" s="38">
        <v>0</v>
      </c>
      <c r="G5" s="38">
        <v>0</v>
      </c>
      <c r="H5" s="38">
        <v>0</v>
      </c>
      <c r="I5" s="38">
        <v>0</v>
      </c>
      <c r="J5" s="71">
        <v>343.50000000000006</v>
      </c>
      <c r="K5" s="41">
        <v>0</v>
      </c>
      <c r="L5" s="38">
        <v>0</v>
      </c>
      <c r="M5" s="38">
        <v>0</v>
      </c>
      <c r="N5" s="42">
        <v>680.8</v>
      </c>
      <c r="O5" s="41">
        <v>0</v>
      </c>
      <c r="P5" s="41">
        <v>0</v>
      </c>
      <c r="Q5" s="41">
        <v>0</v>
      </c>
      <c r="R5" s="41">
        <v>0</v>
      </c>
      <c r="S5" s="41">
        <v>0</v>
      </c>
      <c r="T5" s="41">
        <v>0</v>
      </c>
      <c r="U5" s="41">
        <v>0</v>
      </c>
      <c r="V5" s="41">
        <v>7632</v>
      </c>
      <c r="W5" s="34">
        <v>17800000</v>
      </c>
      <c r="X5" s="41">
        <v>0</v>
      </c>
      <c r="Y5" s="41">
        <v>0</v>
      </c>
      <c r="Z5" s="41">
        <v>0</v>
      </c>
      <c r="AA5" s="41">
        <v>0</v>
      </c>
      <c r="AB5" s="41">
        <v>0</v>
      </c>
      <c r="AC5" s="41">
        <v>0</v>
      </c>
      <c r="AD5" s="41">
        <v>0</v>
      </c>
      <c r="AE5" s="41">
        <v>0</v>
      </c>
      <c r="AF5" s="41">
        <v>0</v>
      </c>
      <c r="AG5" s="41">
        <v>0</v>
      </c>
      <c r="AH5" s="41">
        <v>0</v>
      </c>
      <c r="AI5" s="41">
        <v>0</v>
      </c>
      <c r="AJ5" s="41">
        <v>0</v>
      </c>
      <c r="AK5" s="41">
        <v>0</v>
      </c>
      <c r="AL5" s="41">
        <v>0</v>
      </c>
      <c r="AM5" s="41">
        <v>0</v>
      </c>
      <c r="AN5" s="41">
        <v>0</v>
      </c>
      <c r="AO5" s="41">
        <v>0</v>
      </c>
      <c r="AP5" s="41">
        <v>0</v>
      </c>
      <c r="AQ5" s="41">
        <v>0</v>
      </c>
      <c r="AR5" s="41">
        <v>0</v>
      </c>
      <c r="AS5" s="41">
        <v>0</v>
      </c>
      <c r="AT5" s="41">
        <v>0</v>
      </c>
      <c r="AU5" s="41">
        <v>0</v>
      </c>
      <c r="AV5" s="38">
        <v>502.40000000000003</v>
      </c>
      <c r="AW5" s="41">
        <v>0</v>
      </c>
      <c r="AX5" s="41">
        <v>0</v>
      </c>
      <c r="AY5" s="41">
        <v>0</v>
      </c>
      <c r="AZ5" s="38">
        <v>680.8</v>
      </c>
      <c r="BA5" s="38">
        <v>0</v>
      </c>
      <c r="BB5" s="43">
        <v>12700</v>
      </c>
      <c r="BC5" s="41">
        <v>0</v>
      </c>
      <c r="BD5" s="41">
        <v>0</v>
      </c>
      <c r="BE5" s="41">
        <v>0</v>
      </c>
      <c r="BF5" s="41">
        <v>0</v>
      </c>
      <c r="BG5" s="41">
        <v>0</v>
      </c>
      <c r="BH5" s="41">
        <v>0</v>
      </c>
      <c r="BI5" s="41">
        <v>0</v>
      </c>
      <c r="BJ5" s="41">
        <v>0</v>
      </c>
      <c r="BK5" s="41">
        <v>0</v>
      </c>
      <c r="BL5" s="41">
        <v>0</v>
      </c>
      <c r="BM5" s="41">
        <v>0</v>
      </c>
      <c r="BN5" s="41">
        <v>0</v>
      </c>
      <c r="BO5" s="41">
        <v>0</v>
      </c>
    </row>
    <row r="6" spans="1:67">
      <c r="A6" s="39" t="s">
        <v>67</v>
      </c>
      <c r="B6" s="40">
        <v>5</v>
      </c>
      <c r="C6" s="40">
        <v>2019</v>
      </c>
      <c r="D6" s="34">
        <v>105.70000000000006</v>
      </c>
      <c r="E6" s="38">
        <v>0</v>
      </c>
      <c r="F6" s="66">
        <v>0</v>
      </c>
      <c r="G6" s="38">
        <v>0</v>
      </c>
      <c r="H6" s="34">
        <v>0</v>
      </c>
      <c r="I6" s="38">
        <v>0</v>
      </c>
      <c r="J6" s="71">
        <v>272.2</v>
      </c>
      <c r="K6" s="38">
        <v>0</v>
      </c>
      <c r="L6" s="38">
        <v>0</v>
      </c>
      <c r="M6" s="38">
        <v>0</v>
      </c>
      <c r="N6" s="44">
        <v>610.30436781609205</v>
      </c>
      <c r="O6" s="38">
        <v>0</v>
      </c>
      <c r="P6" s="38">
        <v>0</v>
      </c>
      <c r="Q6" s="38">
        <v>0</v>
      </c>
      <c r="R6" s="38">
        <v>0</v>
      </c>
      <c r="S6" s="38">
        <v>0</v>
      </c>
      <c r="T6" s="38">
        <v>0</v>
      </c>
      <c r="U6" s="38">
        <v>0</v>
      </c>
      <c r="V6" s="72">
        <v>6990.6000000000013</v>
      </c>
      <c r="W6" s="38">
        <v>17800000</v>
      </c>
      <c r="X6" s="38">
        <v>0</v>
      </c>
      <c r="Y6" s="38">
        <v>0</v>
      </c>
      <c r="Z6" s="38">
        <v>0</v>
      </c>
      <c r="AA6" s="38">
        <v>0</v>
      </c>
      <c r="AB6" s="38">
        <v>0</v>
      </c>
      <c r="AC6" s="38">
        <v>0</v>
      </c>
      <c r="AD6" s="38">
        <v>0</v>
      </c>
      <c r="AE6" s="38">
        <v>0</v>
      </c>
      <c r="AF6" s="38">
        <v>0</v>
      </c>
      <c r="AG6" s="38">
        <v>0</v>
      </c>
      <c r="AH6" s="38">
        <v>0</v>
      </c>
      <c r="AI6" s="38">
        <v>0</v>
      </c>
      <c r="AJ6" s="38">
        <v>0</v>
      </c>
      <c r="AK6" s="38">
        <v>0</v>
      </c>
      <c r="AL6" s="38">
        <v>0</v>
      </c>
      <c r="AM6" s="38">
        <v>0</v>
      </c>
      <c r="AN6" s="38">
        <v>0</v>
      </c>
      <c r="AO6" s="38">
        <v>0</v>
      </c>
      <c r="AP6" s="38">
        <v>0</v>
      </c>
      <c r="AQ6" s="38">
        <v>0</v>
      </c>
      <c r="AR6" s="38">
        <v>0</v>
      </c>
      <c r="AS6" s="38">
        <v>0</v>
      </c>
      <c r="AT6" s="38">
        <v>0</v>
      </c>
      <c r="AU6" s="38">
        <v>0</v>
      </c>
      <c r="AV6" s="38">
        <v>343.3</v>
      </c>
      <c r="AW6" s="38">
        <v>0</v>
      </c>
      <c r="AX6" s="38">
        <v>0</v>
      </c>
      <c r="AY6" s="38">
        <v>0</v>
      </c>
      <c r="AZ6" s="74">
        <v>610.30436781609205</v>
      </c>
      <c r="BA6" s="38">
        <v>0</v>
      </c>
      <c r="BB6" s="41">
        <v>13360</v>
      </c>
      <c r="BC6" s="38">
        <v>0</v>
      </c>
      <c r="BD6" s="38">
        <v>0</v>
      </c>
      <c r="BE6" s="38">
        <v>0</v>
      </c>
      <c r="BF6" s="38">
        <v>0</v>
      </c>
      <c r="BG6" s="38">
        <v>0</v>
      </c>
      <c r="BH6" s="38">
        <v>0</v>
      </c>
      <c r="BI6" s="38">
        <v>0</v>
      </c>
      <c r="BJ6" s="38">
        <v>0</v>
      </c>
      <c r="BK6" s="38">
        <v>0</v>
      </c>
      <c r="BL6" s="38">
        <v>0</v>
      </c>
      <c r="BM6" s="38">
        <v>0</v>
      </c>
      <c r="BN6" s="38">
        <v>0</v>
      </c>
      <c r="BO6" s="38">
        <v>0</v>
      </c>
    </row>
    <row r="7" spans="1:67">
      <c r="A7" s="39" t="s">
        <v>67</v>
      </c>
      <c r="B7" s="40">
        <v>6</v>
      </c>
      <c r="C7" s="40">
        <v>2019</v>
      </c>
      <c r="D7" s="34">
        <v>77.3</v>
      </c>
      <c r="E7" s="38">
        <v>0</v>
      </c>
      <c r="F7" s="44">
        <v>0</v>
      </c>
      <c r="G7" s="38">
        <v>0</v>
      </c>
      <c r="H7" s="34">
        <v>0</v>
      </c>
      <c r="I7" s="38">
        <v>0</v>
      </c>
      <c r="J7" s="71">
        <v>244.5</v>
      </c>
      <c r="K7" s="38">
        <v>0</v>
      </c>
      <c r="L7" s="38">
        <v>0</v>
      </c>
      <c r="M7" s="38">
        <v>0</v>
      </c>
      <c r="N7" s="44">
        <v>380.8</v>
      </c>
      <c r="O7" s="38">
        <v>0</v>
      </c>
      <c r="P7" s="38">
        <v>0</v>
      </c>
      <c r="Q7" s="38">
        <v>0</v>
      </c>
      <c r="R7" s="38">
        <v>0</v>
      </c>
      <c r="S7" s="38">
        <v>0</v>
      </c>
      <c r="T7" s="38">
        <v>0</v>
      </c>
      <c r="U7" s="38">
        <v>0</v>
      </c>
      <c r="V7" s="73">
        <v>7377.6000000000013</v>
      </c>
      <c r="W7" s="38">
        <v>17800000</v>
      </c>
      <c r="X7" s="38">
        <v>0</v>
      </c>
      <c r="Y7" s="38">
        <v>0</v>
      </c>
      <c r="Z7" s="38">
        <v>0</v>
      </c>
      <c r="AA7" s="38">
        <v>0</v>
      </c>
      <c r="AB7" s="38">
        <v>0</v>
      </c>
      <c r="AC7" s="38">
        <v>0</v>
      </c>
      <c r="AD7" s="38">
        <v>0</v>
      </c>
      <c r="AE7" s="38">
        <v>0</v>
      </c>
      <c r="AF7" s="38">
        <v>0</v>
      </c>
      <c r="AG7" s="38">
        <v>0</v>
      </c>
      <c r="AH7" s="38">
        <v>0</v>
      </c>
      <c r="AI7" s="38">
        <v>0</v>
      </c>
      <c r="AJ7" s="38">
        <v>0</v>
      </c>
      <c r="AK7" s="38">
        <v>0</v>
      </c>
      <c r="AL7" s="38">
        <v>0</v>
      </c>
      <c r="AM7" s="38">
        <v>0</v>
      </c>
      <c r="AN7" s="38">
        <v>0</v>
      </c>
      <c r="AO7" s="38">
        <v>0</v>
      </c>
      <c r="AP7" s="38">
        <v>0</v>
      </c>
      <c r="AQ7" s="38">
        <v>0</v>
      </c>
      <c r="AR7" s="38">
        <v>0</v>
      </c>
      <c r="AS7" s="38">
        <v>0</v>
      </c>
      <c r="AT7" s="38">
        <v>0</v>
      </c>
      <c r="AU7" s="38">
        <v>0</v>
      </c>
      <c r="AV7" s="38">
        <v>213.3</v>
      </c>
      <c r="AW7" s="38">
        <v>0</v>
      </c>
      <c r="AX7" s="38">
        <v>0</v>
      </c>
      <c r="AY7" s="38">
        <v>0</v>
      </c>
      <c r="AZ7" s="38">
        <v>380.8</v>
      </c>
      <c r="BA7" s="38">
        <v>0</v>
      </c>
      <c r="BB7" s="41">
        <v>12250</v>
      </c>
      <c r="BC7" s="38">
        <v>0</v>
      </c>
      <c r="BD7" s="38">
        <v>0</v>
      </c>
      <c r="BE7" s="38">
        <v>0</v>
      </c>
      <c r="BF7" s="38">
        <v>0</v>
      </c>
      <c r="BG7" s="38">
        <v>0</v>
      </c>
      <c r="BH7" s="38">
        <v>0</v>
      </c>
      <c r="BI7" s="38">
        <v>0</v>
      </c>
      <c r="BJ7" s="38">
        <v>0</v>
      </c>
      <c r="BK7" s="38">
        <v>0</v>
      </c>
      <c r="BL7" s="38">
        <v>0</v>
      </c>
      <c r="BM7" s="38">
        <v>0</v>
      </c>
      <c r="BN7" s="38">
        <v>0</v>
      </c>
      <c r="BO7" s="38">
        <v>0</v>
      </c>
    </row>
    <row r="8" spans="1:67">
      <c r="A8" s="39" t="s">
        <v>67</v>
      </c>
      <c r="B8" s="40">
        <v>7</v>
      </c>
      <c r="C8" s="40">
        <v>2019</v>
      </c>
      <c r="D8" s="34">
        <v>86</v>
      </c>
      <c r="E8" s="38">
        <v>0</v>
      </c>
      <c r="F8" s="44">
        <v>0</v>
      </c>
      <c r="G8" s="38">
        <v>0</v>
      </c>
      <c r="H8" s="34">
        <v>0</v>
      </c>
      <c r="I8" s="38">
        <v>0</v>
      </c>
      <c r="J8" s="71">
        <v>254.36827586206897</v>
      </c>
      <c r="K8" s="38">
        <v>0</v>
      </c>
      <c r="L8" s="38">
        <v>0</v>
      </c>
      <c r="M8" s="38">
        <v>0</v>
      </c>
      <c r="N8" s="44">
        <v>206.79999999999998</v>
      </c>
      <c r="O8" s="38">
        <v>0</v>
      </c>
      <c r="P8" s="38">
        <v>0</v>
      </c>
      <c r="Q8" s="38">
        <v>0</v>
      </c>
      <c r="R8" s="38">
        <v>0</v>
      </c>
      <c r="S8" s="38">
        <v>0</v>
      </c>
      <c r="T8" s="38">
        <v>0</v>
      </c>
      <c r="U8" s="38">
        <v>0</v>
      </c>
      <c r="V8" s="43">
        <v>8684</v>
      </c>
      <c r="W8" s="38">
        <v>17800000</v>
      </c>
      <c r="X8" s="38">
        <v>0</v>
      </c>
      <c r="Y8" s="38">
        <v>0</v>
      </c>
      <c r="Z8" s="38">
        <v>0</v>
      </c>
      <c r="AA8" s="38">
        <v>0</v>
      </c>
      <c r="AB8" s="38">
        <v>0</v>
      </c>
      <c r="AC8" s="38">
        <v>0</v>
      </c>
      <c r="AD8" s="38">
        <v>0</v>
      </c>
      <c r="AE8" s="38">
        <v>0</v>
      </c>
      <c r="AF8" s="38">
        <v>0</v>
      </c>
      <c r="AG8" s="38">
        <v>0</v>
      </c>
      <c r="AH8" s="38">
        <v>0</v>
      </c>
      <c r="AI8" s="38">
        <v>0</v>
      </c>
      <c r="AJ8" s="38">
        <v>0</v>
      </c>
      <c r="AK8" s="38">
        <v>0</v>
      </c>
      <c r="AL8" s="38">
        <v>0</v>
      </c>
      <c r="AM8" s="38">
        <v>0</v>
      </c>
      <c r="AN8" s="38">
        <v>0</v>
      </c>
      <c r="AO8" s="38">
        <v>0</v>
      </c>
      <c r="AP8" s="38">
        <v>0</v>
      </c>
      <c r="AQ8" s="38">
        <v>0</v>
      </c>
      <c r="AR8" s="38">
        <v>0</v>
      </c>
      <c r="AS8" s="38">
        <v>0</v>
      </c>
      <c r="AT8" s="38">
        <v>0</v>
      </c>
      <c r="AU8" s="38">
        <v>0</v>
      </c>
      <c r="AV8" s="74">
        <v>269.40758620689655</v>
      </c>
      <c r="AW8" s="38">
        <v>0</v>
      </c>
      <c r="AX8" s="38">
        <v>0</v>
      </c>
      <c r="AY8" s="38">
        <v>0</v>
      </c>
      <c r="AZ8" s="38">
        <v>206.79999999999998</v>
      </c>
      <c r="BA8" s="38">
        <v>0</v>
      </c>
      <c r="BB8" s="41">
        <v>12880</v>
      </c>
      <c r="BC8" s="38">
        <v>0</v>
      </c>
      <c r="BD8" s="38">
        <v>0</v>
      </c>
      <c r="BE8" s="38">
        <v>0</v>
      </c>
      <c r="BF8" s="38">
        <v>0</v>
      </c>
      <c r="BG8" s="38">
        <v>0</v>
      </c>
      <c r="BH8" s="38">
        <v>0</v>
      </c>
      <c r="BI8" s="38">
        <v>0</v>
      </c>
      <c r="BJ8" s="38">
        <v>0</v>
      </c>
      <c r="BK8" s="38">
        <v>0</v>
      </c>
      <c r="BL8" s="38">
        <v>0</v>
      </c>
      <c r="BM8" s="38">
        <v>0</v>
      </c>
      <c r="BN8" s="38">
        <v>0</v>
      </c>
      <c r="BO8" s="38">
        <v>0</v>
      </c>
    </row>
    <row r="9" spans="1:67">
      <c r="A9" s="39" t="s">
        <v>67</v>
      </c>
      <c r="B9" s="40">
        <v>8</v>
      </c>
      <c r="C9" s="40">
        <v>2019</v>
      </c>
      <c r="D9" s="34">
        <v>112.19999999999997</v>
      </c>
      <c r="E9" s="38">
        <v>0</v>
      </c>
      <c r="F9" s="38">
        <v>0</v>
      </c>
      <c r="G9" s="38">
        <v>0</v>
      </c>
      <c r="H9" s="38">
        <v>0</v>
      </c>
      <c r="I9" s="38">
        <v>0</v>
      </c>
      <c r="J9" s="34">
        <v>235.5</v>
      </c>
      <c r="K9" s="38">
        <v>0</v>
      </c>
      <c r="L9" s="38">
        <v>0</v>
      </c>
      <c r="M9" s="38">
        <v>0</v>
      </c>
      <c r="N9" s="44">
        <v>160.29999999999998</v>
      </c>
      <c r="O9" s="38">
        <v>0</v>
      </c>
      <c r="P9" s="38">
        <v>0</v>
      </c>
      <c r="Q9" s="38">
        <v>0</v>
      </c>
      <c r="R9" s="38">
        <v>0</v>
      </c>
      <c r="S9" s="38">
        <v>0</v>
      </c>
      <c r="T9" s="38">
        <v>0</v>
      </c>
      <c r="U9" s="38">
        <v>0</v>
      </c>
      <c r="V9" s="43">
        <v>9352</v>
      </c>
      <c r="W9" s="38">
        <v>17800000</v>
      </c>
      <c r="X9" s="38">
        <v>0</v>
      </c>
      <c r="Y9" s="38">
        <v>0</v>
      </c>
      <c r="Z9" s="38">
        <v>0</v>
      </c>
      <c r="AA9" s="38">
        <v>0</v>
      </c>
      <c r="AB9" s="38">
        <v>0</v>
      </c>
      <c r="AC9" s="38">
        <v>0</v>
      </c>
      <c r="AD9" s="38">
        <v>0</v>
      </c>
      <c r="AE9" s="38">
        <v>0</v>
      </c>
      <c r="AF9" s="38">
        <v>0</v>
      </c>
      <c r="AG9" s="38">
        <v>0</v>
      </c>
      <c r="AH9" s="38">
        <v>0</v>
      </c>
      <c r="AI9" s="38">
        <v>0</v>
      </c>
      <c r="AJ9" s="38">
        <v>0</v>
      </c>
      <c r="AK9" s="38">
        <v>0</v>
      </c>
      <c r="AL9" s="38">
        <v>0</v>
      </c>
      <c r="AM9" s="38">
        <v>0</v>
      </c>
      <c r="AN9" s="38">
        <v>0</v>
      </c>
      <c r="AO9" s="38">
        <v>0</v>
      </c>
      <c r="AP9" s="38">
        <v>0</v>
      </c>
      <c r="AQ9" s="38">
        <v>0</v>
      </c>
      <c r="AR9" s="38">
        <v>0</v>
      </c>
      <c r="AS9" s="38">
        <v>0</v>
      </c>
      <c r="AT9" s="38">
        <v>0</v>
      </c>
      <c r="AU9" s="38">
        <v>0</v>
      </c>
      <c r="AV9" s="38">
        <v>404.40000000000003</v>
      </c>
      <c r="AW9" s="38">
        <v>0</v>
      </c>
      <c r="AX9" s="38">
        <v>0</v>
      </c>
      <c r="AY9" s="38">
        <v>0</v>
      </c>
      <c r="AZ9" s="38">
        <v>160.29999999999998</v>
      </c>
      <c r="BA9" s="38">
        <v>0</v>
      </c>
      <c r="BB9" s="41">
        <v>11950</v>
      </c>
      <c r="BC9" s="38">
        <v>0</v>
      </c>
      <c r="BD9" s="38">
        <v>0</v>
      </c>
      <c r="BE9" s="38">
        <v>0</v>
      </c>
      <c r="BF9" s="38">
        <v>0</v>
      </c>
      <c r="BG9" s="38">
        <v>0</v>
      </c>
      <c r="BH9" s="38">
        <v>0</v>
      </c>
      <c r="BI9" s="38">
        <v>0</v>
      </c>
      <c r="BJ9" s="38">
        <v>0</v>
      </c>
      <c r="BK9" s="38">
        <v>0</v>
      </c>
      <c r="BL9" s="38">
        <v>0</v>
      </c>
      <c r="BM9" s="38">
        <v>0</v>
      </c>
      <c r="BN9" s="38">
        <v>0</v>
      </c>
      <c r="BO9" s="38">
        <v>0</v>
      </c>
    </row>
    <row r="10" spans="1:67">
      <c r="A10" s="39" t="s">
        <v>67</v>
      </c>
      <c r="B10" s="40">
        <v>9</v>
      </c>
      <c r="C10" s="40">
        <v>2019</v>
      </c>
      <c r="D10" s="34">
        <v>122.29999999999997</v>
      </c>
      <c r="E10" s="38">
        <v>0</v>
      </c>
      <c r="F10" s="44">
        <v>0</v>
      </c>
      <c r="G10" s="38">
        <v>0</v>
      </c>
      <c r="H10" s="34">
        <v>0</v>
      </c>
      <c r="I10" s="38">
        <v>0</v>
      </c>
      <c r="J10" s="34">
        <v>244.5</v>
      </c>
      <c r="K10" s="38">
        <v>0</v>
      </c>
      <c r="L10" s="38">
        <v>0</v>
      </c>
      <c r="M10" s="38">
        <v>0</v>
      </c>
      <c r="N10" s="44">
        <v>161.79999999999998</v>
      </c>
      <c r="O10" s="38">
        <v>0</v>
      </c>
      <c r="P10" s="38">
        <v>0</v>
      </c>
      <c r="Q10" s="38">
        <v>0</v>
      </c>
      <c r="R10" s="38">
        <v>0</v>
      </c>
      <c r="S10" s="38">
        <v>0</v>
      </c>
      <c r="T10" s="38">
        <v>0</v>
      </c>
      <c r="U10" s="38">
        <v>0</v>
      </c>
      <c r="V10" s="43">
        <v>5088</v>
      </c>
      <c r="W10" s="38">
        <v>17800000</v>
      </c>
      <c r="X10" s="38">
        <v>0</v>
      </c>
      <c r="Y10" s="38">
        <v>0</v>
      </c>
      <c r="Z10" s="38">
        <v>0</v>
      </c>
      <c r="AA10" s="38">
        <v>0</v>
      </c>
      <c r="AB10" s="38">
        <v>0</v>
      </c>
      <c r="AC10" s="38">
        <v>0</v>
      </c>
      <c r="AD10" s="38">
        <v>0</v>
      </c>
      <c r="AE10" s="38">
        <v>0</v>
      </c>
      <c r="AF10" s="38">
        <v>0</v>
      </c>
      <c r="AG10" s="38">
        <v>0</v>
      </c>
      <c r="AH10" s="38">
        <v>0</v>
      </c>
      <c r="AI10" s="38">
        <v>0</v>
      </c>
      <c r="AJ10" s="38">
        <v>0</v>
      </c>
      <c r="AK10" s="38">
        <v>0</v>
      </c>
      <c r="AL10" s="38">
        <v>0</v>
      </c>
      <c r="AM10" s="38">
        <v>0</v>
      </c>
      <c r="AN10" s="38">
        <v>0</v>
      </c>
      <c r="AO10" s="38">
        <v>0</v>
      </c>
      <c r="AP10" s="38">
        <v>0</v>
      </c>
      <c r="AQ10" s="38">
        <v>0</v>
      </c>
      <c r="AR10" s="38">
        <v>0</v>
      </c>
      <c r="AS10" s="38">
        <v>0</v>
      </c>
      <c r="AT10" s="38">
        <v>0</v>
      </c>
      <c r="AU10" s="38">
        <v>0</v>
      </c>
      <c r="AV10" s="38">
        <v>429.3</v>
      </c>
      <c r="AW10" s="38">
        <v>0</v>
      </c>
      <c r="AX10" s="38">
        <v>0</v>
      </c>
      <c r="AY10" s="38">
        <v>0</v>
      </c>
      <c r="AZ10" s="38">
        <v>161.79999999999998</v>
      </c>
      <c r="BA10" s="38">
        <v>0</v>
      </c>
      <c r="BB10" s="41">
        <v>12250</v>
      </c>
      <c r="BC10" s="38">
        <v>0</v>
      </c>
      <c r="BD10" s="38">
        <v>0</v>
      </c>
      <c r="BE10" s="38">
        <v>0</v>
      </c>
      <c r="BF10" s="38">
        <v>0</v>
      </c>
      <c r="BG10" s="38">
        <v>0</v>
      </c>
      <c r="BH10" s="38">
        <v>0</v>
      </c>
      <c r="BI10" s="38">
        <v>0</v>
      </c>
      <c r="BJ10" s="38">
        <v>0</v>
      </c>
      <c r="BK10" s="38">
        <v>0</v>
      </c>
      <c r="BL10" s="38">
        <v>0</v>
      </c>
      <c r="BM10" s="38">
        <v>0</v>
      </c>
      <c r="BN10" s="38">
        <v>0</v>
      </c>
      <c r="BO10" s="38">
        <v>0</v>
      </c>
    </row>
    <row r="11" spans="1:67">
      <c r="A11" s="39" t="s">
        <v>67</v>
      </c>
      <c r="B11" s="40">
        <v>10</v>
      </c>
      <c r="C11" s="40">
        <v>2019</v>
      </c>
      <c r="D11" s="34"/>
      <c r="E11" s="38"/>
      <c r="F11" s="44"/>
      <c r="G11" s="38"/>
      <c r="H11" s="34"/>
      <c r="I11" s="38"/>
      <c r="J11" s="34"/>
      <c r="K11" s="38"/>
      <c r="L11" s="38"/>
      <c r="M11" s="38"/>
      <c r="N11" s="44"/>
      <c r="O11" s="38"/>
      <c r="P11" s="38"/>
      <c r="Q11" s="38"/>
      <c r="R11" s="38"/>
      <c r="S11" s="38"/>
      <c r="T11" s="38"/>
      <c r="U11" s="38"/>
      <c r="V11" s="43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41"/>
      <c r="BC11" s="38"/>
      <c r="BD11" s="38"/>
      <c r="BE11" s="38"/>
      <c r="BF11" s="38"/>
      <c r="BG11" s="38"/>
      <c r="BH11" s="38"/>
      <c r="BI11" s="38"/>
      <c r="BJ11" s="38"/>
      <c r="BK11" s="38"/>
      <c r="BL11" s="38"/>
      <c r="BM11" s="38"/>
      <c r="BN11" s="38"/>
      <c r="BO11" s="38"/>
    </row>
    <row r="12" spans="1:67">
      <c r="A12" s="39" t="s">
        <v>67</v>
      </c>
      <c r="B12" s="40">
        <v>11</v>
      </c>
      <c r="C12" s="40">
        <v>2019</v>
      </c>
      <c r="D12" s="34"/>
      <c r="E12" s="38"/>
      <c r="F12" s="44"/>
      <c r="G12" s="38"/>
      <c r="H12" s="34"/>
      <c r="I12" s="38"/>
      <c r="J12" s="34"/>
      <c r="K12" s="38"/>
      <c r="L12" s="38"/>
      <c r="M12" s="38"/>
      <c r="N12" s="44"/>
      <c r="O12" s="38"/>
      <c r="P12" s="38"/>
      <c r="Q12" s="38"/>
      <c r="R12" s="38"/>
      <c r="S12" s="38"/>
      <c r="T12" s="38"/>
      <c r="U12" s="38"/>
      <c r="V12" s="43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41"/>
      <c r="BC12" s="38"/>
      <c r="BD12" s="38"/>
      <c r="BE12" s="38"/>
      <c r="BF12" s="38"/>
      <c r="BG12" s="38"/>
      <c r="BH12" s="38"/>
      <c r="BI12" s="38"/>
      <c r="BJ12" s="38"/>
      <c r="BK12" s="38"/>
      <c r="BL12" s="38"/>
      <c r="BM12" s="38"/>
      <c r="BN12" s="38"/>
      <c r="BO12" s="38"/>
    </row>
    <row r="13" spans="1:67">
      <c r="A13" s="39" t="s">
        <v>67</v>
      </c>
      <c r="B13" s="40">
        <v>12</v>
      </c>
      <c r="C13" s="40">
        <v>2019</v>
      </c>
      <c r="D13" s="34"/>
      <c r="E13" s="38"/>
      <c r="F13" s="44"/>
      <c r="G13" s="38"/>
      <c r="H13" s="34"/>
      <c r="I13" s="38"/>
      <c r="J13" s="34"/>
      <c r="K13" s="38"/>
      <c r="L13" s="38"/>
      <c r="M13" s="38"/>
      <c r="N13" s="44"/>
      <c r="O13" s="38"/>
      <c r="P13" s="38"/>
      <c r="Q13" s="38"/>
      <c r="R13" s="38"/>
      <c r="S13" s="38"/>
      <c r="T13" s="38"/>
      <c r="U13" s="38"/>
      <c r="V13" s="43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41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P33"/>
  <sheetViews>
    <sheetView topLeftCell="AU9" workbookViewId="0">
      <selection activeCell="E32" sqref="E32:BP32"/>
    </sheetView>
  </sheetViews>
  <sheetFormatPr defaultColWidth="11.5703125" defaultRowHeight="15"/>
  <cols>
    <col min="1" max="1" width="18.42578125" customWidth="1"/>
    <col min="2" max="2" width="8.28515625" style="31" customWidth="1"/>
    <col min="3" max="3" width="7.5703125" style="32" customWidth="1"/>
    <col min="4" max="4" width="13.42578125" style="31" customWidth="1"/>
    <col min="5" max="10" width="8.7109375" customWidth="1"/>
    <col min="11" max="23" width="8.42578125" customWidth="1"/>
    <col min="24" max="24" width="12.42578125" customWidth="1"/>
    <col min="25" max="68" width="8.42578125" customWidth="1"/>
  </cols>
  <sheetData>
    <row r="1" spans="1:68" s="27" customFormat="1" ht="113.25" customHeight="1">
      <c r="A1" s="22" t="s">
        <v>0</v>
      </c>
      <c r="B1" s="22" t="s">
        <v>68</v>
      </c>
      <c r="C1" s="23" t="s">
        <v>1</v>
      </c>
      <c r="D1" s="24" t="s">
        <v>2</v>
      </c>
      <c r="E1" s="25" t="s">
        <v>3</v>
      </c>
      <c r="F1" s="25" t="s">
        <v>4</v>
      </c>
      <c r="G1" s="25" t="s">
        <v>5</v>
      </c>
      <c r="H1" s="25" t="s">
        <v>6</v>
      </c>
      <c r="I1" s="25" t="s">
        <v>7</v>
      </c>
      <c r="J1" s="25" t="s">
        <v>8</v>
      </c>
      <c r="K1" s="25" t="s">
        <v>69</v>
      </c>
      <c r="L1" s="25" t="s">
        <v>70</v>
      </c>
      <c r="M1" s="25" t="s">
        <v>11</v>
      </c>
      <c r="N1" s="25" t="s">
        <v>12</v>
      </c>
      <c r="O1" s="25" t="s">
        <v>13</v>
      </c>
      <c r="P1" s="25" t="s">
        <v>14</v>
      </c>
      <c r="Q1" s="25" t="s">
        <v>15</v>
      </c>
      <c r="R1" s="25" t="s">
        <v>16</v>
      </c>
      <c r="S1" s="25" t="s">
        <v>17</v>
      </c>
      <c r="T1" s="25" t="s">
        <v>18</v>
      </c>
      <c r="U1" s="25" t="s">
        <v>19</v>
      </c>
      <c r="V1" s="25" t="s">
        <v>20</v>
      </c>
      <c r="W1" s="25" t="s">
        <v>21</v>
      </c>
      <c r="X1" s="25" t="s">
        <v>22</v>
      </c>
      <c r="Y1" s="25" t="s">
        <v>23</v>
      </c>
      <c r="Z1" s="25" t="s">
        <v>24</v>
      </c>
      <c r="AA1" s="25" t="s">
        <v>25</v>
      </c>
      <c r="AB1" s="25" t="s">
        <v>26</v>
      </c>
      <c r="AC1" s="25" t="s">
        <v>27</v>
      </c>
      <c r="AD1" s="25" t="s">
        <v>28</v>
      </c>
      <c r="AE1" s="25" t="s">
        <v>29</v>
      </c>
      <c r="AF1" s="25" t="s">
        <v>30</v>
      </c>
      <c r="AG1" s="25" t="s">
        <v>31</v>
      </c>
      <c r="AH1" s="25" t="s">
        <v>32</v>
      </c>
      <c r="AI1" s="25" t="s">
        <v>33</v>
      </c>
      <c r="AJ1" s="25" t="s">
        <v>34</v>
      </c>
      <c r="AK1" s="25" t="s">
        <v>35</v>
      </c>
      <c r="AL1" s="25" t="s">
        <v>36</v>
      </c>
      <c r="AM1" s="25" t="s">
        <v>37</v>
      </c>
      <c r="AN1" s="25" t="s">
        <v>38</v>
      </c>
      <c r="AO1" s="25" t="s">
        <v>39</v>
      </c>
      <c r="AP1" s="25" t="s">
        <v>40</v>
      </c>
      <c r="AQ1" s="25" t="s">
        <v>41</v>
      </c>
      <c r="AR1" s="25" t="s">
        <v>42</v>
      </c>
      <c r="AS1" s="25" t="s">
        <v>43</v>
      </c>
      <c r="AT1" s="25" t="s">
        <v>44</v>
      </c>
      <c r="AU1" s="25" t="s">
        <v>45</v>
      </c>
      <c r="AV1" s="25" t="s">
        <v>46</v>
      </c>
      <c r="AW1" s="25" t="s">
        <v>47</v>
      </c>
      <c r="AX1" s="25" t="s">
        <v>48</v>
      </c>
      <c r="AY1" s="25" t="s">
        <v>49</v>
      </c>
      <c r="AZ1" s="25" t="s">
        <v>50</v>
      </c>
      <c r="BA1" s="25" t="s">
        <v>51</v>
      </c>
      <c r="BB1" s="25" t="s">
        <v>52</v>
      </c>
      <c r="BC1" s="25" t="s">
        <v>53</v>
      </c>
      <c r="BD1" s="25" t="s">
        <v>54</v>
      </c>
      <c r="BE1" s="25" t="s">
        <v>55</v>
      </c>
      <c r="BF1" s="25" t="s">
        <v>56</v>
      </c>
      <c r="BG1" s="25" t="s">
        <v>57</v>
      </c>
      <c r="BH1" s="25" t="s">
        <v>58</v>
      </c>
      <c r="BI1" s="25" t="s">
        <v>59</v>
      </c>
      <c r="BJ1" s="25" t="s">
        <v>60</v>
      </c>
      <c r="BK1" s="25" t="s">
        <v>61</v>
      </c>
      <c r="BL1" s="25" t="s">
        <v>62</v>
      </c>
      <c r="BM1" s="25" t="s">
        <v>63</v>
      </c>
      <c r="BN1" s="25" t="s">
        <v>64</v>
      </c>
      <c r="BO1" s="26" t="s">
        <v>65</v>
      </c>
      <c r="BP1" s="25" t="s">
        <v>66</v>
      </c>
    </row>
    <row r="2" spans="1:68">
      <c r="A2" s="20" t="s">
        <v>67</v>
      </c>
      <c r="B2" s="28">
        <v>1</v>
      </c>
      <c r="C2" s="29">
        <v>9</v>
      </c>
      <c r="D2" s="30">
        <v>2019</v>
      </c>
      <c r="E2" s="21">
        <f>'Sep 2019'!M8</f>
        <v>3.8</v>
      </c>
      <c r="F2" s="25">
        <f>'Sep 2019'!N8</f>
        <v>0</v>
      </c>
      <c r="G2" s="25">
        <f>'Sep 2019'!G13</f>
        <v>0</v>
      </c>
      <c r="H2" s="25">
        <f>'Sep 2019'!H8</f>
        <v>0</v>
      </c>
      <c r="I2" s="25">
        <f>'Sep 2019'!I8</f>
        <v>0</v>
      </c>
      <c r="J2" s="25">
        <f>'Sep 2019'!J8</f>
        <v>0</v>
      </c>
      <c r="K2" s="25">
        <f>'Sep 2019'!K8</f>
        <v>9.2000000000000011</v>
      </c>
      <c r="L2" s="25">
        <f>'Sep 2019'!L10</f>
        <v>0</v>
      </c>
      <c r="M2" s="25">
        <f>'Sep 2019'!S8</f>
        <v>0</v>
      </c>
      <c r="N2" s="25">
        <f>'Sep 2019'!T8</f>
        <v>0</v>
      </c>
      <c r="O2" s="25">
        <f>'Sep 2019'!U8</f>
        <v>5</v>
      </c>
      <c r="P2" s="25">
        <f>'Sep 2019'!V8</f>
        <v>0</v>
      </c>
      <c r="Q2" s="25">
        <f>'Sep 2019'!BC8</f>
        <v>0</v>
      </c>
      <c r="R2" s="25">
        <f>'Sep 2019'!BD8</f>
        <v>0</v>
      </c>
      <c r="S2" s="25">
        <f>'Sep 2019'!BF8</f>
        <v>0</v>
      </c>
      <c r="T2" s="25">
        <f>'Sep 2019'!BF8</f>
        <v>0</v>
      </c>
      <c r="U2" s="25">
        <f>'Sep 2019'!BG8</f>
        <v>0</v>
      </c>
      <c r="V2" s="25">
        <f>'Sep 2019'!BH8</f>
        <v>0</v>
      </c>
      <c r="W2" s="25">
        <f>'Sep 2019'!W8</f>
        <v>164</v>
      </c>
      <c r="X2" s="25">
        <f>'Sep 2019'!X8</f>
        <v>17800000</v>
      </c>
      <c r="Y2" s="25">
        <f>'Sep 2019'!Y8</f>
        <v>0</v>
      </c>
      <c r="Z2" s="25">
        <f>'Sep 2019'!Z8</f>
        <v>0</v>
      </c>
      <c r="AA2" s="25">
        <f>'Sep 2019'!AA8</f>
        <v>0</v>
      </c>
      <c r="AB2" s="25">
        <f>'Sep 2019'!AB8</f>
        <v>0</v>
      </c>
      <c r="AC2" s="25">
        <f>'Sep 2019'!AC8</f>
        <v>0</v>
      </c>
      <c r="AD2" s="25">
        <f>'Sep 2019'!AD8</f>
        <v>0</v>
      </c>
      <c r="AE2" s="25">
        <f>'Sep 2019'!AE8</f>
        <v>0</v>
      </c>
      <c r="AF2" s="25">
        <f>'Sep 2019'!AF8</f>
        <v>0</v>
      </c>
      <c r="AG2" s="25">
        <f>'Sep 2019'!AK8</f>
        <v>0</v>
      </c>
      <c r="AH2" s="25">
        <f>'Sep 2019'!AP8</f>
        <v>0</v>
      </c>
      <c r="AI2" s="25">
        <f>'Sep 2019'!AO8</f>
        <v>0</v>
      </c>
      <c r="AJ2" s="25">
        <f>'Sep 2019'!AP8</f>
        <v>0</v>
      </c>
      <c r="AK2" s="25">
        <f>'Sep 2019'!AW8</f>
        <v>0</v>
      </c>
      <c r="AL2" s="25">
        <f>'Sep 2019'!AX8</f>
        <v>0</v>
      </c>
      <c r="AM2" s="25">
        <f>'Sep 2019'!AZ8</f>
        <v>0</v>
      </c>
      <c r="AN2" s="25">
        <f>'Sep 2019'!AZ8</f>
        <v>0</v>
      </c>
      <c r="AO2" s="25">
        <f>'Sep 2019'!BI8</f>
        <v>0</v>
      </c>
      <c r="AP2" s="25">
        <f>'Sep 2019'!BJ8</f>
        <v>0</v>
      </c>
      <c r="AQ2" s="25">
        <f>'Sep 2019'!BA8</f>
        <v>0</v>
      </c>
      <c r="AR2" s="25">
        <f>'Sep 2019'!BB8</f>
        <v>0</v>
      </c>
      <c r="AS2" s="25">
        <f>'Sep 2019'!BK8</f>
        <v>0</v>
      </c>
      <c r="AT2" s="25">
        <f>'Sep 2019'!BL8</f>
        <v>0</v>
      </c>
      <c r="AU2" s="25">
        <f>'Sep 2019'!BM8</f>
        <v>0</v>
      </c>
      <c r="AV2" s="25">
        <f>'Sep 2019'!BN8</f>
        <v>0</v>
      </c>
      <c r="AW2" s="25">
        <f>'Sep 2019'!E8</f>
        <v>14.700000000000001</v>
      </c>
      <c r="AX2" s="25">
        <f>'Sep 2019'!F8</f>
        <v>0</v>
      </c>
      <c r="AY2" s="25">
        <f>'Sep 2019'!O8</f>
        <v>0</v>
      </c>
      <c r="AZ2" s="25">
        <f>'Sep 2019'!P8</f>
        <v>0</v>
      </c>
      <c r="BA2" s="25">
        <f>'Sep 2019'!U8</f>
        <v>5</v>
      </c>
      <c r="BB2" s="25">
        <f>'Sep 2019'!V22</f>
        <v>0</v>
      </c>
      <c r="BC2" s="25">
        <f>'Sep 2019'!AG8</f>
        <v>554.99999999999989</v>
      </c>
      <c r="BD2" s="25">
        <f>'Sep 2019'!AH8</f>
        <v>0</v>
      </c>
      <c r="BE2" s="25">
        <f>'Sep 2019'!AI8</f>
        <v>0</v>
      </c>
      <c r="BF2" s="25">
        <f>'Sep 2019'!AJ8</f>
        <v>0</v>
      </c>
      <c r="BG2" s="25">
        <f>'Sep 2019'!AK8</f>
        <v>0</v>
      </c>
      <c r="BH2" s="25">
        <f>'Sep 2019'!AL8</f>
        <v>0</v>
      </c>
      <c r="BI2" s="25">
        <f>'Sep 2019'!AM8</f>
        <v>0</v>
      </c>
      <c r="BJ2" s="25">
        <f>'Sep 2019'!AM8</f>
        <v>0</v>
      </c>
      <c r="BK2" s="25">
        <f>'Sep 2019'!AO8</f>
        <v>0</v>
      </c>
      <c r="BL2" s="25">
        <f>'Sep 2019'!AP8</f>
        <v>0</v>
      </c>
      <c r="BM2" s="25">
        <v>0</v>
      </c>
      <c r="BN2" s="25">
        <v>0</v>
      </c>
      <c r="BO2" s="26">
        <f>'Sep 2019'!Q8</f>
        <v>0</v>
      </c>
      <c r="BP2" s="25">
        <f>'Sep 2019'!R8</f>
        <v>0</v>
      </c>
    </row>
    <row r="3" spans="1:68">
      <c r="A3" s="20" t="s">
        <v>67</v>
      </c>
      <c r="B3" s="28">
        <f>B2+1</f>
        <v>2</v>
      </c>
      <c r="C3" s="29">
        <v>9</v>
      </c>
      <c r="D3" s="30">
        <v>2019</v>
      </c>
      <c r="E3" s="21">
        <f>'Sep 2019'!M9</f>
        <v>5.0999999999999996</v>
      </c>
      <c r="F3" s="25">
        <f>'Sep 2019'!N9</f>
        <v>0</v>
      </c>
      <c r="G3" s="25">
        <f>'Sep 2019'!G9</f>
        <v>0</v>
      </c>
      <c r="H3" s="25">
        <f>'Sep 2019'!H9</f>
        <v>0</v>
      </c>
      <c r="I3" s="25">
        <f>'Sep 2019'!I9</f>
        <v>0</v>
      </c>
      <c r="J3" s="25">
        <f>'Sep 2019'!J9</f>
        <v>0</v>
      </c>
      <c r="K3" s="25">
        <f>'Sep 2019'!K9</f>
        <v>8.8000000000000007</v>
      </c>
      <c r="L3" s="25">
        <f>'Sep 2019'!L11</f>
        <v>0</v>
      </c>
      <c r="M3" s="25">
        <f>'Sep 2019'!S9</f>
        <v>0</v>
      </c>
      <c r="N3" s="25">
        <f>'Sep 2019'!T9</f>
        <v>0</v>
      </c>
      <c r="O3" s="25">
        <f>'Sep 2019'!U9</f>
        <v>6.1</v>
      </c>
      <c r="P3" s="25">
        <f>'Sep 2019'!V9</f>
        <v>0</v>
      </c>
      <c r="Q3" s="25">
        <f>'Sep 2019'!BC9</f>
        <v>0</v>
      </c>
      <c r="R3" s="25">
        <f>'Sep 2019'!BD9</f>
        <v>0</v>
      </c>
      <c r="S3" s="25">
        <f>'Sep 2019'!BF9</f>
        <v>0</v>
      </c>
      <c r="T3" s="25">
        <f>'Sep 2019'!BF9</f>
        <v>0</v>
      </c>
      <c r="U3" s="25">
        <f>'Sep 2019'!BG9</f>
        <v>0</v>
      </c>
      <c r="V3" s="25">
        <f>'Sep 2019'!BH9</f>
        <v>0</v>
      </c>
      <c r="W3" s="25">
        <f>'Sep 2019'!W9</f>
        <v>140</v>
      </c>
      <c r="X3" s="25">
        <f>'Sep 2019'!X9</f>
        <v>0</v>
      </c>
      <c r="Y3" s="25">
        <f>'Sep 2019'!Y9</f>
        <v>0</v>
      </c>
      <c r="Z3" s="25">
        <f>'Sep 2019'!Z9</f>
        <v>0</v>
      </c>
      <c r="AA3" s="25">
        <f>'Sep 2019'!AA9</f>
        <v>0</v>
      </c>
      <c r="AB3" s="25">
        <f>'Sep 2019'!AB9</f>
        <v>0</v>
      </c>
      <c r="AC3" s="25">
        <f>'Sep 2019'!AC9</f>
        <v>0</v>
      </c>
      <c r="AD3" s="25">
        <f>'Sep 2019'!AD9</f>
        <v>0</v>
      </c>
      <c r="AE3" s="25">
        <f>'Sep 2019'!AE9</f>
        <v>0</v>
      </c>
      <c r="AF3" s="25">
        <f>'Sep 2019'!AF9</f>
        <v>0</v>
      </c>
      <c r="AG3" s="25">
        <f>'Sep 2019'!AK9</f>
        <v>0</v>
      </c>
      <c r="AH3" s="25">
        <f>'Sep 2019'!AP9</f>
        <v>0</v>
      </c>
      <c r="AI3" s="25">
        <f>'Sep 2019'!AO9</f>
        <v>0</v>
      </c>
      <c r="AJ3" s="25">
        <f>'Sep 2019'!AP9</f>
        <v>0</v>
      </c>
      <c r="AK3" s="25">
        <f>'Sep 2019'!AW9</f>
        <v>0</v>
      </c>
      <c r="AL3" s="25">
        <f>'Sep 2019'!AX9</f>
        <v>0</v>
      </c>
      <c r="AM3" s="25">
        <f>'Sep 2019'!AZ9</f>
        <v>0</v>
      </c>
      <c r="AN3" s="25">
        <f>'Sep 2019'!AZ9</f>
        <v>0</v>
      </c>
      <c r="AO3" s="25">
        <f>'Sep 2019'!BI9</f>
        <v>0</v>
      </c>
      <c r="AP3" s="25">
        <f>'Sep 2019'!BJ9</f>
        <v>0</v>
      </c>
      <c r="AQ3" s="25">
        <f>'Sep 2019'!BA9</f>
        <v>0</v>
      </c>
      <c r="AR3" s="25">
        <f>'Sep 2019'!BB9</f>
        <v>0</v>
      </c>
      <c r="AS3" s="25">
        <f>'Sep 2019'!BK9</f>
        <v>0</v>
      </c>
      <c r="AT3" s="25">
        <f>'Sep 2019'!BL9</f>
        <v>0</v>
      </c>
      <c r="AU3" s="25">
        <f>'Sep 2019'!BM9</f>
        <v>0</v>
      </c>
      <c r="AV3" s="25">
        <f>'Sep 2019'!BN9</f>
        <v>0</v>
      </c>
      <c r="AW3" s="25">
        <f>'Sep 2019'!E9</f>
        <v>15.500000000000002</v>
      </c>
      <c r="AX3" s="25">
        <f>'Sep 2019'!F9</f>
        <v>0</v>
      </c>
      <c r="AY3" s="25">
        <f>'Sep 2019'!O9</f>
        <v>0</v>
      </c>
      <c r="AZ3" s="25">
        <f>'Sep 2019'!P9</f>
        <v>0</v>
      </c>
      <c r="BA3" s="25">
        <f>'Sep 2019'!U9</f>
        <v>6.1</v>
      </c>
      <c r="BB3" s="25">
        <f>'Sep 2019'!V23</f>
        <v>0</v>
      </c>
      <c r="BC3" s="25">
        <f>'Sep 2019'!AG9</f>
        <v>380</v>
      </c>
      <c r="BD3" s="25">
        <f>'Sep 2019'!AH9</f>
        <v>0</v>
      </c>
      <c r="BE3" s="25">
        <f>'Sep 2019'!AI9</f>
        <v>0</v>
      </c>
      <c r="BF3" s="25">
        <f>'Sep 2019'!AJ9</f>
        <v>0</v>
      </c>
      <c r="BG3" s="25">
        <f>'Sep 2019'!AK9</f>
        <v>0</v>
      </c>
      <c r="BH3" s="25">
        <f>'Sep 2019'!AL9</f>
        <v>0</v>
      </c>
      <c r="BI3" s="25">
        <f>'Sep 2019'!AM9</f>
        <v>0</v>
      </c>
      <c r="BJ3" s="25">
        <f>'Sep 2019'!AM9</f>
        <v>0</v>
      </c>
      <c r="BK3" s="25">
        <f>'Sep 2019'!AO9</f>
        <v>0</v>
      </c>
      <c r="BL3" s="25">
        <f>'Sep 2019'!AP9</f>
        <v>0</v>
      </c>
      <c r="BM3" s="25">
        <v>0</v>
      </c>
      <c r="BN3" s="25">
        <v>0</v>
      </c>
      <c r="BO3" s="26">
        <f>'Sep 2019'!Q9</f>
        <v>0</v>
      </c>
      <c r="BP3" s="25">
        <f>'Sep 2019'!R9</f>
        <v>0</v>
      </c>
    </row>
    <row r="4" spans="1:68">
      <c r="A4" s="20" t="s">
        <v>67</v>
      </c>
      <c r="B4" s="28">
        <f t="shared" ref="B4:B31" si="0">B3+1</f>
        <v>3</v>
      </c>
      <c r="C4" s="29">
        <v>9</v>
      </c>
      <c r="D4" s="30">
        <v>2019</v>
      </c>
      <c r="E4" s="21">
        <f>'Sep 2019'!M10</f>
        <v>3.9000000000000004</v>
      </c>
      <c r="F4" s="25">
        <f>'Sep 2019'!N10</f>
        <v>0</v>
      </c>
      <c r="G4" s="25">
        <f>'Sep 2019'!G10</f>
        <v>0</v>
      </c>
      <c r="H4" s="25">
        <f>'Sep 2019'!H10</f>
        <v>0</v>
      </c>
      <c r="I4" s="25">
        <f>'Sep 2019'!I10</f>
        <v>0</v>
      </c>
      <c r="J4" s="25">
        <f>'Sep 2019'!J10</f>
        <v>0</v>
      </c>
      <c r="K4" s="25">
        <f>'Sep 2019'!K10</f>
        <v>9.5</v>
      </c>
      <c r="L4" s="25">
        <f>'Sep 2019'!L12</f>
        <v>0</v>
      </c>
      <c r="M4" s="25">
        <f>'Sep 2019'!S10</f>
        <v>0</v>
      </c>
      <c r="N4" s="25">
        <f>'Sep 2019'!T10</f>
        <v>0</v>
      </c>
      <c r="O4" s="25">
        <f>'Sep 2019'!U10</f>
        <v>5.3000000000000007</v>
      </c>
      <c r="P4" s="25">
        <f>'Sep 2019'!V10</f>
        <v>0</v>
      </c>
      <c r="Q4" s="25">
        <f>'Sep 2019'!BC10</f>
        <v>0</v>
      </c>
      <c r="R4" s="25">
        <f>'Sep 2019'!BD10</f>
        <v>0</v>
      </c>
      <c r="S4" s="25">
        <f>'Sep 2019'!BF10</f>
        <v>0</v>
      </c>
      <c r="T4" s="25">
        <f>'Sep 2019'!BF10</f>
        <v>0</v>
      </c>
      <c r="U4" s="25">
        <f>'Sep 2019'!BG10</f>
        <v>0</v>
      </c>
      <c r="V4" s="25">
        <f>'Sep 2019'!BH10</f>
        <v>0</v>
      </c>
      <c r="W4" s="25">
        <f>'Sep 2019'!W10</f>
        <v>172</v>
      </c>
      <c r="X4" s="25">
        <f>'Sep 2019'!X10</f>
        <v>0</v>
      </c>
      <c r="Y4" s="25">
        <f>'Sep 2019'!Y10</f>
        <v>0</v>
      </c>
      <c r="Z4" s="25">
        <f>'Sep 2019'!Z10</f>
        <v>0</v>
      </c>
      <c r="AA4" s="25">
        <f>'Sep 2019'!AA10</f>
        <v>0</v>
      </c>
      <c r="AB4" s="25">
        <f>'Sep 2019'!AB10</f>
        <v>0</v>
      </c>
      <c r="AC4" s="25">
        <f>'Sep 2019'!AC10</f>
        <v>0</v>
      </c>
      <c r="AD4" s="25">
        <f>'Sep 2019'!AD10</f>
        <v>0</v>
      </c>
      <c r="AE4" s="25">
        <f>'Sep 2019'!AE10</f>
        <v>0</v>
      </c>
      <c r="AF4" s="25">
        <f>'Sep 2019'!AF10</f>
        <v>0</v>
      </c>
      <c r="AG4" s="25">
        <f>'Sep 2019'!AK10</f>
        <v>0</v>
      </c>
      <c r="AH4" s="25">
        <f>'Sep 2019'!AP10</f>
        <v>0</v>
      </c>
      <c r="AI4" s="25">
        <f>'Sep 2019'!AO10</f>
        <v>0</v>
      </c>
      <c r="AJ4" s="25">
        <f>'Sep 2019'!AP10</f>
        <v>0</v>
      </c>
      <c r="AK4" s="25">
        <f>'Sep 2019'!AW10</f>
        <v>0</v>
      </c>
      <c r="AL4" s="25">
        <f>'Sep 2019'!AX10</f>
        <v>0</v>
      </c>
      <c r="AM4" s="25">
        <f>'Sep 2019'!AZ10</f>
        <v>0</v>
      </c>
      <c r="AN4" s="25">
        <f>'Sep 2019'!AZ10</f>
        <v>0</v>
      </c>
      <c r="AO4" s="25">
        <f>'Sep 2019'!BI10</f>
        <v>0</v>
      </c>
      <c r="AP4" s="25">
        <f>'Sep 2019'!BJ10</f>
        <v>0</v>
      </c>
      <c r="AQ4" s="25">
        <f>'Sep 2019'!BA10</f>
        <v>0</v>
      </c>
      <c r="AR4" s="25">
        <f>'Sep 2019'!BB10</f>
        <v>0</v>
      </c>
      <c r="AS4" s="25">
        <f>'Sep 2019'!BK10</f>
        <v>0</v>
      </c>
      <c r="AT4" s="25">
        <f>'Sep 2019'!BL10</f>
        <v>0</v>
      </c>
      <c r="AU4" s="25">
        <f>'Sep 2019'!BM10</f>
        <v>0</v>
      </c>
      <c r="AV4" s="25">
        <f>'Sep 2019'!BN10</f>
        <v>0</v>
      </c>
      <c r="AW4" s="25">
        <f>'Sep 2019'!E10</f>
        <v>14.8</v>
      </c>
      <c r="AX4" s="25">
        <f>'Sep 2019'!F10</f>
        <v>0</v>
      </c>
      <c r="AY4" s="25">
        <f>'Sep 2019'!O10</f>
        <v>0</v>
      </c>
      <c r="AZ4" s="25">
        <f>'Sep 2019'!P10</f>
        <v>0</v>
      </c>
      <c r="BA4" s="25">
        <f>'Sep 2019'!U10</f>
        <v>5.3000000000000007</v>
      </c>
      <c r="BB4" s="25">
        <f>'Sep 2019'!V24</f>
        <v>0</v>
      </c>
      <c r="BC4" s="25">
        <f>'Sep 2019'!AG10</f>
        <v>415</v>
      </c>
      <c r="BD4" s="25">
        <f>'Sep 2019'!AH10</f>
        <v>0</v>
      </c>
      <c r="BE4" s="25">
        <f>'Sep 2019'!AI10</f>
        <v>0</v>
      </c>
      <c r="BF4" s="25">
        <f>'Sep 2019'!AJ10</f>
        <v>0</v>
      </c>
      <c r="BG4" s="25">
        <f>'Sep 2019'!AK10</f>
        <v>0</v>
      </c>
      <c r="BH4" s="25">
        <f>'Sep 2019'!AL10</f>
        <v>0</v>
      </c>
      <c r="BI4" s="25">
        <f>'Sep 2019'!AM10</f>
        <v>0</v>
      </c>
      <c r="BJ4" s="25">
        <f>'Sep 2019'!AM10</f>
        <v>0</v>
      </c>
      <c r="BK4" s="25">
        <f>'Sep 2019'!AO10</f>
        <v>0</v>
      </c>
      <c r="BL4" s="25">
        <f>'Sep 2019'!AP10</f>
        <v>0</v>
      </c>
      <c r="BM4" s="25">
        <v>0</v>
      </c>
      <c r="BN4" s="25">
        <v>0</v>
      </c>
      <c r="BO4" s="26">
        <f>'Sep 2019'!Q10</f>
        <v>0</v>
      </c>
      <c r="BP4" s="25">
        <f>'Sep 2019'!R10</f>
        <v>0</v>
      </c>
    </row>
    <row r="5" spans="1:68">
      <c r="A5" s="20" t="s">
        <v>67</v>
      </c>
      <c r="B5" s="28">
        <f t="shared" si="0"/>
        <v>4</v>
      </c>
      <c r="C5" s="29">
        <v>9</v>
      </c>
      <c r="D5" s="30">
        <v>2019</v>
      </c>
      <c r="E5" s="21">
        <f>'Sep 2019'!M11</f>
        <v>6</v>
      </c>
      <c r="F5" s="25">
        <f>'Sep 2019'!N11</f>
        <v>0</v>
      </c>
      <c r="G5" s="25">
        <f>'Sep 2019'!G11</f>
        <v>0</v>
      </c>
      <c r="H5" s="25">
        <f>'Sep 2019'!H11</f>
        <v>0</v>
      </c>
      <c r="I5" s="25">
        <f>'Sep 2019'!I11</f>
        <v>0</v>
      </c>
      <c r="J5" s="25">
        <f>'Sep 2019'!J11</f>
        <v>0</v>
      </c>
      <c r="K5" s="25">
        <f>'Sep 2019'!K11</f>
        <v>9.8000000000000007</v>
      </c>
      <c r="L5" s="25">
        <f>'Sep 2019'!L13</f>
        <v>0</v>
      </c>
      <c r="M5" s="25">
        <f>'Sep 2019'!S11</f>
        <v>0</v>
      </c>
      <c r="N5" s="25">
        <f>'Sep 2019'!T11</f>
        <v>0</v>
      </c>
      <c r="O5" s="25">
        <f>'Sep 2019'!U11</f>
        <v>5.2</v>
      </c>
      <c r="P5" s="25">
        <f>'Sep 2019'!V11</f>
        <v>0</v>
      </c>
      <c r="Q5" s="25">
        <f>'Sep 2019'!BC11</f>
        <v>0</v>
      </c>
      <c r="R5" s="25">
        <f>'Sep 2019'!BD11</f>
        <v>0</v>
      </c>
      <c r="S5" s="25">
        <f>'Sep 2019'!BF11</f>
        <v>0</v>
      </c>
      <c r="T5" s="25">
        <f>'Sep 2019'!BF11</f>
        <v>0</v>
      </c>
      <c r="U5" s="25">
        <f>'Sep 2019'!BG11</f>
        <v>0</v>
      </c>
      <c r="V5" s="25">
        <f>'Sep 2019'!BH11</f>
        <v>0</v>
      </c>
      <c r="W5" s="25">
        <f>'Sep 2019'!W11</f>
        <v>144</v>
      </c>
      <c r="X5" s="25">
        <f>'Sep 2019'!X11</f>
        <v>0</v>
      </c>
      <c r="Y5" s="25">
        <f>'Sep 2019'!Y11</f>
        <v>0</v>
      </c>
      <c r="Z5" s="25">
        <f>'Sep 2019'!Z11</f>
        <v>0</v>
      </c>
      <c r="AA5" s="25">
        <f>'Sep 2019'!AA11</f>
        <v>0</v>
      </c>
      <c r="AB5" s="25">
        <f>'Sep 2019'!AB11</f>
        <v>0</v>
      </c>
      <c r="AC5" s="25">
        <f>'Sep 2019'!AC11</f>
        <v>0</v>
      </c>
      <c r="AD5" s="25">
        <f>'Sep 2019'!AD11</f>
        <v>0</v>
      </c>
      <c r="AE5" s="25">
        <f>'Sep 2019'!AE11</f>
        <v>0</v>
      </c>
      <c r="AF5" s="25">
        <f>'Sep 2019'!AF11</f>
        <v>0</v>
      </c>
      <c r="AG5" s="25">
        <f>'Sep 2019'!AK11</f>
        <v>0</v>
      </c>
      <c r="AH5" s="25">
        <f>'Sep 2019'!AP11</f>
        <v>0</v>
      </c>
      <c r="AI5" s="25">
        <f>'Sep 2019'!AO11</f>
        <v>0</v>
      </c>
      <c r="AJ5" s="25">
        <f>'Sep 2019'!AP11</f>
        <v>0</v>
      </c>
      <c r="AK5" s="25">
        <f>'Sep 2019'!AW11</f>
        <v>0</v>
      </c>
      <c r="AL5" s="25">
        <f>'Sep 2019'!AX11</f>
        <v>0</v>
      </c>
      <c r="AM5" s="25">
        <f>'Sep 2019'!AZ11</f>
        <v>0</v>
      </c>
      <c r="AN5" s="25">
        <f>'Sep 2019'!AZ11</f>
        <v>0</v>
      </c>
      <c r="AO5" s="25">
        <f>'Sep 2019'!BI11</f>
        <v>0</v>
      </c>
      <c r="AP5" s="25">
        <f>'Sep 2019'!BJ11</f>
        <v>0</v>
      </c>
      <c r="AQ5" s="25">
        <f>'Sep 2019'!BA11</f>
        <v>0</v>
      </c>
      <c r="AR5" s="25">
        <f>'Sep 2019'!BB11</f>
        <v>0</v>
      </c>
      <c r="AS5" s="25">
        <f>'Sep 2019'!BK11</f>
        <v>0</v>
      </c>
      <c r="AT5" s="25">
        <f>'Sep 2019'!BL11</f>
        <v>0</v>
      </c>
      <c r="AU5" s="25">
        <f>'Sep 2019'!BM11</f>
        <v>0</v>
      </c>
      <c r="AV5" s="25">
        <f>'Sep 2019'!BN11</f>
        <v>0</v>
      </c>
      <c r="AW5" s="25">
        <f>'Sep 2019'!E11</f>
        <v>15</v>
      </c>
      <c r="AX5" s="25">
        <f>'Sep 2019'!F11</f>
        <v>0</v>
      </c>
      <c r="AY5" s="25">
        <f>'Sep 2019'!O11</f>
        <v>0</v>
      </c>
      <c r="AZ5" s="25">
        <f>'Sep 2019'!P11</f>
        <v>0</v>
      </c>
      <c r="BA5" s="25">
        <f>'Sep 2019'!U11</f>
        <v>5.2</v>
      </c>
      <c r="BB5" s="25">
        <f>'Sep 2019'!V25</f>
        <v>0</v>
      </c>
      <c r="BC5" s="25">
        <f>'Sep 2019'!AG11</f>
        <v>385</v>
      </c>
      <c r="BD5" s="25">
        <f>'Sep 2019'!AH11</f>
        <v>0</v>
      </c>
      <c r="BE5" s="25">
        <f>'Sep 2019'!AI11</f>
        <v>0</v>
      </c>
      <c r="BF5" s="25">
        <f>'Sep 2019'!AJ11</f>
        <v>0</v>
      </c>
      <c r="BG5" s="25">
        <f>'Sep 2019'!AK11</f>
        <v>0</v>
      </c>
      <c r="BH5" s="25">
        <f>'Sep 2019'!AL11</f>
        <v>0</v>
      </c>
      <c r="BI5" s="25">
        <f>'Sep 2019'!AM11</f>
        <v>0</v>
      </c>
      <c r="BJ5" s="25">
        <f>'Sep 2019'!AM11</f>
        <v>0</v>
      </c>
      <c r="BK5" s="25">
        <f>'Sep 2019'!AO11</f>
        <v>0</v>
      </c>
      <c r="BL5" s="25">
        <f>'Sep 2019'!AP11</f>
        <v>0</v>
      </c>
      <c r="BM5" s="25">
        <v>0</v>
      </c>
      <c r="BN5" s="25">
        <v>0</v>
      </c>
      <c r="BO5" s="26">
        <f>'Sep 2019'!Q11</f>
        <v>0</v>
      </c>
      <c r="BP5" s="25">
        <f>'Sep 2019'!R11</f>
        <v>0</v>
      </c>
    </row>
    <row r="6" spans="1:68">
      <c r="A6" s="20" t="s">
        <v>67</v>
      </c>
      <c r="B6" s="28">
        <f t="shared" si="0"/>
        <v>5</v>
      </c>
      <c r="C6" s="29">
        <v>9</v>
      </c>
      <c r="D6" s="30">
        <v>2019</v>
      </c>
      <c r="E6" s="21">
        <f>'Sep 2019'!M12</f>
        <v>4.2</v>
      </c>
      <c r="F6" s="25">
        <f>'Sep 2019'!N12</f>
        <v>0</v>
      </c>
      <c r="G6" s="25">
        <f>'Sep 2019'!G12</f>
        <v>0</v>
      </c>
      <c r="H6" s="25">
        <f>'Sep 2019'!H12</f>
        <v>0</v>
      </c>
      <c r="I6" s="25">
        <f>'Sep 2019'!I12</f>
        <v>0</v>
      </c>
      <c r="J6" s="25">
        <f>'Sep 2019'!J12</f>
        <v>0</v>
      </c>
      <c r="K6" s="25">
        <f>'Sep 2019'!K12</f>
        <v>8.1999999999999993</v>
      </c>
      <c r="L6" s="25">
        <f>'Sep 2019'!L14</f>
        <v>0</v>
      </c>
      <c r="M6" s="25">
        <f>'Sep 2019'!S12</f>
        <v>0</v>
      </c>
      <c r="N6" s="25">
        <f>'Sep 2019'!T12</f>
        <v>0</v>
      </c>
      <c r="O6" s="25">
        <f>'Sep 2019'!U12</f>
        <v>6.2</v>
      </c>
      <c r="P6" s="25">
        <f>'Sep 2019'!V12</f>
        <v>0</v>
      </c>
      <c r="Q6" s="25">
        <f>'Sep 2019'!BC12</f>
        <v>0</v>
      </c>
      <c r="R6" s="25">
        <f>'Sep 2019'!BD12</f>
        <v>0</v>
      </c>
      <c r="S6" s="25">
        <f>'Sep 2019'!BF12</f>
        <v>0</v>
      </c>
      <c r="T6" s="25">
        <f>'Sep 2019'!BF12</f>
        <v>0</v>
      </c>
      <c r="U6" s="25">
        <f>'Sep 2019'!BG12</f>
        <v>0</v>
      </c>
      <c r="V6" s="25">
        <f>'Sep 2019'!BH12</f>
        <v>0</v>
      </c>
      <c r="W6" s="25">
        <f>'Sep 2019'!W12</f>
        <v>208</v>
      </c>
      <c r="X6" s="25">
        <f>'Sep 2019'!X12</f>
        <v>0</v>
      </c>
      <c r="Y6" s="25">
        <f>'Sep 2019'!Y12</f>
        <v>0</v>
      </c>
      <c r="Z6" s="25">
        <f>'Sep 2019'!Z12</f>
        <v>0</v>
      </c>
      <c r="AA6" s="25">
        <f>'Sep 2019'!AA12</f>
        <v>0</v>
      </c>
      <c r="AB6" s="25">
        <f>'Sep 2019'!AB12</f>
        <v>0</v>
      </c>
      <c r="AC6" s="25">
        <f>'Sep 2019'!AC12</f>
        <v>0</v>
      </c>
      <c r="AD6" s="25">
        <f>'Sep 2019'!AD12</f>
        <v>0</v>
      </c>
      <c r="AE6" s="25">
        <f>'Sep 2019'!AE12</f>
        <v>0</v>
      </c>
      <c r="AF6" s="25">
        <f>'Sep 2019'!AF12</f>
        <v>0</v>
      </c>
      <c r="AG6" s="25">
        <f>'Sep 2019'!AK12</f>
        <v>0</v>
      </c>
      <c r="AH6" s="25">
        <f>'Sep 2019'!AP12</f>
        <v>0</v>
      </c>
      <c r="AI6" s="25">
        <f>'Sep 2019'!AO12</f>
        <v>0</v>
      </c>
      <c r="AJ6" s="25">
        <f>'Sep 2019'!AP12</f>
        <v>0</v>
      </c>
      <c r="AK6" s="25">
        <f>'Sep 2019'!AW12</f>
        <v>0</v>
      </c>
      <c r="AL6" s="25">
        <f>'Sep 2019'!AX12</f>
        <v>0</v>
      </c>
      <c r="AM6" s="25">
        <f>'Sep 2019'!AZ12</f>
        <v>0</v>
      </c>
      <c r="AN6" s="25">
        <f>'Sep 2019'!AZ12</f>
        <v>0</v>
      </c>
      <c r="AO6" s="25">
        <f>'Sep 2019'!BI12</f>
        <v>0</v>
      </c>
      <c r="AP6" s="25">
        <f>'Sep 2019'!BJ12</f>
        <v>0</v>
      </c>
      <c r="AQ6" s="25">
        <f>'Sep 2019'!BA12</f>
        <v>0</v>
      </c>
      <c r="AR6" s="25">
        <f>'Sep 2019'!BB12</f>
        <v>0</v>
      </c>
      <c r="AS6" s="25">
        <f>'Sep 2019'!BK12</f>
        <v>0</v>
      </c>
      <c r="AT6" s="25">
        <f>'Sep 2019'!BL12</f>
        <v>0</v>
      </c>
      <c r="AU6" s="25">
        <f>'Sep 2019'!BM12</f>
        <v>0</v>
      </c>
      <c r="AV6" s="25">
        <f>'Sep 2019'!BN12</f>
        <v>0</v>
      </c>
      <c r="AW6" s="25">
        <f>'Sep 2019'!E12</f>
        <v>13.299999999999999</v>
      </c>
      <c r="AX6" s="25">
        <f>'Sep 2019'!F12</f>
        <v>0</v>
      </c>
      <c r="AY6" s="25">
        <f>'Sep 2019'!O12</f>
        <v>0</v>
      </c>
      <c r="AZ6" s="25">
        <f>'Sep 2019'!P12</f>
        <v>0</v>
      </c>
      <c r="BA6" s="25">
        <f>'Sep 2019'!U12</f>
        <v>6.2</v>
      </c>
      <c r="BB6" s="25">
        <f>'Sep 2019'!V26</f>
        <v>0</v>
      </c>
      <c r="BC6" s="25">
        <f>'Sep 2019'!AG12</f>
        <v>444.99999999999994</v>
      </c>
      <c r="BD6" s="25">
        <f>'Sep 2019'!AH12</f>
        <v>0</v>
      </c>
      <c r="BE6" s="25">
        <f>'Sep 2019'!AI12</f>
        <v>0</v>
      </c>
      <c r="BF6" s="25">
        <f>'Sep 2019'!AJ12</f>
        <v>0</v>
      </c>
      <c r="BG6" s="25">
        <f>'Sep 2019'!AK12</f>
        <v>0</v>
      </c>
      <c r="BH6" s="25">
        <f>'Sep 2019'!AL12</f>
        <v>0</v>
      </c>
      <c r="BI6" s="25">
        <f>'Sep 2019'!AM12</f>
        <v>0</v>
      </c>
      <c r="BJ6" s="25">
        <f>'Sep 2019'!AM12</f>
        <v>0</v>
      </c>
      <c r="BK6" s="25">
        <f>'Sep 2019'!AO12</f>
        <v>0</v>
      </c>
      <c r="BL6" s="25">
        <f>'Sep 2019'!AP12</f>
        <v>0</v>
      </c>
      <c r="BM6" s="25">
        <v>0</v>
      </c>
      <c r="BN6" s="25">
        <v>0</v>
      </c>
      <c r="BO6" s="26">
        <f>'Sep 2019'!Q12</f>
        <v>0</v>
      </c>
      <c r="BP6" s="25">
        <f>'Sep 2019'!R12</f>
        <v>0</v>
      </c>
    </row>
    <row r="7" spans="1:68">
      <c r="A7" s="20" t="s">
        <v>67</v>
      </c>
      <c r="B7" s="28">
        <f t="shared" si="0"/>
        <v>6</v>
      </c>
      <c r="C7" s="29">
        <v>9</v>
      </c>
      <c r="D7" s="30">
        <v>2019</v>
      </c>
      <c r="E7" s="21">
        <f>'Sep 2019'!M13</f>
        <v>4.4000000000000004</v>
      </c>
      <c r="F7" s="25">
        <f>'Sep 2019'!N13</f>
        <v>0</v>
      </c>
      <c r="G7" s="25">
        <f>'Sep 2019'!G13</f>
        <v>0</v>
      </c>
      <c r="H7" s="25">
        <f>'Sep 2019'!H13</f>
        <v>0</v>
      </c>
      <c r="I7" s="25">
        <f>'Sep 2019'!I13</f>
        <v>0</v>
      </c>
      <c r="J7" s="25">
        <f>'Sep 2019'!J13</f>
        <v>0</v>
      </c>
      <c r="K7" s="25">
        <f>'Sep 2019'!K13</f>
        <v>7.4</v>
      </c>
      <c r="L7" s="25">
        <f>'Sep 2019'!L15</f>
        <v>0</v>
      </c>
      <c r="M7" s="25">
        <f>'Sep 2019'!S13</f>
        <v>0</v>
      </c>
      <c r="N7" s="25">
        <f>'Sep 2019'!T13</f>
        <v>0</v>
      </c>
      <c r="O7" s="25">
        <f>'Sep 2019'!U13</f>
        <v>5</v>
      </c>
      <c r="P7" s="25">
        <f>'Sep 2019'!V13</f>
        <v>0</v>
      </c>
      <c r="Q7" s="25">
        <f>'Sep 2019'!BC13</f>
        <v>0</v>
      </c>
      <c r="R7" s="25">
        <f>'Sep 2019'!BD13</f>
        <v>0</v>
      </c>
      <c r="S7" s="25">
        <f>'Sep 2019'!BF13</f>
        <v>0</v>
      </c>
      <c r="T7" s="25">
        <f>'Sep 2019'!BF13</f>
        <v>0</v>
      </c>
      <c r="U7" s="25">
        <f>'Sep 2019'!BG13</f>
        <v>0</v>
      </c>
      <c r="V7" s="25">
        <f>'Sep 2019'!BH13</f>
        <v>0</v>
      </c>
      <c r="W7" s="25">
        <f>'Sep 2019'!W13</f>
        <v>164</v>
      </c>
      <c r="X7" s="25">
        <f>'Sep 2019'!X13</f>
        <v>0</v>
      </c>
      <c r="Y7" s="25">
        <f>'Sep 2019'!Y13</f>
        <v>0</v>
      </c>
      <c r="Z7" s="25">
        <f>'Sep 2019'!Z13</f>
        <v>0</v>
      </c>
      <c r="AA7" s="25">
        <f>'Sep 2019'!AA13</f>
        <v>0</v>
      </c>
      <c r="AB7" s="25">
        <f>'Sep 2019'!AB13</f>
        <v>0</v>
      </c>
      <c r="AC7" s="25">
        <f>'Sep 2019'!AC13</f>
        <v>0</v>
      </c>
      <c r="AD7" s="25">
        <f>'Sep 2019'!AD13</f>
        <v>0</v>
      </c>
      <c r="AE7" s="25">
        <f>'Sep 2019'!AE13</f>
        <v>0</v>
      </c>
      <c r="AF7" s="25">
        <f>'Sep 2019'!AF13</f>
        <v>0</v>
      </c>
      <c r="AG7" s="25">
        <f>'Sep 2019'!AK13</f>
        <v>0</v>
      </c>
      <c r="AH7" s="25">
        <f>'Sep 2019'!AP13</f>
        <v>0</v>
      </c>
      <c r="AI7" s="25">
        <f>'Sep 2019'!AO13</f>
        <v>0</v>
      </c>
      <c r="AJ7" s="25">
        <f>'Sep 2019'!AP13</f>
        <v>0</v>
      </c>
      <c r="AK7" s="25">
        <f>'Sep 2019'!AW13</f>
        <v>0</v>
      </c>
      <c r="AL7" s="25">
        <f>'Sep 2019'!AX13</f>
        <v>0</v>
      </c>
      <c r="AM7" s="25">
        <f>'Sep 2019'!AZ13</f>
        <v>0</v>
      </c>
      <c r="AN7" s="25">
        <f>'Sep 2019'!AZ13</f>
        <v>0</v>
      </c>
      <c r="AO7" s="25">
        <f>'Sep 2019'!BI13</f>
        <v>0</v>
      </c>
      <c r="AP7" s="25">
        <f>'Sep 2019'!BJ13</f>
        <v>0</v>
      </c>
      <c r="AQ7" s="25">
        <f>'Sep 2019'!BA13</f>
        <v>0</v>
      </c>
      <c r="AR7" s="25">
        <f>'Sep 2019'!BB13</f>
        <v>0</v>
      </c>
      <c r="AS7" s="25">
        <f>'Sep 2019'!BK13</f>
        <v>0</v>
      </c>
      <c r="AT7" s="25">
        <f>'Sep 2019'!BL13</f>
        <v>0</v>
      </c>
      <c r="AU7" s="25">
        <f>'Sep 2019'!BM13</f>
        <v>0</v>
      </c>
      <c r="AV7" s="25">
        <f>'Sep 2019'!BN13</f>
        <v>0</v>
      </c>
      <c r="AW7" s="25">
        <f>'Sep 2019'!E13</f>
        <v>16</v>
      </c>
      <c r="AX7" s="25">
        <f>'Sep 2019'!F13</f>
        <v>0</v>
      </c>
      <c r="AY7" s="25">
        <f>'Sep 2019'!O13</f>
        <v>0</v>
      </c>
      <c r="AZ7" s="25">
        <f>'Sep 2019'!P13</f>
        <v>0</v>
      </c>
      <c r="BA7" s="25">
        <f>'Sep 2019'!U13</f>
        <v>5</v>
      </c>
      <c r="BB7" s="25">
        <f>'Sep 2019'!V27</f>
        <v>0</v>
      </c>
      <c r="BC7" s="25">
        <f>'Sep 2019'!AG13</f>
        <v>375</v>
      </c>
      <c r="BD7" s="25">
        <f>'Sep 2019'!AH13</f>
        <v>0</v>
      </c>
      <c r="BE7" s="25">
        <f>'Sep 2019'!AI13</f>
        <v>0</v>
      </c>
      <c r="BF7" s="25">
        <f>'Sep 2019'!AJ13</f>
        <v>0</v>
      </c>
      <c r="BG7" s="25">
        <f>'Sep 2019'!AK13</f>
        <v>0</v>
      </c>
      <c r="BH7" s="25">
        <f>'Sep 2019'!AL13</f>
        <v>0</v>
      </c>
      <c r="BI7" s="25">
        <f>'Sep 2019'!AM13</f>
        <v>0</v>
      </c>
      <c r="BJ7" s="25">
        <f>'Sep 2019'!AM13</f>
        <v>0</v>
      </c>
      <c r="BK7" s="25">
        <f>'Sep 2019'!AO13</f>
        <v>0</v>
      </c>
      <c r="BL7" s="25">
        <f>'Sep 2019'!AP13</f>
        <v>0</v>
      </c>
      <c r="BM7" s="25">
        <v>0</v>
      </c>
      <c r="BN7" s="25">
        <v>0</v>
      </c>
      <c r="BO7" s="26">
        <f>'Sep 2019'!Q13</f>
        <v>0</v>
      </c>
      <c r="BP7" s="25">
        <f>'Sep 2019'!R13</f>
        <v>0</v>
      </c>
    </row>
    <row r="8" spans="1:68">
      <c r="A8" s="20" t="s">
        <v>67</v>
      </c>
      <c r="B8" s="28">
        <f t="shared" si="0"/>
        <v>7</v>
      </c>
      <c r="C8" s="29">
        <v>9</v>
      </c>
      <c r="D8" s="30">
        <v>2019</v>
      </c>
      <c r="E8" s="21">
        <f>'Sep 2019'!M14</f>
        <v>5</v>
      </c>
      <c r="F8" s="25">
        <f>'Sep 2019'!N14</f>
        <v>0</v>
      </c>
      <c r="G8" s="25">
        <f>'Sep 2019'!G14</f>
        <v>0</v>
      </c>
      <c r="H8" s="25">
        <f>'Sep 2019'!H14</f>
        <v>0</v>
      </c>
      <c r="I8" s="25">
        <f>'Sep 2019'!I14</f>
        <v>0</v>
      </c>
      <c r="J8" s="25">
        <f>'Sep 2019'!J14</f>
        <v>0</v>
      </c>
      <c r="K8" s="25">
        <f>'Sep 2019'!K14</f>
        <v>10.8</v>
      </c>
      <c r="L8" s="25">
        <f>'Sep 2019'!L16</f>
        <v>0</v>
      </c>
      <c r="M8" s="25">
        <f>'Sep 2019'!S14</f>
        <v>0</v>
      </c>
      <c r="N8" s="25">
        <f>'Sep 2019'!T14</f>
        <v>0</v>
      </c>
      <c r="O8" s="25">
        <f>'Sep 2019'!U14</f>
        <v>4.9000000000000004</v>
      </c>
      <c r="P8" s="25">
        <f>'Sep 2019'!V14</f>
        <v>0</v>
      </c>
      <c r="Q8" s="25">
        <f>'Sep 2019'!BC14</f>
        <v>0</v>
      </c>
      <c r="R8" s="25">
        <f>'Sep 2019'!BD14</f>
        <v>0</v>
      </c>
      <c r="S8" s="25">
        <f>'Sep 2019'!BF14</f>
        <v>0</v>
      </c>
      <c r="T8" s="25">
        <f>'Sep 2019'!BF14</f>
        <v>0</v>
      </c>
      <c r="U8" s="25">
        <f>'Sep 2019'!BG14</f>
        <v>0</v>
      </c>
      <c r="V8" s="25">
        <f>'Sep 2019'!BH14</f>
        <v>0</v>
      </c>
      <c r="W8" s="25">
        <f>'Sep 2019'!W14</f>
        <v>124</v>
      </c>
      <c r="X8" s="25">
        <f>'Sep 2019'!X14</f>
        <v>0</v>
      </c>
      <c r="Y8" s="25">
        <f>'Sep 2019'!Y14</f>
        <v>0</v>
      </c>
      <c r="Z8" s="25">
        <f>'Sep 2019'!Z14</f>
        <v>0</v>
      </c>
      <c r="AA8" s="25">
        <f>'Sep 2019'!AA14</f>
        <v>0</v>
      </c>
      <c r="AB8" s="25">
        <f>'Sep 2019'!AB14</f>
        <v>0</v>
      </c>
      <c r="AC8" s="25">
        <f>'Sep 2019'!AC14</f>
        <v>0</v>
      </c>
      <c r="AD8" s="25">
        <f>'Sep 2019'!AD14</f>
        <v>0</v>
      </c>
      <c r="AE8" s="25">
        <f>'Sep 2019'!AE14</f>
        <v>0</v>
      </c>
      <c r="AF8" s="25">
        <f>'Sep 2019'!AF14</f>
        <v>0</v>
      </c>
      <c r="AG8" s="25">
        <f>'Sep 2019'!AK14</f>
        <v>0</v>
      </c>
      <c r="AH8" s="25">
        <f>'Sep 2019'!AP14</f>
        <v>0</v>
      </c>
      <c r="AI8" s="25">
        <f>'Sep 2019'!AO14</f>
        <v>0</v>
      </c>
      <c r="AJ8" s="25">
        <f>'Sep 2019'!AP14</f>
        <v>0</v>
      </c>
      <c r="AK8" s="25">
        <f>'Sep 2019'!AW14</f>
        <v>0</v>
      </c>
      <c r="AL8" s="25">
        <f>'Sep 2019'!AX14</f>
        <v>0</v>
      </c>
      <c r="AM8" s="25">
        <f>'Sep 2019'!AZ14</f>
        <v>0</v>
      </c>
      <c r="AN8" s="25">
        <f>'Sep 2019'!AZ14</f>
        <v>0</v>
      </c>
      <c r="AO8" s="25">
        <f>'Sep 2019'!BI14</f>
        <v>0</v>
      </c>
      <c r="AP8" s="25">
        <f>'Sep 2019'!BJ14</f>
        <v>0</v>
      </c>
      <c r="AQ8" s="25">
        <f>'Sep 2019'!BA14</f>
        <v>0</v>
      </c>
      <c r="AR8" s="25">
        <f>'Sep 2019'!BB14</f>
        <v>0</v>
      </c>
      <c r="AS8" s="25">
        <f>'Sep 2019'!BK14</f>
        <v>0</v>
      </c>
      <c r="AT8" s="25">
        <f>'Sep 2019'!BL14</f>
        <v>0</v>
      </c>
      <c r="AU8" s="25">
        <f>'Sep 2019'!BM14</f>
        <v>0</v>
      </c>
      <c r="AV8" s="25">
        <f>'Sep 2019'!BN14</f>
        <v>0</v>
      </c>
      <c r="AW8" s="25">
        <f>'Sep 2019'!E14</f>
        <v>17.200000000000003</v>
      </c>
      <c r="AX8" s="25">
        <f>'Sep 2019'!F14</f>
        <v>0</v>
      </c>
      <c r="AY8" s="25">
        <f>'Sep 2019'!O14</f>
        <v>0</v>
      </c>
      <c r="AZ8" s="25">
        <f>'Sep 2019'!P14</f>
        <v>0</v>
      </c>
      <c r="BA8" s="25">
        <f>'Sep 2019'!U14</f>
        <v>4.9000000000000004</v>
      </c>
      <c r="BB8" s="25">
        <f>'Sep 2019'!V28</f>
        <v>0</v>
      </c>
      <c r="BC8" s="25">
        <f>'Sep 2019'!AG14</f>
        <v>390</v>
      </c>
      <c r="BD8" s="25">
        <f>'Sep 2019'!AH14</f>
        <v>0</v>
      </c>
      <c r="BE8" s="25">
        <f>'Sep 2019'!AI14</f>
        <v>0</v>
      </c>
      <c r="BF8" s="25">
        <f>'Sep 2019'!AJ14</f>
        <v>0</v>
      </c>
      <c r="BG8" s="25">
        <f>'Sep 2019'!AK14</f>
        <v>0</v>
      </c>
      <c r="BH8" s="25">
        <f>'Sep 2019'!AL14</f>
        <v>0</v>
      </c>
      <c r="BI8" s="25">
        <f>'Sep 2019'!AM14</f>
        <v>0</v>
      </c>
      <c r="BJ8" s="25">
        <f>'Sep 2019'!AM14</f>
        <v>0</v>
      </c>
      <c r="BK8" s="25">
        <f>'Sep 2019'!AO14</f>
        <v>0</v>
      </c>
      <c r="BL8" s="25">
        <f>'Sep 2019'!AP14</f>
        <v>0</v>
      </c>
      <c r="BM8" s="25">
        <v>0</v>
      </c>
      <c r="BN8" s="25">
        <v>0</v>
      </c>
      <c r="BO8" s="26">
        <f>'Sep 2019'!Q14</f>
        <v>0</v>
      </c>
      <c r="BP8" s="25">
        <f>'Sep 2019'!R14</f>
        <v>0</v>
      </c>
    </row>
    <row r="9" spans="1:68">
      <c r="A9" s="20" t="s">
        <v>67</v>
      </c>
      <c r="B9" s="28">
        <f t="shared" si="0"/>
        <v>8</v>
      </c>
      <c r="C9" s="29">
        <v>9</v>
      </c>
      <c r="D9" s="30">
        <v>2019</v>
      </c>
      <c r="E9" s="21">
        <f>'Sep 2019'!M15</f>
        <v>3.9000000000000004</v>
      </c>
      <c r="F9" s="25">
        <f>'Sep 2019'!N15</f>
        <v>0</v>
      </c>
      <c r="G9" s="25">
        <f>'Sep 2019'!G15</f>
        <v>0</v>
      </c>
      <c r="H9" s="25">
        <f>'Sep 2019'!H15</f>
        <v>0</v>
      </c>
      <c r="I9" s="25">
        <f>'Sep 2019'!I15</f>
        <v>0</v>
      </c>
      <c r="J9" s="25">
        <f>'Sep 2019'!J15</f>
        <v>0</v>
      </c>
      <c r="K9" s="25">
        <f>'Sep 2019'!K15</f>
        <v>7.3</v>
      </c>
      <c r="L9" s="25">
        <f>'Sep 2019'!L17</f>
        <v>0</v>
      </c>
      <c r="M9" s="25">
        <f>'Sep 2019'!S15</f>
        <v>0</v>
      </c>
      <c r="N9" s="25">
        <f>'Sep 2019'!T15</f>
        <v>0</v>
      </c>
      <c r="O9" s="25">
        <f>'Sep 2019'!U15</f>
        <v>6.3000000000000007</v>
      </c>
      <c r="P9" s="25">
        <f>'Sep 2019'!V15</f>
        <v>0</v>
      </c>
      <c r="Q9" s="25">
        <f>'Sep 2019'!BC15</f>
        <v>0</v>
      </c>
      <c r="R9" s="25">
        <f>'Sep 2019'!BD15</f>
        <v>0</v>
      </c>
      <c r="S9" s="25">
        <f>'Sep 2019'!BF15</f>
        <v>0</v>
      </c>
      <c r="T9" s="25">
        <f>'Sep 2019'!BF15</f>
        <v>0</v>
      </c>
      <c r="U9" s="25">
        <f>'Sep 2019'!BG15</f>
        <v>0</v>
      </c>
      <c r="V9" s="25">
        <f>'Sep 2019'!BH15</f>
        <v>0</v>
      </c>
      <c r="W9" s="25">
        <f>'Sep 2019'!W15</f>
        <v>128</v>
      </c>
      <c r="X9" s="25">
        <f>'Sep 2019'!X15</f>
        <v>0</v>
      </c>
      <c r="Y9" s="25">
        <f>'Sep 2019'!Y15</f>
        <v>0</v>
      </c>
      <c r="Z9" s="25">
        <f>'Sep 2019'!Z15</f>
        <v>0</v>
      </c>
      <c r="AA9" s="25">
        <f>'Sep 2019'!AA15</f>
        <v>0</v>
      </c>
      <c r="AB9" s="25">
        <f>'Sep 2019'!AB15</f>
        <v>0</v>
      </c>
      <c r="AC9" s="25">
        <f>'Sep 2019'!AC15</f>
        <v>0</v>
      </c>
      <c r="AD9" s="25">
        <f>'Sep 2019'!AD15</f>
        <v>0</v>
      </c>
      <c r="AE9" s="25">
        <f>'Sep 2019'!AE15</f>
        <v>0</v>
      </c>
      <c r="AF9" s="25">
        <f>'Sep 2019'!AF15</f>
        <v>0</v>
      </c>
      <c r="AG9" s="25">
        <f>'Sep 2019'!AK15</f>
        <v>0</v>
      </c>
      <c r="AH9" s="25">
        <f>'Sep 2019'!AP15</f>
        <v>0</v>
      </c>
      <c r="AI9" s="25">
        <f>'Sep 2019'!AO15</f>
        <v>0</v>
      </c>
      <c r="AJ9" s="25">
        <f>'Sep 2019'!AP15</f>
        <v>0</v>
      </c>
      <c r="AK9" s="25">
        <f>'Sep 2019'!AW15</f>
        <v>0</v>
      </c>
      <c r="AL9" s="25">
        <f>'Sep 2019'!AX15</f>
        <v>0</v>
      </c>
      <c r="AM9" s="25">
        <f>'Sep 2019'!AZ15</f>
        <v>0</v>
      </c>
      <c r="AN9" s="25">
        <f>'Sep 2019'!AZ15</f>
        <v>0</v>
      </c>
      <c r="AO9" s="25">
        <f>'Sep 2019'!BI15</f>
        <v>0</v>
      </c>
      <c r="AP9" s="25">
        <f>'Sep 2019'!BJ15</f>
        <v>0</v>
      </c>
      <c r="AQ9" s="25">
        <f>'Sep 2019'!BA15</f>
        <v>0</v>
      </c>
      <c r="AR9" s="25">
        <f>'Sep 2019'!BB15</f>
        <v>0</v>
      </c>
      <c r="AS9" s="25">
        <f>'Sep 2019'!BK15</f>
        <v>0</v>
      </c>
      <c r="AT9" s="25">
        <f>'Sep 2019'!BL15</f>
        <v>0</v>
      </c>
      <c r="AU9" s="25">
        <f>'Sep 2019'!BM15</f>
        <v>0</v>
      </c>
      <c r="AV9" s="25">
        <f>'Sep 2019'!BN15</f>
        <v>0</v>
      </c>
      <c r="AW9" s="25">
        <f>'Sep 2019'!E15</f>
        <v>13</v>
      </c>
      <c r="AX9" s="25">
        <f>'Sep 2019'!F15</f>
        <v>0</v>
      </c>
      <c r="AY9" s="25">
        <f>'Sep 2019'!O15</f>
        <v>0</v>
      </c>
      <c r="AZ9" s="25">
        <f>'Sep 2019'!P15</f>
        <v>0</v>
      </c>
      <c r="BA9" s="25">
        <f>'Sep 2019'!U15</f>
        <v>6.3000000000000007</v>
      </c>
      <c r="BB9" s="25">
        <f>'Sep 2019'!V29</f>
        <v>0</v>
      </c>
      <c r="BC9" s="25">
        <f>'Sep 2019'!AG15</f>
        <v>390</v>
      </c>
      <c r="BD9" s="25">
        <f>'Sep 2019'!AH15</f>
        <v>0</v>
      </c>
      <c r="BE9" s="25">
        <f>'Sep 2019'!AI15</f>
        <v>0</v>
      </c>
      <c r="BF9" s="25">
        <f>'Sep 2019'!AJ15</f>
        <v>0</v>
      </c>
      <c r="BG9" s="25">
        <f>'Sep 2019'!AK15</f>
        <v>0</v>
      </c>
      <c r="BH9" s="25">
        <f>'Sep 2019'!AL15</f>
        <v>0</v>
      </c>
      <c r="BI9" s="25">
        <f>'Sep 2019'!AM15</f>
        <v>0</v>
      </c>
      <c r="BJ9" s="25">
        <f>'Sep 2019'!AM15</f>
        <v>0</v>
      </c>
      <c r="BK9" s="25">
        <f>'Sep 2019'!AO15</f>
        <v>0</v>
      </c>
      <c r="BL9" s="25">
        <f>'Sep 2019'!AP15</f>
        <v>0</v>
      </c>
      <c r="BM9" s="25">
        <v>0</v>
      </c>
      <c r="BN9" s="25">
        <v>0</v>
      </c>
      <c r="BO9" s="26">
        <f>'Sep 2019'!Q15</f>
        <v>0</v>
      </c>
      <c r="BP9" s="25">
        <f>'Sep 2019'!R15</f>
        <v>0</v>
      </c>
    </row>
    <row r="10" spans="1:68">
      <c r="A10" s="20" t="s">
        <v>67</v>
      </c>
      <c r="B10" s="28">
        <f t="shared" si="0"/>
        <v>9</v>
      </c>
      <c r="C10" s="29">
        <v>9</v>
      </c>
      <c r="D10" s="30">
        <v>2019</v>
      </c>
      <c r="E10" s="21">
        <f>'Sep 2019'!M16</f>
        <v>5</v>
      </c>
      <c r="F10" s="25">
        <f>'Sep 2019'!N16</f>
        <v>0</v>
      </c>
      <c r="G10" s="25">
        <f>'Sep 2019'!G16</f>
        <v>0</v>
      </c>
      <c r="H10" s="25">
        <f>'Sep 2019'!H16</f>
        <v>0</v>
      </c>
      <c r="I10" s="25">
        <f>'Sep 2019'!I16</f>
        <v>0</v>
      </c>
      <c r="J10" s="25">
        <f>'Sep 2019'!J16</f>
        <v>0</v>
      </c>
      <c r="K10" s="25">
        <f>'Sep 2019'!K16</f>
        <v>9</v>
      </c>
      <c r="L10" s="25">
        <f>'Sep 2019'!L18</f>
        <v>0</v>
      </c>
      <c r="M10" s="25">
        <f>'Sep 2019'!S16</f>
        <v>0</v>
      </c>
      <c r="N10" s="25">
        <f>'Sep 2019'!T16</f>
        <v>0</v>
      </c>
      <c r="O10" s="25">
        <f>'Sep 2019'!U16</f>
        <v>5.2</v>
      </c>
      <c r="P10" s="25">
        <f>'Sep 2019'!V16</f>
        <v>0</v>
      </c>
      <c r="Q10" s="25">
        <f>'Sep 2019'!BC16</f>
        <v>0</v>
      </c>
      <c r="R10" s="25">
        <f>'Sep 2019'!BD16</f>
        <v>0</v>
      </c>
      <c r="S10" s="25">
        <f>'Sep 2019'!BF16</f>
        <v>0</v>
      </c>
      <c r="T10" s="25">
        <f>'Sep 2019'!BF16</f>
        <v>0</v>
      </c>
      <c r="U10" s="25">
        <f>'Sep 2019'!BG16</f>
        <v>0</v>
      </c>
      <c r="V10" s="25">
        <f>'Sep 2019'!BH16</f>
        <v>0</v>
      </c>
      <c r="W10" s="25">
        <f>'Sep 2019'!W16</f>
        <v>168</v>
      </c>
      <c r="X10" s="25">
        <f>'Sep 2019'!X16</f>
        <v>0</v>
      </c>
      <c r="Y10" s="25">
        <f>'Sep 2019'!Y16</f>
        <v>0</v>
      </c>
      <c r="Z10" s="25">
        <f>'Sep 2019'!Z16</f>
        <v>0</v>
      </c>
      <c r="AA10" s="25">
        <f>'Sep 2019'!AA16</f>
        <v>0</v>
      </c>
      <c r="AB10" s="25">
        <f>'Sep 2019'!AB16</f>
        <v>0</v>
      </c>
      <c r="AC10" s="25">
        <f>'Sep 2019'!AC16</f>
        <v>0</v>
      </c>
      <c r="AD10" s="25">
        <f>'Sep 2019'!AD16</f>
        <v>0</v>
      </c>
      <c r="AE10" s="25">
        <f>'Sep 2019'!AE16</f>
        <v>0</v>
      </c>
      <c r="AF10" s="25">
        <f>'Sep 2019'!AF16</f>
        <v>0</v>
      </c>
      <c r="AG10" s="25">
        <f>'Sep 2019'!AK16</f>
        <v>0</v>
      </c>
      <c r="AH10" s="25">
        <f>'Sep 2019'!AP16</f>
        <v>0</v>
      </c>
      <c r="AI10" s="25">
        <f>'Sep 2019'!AO16</f>
        <v>0</v>
      </c>
      <c r="AJ10" s="25">
        <f>'Sep 2019'!AP16</f>
        <v>0</v>
      </c>
      <c r="AK10" s="25">
        <f>'Sep 2019'!AW16</f>
        <v>0</v>
      </c>
      <c r="AL10" s="25">
        <f>'Sep 2019'!AX16</f>
        <v>0</v>
      </c>
      <c r="AM10" s="25">
        <f>'Sep 2019'!AZ16</f>
        <v>0</v>
      </c>
      <c r="AN10" s="25">
        <f>'Sep 2019'!AZ16</f>
        <v>0</v>
      </c>
      <c r="AO10" s="25">
        <f>'Sep 2019'!BI16</f>
        <v>0</v>
      </c>
      <c r="AP10" s="25">
        <f>'Sep 2019'!BJ16</f>
        <v>0</v>
      </c>
      <c r="AQ10" s="25">
        <f>'Sep 2019'!BA16</f>
        <v>0</v>
      </c>
      <c r="AR10" s="25">
        <f>'Sep 2019'!BB16</f>
        <v>0</v>
      </c>
      <c r="AS10" s="25">
        <f>'Sep 2019'!BK16</f>
        <v>0</v>
      </c>
      <c r="AT10" s="25">
        <f>'Sep 2019'!BL16</f>
        <v>0</v>
      </c>
      <c r="AU10" s="25">
        <f>'Sep 2019'!BM16</f>
        <v>0</v>
      </c>
      <c r="AV10" s="25">
        <f>'Sep 2019'!BN16</f>
        <v>0</v>
      </c>
      <c r="AW10" s="25">
        <f>'Sep 2019'!E16</f>
        <v>14.3</v>
      </c>
      <c r="AX10" s="25">
        <f>'Sep 2019'!F16</f>
        <v>0</v>
      </c>
      <c r="AY10" s="25">
        <f>'Sep 2019'!O16</f>
        <v>0</v>
      </c>
      <c r="AZ10" s="25">
        <f>'Sep 2019'!P16</f>
        <v>0</v>
      </c>
      <c r="BA10" s="25">
        <f>'Sep 2019'!U16</f>
        <v>5.2</v>
      </c>
      <c r="BB10" s="25">
        <f>'Sep 2019'!V30</f>
        <v>0</v>
      </c>
      <c r="BC10" s="25">
        <f>'Sep 2019'!AG16</f>
        <v>419.99999999999994</v>
      </c>
      <c r="BD10" s="25">
        <f>'Sep 2019'!AH16</f>
        <v>0</v>
      </c>
      <c r="BE10" s="25">
        <f>'Sep 2019'!AI16</f>
        <v>0</v>
      </c>
      <c r="BF10" s="25">
        <f>'Sep 2019'!AJ16</f>
        <v>0</v>
      </c>
      <c r="BG10" s="25">
        <f>'Sep 2019'!AK16</f>
        <v>0</v>
      </c>
      <c r="BH10" s="25">
        <f>'Sep 2019'!AL16</f>
        <v>0</v>
      </c>
      <c r="BI10" s="25">
        <f>'Sep 2019'!AM16</f>
        <v>0</v>
      </c>
      <c r="BJ10" s="25">
        <f>'Sep 2019'!AM16</f>
        <v>0</v>
      </c>
      <c r="BK10" s="25">
        <f>'Sep 2019'!AO16</f>
        <v>0</v>
      </c>
      <c r="BL10" s="25">
        <f>'Sep 2019'!AP16</f>
        <v>0</v>
      </c>
      <c r="BM10" s="25">
        <v>0</v>
      </c>
      <c r="BN10" s="25">
        <v>0</v>
      </c>
      <c r="BO10" s="26">
        <f>'Sep 2019'!Q16</f>
        <v>0</v>
      </c>
      <c r="BP10" s="25">
        <f>'Sep 2019'!R16</f>
        <v>0</v>
      </c>
    </row>
    <row r="11" spans="1:68">
      <c r="A11" s="20" t="s">
        <v>67</v>
      </c>
      <c r="B11" s="28">
        <f t="shared" si="0"/>
        <v>10</v>
      </c>
      <c r="C11" s="29">
        <v>9</v>
      </c>
      <c r="D11" s="30">
        <v>2019</v>
      </c>
      <c r="E11" s="21">
        <f>'Sep 2019'!M17</f>
        <v>4.0999999999999996</v>
      </c>
      <c r="F11" s="25">
        <f>'Sep 2019'!N17</f>
        <v>0</v>
      </c>
      <c r="G11" s="25">
        <f>'Sep 2019'!G17</f>
        <v>0</v>
      </c>
      <c r="H11" s="25">
        <f>'Sep 2019'!H17</f>
        <v>0</v>
      </c>
      <c r="I11" s="25">
        <f>'Sep 2019'!I17</f>
        <v>0</v>
      </c>
      <c r="J11" s="25">
        <f>'Sep 2019'!J17</f>
        <v>0</v>
      </c>
      <c r="K11" s="25">
        <f>'Sep 2019'!K17</f>
        <v>10.6</v>
      </c>
      <c r="L11" s="25">
        <f>'Sep 2019'!L19</f>
        <v>0</v>
      </c>
      <c r="M11" s="25">
        <f>'Sep 2019'!S17</f>
        <v>0</v>
      </c>
      <c r="N11" s="25">
        <f>'Sep 2019'!T17</f>
        <v>0</v>
      </c>
      <c r="O11" s="25">
        <f>'Sep 2019'!U17</f>
        <v>4.9000000000000004</v>
      </c>
      <c r="P11" s="25">
        <f>'Sep 2019'!V17</f>
        <v>0</v>
      </c>
      <c r="Q11" s="25">
        <f>'Sep 2019'!BC17</f>
        <v>0</v>
      </c>
      <c r="R11" s="25">
        <f>'Sep 2019'!BD17</f>
        <v>0</v>
      </c>
      <c r="S11" s="25">
        <f>'Sep 2019'!BF17</f>
        <v>0</v>
      </c>
      <c r="T11" s="25">
        <f>'Sep 2019'!BF17</f>
        <v>0</v>
      </c>
      <c r="U11" s="25">
        <f>'Sep 2019'!BG17</f>
        <v>0</v>
      </c>
      <c r="V11" s="25">
        <f>'Sep 2019'!BH17</f>
        <v>0</v>
      </c>
      <c r="W11" s="25">
        <f>'Sep 2019'!W17</f>
        <v>192</v>
      </c>
      <c r="X11" s="25">
        <f>'Sep 2019'!X17</f>
        <v>0</v>
      </c>
      <c r="Y11" s="25">
        <f>'Sep 2019'!Y17</f>
        <v>0</v>
      </c>
      <c r="Z11" s="25">
        <f>'Sep 2019'!Z17</f>
        <v>0</v>
      </c>
      <c r="AA11" s="25">
        <f>'Sep 2019'!AA17</f>
        <v>0</v>
      </c>
      <c r="AB11" s="25">
        <f>'Sep 2019'!AB17</f>
        <v>0</v>
      </c>
      <c r="AC11" s="25">
        <f>'Sep 2019'!AC17</f>
        <v>0</v>
      </c>
      <c r="AD11" s="25">
        <f>'Sep 2019'!AD17</f>
        <v>0</v>
      </c>
      <c r="AE11" s="25">
        <f>'Sep 2019'!AE17</f>
        <v>0</v>
      </c>
      <c r="AF11" s="25">
        <f>'Sep 2019'!AF17</f>
        <v>0</v>
      </c>
      <c r="AG11" s="25">
        <f>'Sep 2019'!AK17</f>
        <v>0</v>
      </c>
      <c r="AH11" s="25">
        <f>'Sep 2019'!AP17</f>
        <v>0</v>
      </c>
      <c r="AI11" s="25">
        <f>'Sep 2019'!AO17</f>
        <v>0</v>
      </c>
      <c r="AJ11" s="25">
        <f>'Sep 2019'!AP17</f>
        <v>0</v>
      </c>
      <c r="AK11" s="25">
        <f>'Sep 2019'!AW17</f>
        <v>0</v>
      </c>
      <c r="AL11" s="25">
        <f>'Sep 2019'!AX17</f>
        <v>0</v>
      </c>
      <c r="AM11" s="25">
        <f>'Sep 2019'!AZ17</f>
        <v>0</v>
      </c>
      <c r="AN11" s="25">
        <f>'Sep 2019'!AZ17</f>
        <v>0</v>
      </c>
      <c r="AO11" s="25">
        <f>'Sep 2019'!BI17</f>
        <v>0</v>
      </c>
      <c r="AP11" s="25">
        <f>'Sep 2019'!BJ17</f>
        <v>0</v>
      </c>
      <c r="AQ11" s="25">
        <f>'Sep 2019'!BA17</f>
        <v>0</v>
      </c>
      <c r="AR11" s="25">
        <f>'Sep 2019'!BB17</f>
        <v>0</v>
      </c>
      <c r="AS11" s="25">
        <f>'Sep 2019'!BK17</f>
        <v>0</v>
      </c>
      <c r="AT11" s="25">
        <f>'Sep 2019'!BL17</f>
        <v>0</v>
      </c>
      <c r="AU11" s="25">
        <f>'Sep 2019'!BM17</f>
        <v>0</v>
      </c>
      <c r="AV11" s="25">
        <f>'Sep 2019'!BN17</f>
        <v>0</v>
      </c>
      <c r="AW11" s="25">
        <f>'Sep 2019'!E17</f>
        <v>15.399999999999999</v>
      </c>
      <c r="AX11" s="25">
        <f>'Sep 2019'!F17</f>
        <v>0</v>
      </c>
      <c r="AY11" s="25">
        <f>'Sep 2019'!O17</f>
        <v>0</v>
      </c>
      <c r="AZ11" s="25">
        <f>'Sep 2019'!P17</f>
        <v>0</v>
      </c>
      <c r="BA11" s="25">
        <f>'Sep 2019'!U17</f>
        <v>4.9000000000000004</v>
      </c>
      <c r="BB11" s="25">
        <f>'Sep 2019'!V31</f>
        <v>0</v>
      </c>
      <c r="BC11" s="25">
        <f>'Sep 2019'!AG17</f>
        <v>440</v>
      </c>
      <c r="BD11" s="25">
        <f>'Sep 2019'!AH17</f>
        <v>0</v>
      </c>
      <c r="BE11" s="25">
        <f>'Sep 2019'!AI17</f>
        <v>0</v>
      </c>
      <c r="BF11" s="25">
        <f>'Sep 2019'!AJ17</f>
        <v>0</v>
      </c>
      <c r="BG11" s="25">
        <f>'Sep 2019'!AK17</f>
        <v>0</v>
      </c>
      <c r="BH11" s="25">
        <f>'Sep 2019'!AL17</f>
        <v>0</v>
      </c>
      <c r="BI11" s="25">
        <f>'Sep 2019'!AM17</f>
        <v>0</v>
      </c>
      <c r="BJ11" s="25">
        <f>'Sep 2019'!AM17</f>
        <v>0</v>
      </c>
      <c r="BK11" s="25">
        <f>'Sep 2019'!AO17</f>
        <v>0</v>
      </c>
      <c r="BL11" s="25">
        <f>'Sep 2019'!AP17</f>
        <v>0</v>
      </c>
      <c r="BM11" s="25">
        <v>0</v>
      </c>
      <c r="BN11" s="25">
        <v>0</v>
      </c>
      <c r="BO11" s="26">
        <f>'Sep 2019'!Q17</f>
        <v>0</v>
      </c>
      <c r="BP11" s="25">
        <f>'Sep 2019'!R17</f>
        <v>0</v>
      </c>
    </row>
    <row r="12" spans="1:68">
      <c r="A12" s="20" t="s">
        <v>67</v>
      </c>
      <c r="B12" s="28">
        <f t="shared" si="0"/>
        <v>11</v>
      </c>
      <c r="C12" s="29">
        <v>9</v>
      </c>
      <c r="D12" s="30">
        <v>2019</v>
      </c>
      <c r="E12" s="21">
        <f>'Sep 2019'!M18</f>
        <v>3.8</v>
      </c>
      <c r="F12" s="25">
        <f>'Sep 2019'!N18</f>
        <v>0</v>
      </c>
      <c r="G12" s="25">
        <f>'Sep 2019'!G18</f>
        <v>0</v>
      </c>
      <c r="H12" s="25">
        <f>'Sep 2019'!H18</f>
        <v>0</v>
      </c>
      <c r="I12" s="25">
        <f>'Sep 2019'!I18</f>
        <v>0</v>
      </c>
      <c r="J12" s="25">
        <f>'Sep 2019'!J18</f>
        <v>0</v>
      </c>
      <c r="K12" s="25">
        <f>'Sep 2019'!K18</f>
        <v>7.1</v>
      </c>
      <c r="L12" s="25">
        <f>'Sep 2019'!L20</f>
        <v>0</v>
      </c>
      <c r="M12" s="25">
        <f>'Sep 2019'!S18</f>
        <v>0</v>
      </c>
      <c r="N12" s="25">
        <f>'Sep 2019'!T18</f>
        <v>0</v>
      </c>
      <c r="O12" s="25">
        <f>'Sep 2019'!U18</f>
        <v>6.3000000000000007</v>
      </c>
      <c r="P12" s="25">
        <f>'Sep 2019'!V18</f>
        <v>0</v>
      </c>
      <c r="Q12" s="25">
        <f>'Sep 2019'!BC18</f>
        <v>0</v>
      </c>
      <c r="R12" s="25">
        <f>'Sep 2019'!BD18</f>
        <v>0</v>
      </c>
      <c r="S12" s="25">
        <f>'Sep 2019'!BF18</f>
        <v>0</v>
      </c>
      <c r="T12" s="25">
        <f>'Sep 2019'!BF18</f>
        <v>0</v>
      </c>
      <c r="U12" s="25">
        <f>'Sep 2019'!BG18</f>
        <v>0</v>
      </c>
      <c r="V12" s="25">
        <f>'Sep 2019'!BH18</f>
        <v>0</v>
      </c>
      <c r="W12" s="25">
        <f>'Sep 2019'!W18</f>
        <v>164</v>
      </c>
      <c r="X12" s="25">
        <f>'Sep 2019'!X18</f>
        <v>0</v>
      </c>
      <c r="Y12" s="25">
        <f>'Sep 2019'!Y18</f>
        <v>0</v>
      </c>
      <c r="Z12" s="25">
        <f>'Sep 2019'!Z18</f>
        <v>0</v>
      </c>
      <c r="AA12" s="25">
        <f>'Sep 2019'!AA18</f>
        <v>0</v>
      </c>
      <c r="AB12" s="25">
        <f>'Sep 2019'!AB18</f>
        <v>0</v>
      </c>
      <c r="AC12" s="25">
        <f>'Sep 2019'!AC18</f>
        <v>0</v>
      </c>
      <c r="AD12" s="25">
        <f>'Sep 2019'!AD18</f>
        <v>0</v>
      </c>
      <c r="AE12" s="25">
        <f>'Sep 2019'!AE18</f>
        <v>0</v>
      </c>
      <c r="AF12" s="25">
        <f>'Sep 2019'!AF18</f>
        <v>0</v>
      </c>
      <c r="AG12" s="25">
        <f>'Sep 2019'!AK18</f>
        <v>0</v>
      </c>
      <c r="AH12" s="25">
        <f>'Sep 2019'!AP18</f>
        <v>0</v>
      </c>
      <c r="AI12" s="25">
        <f>'Sep 2019'!AO18</f>
        <v>0</v>
      </c>
      <c r="AJ12" s="25">
        <f>'Sep 2019'!AP18</f>
        <v>0</v>
      </c>
      <c r="AK12" s="25">
        <f>'Sep 2019'!AW18</f>
        <v>0</v>
      </c>
      <c r="AL12" s="25">
        <f>'Sep 2019'!AX18</f>
        <v>0</v>
      </c>
      <c r="AM12" s="25">
        <f>'Sep 2019'!AZ18</f>
        <v>0</v>
      </c>
      <c r="AN12" s="25">
        <f>'Sep 2019'!AZ18</f>
        <v>0</v>
      </c>
      <c r="AO12" s="25">
        <f>'Sep 2019'!BI18</f>
        <v>0</v>
      </c>
      <c r="AP12" s="25">
        <f>'Sep 2019'!BJ18</f>
        <v>0</v>
      </c>
      <c r="AQ12" s="25">
        <f>'Sep 2019'!BA18</f>
        <v>0</v>
      </c>
      <c r="AR12" s="25">
        <f>'Sep 2019'!BB18</f>
        <v>0</v>
      </c>
      <c r="AS12" s="25">
        <f>'Sep 2019'!BK18</f>
        <v>0</v>
      </c>
      <c r="AT12" s="25">
        <f>'Sep 2019'!BL18</f>
        <v>0</v>
      </c>
      <c r="AU12" s="25">
        <f>'Sep 2019'!BM18</f>
        <v>0</v>
      </c>
      <c r="AV12" s="25">
        <f>'Sep 2019'!BN18</f>
        <v>0</v>
      </c>
      <c r="AW12" s="25">
        <f>'Sep 2019'!E18</f>
        <v>14.2</v>
      </c>
      <c r="AX12" s="25">
        <f>'Sep 2019'!F18</f>
        <v>0</v>
      </c>
      <c r="AY12" s="25">
        <f>'Sep 2019'!O18</f>
        <v>0</v>
      </c>
      <c r="AZ12" s="25">
        <f>'Sep 2019'!P18</f>
        <v>0</v>
      </c>
      <c r="BA12" s="25">
        <f>'Sep 2019'!U18</f>
        <v>6.3000000000000007</v>
      </c>
      <c r="BB12" s="25">
        <f>'Sep 2019'!V32</f>
        <v>0</v>
      </c>
      <c r="BC12" s="25">
        <f>'Sep 2019'!AG18</f>
        <v>469.99999999999994</v>
      </c>
      <c r="BD12" s="25">
        <f>'Sep 2019'!AH18</f>
        <v>0</v>
      </c>
      <c r="BE12" s="25">
        <f>'Sep 2019'!AI18</f>
        <v>0</v>
      </c>
      <c r="BF12" s="25">
        <f>'Sep 2019'!AJ18</f>
        <v>0</v>
      </c>
      <c r="BG12" s="25">
        <f>'Sep 2019'!AK18</f>
        <v>0</v>
      </c>
      <c r="BH12" s="25">
        <f>'Sep 2019'!AL18</f>
        <v>0</v>
      </c>
      <c r="BI12" s="25">
        <f>'Sep 2019'!AM18</f>
        <v>0</v>
      </c>
      <c r="BJ12" s="25">
        <f>'Sep 2019'!AM18</f>
        <v>0</v>
      </c>
      <c r="BK12" s="25">
        <f>'Sep 2019'!AO18</f>
        <v>0</v>
      </c>
      <c r="BL12" s="25">
        <f>'Sep 2019'!AP18</f>
        <v>0</v>
      </c>
      <c r="BM12" s="25">
        <v>0</v>
      </c>
      <c r="BN12" s="25">
        <v>0</v>
      </c>
      <c r="BO12" s="26">
        <f>'Sep 2019'!Q18</f>
        <v>0</v>
      </c>
      <c r="BP12" s="25">
        <f>'Sep 2019'!R18</f>
        <v>0</v>
      </c>
    </row>
    <row r="13" spans="1:68">
      <c r="A13" s="20" t="s">
        <v>67</v>
      </c>
      <c r="B13" s="28">
        <f t="shared" si="0"/>
        <v>12</v>
      </c>
      <c r="C13" s="29">
        <v>9</v>
      </c>
      <c r="D13" s="30">
        <v>2019</v>
      </c>
      <c r="E13" s="21">
        <f>'Sep 2019'!M19</f>
        <v>4.9000000000000004</v>
      </c>
      <c r="F13" s="25">
        <f>'Sep 2019'!N19</f>
        <v>0</v>
      </c>
      <c r="G13" s="25">
        <f>'Sep 2019'!G19</f>
        <v>0</v>
      </c>
      <c r="H13" s="25">
        <f>'Sep 2019'!H19</f>
        <v>0</v>
      </c>
      <c r="I13" s="25">
        <f>'Sep 2019'!I19</f>
        <v>0</v>
      </c>
      <c r="J13" s="25">
        <f>'Sep 2019'!J19</f>
        <v>0</v>
      </c>
      <c r="K13" s="25">
        <f>'Sep 2019'!K19</f>
        <v>7.7</v>
      </c>
      <c r="L13" s="25">
        <f>'Sep 2019'!L21</f>
        <v>0</v>
      </c>
      <c r="M13" s="25">
        <f>'Sep 2019'!S19</f>
        <v>0</v>
      </c>
      <c r="N13" s="25">
        <f>'Sep 2019'!T19</f>
        <v>0</v>
      </c>
      <c r="O13" s="25">
        <f>'Sep 2019'!U19</f>
        <v>5.0999999999999996</v>
      </c>
      <c r="P13" s="25">
        <f>'Sep 2019'!V19</f>
        <v>0</v>
      </c>
      <c r="Q13" s="25">
        <f>'Sep 2019'!BC19</f>
        <v>0</v>
      </c>
      <c r="R13" s="25">
        <f>'Sep 2019'!BD19</f>
        <v>0</v>
      </c>
      <c r="S13" s="25">
        <f>'Sep 2019'!BF19</f>
        <v>0</v>
      </c>
      <c r="T13" s="25">
        <f>'Sep 2019'!BF19</f>
        <v>0</v>
      </c>
      <c r="U13" s="25">
        <f>'Sep 2019'!BG19</f>
        <v>0</v>
      </c>
      <c r="V13" s="25">
        <f>'Sep 2019'!BH19</f>
        <v>0</v>
      </c>
      <c r="W13" s="25">
        <f>'Sep 2019'!W19</f>
        <v>160</v>
      </c>
      <c r="X13" s="25">
        <f>'Sep 2019'!X19</f>
        <v>0</v>
      </c>
      <c r="Y13" s="25">
        <f>'Sep 2019'!Y19</f>
        <v>0</v>
      </c>
      <c r="Z13" s="25">
        <f>'Sep 2019'!Z19</f>
        <v>0</v>
      </c>
      <c r="AA13" s="25">
        <f>'Sep 2019'!AA19</f>
        <v>0</v>
      </c>
      <c r="AB13" s="25">
        <f>'Sep 2019'!AB19</f>
        <v>0</v>
      </c>
      <c r="AC13" s="25">
        <f>'Sep 2019'!AC19</f>
        <v>0</v>
      </c>
      <c r="AD13" s="25">
        <f>'Sep 2019'!AD19</f>
        <v>0</v>
      </c>
      <c r="AE13" s="25">
        <f>'Sep 2019'!AE19</f>
        <v>0</v>
      </c>
      <c r="AF13" s="25">
        <f>'Sep 2019'!AF19</f>
        <v>0</v>
      </c>
      <c r="AG13" s="25">
        <f>'Sep 2019'!AK19</f>
        <v>0</v>
      </c>
      <c r="AH13" s="25">
        <f>'Sep 2019'!AP19</f>
        <v>0</v>
      </c>
      <c r="AI13" s="25">
        <f>'Sep 2019'!AO19</f>
        <v>0</v>
      </c>
      <c r="AJ13" s="25">
        <f>'Sep 2019'!AP19</f>
        <v>0</v>
      </c>
      <c r="AK13" s="25">
        <f>'Sep 2019'!AW19</f>
        <v>0</v>
      </c>
      <c r="AL13" s="25">
        <f>'Sep 2019'!AX19</f>
        <v>0</v>
      </c>
      <c r="AM13" s="25">
        <f>'Sep 2019'!AZ19</f>
        <v>0</v>
      </c>
      <c r="AN13" s="25">
        <f>'Sep 2019'!AZ19</f>
        <v>0</v>
      </c>
      <c r="AO13" s="25">
        <f>'Sep 2019'!BI19</f>
        <v>0</v>
      </c>
      <c r="AP13" s="25">
        <f>'Sep 2019'!BJ19</f>
        <v>0</v>
      </c>
      <c r="AQ13" s="25">
        <f>'Sep 2019'!BA19</f>
        <v>0</v>
      </c>
      <c r="AR13" s="25">
        <f>'Sep 2019'!BB19</f>
        <v>0</v>
      </c>
      <c r="AS13" s="25">
        <f>'Sep 2019'!BK19</f>
        <v>0</v>
      </c>
      <c r="AT13" s="25">
        <f>'Sep 2019'!BL19</f>
        <v>0</v>
      </c>
      <c r="AU13" s="25">
        <f>'Sep 2019'!BM19</f>
        <v>0</v>
      </c>
      <c r="AV13" s="25">
        <f>'Sep 2019'!BN19</f>
        <v>0</v>
      </c>
      <c r="AW13" s="25">
        <f>'Sep 2019'!E19</f>
        <v>12.7</v>
      </c>
      <c r="AX13" s="25">
        <f>'Sep 2019'!F19</f>
        <v>0</v>
      </c>
      <c r="AY13" s="25">
        <f>'Sep 2019'!O19</f>
        <v>0</v>
      </c>
      <c r="AZ13" s="25">
        <f>'Sep 2019'!P19</f>
        <v>0</v>
      </c>
      <c r="BA13" s="25">
        <f>'Sep 2019'!U19</f>
        <v>5.0999999999999996</v>
      </c>
      <c r="BB13" s="25">
        <f>'Sep 2019'!V33</f>
        <v>0</v>
      </c>
      <c r="BC13" s="25">
        <f>'Sep 2019'!AG19</f>
        <v>500</v>
      </c>
      <c r="BD13" s="25">
        <f>'Sep 2019'!AH19</f>
        <v>0</v>
      </c>
      <c r="BE13" s="25">
        <f>'Sep 2019'!AI19</f>
        <v>0</v>
      </c>
      <c r="BF13" s="25">
        <f>'Sep 2019'!AJ19</f>
        <v>0</v>
      </c>
      <c r="BG13" s="25">
        <f>'Sep 2019'!AK19</f>
        <v>0</v>
      </c>
      <c r="BH13" s="25">
        <f>'Sep 2019'!AL19</f>
        <v>0</v>
      </c>
      <c r="BI13" s="25">
        <f>'Sep 2019'!AM19</f>
        <v>0</v>
      </c>
      <c r="BJ13" s="25">
        <f>'Sep 2019'!AM19</f>
        <v>0</v>
      </c>
      <c r="BK13" s="25">
        <f>'Sep 2019'!AO19</f>
        <v>0</v>
      </c>
      <c r="BL13" s="25">
        <f>'Sep 2019'!AP19</f>
        <v>0</v>
      </c>
      <c r="BM13" s="25">
        <v>0</v>
      </c>
      <c r="BN13" s="25">
        <v>0</v>
      </c>
      <c r="BO13" s="26">
        <f>'Sep 2019'!Q19</f>
        <v>0</v>
      </c>
      <c r="BP13" s="25">
        <f>'Sep 2019'!R19</f>
        <v>0</v>
      </c>
    </row>
    <row r="14" spans="1:68">
      <c r="A14" s="20" t="s">
        <v>67</v>
      </c>
      <c r="B14" s="28">
        <f t="shared" si="0"/>
        <v>13</v>
      </c>
      <c r="C14" s="29">
        <v>9</v>
      </c>
      <c r="D14" s="30">
        <v>2019</v>
      </c>
      <c r="E14" s="21">
        <f>'Sep 2019'!M20</f>
        <v>4.0999999999999996</v>
      </c>
      <c r="F14" s="25">
        <f>'Sep 2019'!N20</f>
        <v>0</v>
      </c>
      <c r="G14" s="25">
        <f>'Sep 2019'!G20</f>
        <v>0</v>
      </c>
      <c r="H14" s="25">
        <f>'Sep 2019'!H20</f>
        <v>0</v>
      </c>
      <c r="I14" s="25">
        <f>'Sep 2019'!I20</f>
        <v>0</v>
      </c>
      <c r="J14" s="25">
        <f>'Sep 2019'!J20</f>
        <v>0</v>
      </c>
      <c r="K14" s="25">
        <f>'Sep 2019'!K20</f>
        <v>10.8</v>
      </c>
      <c r="L14" s="25">
        <f>'Sep 2019'!L22</f>
        <v>0</v>
      </c>
      <c r="M14" s="25">
        <f>'Sep 2019'!S20</f>
        <v>0</v>
      </c>
      <c r="N14" s="25">
        <f>'Sep 2019'!T20</f>
        <v>0</v>
      </c>
      <c r="O14" s="25">
        <f>'Sep 2019'!U20</f>
        <v>5</v>
      </c>
      <c r="P14" s="25">
        <f>'Sep 2019'!V20</f>
        <v>0</v>
      </c>
      <c r="Q14" s="25">
        <f>'Sep 2019'!BC20</f>
        <v>0</v>
      </c>
      <c r="R14" s="25">
        <f>'Sep 2019'!BD20</f>
        <v>0</v>
      </c>
      <c r="S14" s="25">
        <f>'Sep 2019'!BF20</f>
        <v>0</v>
      </c>
      <c r="T14" s="25">
        <f>'Sep 2019'!BF20</f>
        <v>0</v>
      </c>
      <c r="U14" s="25">
        <f>'Sep 2019'!BG20</f>
        <v>0</v>
      </c>
      <c r="V14" s="25">
        <f>'Sep 2019'!BH20</f>
        <v>0</v>
      </c>
      <c r="W14" s="25">
        <f>'Sep 2019'!W20</f>
        <v>144</v>
      </c>
      <c r="X14" s="25">
        <f>'Sep 2019'!X20</f>
        <v>0</v>
      </c>
      <c r="Y14" s="25">
        <f>'Sep 2019'!Y20</f>
        <v>0</v>
      </c>
      <c r="Z14" s="25">
        <f>'Sep 2019'!Z20</f>
        <v>0</v>
      </c>
      <c r="AA14" s="25">
        <f>'Sep 2019'!AA20</f>
        <v>0</v>
      </c>
      <c r="AB14" s="25">
        <f>'Sep 2019'!AB20</f>
        <v>0</v>
      </c>
      <c r="AC14" s="25">
        <f>'Sep 2019'!AC20</f>
        <v>0</v>
      </c>
      <c r="AD14" s="25">
        <f>'Sep 2019'!AD20</f>
        <v>0</v>
      </c>
      <c r="AE14" s="25">
        <f>'Sep 2019'!AE20</f>
        <v>0</v>
      </c>
      <c r="AF14" s="25">
        <f>'Sep 2019'!AF20</f>
        <v>0</v>
      </c>
      <c r="AG14" s="25">
        <f>'Sep 2019'!AK20</f>
        <v>0</v>
      </c>
      <c r="AH14" s="25">
        <f>'Sep 2019'!AP20</f>
        <v>0</v>
      </c>
      <c r="AI14" s="25">
        <f>'Sep 2019'!AO20</f>
        <v>0</v>
      </c>
      <c r="AJ14" s="25">
        <f>'Sep 2019'!AP20</f>
        <v>0</v>
      </c>
      <c r="AK14" s="25">
        <f>'Sep 2019'!AW20</f>
        <v>0</v>
      </c>
      <c r="AL14" s="25">
        <f>'Sep 2019'!AX20</f>
        <v>0</v>
      </c>
      <c r="AM14" s="25">
        <f>'Sep 2019'!AZ20</f>
        <v>0</v>
      </c>
      <c r="AN14" s="25">
        <f>'Sep 2019'!AZ20</f>
        <v>0</v>
      </c>
      <c r="AO14" s="25">
        <f>'Sep 2019'!BI20</f>
        <v>0</v>
      </c>
      <c r="AP14" s="25">
        <f>'Sep 2019'!BJ20</f>
        <v>0</v>
      </c>
      <c r="AQ14" s="25">
        <f>'Sep 2019'!BA20</f>
        <v>0</v>
      </c>
      <c r="AR14" s="25">
        <f>'Sep 2019'!BB20</f>
        <v>0</v>
      </c>
      <c r="AS14" s="25">
        <f>'Sep 2019'!BK20</f>
        <v>0</v>
      </c>
      <c r="AT14" s="25">
        <f>'Sep 2019'!BL20</f>
        <v>0</v>
      </c>
      <c r="AU14" s="25">
        <f>'Sep 2019'!BM20</f>
        <v>0</v>
      </c>
      <c r="AV14" s="25">
        <f>'Sep 2019'!BN20</f>
        <v>0</v>
      </c>
      <c r="AW14" s="25">
        <f>'Sep 2019'!E20</f>
        <v>14.5</v>
      </c>
      <c r="AX14" s="25">
        <f>'Sep 2019'!F20</f>
        <v>0</v>
      </c>
      <c r="AY14" s="25">
        <f>'Sep 2019'!O20</f>
        <v>0</v>
      </c>
      <c r="AZ14" s="25">
        <f>'Sep 2019'!P20</f>
        <v>0</v>
      </c>
      <c r="BA14" s="25">
        <f>'Sep 2019'!U20</f>
        <v>5</v>
      </c>
      <c r="BB14" s="25">
        <f>'Sep 2019'!V34</f>
        <v>0</v>
      </c>
      <c r="BC14" s="25">
        <f>'Sep 2019'!AG20</f>
        <v>520</v>
      </c>
      <c r="BD14" s="25">
        <f>'Sep 2019'!AH20</f>
        <v>0</v>
      </c>
      <c r="BE14" s="25">
        <f>'Sep 2019'!AI20</f>
        <v>0</v>
      </c>
      <c r="BF14" s="25">
        <f>'Sep 2019'!AJ20</f>
        <v>0</v>
      </c>
      <c r="BG14" s="25">
        <f>'Sep 2019'!AK20</f>
        <v>0</v>
      </c>
      <c r="BH14" s="25">
        <f>'Sep 2019'!AL20</f>
        <v>0</v>
      </c>
      <c r="BI14" s="25">
        <f>'Sep 2019'!AM20</f>
        <v>0</v>
      </c>
      <c r="BJ14" s="25">
        <f>'Sep 2019'!AM20</f>
        <v>0</v>
      </c>
      <c r="BK14" s="25">
        <f>'Sep 2019'!AO20</f>
        <v>0</v>
      </c>
      <c r="BL14" s="25">
        <f>'Sep 2019'!AP20</f>
        <v>0</v>
      </c>
      <c r="BM14" s="25">
        <v>0</v>
      </c>
      <c r="BN14" s="25">
        <v>0</v>
      </c>
      <c r="BO14" s="26">
        <f>'Sep 2019'!Q20</f>
        <v>0</v>
      </c>
      <c r="BP14" s="25">
        <f>'Sep 2019'!R20</f>
        <v>0</v>
      </c>
    </row>
    <row r="15" spans="1:68">
      <c r="A15" s="20" t="s">
        <v>67</v>
      </c>
      <c r="B15" s="28">
        <f t="shared" si="0"/>
        <v>14</v>
      </c>
      <c r="C15" s="29">
        <v>9</v>
      </c>
      <c r="D15" s="30">
        <v>2019</v>
      </c>
      <c r="E15" s="21">
        <f>'Sep 2019'!M21</f>
        <v>4.7</v>
      </c>
      <c r="F15" s="25">
        <f>'Sep 2019'!N21</f>
        <v>0</v>
      </c>
      <c r="G15" s="25">
        <f>'Sep 2019'!G21</f>
        <v>0</v>
      </c>
      <c r="H15" s="25">
        <f>'Sep 2019'!H21</f>
        <v>0</v>
      </c>
      <c r="I15" s="25">
        <f>'Sep 2019'!I21</f>
        <v>0</v>
      </c>
      <c r="J15" s="25">
        <f>'Sep 2019'!J21</f>
        <v>0</v>
      </c>
      <c r="K15" s="25">
        <f>'Sep 2019'!K21</f>
        <v>7.5</v>
      </c>
      <c r="L15" s="25">
        <f>'Sep 2019'!L23</f>
        <v>0</v>
      </c>
      <c r="M15" s="25">
        <f>'Sep 2019'!S21</f>
        <v>0</v>
      </c>
      <c r="N15" s="25">
        <f>'Sep 2019'!T21</f>
        <v>0</v>
      </c>
      <c r="O15" s="25">
        <f>'Sep 2019'!U21</f>
        <v>6.2</v>
      </c>
      <c r="P15" s="25">
        <f>'Sep 2019'!V21</f>
        <v>0</v>
      </c>
      <c r="Q15" s="25">
        <f>'Sep 2019'!BC21</f>
        <v>0</v>
      </c>
      <c r="R15" s="25">
        <f>'Sep 2019'!BD21</f>
        <v>0</v>
      </c>
      <c r="S15" s="25">
        <f>'Sep 2019'!BF21</f>
        <v>0</v>
      </c>
      <c r="T15" s="25">
        <f>'Sep 2019'!BF21</f>
        <v>0</v>
      </c>
      <c r="U15" s="25">
        <f>'Sep 2019'!BG21</f>
        <v>0</v>
      </c>
      <c r="V15" s="25">
        <f>'Sep 2019'!BH21</f>
        <v>0</v>
      </c>
      <c r="W15" s="25">
        <f>'Sep 2019'!W21</f>
        <v>188</v>
      </c>
      <c r="X15" s="25">
        <f>'Sep 2019'!X21</f>
        <v>0</v>
      </c>
      <c r="Y15" s="25">
        <f>'Sep 2019'!Y21</f>
        <v>0</v>
      </c>
      <c r="Z15" s="25">
        <f>'Sep 2019'!Z21</f>
        <v>0</v>
      </c>
      <c r="AA15" s="25">
        <f>'Sep 2019'!AA21</f>
        <v>0</v>
      </c>
      <c r="AB15" s="25">
        <f>'Sep 2019'!AB21</f>
        <v>0</v>
      </c>
      <c r="AC15" s="25">
        <f>'Sep 2019'!AC21</f>
        <v>0</v>
      </c>
      <c r="AD15" s="25">
        <f>'Sep 2019'!AD21</f>
        <v>0</v>
      </c>
      <c r="AE15" s="25">
        <f>'Sep 2019'!AE21</f>
        <v>0</v>
      </c>
      <c r="AF15" s="25">
        <f>'Sep 2019'!AF21</f>
        <v>0</v>
      </c>
      <c r="AG15" s="25">
        <f>'Sep 2019'!AK21</f>
        <v>0</v>
      </c>
      <c r="AH15" s="25">
        <f>'Sep 2019'!AP21</f>
        <v>0</v>
      </c>
      <c r="AI15" s="25">
        <f>'Sep 2019'!AO21</f>
        <v>0</v>
      </c>
      <c r="AJ15" s="25">
        <f>'Sep 2019'!AP21</f>
        <v>0</v>
      </c>
      <c r="AK15" s="25">
        <f>'Sep 2019'!AW21</f>
        <v>0</v>
      </c>
      <c r="AL15" s="25">
        <f>'Sep 2019'!AX21</f>
        <v>0</v>
      </c>
      <c r="AM15" s="25">
        <f>'Sep 2019'!AZ21</f>
        <v>0</v>
      </c>
      <c r="AN15" s="25">
        <f>'Sep 2019'!AZ21</f>
        <v>0</v>
      </c>
      <c r="AO15" s="25">
        <f>'Sep 2019'!BI21</f>
        <v>0</v>
      </c>
      <c r="AP15" s="25">
        <f>'Sep 2019'!BJ21</f>
        <v>0</v>
      </c>
      <c r="AQ15" s="25">
        <f>'Sep 2019'!BA21</f>
        <v>0</v>
      </c>
      <c r="AR15" s="25">
        <f>'Sep 2019'!BB21</f>
        <v>0</v>
      </c>
      <c r="AS15" s="25">
        <f>'Sep 2019'!BK21</f>
        <v>0</v>
      </c>
      <c r="AT15" s="25">
        <f>'Sep 2019'!BL21</f>
        <v>0</v>
      </c>
      <c r="AU15" s="25">
        <f>'Sep 2019'!BM21</f>
        <v>0</v>
      </c>
      <c r="AV15" s="25">
        <f>'Sep 2019'!BN21</f>
        <v>0</v>
      </c>
      <c r="AW15" s="25">
        <f>'Sep 2019'!E21</f>
        <v>15.800000000000002</v>
      </c>
      <c r="AX15" s="25">
        <f>'Sep 2019'!F21</f>
        <v>0</v>
      </c>
      <c r="AY15" s="25">
        <f>'Sep 2019'!O21</f>
        <v>0</v>
      </c>
      <c r="AZ15" s="25">
        <f>'Sep 2019'!P21</f>
        <v>0</v>
      </c>
      <c r="BA15" s="25">
        <f>'Sep 2019'!U21</f>
        <v>6.2</v>
      </c>
      <c r="BB15" s="25">
        <f>'Sep 2019'!V35</f>
        <v>0</v>
      </c>
      <c r="BC15" s="25">
        <f>'Sep 2019'!AG21</f>
        <v>380</v>
      </c>
      <c r="BD15" s="25">
        <f>'Sep 2019'!AH21</f>
        <v>0</v>
      </c>
      <c r="BE15" s="25">
        <f>'Sep 2019'!AI21</f>
        <v>0</v>
      </c>
      <c r="BF15" s="25">
        <f>'Sep 2019'!AJ21</f>
        <v>0</v>
      </c>
      <c r="BG15" s="25">
        <f>'Sep 2019'!AK21</f>
        <v>0</v>
      </c>
      <c r="BH15" s="25">
        <f>'Sep 2019'!AL21</f>
        <v>0</v>
      </c>
      <c r="BI15" s="25">
        <f>'Sep 2019'!AM21</f>
        <v>0</v>
      </c>
      <c r="BJ15" s="25">
        <f>'Sep 2019'!AM21</f>
        <v>0</v>
      </c>
      <c r="BK15" s="25">
        <f>'Sep 2019'!AO21</f>
        <v>0</v>
      </c>
      <c r="BL15" s="25">
        <f>'Sep 2019'!AP21</f>
        <v>0</v>
      </c>
      <c r="BM15" s="25">
        <v>0</v>
      </c>
      <c r="BN15" s="25">
        <v>0</v>
      </c>
      <c r="BO15" s="26">
        <f>'Sep 2019'!Q21</f>
        <v>0</v>
      </c>
      <c r="BP15" s="25">
        <f>'Sep 2019'!R21</f>
        <v>0</v>
      </c>
    </row>
    <row r="16" spans="1:68">
      <c r="A16" s="20" t="s">
        <v>67</v>
      </c>
      <c r="B16" s="28">
        <f t="shared" si="0"/>
        <v>15</v>
      </c>
      <c r="C16" s="29">
        <v>9</v>
      </c>
      <c r="D16" s="30">
        <v>2019</v>
      </c>
      <c r="E16" s="21">
        <f>'Sep 2019'!M22</f>
        <v>3.6</v>
      </c>
      <c r="F16" s="25">
        <f>'Sep 2019'!N22</f>
        <v>0</v>
      </c>
      <c r="G16" s="25">
        <f>'Sep 2019'!G22</f>
        <v>0</v>
      </c>
      <c r="H16" s="25">
        <f>'Sep 2019'!H22</f>
        <v>0</v>
      </c>
      <c r="I16" s="25">
        <f>'Sep 2019'!I22</f>
        <v>0</v>
      </c>
      <c r="J16" s="25">
        <f>'Sep 2019'!J22</f>
        <v>0</v>
      </c>
      <c r="K16" s="25">
        <f>'Sep 2019'!K22</f>
        <v>8</v>
      </c>
      <c r="L16" s="25">
        <f>'Sep 2019'!L24</f>
        <v>0</v>
      </c>
      <c r="M16" s="25">
        <f>'Sep 2019'!S22</f>
        <v>0</v>
      </c>
      <c r="N16" s="25">
        <f>'Sep 2019'!T22</f>
        <v>0</v>
      </c>
      <c r="O16" s="25">
        <f>'Sep 2019'!U22</f>
        <v>5.3000000000000007</v>
      </c>
      <c r="P16" s="25">
        <f>'Sep 2019'!V22</f>
        <v>0</v>
      </c>
      <c r="Q16" s="25">
        <f>'Sep 2019'!BC22</f>
        <v>0</v>
      </c>
      <c r="R16" s="25">
        <f>'Sep 2019'!BD22</f>
        <v>0</v>
      </c>
      <c r="S16" s="25">
        <f>'Sep 2019'!BF22</f>
        <v>0</v>
      </c>
      <c r="T16" s="25">
        <f>'Sep 2019'!BF22</f>
        <v>0</v>
      </c>
      <c r="U16" s="25">
        <f>'Sep 2019'!BG22</f>
        <v>0</v>
      </c>
      <c r="V16" s="25">
        <f>'Sep 2019'!BH22</f>
        <v>0</v>
      </c>
      <c r="W16" s="25">
        <f>'Sep 2019'!W22</f>
        <v>168</v>
      </c>
      <c r="X16" s="25">
        <f>'Sep 2019'!X22</f>
        <v>0</v>
      </c>
      <c r="Y16" s="25">
        <f>'Sep 2019'!Y22</f>
        <v>0</v>
      </c>
      <c r="Z16" s="25">
        <f>'Sep 2019'!Z22</f>
        <v>0</v>
      </c>
      <c r="AA16" s="25">
        <f>'Sep 2019'!AA22</f>
        <v>0</v>
      </c>
      <c r="AB16" s="25">
        <f>'Sep 2019'!AB22</f>
        <v>0</v>
      </c>
      <c r="AC16" s="25">
        <f>'Sep 2019'!AC22</f>
        <v>0</v>
      </c>
      <c r="AD16" s="25">
        <f>'Sep 2019'!AD22</f>
        <v>0</v>
      </c>
      <c r="AE16" s="25">
        <f>'Sep 2019'!AE22</f>
        <v>0</v>
      </c>
      <c r="AF16" s="25">
        <f>'Sep 2019'!AF22</f>
        <v>0</v>
      </c>
      <c r="AG16" s="25">
        <f>'Sep 2019'!AK22</f>
        <v>0</v>
      </c>
      <c r="AH16" s="25">
        <f>'Sep 2019'!AP22</f>
        <v>0</v>
      </c>
      <c r="AI16" s="25">
        <f>'Sep 2019'!AO22</f>
        <v>0</v>
      </c>
      <c r="AJ16" s="25">
        <f>'Sep 2019'!AP22</f>
        <v>0</v>
      </c>
      <c r="AK16" s="25">
        <f>'Sep 2019'!AW22</f>
        <v>0</v>
      </c>
      <c r="AL16" s="25">
        <f>'Sep 2019'!AX22</f>
        <v>0</v>
      </c>
      <c r="AM16" s="25">
        <f>'Sep 2019'!AZ22</f>
        <v>0</v>
      </c>
      <c r="AN16" s="25">
        <f>'Sep 2019'!AZ22</f>
        <v>0</v>
      </c>
      <c r="AO16" s="25">
        <f>'Sep 2019'!BI22</f>
        <v>0</v>
      </c>
      <c r="AP16" s="25">
        <f>'Sep 2019'!BJ22</f>
        <v>0</v>
      </c>
      <c r="AQ16" s="25">
        <f>'Sep 2019'!BA22</f>
        <v>0</v>
      </c>
      <c r="AR16" s="25">
        <f>'Sep 2019'!BB22</f>
        <v>0</v>
      </c>
      <c r="AS16" s="25">
        <f>'Sep 2019'!BK22</f>
        <v>0</v>
      </c>
      <c r="AT16" s="25">
        <f>'Sep 2019'!BL22</f>
        <v>0</v>
      </c>
      <c r="AU16" s="25">
        <f>'Sep 2019'!BM22</f>
        <v>0</v>
      </c>
      <c r="AV16" s="25">
        <f>'Sep 2019'!BN22</f>
        <v>0</v>
      </c>
      <c r="AW16" s="25">
        <f>'Sep 2019'!E22</f>
        <v>14.1</v>
      </c>
      <c r="AX16" s="25">
        <f>'Sep 2019'!F22</f>
        <v>0</v>
      </c>
      <c r="AY16" s="25">
        <f>'Sep 2019'!O22</f>
        <v>0</v>
      </c>
      <c r="AZ16" s="25">
        <f>'Sep 2019'!P22</f>
        <v>0</v>
      </c>
      <c r="BA16" s="25">
        <f>'Sep 2019'!U22</f>
        <v>5.3000000000000007</v>
      </c>
      <c r="BB16" s="25">
        <f>'Sep 2019'!V36</f>
        <v>0</v>
      </c>
      <c r="BC16" s="25">
        <f>'Sep 2019'!AG22</f>
        <v>444.99999999999994</v>
      </c>
      <c r="BD16" s="25">
        <f>'Sep 2019'!AH22</f>
        <v>0</v>
      </c>
      <c r="BE16" s="25">
        <f>'Sep 2019'!AI22</f>
        <v>0</v>
      </c>
      <c r="BF16" s="25">
        <f>'Sep 2019'!AJ22</f>
        <v>0</v>
      </c>
      <c r="BG16" s="25">
        <f>'Sep 2019'!AK22</f>
        <v>0</v>
      </c>
      <c r="BH16" s="25">
        <f>'Sep 2019'!AL22</f>
        <v>0</v>
      </c>
      <c r="BI16" s="25">
        <f>'Sep 2019'!AM22</f>
        <v>0</v>
      </c>
      <c r="BJ16" s="25">
        <f>'Sep 2019'!AM22</f>
        <v>0</v>
      </c>
      <c r="BK16" s="25">
        <f>'Sep 2019'!AO22</f>
        <v>0</v>
      </c>
      <c r="BL16" s="25">
        <f>'Sep 2019'!AP22</f>
        <v>0</v>
      </c>
      <c r="BM16" s="25">
        <v>0</v>
      </c>
      <c r="BN16" s="25">
        <v>0</v>
      </c>
      <c r="BO16" s="26">
        <f>'Sep 2019'!Q22</f>
        <v>0</v>
      </c>
      <c r="BP16" s="25">
        <f>'Sep 2019'!R22</f>
        <v>0</v>
      </c>
    </row>
    <row r="17" spans="1:68">
      <c r="A17" s="20" t="s">
        <v>67</v>
      </c>
      <c r="B17" s="28">
        <f t="shared" si="0"/>
        <v>16</v>
      </c>
      <c r="C17" s="29">
        <v>9</v>
      </c>
      <c r="D17" s="30">
        <v>2019</v>
      </c>
      <c r="E17" s="21">
        <f>'Sep 2019'!M23</f>
        <v>4.2</v>
      </c>
      <c r="F17" s="25">
        <f>'Sep 2019'!N23</f>
        <v>0</v>
      </c>
      <c r="G17" s="25">
        <f>'Sep 2019'!G23</f>
        <v>0</v>
      </c>
      <c r="H17" s="25">
        <f>'Sep 2019'!H23</f>
        <v>0</v>
      </c>
      <c r="I17" s="25">
        <f>'Sep 2019'!I23</f>
        <v>0</v>
      </c>
      <c r="J17" s="25">
        <f>'Sep 2019'!J23</f>
        <v>0</v>
      </c>
      <c r="K17" s="25">
        <f>'Sep 2019'!K23</f>
        <v>9</v>
      </c>
      <c r="L17" s="25">
        <f>'Sep 2019'!L25</f>
        <v>0</v>
      </c>
      <c r="M17" s="25">
        <f>'Sep 2019'!S23</f>
        <v>0</v>
      </c>
      <c r="N17" s="25">
        <f>'Sep 2019'!T23</f>
        <v>0</v>
      </c>
      <c r="O17" s="25">
        <f>'Sep 2019'!U23</f>
        <v>5.5</v>
      </c>
      <c r="P17" s="25">
        <f>'Sep 2019'!V23</f>
        <v>0</v>
      </c>
      <c r="Q17" s="25">
        <f>'Sep 2019'!BC23</f>
        <v>0</v>
      </c>
      <c r="R17" s="25">
        <f>'Sep 2019'!BD23</f>
        <v>0</v>
      </c>
      <c r="S17" s="25">
        <f>'Sep 2019'!BF23</f>
        <v>0</v>
      </c>
      <c r="T17" s="25">
        <f>'Sep 2019'!BF23</f>
        <v>0</v>
      </c>
      <c r="U17" s="25">
        <f>'Sep 2019'!BG23</f>
        <v>0</v>
      </c>
      <c r="V17" s="25">
        <f>'Sep 2019'!BH23</f>
        <v>0</v>
      </c>
      <c r="W17" s="25">
        <f>'Sep 2019'!W23</f>
        <v>140</v>
      </c>
      <c r="X17" s="25">
        <f>'Sep 2019'!X23</f>
        <v>0</v>
      </c>
      <c r="Y17" s="25">
        <f>'Sep 2019'!Y23</f>
        <v>0</v>
      </c>
      <c r="Z17" s="25">
        <f>'Sep 2019'!Z23</f>
        <v>0</v>
      </c>
      <c r="AA17" s="25">
        <f>'Sep 2019'!AA23</f>
        <v>0</v>
      </c>
      <c r="AB17" s="25">
        <f>'Sep 2019'!AB23</f>
        <v>0</v>
      </c>
      <c r="AC17" s="25">
        <f>'Sep 2019'!AC23</f>
        <v>0</v>
      </c>
      <c r="AD17" s="25">
        <f>'Sep 2019'!AD23</f>
        <v>0</v>
      </c>
      <c r="AE17" s="25">
        <f>'Sep 2019'!AE23</f>
        <v>0</v>
      </c>
      <c r="AF17" s="25">
        <f>'Sep 2019'!AF23</f>
        <v>0</v>
      </c>
      <c r="AG17" s="25">
        <f>'Sep 2019'!AK23</f>
        <v>0</v>
      </c>
      <c r="AH17" s="25">
        <f>'Sep 2019'!AP23</f>
        <v>0</v>
      </c>
      <c r="AI17" s="25">
        <f>'Sep 2019'!AO23</f>
        <v>0</v>
      </c>
      <c r="AJ17" s="25">
        <f>'Sep 2019'!AP23</f>
        <v>0</v>
      </c>
      <c r="AK17" s="25">
        <f>'Sep 2019'!AW23</f>
        <v>0</v>
      </c>
      <c r="AL17" s="25">
        <f>'Sep 2019'!AX23</f>
        <v>0</v>
      </c>
      <c r="AM17" s="25">
        <f>'Sep 2019'!AZ23</f>
        <v>0</v>
      </c>
      <c r="AN17" s="25">
        <f>'Sep 2019'!AZ23</f>
        <v>0</v>
      </c>
      <c r="AO17" s="25">
        <f>'Sep 2019'!BI23</f>
        <v>0</v>
      </c>
      <c r="AP17" s="25">
        <f>'Sep 2019'!BJ23</f>
        <v>0</v>
      </c>
      <c r="AQ17" s="25">
        <f>'Sep 2019'!BA23</f>
        <v>0</v>
      </c>
      <c r="AR17" s="25">
        <f>'Sep 2019'!BB23</f>
        <v>0</v>
      </c>
      <c r="AS17" s="25">
        <f>'Sep 2019'!BK23</f>
        <v>0</v>
      </c>
      <c r="AT17" s="25">
        <f>'Sep 2019'!BL23</f>
        <v>0</v>
      </c>
      <c r="AU17" s="25">
        <f>'Sep 2019'!BM23</f>
        <v>0</v>
      </c>
      <c r="AV17" s="25">
        <f>'Sep 2019'!BN23</f>
        <v>0</v>
      </c>
      <c r="AW17" s="25">
        <f>'Sep 2019'!E23</f>
        <v>12.7</v>
      </c>
      <c r="AX17" s="25">
        <f>'Sep 2019'!F23</f>
        <v>0</v>
      </c>
      <c r="AY17" s="25">
        <f>'Sep 2019'!O23</f>
        <v>0</v>
      </c>
      <c r="AZ17" s="25">
        <f>'Sep 2019'!P23</f>
        <v>0</v>
      </c>
      <c r="BA17" s="25">
        <f>'Sep 2019'!U23</f>
        <v>5.5</v>
      </c>
      <c r="BB17" s="25">
        <f>'Sep 2019'!V37</f>
        <v>0</v>
      </c>
      <c r="BC17" s="25">
        <f>'Sep 2019'!AG23</f>
        <v>350</v>
      </c>
      <c r="BD17" s="25">
        <f>'Sep 2019'!AH23</f>
        <v>0</v>
      </c>
      <c r="BE17" s="25">
        <f>'Sep 2019'!AI23</f>
        <v>0</v>
      </c>
      <c r="BF17" s="25">
        <f>'Sep 2019'!AJ23</f>
        <v>0</v>
      </c>
      <c r="BG17" s="25">
        <f>'Sep 2019'!AK23</f>
        <v>0</v>
      </c>
      <c r="BH17" s="25">
        <f>'Sep 2019'!AL23</f>
        <v>0</v>
      </c>
      <c r="BI17" s="25">
        <f>'Sep 2019'!AM23</f>
        <v>0</v>
      </c>
      <c r="BJ17" s="25">
        <f>'Sep 2019'!AM23</f>
        <v>0</v>
      </c>
      <c r="BK17" s="25">
        <f>'Sep 2019'!AO23</f>
        <v>0</v>
      </c>
      <c r="BL17" s="25">
        <f>'Sep 2019'!AP23</f>
        <v>0</v>
      </c>
      <c r="BM17" s="25">
        <v>0</v>
      </c>
      <c r="BN17" s="25">
        <v>0</v>
      </c>
      <c r="BO17" s="26">
        <f>'Sep 2019'!Q23</f>
        <v>0</v>
      </c>
      <c r="BP17" s="25">
        <f>'Sep 2019'!R23</f>
        <v>0</v>
      </c>
    </row>
    <row r="18" spans="1:68">
      <c r="A18" s="20" t="s">
        <v>67</v>
      </c>
      <c r="B18" s="28">
        <f t="shared" si="0"/>
        <v>17</v>
      </c>
      <c r="C18" s="29">
        <v>9</v>
      </c>
      <c r="D18" s="30">
        <v>2019</v>
      </c>
      <c r="E18" s="21">
        <f>'Sep 2019'!M24</f>
        <v>5.0999999999999996</v>
      </c>
      <c r="F18" s="25">
        <f>'Sep 2019'!N24</f>
        <v>0</v>
      </c>
      <c r="G18" s="25">
        <f>'Sep 2019'!G24</f>
        <v>0</v>
      </c>
      <c r="H18" s="25">
        <f>'Sep 2019'!H24</f>
        <v>0</v>
      </c>
      <c r="I18" s="25">
        <f>'Sep 2019'!I24</f>
        <v>0</v>
      </c>
      <c r="J18" s="25">
        <f>'Sep 2019'!J24</f>
        <v>0</v>
      </c>
      <c r="K18" s="25">
        <f>'Sep 2019'!K24</f>
        <v>9.2000000000000011</v>
      </c>
      <c r="L18" s="25">
        <f>'Sep 2019'!L26</f>
        <v>0</v>
      </c>
      <c r="M18" s="25">
        <f>'Sep 2019'!S24</f>
        <v>0</v>
      </c>
      <c r="N18" s="25">
        <f>'Sep 2019'!T24</f>
        <v>0</v>
      </c>
      <c r="O18" s="25">
        <f>'Sep 2019'!U24</f>
        <v>6.2</v>
      </c>
      <c r="P18" s="25">
        <f>'Sep 2019'!V24</f>
        <v>0</v>
      </c>
      <c r="Q18" s="25">
        <f>'Sep 2019'!BC24</f>
        <v>0</v>
      </c>
      <c r="R18" s="25">
        <f>'Sep 2019'!BD24</f>
        <v>0</v>
      </c>
      <c r="S18" s="25">
        <f>'Sep 2019'!BF24</f>
        <v>0</v>
      </c>
      <c r="T18" s="25">
        <f>'Sep 2019'!BF24</f>
        <v>0</v>
      </c>
      <c r="U18" s="25">
        <f>'Sep 2019'!BG24</f>
        <v>0</v>
      </c>
      <c r="V18" s="25">
        <f>'Sep 2019'!BH24</f>
        <v>0</v>
      </c>
      <c r="W18" s="25">
        <f>'Sep 2019'!W24</f>
        <v>168</v>
      </c>
      <c r="X18" s="25">
        <f>'Sep 2019'!X24</f>
        <v>0</v>
      </c>
      <c r="Y18" s="25">
        <f>'Sep 2019'!Y24</f>
        <v>0</v>
      </c>
      <c r="Z18" s="25">
        <f>'Sep 2019'!Z24</f>
        <v>0</v>
      </c>
      <c r="AA18" s="25">
        <f>'Sep 2019'!AA24</f>
        <v>0</v>
      </c>
      <c r="AB18" s="25">
        <f>'Sep 2019'!AB24</f>
        <v>0</v>
      </c>
      <c r="AC18" s="25">
        <f>'Sep 2019'!AC24</f>
        <v>0</v>
      </c>
      <c r="AD18" s="25">
        <f>'Sep 2019'!AD24</f>
        <v>0</v>
      </c>
      <c r="AE18" s="25">
        <f>'Sep 2019'!AE24</f>
        <v>0</v>
      </c>
      <c r="AF18" s="25">
        <f>'Sep 2019'!AF24</f>
        <v>0</v>
      </c>
      <c r="AG18" s="25">
        <f>'Sep 2019'!AK24</f>
        <v>0</v>
      </c>
      <c r="AH18" s="25">
        <f>'Sep 2019'!AP24</f>
        <v>0</v>
      </c>
      <c r="AI18" s="25">
        <f>'Sep 2019'!AO24</f>
        <v>0</v>
      </c>
      <c r="AJ18" s="25">
        <f>'Sep 2019'!AP24</f>
        <v>0</v>
      </c>
      <c r="AK18" s="25">
        <f>'Sep 2019'!AW24</f>
        <v>0</v>
      </c>
      <c r="AL18" s="25">
        <f>'Sep 2019'!AX24</f>
        <v>0</v>
      </c>
      <c r="AM18" s="25">
        <f>'Sep 2019'!AZ24</f>
        <v>0</v>
      </c>
      <c r="AN18" s="25">
        <f>'Sep 2019'!AZ24</f>
        <v>0</v>
      </c>
      <c r="AO18" s="25">
        <f>'Sep 2019'!BI24</f>
        <v>0</v>
      </c>
      <c r="AP18" s="25">
        <f>'Sep 2019'!BJ24</f>
        <v>0</v>
      </c>
      <c r="AQ18" s="25">
        <f>'Sep 2019'!BA24</f>
        <v>0</v>
      </c>
      <c r="AR18" s="25">
        <f>'Sep 2019'!BB24</f>
        <v>0</v>
      </c>
      <c r="AS18" s="25">
        <f>'Sep 2019'!BK24</f>
        <v>0</v>
      </c>
      <c r="AT18" s="25">
        <f>'Sep 2019'!BL24</f>
        <v>0</v>
      </c>
      <c r="AU18" s="25">
        <f>'Sep 2019'!BM24</f>
        <v>0</v>
      </c>
      <c r="AV18" s="25">
        <f>'Sep 2019'!BN24</f>
        <v>0</v>
      </c>
      <c r="AW18" s="25">
        <f>'Sep 2019'!E24</f>
        <v>13.6</v>
      </c>
      <c r="AX18" s="25">
        <f>'Sep 2019'!F24</f>
        <v>0</v>
      </c>
      <c r="AY18" s="25">
        <f>'Sep 2019'!O24</f>
        <v>0</v>
      </c>
      <c r="AZ18" s="25">
        <f>'Sep 2019'!P24</f>
        <v>0</v>
      </c>
      <c r="BA18" s="25">
        <f>'Sep 2019'!U24</f>
        <v>6.2</v>
      </c>
      <c r="BB18" s="25">
        <f>'Sep 2019'!V38</f>
        <v>0</v>
      </c>
      <c r="BC18" s="25">
        <f>'Sep 2019'!AG24</f>
        <v>335</v>
      </c>
      <c r="BD18" s="25">
        <f>'Sep 2019'!AH24</f>
        <v>0</v>
      </c>
      <c r="BE18" s="25">
        <f>'Sep 2019'!AI24</f>
        <v>0</v>
      </c>
      <c r="BF18" s="25">
        <f>'Sep 2019'!AJ24</f>
        <v>0</v>
      </c>
      <c r="BG18" s="25">
        <f>'Sep 2019'!AK24</f>
        <v>0</v>
      </c>
      <c r="BH18" s="25">
        <f>'Sep 2019'!AL24</f>
        <v>0</v>
      </c>
      <c r="BI18" s="25">
        <f>'Sep 2019'!AM24</f>
        <v>0</v>
      </c>
      <c r="BJ18" s="25">
        <f>'Sep 2019'!AM24</f>
        <v>0</v>
      </c>
      <c r="BK18" s="25">
        <f>'Sep 2019'!AO24</f>
        <v>0</v>
      </c>
      <c r="BL18" s="25">
        <f>'Sep 2019'!AP24</f>
        <v>0</v>
      </c>
      <c r="BM18" s="25">
        <v>0</v>
      </c>
      <c r="BN18" s="25">
        <v>0</v>
      </c>
      <c r="BO18" s="26">
        <f>'Sep 2019'!Q24</f>
        <v>0</v>
      </c>
      <c r="BP18" s="25">
        <f>'Sep 2019'!R24</f>
        <v>0</v>
      </c>
    </row>
    <row r="19" spans="1:68">
      <c r="A19" s="20" t="s">
        <v>67</v>
      </c>
      <c r="B19" s="28">
        <f t="shared" si="0"/>
        <v>18</v>
      </c>
      <c r="C19" s="29">
        <v>9</v>
      </c>
      <c r="D19" s="30">
        <v>2019</v>
      </c>
      <c r="E19" s="21">
        <f>'Sep 2019'!M25</f>
        <v>3.6</v>
      </c>
      <c r="F19" s="25">
        <f>'Sep 2019'!N25</f>
        <v>0</v>
      </c>
      <c r="G19" s="25">
        <f>'Sep 2019'!G25</f>
        <v>0</v>
      </c>
      <c r="H19" s="25">
        <f>'Sep 2019'!H25</f>
        <v>0</v>
      </c>
      <c r="I19" s="25">
        <f>'Sep 2019'!I25</f>
        <v>0</v>
      </c>
      <c r="J19" s="25">
        <f>'Sep 2019'!J25</f>
        <v>0</v>
      </c>
      <c r="K19" s="25">
        <f>'Sep 2019'!K25</f>
        <v>7.6</v>
      </c>
      <c r="L19" s="25">
        <f>'Sep 2019'!L27</f>
        <v>0</v>
      </c>
      <c r="M19" s="25">
        <f>'Sep 2019'!S25</f>
        <v>0</v>
      </c>
      <c r="N19" s="25">
        <f>'Sep 2019'!T25</f>
        <v>0</v>
      </c>
      <c r="O19" s="25">
        <f>'Sep 2019'!U25</f>
        <v>5.0999999999999996</v>
      </c>
      <c r="P19" s="25">
        <f>'Sep 2019'!V25</f>
        <v>0</v>
      </c>
      <c r="Q19" s="25">
        <f>'Sep 2019'!BC25</f>
        <v>0</v>
      </c>
      <c r="R19" s="25">
        <f>'Sep 2019'!BD25</f>
        <v>0</v>
      </c>
      <c r="S19" s="25">
        <f>'Sep 2019'!BF25</f>
        <v>0</v>
      </c>
      <c r="T19" s="25">
        <f>'Sep 2019'!BF25</f>
        <v>0</v>
      </c>
      <c r="U19" s="25">
        <f>'Sep 2019'!BG25</f>
        <v>0</v>
      </c>
      <c r="V19" s="25">
        <f>'Sep 2019'!BH25</f>
        <v>0</v>
      </c>
      <c r="W19" s="25">
        <f>'Sep 2019'!W25</f>
        <v>148</v>
      </c>
      <c r="X19" s="25">
        <f>'Sep 2019'!X25</f>
        <v>0</v>
      </c>
      <c r="Y19" s="25">
        <f>'Sep 2019'!Y25</f>
        <v>0</v>
      </c>
      <c r="Z19" s="25">
        <f>'Sep 2019'!Z25</f>
        <v>0</v>
      </c>
      <c r="AA19" s="25">
        <f>'Sep 2019'!AA25</f>
        <v>0</v>
      </c>
      <c r="AB19" s="25">
        <f>'Sep 2019'!AB25</f>
        <v>0</v>
      </c>
      <c r="AC19" s="25">
        <f>'Sep 2019'!AC25</f>
        <v>0</v>
      </c>
      <c r="AD19" s="25">
        <f>'Sep 2019'!AD25</f>
        <v>0</v>
      </c>
      <c r="AE19" s="25">
        <f>'Sep 2019'!AE25</f>
        <v>0</v>
      </c>
      <c r="AF19" s="25">
        <f>'Sep 2019'!AF25</f>
        <v>0</v>
      </c>
      <c r="AG19" s="25">
        <f>'Sep 2019'!AK25</f>
        <v>0</v>
      </c>
      <c r="AH19" s="25">
        <f>'Sep 2019'!AP25</f>
        <v>0</v>
      </c>
      <c r="AI19" s="25">
        <f>'Sep 2019'!AO25</f>
        <v>0</v>
      </c>
      <c r="AJ19" s="25">
        <f>'Sep 2019'!AP25</f>
        <v>0</v>
      </c>
      <c r="AK19" s="25">
        <f>'Sep 2019'!AW25</f>
        <v>0</v>
      </c>
      <c r="AL19" s="25">
        <f>'Sep 2019'!AX25</f>
        <v>0</v>
      </c>
      <c r="AM19" s="25">
        <f>'Sep 2019'!AZ25</f>
        <v>0</v>
      </c>
      <c r="AN19" s="25">
        <f>'Sep 2019'!AZ25</f>
        <v>0</v>
      </c>
      <c r="AO19" s="25">
        <f>'Sep 2019'!BI25</f>
        <v>0</v>
      </c>
      <c r="AP19" s="25">
        <f>'Sep 2019'!BJ25</f>
        <v>0</v>
      </c>
      <c r="AQ19" s="25">
        <f>'Sep 2019'!BA25</f>
        <v>0</v>
      </c>
      <c r="AR19" s="25">
        <f>'Sep 2019'!BB25</f>
        <v>0</v>
      </c>
      <c r="AS19" s="25">
        <f>'Sep 2019'!BK25</f>
        <v>0</v>
      </c>
      <c r="AT19" s="25">
        <f>'Sep 2019'!BL25</f>
        <v>0</v>
      </c>
      <c r="AU19" s="25">
        <f>'Sep 2019'!BM25</f>
        <v>0</v>
      </c>
      <c r="AV19" s="25">
        <f>'Sep 2019'!BN25</f>
        <v>0</v>
      </c>
      <c r="AW19" s="25">
        <f>'Sep 2019'!E25</f>
        <v>15.599999999999998</v>
      </c>
      <c r="AX19" s="25">
        <f>'Sep 2019'!F25</f>
        <v>0</v>
      </c>
      <c r="AY19" s="25">
        <f>'Sep 2019'!O25</f>
        <v>0</v>
      </c>
      <c r="AZ19" s="25">
        <f>'Sep 2019'!P25</f>
        <v>0</v>
      </c>
      <c r="BA19" s="25">
        <f>'Sep 2019'!U25</f>
        <v>5.0999999999999996</v>
      </c>
      <c r="BB19" s="25">
        <f>'Sep 2019'!V39</f>
        <v>0</v>
      </c>
      <c r="BC19" s="25">
        <f>'Sep 2019'!AG25</f>
        <v>330</v>
      </c>
      <c r="BD19" s="25">
        <f>'Sep 2019'!AH25</f>
        <v>0</v>
      </c>
      <c r="BE19" s="25">
        <f>'Sep 2019'!AI25</f>
        <v>0</v>
      </c>
      <c r="BF19" s="25">
        <f>'Sep 2019'!AJ25</f>
        <v>0</v>
      </c>
      <c r="BG19" s="25">
        <f>'Sep 2019'!AK25</f>
        <v>0</v>
      </c>
      <c r="BH19" s="25">
        <f>'Sep 2019'!AL25</f>
        <v>0</v>
      </c>
      <c r="BI19" s="25">
        <f>'Sep 2019'!AM25</f>
        <v>0</v>
      </c>
      <c r="BJ19" s="25">
        <f>'Sep 2019'!AM25</f>
        <v>0</v>
      </c>
      <c r="BK19" s="25">
        <f>'Sep 2019'!AO25</f>
        <v>0</v>
      </c>
      <c r="BL19" s="25">
        <f>'Sep 2019'!AP25</f>
        <v>0</v>
      </c>
      <c r="BM19" s="25">
        <v>0</v>
      </c>
      <c r="BN19" s="25">
        <v>0</v>
      </c>
      <c r="BO19" s="26">
        <f>'Sep 2019'!Q25</f>
        <v>0</v>
      </c>
      <c r="BP19" s="25">
        <f>'Sep 2019'!R25</f>
        <v>0</v>
      </c>
    </row>
    <row r="20" spans="1:68">
      <c r="A20" s="20" t="s">
        <v>67</v>
      </c>
      <c r="B20" s="28">
        <f t="shared" si="0"/>
        <v>19</v>
      </c>
      <c r="C20" s="29">
        <v>9</v>
      </c>
      <c r="D20" s="30">
        <v>2019</v>
      </c>
      <c r="E20" s="21">
        <f>'Sep 2019'!M26</f>
        <v>4.9000000000000004</v>
      </c>
      <c r="F20" s="25">
        <f>'Sep 2019'!N26</f>
        <v>0</v>
      </c>
      <c r="G20" s="25">
        <f>'Sep 2019'!G26</f>
        <v>0</v>
      </c>
      <c r="H20" s="25">
        <f>'Sep 2019'!H26</f>
        <v>0</v>
      </c>
      <c r="I20" s="25">
        <f>'Sep 2019'!I26</f>
        <v>0</v>
      </c>
      <c r="J20" s="25">
        <f>'Sep 2019'!J26</f>
        <v>0</v>
      </c>
      <c r="K20" s="25">
        <f>'Sep 2019'!K26</f>
        <v>8.3000000000000007</v>
      </c>
      <c r="L20" s="25">
        <f>'Sep 2019'!L28</f>
        <v>0</v>
      </c>
      <c r="M20" s="25">
        <f>'Sep 2019'!S26</f>
        <v>0</v>
      </c>
      <c r="N20" s="25">
        <f>'Sep 2019'!T26</f>
        <v>0</v>
      </c>
      <c r="O20" s="25">
        <f>'Sep 2019'!U26</f>
        <v>5</v>
      </c>
      <c r="P20" s="25">
        <f>'Sep 2019'!V26</f>
        <v>0</v>
      </c>
      <c r="Q20" s="25">
        <f>'Sep 2019'!BC26</f>
        <v>0</v>
      </c>
      <c r="R20" s="25">
        <f>'Sep 2019'!BD26</f>
        <v>0</v>
      </c>
      <c r="S20" s="25">
        <f>'Sep 2019'!BF26</f>
        <v>0</v>
      </c>
      <c r="T20" s="25">
        <f>'Sep 2019'!BF26</f>
        <v>0</v>
      </c>
      <c r="U20" s="25">
        <f>'Sep 2019'!BG26</f>
        <v>0</v>
      </c>
      <c r="V20" s="25">
        <f>'Sep 2019'!BH26</f>
        <v>0</v>
      </c>
      <c r="W20" s="25">
        <f>'Sep 2019'!W26</f>
        <v>192</v>
      </c>
      <c r="X20" s="25">
        <f>'Sep 2019'!X26</f>
        <v>0</v>
      </c>
      <c r="Y20" s="25">
        <f>'Sep 2019'!Y26</f>
        <v>0</v>
      </c>
      <c r="Z20" s="25">
        <f>'Sep 2019'!Z26</f>
        <v>0</v>
      </c>
      <c r="AA20" s="25">
        <f>'Sep 2019'!AA26</f>
        <v>0</v>
      </c>
      <c r="AB20" s="25">
        <f>'Sep 2019'!AB26</f>
        <v>0</v>
      </c>
      <c r="AC20" s="25">
        <f>'Sep 2019'!AC26</f>
        <v>0</v>
      </c>
      <c r="AD20" s="25">
        <f>'Sep 2019'!AD26</f>
        <v>0</v>
      </c>
      <c r="AE20" s="25">
        <f>'Sep 2019'!AE26</f>
        <v>0</v>
      </c>
      <c r="AF20" s="25">
        <f>'Sep 2019'!AF26</f>
        <v>0</v>
      </c>
      <c r="AG20" s="25">
        <f>'Sep 2019'!AK26</f>
        <v>0</v>
      </c>
      <c r="AH20" s="25">
        <f>'Sep 2019'!AP26</f>
        <v>0</v>
      </c>
      <c r="AI20" s="25">
        <f>'Sep 2019'!AO26</f>
        <v>0</v>
      </c>
      <c r="AJ20" s="25">
        <f>'Sep 2019'!AP26</f>
        <v>0</v>
      </c>
      <c r="AK20" s="25">
        <f>'Sep 2019'!AW26</f>
        <v>0</v>
      </c>
      <c r="AL20" s="25">
        <f>'Sep 2019'!AX26</f>
        <v>0</v>
      </c>
      <c r="AM20" s="25">
        <f>'Sep 2019'!AZ26</f>
        <v>0</v>
      </c>
      <c r="AN20" s="25">
        <f>'Sep 2019'!AZ26</f>
        <v>0</v>
      </c>
      <c r="AO20" s="25">
        <f>'Sep 2019'!BI26</f>
        <v>0</v>
      </c>
      <c r="AP20" s="25">
        <f>'Sep 2019'!BJ26</f>
        <v>0</v>
      </c>
      <c r="AQ20" s="25">
        <f>'Sep 2019'!BA26</f>
        <v>0</v>
      </c>
      <c r="AR20" s="25">
        <f>'Sep 2019'!BB26</f>
        <v>0</v>
      </c>
      <c r="AS20" s="25">
        <f>'Sep 2019'!BK26</f>
        <v>0</v>
      </c>
      <c r="AT20" s="25">
        <f>'Sep 2019'!BL26</f>
        <v>0</v>
      </c>
      <c r="AU20" s="25">
        <f>'Sep 2019'!BM26</f>
        <v>0</v>
      </c>
      <c r="AV20" s="25">
        <f>'Sep 2019'!BN26</f>
        <v>0</v>
      </c>
      <c r="AW20" s="25">
        <f>'Sep 2019'!E26</f>
        <v>13</v>
      </c>
      <c r="AX20" s="25">
        <f>'Sep 2019'!F26</f>
        <v>0</v>
      </c>
      <c r="AY20" s="25">
        <f>'Sep 2019'!O26</f>
        <v>0</v>
      </c>
      <c r="AZ20" s="25">
        <f>'Sep 2019'!P26</f>
        <v>0</v>
      </c>
      <c r="BA20" s="25">
        <f>'Sep 2019'!U26</f>
        <v>5</v>
      </c>
      <c r="BB20" s="25">
        <f>'Sep 2019'!V40</f>
        <v>0</v>
      </c>
      <c r="BC20" s="25">
        <f>'Sep 2019'!AG26</f>
        <v>365</v>
      </c>
      <c r="BD20" s="25">
        <f>'Sep 2019'!AH26</f>
        <v>0</v>
      </c>
      <c r="BE20" s="25">
        <f>'Sep 2019'!AI26</f>
        <v>0</v>
      </c>
      <c r="BF20" s="25">
        <f>'Sep 2019'!AJ26</f>
        <v>0</v>
      </c>
      <c r="BG20" s="25">
        <f>'Sep 2019'!AK26</f>
        <v>0</v>
      </c>
      <c r="BH20" s="25">
        <f>'Sep 2019'!AL26</f>
        <v>0</v>
      </c>
      <c r="BI20" s="25">
        <f>'Sep 2019'!AM26</f>
        <v>0</v>
      </c>
      <c r="BJ20" s="25">
        <f>'Sep 2019'!AM26</f>
        <v>0</v>
      </c>
      <c r="BK20" s="25">
        <f>'Sep 2019'!AO26</f>
        <v>0</v>
      </c>
      <c r="BL20" s="25">
        <f>'Sep 2019'!AP26</f>
        <v>0</v>
      </c>
      <c r="BM20" s="25">
        <v>0</v>
      </c>
      <c r="BN20" s="25">
        <v>0</v>
      </c>
      <c r="BO20" s="26">
        <f>'Sep 2019'!Q26</f>
        <v>0</v>
      </c>
      <c r="BP20" s="25">
        <f>'Sep 2019'!R26</f>
        <v>0</v>
      </c>
    </row>
    <row r="21" spans="1:68">
      <c r="A21" s="20" t="s">
        <v>67</v>
      </c>
      <c r="B21" s="28">
        <f t="shared" si="0"/>
        <v>20</v>
      </c>
      <c r="C21" s="29">
        <v>9</v>
      </c>
      <c r="D21" s="30">
        <v>2019</v>
      </c>
      <c r="E21" s="21">
        <f>'Sep 2019'!M27</f>
        <v>2.6</v>
      </c>
      <c r="F21" s="25">
        <f>'Sep 2019'!N27</f>
        <v>0</v>
      </c>
      <c r="G21" s="25">
        <f>'Sep 2019'!G27</f>
        <v>0</v>
      </c>
      <c r="H21" s="25">
        <f>'Sep 2019'!H27</f>
        <v>0</v>
      </c>
      <c r="I21" s="25">
        <f>'Sep 2019'!I27</f>
        <v>0</v>
      </c>
      <c r="J21" s="25">
        <f>'Sep 2019'!J27</f>
        <v>0</v>
      </c>
      <c r="K21" s="25">
        <f>'Sep 2019'!K27</f>
        <v>6.9</v>
      </c>
      <c r="L21" s="25">
        <f>'Sep 2019'!L29</f>
        <v>0</v>
      </c>
      <c r="M21" s="25">
        <f>'Sep 2019'!S27</f>
        <v>0</v>
      </c>
      <c r="N21" s="25">
        <f>'Sep 2019'!T27</f>
        <v>0</v>
      </c>
      <c r="O21" s="25">
        <f>'Sep 2019'!U27</f>
        <v>6.2</v>
      </c>
      <c r="P21" s="25">
        <f>'Sep 2019'!V27</f>
        <v>0</v>
      </c>
      <c r="Q21" s="25">
        <f>'Sep 2019'!BC27</f>
        <v>0</v>
      </c>
      <c r="R21" s="25">
        <f>'Sep 2019'!BD27</f>
        <v>0</v>
      </c>
      <c r="S21" s="25">
        <f>'Sep 2019'!BF27</f>
        <v>0</v>
      </c>
      <c r="T21" s="25">
        <f>'Sep 2019'!BF27</f>
        <v>0</v>
      </c>
      <c r="U21" s="25">
        <f>'Sep 2019'!BG27</f>
        <v>0</v>
      </c>
      <c r="V21" s="25">
        <f>'Sep 2019'!BH27</f>
        <v>0</v>
      </c>
      <c r="W21" s="25">
        <f>'Sep 2019'!W27</f>
        <v>144</v>
      </c>
      <c r="X21" s="25">
        <f>'Sep 2019'!X27</f>
        <v>0</v>
      </c>
      <c r="Y21" s="25">
        <f>'Sep 2019'!Y27</f>
        <v>0</v>
      </c>
      <c r="Z21" s="25">
        <f>'Sep 2019'!Z27</f>
        <v>0</v>
      </c>
      <c r="AA21" s="25">
        <f>'Sep 2019'!AA27</f>
        <v>0</v>
      </c>
      <c r="AB21" s="25">
        <f>'Sep 2019'!AB27</f>
        <v>0</v>
      </c>
      <c r="AC21" s="25">
        <f>'Sep 2019'!AC27</f>
        <v>0</v>
      </c>
      <c r="AD21" s="25">
        <f>'Sep 2019'!AD27</f>
        <v>0</v>
      </c>
      <c r="AE21" s="25">
        <f>'Sep 2019'!AE27</f>
        <v>0</v>
      </c>
      <c r="AF21" s="25">
        <f>'Sep 2019'!AF27</f>
        <v>0</v>
      </c>
      <c r="AG21" s="25">
        <f>'Sep 2019'!AK27</f>
        <v>0</v>
      </c>
      <c r="AH21" s="25">
        <f>'Sep 2019'!AP27</f>
        <v>0</v>
      </c>
      <c r="AI21" s="25">
        <f>'Sep 2019'!AO27</f>
        <v>0</v>
      </c>
      <c r="AJ21" s="25">
        <f>'Sep 2019'!AP27</f>
        <v>0</v>
      </c>
      <c r="AK21" s="25">
        <f>'Sep 2019'!AW27</f>
        <v>0</v>
      </c>
      <c r="AL21" s="25">
        <f>'Sep 2019'!AX27</f>
        <v>0</v>
      </c>
      <c r="AM21" s="25">
        <f>'Sep 2019'!AZ27</f>
        <v>0</v>
      </c>
      <c r="AN21" s="25">
        <f>'Sep 2019'!AZ27</f>
        <v>0</v>
      </c>
      <c r="AO21" s="25">
        <f>'Sep 2019'!BI27</f>
        <v>0</v>
      </c>
      <c r="AP21" s="25">
        <f>'Sep 2019'!BJ27</f>
        <v>0</v>
      </c>
      <c r="AQ21" s="25">
        <f>'Sep 2019'!BA27</f>
        <v>0</v>
      </c>
      <c r="AR21" s="25">
        <f>'Sep 2019'!BB27</f>
        <v>0</v>
      </c>
      <c r="AS21" s="25">
        <f>'Sep 2019'!BK27</f>
        <v>0</v>
      </c>
      <c r="AT21" s="25">
        <f>'Sep 2019'!BL27</f>
        <v>0</v>
      </c>
      <c r="AU21" s="25">
        <f>'Sep 2019'!BM27</f>
        <v>0</v>
      </c>
      <c r="AV21" s="25">
        <f>'Sep 2019'!BN27</f>
        <v>0</v>
      </c>
      <c r="AW21" s="25">
        <f>'Sep 2019'!E27</f>
        <v>13.000000000000002</v>
      </c>
      <c r="AX21" s="25">
        <f>'Sep 2019'!F27</f>
        <v>0</v>
      </c>
      <c r="AY21" s="25">
        <f>'Sep 2019'!O27</f>
        <v>0</v>
      </c>
      <c r="AZ21" s="25">
        <f>'Sep 2019'!P27</f>
        <v>0</v>
      </c>
      <c r="BA21" s="25">
        <f>'Sep 2019'!U27</f>
        <v>6.2</v>
      </c>
      <c r="BB21" s="25">
        <f>'Sep 2019'!V41</f>
        <v>0</v>
      </c>
      <c r="BC21" s="25">
        <f>'Sep 2019'!AG27</f>
        <v>410</v>
      </c>
      <c r="BD21" s="25">
        <f>'Sep 2019'!AH27</f>
        <v>0</v>
      </c>
      <c r="BE21" s="25">
        <f>'Sep 2019'!AI27</f>
        <v>0</v>
      </c>
      <c r="BF21" s="25">
        <f>'Sep 2019'!AJ27</f>
        <v>0</v>
      </c>
      <c r="BG21" s="25">
        <f>'Sep 2019'!AK27</f>
        <v>0</v>
      </c>
      <c r="BH21" s="25">
        <f>'Sep 2019'!AL27</f>
        <v>0</v>
      </c>
      <c r="BI21" s="25">
        <f>'Sep 2019'!AM27</f>
        <v>0</v>
      </c>
      <c r="BJ21" s="25">
        <f>'Sep 2019'!AM27</f>
        <v>0</v>
      </c>
      <c r="BK21" s="25">
        <f>'Sep 2019'!AO27</f>
        <v>0</v>
      </c>
      <c r="BL21" s="25">
        <f>'Sep 2019'!AP27</f>
        <v>0</v>
      </c>
      <c r="BM21" s="25">
        <v>0</v>
      </c>
      <c r="BN21" s="25">
        <v>0</v>
      </c>
      <c r="BO21" s="26">
        <f>'Sep 2019'!Q27</f>
        <v>0</v>
      </c>
      <c r="BP21" s="25">
        <f>'Sep 2019'!R27</f>
        <v>0</v>
      </c>
    </row>
    <row r="22" spans="1:68">
      <c r="A22" s="20" t="s">
        <v>67</v>
      </c>
      <c r="B22" s="28">
        <f t="shared" si="0"/>
        <v>21</v>
      </c>
      <c r="C22" s="29">
        <v>9</v>
      </c>
      <c r="D22" s="30">
        <v>2019</v>
      </c>
      <c r="E22" s="21">
        <f>'Sep 2019'!M28</f>
        <v>3.9000000000000004</v>
      </c>
      <c r="F22" s="25">
        <f>'Sep 2019'!N28</f>
        <v>0</v>
      </c>
      <c r="G22" s="25">
        <f>'Sep 2019'!G28</f>
        <v>0</v>
      </c>
      <c r="H22" s="25">
        <f>'Sep 2019'!H28</f>
        <v>0</v>
      </c>
      <c r="I22" s="25">
        <f>'Sep 2019'!I28</f>
        <v>0</v>
      </c>
      <c r="J22" s="25">
        <f>'Sep 2019'!J28</f>
        <v>0</v>
      </c>
      <c r="K22" s="25">
        <f>'Sep 2019'!K28</f>
        <v>9.1</v>
      </c>
      <c r="L22" s="25">
        <f>'Sep 2019'!L30</f>
        <v>0</v>
      </c>
      <c r="M22" s="25">
        <f>'Sep 2019'!S28</f>
        <v>0</v>
      </c>
      <c r="N22" s="25">
        <f>'Sep 2019'!T28</f>
        <v>0</v>
      </c>
      <c r="O22" s="25">
        <f>'Sep 2019'!U28</f>
        <v>4.9000000000000004</v>
      </c>
      <c r="P22" s="25">
        <f>'Sep 2019'!V28</f>
        <v>0</v>
      </c>
      <c r="Q22" s="25">
        <f>'Sep 2019'!BC28</f>
        <v>0</v>
      </c>
      <c r="R22" s="25">
        <f>'Sep 2019'!BD28</f>
        <v>0</v>
      </c>
      <c r="S22" s="25">
        <f>'Sep 2019'!BF28</f>
        <v>0</v>
      </c>
      <c r="T22" s="25">
        <f>'Sep 2019'!BF28</f>
        <v>0</v>
      </c>
      <c r="U22" s="25">
        <f>'Sep 2019'!BG28</f>
        <v>0</v>
      </c>
      <c r="V22" s="25">
        <f>'Sep 2019'!BH28</f>
        <v>0</v>
      </c>
      <c r="W22" s="25">
        <f>'Sep 2019'!W28</f>
        <v>208</v>
      </c>
      <c r="X22" s="25">
        <f>'Sep 2019'!X28</f>
        <v>0</v>
      </c>
      <c r="Y22" s="25">
        <f>'Sep 2019'!Y28</f>
        <v>0</v>
      </c>
      <c r="Z22" s="25">
        <f>'Sep 2019'!Z28</f>
        <v>0</v>
      </c>
      <c r="AA22" s="25">
        <f>'Sep 2019'!AA28</f>
        <v>0</v>
      </c>
      <c r="AB22" s="25">
        <f>'Sep 2019'!AB28</f>
        <v>0</v>
      </c>
      <c r="AC22" s="25">
        <f>'Sep 2019'!AC28</f>
        <v>0</v>
      </c>
      <c r="AD22" s="25">
        <f>'Sep 2019'!AD28</f>
        <v>0</v>
      </c>
      <c r="AE22" s="25">
        <f>'Sep 2019'!AE28</f>
        <v>0</v>
      </c>
      <c r="AF22" s="25">
        <f>'Sep 2019'!AF28</f>
        <v>0</v>
      </c>
      <c r="AG22" s="25">
        <f>'Sep 2019'!AK28</f>
        <v>0</v>
      </c>
      <c r="AH22" s="25">
        <f>'Sep 2019'!AP28</f>
        <v>0</v>
      </c>
      <c r="AI22" s="25">
        <f>'Sep 2019'!AO28</f>
        <v>0</v>
      </c>
      <c r="AJ22" s="25">
        <f>'Sep 2019'!AP28</f>
        <v>0</v>
      </c>
      <c r="AK22" s="25">
        <f>'Sep 2019'!AW28</f>
        <v>0</v>
      </c>
      <c r="AL22" s="25">
        <f>'Sep 2019'!AX28</f>
        <v>0</v>
      </c>
      <c r="AM22" s="25">
        <f>'Sep 2019'!AZ28</f>
        <v>0</v>
      </c>
      <c r="AN22" s="25">
        <f>'Sep 2019'!AZ28</f>
        <v>0</v>
      </c>
      <c r="AO22" s="25">
        <f>'Sep 2019'!BI28</f>
        <v>0</v>
      </c>
      <c r="AP22" s="25">
        <f>'Sep 2019'!BJ28</f>
        <v>0</v>
      </c>
      <c r="AQ22" s="25">
        <f>'Sep 2019'!BA28</f>
        <v>0</v>
      </c>
      <c r="AR22" s="25">
        <f>'Sep 2019'!BB28</f>
        <v>0</v>
      </c>
      <c r="AS22" s="25">
        <f>'Sep 2019'!BK28</f>
        <v>0</v>
      </c>
      <c r="AT22" s="25">
        <f>'Sep 2019'!BL28</f>
        <v>0</v>
      </c>
      <c r="AU22" s="25">
        <f>'Sep 2019'!BM28</f>
        <v>0</v>
      </c>
      <c r="AV22" s="25">
        <f>'Sep 2019'!BN28</f>
        <v>0</v>
      </c>
      <c r="AW22" s="25">
        <f>'Sep 2019'!E28</f>
        <v>13.7</v>
      </c>
      <c r="AX22" s="25">
        <f>'Sep 2019'!F28</f>
        <v>0</v>
      </c>
      <c r="AY22" s="25">
        <f>'Sep 2019'!O28</f>
        <v>0</v>
      </c>
      <c r="AZ22" s="25">
        <f>'Sep 2019'!P28</f>
        <v>0</v>
      </c>
      <c r="BA22" s="25">
        <f>'Sep 2019'!U28</f>
        <v>4.9000000000000004</v>
      </c>
      <c r="BB22" s="25">
        <f>'Sep 2019'!V42</f>
        <v>0</v>
      </c>
      <c r="BC22" s="25">
        <f>'Sep 2019'!AG28</f>
        <v>415</v>
      </c>
      <c r="BD22" s="25">
        <f>'Sep 2019'!AH28</f>
        <v>0</v>
      </c>
      <c r="BE22" s="25">
        <f>'Sep 2019'!AI28</f>
        <v>0</v>
      </c>
      <c r="BF22" s="25">
        <f>'Sep 2019'!AJ28</f>
        <v>0</v>
      </c>
      <c r="BG22" s="25">
        <f>'Sep 2019'!AK28</f>
        <v>0</v>
      </c>
      <c r="BH22" s="25">
        <f>'Sep 2019'!AL28</f>
        <v>0</v>
      </c>
      <c r="BI22" s="25">
        <f>'Sep 2019'!AM28</f>
        <v>0</v>
      </c>
      <c r="BJ22" s="25">
        <f>'Sep 2019'!AM28</f>
        <v>0</v>
      </c>
      <c r="BK22" s="25">
        <f>'Sep 2019'!AO28</f>
        <v>0</v>
      </c>
      <c r="BL22" s="25">
        <f>'Sep 2019'!AP28</f>
        <v>0</v>
      </c>
      <c r="BM22" s="25">
        <v>0</v>
      </c>
      <c r="BN22" s="25">
        <v>0</v>
      </c>
      <c r="BO22" s="26">
        <f>'Sep 2019'!Q28</f>
        <v>0</v>
      </c>
      <c r="BP22" s="25">
        <f>'Sep 2019'!R28</f>
        <v>0</v>
      </c>
    </row>
    <row r="23" spans="1:68">
      <c r="A23" s="20" t="s">
        <v>67</v>
      </c>
      <c r="B23" s="28">
        <f t="shared" si="0"/>
        <v>22</v>
      </c>
      <c r="C23" s="29">
        <v>9</v>
      </c>
      <c r="D23" s="30">
        <v>2019</v>
      </c>
      <c r="E23" s="21">
        <f>'Sep 2019'!M29</f>
        <v>2.6</v>
      </c>
      <c r="F23" s="25">
        <f>'Sep 2019'!N29</f>
        <v>0</v>
      </c>
      <c r="G23" s="25">
        <f>'Sep 2019'!G29</f>
        <v>0</v>
      </c>
      <c r="H23" s="25">
        <f>'Sep 2019'!H29</f>
        <v>0</v>
      </c>
      <c r="I23" s="25">
        <f>'Sep 2019'!I29</f>
        <v>0</v>
      </c>
      <c r="J23" s="25">
        <f>'Sep 2019'!J29</f>
        <v>0</v>
      </c>
      <c r="K23" s="25">
        <f>'Sep 2019'!K29</f>
        <v>9</v>
      </c>
      <c r="L23" s="25">
        <f>'Sep 2019'!L31</f>
        <v>0</v>
      </c>
      <c r="M23" s="25">
        <f>'Sep 2019'!S29</f>
        <v>0</v>
      </c>
      <c r="N23" s="25">
        <f>'Sep 2019'!T29</f>
        <v>0</v>
      </c>
      <c r="O23" s="25">
        <f>'Sep 2019'!U29</f>
        <v>5.0999999999999996</v>
      </c>
      <c r="P23" s="25">
        <f>'Sep 2019'!V29</f>
        <v>0</v>
      </c>
      <c r="Q23" s="25">
        <f>'Sep 2019'!BC29</f>
        <v>0</v>
      </c>
      <c r="R23" s="25">
        <f>'Sep 2019'!BD29</f>
        <v>0</v>
      </c>
      <c r="S23" s="25">
        <f>'Sep 2019'!BF29</f>
        <v>0</v>
      </c>
      <c r="T23" s="25">
        <f>'Sep 2019'!BF29</f>
        <v>0</v>
      </c>
      <c r="U23" s="25">
        <f>'Sep 2019'!BG29</f>
        <v>0</v>
      </c>
      <c r="V23" s="25">
        <f>'Sep 2019'!BH29</f>
        <v>0</v>
      </c>
      <c r="W23" s="25">
        <f>'Sep 2019'!W29</f>
        <v>164</v>
      </c>
      <c r="X23" s="25">
        <f>'Sep 2019'!X29</f>
        <v>0</v>
      </c>
      <c r="Y23" s="25">
        <f>'Sep 2019'!Y29</f>
        <v>0</v>
      </c>
      <c r="Z23" s="25">
        <f>'Sep 2019'!Z29</f>
        <v>0</v>
      </c>
      <c r="AA23" s="25">
        <f>'Sep 2019'!AA29</f>
        <v>0</v>
      </c>
      <c r="AB23" s="25">
        <f>'Sep 2019'!AB29</f>
        <v>0</v>
      </c>
      <c r="AC23" s="25">
        <f>'Sep 2019'!AC29</f>
        <v>0</v>
      </c>
      <c r="AD23" s="25">
        <f>'Sep 2019'!AD29</f>
        <v>0</v>
      </c>
      <c r="AE23" s="25">
        <f>'Sep 2019'!AE29</f>
        <v>0</v>
      </c>
      <c r="AF23" s="25">
        <f>'Sep 2019'!AF29</f>
        <v>0</v>
      </c>
      <c r="AG23" s="25">
        <f>'Sep 2019'!AK29</f>
        <v>0</v>
      </c>
      <c r="AH23" s="25">
        <f>'Sep 2019'!AP29</f>
        <v>0</v>
      </c>
      <c r="AI23" s="25">
        <f>'Sep 2019'!AO29</f>
        <v>0</v>
      </c>
      <c r="AJ23" s="25">
        <f>'Sep 2019'!AP29</f>
        <v>0</v>
      </c>
      <c r="AK23" s="25">
        <f>'Sep 2019'!AW29</f>
        <v>0</v>
      </c>
      <c r="AL23" s="25">
        <f>'Sep 2019'!AX29</f>
        <v>0</v>
      </c>
      <c r="AM23" s="25">
        <f>'Sep 2019'!AZ29</f>
        <v>0</v>
      </c>
      <c r="AN23" s="25">
        <f>'Sep 2019'!AZ29</f>
        <v>0</v>
      </c>
      <c r="AO23" s="25">
        <f>'Sep 2019'!BI29</f>
        <v>0</v>
      </c>
      <c r="AP23" s="25">
        <f>'Sep 2019'!BJ29</f>
        <v>0</v>
      </c>
      <c r="AQ23" s="25">
        <f>'Sep 2019'!BA29</f>
        <v>0</v>
      </c>
      <c r="AR23" s="25">
        <f>'Sep 2019'!BB29</f>
        <v>0</v>
      </c>
      <c r="AS23" s="25">
        <f>'Sep 2019'!BK29</f>
        <v>0</v>
      </c>
      <c r="AT23" s="25">
        <f>'Sep 2019'!BL29</f>
        <v>0</v>
      </c>
      <c r="AU23" s="25">
        <f>'Sep 2019'!BM29</f>
        <v>0</v>
      </c>
      <c r="AV23" s="25">
        <f>'Sep 2019'!BN29</f>
        <v>0</v>
      </c>
      <c r="AW23" s="25">
        <f>'Sep 2019'!E29</f>
        <v>14.8</v>
      </c>
      <c r="AX23" s="25">
        <f>'Sep 2019'!F29</f>
        <v>0</v>
      </c>
      <c r="AY23" s="25">
        <f>'Sep 2019'!O29</f>
        <v>0</v>
      </c>
      <c r="AZ23" s="25">
        <f>'Sep 2019'!P29</f>
        <v>0</v>
      </c>
      <c r="BA23" s="25">
        <f>'Sep 2019'!U29</f>
        <v>5.0999999999999996</v>
      </c>
      <c r="BB23" s="25">
        <f>'Sep 2019'!V43</f>
        <v>0</v>
      </c>
      <c r="BC23" s="25">
        <f>'Sep 2019'!AG29</f>
        <v>560</v>
      </c>
      <c r="BD23" s="25">
        <f>'Sep 2019'!AH29</f>
        <v>0</v>
      </c>
      <c r="BE23" s="25">
        <f>'Sep 2019'!AI29</f>
        <v>0</v>
      </c>
      <c r="BF23" s="25">
        <f>'Sep 2019'!AJ29</f>
        <v>0</v>
      </c>
      <c r="BG23" s="25">
        <f>'Sep 2019'!AK29</f>
        <v>0</v>
      </c>
      <c r="BH23" s="25">
        <f>'Sep 2019'!AL29</f>
        <v>0</v>
      </c>
      <c r="BI23" s="25">
        <f>'Sep 2019'!AM29</f>
        <v>0</v>
      </c>
      <c r="BJ23" s="25">
        <f>'Sep 2019'!AM29</f>
        <v>0</v>
      </c>
      <c r="BK23" s="25">
        <f>'Sep 2019'!AO29</f>
        <v>0</v>
      </c>
      <c r="BL23" s="25">
        <f>'Sep 2019'!AP29</f>
        <v>0</v>
      </c>
      <c r="BM23" s="25">
        <v>0</v>
      </c>
      <c r="BN23" s="25">
        <v>0</v>
      </c>
      <c r="BO23" s="26">
        <f>'Sep 2019'!Q29</f>
        <v>0</v>
      </c>
      <c r="BP23" s="25">
        <f>'Sep 2019'!R29</f>
        <v>0</v>
      </c>
    </row>
    <row r="24" spans="1:68">
      <c r="A24" s="20" t="s">
        <v>67</v>
      </c>
      <c r="B24" s="28">
        <f t="shared" si="0"/>
        <v>23</v>
      </c>
      <c r="C24" s="29">
        <v>9</v>
      </c>
      <c r="D24" s="30">
        <v>2019</v>
      </c>
      <c r="E24" s="21">
        <f>'Sep 2019'!M30</f>
        <v>2.6</v>
      </c>
      <c r="F24" s="25">
        <f>'Sep 2019'!N30</f>
        <v>0</v>
      </c>
      <c r="G24" s="25">
        <f>'Sep 2019'!G30</f>
        <v>0</v>
      </c>
      <c r="H24" s="25">
        <f>'Sep 2019'!H30</f>
        <v>0</v>
      </c>
      <c r="I24" s="25">
        <f>'Sep 2019'!I30</f>
        <v>0</v>
      </c>
      <c r="J24" s="25">
        <f>'Sep 2019'!J30</f>
        <v>0</v>
      </c>
      <c r="K24" s="25">
        <f>'Sep 2019'!K30</f>
        <v>6.2</v>
      </c>
      <c r="L24" s="25">
        <f>'Sep 2019'!L32</f>
        <v>0</v>
      </c>
      <c r="M24" s="25">
        <f>'Sep 2019'!S30</f>
        <v>0</v>
      </c>
      <c r="N24" s="25">
        <f>'Sep 2019'!T30</f>
        <v>0</v>
      </c>
      <c r="O24" s="25">
        <f>'Sep 2019'!U30</f>
        <v>5.3000000000000007</v>
      </c>
      <c r="P24" s="25">
        <f>'Sep 2019'!V30</f>
        <v>0</v>
      </c>
      <c r="Q24" s="25">
        <f>'Sep 2019'!BC30</f>
        <v>0</v>
      </c>
      <c r="R24" s="25">
        <f>'Sep 2019'!BD30</f>
        <v>0</v>
      </c>
      <c r="S24" s="25">
        <f>'Sep 2019'!BF30</f>
        <v>0</v>
      </c>
      <c r="T24" s="25">
        <f>'Sep 2019'!BF30</f>
        <v>0</v>
      </c>
      <c r="U24" s="25">
        <f>'Sep 2019'!BG30</f>
        <v>0</v>
      </c>
      <c r="V24" s="25">
        <f>'Sep 2019'!BH30</f>
        <v>0</v>
      </c>
      <c r="W24" s="25">
        <f>'Sep 2019'!W30</f>
        <v>204</v>
      </c>
      <c r="X24" s="25">
        <f>'Sep 2019'!X30</f>
        <v>0</v>
      </c>
      <c r="Y24" s="25">
        <f>'Sep 2019'!Y30</f>
        <v>0</v>
      </c>
      <c r="Z24" s="25">
        <f>'Sep 2019'!Z30</f>
        <v>0</v>
      </c>
      <c r="AA24" s="25">
        <f>'Sep 2019'!AA30</f>
        <v>0</v>
      </c>
      <c r="AB24" s="25">
        <f>'Sep 2019'!AB30</f>
        <v>0</v>
      </c>
      <c r="AC24" s="25">
        <f>'Sep 2019'!AC30</f>
        <v>0</v>
      </c>
      <c r="AD24" s="25">
        <f>'Sep 2019'!AD30</f>
        <v>0</v>
      </c>
      <c r="AE24" s="25">
        <f>'Sep 2019'!AE30</f>
        <v>0</v>
      </c>
      <c r="AF24" s="25">
        <f>'Sep 2019'!AF30</f>
        <v>0</v>
      </c>
      <c r="AG24" s="25">
        <f>'Sep 2019'!AK30</f>
        <v>0</v>
      </c>
      <c r="AH24" s="25">
        <f>'Sep 2019'!AP30</f>
        <v>0</v>
      </c>
      <c r="AI24" s="25">
        <f>'Sep 2019'!AO30</f>
        <v>0</v>
      </c>
      <c r="AJ24" s="25">
        <f>'Sep 2019'!AP30</f>
        <v>0</v>
      </c>
      <c r="AK24" s="25">
        <f>'Sep 2019'!AW30</f>
        <v>0</v>
      </c>
      <c r="AL24" s="25">
        <f>'Sep 2019'!AX30</f>
        <v>0</v>
      </c>
      <c r="AM24" s="25">
        <f>'Sep 2019'!AZ30</f>
        <v>0</v>
      </c>
      <c r="AN24" s="25">
        <f>'Sep 2019'!AZ30</f>
        <v>0</v>
      </c>
      <c r="AO24" s="25">
        <f>'Sep 2019'!BI30</f>
        <v>0</v>
      </c>
      <c r="AP24" s="25">
        <f>'Sep 2019'!BJ30</f>
        <v>0</v>
      </c>
      <c r="AQ24" s="25">
        <f>'Sep 2019'!BA30</f>
        <v>0</v>
      </c>
      <c r="AR24" s="25">
        <f>'Sep 2019'!BB30</f>
        <v>0</v>
      </c>
      <c r="AS24" s="25">
        <f>'Sep 2019'!BK30</f>
        <v>0</v>
      </c>
      <c r="AT24" s="25">
        <f>'Sep 2019'!BL30</f>
        <v>0</v>
      </c>
      <c r="AU24" s="25">
        <f>'Sep 2019'!BM30</f>
        <v>0</v>
      </c>
      <c r="AV24" s="25">
        <f>'Sep 2019'!BN30</f>
        <v>0</v>
      </c>
      <c r="AW24" s="25">
        <f>'Sep 2019'!E30</f>
        <v>13.200000000000001</v>
      </c>
      <c r="AX24" s="25">
        <f>'Sep 2019'!F30</f>
        <v>0</v>
      </c>
      <c r="AY24" s="25">
        <f>'Sep 2019'!O30</f>
        <v>0</v>
      </c>
      <c r="AZ24" s="25">
        <f>'Sep 2019'!P30</f>
        <v>0</v>
      </c>
      <c r="BA24" s="25">
        <f>'Sep 2019'!U30</f>
        <v>5.3000000000000007</v>
      </c>
      <c r="BB24" s="25">
        <f>'Sep 2019'!V44</f>
        <v>0</v>
      </c>
      <c r="BC24" s="25">
        <f>'Sep 2019'!AG30</f>
        <v>385</v>
      </c>
      <c r="BD24" s="25">
        <f>'Sep 2019'!AH30</f>
        <v>0</v>
      </c>
      <c r="BE24" s="25">
        <f>'Sep 2019'!AI30</f>
        <v>0</v>
      </c>
      <c r="BF24" s="25">
        <f>'Sep 2019'!AJ30</f>
        <v>0</v>
      </c>
      <c r="BG24" s="25">
        <f>'Sep 2019'!AK30</f>
        <v>0</v>
      </c>
      <c r="BH24" s="25">
        <f>'Sep 2019'!AL30</f>
        <v>0</v>
      </c>
      <c r="BI24" s="25">
        <f>'Sep 2019'!AM30</f>
        <v>0</v>
      </c>
      <c r="BJ24" s="25">
        <f>'Sep 2019'!AM30</f>
        <v>0</v>
      </c>
      <c r="BK24" s="25">
        <f>'Sep 2019'!AO30</f>
        <v>0</v>
      </c>
      <c r="BL24" s="25">
        <f>'Sep 2019'!AP30</f>
        <v>0</v>
      </c>
      <c r="BM24" s="25">
        <v>0</v>
      </c>
      <c r="BN24" s="25">
        <v>0</v>
      </c>
      <c r="BO24" s="26">
        <f>'Sep 2019'!Q30</f>
        <v>0</v>
      </c>
      <c r="BP24" s="25">
        <f>'Sep 2019'!R30</f>
        <v>0</v>
      </c>
    </row>
    <row r="25" spans="1:68">
      <c r="A25" s="20" t="s">
        <v>67</v>
      </c>
      <c r="B25" s="28">
        <f t="shared" si="0"/>
        <v>24</v>
      </c>
      <c r="C25" s="29">
        <v>9</v>
      </c>
      <c r="D25" s="30">
        <v>2019</v>
      </c>
      <c r="E25" s="21">
        <f>'Sep 2019'!M31</f>
        <v>5.0999999999999996</v>
      </c>
      <c r="F25" s="25">
        <f>'Sep 2019'!N31</f>
        <v>0</v>
      </c>
      <c r="G25" s="25">
        <f>'Sep 2019'!G31</f>
        <v>0</v>
      </c>
      <c r="H25" s="25">
        <f>'Sep 2019'!H31</f>
        <v>0</v>
      </c>
      <c r="I25" s="25">
        <f>'Sep 2019'!I31</f>
        <v>0</v>
      </c>
      <c r="J25" s="25">
        <f>'Sep 2019'!J31</f>
        <v>0</v>
      </c>
      <c r="K25" s="25">
        <f>'Sep 2019'!K31</f>
        <v>6.3999999999999995</v>
      </c>
      <c r="L25" s="25">
        <f>'Sep 2019'!L33</f>
        <v>0</v>
      </c>
      <c r="M25" s="25">
        <f>'Sep 2019'!S31</f>
        <v>0</v>
      </c>
      <c r="N25" s="25">
        <f>'Sep 2019'!T31</f>
        <v>0</v>
      </c>
      <c r="O25" s="25">
        <f>'Sep 2019'!U31</f>
        <v>6.2</v>
      </c>
      <c r="P25" s="25">
        <f>'Sep 2019'!V31</f>
        <v>0</v>
      </c>
      <c r="Q25" s="25">
        <f>'Sep 2019'!BC31</f>
        <v>0</v>
      </c>
      <c r="R25" s="25">
        <f>'Sep 2019'!BD31</f>
        <v>0</v>
      </c>
      <c r="S25" s="25">
        <f>'Sep 2019'!BF31</f>
        <v>0</v>
      </c>
      <c r="T25" s="25">
        <f>'Sep 2019'!BF31</f>
        <v>0</v>
      </c>
      <c r="U25" s="25">
        <f>'Sep 2019'!BG31</f>
        <v>0</v>
      </c>
      <c r="V25" s="25">
        <f>'Sep 2019'!BH31</f>
        <v>0</v>
      </c>
      <c r="W25" s="25">
        <f>'Sep 2019'!W31</f>
        <v>168</v>
      </c>
      <c r="X25" s="25">
        <f>'Sep 2019'!X31</f>
        <v>0</v>
      </c>
      <c r="Y25" s="25">
        <f>'Sep 2019'!Y31</f>
        <v>0</v>
      </c>
      <c r="Z25" s="25">
        <f>'Sep 2019'!Z31</f>
        <v>0</v>
      </c>
      <c r="AA25" s="25">
        <f>'Sep 2019'!AA31</f>
        <v>0</v>
      </c>
      <c r="AB25" s="25">
        <f>'Sep 2019'!AB31</f>
        <v>0</v>
      </c>
      <c r="AC25" s="25">
        <f>'Sep 2019'!AC31</f>
        <v>0</v>
      </c>
      <c r="AD25" s="25">
        <f>'Sep 2019'!AD31</f>
        <v>0</v>
      </c>
      <c r="AE25" s="25">
        <f>'Sep 2019'!AE31</f>
        <v>0</v>
      </c>
      <c r="AF25" s="25">
        <f>'Sep 2019'!AF31</f>
        <v>0</v>
      </c>
      <c r="AG25" s="25">
        <f>'Sep 2019'!AK31</f>
        <v>0</v>
      </c>
      <c r="AH25" s="25">
        <f>'Sep 2019'!AP31</f>
        <v>0</v>
      </c>
      <c r="AI25" s="25">
        <f>'Sep 2019'!AO31</f>
        <v>0</v>
      </c>
      <c r="AJ25" s="25">
        <f>'Sep 2019'!AP31</f>
        <v>0</v>
      </c>
      <c r="AK25" s="25">
        <f>'Sep 2019'!AW31</f>
        <v>0</v>
      </c>
      <c r="AL25" s="25">
        <f>'Sep 2019'!AX31</f>
        <v>0</v>
      </c>
      <c r="AM25" s="25">
        <f>'Sep 2019'!AZ31</f>
        <v>0</v>
      </c>
      <c r="AN25" s="25">
        <f>'Sep 2019'!AZ31</f>
        <v>0</v>
      </c>
      <c r="AO25" s="25">
        <f>'Sep 2019'!BI31</f>
        <v>0</v>
      </c>
      <c r="AP25" s="25">
        <f>'Sep 2019'!BJ31</f>
        <v>0</v>
      </c>
      <c r="AQ25" s="25">
        <f>'Sep 2019'!BA31</f>
        <v>0</v>
      </c>
      <c r="AR25" s="25">
        <f>'Sep 2019'!BB31</f>
        <v>0</v>
      </c>
      <c r="AS25" s="25">
        <f>'Sep 2019'!BK31</f>
        <v>0</v>
      </c>
      <c r="AT25" s="25">
        <f>'Sep 2019'!BL31</f>
        <v>0</v>
      </c>
      <c r="AU25" s="25">
        <f>'Sep 2019'!BM31</f>
        <v>0</v>
      </c>
      <c r="AV25" s="25">
        <f>'Sep 2019'!BN31</f>
        <v>0</v>
      </c>
      <c r="AW25" s="25">
        <f>'Sep 2019'!E31</f>
        <v>15.600000000000001</v>
      </c>
      <c r="AX25" s="25">
        <f>'Sep 2019'!F31</f>
        <v>0</v>
      </c>
      <c r="AY25" s="25">
        <f>'Sep 2019'!O31</f>
        <v>0</v>
      </c>
      <c r="AZ25" s="25">
        <f>'Sep 2019'!P31</f>
        <v>0</v>
      </c>
      <c r="BA25" s="25">
        <f>'Sep 2019'!U31</f>
        <v>6.2</v>
      </c>
      <c r="BB25" s="25">
        <f>'Sep 2019'!V45</f>
        <v>0</v>
      </c>
      <c r="BC25" s="25">
        <f>'Sep 2019'!AG31</f>
        <v>310</v>
      </c>
      <c r="BD25" s="25">
        <f>'Sep 2019'!AH31</f>
        <v>0</v>
      </c>
      <c r="BE25" s="25">
        <f>'Sep 2019'!AI31</f>
        <v>0</v>
      </c>
      <c r="BF25" s="25">
        <f>'Sep 2019'!AJ31</f>
        <v>0</v>
      </c>
      <c r="BG25" s="25">
        <f>'Sep 2019'!AK31</f>
        <v>0</v>
      </c>
      <c r="BH25" s="25">
        <f>'Sep 2019'!AL31</f>
        <v>0</v>
      </c>
      <c r="BI25" s="25">
        <f>'Sep 2019'!AM31</f>
        <v>0</v>
      </c>
      <c r="BJ25" s="25">
        <f>'Sep 2019'!AM31</f>
        <v>0</v>
      </c>
      <c r="BK25" s="25">
        <f>'Sep 2019'!AO31</f>
        <v>0</v>
      </c>
      <c r="BL25" s="25">
        <f>'Sep 2019'!AP31</f>
        <v>0</v>
      </c>
      <c r="BM25" s="25">
        <v>0</v>
      </c>
      <c r="BN25" s="25">
        <v>0</v>
      </c>
      <c r="BO25" s="26">
        <f>'Sep 2019'!Q31</f>
        <v>0</v>
      </c>
      <c r="BP25" s="25">
        <f>'Sep 2019'!R31</f>
        <v>0</v>
      </c>
    </row>
    <row r="26" spans="1:68">
      <c r="A26" s="55" t="s">
        <v>67</v>
      </c>
      <c r="B26" s="56">
        <f>B25+1</f>
        <v>25</v>
      </c>
      <c r="C26" s="29">
        <v>9</v>
      </c>
      <c r="D26" s="57">
        <v>2019</v>
      </c>
      <c r="E26" s="21">
        <f>'Sep 2019'!M32</f>
        <v>2.6</v>
      </c>
      <c r="F26" s="58">
        <f>'Sep 2019'!N32</f>
        <v>0</v>
      </c>
      <c r="G26" s="58">
        <f>'Sep 2019'!G32</f>
        <v>0</v>
      </c>
      <c r="H26" s="58">
        <f>'Sep 2019'!H32</f>
        <v>0</v>
      </c>
      <c r="I26" s="58">
        <f>'Sep 2019'!I32</f>
        <v>0</v>
      </c>
      <c r="J26" s="58">
        <f>'Sep 2019'!J32</f>
        <v>0</v>
      </c>
      <c r="K26" s="25">
        <f>'Sep 2019'!K32</f>
        <v>5.6</v>
      </c>
      <c r="L26" s="25">
        <f>'Sep 2019'!L34</f>
        <v>0</v>
      </c>
      <c r="M26" s="58">
        <f>'Sep 2019'!S32</f>
        <v>0</v>
      </c>
      <c r="N26" s="58">
        <f>'Sep 2019'!T32</f>
        <v>0</v>
      </c>
      <c r="O26" s="25">
        <f>'Sep 2019'!U32</f>
        <v>5</v>
      </c>
      <c r="P26" s="58">
        <f>'Sep 2019'!V32</f>
        <v>0</v>
      </c>
      <c r="Q26" s="58">
        <f>'Sep 2019'!BC32</f>
        <v>0</v>
      </c>
      <c r="R26" s="58">
        <f>'Sep 2019'!BD32</f>
        <v>0</v>
      </c>
      <c r="S26" s="58">
        <f>'Sep 2019'!BF32</f>
        <v>0</v>
      </c>
      <c r="T26" s="58">
        <f>'Sep 2019'!BF32</f>
        <v>0</v>
      </c>
      <c r="U26" s="58">
        <f>'Sep 2019'!BG32</f>
        <v>0</v>
      </c>
      <c r="V26" s="58">
        <f>'Sep 2019'!BH32</f>
        <v>0</v>
      </c>
      <c r="W26" s="25">
        <f>'Sep 2019'!W32</f>
        <v>156</v>
      </c>
      <c r="X26" s="25">
        <f>'Sep 2019'!X32</f>
        <v>0</v>
      </c>
      <c r="Y26" s="58">
        <f>'Sep 2019'!Y32</f>
        <v>0</v>
      </c>
      <c r="Z26" s="58">
        <f>'Sep 2019'!Z32</f>
        <v>0</v>
      </c>
      <c r="AA26" s="58">
        <f>'Sep 2019'!AA32</f>
        <v>0</v>
      </c>
      <c r="AB26" s="58">
        <f>'Sep 2019'!AB32</f>
        <v>0</v>
      </c>
      <c r="AC26" s="58">
        <f>'Sep 2019'!AC32</f>
        <v>0</v>
      </c>
      <c r="AD26" s="58">
        <f>'Sep 2019'!AD32</f>
        <v>0</v>
      </c>
      <c r="AE26" s="58">
        <f>'Sep 2019'!AE32</f>
        <v>0</v>
      </c>
      <c r="AF26" s="58">
        <f>'Sep 2019'!AF32</f>
        <v>0</v>
      </c>
      <c r="AG26" s="58">
        <f>'Sep 2019'!AK32</f>
        <v>0</v>
      </c>
      <c r="AH26" s="58">
        <f>'Sep 2019'!AP32</f>
        <v>0</v>
      </c>
      <c r="AI26" s="58">
        <f>'Sep 2019'!AO32</f>
        <v>0</v>
      </c>
      <c r="AJ26" s="58">
        <f>'Sep 2019'!AP32</f>
        <v>0</v>
      </c>
      <c r="AK26" s="58">
        <f>'Sep 2019'!AW32</f>
        <v>0</v>
      </c>
      <c r="AL26" s="58">
        <f>'Sep 2019'!AX32</f>
        <v>0</v>
      </c>
      <c r="AM26" s="58">
        <f>'Sep 2019'!AZ32</f>
        <v>0</v>
      </c>
      <c r="AN26" s="58">
        <f>'Sep 2019'!AZ32</f>
        <v>0</v>
      </c>
      <c r="AO26" s="58">
        <f>'Sep 2019'!BI32</f>
        <v>0</v>
      </c>
      <c r="AP26" s="58">
        <f>'Sep 2019'!BJ32</f>
        <v>0</v>
      </c>
      <c r="AQ26" s="58">
        <f>'Sep 2019'!BA32</f>
        <v>0</v>
      </c>
      <c r="AR26" s="58">
        <f>'Sep 2019'!BB32</f>
        <v>0</v>
      </c>
      <c r="AS26" s="58">
        <f>'Sep 2019'!BK32</f>
        <v>0</v>
      </c>
      <c r="AT26" s="58">
        <f>'Sep 2019'!BL32</f>
        <v>0</v>
      </c>
      <c r="AU26" s="58">
        <f>'Sep 2019'!BM32</f>
        <v>0</v>
      </c>
      <c r="AV26" s="58">
        <f>'Sep 2019'!BN32</f>
        <v>0</v>
      </c>
      <c r="AW26" s="25">
        <f>'Sep 2019'!E32</f>
        <v>12.5</v>
      </c>
      <c r="AX26" s="58">
        <f>'Sep 2019'!F32</f>
        <v>0</v>
      </c>
      <c r="AY26" s="58">
        <f>'Sep 2019'!O32</f>
        <v>0</v>
      </c>
      <c r="AZ26" s="58">
        <f>'Sep 2019'!P32</f>
        <v>0</v>
      </c>
      <c r="BA26" s="25">
        <f>'Sep 2019'!U32</f>
        <v>5</v>
      </c>
      <c r="BB26" s="25">
        <f>'Sep 2019'!V46</f>
        <v>0</v>
      </c>
      <c r="BC26" s="25">
        <f>'Sep 2019'!AG32</f>
        <v>449.99999999999994</v>
      </c>
      <c r="BD26" s="25">
        <f>'Sep 2019'!AH32</f>
        <v>0</v>
      </c>
      <c r="BE26" s="58">
        <f>'Sep 2019'!AI32</f>
        <v>0</v>
      </c>
      <c r="BF26" s="58">
        <f>'Sep 2019'!AJ32</f>
        <v>0</v>
      </c>
      <c r="BG26" s="58">
        <f>'Sep 2019'!AK32</f>
        <v>0</v>
      </c>
      <c r="BH26" s="58">
        <f>'Sep 2019'!AL32</f>
        <v>0</v>
      </c>
      <c r="BI26" s="58">
        <f>'Sep 2019'!AM32</f>
        <v>0</v>
      </c>
      <c r="BJ26" s="58">
        <f>'Sep 2019'!AM32</f>
        <v>0</v>
      </c>
      <c r="BK26" s="58">
        <f>'Sep 2019'!AO32</f>
        <v>0</v>
      </c>
      <c r="BL26" s="58">
        <f>'Sep 2019'!AP32</f>
        <v>0</v>
      </c>
      <c r="BM26" s="58">
        <v>0</v>
      </c>
      <c r="BN26" s="58">
        <v>0</v>
      </c>
      <c r="BO26" s="59">
        <f>'Sep 2019'!Q32</f>
        <v>0</v>
      </c>
      <c r="BP26" s="58">
        <f>'Sep 2019'!R32</f>
        <v>0</v>
      </c>
    </row>
    <row r="27" spans="1:68">
      <c r="A27" s="54" t="s">
        <v>67</v>
      </c>
      <c r="B27" s="52">
        <f t="shared" si="0"/>
        <v>26</v>
      </c>
      <c r="C27" s="29">
        <v>9</v>
      </c>
      <c r="D27" s="52">
        <v>2019</v>
      </c>
      <c r="E27" s="21">
        <f>'Sep 2019'!M33</f>
        <v>2.6</v>
      </c>
      <c r="F27" s="38">
        <f>'Sep 2019'!N33</f>
        <v>0</v>
      </c>
      <c r="G27" s="38">
        <f>'Sep 2019'!G33</f>
        <v>0</v>
      </c>
      <c r="H27" s="38">
        <f>'Sep 2019'!H33</f>
        <v>0</v>
      </c>
      <c r="I27" s="38">
        <f>'Sep 2019'!I33</f>
        <v>0</v>
      </c>
      <c r="J27" s="38">
        <f>'Sep 2019'!J33</f>
        <v>0</v>
      </c>
      <c r="K27" s="25">
        <f>'Sep 2019'!K33</f>
        <v>7.3</v>
      </c>
      <c r="L27" s="25">
        <f>'Sep 2019'!L35</f>
        <v>0</v>
      </c>
      <c r="M27" s="38">
        <f>'Sep 2019'!S33</f>
        <v>0</v>
      </c>
      <c r="N27" s="38">
        <f>'Sep 2019'!T33</f>
        <v>0</v>
      </c>
      <c r="O27" s="25">
        <f>'Sep 2019'!U33</f>
        <v>5.0999999999999996</v>
      </c>
      <c r="P27" s="38">
        <f>'Sep 2019'!V33</f>
        <v>0</v>
      </c>
      <c r="Q27" s="38">
        <f>'Sep 2019'!BC33</f>
        <v>0</v>
      </c>
      <c r="R27" s="38">
        <f>'Sep 2019'!BD33</f>
        <v>0</v>
      </c>
      <c r="S27" s="38">
        <f>'Sep 2019'!BF33</f>
        <v>0</v>
      </c>
      <c r="T27" s="38">
        <f>'Sep 2019'!BF33</f>
        <v>0</v>
      </c>
      <c r="U27" s="38">
        <f>'Sep 2019'!BG33</f>
        <v>0</v>
      </c>
      <c r="V27" s="38">
        <f>'Sep 2019'!BH33</f>
        <v>0</v>
      </c>
      <c r="W27" s="25">
        <f>'Sep 2019'!W33</f>
        <v>252</v>
      </c>
      <c r="X27" s="25">
        <f>'Sep 2019'!X33</f>
        <v>0</v>
      </c>
      <c r="Y27" s="38">
        <f>'Sep 2019'!Y33</f>
        <v>0</v>
      </c>
      <c r="Z27" s="38">
        <f>'Sep 2019'!Z33</f>
        <v>0</v>
      </c>
      <c r="AA27" s="38">
        <f>'Sep 2019'!AA33</f>
        <v>0</v>
      </c>
      <c r="AB27" s="38">
        <f>'Sep 2019'!AB33</f>
        <v>0</v>
      </c>
      <c r="AC27" s="38">
        <f>'Sep 2019'!AC33</f>
        <v>0</v>
      </c>
      <c r="AD27" s="38">
        <f>'Sep 2019'!AD33</f>
        <v>0</v>
      </c>
      <c r="AE27" s="38">
        <f>'Sep 2019'!AE33</f>
        <v>0</v>
      </c>
      <c r="AF27" s="38">
        <f>'Sep 2019'!AF33</f>
        <v>0</v>
      </c>
      <c r="AG27" s="38">
        <f>'Sep 2019'!AK33</f>
        <v>0</v>
      </c>
      <c r="AH27" s="38">
        <f>'Sep 2019'!AP33</f>
        <v>0</v>
      </c>
      <c r="AI27" s="38">
        <f>'Sep 2019'!AO33</f>
        <v>0</v>
      </c>
      <c r="AJ27" s="38">
        <f>'Sep 2019'!AP33</f>
        <v>0</v>
      </c>
      <c r="AK27" s="38">
        <f>'Sep 2019'!AW33</f>
        <v>0</v>
      </c>
      <c r="AL27" s="38">
        <f>'Sep 2019'!AX33</f>
        <v>0</v>
      </c>
      <c r="AM27" s="38">
        <f>'Sep 2019'!AZ33</f>
        <v>0</v>
      </c>
      <c r="AN27" s="38">
        <f>'Sep 2019'!AZ33</f>
        <v>0</v>
      </c>
      <c r="AO27" s="38">
        <f>'Sep 2019'!BI33</f>
        <v>0</v>
      </c>
      <c r="AP27" s="38">
        <f>'Sep 2019'!BJ33</f>
        <v>0</v>
      </c>
      <c r="AQ27" s="38">
        <f>'Sep 2019'!BA33</f>
        <v>0</v>
      </c>
      <c r="AR27" s="38">
        <f>'Sep 2019'!BB33</f>
        <v>0</v>
      </c>
      <c r="AS27" s="38">
        <f>'Sep 2019'!BK33</f>
        <v>0</v>
      </c>
      <c r="AT27" s="38">
        <f>'Sep 2019'!BL33</f>
        <v>0</v>
      </c>
      <c r="AU27" s="38">
        <f>'Sep 2019'!BM33</f>
        <v>0</v>
      </c>
      <c r="AV27" s="38">
        <f>'Sep 2019'!BN33</f>
        <v>0</v>
      </c>
      <c r="AW27" s="25">
        <f>'Sep 2019'!E33</f>
        <v>13.6</v>
      </c>
      <c r="AX27" s="38">
        <f>'Sep 2019'!F33</f>
        <v>0</v>
      </c>
      <c r="AY27" s="38">
        <f>'Sep 2019'!O33</f>
        <v>0</v>
      </c>
      <c r="AZ27" s="38">
        <f>'Sep 2019'!P33</f>
        <v>0</v>
      </c>
      <c r="BA27" s="25">
        <f>'Sep 2019'!U33</f>
        <v>5.0999999999999996</v>
      </c>
      <c r="BB27" s="25">
        <f>'Sep 2019'!V47</f>
        <v>0</v>
      </c>
      <c r="BC27" s="25">
        <f>'Sep 2019'!AG33</f>
        <v>410</v>
      </c>
      <c r="BD27" s="25">
        <f>'Sep 2019'!AH33</f>
        <v>0</v>
      </c>
      <c r="BE27" s="38">
        <f>'Sep 2019'!AI33</f>
        <v>0</v>
      </c>
      <c r="BF27" s="38">
        <f>'Sep 2019'!AJ33</f>
        <v>0</v>
      </c>
      <c r="BG27" s="38">
        <f>'Sep 2019'!AK33</f>
        <v>0</v>
      </c>
      <c r="BH27" s="38">
        <f>'Sep 2019'!AL33</f>
        <v>0</v>
      </c>
      <c r="BI27" s="38">
        <f>'Sep 2019'!AM33</f>
        <v>0</v>
      </c>
      <c r="BJ27" s="38">
        <f>'Sep 2019'!AM33</f>
        <v>0</v>
      </c>
      <c r="BK27" s="38">
        <f>'Sep 2019'!AO33</f>
        <v>0</v>
      </c>
      <c r="BL27" s="38">
        <f>'Sep 2019'!AP33</f>
        <v>0</v>
      </c>
      <c r="BM27" s="38">
        <v>0</v>
      </c>
      <c r="BN27" s="38">
        <v>0</v>
      </c>
      <c r="BO27" s="38">
        <f>'Sep 2019'!Q33</f>
        <v>0</v>
      </c>
      <c r="BP27" s="38">
        <f>'Sep 2019'!R33</f>
        <v>0</v>
      </c>
    </row>
    <row r="28" spans="1:68">
      <c r="A28" s="54" t="s">
        <v>67</v>
      </c>
      <c r="B28" s="52">
        <f t="shared" si="0"/>
        <v>27</v>
      </c>
      <c r="C28" s="29">
        <v>9</v>
      </c>
      <c r="D28" s="52">
        <v>2019</v>
      </c>
      <c r="E28" s="21">
        <f>'Sep 2019'!M34</f>
        <v>3.9000000000000004</v>
      </c>
      <c r="F28" s="38">
        <f>'Sep 2019'!N34</f>
        <v>0</v>
      </c>
      <c r="G28" s="38">
        <f>'Sep 2019'!G34</f>
        <v>0</v>
      </c>
      <c r="H28" s="38">
        <f>'Sep 2019'!H34</f>
        <v>0</v>
      </c>
      <c r="I28" s="38">
        <f>'Sep 2019'!I34</f>
        <v>0</v>
      </c>
      <c r="J28" s="38">
        <f>'Sep 2019'!J34</f>
        <v>0</v>
      </c>
      <c r="K28" s="25">
        <f>'Sep 2019'!K34</f>
        <v>6.5</v>
      </c>
      <c r="L28" s="25">
        <f>'Sep 2019'!L36</f>
        <v>0</v>
      </c>
      <c r="M28" s="38">
        <f>'Sep 2019'!S34</f>
        <v>0</v>
      </c>
      <c r="N28" s="38">
        <f>'Sep 2019'!T34</f>
        <v>0</v>
      </c>
      <c r="O28" s="25">
        <f>'Sep 2019'!U34</f>
        <v>4.9000000000000004</v>
      </c>
      <c r="P28" s="38">
        <f>'Sep 2019'!V34</f>
        <v>0</v>
      </c>
      <c r="Q28" s="38">
        <f>'Sep 2019'!BC34</f>
        <v>0</v>
      </c>
      <c r="R28" s="38">
        <f>'Sep 2019'!BD34</f>
        <v>0</v>
      </c>
      <c r="S28" s="38">
        <f>'Sep 2019'!BF34</f>
        <v>0</v>
      </c>
      <c r="T28" s="38">
        <f>'Sep 2019'!BF34</f>
        <v>0</v>
      </c>
      <c r="U28" s="38">
        <f>'Sep 2019'!BG34</f>
        <v>0</v>
      </c>
      <c r="V28" s="38">
        <f>'Sep 2019'!BH34</f>
        <v>0</v>
      </c>
      <c r="W28" s="25">
        <f>'Sep 2019'!W34</f>
        <v>148</v>
      </c>
      <c r="X28" s="25">
        <f>'Sep 2019'!X34</f>
        <v>0</v>
      </c>
      <c r="Y28" s="38">
        <f>'Sep 2019'!Y34</f>
        <v>0</v>
      </c>
      <c r="Z28" s="38">
        <f>'Sep 2019'!Z34</f>
        <v>0</v>
      </c>
      <c r="AA28" s="38">
        <f>'Sep 2019'!AA34</f>
        <v>0</v>
      </c>
      <c r="AB28" s="38">
        <f>'Sep 2019'!AB34</f>
        <v>0</v>
      </c>
      <c r="AC28" s="38">
        <f>'Sep 2019'!AC34</f>
        <v>0</v>
      </c>
      <c r="AD28" s="38">
        <f>'Sep 2019'!AD34</f>
        <v>0</v>
      </c>
      <c r="AE28" s="38">
        <f>'Sep 2019'!AE34</f>
        <v>0</v>
      </c>
      <c r="AF28" s="38">
        <f>'Sep 2019'!AF34</f>
        <v>0</v>
      </c>
      <c r="AG28" s="38">
        <f>'Sep 2019'!AK34</f>
        <v>0</v>
      </c>
      <c r="AH28" s="38">
        <f>'Sep 2019'!AP34</f>
        <v>0</v>
      </c>
      <c r="AI28" s="38">
        <f>'Sep 2019'!AO34</f>
        <v>0</v>
      </c>
      <c r="AJ28" s="38">
        <f>'Sep 2019'!AP34</f>
        <v>0</v>
      </c>
      <c r="AK28" s="38">
        <f>'Sep 2019'!AW34</f>
        <v>0</v>
      </c>
      <c r="AL28" s="38">
        <f>'Sep 2019'!AX34</f>
        <v>0</v>
      </c>
      <c r="AM28" s="38">
        <f>'Sep 2019'!AZ34</f>
        <v>0</v>
      </c>
      <c r="AN28" s="38">
        <f>'Sep 2019'!AZ34</f>
        <v>0</v>
      </c>
      <c r="AO28" s="38">
        <f>'Sep 2019'!BI34</f>
        <v>0</v>
      </c>
      <c r="AP28" s="38">
        <f>'Sep 2019'!BJ34</f>
        <v>0</v>
      </c>
      <c r="AQ28" s="38">
        <f>'Sep 2019'!BA34</f>
        <v>0</v>
      </c>
      <c r="AR28" s="38">
        <f>'Sep 2019'!BB34</f>
        <v>0</v>
      </c>
      <c r="AS28" s="38">
        <f>'Sep 2019'!BK34</f>
        <v>0</v>
      </c>
      <c r="AT28" s="38">
        <f>'Sep 2019'!BL34</f>
        <v>0</v>
      </c>
      <c r="AU28" s="38">
        <f>'Sep 2019'!BM34</f>
        <v>0</v>
      </c>
      <c r="AV28" s="38">
        <f>'Sep 2019'!BN34</f>
        <v>0</v>
      </c>
      <c r="AW28" s="25">
        <f>'Sep 2019'!E34</f>
        <v>14.4</v>
      </c>
      <c r="AX28" s="38">
        <f>'Sep 2019'!F34</f>
        <v>0</v>
      </c>
      <c r="AY28" s="38">
        <f>'Sep 2019'!O34</f>
        <v>0</v>
      </c>
      <c r="AZ28" s="38">
        <f>'Sep 2019'!P34</f>
        <v>0</v>
      </c>
      <c r="BA28" s="25">
        <f>'Sep 2019'!U34</f>
        <v>4.9000000000000004</v>
      </c>
      <c r="BB28" s="25">
        <f>'Sep 2019'!V48</f>
        <v>0</v>
      </c>
      <c r="BC28" s="25">
        <f>'Sep 2019'!AG34</f>
        <v>305</v>
      </c>
      <c r="BD28" s="25">
        <f>'Sep 2019'!AH34</f>
        <v>0</v>
      </c>
      <c r="BE28" s="38">
        <f>'Sep 2019'!AI34</f>
        <v>0</v>
      </c>
      <c r="BF28" s="38">
        <f>'Sep 2019'!AJ34</f>
        <v>0</v>
      </c>
      <c r="BG28" s="38">
        <f>'Sep 2019'!AK34</f>
        <v>0</v>
      </c>
      <c r="BH28" s="38">
        <f>'Sep 2019'!AL34</f>
        <v>0</v>
      </c>
      <c r="BI28" s="38">
        <f>'Sep 2019'!AM34</f>
        <v>0</v>
      </c>
      <c r="BJ28" s="38">
        <f>'Sep 2019'!AM34</f>
        <v>0</v>
      </c>
      <c r="BK28" s="38">
        <f>'Sep 2019'!AO34</f>
        <v>0</v>
      </c>
      <c r="BL28" s="38">
        <f>'Sep 2019'!AP34</f>
        <v>0</v>
      </c>
      <c r="BM28" s="38">
        <v>0</v>
      </c>
      <c r="BN28" s="38">
        <v>0</v>
      </c>
      <c r="BO28" s="38">
        <f>'Sep 2019'!Q34</f>
        <v>0</v>
      </c>
      <c r="BP28" s="38">
        <f>'Sep 2019'!R34</f>
        <v>0</v>
      </c>
    </row>
    <row r="29" spans="1:68">
      <c r="A29" s="54" t="s">
        <v>67</v>
      </c>
      <c r="B29" s="52">
        <f t="shared" si="0"/>
        <v>28</v>
      </c>
      <c r="C29" s="29">
        <v>9</v>
      </c>
      <c r="D29" s="52">
        <v>2019</v>
      </c>
      <c r="E29" s="21">
        <f>'Sep 2019'!M35</f>
        <v>4.0999999999999996</v>
      </c>
      <c r="F29" s="38">
        <f>'Sep 2019'!N35</f>
        <v>0</v>
      </c>
      <c r="G29" s="38">
        <f>'Sep 2019'!G35</f>
        <v>0</v>
      </c>
      <c r="H29" s="38">
        <f>'Sep 2019'!H35</f>
        <v>0</v>
      </c>
      <c r="I29" s="38">
        <f>'Sep 2019'!I35</f>
        <v>0</v>
      </c>
      <c r="J29" s="38">
        <f>'Sep 2019'!J35</f>
        <v>0</v>
      </c>
      <c r="K29" s="25">
        <f>'Sep 2019'!K35</f>
        <v>6.8000000000000007</v>
      </c>
      <c r="L29" s="25">
        <f>'Sep 2019'!L37</f>
        <v>0</v>
      </c>
      <c r="M29" s="38">
        <f>'Sep 2019'!S35</f>
        <v>0</v>
      </c>
      <c r="N29" s="38">
        <f>'Sep 2019'!T35</f>
        <v>0</v>
      </c>
      <c r="O29" s="25">
        <f>'Sep 2019'!U35</f>
        <v>5.2</v>
      </c>
      <c r="P29" s="38">
        <f>'Sep 2019'!V35</f>
        <v>0</v>
      </c>
      <c r="Q29" s="38">
        <f>'Sep 2019'!BC35</f>
        <v>0</v>
      </c>
      <c r="R29" s="38">
        <f>'Sep 2019'!BD35</f>
        <v>0</v>
      </c>
      <c r="S29" s="38">
        <f>'Sep 2019'!BF35</f>
        <v>0</v>
      </c>
      <c r="T29" s="38">
        <f>'Sep 2019'!BF35</f>
        <v>0</v>
      </c>
      <c r="U29" s="38">
        <f>'Sep 2019'!BG35</f>
        <v>0</v>
      </c>
      <c r="V29" s="38">
        <f>'Sep 2019'!BH35</f>
        <v>0</v>
      </c>
      <c r="W29" s="25">
        <f>'Sep 2019'!W35</f>
        <v>180</v>
      </c>
      <c r="X29" s="25">
        <f>'Sep 2019'!X35</f>
        <v>0</v>
      </c>
      <c r="Y29" s="38">
        <f>'Sep 2019'!Y35</f>
        <v>0</v>
      </c>
      <c r="Z29" s="38">
        <f>'Sep 2019'!Z35</f>
        <v>0</v>
      </c>
      <c r="AA29" s="38">
        <f>'Sep 2019'!AA35</f>
        <v>0</v>
      </c>
      <c r="AB29" s="38">
        <f>'Sep 2019'!AB35</f>
        <v>0</v>
      </c>
      <c r="AC29" s="38">
        <f>'Sep 2019'!AC35</f>
        <v>0</v>
      </c>
      <c r="AD29" s="38">
        <f>'Sep 2019'!AD35</f>
        <v>0</v>
      </c>
      <c r="AE29" s="38">
        <f>'Sep 2019'!AE35</f>
        <v>0</v>
      </c>
      <c r="AF29" s="38">
        <f>'Sep 2019'!AF35</f>
        <v>0</v>
      </c>
      <c r="AG29" s="38">
        <f>'Sep 2019'!AK35</f>
        <v>0</v>
      </c>
      <c r="AH29" s="38">
        <f>'Sep 2019'!AP35</f>
        <v>0</v>
      </c>
      <c r="AI29" s="38">
        <f>'Sep 2019'!AO35</f>
        <v>0</v>
      </c>
      <c r="AJ29" s="38">
        <f>'Sep 2019'!AP35</f>
        <v>0</v>
      </c>
      <c r="AK29" s="38">
        <f>'Sep 2019'!AW35</f>
        <v>0</v>
      </c>
      <c r="AL29" s="38">
        <f>'Sep 2019'!AX35</f>
        <v>0</v>
      </c>
      <c r="AM29" s="38">
        <f>'Sep 2019'!AZ35</f>
        <v>0</v>
      </c>
      <c r="AN29" s="38">
        <f>'Sep 2019'!AZ35</f>
        <v>0</v>
      </c>
      <c r="AO29" s="38">
        <f>'Sep 2019'!BI35</f>
        <v>0</v>
      </c>
      <c r="AP29" s="38">
        <f>'Sep 2019'!BJ35</f>
        <v>0</v>
      </c>
      <c r="AQ29" s="38">
        <f>'Sep 2019'!BA35</f>
        <v>0</v>
      </c>
      <c r="AR29" s="38">
        <f>'Sep 2019'!BB35</f>
        <v>0</v>
      </c>
      <c r="AS29" s="38">
        <f>'Sep 2019'!BK35</f>
        <v>0</v>
      </c>
      <c r="AT29" s="38">
        <f>'Sep 2019'!BL35</f>
        <v>0</v>
      </c>
      <c r="AU29" s="38">
        <f>'Sep 2019'!BM35</f>
        <v>0</v>
      </c>
      <c r="AV29" s="38">
        <f>'Sep 2019'!BN35</f>
        <v>0</v>
      </c>
      <c r="AW29" s="25">
        <f>'Sep 2019'!E35</f>
        <v>15.3</v>
      </c>
      <c r="AX29" s="38">
        <f>'Sep 2019'!F35</f>
        <v>0</v>
      </c>
      <c r="AY29" s="38">
        <f>'Sep 2019'!O35</f>
        <v>0</v>
      </c>
      <c r="AZ29" s="38">
        <f>'Sep 2019'!P35</f>
        <v>0</v>
      </c>
      <c r="BA29" s="25">
        <f>'Sep 2019'!U35</f>
        <v>5.2</v>
      </c>
      <c r="BB29" s="25">
        <f>'Sep 2019'!V49</f>
        <v>0</v>
      </c>
      <c r="BC29" s="25">
        <f>'Sep 2019'!AG35</f>
        <v>420</v>
      </c>
      <c r="BD29" s="25">
        <f>'Sep 2019'!AH35</f>
        <v>0</v>
      </c>
      <c r="BE29" s="38">
        <f>'Sep 2019'!AI35</f>
        <v>0</v>
      </c>
      <c r="BF29" s="38">
        <f>'Sep 2019'!AJ35</f>
        <v>0</v>
      </c>
      <c r="BG29" s="38">
        <f>'Sep 2019'!AK35</f>
        <v>0</v>
      </c>
      <c r="BH29" s="38">
        <f>'Sep 2019'!AL35</f>
        <v>0</v>
      </c>
      <c r="BI29" s="38">
        <f>'Sep 2019'!AM35</f>
        <v>0</v>
      </c>
      <c r="BJ29" s="38">
        <f>'Sep 2019'!AM35</f>
        <v>0</v>
      </c>
      <c r="BK29" s="38">
        <f>'Sep 2019'!AO35</f>
        <v>0</v>
      </c>
      <c r="BL29" s="38">
        <f>'Sep 2019'!AP35</f>
        <v>0</v>
      </c>
      <c r="BM29" s="38">
        <v>0</v>
      </c>
      <c r="BN29" s="38">
        <v>0</v>
      </c>
      <c r="BO29" s="38">
        <f>'Sep 2019'!Q35</f>
        <v>0</v>
      </c>
      <c r="BP29" s="38">
        <f>'Sep 2019'!R35</f>
        <v>0</v>
      </c>
    </row>
    <row r="30" spans="1:68">
      <c r="A30" s="54" t="s">
        <v>67</v>
      </c>
      <c r="B30" s="52">
        <f t="shared" si="0"/>
        <v>29</v>
      </c>
      <c r="C30" s="29">
        <v>9</v>
      </c>
      <c r="D30" s="52">
        <v>2019</v>
      </c>
      <c r="E30" s="21">
        <f>'Sep 2019'!M36</f>
        <v>5.4</v>
      </c>
      <c r="F30" s="38">
        <f>'Sep 2019'!N36</f>
        <v>0</v>
      </c>
      <c r="G30" s="38">
        <f>'Sep 2019'!G36</f>
        <v>0</v>
      </c>
      <c r="H30" s="38">
        <f>'Sep 2019'!H36</f>
        <v>0</v>
      </c>
      <c r="I30" s="38">
        <f>'Sep 2019'!I36</f>
        <v>0</v>
      </c>
      <c r="J30" s="38">
        <f>'Sep 2019'!J36</f>
        <v>0</v>
      </c>
      <c r="K30" s="25">
        <f>'Sep 2019'!K36</f>
        <v>8.3000000000000007</v>
      </c>
      <c r="L30" s="25">
        <f>'Sep 2019'!L38</f>
        <v>0</v>
      </c>
      <c r="M30" s="38">
        <f>'Sep 2019'!S36</f>
        <v>0</v>
      </c>
      <c r="N30" s="41">
        <f>SUM(N2:N29)</f>
        <v>0</v>
      </c>
      <c r="O30" s="25">
        <f>'Sep 2019'!U36</f>
        <v>5.2</v>
      </c>
      <c r="P30" s="41">
        <f>SUM(P2:P29)</f>
        <v>0</v>
      </c>
      <c r="Q30" s="41">
        <f>SUM(Q2:Q29)</f>
        <v>0</v>
      </c>
      <c r="R30" s="41">
        <f>SUM(R2:R29)</f>
        <v>0</v>
      </c>
      <c r="S30" s="41">
        <f>SUM(S2:S29)</f>
        <v>0</v>
      </c>
      <c r="T30" s="41">
        <f>SUM(T2:T29)</f>
        <v>0</v>
      </c>
      <c r="U30" s="41">
        <f>SUM(U2:U29)</f>
        <v>0</v>
      </c>
      <c r="V30" s="41">
        <f>SUM(V2:V29)</f>
        <v>0</v>
      </c>
      <c r="W30" s="25">
        <f>'Sep 2019'!W36</f>
        <v>140</v>
      </c>
      <c r="X30" s="25">
        <f>'Sep 2019'!X36</f>
        <v>0</v>
      </c>
      <c r="Y30" s="41">
        <f>SUM(Y2:Y29)</f>
        <v>0</v>
      </c>
      <c r="Z30" s="41">
        <f>SUM(Z2:Z29)</f>
        <v>0</v>
      </c>
      <c r="AA30" s="41">
        <f>SUM(AA2:AA29)</f>
        <v>0</v>
      </c>
      <c r="AB30" s="41">
        <f>SUM(AB2:AB29)</f>
        <v>0</v>
      </c>
      <c r="AC30" s="41">
        <f>SUM(AC2:AC29)</f>
        <v>0</v>
      </c>
      <c r="AD30" s="41">
        <f>SUM(AD2:AD29)</f>
        <v>0</v>
      </c>
      <c r="AE30" s="41">
        <f>SUM(AE2:AE29)</f>
        <v>0</v>
      </c>
      <c r="AF30" s="41">
        <f>SUM(AF2:AF29)</f>
        <v>0</v>
      </c>
      <c r="AG30" s="41">
        <f>SUM(AG2:AG29)</f>
        <v>0</v>
      </c>
      <c r="AH30" s="41">
        <f>SUM(AH2:AH29)</f>
        <v>0</v>
      </c>
      <c r="AI30" s="41">
        <f>SUM(AI2:AI29)</f>
        <v>0</v>
      </c>
      <c r="AJ30" s="41">
        <f>SUM(AJ2:AJ29)</f>
        <v>0</v>
      </c>
      <c r="AK30" s="41">
        <f>SUM(AK2:AK29)</f>
        <v>0</v>
      </c>
      <c r="AL30" s="41">
        <f>SUM(AL2:AL29)</f>
        <v>0</v>
      </c>
      <c r="AM30" s="41">
        <f>SUM(AM2:AM29)</f>
        <v>0</v>
      </c>
      <c r="AN30" s="41">
        <f>SUM(AN2:AN29)</f>
        <v>0</v>
      </c>
      <c r="AO30" s="41">
        <f>SUM(AO2:AO29)</f>
        <v>0</v>
      </c>
      <c r="AP30" s="41">
        <f>SUM(AP2:AP29)</f>
        <v>0</v>
      </c>
      <c r="AQ30" s="41">
        <f>SUM(AQ2:AQ29)</f>
        <v>0</v>
      </c>
      <c r="AR30" s="41">
        <f>SUM(AR2:AR29)</f>
        <v>0</v>
      </c>
      <c r="AS30" s="41">
        <f>SUM(AS2:AS29)</f>
        <v>0</v>
      </c>
      <c r="AT30" s="41">
        <f>SUM(AT2:AT29)</f>
        <v>0</v>
      </c>
      <c r="AU30" s="41">
        <f>SUM(AU2:AU29)</f>
        <v>0</v>
      </c>
      <c r="AV30" s="41">
        <f>SUM(AV2:AV29)</f>
        <v>0</v>
      </c>
      <c r="AW30" s="25">
        <f>'Sep 2019'!E36</f>
        <v>13.499999999999998</v>
      </c>
      <c r="AX30" s="38">
        <f>'Sep 2019'!F36</f>
        <v>0</v>
      </c>
      <c r="AY30" s="41">
        <f>SUM(AY2:AY29)</f>
        <v>0</v>
      </c>
      <c r="AZ30" s="41">
        <f>SUM(AZ2:AZ29)</f>
        <v>0</v>
      </c>
      <c r="BA30" s="25">
        <f>'Sep 2019'!U36</f>
        <v>5.2</v>
      </c>
      <c r="BB30" s="25">
        <f>'Sep 2019'!V50</f>
        <v>0</v>
      </c>
      <c r="BC30" s="25">
        <f>'Sep 2019'!AG36</f>
        <v>385</v>
      </c>
      <c r="BD30" s="25">
        <f>'Sep 2019'!AH36</f>
        <v>0</v>
      </c>
      <c r="BE30" s="41">
        <f>SUM(BE2:BE29)</f>
        <v>0</v>
      </c>
      <c r="BF30" s="41">
        <f>SUM(BF2:BF29)</f>
        <v>0</v>
      </c>
      <c r="BG30" s="41">
        <f>SUM(BG2:BG29)</f>
        <v>0</v>
      </c>
      <c r="BH30" s="41">
        <f>SUM(BH2:BH29)</f>
        <v>0</v>
      </c>
      <c r="BI30" s="41">
        <f>SUM(BI2:BI29)</f>
        <v>0</v>
      </c>
      <c r="BJ30" s="41">
        <f>SUM(BJ2:BJ29)</f>
        <v>0</v>
      </c>
      <c r="BK30" s="41">
        <f>SUM(BK2:BK29)</f>
        <v>0</v>
      </c>
      <c r="BL30" s="41">
        <f>SUM(BL2:BL29)</f>
        <v>0</v>
      </c>
      <c r="BM30" s="41">
        <f>SUM(BM2:BM29)</f>
        <v>0</v>
      </c>
      <c r="BN30" s="41">
        <f>SUM(BN2:BN29)</f>
        <v>0</v>
      </c>
      <c r="BO30" s="41">
        <f>SUM(BO2:BO29)</f>
        <v>0</v>
      </c>
      <c r="BP30" s="41">
        <f>SUM(BP2:BP29)</f>
        <v>0</v>
      </c>
    </row>
    <row r="31" spans="1:68">
      <c r="A31" s="54" t="s">
        <v>67</v>
      </c>
      <c r="B31" s="52">
        <f t="shared" si="0"/>
        <v>30</v>
      </c>
      <c r="C31" s="29">
        <v>9</v>
      </c>
      <c r="D31" s="52">
        <v>2019</v>
      </c>
      <c r="E31" s="21">
        <f>'Sep 2019'!M37</f>
        <v>2.6</v>
      </c>
      <c r="F31" s="38">
        <f>'Sep 2019'!N37</f>
        <v>0</v>
      </c>
      <c r="G31" s="38">
        <f>'Sep 2019'!G37</f>
        <v>0</v>
      </c>
      <c r="H31" s="38">
        <f>'Sep 2019'!H37</f>
        <v>0</v>
      </c>
      <c r="I31" s="38">
        <f>'Sep 2019'!I37</f>
        <v>0</v>
      </c>
      <c r="J31" s="38">
        <f>'Sep 2019'!J37</f>
        <v>0</v>
      </c>
      <c r="K31" s="25">
        <f>'Sep 2019'!K37</f>
        <v>6.6</v>
      </c>
      <c r="L31" s="25">
        <f>'Sep 2019'!L39</f>
        <v>0</v>
      </c>
      <c r="M31" s="38">
        <f>'Sep 2019'!S37</f>
        <v>0</v>
      </c>
      <c r="N31" s="41">
        <f t="shared" ref="N31:N32" si="1">SUM(N3:N30)</f>
        <v>0</v>
      </c>
      <c r="O31" s="25">
        <f>'Sep 2019'!U37</f>
        <v>4.9000000000000004</v>
      </c>
      <c r="P31" s="41">
        <f t="shared" ref="P31:V31" si="2">SUM(P3:P30)</f>
        <v>0</v>
      </c>
      <c r="Q31" s="41">
        <f t="shared" si="2"/>
        <v>0</v>
      </c>
      <c r="R31" s="41">
        <f t="shared" si="2"/>
        <v>0</v>
      </c>
      <c r="S31" s="41">
        <f t="shared" si="2"/>
        <v>0</v>
      </c>
      <c r="T31" s="41">
        <f t="shared" si="2"/>
        <v>0</v>
      </c>
      <c r="U31" s="41">
        <f t="shared" si="2"/>
        <v>0</v>
      </c>
      <c r="V31" s="41">
        <f t="shared" si="2"/>
        <v>0</v>
      </c>
      <c r="W31" s="25">
        <f>'Sep 2019'!W37</f>
        <v>248</v>
      </c>
      <c r="X31" s="25">
        <f>'Sep 2019'!X37</f>
        <v>0</v>
      </c>
      <c r="Y31" s="41">
        <f t="shared" ref="Y31:AV31" si="3">SUM(Y3:Y30)</f>
        <v>0</v>
      </c>
      <c r="Z31" s="41">
        <f t="shared" si="3"/>
        <v>0</v>
      </c>
      <c r="AA31" s="41">
        <f t="shared" si="3"/>
        <v>0</v>
      </c>
      <c r="AB31" s="41">
        <f t="shared" si="3"/>
        <v>0</v>
      </c>
      <c r="AC31" s="41">
        <f t="shared" si="3"/>
        <v>0</v>
      </c>
      <c r="AD31" s="41">
        <f t="shared" si="3"/>
        <v>0</v>
      </c>
      <c r="AE31" s="41">
        <f t="shared" si="3"/>
        <v>0</v>
      </c>
      <c r="AF31" s="41">
        <f t="shared" si="3"/>
        <v>0</v>
      </c>
      <c r="AG31" s="41">
        <f t="shared" si="3"/>
        <v>0</v>
      </c>
      <c r="AH31" s="41">
        <f t="shared" si="3"/>
        <v>0</v>
      </c>
      <c r="AI31" s="41">
        <f t="shared" si="3"/>
        <v>0</v>
      </c>
      <c r="AJ31" s="41">
        <f t="shared" si="3"/>
        <v>0</v>
      </c>
      <c r="AK31" s="41">
        <f t="shared" si="3"/>
        <v>0</v>
      </c>
      <c r="AL31" s="41">
        <f t="shared" si="3"/>
        <v>0</v>
      </c>
      <c r="AM31" s="41">
        <f t="shared" si="3"/>
        <v>0</v>
      </c>
      <c r="AN31" s="41">
        <f t="shared" si="3"/>
        <v>0</v>
      </c>
      <c r="AO31" s="41">
        <f t="shared" si="3"/>
        <v>0</v>
      </c>
      <c r="AP31" s="41">
        <f t="shared" si="3"/>
        <v>0</v>
      </c>
      <c r="AQ31" s="41">
        <f t="shared" si="3"/>
        <v>0</v>
      </c>
      <c r="AR31" s="41">
        <f t="shared" si="3"/>
        <v>0</v>
      </c>
      <c r="AS31" s="41">
        <f t="shared" si="3"/>
        <v>0</v>
      </c>
      <c r="AT31" s="41">
        <f t="shared" si="3"/>
        <v>0</v>
      </c>
      <c r="AU31" s="41">
        <f t="shared" si="3"/>
        <v>0</v>
      </c>
      <c r="AV31" s="41">
        <f t="shared" si="3"/>
        <v>0</v>
      </c>
      <c r="AW31" s="25">
        <f>'Sep 2019'!E37</f>
        <v>14.3</v>
      </c>
      <c r="AX31" s="38">
        <f>'Sep 2019'!F37</f>
        <v>0</v>
      </c>
      <c r="AY31" s="38">
        <f>'Sep 2019'!A37</f>
        <v>0</v>
      </c>
      <c r="AZ31" s="38">
        <f>'Sep 2019'!B37</f>
        <v>30</v>
      </c>
      <c r="BA31" s="25">
        <f>'Sep 2019'!U37</f>
        <v>4.9000000000000004</v>
      </c>
      <c r="BB31" s="25">
        <f>'Sep 2019'!V51</f>
        <v>0</v>
      </c>
      <c r="BC31" s="25">
        <f>'Sep 2019'!AG37</f>
        <v>310</v>
      </c>
      <c r="BD31" s="38">
        <f>'Sep 2019'!F37</f>
        <v>0</v>
      </c>
      <c r="BE31" s="38">
        <f>'Sep 2019'!G37</f>
        <v>0</v>
      </c>
      <c r="BF31" s="38">
        <f>'Sep 2019'!H37</f>
        <v>0</v>
      </c>
      <c r="BG31" s="38">
        <f>'Sep 2019'!I37</f>
        <v>0</v>
      </c>
      <c r="BH31" s="38">
        <f>'Sep 2019'!J37</f>
        <v>0</v>
      </c>
      <c r="BI31" s="38">
        <f>'Sep 2019'!K37</f>
        <v>6.6</v>
      </c>
      <c r="BJ31" s="38">
        <f>'Sep 2019'!L37</f>
        <v>0</v>
      </c>
      <c r="BK31" s="38">
        <f>'Sep 2019'!M37</f>
        <v>2.6</v>
      </c>
      <c r="BL31" s="38">
        <f>'Sep 2019'!N37</f>
        <v>0</v>
      </c>
      <c r="BM31" s="38">
        <f>'Sep 2019'!O37</f>
        <v>0</v>
      </c>
      <c r="BN31" s="38">
        <f>'Sep 2019'!P37</f>
        <v>0</v>
      </c>
      <c r="BO31" s="38">
        <f>'Sep 2019'!Q37</f>
        <v>0</v>
      </c>
      <c r="BP31" s="38">
        <f>'Sep 2019'!R37</f>
        <v>0</v>
      </c>
    </row>
    <row r="32" spans="1:68">
      <c r="A32" s="75"/>
      <c r="B32" s="76"/>
      <c r="C32" s="70"/>
      <c r="D32" s="52"/>
      <c r="E32" s="21">
        <f>'Sep 2019'!M38</f>
        <v>122.29999999999997</v>
      </c>
      <c r="F32" s="41">
        <f t="shared" ref="F32:J32" si="4">SUM(F4:F31)</f>
        <v>0</v>
      </c>
      <c r="G32" s="41">
        <f t="shared" si="4"/>
        <v>0</v>
      </c>
      <c r="H32" s="41">
        <f t="shared" si="4"/>
        <v>0</v>
      </c>
      <c r="I32" s="41">
        <f t="shared" si="4"/>
        <v>0</v>
      </c>
      <c r="J32" s="41">
        <f t="shared" si="4"/>
        <v>0</v>
      </c>
      <c r="K32" s="25">
        <f>'Sep 2019'!K38</f>
        <v>244.5</v>
      </c>
      <c r="L32" s="25">
        <f>'Sep 2019'!L40</f>
        <v>0</v>
      </c>
      <c r="M32" s="41">
        <f t="shared" ref="M32" si="5">SUM(M4:M31)</f>
        <v>0</v>
      </c>
      <c r="N32" s="41">
        <f t="shared" si="1"/>
        <v>0</v>
      </c>
      <c r="O32" s="25">
        <f>'Sep 2019'!U38</f>
        <v>161.79999999999998</v>
      </c>
      <c r="P32" s="41">
        <f t="shared" ref="P32:V32" si="6">SUM(P4:P31)</f>
        <v>0</v>
      </c>
      <c r="Q32" s="41">
        <f t="shared" si="6"/>
        <v>0</v>
      </c>
      <c r="R32" s="41">
        <f t="shared" si="6"/>
        <v>0</v>
      </c>
      <c r="S32" s="41">
        <f t="shared" si="6"/>
        <v>0</v>
      </c>
      <c r="T32" s="41">
        <f t="shared" si="6"/>
        <v>0</v>
      </c>
      <c r="U32" s="41">
        <f t="shared" si="6"/>
        <v>0</v>
      </c>
      <c r="V32" s="41">
        <f t="shared" si="6"/>
        <v>0</v>
      </c>
      <c r="W32" s="25">
        <f>'Sep 2019'!W38</f>
        <v>5088</v>
      </c>
      <c r="X32" s="25">
        <f>'Sep 2019'!X38</f>
        <v>17800000</v>
      </c>
      <c r="Y32" s="41">
        <f t="shared" ref="Y32:AV32" si="7">SUM(Y4:Y31)</f>
        <v>0</v>
      </c>
      <c r="Z32" s="41">
        <f t="shared" si="7"/>
        <v>0</v>
      </c>
      <c r="AA32" s="41">
        <f t="shared" si="7"/>
        <v>0</v>
      </c>
      <c r="AB32" s="41">
        <f t="shared" si="7"/>
        <v>0</v>
      </c>
      <c r="AC32" s="41">
        <f t="shared" si="7"/>
        <v>0</v>
      </c>
      <c r="AD32" s="41">
        <f t="shared" si="7"/>
        <v>0</v>
      </c>
      <c r="AE32" s="41">
        <f t="shared" si="7"/>
        <v>0</v>
      </c>
      <c r="AF32" s="41">
        <f t="shared" si="7"/>
        <v>0</v>
      </c>
      <c r="AG32" s="41">
        <f t="shared" si="7"/>
        <v>0</v>
      </c>
      <c r="AH32" s="41">
        <f t="shared" si="7"/>
        <v>0</v>
      </c>
      <c r="AI32" s="41">
        <f t="shared" si="7"/>
        <v>0</v>
      </c>
      <c r="AJ32" s="41">
        <f t="shared" si="7"/>
        <v>0</v>
      </c>
      <c r="AK32" s="41">
        <f t="shared" si="7"/>
        <v>0</v>
      </c>
      <c r="AL32" s="41">
        <f t="shared" si="7"/>
        <v>0</v>
      </c>
      <c r="AM32" s="41">
        <f t="shared" si="7"/>
        <v>0</v>
      </c>
      <c r="AN32" s="41">
        <f t="shared" si="7"/>
        <v>0</v>
      </c>
      <c r="AO32" s="41">
        <f t="shared" si="7"/>
        <v>0</v>
      </c>
      <c r="AP32" s="41">
        <f t="shared" si="7"/>
        <v>0</v>
      </c>
      <c r="AQ32" s="41">
        <f t="shared" si="7"/>
        <v>0</v>
      </c>
      <c r="AR32" s="41">
        <f t="shared" si="7"/>
        <v>0</v>
      </c>
      <c r="AS32" s="41">
        <f t="shared" si="7"/>
        <v>0</v>
      </c>
      <c r="AT32" s="41">
        <f t="shared" si="7"/>
        <v>0</v>
      </c>
      <c r="AU32" s="41">
        <f t="shared" si="7"/>
        <v>0</v>
      </c>
      <c r="AV32" s="41">
        <f t="shared" si="7"/>
        <v>0</v>
      </c>
      <c r="AW32" s="25">
        <f>'Sep 2019'!E38</f>
        <v>429.3</v>
      </c>
      <c r="AX32" s="38">
        <f>'Sep 2019'!F38</f>
        <v>0</v>
      </c>
      <c r="AY32" s="38">
        <f>'Sep 2019'!A38</f>
        <v>0</v>
      </c>
      <c r="AZ32" s="38">
        <f>'Sep 2019'!B38</f>
        <v>0</v>
      </c>
      <c r="BA32" s="25">
        <f>'Sep 2019'!U38</f>
        <v>161.79999999999998</v>
      </c>
      <c r="BB32" s="25">
        <f>'Sep 2019'!V52</f>
        <v>0</v>
      </c>
      <c r="BC32" s="25">
        <f>'Sep 2019'!AG38</f>
        <v>12250</v>
      </c>
      <c r="BD32" s="38">
        <f>'Sep 2019'!F38</f>
        <v>0</v>
      </c>
      <c r="BE32" s="38">
        <f>'Sep 2019'!G38</f>
        <v>0</v>
      </c>
      <c r="BF32" s="38">
        <f>'Sep 2019'!H38</f>
        <v>0</v>
      </c>
      <c r="BG32" s="38">
        <f>'Sep 2019'!I38</f>
        <v>0</v>
      </c>
      <c r="BH32" s="38">
        <f>'Sep 2019'!J38</f>
        <v>0</v>
      </c>
      <c r="BI32" s="38">
        <f>'Sep 2019'!K38</f>
        <v>244.5</v>
      </c>
      <c r="BJ32" s="38">
        <f>'Sep 2019'!L38</f>
        <v>0</v>
      </c>
      <c r="BK32" s="38">
        <f>'Sep 2019'!M38</f>
        <v>122.29999999999997</v>
      </c>
      <c r="BL32" s="38">
        <f>'Sep 2019'!N38</f>
        <v>0</v>
      </c>
      <c r="BM32" s="38">
        <f>'Sep 2019'!O38</f>
        <v>0</v>
      </c>
      <c r="BN32" s="38">
        <f>'Sep 2019'!P38</f>
        <v>0</v>
      </c>
      <c r="BO32" s="38">
        <f>'Sep 2019'!Q38</f>
        <v>0</v>
      </c>
      <c r="BP32" s="38">
        <f>'Sep 2019'!R38</f>
        <v>0</v>
      </c>
    </row>
    <row r="33" spans="11:11">
      <c r="K33" s="25"/>
    </row>
  </sheetData>
  <mergeCells count="1">
    <mergeCell ref="A32:B3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BN38"/>
  <sheetViews>
    <sheetView zoomScale="85" zoomScaleNormal="85" workbookViewId="0">
      <pane xSplit="4" ySplit="6" topLeftCell="E32" activePane="bottomRight" state="frozen"/>
      <selection pane="bottomRight" activeCell="A39" sqref="A39:XFD47"/>
      <selection pane="bottomLeft" activeCell="A11" sqref="A11"/>
      <selection pane="topRight" activeCell="E1" sqref="E1"/>
    </sheetView>
  </sheetViews>
  <sheetFormatPr defaultRowHeight="15"/>
  <cols>
    <col min="1" max="1" width="3.7109375" style="2" customWidth="1"/>
    <col min="2" max="2" width="8.7109375" style="2" customWidth="1"/>
    <col min="3" max="3" width="7.28515625" style="1" customWidth="1"/>
    <col min="4" max="4" width="7.28515625" customWidth="1"/>
    <col min="5" max="5" width="9.5703125" style="15" customWidth="1"/>
    <col min="6" max="6" width="9.42578125" style="15" customWidth="1"/>
    <col min="7" max="7" width="10" style="15" customWidth="1"/>
    <col min="8" max="66" width="14.28515625" style="15" customWidth="1"/>
  </cols>
  <sheetData>
    <row r="2" spans="1:66" s="5" customFormat="1" ht="19.5" thickBot="1">
      <c r="B2" s="5" t="s">
        <v>71</v>
      </c>
      <c r="C2" s="9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</row>
    <row r="3" spans="1:66" s="3" customFormat="1" ht="16.5" thickBot="1">
      <c r="A3" s="7"/>
      <c r="B3" s="85" t="s">
        <v>72</v>
      </c>
      <c r="C3" s="86"/>
      <c r="D3" s="86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</row>
    <row r="4" spans="1:66" s="6" customFormat="1" ht="15.75" customHeight="1">
      <c r="A4" s="11"/>
      <c r="B4" s="87" t="s">
        <v>73</v>
      </c>
      <c r="C4" s="90" t="s">
        <v>74</v>
      </c>
      <c r="D4" s="93" t="s">
        <v>75</v>
      </c>
      <c r="E4" s="83" t="s">
        <v>76</v>
      </c>
      <c r="F4" s="84"/>
      <c r="G4" s="84"/>
      <c r="H4" s="84"/>
      <c r="I4" s="84"/>
      <c r="J4" s="84"/>
      <c r="K4" s="81" t="s">
        <v>77</v>
      </c>
      <c r="L4" s="81"/>
      <c r="M4" s="82" t="s">
        <v>78</v>
      </c>
      <c r="N4" s="82"/>
      <c r="O4" s="82"/>
      <c r="P4" s="82"/>
      <c r="Q4" s="82"/>
      <c r="R4" s="82"/>
      <c r="S4" s="82"/>
      <c r="T4" s="82"/>
      <c r="U4" s="77" t="s">
        <v>79</v>
      </c>
      <c r="V4" s="77"/>
      <c r="W4" s="78" t="s">
        <v>80</v>
      </c>
      <c r="X4" s="78"/>
      <c r="Y4" s="78"/>
      <c r="Z4" s="78"/>
      <c r="AA4" s="78"/>
      <c r="AB4" s="78"/>
      <c r="AC4" s="78"/>
      <c r="AD4" s="78"/>
      <c r="AE4" s="78"/>
      <c r="AF4" s="78"/>
      <c r="AG4" s="78"/>
      <c r="AH4" s="78"/>
      <c r="AI4" s="78"/>
      <c r="AJ4" s="78"/>
      <c r="AK4" s="79" t="s">
        <v>81</v>
      </c>
      <c r="AL4" s="79"/>
      <c r="AM4" s="79"/>
      <c r="AN4" s="79"/>
      <c r="AO4" s="79"/>
      <c r="AP4" s="79"/>
      <c r="AQ4" s="79"/>
      <c r="AR4" s="79"/>
      <c r="AS4" s="79"/>
      <c r="AT4" s="79"/>
      <c r="AU4" s="79"/>
      <c r="AV4" s="79"/>
      <c r="AW4" s="79"/>
      <c r="AX4" s="79"/>
      <c r="AY4" s="79"/>
      <c r="AZ4" s="79"/>
      <c r="BA4" s="79"/>
      <c r="BB4" s="79"/>
      <c r="BC4" s="80" t="s">
        <v>82</v>
      </c>
      <c r="BD4" s="80"/>
      <c r="BE4" s="80"/>
      <c r="BF4" s="80"/>
      <c r="BG4" s="80"/>
      <c r="BH4" s="80"/>
      <c r="BI4" s="80"/>
      <c r="BJ4" s="80"/>
      <c r="BK4" s="80"/>
      <c r="BL4" s="80"/>
      <c r="BM4" s="80"/>
      <c r="BN4" s="80"/>
    </row>
    <row r="5" spans="1:66" s="12" customFormat="1" ht="15" customHeight="1">
      <c r="A5" s="6"/>
      <c r="B5" s="88"/>
      <c r="C5" s="91"/>
      <c r="D5" s="94"/>
      <c r="E5" s="83"/>
      <c r="F5" s="84"/>
      <c r="G5" s="84"/>
      <c r="H5" s="84"/>
      <c r="I5" s="84"/>
      <c r="J5" s="84"/>
      <c r="K5" s="81"/>
      <c r="L5" s="81"/>
      <c r="M5" s="82"/>
      <c r="N5" s="82"/>
      <c r="O5" s="82"/>
      <c r="P5" s="82"/>
      <c r="Q5" s="82"/>
      <c r="R5" s="82"/>
      <c r="S5" s="82"/>
      <c r="T5" s="82"/>
      <c r="U5" s="77"/>
      <c r="V5" s="77"/>
      <c r="W5" s="78"/>
      <c r="X5" s="78"/>
      <c r="Y5" s="78"/>
      <c r="Z5" s="78"/>
      <c r="AA5" s="78"/>
      <c r="AB5" s="78"/>
      <c r="AC5" s="78"/>
      <c r="AD5" s="78"/>
      <c r="AE5" s="78"/>
      <c r="AF5" s="78"/>
      <c r="AG5" s="78"/>
      <c r="AH5" s="78"/>
      <c r="AI5" s="78"/>
      <c r="AJ5" s="78"/>
      <c r="AK5" s="79"/>
      <c r="AL5" s="79"/>
      <c r="AM5" s="79"/>
      <c r="AN5" s="79"/>
      <c r="AO5" s="79"/>
      <c r="AP5" s="79"/>
      <c r="AQ5" s="79"/>
      <c r="AR5" s="79"/>
      <c r="AS5" s="79"/>
      <c r="AT5" s="79"/>
      <c r="AU5" s="79"/>
      <c r="AV5" s="79"/>
      <c r="AW5" s="79"/>
      <c r="AX5" s="79"/>
      <c r="AY5" s="79"/>
      <c r="AZ5" s="79"/>
      <c r="BA5" s="79"/>
      <c r="BB5" s="79"/>
      <c r="BC5" s="80"/>
      <c r="BD5" s="80"/>
      <c r="BE5" s="80"/>
      <c r="BF5" s="80"/>
      <c r="BG5" s="80"/>
      <c r="BH5" s="80"/>
      <c r="BI5" s="80"/>
      <c r="BJ5" s="80"/>
      <c r="BK5" s="80"/>
      <c r="BL5" s="80"/>
      <c r="BM5" s="80"/>
      <c r="BN5" s="80"/>
    </row>
    <row r="6" spans="1:66" s="12" customFormat="1" ht="61.5" customHeight="1" thickBot="1">
      <c r="A6" s="6"/>
      <c r="B6" s="89"/>
      <c r="C6" s="92"/>
      <c r="D6" s="94"/>
      <c r="E6" s="13" t="s">
        <v>47</v>
      </c>
      <c r="F6" s="13" t="s">
        <v>48</v>
      </c>
      <c r="G6" s="13" t="s">
        <v>5</v>
      </c>
      <c r="H6" s="13" t="s">
        <v>6</v>
      </c>
      <c r="I6" s="13" t="s">
        <v>7</v>
      </c>
      <c r="J6" s="13" t="s">
        <v>8</v>
      </c>
      <c r="K6" s="13" t="s">
        <v>69</v>
      </c>
      <c r="L6" s="13" t="s">
        <v>70</v>
      </c>
      <c r="M6" s="14" t="s">
        <v>3</v>
      </c>
      <c r="N6" s="14" t="s">
        <v>4</v>
      </c>
      <c r="O6" s="14" t="s">
        <v>49</v>
      </c>
      <c r="P6" s="14" t="s">
        <v>50</v>
      </c>
      <c r="Q6" s="14" t="s">
        <v>65</v>
      </c>
      <c r="R6" s="14" t="s">
        <v>66</v>
      </c>
      <c r="S6" s="14" t="s">
        <v>11</v>
      </c>
      <c r="T6" s="14" t="s">
        <v>12</v>
      </c>
      <c r="U6" s="14" t="s">
        <v>13</v>
      </c>
      <c r="V6" s="14" t="s">
        <v>52</v>
      </c>
      <c r="W6" s="14" t="s">
        <v>21</v>
      </c>
      <c r="X6" s="14" t="s">
        <v>22</v>
      </c>
      <c r="Y6" s="14" t="s">
        <v>23</v>
      </c>
      <c r="Z6" s="14" t="s">
        <v>24</v>
      </c>
      <c r="AA6" s="14" t="s">
        <v>25</v>
      </c>
      <c r="AB6" s="14" t="s">
        <v>26</v>
      </c>
      <c r="AC6" s="14" t="s">
        <v>27</v>
      </c>
      <c r="AD6" s="14" t="s">
        <v>28</v>
      </c>
      <c r="AE6" s="14" t="s">
        <v>29</v>
      </c>
      <c r="AF6" s="14" t="s">
        <v>30</v>
      </c>
      <c r="AG6" s="14" t="s">
        <v>53</v>
      </c>
      <c r="AH6" s="14" t="s">
        <v>54</v>
      </c>
      <c r="AI6" s="14" t="s">
        <v>55</v>
      </c>
      <c r="AJ6" s="14" t="s">
        <v>56</v>
      </c>
      <c r="AK6" s="14" t="s">
        <v>57</v>
      </c>
      <c r="AL6" s="14" t="s">
        <v>58</v>
      </c>
      <c r="AM6" s="14" t="s">
        <v>59</v>
      </c>
      <c r="AN6" s="14" t="s">
        <v>60</v>
      </c>
      <c r="AO6" s="14" t="s">
        <v>61</v>
      </c>
      <c r="AP6" s="14" t="s">
        <v>62</v>
      </c>
      <c r="AQ6" s="14" t="s">
        <v>63</v>
      </c>
      <c r="AR6" s="14" t="s">
        <v>64</v>
      </c>
      <c r="AS6" s="14" t="s">
        <v>31</v>
      </c>
      <c r="AT6" s="14" t="s">
        <v>32</v>
      </c>
      <c r="AU6" s="14" t="s">
        <v>33</v>
      </c>
      <c r="AV6" s="14" t="s">
        <v>34</v>
      </c>
      <c r="AW6" s="14" t="s">
        <v>35</v>
      </c>
      <c r="AX6" s="14" t="s">
        <v>36</v>
      </c>
      <c r="AY6" s="14" t="s">
        <v>37</v>
      </c>
      <c r="AZ6" s="14" t="s">
        <v>38</v>
      </c>
      <c r="BA6" s="14" t="s">
        <v>41</v>
      </c>
      <c r="BB6" s="14" t="s">
        <v>42</v>
      </c>
      <c r="BC6" s="14" t="s">
        <v>15</v>
      </c>
      <c r="BD6" s="14" t="s">
        <v>16</v>
      </c>
      <c r="BE6" s="14" t="s">
        <v>17</v>
      </c>
      <c r="BF6" s="14" t="s">
        <v>18</v>
      </c>
      <c r="BG6" s="14" t="s">
        <v>19</v>
      </c>
      <c r="BH6" s="14" t="s">
        <v>20</v>
      </c>
      <c r="BI6" s="14" t="s">
        <v>39</v>
      </c>
      <c r="BJ6" s="14" t="s">
        <v>40</v>
      </c>
      <c r="BK6" s="14" t="s">
        <v>43</v>
      </c>
      <c r="BL6" s="14" t="s">
        <v>44</v>
      </c>
      <c r="BM6" s="14" t="s">
        <v>45</v>
      </c>
      <c r="BN6" s="14" t="s">
        <v>46</v>
      </c>
    </row>
    <row r="7" spans="1:66">
      <c r="A7" s="6"/>
      <c r="B7" s="10"/>
      <c r="C7" s="46"/>
      <c r="D7" s="49"/>
      <c r="M7" s="19"/>
      <c r="N7" s="18"/>
      <c r="O7" s="19"/>
      <c r="P7" s="18"/>
      <c r="Q7" s="18"/>
      <c r="R7" s="18"/>
      <c r="S7" s="18"/>
      <c r="T7" s="18"/>
      <c r="U7" s="19"/>
      <c r="V7" s="18"/>
      <c r="W7" s="19"/>
      <c r="X7" s="18"/>
      <c r="Y7" s="18"/>
      <c r="Z7" s="18"/>
      <c r="AA7" s="18"/>
      <c r="AB7" s="18"/>
      <c r="AC7" s="18"/>
      <c r="AD7" s="18"/>
      <c r="AE7" s="18"/>
      <c r="AF7" s="18"/>
      <c r="AG7" s="19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</row>
    <row r="8" spans="1:66">
      <c r="A8" s="8"/>
      <c r="B8" s="45">
        <v>1</v>
      </c>
      <c r="C8" s="47">
        <v>39</v>
      </c>
      <c r="D8" s="47">
        <v>202</v>
      </c>
      <c r="E8" s="34">
        <v>14.700000000000001</v>
      </c>
      <c r="F8" s="50">
        <v>0</v>
      </c>
      <c r="G8" s="34">
        <v>0</v>
      </c>
      <c r="H8" s="48">
        <v>0</v>
      </c>
      <c r="I8" s="34">
        <v>0</v>
      </c>
      <c r="J8" s="36">
        <v>0</v>
      </c>
      <c r="K8" s="34">
        <v>9.2000000000000011</v>
      </c>
      <c r="L8" s="50">
        <v>0</v>
      </c>
      <c r="M8" s="34">
        <v>3.8</v>
      </c>
      <c r="N8" s="36">
        <v>0</v>
      </c>
      <c r="O8" s="36">
        <v>0</v>
      </c>
      <c r="P8" s="35">
        <v>0</v>
      </c>
      <c r="Q8" s="35">
        <v>0</v>
      </c>
      <c r="R8" s="35">
        <v>0</v>
      </c>
      <c r="S8" s="35">
        <v>0</v>
      </c>
      <c r="T8" s="36">
        <v>0</v>
      </c>
      <c r="U8" s="34">
        <v>5</v>
      </c>
      <c r="V8" s="36">
        <v>0</v>
      </c>
      <c r="W8" s="34">
        <v>164</v>
      </c>
      <c r="X8" s="53">
        <v>17800000</v>
      </c>
      <c r="Y8" s="36">
        <v>0</v>
      </c>
      <c r="Z8" s="36">
        <v>0</v>
      </c>
      <c r="AA8" s="36">
        <v>0</v>
      </c>
      <c r="AB8" s="36">
        <v>0</v>
      </c>
      <c r="AC8" s="36">
        <v>0</v>
      </c>
      <c r="AD8" s="36">
        <v>0</v>
      </c>
      <c r="AE8" s="36">
        <v>0</v>
      </c>
      <c r="AF8" s="36">
        <v>0</v>
      </c>
      <c r="AG8" s="34">
        <v>554.99999999999989</v>
      </c>
      <c r="AH8" s="36">
        <v>0</v>
      </c>
      <c r="AI8" s="36">
        <v>0</v>
      </c>
      <c r="AJ8" s="36">
        <v>0</v>
      </c>
      <c r="AK8" s="36">
        <v>0</v>
      </c>
      <c r="AL8" s="36">
        <v>0</v>
      </c>
      <c r="AM8" s="36">
        <v>0</v>
      </c>
      <c r="AN8" s="36">
        <v>0</v>
      </c>
      <c r="AO8" s="36">
        <v>0</v>
      </c>
      <c r="AP8" s="36">
        <v>0</v>
      </c>
      <c r="AQ8" s="36">
        <v>0</v>
      </c>
      <c r="AR8" s="18">
        <v>0</v>
      </c>
      <c r="AS8" s="18">
        <v>0</v>
      </c>
      <c r="AT8" s="18">
        <v>0</v>
      </c>
      <c r="AU8" s="18">
        <v>0</v>
      </c>
      <c r="AV8" s="18">
        <v>0</v>
      </c>
      <c r="AW8" s="18">
        <v>0</v>
      </c>
      <c r="AX8" s="18">
        <v>0</v>
      </c>
      <c r="AY8" s="18">
        <v>0</v>
      </c>
      <c r="AZ8" s="18">
        <v>0</v>
      </c>
      <c r="BA8" s="18">
        <v>0</v>
      </c>
      <c r="BB8" s="18">
        <v>0</v>
      </c>
      <c r="BC8" s="18">
        <v>0</v>
      </c>
      <c r="BD8" s="18">
        <v>0</v>
      </c>
      <c r="BE8" s="18">
        <v>0</v>
      </c>
      <c r="BF8" s="18">
        <v>0</v>
      </c>
      <c r="BG8" s="18">
        <v>0</v>
      </c>
      <c r="BH8" s="18">
        <v>0</v>
      </c>
      <c r="BI8" s="18">
        <v>0</v>
      </c>
      <c r="BJ8" s="18">
        <v>0</v>
      </c>
      <c r="BK8" s="18">
        <v>0</v>
      </c>
      <c r="BL8" s="18">
        <v>0</v>
      </c>
      <c r="BM8" s="18">
        <v>0</v>
      </c>
      <c r="BN8" s="18">
        <v>0</v>
      </c>
    </row>
    <row r="9" spans="1:66">
      <c r="A9" s="8"/>
      <c r="B9" s="45">
        <v>2</v>
      </c>
      <c r="C9" s="47">
        <v>41</v>
      </c>
      <c r="D9" s="47">
        <v>228</v>
      </c>
      <c r="E9" s="34">
        <v>15.500000000000002</v>
      </c>
      <c r="F9" s="48">
        <v>0</v>
      </c>
      <c r="G9" s="51">
        <v>0</v>
      </c>
      <c r="H9" s="34">
        <v>0</v>
      </c>
      <c r="I9" s="34">
        <v>0</v>
      </c>
      <c r="J9" s="36">
        <v>0</v>
      </c>
      <c r="K9" s="34">
        <v>8.8000000000000007</v>
      </c>
      <c r="L9" s="50">
        <v>0</v>
      </c>
      <c r="M9" s="34">
        <v>5.0999999999999996</v>
      </c>
      <c r="N9" s="36">
        <v>0</v>
      </c>
      <c r="O9" s="36">
        <v>0</v>
      </c>
      <c r="P9" s="35">
        <v>0</v>
      </c>
      <c r="Q9" s="35">
        <v>0</v>
      </c>
      <c r="R9" s="35">
        <v>0</v>
      </c>
      <c r="S9" s="35">
        <v>0</v>
      </c>
      <c r="T9" s="36">
        <v>0</v>
      </c>
      <c r="U9" s="34">
        <v>6.1</v>
      </c>
      <c r="V9" s="36">
        <v>0</v>
      </c>
      <c r="W9" s="34">
        <v>140</v>
      </c>
      <c r="X9" s="36">
        <v>0</v>
      </c>
      <c r="Y9" s="36">
        <v>0</v>
      </c>
      <c r="Z9" s="36">
        <v>0</v>
      </c>
      <c r="AA9" s="36">
        <v>0</v>
      </c>
      <c r="AB9" s="36">
        <v>0</v>
      </c>
      <c r="AC9" s="36">
        <v>0</v>
      </c>
      <c r="AD9" s="36">
        <v>0</v>
      </c>
      <c r="AE9" s="36">
        <v>0</v>
      </c>
      <c r="AF9" s="36">
        <v>0</v>
      </c>
      <c r="AG9" s="34">
        <v>380</v>
      </c>
      <c r="AH9" s="36">
        <v>0</v>
      </c>
      <c r="AI9" s="36">
        <v>0</v>
      </c>
      <c r="AJ9" s="36">
        <v>0</v>
      </c>
      <c r="AK9" s="36">
        <v>0</v>
      </c>
      <c r="AL9" s="36">
        <v>0</v>
      </c>
      <c r="AM9" s="36">
        <v>0</v>
      </c>
      <c r="AN9" s="36">
        <v>0</v>
      </c>
      <c r="AO9" s="36">
        <v>0</v>
      </c>
      <c r="AP9" s="36">
        <v>0</v>
      </c>
      <c r="AQ9" s="36">
        <v>0</v>
      </c>
      <c r="AR9" s="18">
        <v>0</v>
      </c>
      <c r="AS9" s="18">
        <v>0</v>
      </c>
      <c r="AT9" s="18">
        <v>0</v>
      </c>
      <c r="AU9" s="18">
        <v>0</v>
      </c>
      <c r="AV9" s="18">
        <v>0</v>
      </c>
      <c r="AW9" s="18">
        <v>0</v>
      </c>
      <c r="AX9" s="18">
        <v>0</v>
      </c>
      <c r="AY9" s="18">
        <v>0</v>
      </c>
      <c r="AZ9" s="18">
        <v>0</v>
      </c>
      <c r="BA9" s="18">
        <v>0</v>
      </c>
      <c r="BB9" s="18">
        <v>0</v>
      </c>
      <c r="BC9" s="18">
        <v>0</v>
      </c>
      <c r="BD9" s="18">
        <v>0</v>
      </c>
      <c r="BE9" s="18">
        <v>0</v>
      </c>
      <c r="BF9" s="18">
        <v>0</v>
      </c>
      <c r="BG9" s="18">
        <v>0</v>
      </c>
      <c r="BH9" s="18">
        <v>0</v>
      </c>
      <c r="BI9" s="18">
        <v>0</v>
      </c>
      <c r="BJ9" s="18">
        <v>0</v>
      </c>
      <c r="BK9" s="18">
        <v>0</v>
      </c>
      <c r="BL9" s="18">
        <v>0</v>
      </c>
      <c r="BM9" s="18">
        <v>0</v>
      </c>
      <c r="BN9" s="18">
        <v>0</v>
      </c>
    </row>
    <row r="10" spans="1:66">
      <c r="A10" s="8"/>
      <c r="B10" s="45">
        <v>3</v>
      </c>
      <c r="C10" s="47">
        <v>55</v>
      </c>
      <c r="D10" s="47">
        <v>231</v>
      </c>
      <c r="E10" s="34">
        <v>14.8</v>
      </c>
      <c r="F10" s="48">
        <v>0</v>
      </c>
      <c r="G10" s="34">
        <v>0</v>
      </c>
      <c r="H10" s="34">
        <v>0</v>
      </c>
      <c r="I10" s="34">
        <v>0</v>
      </c>
      <c r="J10" s="36">
        <v>0</v>
      </c>
      <c r="K10" s="34">
        <v>9.5</v>
      </c>
      <c r="L10" s="50">
        <v>0</v>
      </c>
      <c r="M10" s="34">
        <v>3.9000000000000004</v>
      </c>
      <c r="N10" s="36">
        <v>0</v>
      </c>
      <c r="O10" s="36">
        <v>0</v>
      </c>
      <c r="P10" s="35">
        <v>0</v>
      </c>
      <c r="Q10" s="35">
        <v>0</v>
      </c>
      <c r="R10" s="35">
        <v>0</v>
      </c>
      <c r="S10" s="35">
        <v>0</v>
      </c>
      <c r="T10" s="36">
        <v>0</v>
      </c>
      <c r="U10" s="34">
        <v>5.3000000000000007</v>
      </c>
      <c r="V10" s="36">
        <v>0</v>
      </c>
      <c r="W10" s="34">
        <v>172</v>
      </c>
      <c r="X10" s="36">
        <v>0</v>
      </c>
      <c r="Y10" s="36">
        <v>0</v>
      </c>
      <c r="Z10" s="36">
        <v>0</v>
      </c>
      <c r="AA10" s="36">
        <v>0</v>
      </c>
      <c r="AB10" s="36">
        <v>0</v>
      </c>
      <c r="AC10" s="36">
        <v>0</v>
      </c>
      <c r="AD10" s="36">
        <v>0</v>
      </c>
      <c r="AE10" s="36">
        <v>0</v>
      </c>
      <c r="AF10" s="36">
        <v>0</v>
      </c>
      <c r="AG10" s="34">
        <v>415</v>
      </c>
      <c r="AH10" s="36">
        <v>0</v>
      </c>
      <c r="AI10" s="36">
        <v>0</v>
      </c>
      <c r="AJ10" s="36">
        <v>0</v>
      </c>
      <c r="AK10" s="36">
        <v>0</v>
      </c>
      <c r="AL10" s="36">
        <v>0</v>
      </c>
      <c r="AM10" s="36">
        <v>0</v>
      </c>
      <c r="AN10" s="36">
        <v>0</v>
      </c>
      <c r="AO10" s="36">
        <v>0</v>
      </c>
      <c r="AP10" s="36">
        <v>0</v>
      </c>
      <c r="AQ10" s="36">
        <v>0</v>
      </c>
      <c r="AR10" s="18">
        <v>0</v>
      </c>
      <c r="AS10" s="18">
        <v>0</v>
      </c>
      <c r="AT10" s="18">
        <v>0</v>
      </c>
      <c r="AU10" s="18">
        <v>0</v>
      </c>
      <c r="AV10" s="18">
        <v>0</v>
      </c>
      <c r="AW10" s="18">
        <v>0</v>
      </c>
      <c r="AX10" s="18">
        <v>0</v>
      </c>
      <c r="AY10" s="18">
        <v>0</v>
      </c>
      <c r="AZ10" s="18">
        <v>0</v>
      </c>
      <c r="BA10" s="18">
        <v>0</v>
      </c>
      <c r="BB10" s="18">
        <v>0</v>
      </c>
      <c r="BC10" s="18">
        <v>0</v>
      </c>
      <c r="BD10" s="18">
        <v>0</v>
      </c>
      <c r="BE10" s="18">
        <v>0</v>
      </c>
      <c r="BF10" s="18">
        <v>0</v>
      </c>
      <c r="BG10" s="18">
        <v>0</v>
      </c>
      <c r="BH10" s="18">
        <v>0</v>
      </c>
      <c r="BI10" s="18">
        <v>0</v>
      </c>
      <c r="BJ10" s="18">
        <v>0</v>
      </c>
      <c r="BK10" s="18">
        <v>0</v>
      </c>
      <c r="BL10" s="18">
        <v>0</v>
      </c>
      <c r="BM10" s="18">
        <v>0</v>
      </c>
      <c r="BN10" s="18">
        <v>0</v>
      </c>
    </row>
    <row r="11" spans="1:66">
      <c r="A11" s="8"/>
      <c r="B11" s="45">
        <v>4</v>
      </c>
      <c r="C11" s="47">
        <v>54</v>
      </c>
      <c r="D11" s="47">
        <v>235</v>
      </c>
      <c r="E11" s="34">
        <v>15</v>
      </c>
      <c r="F11" s="48">
        <v>0</v>
      </c>
      <c r="G11" s="34">
        <v>0</v>
      </c>
      <c r="H11" s="34">
        <v>0</v>
      </c>
      <c r="I11" s="34">
        <v>0</v>
      </c>
      <c r="J11" s="36">
        <v>0</v>
      </c>
      <c r="K11" s="34">
        <v>9.8000000000000007</v>
      </c>
      <c r="L11" s="50">
        <v>0</v>
      </c>
      <c r="M11" s="34">
        <v>6</v>
      </c>
      <c r="N11" s="36">
        <v>0</v>
      </c>
      <c r="O11" s="36">
        <v>0</v>
      </c>
      <c r="P11" s="35">
        <v>0</v>
      </c>
      <c r="Q11" s="35">
        <v>0</v>
      </c>
      <c r="R11" s="35">
        <v>0</v>
      </c>
      <c r="S11" s="35">
        <v>0</v>
      </c>
      <c r="T11" s="36">
        <v>0</v>
      </c>
      <c r="U11" s="34">
        <v>5.2</v>
      </c>
      <c r="V11" s="36">
        <v>0</v>
      </c>
      <c r="W11" s="34">
        <v>144</v>
      </c>
      <c r="X11" s="36">
        <v>0</v>
      </c>
      <c r="Y11" s="36">
        <v>0</v>
      </c>
      <c r="Z11" s="36">
        <v>0</v>
      </c>
      <c r="AA11" s="36">
        <v>0</v>
      </c>
      <c r="AB11" s="36">
        <v>0</v>
      </c>
      <c r="AC11" s="36">
        <v>0</v>
      </c>
      <c r="AD11" s="36">
        <v>0</v>
      </c>
      <c r="AE11" s="36">
        <v>0</v>
      </c>
      <c r="AF11" s="36">
        <v>0</v>
      </c>
      <c r="AG11" s="34">
        <v>385</v>
      </c>
      <c r="AH11" s="36">
        <v>0</v>
      </c>
      <c r="AI11" s="36">
        <v>0</v>
      </c>
      <c r="AJ11" s="36">
        <v>0</v>
      </c>
      <c r="AK11" s="36">
        <v>0</v>
      </c>
      <c r="AL11" s="36">
        <v>0</v>
      </c>
      <c r="AM11" s="36">
        <v>0</v>
      </c>
      <c r="AN11" s="36">
        <v>0</v>
      </c>
      <c r="AO11" s="36">
        <v>0</v>
      </c>
      <c r="AP11" s="36">
        <v>0</v>
      </c>
      <c r="AQ11" s="36">
        <v>0</v>
      </c>
      <c r="AR11" s="18">
        <v>0</v>
      </c>
      <c r="AS11" s="18">
        <v>0</v>
      </c>
      <c r="AT11" s="18">
        <v>0</v>
      </c>
      <c r="AU11" s="18">
        <v>0</v>
      </c>
      <c r="AV11" s="18">
        <v>0</v>
      </c>
      <c r="AW11" s="18">
        <v>0</v>
      </c>
      <c r="AX11" s="18">
        <v>0</v>
      </c>
      <c r="AY11" s="18">
        <v>0</v>
      </c>
      <c r="AZ11" s="18">
        <v>0</v>
      </c>
      <c r="BA11" s="18">
        <v>0</v>
      </c>
      <c r="BB11" s="18">
        <v>0</v>
      </c>
      <c r="BC11" s="18">
        <v>0</v>
      </c>
      <c r="BD11" s="18">
        <v>0</v>
      </c>
      <c r="BE11" s="18">
        <v>0</v>
      </c>
      <c r="BF11" s="18">
        <v>0</v>
      </c>
      <c r="BG11" s="18">
        <v>0</v>
      </c>
      <c r="BH11" s="18">
        <v>0</v>
      </c>
      <c r="BI11" s="18">
        <v>0</v>
      </c>
      <c r="BJ11" s="18">
        <v>0</v>
      </c>
      <c r="BK11" s="18">
        <v>0</v>
      </c>
      <c r="BL11" s="18">
        <v>0</v>
      </c>
      <c r="BM11" s="18">
        <v>0</v>
      </c>
      <c r="BN11" s="18">
        <v>0</v>
      </c>
    </row>
    <row r="12" spans="1:66">
      <c r="A12" s="8"/>
      <c r="B12" s="45">
        <v>5</v>
      </c>
      <c r="C12" s="47">
        <v>55</v>
      </c>
      <c r="D12" s="47">
        <v>353</v>
      </c>
      <c r="E12" s="34">
        <v>13.299999999999999</v>
      </c>
      <c r="F12" s="48">
        <v>0</v>
      </c>
      <c r="G12" s="34">
        <v>0</v>
      </c>
      <c r="H12" s="34">
        <v>0</v>
      </c>
      <c r="I12" s="34">
        <v>0</v>
      </c>
      <c r="J12" s="36">
        <v>0</v>
      </c>
      <c r="K12" s="34">
        <v>8.1999999999999993</v>
      </c>
      <c r="L12" s="50">
        <v>0</v>
      </c>
      <c r="M12" s="34">
        <v>4.2</v>
      </c>
      <c r="N12" s="36">
        <v>0</v>
      </c>
      <c r="O12" s="36">
        <v>0</v>
      </c>
      <c r="P12" s="35">
        <v>0</v>
      </c>
      <c r="Q12" s="35">
        <v>0</v>
      </c>
      <c r="R12" s="35">
        <v>0</v>
      </c>
      <c r="S12" s="35">
        <v>0</v>
      </c>
      <c r="T12" s="36">
        <v>0</v>
      </c>
      <c r="U12" s="34">
        <v>6.2</v>
      </c>
      <c r="V12" s="36">
        <v>0</v>
      </c>
      <c r="W12" s="34">
        <v>208</v>
      </c>
      <c r="X12" s="36">
        <v>0</v>
      </c>
      <c r="Y12" s="36">
        <v>0</v>
      </c>
      <c r="Z12" s="36">
        <v>0</v>
      </c>
      <c r="AA12" s="36">
        <v>0</v>
      </c>
      <c r="AB12" s="36">
        <v>0</v>
      </c>
      <c r="AC12" s="36">
        <v>0</v>
      </c>
      <c r="AD12" s="36">
        <v>0</v>
      </c>
      <c r="AE12" s="36">
        <v>0</v>
      </c>
      <c r="AF12" s="36">
        <v>0</v>
      </c>
      <c r="AG12" s="34">
        <v>444.99999999999994</v>
      </c>
      <c r="AH12" s="36">
        <v>0</v>
      </c>
      <c r="AI12" s="36">
        <v>0</v>
      </c>
      <c r="AJ12" s="36">
        <v>0</v>
      </c>
      <c r="AK12" s="36">
        <v>0</v>
      </c>
      <c r="AL12" s="36">
        <v>0</v>
      </c>
      <c r="AM12" s="36">
        <v>0</v>
      </c>
      <c r="AN12" s="36">
        <v>0</v>
      </c>
      <c r="AO12" s="36">
        <v>0</v>
      </c>
      <c r="AP12" s="36">
        <v>0</v>
      </c>
      <c r="AQ12" s="36">
        <v>0</v>
      </c>
      <c r="AR12" s="18">
        <v>0</v>
      </c>
      <c r="AS12" s="18">
        <v>0</v>
      </c>
      <c r="AT12" s="18">
        <v>0</v>
      </c>
      <c r="AU12" s="18">
        <v>0</v>
      </c>
      <c r="AV12" s="18">
        <v>0</v>
      </c>
      <c r="AW12" s="18">
        <v>0</v>
      </c>
      <c r="AX12" s="18">
        <v>0</v>
      </c>
      <c r="AY12" s="18">
        <v>0</v>
      </c>
      <c r="AZ12" s="18">
        <v>0</v>
      </c>
      <c r="BA12" s="18">
        <v>0</v>
      </c>
      <c r="BB12" s="18">
        <v>0</v>
      </c>
      <c r="BC12" s="18">
        <v>0</v>
      </c>
      <c r="BD12" s="18">
        <v>0</v>
      </c>
      <c r="BE12" s="18">
        <v>0</v>
      </c>
      <c r="BF12" s="18">
        <v>0</v>
      </c>
      <c r="BG12" s="18">
        <v>0</v>
      </c>
      <c r="BH12" s="18">
        <v>0</v>
      </c>
      <c r="BI12" s="18">
        <v>0</v>
      </c>
      <c r="BJ12" s="18">
        <v>0</v>
      </c>
      <c r="BK12" s="18">
        <v>0</v>
      </c>
      <c r="BL12" s="18">
        <v>0</v>
      </c>
      <c r="BM12" s="18">
        <v>0</v>
      </c>
      <c r="BN12" s="18">
        <v>0</v>
      </c>
    </row>
    <row r="13" spans="1:66">
      <c r="A13" s="8"/>
      <c r="B13" s="45">
        <v>6</v>
      </c>
      <c r="C13" s="47">
        <v>52</v>
      </c>
      <c r="D13" s="47">
        <v>275</v>
      </c>
      <c r="E13" s="34">
        <v>16</v>
      </c>
      <c r="F13" s="48">
        <v>0</v>
      </c>
      <c r="G13" s="34">
        <v>0</v>
      </c>
      <c r="H13" s="34">
        <v>0</v>
      </c>
      <c r="I13" s="34">
        <v>0</v>
      </c>
      <c r="J13" s="36">
        <v>0</v>
      </c>
      <c r="K13" s="34">
        <v>7.4</v>
      </c>
      <c r="L13" s="50">
        <v>0</v>
      </c>
      <c r="M13" s="34">
        <v>4.4000000000000004</v>
      </c>
      <c r="N13" s="36">
        <v>0</v>
      </c>
      <c r="O13" s="36">
        <v>0</v>
      </c>
      <c r="P13" s="35">
        <v>0</v>
      </c>
      <c r="Q13" s="35">
        <v>0</v>
      </c>
      <c r="R13" s="35">
        <v>0</v>
      </c>
      <c r="S13" s="35">
        <v>0</v>
      </c>
      <c r="T13" s="36">
        <v>0</v>
      </c>
      <c r="U13" s="34">
        <v>5</v>
      </c>
      <c r="V13" s="36">
        <v>0</v>
      </c>
      <c r="W13" s="34">
        <v>164</v>
      </c>
      <c r="X13" s="36">
        <v>0</v>
      </c>
      <c r="Y13" s="36">
        <v>0</v>
      </c>
      <c r="Z13" s="36">
        <v>0</v>
      </c>
      <c r="AA13" s="36">
        <v>0</v>
      </c>
      <c r="AB13" s="36">
        <v>0</v>
      </c>
      <c r="AC13" s="36">
        <v>0</v>
      </c>
      <c r="AD13" s="36">
        <v>0</v>
      </c>
      <c r="AE13" s="36">
        <v>0</v>
      </c>
      <c r="AF13" s="36">
        <v>0</v>
      </c>
      <c r="AG13" s="34">
        <v>375</v>
      </c>
      <c r="AH13" s="36">
        <v>0</v>
      </c>
      <c r="AI13" s="36">
        <v>0</v>
      </c>
      <c r="AJ13" s="36">
        <v>0</v>
      </c>
      <c r="AK13" s="36">
        <v>0</v>
      </c>
      <c r="AL13" s="36">
        <v>0</v>
      </c>
      <c r="AM13" s="36">
        <v>0</v>
      </c>
      <c r="AN13" s="36">
        <v>0</v>
      </c>
      <c r="AO13" s="36">
        <v>0</v>
      </c>
      <c r="AP13" s="36">
        <v>0</v>
      </c>
      <c r="AQ13" s="36">
        <v>0</v>
      </c>
      <c r="AR13" s="18">
        <v>0</v>
      </c>
      <c r="AS13" s="18">
        <v>0</v>
      </c>
      <c r="AT13" s="18">
        <v>0</v>
      </c>
      <c r="AU13" s="18">
        <v>0</v>
      </c>
      <c r="AV13" s="18">
        <v>0</v>
      </c>
      <c r="AW13" s="18">
        <v>0</v>
      </c>
      <c r="AX13" s="18">
        <v>0</v>
      </c>
      <c r="AY13" s="18">
        <v>0</v>
      </c>
      <c r="AZ13" s="18">
        <v>0</v>
      </c>
      <c r="BA13" s="18">
        <v>0</v>
      </c>
      <c r="BB13" s="18">
        <v>0</v>
      </c>
      <c r="BC13" s="18">
        <v>0</v>
      </c>
      <c r="BD13" s="18">
        <v>0</v>
      </c>
      <c r="BE13" s="18">
        <v>0</v>
      </c>
      <c r="BF13" s="18">
        <v>0</v>
      </c>
      <c r="BG13" s="18">
        <v>0</v>
      </c>
      <c r="BH13" s="18">
        <v>0</v>
      </c>
      <c r="BI13" s="18">
        <v>0</v>
      </c>
      <c r="BJ13" s="18">
        <v>0</v>
      </c>
      <c r="BK13" s="18">
        <v>0</v>
      </c>
      <c r="BL13" s="18">
        <v>0</v>
      </c>
      <c r="BM13" s="18">
        <v>0</v>
      </c>
      <c r="BN13" s="18">
        <v>0</v>
      </c>
    </row>
    <row r="14" spans="1:66">
      <c r="A14" s="8"/>
      <c r="B14" s="45">
        <v>7</v>
      </c>
      <c r="C14" s="47">
        <v>47</v>
      </c>
      <c r="D14" s="47">
        <v>221</v>
      </c>
      <c r="E14" s="34">
        <v>17.200000000000003</v>
      </c>
      <c r="F14" s="48">
        <v>0</v>
      </c>
      <c r="G14" s="34">
        <v>0</v>
      </c>
      <c r="H14" s="34">
        <v>0</v>
      </c>
      <c r="I14" s="34">
        <v>0</v>
      </c>
      <c r="J14" s="36">
        <v>0</v>
      </c>
      <c r="K14" s="34">
        <v>10.8</v>
      </c>
      <c r="L14" s="50">
        <v>0</v>
      </c>
      <c r="M14" s="34">
        <v>5</v>
      </c>
      <c r="N14" s="36">
        <v>0</v>
      </c>
      <c r="O14" s="36">
        <v>0</v>
      </c>
      <c r="P14" s="35">
        <v>0</v>
      </c>
      <c r="Q14" s="35">
        <v>0</v>
      </c>
      <c r="R14" s="35">
        <v>0</v>
      </c>
      <c r="S14" s="35">
        <v>0</v>
      </c>
      <c r="T14" s="36">
        <v>0</v>
      </c>
      <c r="U14" s="34">
        <v>4.9000000000000004</v>
      </c>
      <c r="V14" s="36">
        <v>0</v>
      </c>
      <c r="W14" s="34">
        <v>124</v>
      </c>
      <c r="X14" s="36">
        <v>0</v>
      </c>
      <c r="Y14" s="36">
        <v>0</v>
      </c>
      <c r="Z14" s="36">
        <v>0</v>
      </c>
      <c r="AA14" s="36">
        <v>0</v>
      </c>
      <c r="AB14" s="36">
        <v>0</v>
      </c>
      <c r="AC14" s="36">
        <v>0</v>
      </c>
      <c r="AD14" s="36">
        <v>0</v>
      </c>
      <c r="AE14" s="36">
        <v>0</v>
      </c>
      <c r="AF14" s="36">
        <v>0</v>
      </c>
      <c r="AG14" s="34">
        <v>390</v>
      </c>
      <c r="AH14" s="36">
        <v>0</v>
      </c>
      <c r="AI14" s="36">
        <v>0</v>
      </c>
      <c r="AJ14" s="36">
        <v>0</v>
      </c>
      <c r="AK14" s="36">
        <v>0</v>
      </c>
      <c r="AL14" s="36">
        <v>0</v>
      </c>
      <c r="AM14" s="36">
        <v>0</v>
      </c>
      <c r="AN14" s="36">
        <v>0</v>
      </c>
      <c r="AO14" s="36">
        <v>0</v>
      </c>
      <c r="AP14" s="36">
        <v>0</v>
      </c>
      <c r="AQ14" s="36">
        <v>0</v>
      </c>
      <c r="AR14" s="18">
        <v>0</v>
      </c>
      <c r="AS14" s="18">
        <v>0</v>
      </c>
      <c r="AT14" s="18">
        <v>0</v>
      </c>
      <c r="AU14" s="18">
        <v>0</v>
      </c>
      <c r="AV14" s="18">
        <v>0</v>
      </c>
      <c r="AW14" s="18">
        <v>0</v>
      </c>
      <c r="AX14" s="18">
        <v>0</v>
      </c>
      <c r="AY14" s="18">
        <v>0</v>
      </c>
      <c r="AZ14" s="18">
        <v>0</v>
      </c>
      <c r="BA14" s="18">
        <v>0</v>
      </c>
      <c r="BB14" s="18">
        <v>0</v>
      </c>
      <c r="BC14" s="18">
        <v>0</v>
      </c>
      <c r="BD14" s="18">
        <v>0</v>
      </c>
      <c r="BE14" s="18">
        <v>0</v>
      </c>
      <c r="BF14" s="18">
        <v>0</v>
      </c>
      <c r="BG14" s="18">
        <v>0</v>
      </c>
      <c r="BH14" s="18">
        <v>0</v>
      </c>
      <c r="BI14" s="18">
        <v>0</v>
      </c>
      <c r="BJ14" s="18">
        <v>0</v>
      </c>
      <c r="BK14" s="18">
        <v>0</v>
      </c>
      <c r="BL14" s="18">
        <v>0</v>
      </c>
      <c r="BM14" s="18">
        <v>0</v>
      </c>
      <c r="BN14" s="18">
        <v>0</v>
      </c>
    </row>
    <row r="15" spans="1:66">
      <c r="A15" s="8"/>
      <c r="B15" s="45">
        <v>8</v>
      </c>
      <c r="C15" s="47">
        <v>42</v>
      </c>
      <c r="D15" s="47">
        <v>207</v>
      </c>
      <c r="E15" s="34">
        <v>13</v>
      </c>
      <c r="F15" s="48">
        <v>0</v>
      </c>
      <c r="G15" s="34">
        <v>0</v>
      </c>
      <c r="H15" s="34">
        <v>0</v>
      </c>
      <c r="I15" s="34">
        <v>0</v>
      </c>
      <c r="J15" s="36">
        <v>0</v>
      </c>
      <c r="K15" s="34">
        <v>7.3</v>
      </c>
      <c r="L15" s="50">
        <v>0</v>
      </c>
      <c r="M15" s="34">
        <v>3.9000000000000004</v>
      </c>
      <c r="N15" s="36">
        <v>0</v>
      </c>
      <c r="O15" s="36">
        <v>0</v>
      </c>
      <c r="P15" s="35">
        <v>0</v>
      </c>
      <c r="Q15" s="35">
        <v>0</v>
      </c>
      <c r="R15" s="35">
        <v>0</v>
      </c>
      <c r="S15" s="35">
        <v>0</v>
      </c>
      <c r="T15" s="36">
        <v>0</v>
      </c>
      <c r="U15" s="34">
        <v>6.3000000000000007</v>
      </c>
      <c r="V15" s="36">
        <v>0</v>
      </c>
      <c r="W15" s="34">
        <v>128</v>
      </c>
      <c r="X15" s="36">
        <v>0</v>
      </c>
      <c r="Y15" s="36">
        <v>0</v>
      </c>
      <c r="Z15" s="36">
        <v>0</v>
      </c>
      <c r="AA15" s="36">
        <v>0</v>
      </c>
      <c r="AB15" s="36">
        <v>0</v>
      </c>
      <c r="AC15" s="36">
        <v>0</v>
      </c>
      <c r="AD15" s="36">
        <v>0</v>
      </c>
      <c r="AE15" s="36">
        <v>0</v>
      </c>
      <c r="AF15" s="36">
        <v>0</v>
      </c>
      <c r="AG15" s="34">
        <v>390</v>
      </c>
      <c r="AH15" s="36">
        <v>0</v>
      </c>
      <c r="AI15" s="36">
        <v>0</v>
      </c>
      <c r="AJ15" s="36">
        <v>0</v>
      </c>
      <c r="AK15" s="36">
        <v>0</v>
      </c>
      <c r="AL15" s="36">
        <v>0</v>
      </c>
      <c r="AM15" s="36">
        <v>0</v>
      </c>
      <c r="AN15" s="36">
        <v>0</v>
      </c>
      <c r="AO15" s="36">
        <v>0</v>
      </c>
      <c r="AP15" s="36">
        <v>0</v>
      </c>
      <c r="AQ15" s="36">
        <v>0</v>
      </c>
      <c r="AR15" s="18">
        <v>0</v>
      </c>
      <c r="AS15" s="18">
        <v>0</v>
      </c>
      <c r="AT15" s="18">
        <v>0</v>
      </c>
      <c r="AU15" s="18">
        <v>0</v>
      </c>
      <c r="AV15" s="18">
        <v>0</v>
      </c>
      <c r="AW15" s="18">
        <v>0</v>
      </c>
      <c r="AX15" s="18">
        <v>0</v>
      </c>
      <c r="AY15" s="18">
        <v>0</v>
      </c>
      <c r="AZ15" s="18">
        <v>0</v>
      </c>
      <c r="BA15" s="18">
        <v>0</v>
      </c>
      <c r="BB15" s="18">
        <v>0</v>
      </c>
      <c r="BC15" s="18">
        <v>0</v>
      </c>
      <c r="BD15" s="18">
        <v>0</v>
      </c>
      <c r="BE15" s="18">
        <v>0</v>
      </c>
      <c r="BF15" s="18">
        <v>0</v>
      </c>
      <c r="BG15" s="18">
        <v>0</v>
      </c>
      <c r="BH15" s="18">
        <v>0</v>
      </c>
      <c r="BI15" s="18">
        <v>0</v>
      </c>
      <c r="BJ15" s="18">
        <v>0</v>
      </c>
      <c r="BK15" s="18">
        <v>0</v>
      </c>
      <c r="BL15" s="18">
        <v>0</v>
      </c>
      <c r="BM15" s="18">
        <v>0</v>
      </c>
      <c r="BN15" s="18">
        <v>0</v>
      </c>
    </row>
    <row r="16" spans="1:66">
      <c r="A16" s="8"/>
      <c r="B16" s="45">
        <v>9</v>
      </c>
      <c r="C16" s="47">
        <v>43</v>
      </c>
      <c r="D16" s="47">
        <v>194</v>
      </c>
      <c r="E16" s="34">
        <v>14.3</v>
      </c>
      <c r="F16" s="48">
        <v>0</v>
      </c>
      <c r="G16" s="34">
        <v>0</v>
      </c>
      <c r="H16" s="34">
        <v>0</v>
      </c>
      <c r="I16" s="34">
        <v>0</v>
      </c>
      <c r="J16" s="36">
        <v>0</v>
      </c>
      <c r="K16" s="34">
        <v>9</v>
      </c>
      <c r="L16" s="50">
        <v>0</v>
      </c>
      <c r="M16" s="34">
        <v>5</v>
      </c>
      <c r="N16" s="36">
        <v>0</v>
      </c>
      <c r="O16" s="36">
        <v>0</v>
      </c>
      <c r="P16" s="35">
        <v>0</v>
      </c>
      <c r="Q16" s="35">
        <v>0</v>
      </c>
      <c r="R16" s="35">
        <v>0</v>
      </c>
      <c r="S16" s="35">
        <v>0</v>
      </c>
      <c r="T16" s="36">
        <v>0</v>
      </c>
      <c r="U16" s="34">
        <v>5.2</v>
      </c>
      <c r="V16" s="36">
        <v>0</v>
      </c>
      <c r="W16" s="34">
        <v>168</v>
      </c>
      <c r="X16" s="36">
        <v>0</v>
      </c>
      <c r="Y16" s="36">
        <v>0</v>
      </c>
      <c r="Z16" s="36">
        <v>0</v>
      </c>
      <c r="AA16" s="36">
        <v>0</v>
      </c>
      <c r="AB16" s="36">
        <v>0</v>
      </c>
      <c r="AC16" s="36">
        <v>0</v>
      </c>
      <c r="AD16" s="36">
        <v>0</v>
      </c>
      <c r="AE16" s="36">
        <v>0</v>
      </c>
      <c r="AF16" s="36">
        <v>0</v>
      </c>
      <c r="AG16" s="34">
        <v>419.99999999999994</v>
      </c>
      <c r="AH16" s="36">
        <v>0</v>
      </c>
      <c r="AI16" s="36">
        <v>0</v>
      </c>
      <c r="AJ16" s="36">
        <v>0</v>
      </c>
      <c r="AK16" s="36">
        <v>0</v>
      </c>
      <c r="AL16" s="36">
        <v>0</v>
      </c>
      <c r="AM16" s="36">
        <v>0</v>
      </c>
      <c r="AN16" s="36">
        <v>0</v>
      </c>
      <c r="AO16" s="36">
        <v>0</v>
      </c>
      <c r="AP16" s="36">
        <v>0</v>
      </c>
      <c r="AQ16" s="36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18">
        <v>0</v>
      </c>
      <c r="BI16" s="18">
        <v>0</v>
      </c>
      <c r="BJ16" s="18">
        <v>0</v>
      </c>
      <c r="BK16" s="18">
        <v>0</v>
      </c>
      <c r="BL16" s="18">
        <v>0</v>
      </c>
      <c r="BM16" s="18">
        <v>0</v>
      </c>
      <c r="BN16" s="18">
        <v>0</v>
      </c>
    </row>
    <row r="17" spans="1:66">
      <c r="A17" s="8"/>
      <c r="B17" s="45">
        <v>10</v>
      </c>
      <c r="C17" s="47">
        <v>50</v>
      </c>
      <c r="D17" s="47">
        <v>265</v>
      </c>
      <c r="E17" s="34">
        <v>15.399999999999999</v>
      </c>
      <c r="F17" s="48">
        <v>0</v>
      </c>
      <c r="G17" s="34">
        <v>0</v>
      </c>
      <c r="H17" s="34">
        <v>0</v>
      </c>
      <c r="I17" s="34">
        <v>0</v>
      </c>
      <c r="J17" s="36">
        <v>0</v>
      </c>
      <c r="K17" s="34">
        <v>10.6</v>
      </c>
      <c r="L17" s="50">
        <v>0</v>
      </c>
      <c r="M17" s="34">
        <v>4.0999999999999996</v>
      </c>
      <c r="N17" s="36">
        <v>0</v>
      </c>
      <c r="O17" s="36">
        <v>0</v>
      </c>
      <c r="P17" s="35">
        <v>0</v>
      </c>
      <c r="Q17" s="35">
        <v>0</v>
      </c>
      <c r="R17" s="35">
        <v>0</v>
      </c>
      <c r="S17" s="35">
        <v>0</v>
      </c>
      <c r="T17" s="36">
        <v>0</v>
      </c>
      <c r="U17" s="34">
        <v>4.9000000000000004</v>
      </c>
      <c r="V17" s="36">
        <v>0</v>
      </c>
      <c r="W17" s="34">
        <v>192</v>
      </c>
      <c r="X17" s="36">
        <v>0</v>
      </c>
      <c r="Y17" s="36">
        <v>0</v>
      </c>
      <c r="Z17" s="36">
        <v>0</v>
      </c>
      <c r="AA17" s="36">
        <v>0</v>
      </c>
      <c r="AB17" s="36">
        <v>0</v>
      </c>
      <c r="AC17" s="36">
        <v>0</v>
      </c>
      <c r="AD17" s="36">
        <v>0</v>
      </c>
      <c r="AE17" s="36">
        <v>0</v>
      </c>
      <c r="AF17" s="36">
        <v>0</v>
      </c>
      <c r="AG17" s="34">
        <v>440</v>
      </c>
      <c r="AH17" s="36">
        <v>0</v>
      </c>
      <c r="AI17" s="36">
        <v>0</v>
      </c>
      <c r="AJ17" s="36">
        <v>0</v>
      </c>
      <c r="AK17" s="36">
        <v>0</v>
      </c>
      <c r="AL17" s="36">
        <v>0</v>
      </c>
      <c r="AM17" s="36">
        <v>0</v>
      </c>
      <c r="AN17" s="36">
        <v>0</v>
      </c>
      <c r="AO17" s="36">
        <v>0</v>
      </c>
      <c r="AP17" s="36">
        <v>0</v>
      </c>
      <c r="AQ17" s="36">
        <v>0</v>
      </c>
      <c r="AR17" s="18">
        <v>0</v>
      </c>
      <c r="AS17" s="18">
        <v>0</v>
      </c>
      <c r="AT17" s="18">
        <v>0</v>
      </c>
      <c r="AU17" s="18">
        <v>0</v>
      </c>
      <c r="AV17" s="18">
        <v>0</v>
      </c>
      <c r="AW17" s="18">
        <v>0</v>
      </c>
      <c r="AX17" s="18">
        <v>0</v>
      </c>
      <c r="AY17" s="18">
        <v>0</v>
      </c>
      <c r="AZ17" s="18">
        <v>0</v>
      </c>
      <c r="BA17" s="18">
        <v>0</v>
      </c>
      <c r="BB17" s="18">
        <v>0</v>
      </c>
      <c r="BC17" s="18">
        <v>0</v>
      </c>
      <c r="BD17" s="18">
        <v>0</v>
      </c>
      <c r="BE17" s="18">
        <v>0</v>
      </c>
      <c r="BF17" s="18">
        <v>0</v>
      </c>
      <c r="BG17" s="18">
        <v>0</v>
      </c>
      <c r="BH17" s="18">
        <v>0</v>
      </c>
      <c r="BI17" s="18">
        <v>0</v>
      </c>
      <c r="BJ17" s="18">
        <v>0</v>
      </c>
      <c r="BK17" s="18">
        <v>0</v>
      </c>
      <c r="BL17" s="18">
        <v>0</v>
      </c>
      <c r="BM17" s="18">
        <v>0</v>
      </c>
      <c r="BN17" s="18">
        <v>0</v>
      </c>
    </row>
    <row r="18" spans="1:66">
      <c r="A18" s="8"/>
      <c r="B18" s="45">
        <v>11</v>
      </c>
      <c r="C18" s="47">
        <v>52</v>
      </c>
      <c r="D18" s="47">
        <v>261</v>
      </c>
      <c r="E18" s="34">
        <v>14.2</v>
      </c>
      <c r="F18" s="48">
        <v>0</v>
      </c>
      <c r="G18" s="34">
        <v>0</v>
      </c>
      <c r="H18" s="34">
        <v>0</v>
      </c>
      <c r="I18" s="34">
        <v>0</v>
      </c>
      <c r="J18" s="36">
        <v>0</v>
      </c>
      <c r="K18" s="34">
        <v>7.1</v>
      </c>
      <c r="L18" s="50">
        <v>0</v>
      </c>
      <c r="M18" s="34">
        <v>3.8</v>
      </c>
      <c r="N18" s="36">
        <v>0</v>
      </c>
      <c r="O18" s="36">
        <v>0</v>
      </c>
      <c r="P18" s="35">
        <v>0</v>
      </c>
      <c r="Q18" s="35">
        <v>0</v>
      </c>
      <c r="R18" s="35">
        <v>0</v>
      </c>
      <c r="S18" s="35">
        <v>0</v>
      </c>
      <c r="T18" s="36">
        <v>0</v>
      </c>
      <c r="U18" s="34">
        <v>6.3000000000000007</v>
      </c>
      <c r="V18" s="36">
        <v>0</v>
      </c>
      <c r="W18" s="34">
        <v>164</v>
      </c>
      <c r="X18" s="36">
        <v>0</v>
      </c>
      <c r="Y18" s="36">
        <v>0</v>
      </c>
      <c r="Z18" s="36">
        <v>0</v>
      </c>
      <c r="AA18" s="36">
        <v>0</v>
      </c>
      <c r="AB18" s="36">
        <v>0</v>
      </c>
      <c r="AC18" s="36">
        <v>0</v>
      </c>
      <c r="AD18" s="36">
        <v>0</v>
      </c>
      <c r="AE18" s="36">
        <v>0</v>
      </c>
      <c r="AF18" s="36">
        <v>0</v>
      </c>
      <c r="AG18" s="34">
        <v>469.99999999999994</v>
      </c>
      <c r="AH18" s="36">
        <v>0</v>
      </c>
      <c r="AI18" s="36">
        <v>0</v>
      </c>
      <c r="AJ18" s="36">
        <v>0</v>
      </c>
      <c r="AK18" s="36">
        <v>0</v>
      </c>
      <c r="AL18" s="36">
        <v>0</v>
      </c>
      <c r="AM18" s="36">
        <v>0</v>
      </c>
      <c r="AN18" s="36">
        <v>0</v>
      </c>
      <c r="AO18" s="36">
        <v>0</v>
      </c>
      <c r="AP18" s="36">
        <v>0</v>
      </c>
      <c r="AQ18" s="36">
        <v>0</v>
      </c>
      <c r="AR18" s="18">
        <v>0</v>
      </c>
      <c r="AS18" s="18">
        <v>0</v>
      </c>
      <c r="AT18" s="18">
        <v>0</v>
      </c>
      <c r="AU18" s="18">
        <v>0</v>
      </c>
      <c r="AV18" s="18">
        <v>0</v>
      </c>
      <c r="AW18" s="18">
        <v>0</v>
      </c>
      <c r="AX18" s="18">
        <v>0</v>
      </c>
      <c r="AY18" s="18">
        <v>0</v>
      </c>
      <c r="AZ18" s="18">
        <v>0</v>
      </c>
      <c r="BA18" s="18">
        <v>0</v>
      </c>
      <c r="BB18" s="18">
        <v>0</v>
      </c>
      <c r="BC18" s="18">
        <v>0</v>
      </c>
      <c r="BD18" s="18">
        <v>0</v>
      </c>
      <c r="BE18" s="18">
        <v>0</v>
      </c>
      <c r="BF18" s="18">
        <v>0</v>
      </c>
      <c r="BG18" s="18">
        <v>0</v>
      </c>
      <c r="BH18" s="18">
        <v>0</v>
      </c>
      <c r="BI18" s="18">
        <v>0</v>
      </c>
      <c r="BJ18" s="18">
        <v>0</v>
      </c>
      <c r="BK18" s="18">
        <v>0</v>
      </c>
      <c r="BL18" s="18">
        <v>0</v>
      </c>
      <c r="BM18" s="18">
        <v>0</v>
      </c>
      <c r="BN18" s="18">
        <v>0</v>
      </c>
    </row>
    <row r="19" spans="1:66">
      <c r="A19" s="8"/>
      <c r="B19" s="45">
        <v>12</v>
      </c>
      <c r="C19" s="47">
        <v>49</v>
      </c>
      <c r="D19" s="47">
        <v>219</v>
      </c>
      <c r="E19" s="34">
        <v>12.7</v>
      </c>
      <c r="F19" s="48">
        <v>0</v>
      </c>
      <c r="G19" s="34">
        <v>0</v>
      </c>
      <c r="H19" s="34">
        <v>0</v>
      </c>
      <c r="I19" s="34">
        <v>0</v>
      </c>
      <c r="J19" s="36">
        <v>0</v>
      </c>
      <c r="K19" s="34">
        <v>7.7</v>
      </c>
      <c r="L19" s="50">
        <v>0</v>
      </c>
      <c r="M19" s="34">
        <v>4.9000000000000004</v>
      </c>
      <c r="N19" s="36">
        <v>0</v>
      </c>
      <c r="O19" s="36">
        <v>0</v>
      </c>
      <c r="P19" s="35">
        <v>0</v>
      </c>
      <c r="Q19" s="35">
        <v>0</v>
      </c>
      <c r="R19" s="35">
        <v>0</v>
      </c>
      <c r="S19" s="35">
        <v>0</v>
      </c>
      <c r="T19" s="36">
        <v>0</v>
      </c>
      <c r="U19" s="34">
        <v>5.0999999999999996</v>
      </c>
      <c r="V19" s="36">
        <v>0</v>
      </c>
      <c r="W19" s="34">
        <v>160</v>
      </c>
      <c r="X19" s="36">
        <v>0</v>
      </c>
      <c r="Y19" s="36">
        <v>0</v>
      </c>
      <c r="Z19" s="36">
        <v>0</v>
      </c>
      <c r="AA19" s="36">
        <v>0</v>
      </c>
      <c r="AB19" s="36">
        <v>0</v>
      </c>
      <c r="AC19" s="36">
        <v>0</v>
      </c>
      <c r="AD19" s="36">
        <v>0</v>
      </c>
      <c r="AE19" s="36">
        <v>0</v>
      </c>
      <c r="AF19" s="36">
        <v>0</v>
      </c>
      <c r="AG19" s="34">
        <v>500</v>
      </c>
      <c r="AH19" s="36">
        <v>0</v>
      </c>
      <c r="AI19" s="36">
        <v>0</v>
      </c>
      <c r="AJ19" s="36">
        <v>0</v>
      </c>
      <c r="AK19" s="36">
        <v>0</v>
      </c>
      <c r="AL19" s="36">
        <v>0</v>
      </c>
      <c r="AM19" s="36">
        <v>0</v>
      </c>
      <c r="AN19" s="36">
        <v>0</v>
      </c>
      <c r="AO19" s="36">
        <v>0</v>
      </c>
      <c r="AP19" s="36">
        <v>0</v>
      </c>
      <c r="AQ19" s="36">
        <v>0</v>
      </c>
      <c r="AR19" s="18">
        <v>0</v>
      </c>
      <c r="AS19" s="18">
        <v>0</v>
      </c>
      <c r="AT19" s="18">
        <v>0</v>
      </c>
      <c r="AU19" s="18">
        <v>0</v>
      </c>
      <c r="AV19" s="18">
        <v>0</v>
      </c>
      <c r="AW19" s="18">
        <v>0</v>
      </c>
      <c r="AX19" s="18">
        <v>0</v>
      </c>
      <c r="AY19" s="18">
        <v>0</v>
      </c>
      <c r="AZ19" s="18">
        <v>0</v>
      </c>
      <c r="BA19" s="18">
        <v>0</v>
      </c>
      <c r="BB19" s="18">
        <v>0</v>
      </c>
      <c r="BC19" s="18">
        <v>0</v>
      </c>
      <c r="BD19" s="18">
        <v>0</v>
      </c>
      <c r="BE19" s="18">
        <v>0</v>
      </c>
      <c r="BF19" s="18">
        <v>0</v>
      </c>
      <c r="BG19" s="18">
        <v>0</v>
      </c>
      <c r="BH19" s="18">
        <v>0</v>
      </c>
      <c r="BI19" s="18">
        <v>0</v>
      </c>
      <c r="BJ19" s="18">
        <v>0</v>
      </c>
      <c r="BK19" s="18">
        <v>0</v>
      </c>
      <c r="BL19" s="18">
        <v>0</v>
      </c>
      <c r="BM19" s="18">
        <v>0</v>
      </c>
      <c r="BN19" s="18">
        <v>0</v>
      </c>
    </row>
    <row r="20" spans="1:66">
      <c r="A20" s="8"/>
      <c r="B20" s="45">
        <v>13</v>
      </c>
      <c r="C20" s="47">
        <v>49</v>
      </c>
      <c r="D20" s="47">
        <v>278</v>
      </c>
      <c r="E20" s="34">
        <v>14.5</v>
      </c>
      <c r="F20" s="48">
        <v>0</v>
      </c>
      <c r="G20" s="34">
        <v>0</v>
      </c>
      <c r="H20" s="34">
        <v>0</v>
      </c>
      <c r="I20" s="34">
        <v>0</v>
      </c>
      <c r="J20" s="36">
        <v>0</v>
      </c>
      <c r="K20" s="34">
        <v>10.8</v>
      </c>
      <c r="L20" s="50">
        <v>0</v>
      </c>
      <c r="M20" s="34">
        <v>4.0999999999999996</v>
      </c>
      <c r="N20" s="36">
        <v>0</v>
      </c>
      <c r="O20" s="36">
        <v>0</v>
      </c>
      <c r="P20" s="35">
        <v>0</v>
      </c>
      <c r="Q20" s="35">
        <v>0</v>
      </c>
      <c r="R20" s="35">
        <v>0</v>
      </c>
      <c r="S20" s="35">
        <v>0</v>
      </c>
      <c r="T20" s="36">
        <v>0</v>
      </c>
      <c r="U20" s="34">
        <v>5</v>
      </c>
      <c r="V20" s="36">
        <v>0</v>
      </c>
      <c r="W20" s="34">
        <v>144</v>
      </c>
      <c r="X20" s="36">
        <v>0</v>
      </c>
      <c r="Y20" s="36">
        <v>0</v>
      </c>
      <c r="Z20" s="36">
        <v>0</v>
      </c>
      <c r="AA20" s="36">
        <v>0</v>
      </c>
      <c r="AB20" s="36">
        <v>0</v>
      </c>
      <c r="AC20" s="36">
        <v>0</v>
      </c>
      <c r="AD20" s="36">
        <v>0</v>
      </c>
      <c r="AE20" s="36">
        <v>0</v>
      </c>
      <c r="AF20" s="36">
        <v>0</v>
      </c>
      <c r="AG20" s="34">
        <v>520</v>
      </c>
      <c r="AH20" s="36">
        <v>0</v>
      </c>
      <c r="AI20" s="36">
        <v>0</v>
      </c>
      <c r="AJ20" s="36">
        <v>0</v>
      </c>
      <c r="AK20" s="36">
        <v>0</v>
      </c>
      <c r="AL20" s="36">
        <v>0</v>
      </c>
      <c r="AM20" s="36">
        <v>0</v>
      </c>
      <c r="AN20" s="36">
        <v>0</v>
      </c>
      <c r="AO20" s="36">
        <v>0</v>
      </c>
      <c r="AP20" s="36">
        <v>0</v>
      </c>
      <c r="AQ20" s="36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8">
        <v>0</v>
      </c>
      <c r="BI20" s="18">
        <v>0</v>
      </c>
      <c r="BJ20" s="18">
        <v>0</v>
      </c>
      <c r="BK20" s="18">
        <v>0</v>
      </c>
      <c r="BL20" s="18">
        <v>0</v>
      </c>
      <c r="BM20" s="18">
        <v>0</v>
      </c>
      <c r="BN20" s="18">
        <v>0</v>
      </c>
    </row>
    <row r="21" spans="1:66">
      <c r="A21" s="8"/>
      <c r="B21" s="45">
        <v>14</v>
      </c>
      <c r="C21" s="47">
        <v>48</v>
      </c>
      <c r="D21" s="47">
        <v>235</v>
      </c>
      <c r="E21" s="34">
        <v>15.800000000000002</v>
      </c>
      <c r="F21" s="48">
        <v>0</v>
      </c>
      <c r="G21" s="34">
        <v>0</v>
      </c>
      <c r="H21" s="34">
        <v>0</v>
      </c>
      <c r="I21" s="34">
        <v>0</v>
      </c>
      <c r="J21" s="36">
        <v>0</v>
      </c>
      <c r="K21" s="34">
        <v>7.5</v>
      </c>
      <c r="L21" s="50">
        <v>0</v>
      </c>
      <c r="M21" s="34">
        <v>4.7</v>
      </c>
      <c r="N21" s="36">
        <v>0</v>
      </c>
      <c r="O21" s="36">
        <v>0</v>
      </c>
      <c r="P21" s="35">
        <v>0</v>
      </c>
      <c r="Q21" s="35">
        <v>0</v>
      </c>
      <c r="R21" s="35">
        <v>0</v>
      </c>
      <c r="S21" s="35">
        <v>0</v>
      </c>
      <c r="T21" s="36">
        <v>0</v>
      </c>
      <c r="U21" s="34">
        <v>6.2</v>
      </c>
      <c r="V21" s="36">
        <v>0</v>
      </c>
      <c r="W21" s="34">
        <v>188</v>
      </c>
      <c r="X21" s="36">
        <v>0</v>
      </c>
      <c r="Y21" s="36">
        <v>0</v>
      </c>
      <c r="Z21" s="36">
        <v>0</v>
      </c>
      <c r="AA21" s="36">
        <v>0</v>
      </c>
      <c r="AB21" s="36">
        <v>0</v>
      </c>
      <c r="AC21" s="36">
        <v>0</v>
      </c>
      <c r="AD21" s="36">
        <v>0</v>
      </c>
      <c r="AE21" s="36">
        <v>0</v>
      </c>
      <c r="AF21" s="36">
        <v>0</v>
      </c>
      <c r="AG21" s="34">
        <v>380</v>
      </c>
      <c r="AH21" s="36">
        <v>0</v>
      </c>
      <c r="AI21" s="36">
        <v>0</v>
      </c>
      <c r="AJ21" s="36">
        <v>0</v>
      </c>
      <c r="AK21" s="36">
        <v>0</v>
      </c>
      <c r="AL21" s="36">
        <v>0</v>
      </c>
      <c r="AM21" s="36">
        <v>0</v>
      </c>
      <c r="AN21" s="36">
        <v>0</v>
      </c>
      <c r="AO21" s="36">
        <v>0</v>
      </c>
      <c r="AP21" s="36">
        <v>0</v>
      </c>
      <c r="AQ21" s="36">
        <v>0</v>
      </c>
      <c r="AR21" s="18">
        <v>0</v>
      </c>
      <c r="AS21" s="18">
        <v>0</v>
      </c>
      <c r="AT21" s="18">
        <v>0</v>
      </c>
      <c r="AU21" s="18">
        <v>0</v>
      </c>
      <c r="AV21" s="18">
        <v>0</v>
      </c>
      <c r="AW21" s="18">
        <v>0</v>
      </c>
      <c r="AX21" s="18">
        <v>0</v>
      </c>
      <c r="AY21" s="18">
        <v>0</v>
      </c>
      <c r="AZ21" s="18">
        <v>0</v>
      </c>
      <c r="BA21" s="18">
        <v>0</v>
      </c>
      <c r="BB21" s="18">
        <v>0</v>
      </c>
      <c r="BC21" s="18">
        <v>0</v>
      </c>
      <c r="BD21" s="18">
        <v>0</v>
      </c>
      <c r="BE21" s="18">
        <v>0</v>
      </c>
      <c r="BF21" s="18">
        <v>0</v>
      </c>
      <c r="BG21" s="18">
        <v>0</v>
      </c>
      <c r="BH21" s="18">
        <v>0</v>
      </c>
      <c r="BI21" s="18">
        <v>0</v>
      </c>
      <c r="BJ21" s="18">
        <v>0</v>
      </c>
      <c r="BK21" s="18">
        <v>0</v>
      </c>
      <c r="BL21" s="18">
        <v>0</v>
      </c>
      <c r="BM21" s="18">
        <v>0</v>
      </c>
      <c r="BN21" s="18">
        <v>0</v>
      </c>
    </row>
    <row r="22" spans="1:66">
      <c r="A22" s="8"/>
      <c r="B22" s="45">
        <v>15</v>
      </c>
      <c r="C22" s="47">
        <v>48</v>
      </c>
      <c r="D22" s="47">
        <v>241</v>
      </c>
      <c r="E22" s="34">
        <v>14.1</v>
      </c>
      <c r="F22" s="48">
        <v>0</v>
      </c>
      <c r="G22" s="34">
        <v>0</v>
      </c>
      <c r="H22" s="34">
        <v>0</v>
      </c>
      <c r="I22" s="34">
        <v>0</v>
      </c>
      <c r="J22" s="36">
        <v>0</v>
      </c>
      <c r="K22" s="34">
        <v>8</v>
      </c>
      <c r="L22" s="50">
        <v>0</v>
      </c>
      <c r="M22" s="34">
        <v>3.6</v>
      </c>
      <c r="N22" s="36">
        <v>0</v>
      </c>
      <c r="O22" s="36">
        <v>0</v>
      </c>
      <c r="P22" s="35">
        <v>0</v>
      </c>
      <c r="Q22" s="35">
        <v>0</v>
      </c>
      <c r="R22" s="35">
        <v>0</v>
      </c>
      <c r="S22" s="35">
        <v>0</v>
      </c>
      <c r="T22" s="36">
        <v>0</v>
      </c>
      <c r="U22" s="34">
        <v>5.3000000000000007</v>
      </c>
      <c r="V22" s="36">
        <v>0</v>
      </c>
      <c r="W22" s="34">
        <v>168</v>
      </c>
      <c r="X22" s="36">
        <v>0</v>
      </c>
      <c r="Y22" s="36">
        <v>0</v>
      </c>
      <c r="Z22" s="36">
        <v>0</v>
      </c>
      <c r="AA22" s="36">
        <v>0</v>
      </c>
      <c r="AB22" s="36">
        <v>0</v>
      </c>
      <c r="AC22" s="36">
        <v>0</v>
      </c>
      <c r="AD22" s="36">
        <v>0</v>
      </c>
      <c r="AE22" s="36">
        <v>0</v>
      </c>
      <c r="AF22" s="36">
        <v>0</v>
      </c>
      <c r="AG22" s="34">
        <v>444.99999999999994</v>
      </c>
      <c r="AH22" s="36">
        <v>0</v>
      </c>
      <c r="AI22" s="36">
        <v>0</v>
      </c>
      <c r="AJ22" s="36">
        <v>0</v>
      </c>
      <c r="AK22" s="36">
        <v>0</v>
      </c>
      <c r="AL22" s="36">
        <v>0</v>
      </c>
      <c r="AM22" s="36">
        <v>0</v>
      </c>
      <c r="AN22" s="36">
        <v>0</v>
      </c>
      <c r="AO22" s="36">
        <v>0</v>
      </c>
      <c r="AP22" s="36">
        <v>0</v>
      </c>
      <c r="AQ22" s="36">
        <v>0</v>
      </c>
      <c r="AR22" s="18">
        <v>0</v>
      </c>
      <c r="AS22" s="18">
        <v>0</v>
      </c>
      <c r="AT22" s="18">
        <v>0</v>
      </c>
      <c r="AU22" s="18">
        <v>0</v>
      </c>
      <c r="AV22" s="18">
        <v>0</v>
      </c>
      <c r="AW22" s="18">
        <v>0</v>
      </c>
      <c r="AX22" s="18">
        <v>0</v>
      </c>
      <c r="AY22" s="18">
        <v>0</v>
      </c>
      <c r="AZ22" s="18">
        <v>0</v>
      </c>
      <c r="BA22" s="18">
        <v>0</v>
      </c>
      <c r="BB22" s="18">
        <v>0</v>
      </c>
      <c r="BC22" s="18">
        <v>0</v>
      </c>
      <c r="BD22" s="18">
        <v>0</v>
      </c>
      <c r="BE22" s="18">
        <v>0</v>
      </c>
      <c r="BF22" s="18">
        <v>0</v>
      </c>
      <c r="BG22" s="18">
        <v>0</v>
      </c>
      <c r="BH22" s="18">
        <v>0</v>
      </c>
      <c r="BI22" s="18">
        <v>0</v>
      </c>
      <c r="BJ22" s="18">
        <v>0</v>
      </c>
      <c r="BK22" s="18">
        <v>0</v>
      </c>
      <c r="BL22" s="18">
        <v>0</v>
      </c>
      <c r="BM22" s="18">
        <v>0</v>
      </c>
      <c r="BN22" s="18">
        <v>0</v>
      </c>
    </row>
    <row r="23" spans="1:66">
      <c r="A23" s="8"/>
      <c r="B23" s="45">
        <v>16</v>
      </c>
      <c r="C23" s="47">
        <v>47</v>
      </c>
      <c r="D23" s="47">
        <v>254</v>
      </c>
      <c r="E23" s="34">
        <v>12.7</v>
      </c>
      <c r="F23" s="48">
        <v>0</v>
      </c>
      <c r="G23" s="34">
        <v>0</v>
      </c>
      <c r="H23" s="34">
        <v>0</v>
      </c>
      <c r="I23" s="34">
        <v>0</v>
      </c>
      <c r="J23" s="36">
        <v>0</v>
      </c>
      <c r="K23" s="34">
        <v>9</v>
      </c>
      <c r="L23" s="50">
        <v>0</v>
      </c>
      <c r="M23" s="34">
        <v>4.2</v>
      </c>
      <c r="N23" s="36">
        <v>0</v>
      </c>
      <c r="O23" s="36">
        <v>0</v>
      </c>
      <c r="P23" s="35">
        <v>0</v>
      </c>
      <c r="Q23" s="35">
        <v>0</v>
      </c>
      <c r="R23" s="35">
        <v>0</v>
      </c>
      <c r="S23" s="35">
        <v>0</v>
      </c>
      <c r="T23" s="36">
        <v>0</v>
      </c>
      <c r="U23" s="34">
        <v>5.5</v>
      </c>
      <c r="V23" s="36">
        <v>0</v>
      </c>
      <c r="W23" s="34">
        <v>140</v>
      </c>
      <c r="X23" s="36">
        <v>0</v>
      </c>
      <c r="Y23" s="36">
        <v>0</v>
      </c>
      <c r="Z23" s="36">
        <v>0</v>
      </c>
      <c r="AA23" s="36">
        <v>0</v>
      </c>
      <c r="AB23" s="36">
        <v>0</v>
      </c>
      <c r="AC23" s="36">
        <v>0</v>
      </c>
      <c r="AD23" s="36">
        <v>0</v>
      </c>
      <c r="AE23" s="36">
        <v>0</v>
      </c>
      <c r="AF23" s="36">
        <v>0</v>
      </c>
      <c r="AG23" s="34">
        <v>350</v>
      </c>
      <c r="AH23" s="36">
        <v>0</v>
      </c>
      <c r="AI23" s="36">
        <v>0</v>
      </c>
      <c r="AJ23" s="36">
        <v>0</v>
      </c>
      <c r="AK23" s="36">
        <v>0</v>
      </c>
      <c r="AL23" s="36">
        <v>0</v>
      </c>
      <c r="AM23" s="36">
        <v>0</v>
      </c>
      <c r="AN23" s="36">
        <v>0</v>
      </c>
      <c r="AO23" s="36">
        <v>0</v>
      </c>
      <c r="AP23" s="36">
        <v>0</v>
      </c>
      <c r="AQ23" s="36">
        <v>0</v>
      </c>
      <c r="AR23" s="18">
        <v>0</v>
      </c>
      <c r="AS23" s="18">
        <v>0</v>
      </c>
      <c r="AT23" s="18">
        <v>0</v>
      </c>
      <c r="AU23" s="18">
        <v>0</v>
      </c>
      <c r="AV23" s="18">
        <v>0</v>
      </c>
      <c r="AW23" s="18">
        <v>0</v>
      </c>
      <c r="AX23" s="18">
        <v>0</v>
      </c>
      <c r="AY23" s="18">
        <v>0</v>
      </c>
      <c r="AZ23" s="18">
        <v>0</v>
      </c>
      <c r="BA23" s="18">
        <v>0</v>
      </c>
      <c r="BB23" s="18">
        <v>0</v>
      </c>
      <c r="BC23" s="18">
        <v>0</v>
      </c>
      <c r="BD23" s="18">
        <v>0</v>
      </c>
      <c r="BE23" s="18">
        <v>0</v>
      </c>
      <c r="BF23" s="18">
        <v>0</v>
      </c>
      <c r="BG23" s="18">
        <v>0</v>
      </c>
      <c r="BH23" s="18">
        <v>0</v>
      </c>
      <c r="BI23" s="18">
        <v>0</v>
      </c>
      <c r="BJ23" s="18">
        <v>0</v>
      </c>
      <c r="BK23" s="18">
        <v>0</v>
      </c>
      <c r="BL23" s="18">
        <v>0</v>
      </c>
      <c r="BM23" s="18">
        <v>0</v>
      </c>
      <c r="BN23" s="18">
        <v>0</v>
      </c>
    </row>
    <row r="24" spans="1:66">
      <c r="A24" s="8"/>
      <c r="B24" s="45">
        <v>17</v>
      </c>
      <c r="C24" s="47">
        <v>52</v>
      </c>
      <c r="D24" s="47">
        <v>256</v>
      </c>
      <c r="E24" s="34">
        <v>13.6</v>
      </c>
      <c r="F24" s="48">
        <v>0</v>
      </c>
      <c r="G24" s="34">
        <v>0</v>
      </c>
      <c r="H24" s="34">
        <v>0</v>
      </c>
      <c r="I24" s="34">
        <v>0</v>
      </c>
      <c r="J24" s="36">
        <v>0</v>
      </c>
      <c r="K24" s="34">
        <v>9.2000000000000011</v>
      </c>
      <c r="L24" s="50">
        <v>0</v>
      </c>
      <c r="M24" s="34">
        <v>5.0999999999999996</v>
      </c>
      <c r="N24" s="36">
        <v>0</v>
      </c>
      <c r="O24" s="36">
        <v>0</v>
      </c>
      <c r="P24" s="35">
        <v>0</v>
      </c>
      <c r="Q24" s="35">
        <v>0</v>
      </c>
      <c r="R24" s="35">
        <v>0</v>
      </c>
      <c r="S24" s="35">
        <v>0</v>
      </c>
      <c r="T24" s="36">
        <v>0</v>
      </c>
      <c r="U24" s="34">
        <v>6.2</v>
      </c>
      <c r="V24" s="36">
        <v>0</v>
      </c>
      <c r="W24" s="34">
        <v>168</v>
      </c>
      <c r="X24" s="36">
        <v>0</v>
      </c>
      <c r="Y24" s="36">
        <v>0</v>
      </c>
      <c r="Z24" s="36">
        <v>0</v>
      </c>
      <c r="AA24" s="36">
        <v>0</v>
      </c>
      <c r="AB24" s="36">
        <v>0</v>
      </c>
      <c r="AC24" s="36">
        <v>0</v>
      </c>
      <c r="AD24" s="36">
        <v>0</v>
      </c>
      <c r="AE24" s="36">
        <v>0</v>
      </c>
      <c r="AF24" s="36">
        <v>0</v>
      </c>
      <c r="AG24" s="34">
        <v>335</v>
      </c>
      <c r="AH24" s="36">
        <v>0</v>
      </c>
      <c r="AI24" s="36">
        <v>0</v>
      </c>
      <c r="AJ24" s="36">
        <v>0</v>
      </c>
      <c r="AK24" s="36">
        <v>0</v>
      </c>
      <c r="AL24" s="36">
        <v>0</v>
      </c>
      <c r="AM24" s="36">
        <v>0</v>
      </c>
      <c r="AN24" s="36">
        <v>0</v>
      </c>
      <c r="AO24" s="36">
        <v>0</v>
      </c>
      <c r="AP24" s="36">
        <v>0</v>
      </c>
      <c r="AQ24" s="36">
        <v>0</v>
      </c>
      <c r="AR24" s="18">
        <v>0</v>
      </c>
      <c r="AS24" s="18">
        <v>0</v>
      </c>
      <c r="AT24" s="18">
        <v>0</v>
      </c>
      <c r="AU24" s="18">
        <v>0</v>
      </c>
      <c r="AV24" s="18">
        <v>0</v>
      </c>
      <c r="AW24" s="18">
        <v>0</v>
      </c>
      <c r="AX24" s="18">
        <v>0</v>
      </c>
      <c r="AY24" s="18">
        <v>0</v>
      </c>
      <c r="AZ24" s="18">
        <v>0</v>
      </c>
      <c r="BA24" s="18">
        <v>0</v>
      </c>
      <c r="BB24" s="18">
        <v>0</v>
      </c>
      <c r="BC24" s="18">
        <v>0</v>
      </c>
      <c r="BD24" s="18">
        <v>0</v>
      </c>
      <c r="BE24" s="18">
        <v>0</v>
      </c>
      <c r="BF24" s="18">
        <v>0</v>
      </c>
      <c r="BG24" s="18">
        <v>0</v>
      </c>
      <c r="BH24" s="18">
        <v>0</v>
      </c>
      <c r="BI24" s="18">
        <v>0</v>
      </c>
      <c r="BJ24" s="18">
        <v>0</v>
      </c>
      <c r="BK24" s="18">
        <v>0</v>
      </c>
      <c r="BL24" s="18">
        <v>0</v>
      </c>
      <c r="BM24" s="18">
        <v>0</v>
      </c>
      <c r="BN24" s="18">
        <v>0</v>
      </c>
    </row>
    <row r="25" spans="1:66">
      <c r="A25" s="8"/>
      <c r="B25" s="45">
        <v>18</v>
      </c>
      <c r="C25" s="47">
        <v>54</v>
      </c>
      <c r="D25" s="47">
        <v>280</v>
      </c>
      <c r="E25" s="34">
        <v>15.599999999999998</v>
      </c>
      <c r="F25" s="48">
        <v>0</v>
      </c>
      <c r="G25" s="34">
        <v>0</v>
      </c>
      <c r="H25" s="34">
        <v>0</v>
      </c>
      <c r="I25" s="34">
        <v>0</v>
      </c>
      <c r="J25" s="36">
        <v>0</v>
      </c>
      <c r="K25" s="34">
        <v>7.6</v>
      </c>
      <c r="L25" s="50">
        <v>0</v>
      </c>
      <c r="M25" s="34">
        <v>3.6</v>
      </c>
      <c r="N25" s="36">
        <v>0</v>
      </c>
      <c r="O25" s="36">
        <v>0</v>
      </c>
      <c r="P25" s="35">
        <v>0</v>
      </c>
      <c r="Q25" s="35">
        <v>0</v>
      </c>
      <c r="R25" s="35">
        <v>0</v>
      </c>
      <c r="S25" s="35">
        <v>0</v>
      </c>
      <c r="T25" s="36">
        <v>0</v>
      </c>
      <c r="U25" s="34">
        <v>5.0999999999999996</v>
      </c>
      <c r="V25" s="36">
        <v>0</v>
      </c>
      <c r="W25" s="34">
        <v>148</v>
      </c>
      <c r="X25" s="36">
        <v>0</v>
      </c>
      <c r="Y25" s="36">
        <v>0</v>
      </c>
      <c r="Z25" s="36">
        <v>0</v>
      </c>
      <c r="AA25" s="36">
        <v>0</v>
      </c>
      <c r="AB25" s="36">
        <v>0</v>
      </c>
      <c r="AC25" s="36">
        <v>0</v>
      </c>
      <c r="AD25" s="36">
        <v>0</v>
      </c>
      <c r="AE25" s="36">
        <v>0</v>
      </c>
      <c r="AF25" s="36">
        <v>0</v>
      </c>
      <c r="AG25" s="34">
        <v>330</v>
      </c>
      <c r="AH25" s="36">
        <v>0</v>
      </c>
      <c r="AI25" s="36">
        <v>0</v>
      </c>
      <c r="AJ25" s="36">
        <v>0</v>
      </c>
      <c r="AK25" s="36">
        <v>0</v>
      </c>
      <c r="AL25" s="36">
        <v>0</v>
      </c>
      <c r="AM25" s="36">
        <v>0</v>
      </c>
      <c r="AN25" s="36">
        <v>0</v>
      </c>
      <c r="AO25" s="36">
        <v>0</v>
      </c>
      <c r="AP25" s="36">
        <v>0</v>
      </c>
      <c r="AQ25" s="36">
        <v>0</v>
      </c>
      <c r="AR25" s="18">
        <v>0</v>
      </c>
      <c r="AS25" s="18">
        <v>0</v>
      </c>
      <c r="AT25" s="18">
        <v>0</v>
      </c>
      <c r="AU25" s="18">
        <v>0</v>
      </c>
      <c r="AV25" s="18">
        <v>0</v>
      </c>
      <c r="AW25" s="18">
        <v>0</v>
      </c>
      <c r="AX25" s="18">
        <v>0</v>
      </c>
      <c r="AY25" s="18">
        <v>0</v>
      </c>
      <c r="AZ25" s="18">
        <v>0</v>
      </c>
      <c r="BA25" s="18">
        <v>0</v>
      </c>
      <c r="BB25" s="18">
        <v>0</v>
      </c>
      <c r="BC25" s="18">
        <v>0</v>
      </c>
      <c r="BD25" s="18">
        <v>0</v>
      </c>
      <c r="BE25" s="18">
        <v>0</v>
      </c>
      <c r="BF25" s="18">
        <v>0</v>
      </c>
      <c r="BG25" s="18">
        <v>0</v>
      </c>
      <c r="BH25" s="18">
        <v>0</v>
      </c>
      <c r="BI25" s="18">
        <v>0</v>
      </c>
      <c r="BJ25" s="18">
        <v>0</v>
      </c>
      <c r="BK25" s="18">
        <v>0</v>
      </c>
      <c r="BL25" s="18">
        <v>0</v>
      </c>
      <c r="BM25" s="18">
        <v>0</v>
      </c>
      <c r="BN25" s="18">
        <v>0</v>
      </c>
    </row>
    <row r="26" spans="1:66">
      <c r="A26" s="8"/>
      <c r="B26" s="45">
        <v>19</v>
      </c>
      <c r="C26" s="47">
        <v>47</v>
      </c>
      <c r="D26" s="47">
        <v>200</v>
      </c>
      <c r="E26" s="34">
        <v>13</v>
      </c>
      <c r="F26" s="48">
        <v>0</v>
      </c>
      <c r="G26" s="34">
        <v>0</v>
      </c>
      <c r="H26" s="34">
        <v>0</v>
      </c>
      <c r="I26" s="34">
        <v>0</v>
      </c>
      <c r="J26" s="36">
        <v>0</v>
      </c>
      <c r="K26" s="34">
        <v>8.3000000000000007</v>
      </c>
      <c r="L26" s="50">
        <v>0</v>
      </c>
      <c r="M26" s="34">
        <v>4.9000000000000004</v>
      </c>
      <c r="N26" s="36">
        <v>0</v>
      </c>
      <c r="O26" s="36">
        <v>0</v>
      </c>
      <c r="P26" s="35">
        <v>0</v>
      </c>
      <c r="Q26" s="35">
        <v>0</v>
      </c>
      <c r="R26" s="35">
        <v>0</v>
      </c>
      <c r="S26" s="35">
        <v>0</v>
      </c>
      <c r="T26" s="36">
        <v>0</v>
      </c>
      <c r="U26" s="34">
        <v>5</v>
      </c>
      <c r="V26" s="36">
        <v>0</v>
      </c>
      <c r="W26" s="34">
        <v>192</v>
      </c>
      <c r="X26" s="36">
        <v>0</v>
      </c>
      <c r="Y26" s="36">
        <v>0</v>
      </c>
      <c r="Z26" s="36">
        <v>0</v>
      </c>
      <c r="AA26" s="36">
        <v>0</v>
      </c>
      <c r="AB26" s="36">
        <v>0</v>
      </c>
      <c r="AC26" s="36">
        <v>0</v>
      </c>
      <c r="AD26" s="36">
        <v>0</v>
      </c>
      <c r="AE26" s="36">
        <v>0</v>
      </c>
      <c r="AF26" s="36">
        <v>0</v>
      </c>
      <c r="AG26" s="34">
        <v>365</v>
      </c>
      <c r="AH26" s="36">
        <v>0</v>
      </c>
      <c r="AI26" s="36">
        <v>0</v>
      </c>
      <c r="AJ26" s="36">
        <v>0</v>
      </c>
      <c r="AK26" s="36">
        <v>0</v>
      </c>
      <c r="AL26" s="36">
        <v>0</v>
      </c>
      <c r="AM26" s="36">
        <v>0</v>
      </c>
      <c r="AN26" s="36">
        <v>0</v>
      </c>
      <c r="AO26" s="36">
        <v>0</v>
      </c>
      <c r="AP26" s="36">
        <v>0</v>
      </c>
      <c r="AQ26" s="36">
        <v>0</v>
      </c>
      <c r="AR26" s="18">
        <v>0</v>
      </c>
      <c r="AS26" s="18">
        <v>0</v>
      </c>
      <c r="AT26" s="18">
        <v>0</v>
      </c>
      <c r="AU26" s="18">
        <v>0</v>
      </c>
      <c r="AV26" s="18">
        <v>0</v>
      </c>
      <c r="AW26" s="18">
        <v>0</v>
      </c>
      <c r="AX26" s="18">
        <v>0</v>
      </c>
      <c r="AY26" s="18">
        <v>0</v>
      </c>
      <c r="AZ26" s="18">
        <v>0</v>
      </c>
      <c r="BA26" s="18">
        <v>0</v>
      </c>
      <c r="BB26" s="18">
        <v>0</v>
      </c>
      <c r="BC26" s="18">
        <v>0</v>
      </c>
      <c r="BD26" s="18">
        <v>0</v>
      </c>
      <c r="BE26" s="18">
        <v>0</v>
      </c>
      <c r="BF26" s="18">
        <v>0</v>
      </c>
      <c r="BG26" s="18">
        <v>0</v>
      </c>
      <c r="BH26" s="18">
        <v>0</v>
      </c>
      <c r="BI26" s="18">
        <v>0</v>
      </c>
      <c r="BJ26" s="18">
        <v>0</v>
      </c>
      <c r="BK26" s="18">
        <v>0</v>
      </c>
      <c r="BL26" s="18">
        <v>0</v>
      </c>
      <c r="BM26" s="18">
        <v>0</v>
      </c>
      <c r="BN26" s="18">
        <v>0</v>
      </c>
    </row>
    <row r="27" spans="1:66">
      <c r="A27" s="8"/>
      <c r="B27" s="45">
        <v>20</v>
      </c>
      <c r="C27" s="47">
        <v>54</v>
      </c>
      <c r="D27" s="47">
        <v>240</v>
      </c>
      <c r="E27" s="34">
        <v>13.000000000000002</v>
      </c>
      <c r="F27" s="48">
        <v>0</v>
      </c>
      <c r="G27" s="34">
        <v>0</v>
      </c>
      <c r="H27" s="34">
        <v>0</v>
      </c>
      <c r="I27" s="34">
        <v>0</v>
      </c>
      <c r="J27" s="36">
        <v>0</v>
      </c>
      <c r="K27" s="34">
        <v>6.9</v>
      </c>
      <c r="L27" s="50">
        <v>0</v>
      </c>
      <c r="M27" s="34">
        <v>2.6</v>
      </c>
      <c r="N27" s="36">
        <v>0</v>
      </c>
      <c r="O27" s="36">
        <v>0</v>
      </c>
      <c r="P27" s="35">
        <v>0</v>
      </c>
      <c r="Q27" s="35">
        <v>0</v>
      </c>
      <c r="R27" s="35">
        <v>0</v>
      </c>
      <c r="S27" s="35">
        <v>0</v>
      </c>
      <c r="T27" s="36">
        <v>0</v>
      </c>
      <c r="U27" s="34">
        <v>6.2</v>
      </c>
      <c r="V27" s="36">
        <v>0</v>
      </c>
      <c r="W27" s="34">
        <v>144</v>
      </c>
      <c r="X27" s="36">
        <v>0</v>
      </c>
      <c r="Y27" s="36">
        <v>0</v>
      </c>
      <c r="Z27" s="36">
        <v>0</v>
      </c>
      <c r="AA27" s="36">
        <v>0</v>
      </c>
      <c r="AB27" s="36">
        <v>0</v>
      </c>
      <c r="AC27" s="36">
        <v>0</v>
      </c>
      <c r="AD27" s="36">
        <v>0</v>
      </c>
      <c r="AE27" s="36">
        <v>0</v>
      </c>
      <c r="AF27" s="36">
        <v>0</v>
      </c>
      <c r="AG27" s="34">
        <v>410</v>
      </c>
      <c r="AH27" s="36">
        <v>0</v>
      </c>
      <c r="AI27" s="36">
        <v>0</v>
      </c>
      <c r="AJ27" s="36">
        <v>0</v>
      </c>
      <c r="AK27" s="36">
        <v>0</v>
      </c>
      <c r="AL27" s="36">
        <v>0</v>
      </c>
      <c r="AM27" s="36">
        <v>0</v>
      </c>
      <c r="AN27" s="36">
        <v>0</v>
      </c>
      <c r="AO27" s="36">
        <v>0</v>
      </c>
      <c r="AP27" s="36">
        <v>0</v>
      </c>
      <c r="AQ27" s="36">
        <v>0</v>
      </c>
      <c r="AR27" s="18">
        <v>0</v>
      </c>
      <c r="AS27" s="18">
        <v>0</v>
      </c>
      <c r="AT27" s="18">
        <v>0</v>
      </c>
      <c r="AU27" s="18">
        <v>0</v>
      </c>
      <c r="AV27" s="18">
        <v>0</v>
      </c>
      <c r="AW27" s="18">
        <v>0</v>
      </c>
      <c r="AX27" s="18">
        <v>0</v>
      </c>
      <c r="AY27" s="18">
        <v>0</v>
      </c>
      <c r="AZ27" s="18">
        <v>0</v>
      </c>
      <c r="BA27" s="18">
        <v>0</v>
      </c>
      <c r="BB27" s="18">
        <v>0</v>
      </c>
      <c r="BC27" s="18">
        <v>0</v>
      </c>
      <c r="BD27" s="18">
        <v>0</v>
      </c>
      <c r="BE27" s="18">
        <v>0</v>
      </c>
      <c r="BF27" s="18">
        <v>0</v>
      </c>
      <c r="BG27" s="18">
        <v>0</v>
      </c>
      <c r="BH27" s="18">
        <v>0</v>
      </c>
      <c r="BI27" s="18">
        <v>0</v>
      </c>
      <c r="BJ27" s="18">
        <v>0</v>
      </c>
      <c r="BK27" s="18">
        <v>0</v>
      </c>
      <c r="BL27" s="18">
        <v>0</v>
      </c>
      <c r="BM27" s="18">
        <v>0</v>
      </c>
      <c r="BN27" s="18">
        <v>0</v>
      </c>
    </row>
    <row r="28" spans="1:66">
      <c r="A28" s="8"/>
      <c r="B28" s="45">
        <v>21</v>
      </c>
      <c r="C28" s="47">
        <v>54</v>
      </c>
      <c r="D28" s="47">
        <v>241</v>
      </c>
      <c r="E28" s="34">
        <v>13.7</v>
      </c>
      <c r="F28" s="48">
        <v>0</v>
      </c>
      <c r="G28" s="34">
        <v>0</v>
      </c>
      <c r="H28" s="34">
        <v>0</v>
      </c>
      <c r="I28" s="34">
        <v>0</v>
      </c>
      <c r="J28" s="36">
        <v>0</v>
      </c>
      <c r="K28" s="34">
        <v>9.1</v>
      </c>
      <c r="L28" s="50">
        <v>0</v>
      </c>
      <c r="M28" s="34">
        <v>3.9000000000000004</v>
      </c>
      <c r="N28" s="36">
        <v>0</v>
      </c>
      <c r="O28" s="36">
        <v>0</v>
      </c>
      <c r="P28" s="35">
        <v>0</v>
      </c>
      <c r="Q28" s="35">
        <v>0</v>
      </c>
      <c r="R28" s="35">
        <v>0</v>
      </c>
      <c r="S28" s="35">
        <v>0</v>
      </c>
      <c r="T28" s="36">
        <v>0</v>
      </c>
      <c r="U28" s="34">
        <v>4.9000000000000004</v>
      </c>
      <c r="V28" s="36">
        <v>0</v>
      </c>
      <c r="W28" s="34">
        <v>208</v>
      </c>
      <c r="X28" s="36">
        <v>0</v>
      </c>
      <c r="Y28" s="36">
        <v>0</v>
      </c>
      <c r="Z28" s="36">
        <v>0</v>
      </c>
      <c r="AA28" s="36">
        <v>0</v>
      </c>
      <c r="AB28" s="36">
        <v>0</v>
      </c>
      <c r="AC28" s="36">
        <v>0</v>
      </c>
      <c r="AD28" s="36">
        <v>0</v>
      </c>
      <c r="AE28" s="36">
        <v>0</v>
      </c>
      <c r="AF28" s="36">
        <v>0</v>
      </c>
      <c r="AG28" s="34">
        <v>415</v>
      </c>
      <c r="AH28" s="36">
        <v>0</v>
      </c>
      <c r="AI28" s="36">
        <v>0</v>
      </c>
      <c r="AJ28" s="36">
        <v>0</v>
      </c>
      <c r="AK28" s="36">
        <v>0</v>
      </c>
      <c r="AL28" s="36">
        <v>0</v>
      </c>
      <c r="AM28" s="36">
        <v>0</v>
      </c>
      <c r="AN28" s="36">
        <v>0</v>
      </c>
      <c r="AO28" s="36">
        <v>0</v>
      </c>
      <c r="AP28" s="36">
        <v>0</v>
      </c>
      <c r="AQ28" s="36">
        <v>0</v>
      </c>
      <c r="AR28" s="18">
        <v>0</v>
      </c>
      <c r="AS28" s="18">
        <v>0</v>
      </c>
      <c r="AT28" s="18">
        <v>0</v>
      </c>
      <c r="AU28" s="18">
        <v>0</v>
      </c>
      <c r="AV28" s="18">
        <v>0</v>
      </c>
      <c r="AW28" s="18">
        <v>0</v>
      </c>
      <c r="AX28" s="18">
        <v>0</v>
      </c>
      <c r="AY28" s="18">
        <v>0</v>
      </c>
      <c r="AZ28" s="18">
        <v>0</v>
      </c>
      <c r="BA28" s="18">
        <v>0</v>
      </c>
      <c r="BB28" s="18">
        <v>0</v>
      </c>
      <c r="BC28" s="18">
        <v>0</v>
      </c>
      <c r="BD28" s="18">
        <v>0</v>
      </c>
      <c r="BE28" s="18">
        <v>0</v>
      </c>
      <c r="BF28" s="18">
        <v>0</v>
      </c>
      <c r="BG28" s="18">
        <v>0</v>
      </c>
      <c r="BH28" s="18">
        <v>0</v>
      </c>
      <c r="BI28" s="18">
        <v>0</v>
      </c>
      <c r="BJ28" s="18">
        <v>0</v>
      </c>
      <c r="BK28" s="18">
        <v>0</v>
      </c>
      <c r="BL28" s="18">
        <v>0</v>
      </c>
      <c r="BM28" s="18">
        <v>0</v>
      </c>
      <c r="BN28" s="18">
        <v>0</v>
      </c>
    </row>
    <row r="29" spans="1:66">
      <c r="A29" s="8"/>
      <c r="B29" s="45">
        <v>22</v>
      </c>
      <c r="C29" s="47">
        <v>55</v>
      </c>
      <c r="D29" s="47">
        <v>259</v>
      </c>
      <c r="E29" s="34">
        <v>14.8</v>
      </c>
      <c r="F29" s="48">
        <v>0</v>
      </c>
      <c r="G29" s="34">
        <v>0</v>
      </c>
      <c r="H29" s="34">
        <v>0</v>
      </c>
      <c r="I29" s="34">
        <v>0</v>
      </c>
      <c r="J29" s="36">
        <v>0</v>
      </c>
      <c r="K29" s="34">
        <v>9</v>
      </c>
      <c r="L29" s="50">
        <v>0</v>
      </c>
      <c r="M29" s="34">
        <v>2.6</v>
      </c>
      <c r="N29" s="36">
        <v>0</v>
      </c>
      <c r="O29" s="36">
        <v>0</v>
      </c>
      <c r="P29" s="35">
        <v>0</v>
      </c>
      <c r="Q29" s="35">
        <v>0</v>
      </c>
      <c r="R29" s="35">
        <v>0</v>
      </c>
      <c r="S29" s="35">
        <v>0</v>
      </c>
      <c r="T29" s="36">
        <v>0</v>
      </c>
      <c r="U29" s="34">
        <v>5.0999999999999996</v>
      </c>
      <c r="V29" s="36">
        <v>0</v>
      </c>
      <c r="W29" s="34">
        <v>164</v>
      </c>
      <c r="X29" s="36">
        <v>0</v>
      </c>
      <c r="Y29" s="36">
        <v>0</v>
      </c>
      <c r="Z29" s="36">
        <v>0</v>
      </c>
      <c r="AA29" s="36">
        <v>0</v>
      </c>
      <c r="AB29" s="36">
        <v>0</v>
      </c>
      <c r="AC29" s="36">
        <v>0</v>
      </c>
      <c r="AD29" s="36">
        <v>0</v>
      </c>
      <c r="AE29" s="36">
        <v>0</v>
      </c>
      <c r="AF29" s="36">
        <v>0</v>
      </c>
      <c r="AG29" s="34">
        <v>560</v>
      </c>
      <c r="AH29" s="36">
        <v>0</v>
      </c>
      <c r="AI29" s="36">
        <v>0</v>
      </c>
      <c r="AJ29" s="36">
        <v>0</v>
      </c>
      <c r="AK29" s="36">
        <v>0</v>
      </c>
      <c r="AL29" s="36">
        <v>0</v>
      </c>
      <c r="AM29" s="36">
        <v>0</v>
      </c>
      <c r="AN29" s="36">
        <v>0</v>
      </c>
      <c r="AO29" s="36">
        <v>0</v>
      </c>
      <c r="AP29" s="36">
        <v>0</v>
      </c>
      <c r="AQ29" s="36">
        <v>0</v>
      </c>
      <c r="AR29" s="18">
        <v>0</v>
      </c>
      <c r="AS29" s="18">
        <v>0</v>
      </c>
      <c r="AT29" s="18">
        <v>0</v>
      </c>
      <c r="AU29" s="18">
        <v>0</v>
      </c>
      <c r="AV29" s="18">
        <v>0</v>
      </c>
      <c r="AW29" s="18">
        <v>0</v>
      </c>
      <c r="AX29" s="18">
        <v>0</v>
      </c>
      <c r="AY29" s="18">
        <v>0</v>
      </c>
      <c r="AZ29" s="18">
        <v>0</v>
      </c>
      <c r="BA29" s="18">
        <v>0</v>
      </c>
      <c r="BB29" s="18">
        <v>0</v>
      </c>
      <c r="BC29" s="18">
        <v>0</v>
      </c>
      <c r="BD29" s="18">
        <v>0</v>
      </c>
      <c r="BE29" s="18">
        <v>0</v>
      </c>
      <c r="BF29" s="18">
        <v>0</v>
      </c>
      <c r="BG29" s="18">
        <v>0</v>
      </c>
      <c r="BH29" s="18">
        <v>0</v>
      </c>
      <c r="BI29" s="18">
        <v>0</v>
      </c>
      <c r="BJ29" s="18">
        <v>0</v>
      </c>
      <c r="BK29" s="18">
        <v>0</v>
      </c>
      <c r="BL29" s="18">
        <v>0</v>
      </c>
      <c r="BM29" s="18">
        <v>0</v>
      </c>
      <c r="BN29" s="18">
        <v>0</v>
      </c>
    </row>
    <row r="30" spans="1:66">
      <c r="A30" s="8"/>
      <c r="B30" s="45">
        <v>23</v>
      </c>
      <c r="C30" s="47">
        <v>53</v>
      </c>
      <c r="D30" s="47">
        <v>289</v>
      </c>
      <c r="E30" s="34">
        <v>13.200000000000001</v>
      </c>
      <c r="F30" s="48">
        <v>0</v>
      </c>
      <c r="G30" s="34">
        <v>0</v>
      </c>
      <c r="H30" s="34">
        <v>0</v>
      </c>
      <c r="I30" s="34">
        <v>0</v>
      </c>
      <c r="J30" s="36">
        <v>0</v>
      </c>
      <c r="K30" s="34">
        <v>6.2</v>
      </c>
      <c r="L30" s="50">
        <v>0</v>
      </c>
      <c r="M30" s="34">
        <v>2.6</v>
      </c>
      <c r="N30" s="36">
        <v>0</v>
      </c>
      <c r="O30" s="36">
        <v>0</v>
      </c>
      <c r="P30" s="35">
        <v>0</v>
      </c>
      <c r="Q30" s="35">
        <v>0</v>
      </c>
      <c r="R30" s="35">
        <v>0</v>
      </c>
      <c r="S30" s="35">
        <v>0</v>
      </c>
      <c r="T30" s="36">
        <v>0</v>
      </c>
      <c r="U30" s="34">
        <v>5.3000000000000007</v>
      </c>
      <c r="V30" s="36">
        <v>0</v>
      </c>
      <c r="W30" s="34">
        <v>204</v>
      </c>
      <c r="X30" s="36">
        <v>0</v>
      </c>
      <c r="Y30" s="36">
        <v>0</v>
      </c>
      <c r="Z30" s="36">
        <v>0</v>
      </c>
      <c r="AA30" s="36">
        <v>0</v>
      </c>
      <c r="AB30" s="36">
        <v>0</v>
      </c>
      <c r="AC30" s="36">
        <v>0</v>
      </c>
      <c r="AD30" s="36">
        <v>0</v>
      </c>
      <c r="AE30" s="36">
        <v>0</v>
      </c>
      <c r="AF30" s="36">
        <v>0</v>
      </c>
      <c r="AG30" s="34">
        <v>385</v>
      </c>
      <c r="AH30" s="36">
        <v>0</v>
      </c>
      <c r="AI30" s="36">
        <v>0</v>
      </c>
      <c r="AJ30" s="36">
        <v>0</v>
      </c>
      <c r="AK30" s="36">
        <v>0</v>
      </c>
      <c r="AL30" s="36">
        <v>0</v>
      </c>
      <c r="AM30" s="36">
        <v>0</v>
      </c>
      <c r="AN30" s="36">
        <v>0</v>
      </c>
      <c r="AO30" s="36">
        <v>0</v>
      </c>
      <c r="AP30" s="36">
        <v>0</v>
      </c>
      <c r="AQ30" s="36">
        <v>0</v>
      </c>
      <c r="AR30" s="18">
        <v>0</v>
      </c>
      <c r="AS30" s="18">
        <v>0</v>
      </c>
      <c r="AT30" s="18">
        <v>0</v>
      </c>
      <c r="AU30" s="18">
        <v>0</v>
      </c>
      <c r="AV30" s="18">
        <v>0</v>
      </c>
      <c r="AW30" s="18">
        <v>0</v>
      </c>
      <c r="AX30" s="18">
        <v>0</v>
      </c>
      <c r="AY30" s="18">
        <v>0</v>
      </c>
      <c r="AZ30" s="18">
        <v>0</v>
      </c>
      <c r="BA30" s="18">
        <v>0</v>
      </c>
      <c r="BB30" s="18">
        <v>0</v>
      </c>
      <c r="BC30" s="18">
        <v>0</v>
      </c>
      <c r="BD30" s="18">
        <v>0</v>
      </c>
      <c r="BE30" s="18">
        <v>0</v>
      </c>
      <c r="BF30" s="18">
        <v>0</v>
      </c>
      <c r="BG30" s="18">
        <v>0</v>
      </c>
      <c r="BH30" s="18">
        <v>0</v>
      </c>
      <c r="BI30" s="18">
        <v>0</v>
      </c>
      <c r="BJ30" s="18">
        <v>0</v>
      </c>
      <c r="BK30" s="18">
        <v>0</v>
      </c>
      <c r="BL30" s="18">
        <v>0</v>
      </c>
      <c r="BM30" s="18">
        <v>0</v>
      </c>
      <c r="BN30" s="18">
        <v>0</v>
      </c>
    </row>
    <row r="31" spans="1:66">
      <c r="A31" s="8"/>
      <c r="B31" s="45">
        <v>24</v>
      </c>
      <c r="C31" s="47">
        <v>48</v>
      </c>
      <c r="D31" s="47">
        <v>231</v>
      </c>
      <c r="E31" s="34">
        <v>15.600000000000001</v>
      </c>
      <c r="F31" s="48">
        <v>0</v>
      </c>
      <c r="G31" s="34">
        <v>0</v>
      </c>
      <c r="H31" s="34">
        <v>0</v>
      </c>
      <c r="I31" s="34">
        <v>0</v>
      </c>
      <c r="J31" s="36">
        <v>0</v>
      </c>
      <c r="K31" s="34">
        <v>6.3999999999999995</v>
      </c>
      <c r="L31" s="50">
        <v>0</v>
      </c>
      <c r="M31" s="34">
        <v>5.0999999999999996</v>
      </c>
      <c r="N31" s="36">
        <v>0</v>
      </c>
      <c r="O31" s="36">
        <v>0</v>
      </c>
      <c r="P31" s="35">
        <v>0</v>
      </c>
      <c r="Q31" s="35">
        <v>0</v>
      </c>
      <c r="R31" s="35">
        <v>0</v>
      </c>
      <c r="S31" s="35">
        <v>0</v>
      </c>
      <c r="T31" s="36">
        <v>0</v>
      </c>
      <c r="U31" s="34">
        <v>6.2</v>
      </c>
      <c r="V31" s="36">
        <v>0</v>
      </c>
      <c r="W31" s="34">
        <v>168</v>
      </c>
      <c r="X31" s="36">
        <v>0</v>
      </c>
      <c r="Y31" s="36">
        <v>0</v>
      </c>
      <c r="Z31" s="36">
        <v>0</v>
      </c>
      <c r="AA31" s="36">
        <v>0</v>
      </c>
      <c r="AB31" s="36">
        <v>0</v>
      </c>
      <c r="AC31" s="36">
        <v>0</v>
      </c>
      <c r="AD31" s="36">
        <v>0</v>
      </c>
      <c r="AE31" s="36">
        <v>0</v>
      </c>
      <c r="AF31" s="36">
        <v>0</v>
      </c>
      <c r="AG31" s="34">
        <v>310</v>
      </c>
      <c r="AH31" s="36">
        <v>0</v>
      </c>
      <c r="AI31" s="36">
        <v>0</v>
      </c>
      <c r="AJ31" s="36">
        <v>0</v>
      </c>
      <c r="AK31" s="36">
        <v>0</v>
      </c>
      <c r="AL31" s="36">
        <v>0</v>
      </c>
      <c r="AM31" s="36">
        <v>0</v>
      </c>
      <c r="AN31" s="36">
        <v>0</v>
      </c>
      <c r="AO31" s="36">
        <v>0</v>
      </c>
      <c r="AP31" s="36">
        <v>0</v>
      </c>
      <c r="AQ31" s="36">
        <v>0</v>
      </c>
      <c r="AR31" s="18">
        <v>0</v>
      </c>
      <c r="AS31" s="18">
        <v>0</v>
      </c>
      <c r="AT31" s="18">
        <v>0</v>
      </c>
      <c r="AU31" s="18">
        <v>0</v>
      </c>
      <c r="AV31" s="18">
        <v>0</v>
      </c>
      <c r="AW31" s="18">
        <v>0</v>
      </c>
      <c r="AX31" s="18">
        <v>0</v>
      </c>
      <c r="AY31" s="18">
        <v>0</v>
      </c>
      <c r="AZ31" s="18">
        <v>0</v>
      </c>
      <c r="BA31" s="18">
        <v>0</v>
      </c>
      <c r="BB31" s="18">
        <v>0</v>
      </c>
      <c r="BC31" s="18">
        <v>0</v>
      </c>
      <c r="BD31" s="18">
        <v>0</v>
      </c>
      <c r="BE31" s="18">
        <v>0</v>
      </c>
      <c r="BF31" s="18">
        <v>0</v>
      </c>
      <c r="BG31" s="18">
        <v>0</v>
      </c>
      <c r="BH31" s="18">
        <v>0</v>
      </c>
      <c r="BI31" s="18">
        <v>0</v>
      </c>
      <c r="BJ31" s="18">
        <v>0</v>
      </c>
      <c r="BK31" s="18">
        <v>0</v>
      </c>
      <c r="BL31" s="18">
        <v>0</v>
      </c>
      <c r="BM31" s="18">
        <v>0</v>
      </c>
      <c r="BN31" s="18">
        <v>0</v>
      </c>
    </row>
    <row r="32" spans="1:66">
      <c r="A32" s="8"/>
      <c r="B32" s="60">
        <v>25</v>
      </c>
      <c r="C32" s="47">
        <v>45</v>
      </c>
      <c r="D32" s="47">
        <v>226</v>
      </c>
      <c r="E32" s="34">
        <v>12.5</v>
      </c>
      <c r="F32" s="62">
        <v>0</v>
      </c>
      <c r="G32" s="61">
        <v>0</v>
      </c>
      <c r="H32" s="61">
        <v>0</v>
      </c>
      <c r="I32" s="61">
        <v>0</v>
      </c>
      <c r="J32" s="63">
        <v>0</v>
      </c>
      <c r="K32" s="34">
        <v>5.6</v>
      </c>
      <c r="L32" s="50">
        <v>0</v>
      </c>
      <c r="M32" s="34">
        <v>2.6</v>
      </c>
      <c r="N32" s="63">
        <v>0</v>
      </c>
      <c r="O32" s="63">
        <v>0</v>
      </c>
      <c r="P32" s="64">
        <v>0</v>
      </c>
      <c r="Q32" s="64">
        <v>0</v>
      </c>
      <c r="R32" s="64">
        <v>0</v>
      </c>
      <c r="S32" s="64">
        <v>0</v>
      </c>
      <c r="T32" s="63">
        <v>0</v>
      </c>
      <c r="U32" s="34">
        <v>5</v>
      </c>
      <c r="V32" s="63">
        <v>0</v>
      </c>
      <c r="W32" s="34">
        <v>156</v>
      </c>
      <c r="X32" s="63">
        <v>0</v>
      </c>
      <c r="Y32" s="63">
        <v>0</v>
      </c>
      <c r="Z32" s="63">
        <v>0</v>
      </c>
      <c r="AA32" s="63">
        <v>0</v>
      </c>
      <c r="AB32" s="63">
        <v>0</v>
      </c>
      <c r="AC32" s="63">
        <v>0</v>
      </c>
      <c r="AD32" s="63">
        <v>0</v>
      </c>
      <c r="AE32" s="63">
        <v>0</v>
      </c>
      <c r="AF32" s="63">
        <v>0</v>
      </c>
      <c r="AG32" s="34">
        <v>449.99999999999994</v>
      </c>
      <c r="AH32" s="63">
        <v>0</v>
      </c>
      <c r="AI32" s="63">
        <v>0</v>
      </c>
      <c r="AJ32" s="63">
        <v>0</v>
      </c>
      <c r="AK32" s="63">
        <v>0</v>
      </c>
      <c r="AL32" s="63">
        <v>0</v>
      </c>
      <c r="AM32" s="63">
        <v>0</v>
      </c>
      <c r="AN32" s="63">
        <v>0</v>
      </c>
      <c r="AO32" s="63">
        <v>0</v>
      </c>
      <c r="AP32" s="63">
        <v>0</v>
      </c>
      <c r="AQ32" s="63">
        <v>0</v>
      </c>
      <c r="AR32" s="19">
        <v>0</v>
      </c>
      <c r="AS32" s="19">
        <v>0</v>
      </c>
      <c r="AT32" s="19">
        <v>0</v>
      </c>
      <c r="AU32" s="19">
        <v>0</v>
      </c>
      <c r="AV32" s="19">
        <v>0</v>
      </c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>
        <v>0</v>
      </c>
      <c r="BC32" s="19">
        <v>0</v>
      </c>
      <c r="BD32" s="19">
        <v>0</v>
      </c>
      <c r="BE32" s="19">
        <v>0</v>
      </c>
      <c r="BF32" s="19">
        <v>0</v>
      </c>
      <c r="BG32" s="19">
        <v>0</v>
      </c>
      <c r="BH32" s="19">
        <v>0</v>
      </c>
      <c r="BI32" s="19">
        <v>0</v>
      </c>
      <c r="BJ32" s="19">
        <v>0</v>
      </c>
      <c r="BK32" s="19">
        <v>0</v>
      </c>
      <c r="BL32" s="19">
        <v>0</v>
      </c>
      <c r="BM32" s="19">
        <v>0</v>
      </c>
      <c r="BN32" s="19">
        <v>0</v>
      </c>
    </row>
    <row r="33" spans="1:66">
      <c r="A33" s="8"/>
      <c r="B33" s="65">
        <v>26</v>
      </c>
      <c r="C33" s="47">
        <v>39</v>
      </c>
      <c r="D33" s="47">
        <v>185</v>
      </c>
      <c r="E33" s="34">
        <v>13.6</v>
      </c>
      <c r="F33" s="62">
        <v>0</v>
      </c>
      <c r="G33" s="61">
        <v>0</v>
      </c>
      <c r="H33" s="61">
        <v>0</v>
      </c>
      <c r="I33" s="61">
        <v>0</v>
      </c>
      <c r="J33" s="67">
        <v>0</v>
      </c>
      <c r="K33" s="34">
        <v>7.3</v>
      </c>
      <c r="L33" s="50">
        <v>0</v>
      </c>
      <c r="M33" s="34">
        <v>2.6</v>
      </c>
      <c r="N33" s="62">
        <v>0</v>
      </c>
      <c r="O33" s="61">
        <v>0</v>
      </c>
      <c r="P33" s="61">
        <v>0</v>
      </c>
      <c r="Q33" s="61">
        <v>0</v>
      </c>
      <c r="R33" s="61">
        <v>0</v>
      </c>
      <c r="S33" s="61">
        <v>0</v>
      </c>
      <c r="T33" s="67">
        <v>0</v>
      </c>
      <c r="U33" s="34">
        <v>5.0999999999999996</v>
      </c>
      <c r="V33" s="50">
        <v>0</v>
      </c>
      <c r="W33" s="34">
        <v>252</v>
      </c>
      <c r="X33" s="48">
        <v>0</v>
      </c>
      <c r="Y33" s="34">
        <v>0</v>
      </c>
      <c r="Z33" s="34">
        <v>0</v>
      </c>
      <c r="AA33" s="34">
        <v>0</v>
      </c>
      <c r="AB33" s="34">
        <v>0</v>
      </c>
      <c r="AC33" s="34">
        <v>0</v>
      </c>
      <c r="AD33" s="34">
        <v>0</v>
      </c>
      <c r="AE33" s="34">
        <v>0</v>
      </c>
      <c r="AF33" s="47">
        <v>0</v>
      </c>
      <c r="AG33" s="34">
        <v>410</v>
      </c>
      <c r="AH33" s="48">
        <v>0</v>
      </c>
      <c r="AI33" s="34">
        <v>0</v>
      </c>
      <c r="AJ33" s="34">
        <v>0</v>
      </c>
      <c r="AK33" s="34">
        <v>0</v>
      </c>
      <c r="AL33" s="34">
        <v>0</v>
      </c>
      <c r="AM33" s="34">
        <v>0</v>
      </c>
      <c r="AN33" s="34">
        <v>0</v>
      </c>
      <c r="AO33" s="34">
        <v>0</v>
      </c>
      <c r="AP33" s="34">
        <v>0</v>
      </c>
      <c r="AQ33" s="34">
        <v>0</v>
      </c>
      <c r="AR33" s="34">
        <v>0</v>
      </c>
      <c r="AS33" s="34">
        <v>0</v>
      </c>
      <c r="AT33" s="34">
        <v>0</v>
      </c>
      <c r="AU33" s="34">
        <v>0</v>
      </c>
      <c r="AV33" s="34">
        <v>0</v>
      </c>
      <c r="AW33" s="34">
        <v>0</v>
      </c>
      <c r="AX33" s="34">
        <v>0</v>
      </c>
      <c r="AY33" s="34">
        <v>0</v>
      </c>
      <c r="AZ33" s="34">
        <v>0</v>
      </c>
      <c r="BA33" s="34">
        <v>0</v>
      </c>
      <c r="BB33" s="34">
        <v>0</v>
      </c>
      <c r="BC33" s="34">
        <v>0</v>
      </c>
      <c r="BD33" s="34">
        <v>0</v>
      </c>
      <c r="BE33" s="34">
        <v>0</v>
      </c>
      <c r="BF33" s="34">
        <v>0</v>
      </c>
      <c r="BG33" s="34">
        <v>0</v>
      </c>
      <c r="BH33" s="34">
        <v>0</v>
      </c>
      <c r="BI33" s="34">
        <v>0</v>
      </c>
      <c r="BJ33" s="34">
        <v>0</v>
      </c>
      <c r="BK33" s="34">
        <v>0</v>
      </c>
      <c r="BL33" s="34">
        <v>0</v>
      </c>
      <c r="BM33" s="34">
        <v>0</v>
      </c>
      <c r="BN33" s="34">
        <v>0</v>
      </c>
    </row>
    <row r="34" spans="1:66">
      <c r="A34" s="8"/>
      <c r="B34" s="65">
        <v>27</v>
      </c>
      <c r="C34" s="47">
        <v>54</v>
      </c>
      <c r="D34" s="47">
        <v>232</v>
      </c>
      <c r="E34" s="34">
        <v>14.4</v>
      </c>
      <c r="F34" s="48">
        <v>0</v>
      </c>
      <c r="G34" s="34">
        <v>0</v>
      </c>
      <c r="H34" s="34">
        <v>0</v>
      </c>
      <c r="I34" s="34">
        <v>0</v>
      </c>
      <c r="J34" s="47">
        <v>0</v>
      </c>
      <c r="K34" s="34">
        <v>6.5</v>
      </c>
      <c r="L34" s="50">
        <v>0</v>
      </c>
      <c r="M34" s="34">
        <v>3.9000000000000004</v>
      </c>
      <c r="N34" s="48">
        <v>0</v>
      </c>
      <c r="O34" s="34">
        <v>0</v>
      </c>
      <c r="P34" s="34">
        <v>0</v>
      </c>
      <c r="Q34" s="34">
        <v>0</v>
      </c>
      <c r="R34" s="34">
        <v>0</v>
      </c>
      <c r="S34" s="34">
        <v>0</v>
      </c>
      <c r="T34" s="47">
        <v>0</v>
      </c>
      <c r="U34" s="34">
        <v>4.9000000000000004</v>
      </c>
      <c r="V34" s="50">
        <v>0</v>
      </c>
      <c r="W34" s="34">
        <v>148</v>
      </c>
      <c r="X34" s="48">
        <v>0</v>
      </c>
      <c r="Y34" s="34">
        <v>0</v>
      </c>
      <c r="Z34" s="34">
        <v>0</v>
      </c>
      <c r="AA34" s="34">
        <v>0</v>
      </c>
      <c r="AB34" s="34">
        <v>0</v>
      </c>
      <c r="AC34" s="34">
        <v>0</v>
      </c>
      <c r="AD34" s="34">
        <v>0</v>
      </c>
      <c r="AE34" s="34">
        <v>0</v>
      </c>
      <c r="AF34" s="47">
        <v>0</v>
      </c>
      <c r="AG34" s="34">
        <v>305</v>
      </c>
      <c r="AH34" s="48">
        <v>0</v>
      </c>
      <c r="AI34" s="34">
        <v>0</v>
      </c>
      <c r="AJ34" s="34">
        <v>0</v>
      </c>
      <c r="AK34" s="34">
        <v>0</v>
      </c>
      <c r="AL34" s="34">
        <v>0</v>
      </c>
      <c r="AM34" s="34">
        <v>0</v>
      </c>
      <c r="AN34" s="34">
        <v>0</v>
      </c>
      <c r="AO34" s="34">
        <v>0</v>
      </c>
      <c r="AP34" s="34">
        <v>0</v>
      </c>
      <c r="AQ34" s="34">
        <v>0</v>
      </c>
      <c r="AR34" s="34">
        <v>0</v>
      </c>
      <c r="AS34" s="34">
        <v>0</v>
      </c>
      <c r="AT34" s="34">
        <v>0</v>
      </c>
      <c r="AU34" s="34">
        <v>0</v>
      </c>
      <c r="AV34" s="34">
        <v>0</v>
      </c>
      <c r="AW34" s="34">
        <v>0</v>
      </c>
      <c r="AX34" s="34">
        <v>0</v>
      </c>
      <c r="AY34" s="34">
        <v>0</v>
      </c>
      <c r="AZ34" s="34">
        <v>0</v>
      </c>
      <c r="BA34" s="34">
        <v>0</v>
      </c>
      <c r="BB34" s="34">
        <v>0</v>
      </c>
      <c r="BC34" s="34">
        <v>0</v>
      </c>
      <c r="BD34" s="34">
        <v>0</v>
      </c>
      <c r="BE34" s="34">
        <v>0</v>
      </c>
      <c r="BF34" s="34">
        <v>0</v>
      </c>
      <c r="BG34" s="34">
        <v>0</v>
      </c>
      <c r="BH34" s="34">
        <v>0</v>
      </c>
      <c r="BI34" s="34">
        <v>0</v>
      </c>
      <c r="BJ34" s="34">
        <v>0</v>
      </c>
      <c r="BK34" s="34">
        <v>0</v>
      </c>
      <c r="BL34" s="34">
        <v>0</v>
      </c>
      <c r="BM34" s="34">
        <v>0</v>
      </c>
      <c r="BN34" s="34">
        <v>0</v>
      </c>
    </row>
    <row r="35" spans="1:66">
      <c r="A35" s="8"/>
      <c r="B35" s="65">
        <v>28</v>
      </c>
      <c r="C35" s="47">
        <v>54</v>
      </c>
      <c r="D35" s="47">
        <v>257</v>
      </c>
      <c r="E35" s="34">
        <v>15.3</v>
      </c>
      <c r="F35" s="48">
        <v>0</v>
      </c>
      <c r="G35" s="34">
        <v>0</v>
      </c>
      <c r="H35" s="34">
        <v>0</v>
      </c>
      <c r="I35" s="34">
        <v>0</v>
      </c>
      <c r="J35" s="47">
        <v>0</v>
      </c>
      <c r="K35" s="34">
        <v>6.8000000000000007</v>
      </c>
      <c r="L35" s="50">
        <v>0</v>
      </c>
      <c r="M35" s="34">
        <v>4.0999999999999996</v>
      </c>
      <c r="N35" s="48">
        <v>0</v>
      </c>
      <c r="O35" s="34">
        <v>0</v>
      </c>
      <c r="P35" s="34">
        <v>0</v>
      </c>
      <c r="Q35" s="34">
        <v>0</v>
      </c>
      <c r="R35" s="34">
        <v>0</v>
      </c>
      <c r="S35" s="34">
        <v>0</v>
      </c>
      <c r="T35" s="47">
        <v>0</v>
      </c>
      <c r="U35" s="34">
        <v>5.2</v>
      </c>
      <c r="V35" s="50">
        <v>0</v>
      </c>
      <c r="W35" s="34">
        <v>180</v>
      </c>
      <c r="X35" s="48">
        <v>0</v>
      </c>
      <c r="Y35" s="34">
        <v>0</v>
      </c>
      <c r="Z35" s="34">
        <v>0</v>
      </c>
      <c r="AA35" s="34">
        <v>0</v>
      </c>
      <c r="AB35" s="34">
        <v>0</v>
      </c>
      <c r="AC35" s="34">
        <v>0</v>
      </c>
      <c r="AD35" s="34">
        <v>0</v>
      </c>
      <c r="AE35" s="34">
        <v>0</v>
      </c>
      <c r="AF35" s="47">
        <v>0</v>
      </c>
      <c r="AG35" s="34">
        <v>420</v>
      </c>
      <c r="AH35" s="48">
        <v>0</v>
      </c>
      <c r="AI35" s="34">
        <v>0</v>
      </c>
      <c r="AJ35" s="34">
        <v>0</v>
      </c>
      <c r="AK35" s="34">
        <v>0</v>
      </c>
      <c r="AL35" s="34">
        <v>0</v>
      </c>
      <c r="AM35" s="34">
        <v>0</v>
      </c>
      <c r="AN35" s="34">
        <v>0</v>
      </c>
      <c r="AO35" s="34">
        <v>0</v>
      </c>
      <c r="AP35" s="34">
        <v>0</v>
      </c>
      <c r="AQ35" s="34">
        <v>0</v>
      </c>
      <c r="AR35" s="34">
        <v>0</v>
      </c>
      <c r="AS35" s="34">
        <v>0</v>
      </c>
      <c r="AT35" s="34">
        <v>0</v>
      </c>
      <c r="AU35" s="34">
        <v>0</v>
      </c>
      <c r="AV35" s="34">
        <v>0</v>
      </c>
      <c r="AW35" s="34">
        <v>0</v>
      </c>
      <c r="AX35" s="34">
        <v>0</v>
      </c>
      <c r="AY35" s="34">
        <v>0</v>
      </c>
      <c r="AZ35" s="34">
        <v>0</v>
      </c>
      <c r="BA35" s="34">
        <v>0</v>
      </c>
      <c r="BB35" s="34">
        <v>0</v>
      </c>
      <c r="BC35" s="34">
        <v>0</v>
      </c>
      <c r="BD35" s="34">
        <v>0</v>
      </c>
      <c r="BE35" s="34">
        <v>0</v>
      </c>
      <c r="BF35" s="34">
        <v>0</v>
      </c>
      <c r="BG35" s="34">
        <v>0</v>
      </c>
      <c r="BH35" s="34">
        <v>0</v>
      </c>
      <c r="BI35" s="34">
        <v>0</v>
      </c>
      <c r="BJ35" s="34">
        <v>0</v>
      </c>
      <c r="BK35" s="34">
        <v>0</v>
      </c>
      <c r="BL35" s="34">
        <v>0</v>
      </c>
      <c r="BM35" s="34">
        <v>0</v>
      </c>
      <c r="BN35" s="34">
        <v>0</v>
      </c>
    </row>
    <row r="36" spans="1:66">
      <c r="A36" s="4"/>
      <c r="B36" s="65">
        <v>29</v>
      </c>
      <c r="C36" s="47">
        <v>58</v>
      </c>
      <c r="D36" s="47">
        <v>335</v>
      </c>
      <c r="E36" s="34">
        <v>13.499999999999998</v>
      </c>
      <c r="F36" s="48">
        <v>0</v>
      </c>
      <c r="G36" s="34">
        <v>0</v>
      </c>
      <c r="H36" s="34">
        <v>0</v>
      </c>
      <c r="I36" s="34">
        <v>0</v>
      </c>
      <c r="J36" s="47">
        <v>0</v>
      </c>
      <c r="K36" s="34">
        <v>8.3000000000000007</v>
      </c>
      <c r="L36" s="50">
        <v>0</v>
      </c>
      <c r="M36" s="34">
        <v>5.4</v>
      </c>
      <c r="N36" s="48">
        <v>0</v>
      </c>
      <c r="O36" s="34">
        <v>0</v>
      </c>
      <c r="P36" s="34">
        <v>0</v>
      </c>
      <c r="Q36" s="34">
        <v>0</v>
      </c>
      <c r="R36" s="34">
        <v>0</v>
      </c>
      <c r="S36" s="34">
        <v>0</v>
      </c>
      <c r="T36" s="67">
        <v>0</v>
      </c>
      <c r="U36" s="34">
        <v>5.2</v>
      </c>
      <c r="V36" s="68">
        <v>0</v>
      </c>
      <c r="W36" s="34">
        <v>140</v>
      </c>
      <c r="X36" s="62">
        <v>0</v>
      </c>
      <c r="Y36" s="61">
        <v>0</v>
      </c>
      <c r="Z36" s="61">
        <v>0</v>
      </c>
      <c r="AA36" s="61">
        <v>0</v>
      </c>
      <c r="AB36" s="61">
        <v>0</v>
      </c>
      <c r="AC36" s="61">
        <v>0</v>
      </c>
      <c r="AD36" s="61">
        <v>0</v>
      </c>
      <c r="AE36" s="61">
        <v>0</v>
      </c>
      <c r="AF36" s="67">
        <v>0</v>
      </c>
      <c r="AG36" s="34">
        <v>385</v>
      </c>
      <c r="AH36" s="62">
        <v>0</v>
      </c>
      <c r="AI36" s="69">
        <f t="shared" ref="AI36:BN36" si="0">SUM(AI8:AI35)</f>
        <v>0</v>
      </c>
      <c r="AJ36" s="69">
        <f t="shared" si="0"/>
        <v>0</v>
      </c>
      <c r="AK36" s="69">
        <f t="shared" si="0"/>
        <v>0</v>
      </c>
      <c r="AL36" s="69">
        <f t="shared" si="0"/>
        <v>0</v>
      </c>
      <c r="AM36" s="69">
        <f t="shared" si="0"/>
        <v>0</v>
      </c>
      <c r="AN36" s="69">
        <f t="shared" si="0"/>
        <v>0</v>
      </c>
      <c r="AO36" s="69">
        <f t="shared" si="0"/>
        <v>0</v>
      </c>
      <c r="AP36" s="69">
        <f t="shared" si="0"/>
        <v>0</v>
      </c>
      <c r="AQ36" s="69">
        <f t="shared" si="0"/>
        <v>0</v>
      </c>
      <c r="AR36" s="69">
        <f t="shared" si="0"/>
        <v>0</v>
      </c>
      <c r="AS36" s="69">
        <f t="shared" si="0"/>
        <v>0</v>
      </c>
      <c r="AT36" s="69">
        <f t="shared" si="0"/>
        <v>0</v>
      </c>
      <c r="AU36" s="69">
        <f t="shared" si="0"/>
        <v>0</v>
      </c>
      <c r="AV36" s="69">
        <f t="shared" si="0"/>
        <v>0</v>
      </c>
      <c r="AW36" s="69">
        <f t="shared" si="0"/>
        <v>0</v>
      </c>
      <c r="AX36" s="69">
        <f t="shared" si="0"/>
        <v>0</v>
      </c>
      <c r="AY36" s="69">
        <f t="shared" si="0"/>
        <v>0</v>
      </c>
      <c r="AZ36" s="69">
        <f t="shared" si="0"/>
        <v>0</v>
      </c>
      <c r="BA36" s="69">
        <f t="shared" si="0"/>
        <v>0</v>
      </c>
      <c r="BB36" s="69">
        <f t="shared" si="0"/>
        <v>0</v>
      </c>
      <c r="BC36" s="69">
        <f t="shared" si="0"/>
        <v>0</v>
      </c>
      <c r="BD36" s="69">
        <f t="shared" si="0"/>
        <v>0</v>
      </c>
      <c r="BE36" s="69">
        <f t="shared" si="0"/>
        <v>0</v>
      </c>
      <c r="BF36" s="69">
        <f t="shared" si="0"/>
        <v>0</v>
      </c>
      <c r="BG36" s="69">
        <f t="shared" si="0"/>
        <v>0</v>
      </c>
      <c r="BH36" s="69">
        <f t="shared" si="0"/>
        <v>0</v>
      </c>
      <c r="BI36" s="69">
        <f t="shared" si="0"/>
        <v>0</v>
      </c>
      <c r="BJ36" s="69">
        <f t="shared" si="0"/>
        <v>0</v>
      </c>
      <c r="BK36" s="69">
        <f t="shared" si="0"/>
        <v>0</v>
      </c>
      <c r="BL36" s="69">
        <f t="shared" si="0"/>
        <v>0</v>
      </c>
      <c r="BM36" s="69">
        <f t="shared" si="0"/>
        <v>0</v>
      </c>
      <c r="BN36" s="69">
        <f t="shared" si="0"/>
        <v>0</v>
      </c>
    </row>
    <row r="37" spans="1:66">
      <c r="B37" s="65">
        <v>30</v>
      </c>
      <c r="C37" s="47">
        <v>37</v>
      </c>
      <c r="D37" s="47">
        <v>242</v>
      </c>
      <c r="E37" s="34">
        <v>14.3</v>
      </c>
      <c r="F37" s="48">
        <v>0</v>
      </c>
      <c r="G37" s="34">
        <v>0</v>
      </c>
      <c r="H37" s="34">
        <v>0</v>
      </c>
      <c r="I37" s="34">
        <v>0</v>
      </c>
      <c r="J37" s="47">
        <v>0</v>
      </c>
      <c r="K37" s="34">
        <v>6.6</v>
      </c>
      <c r="L37" s="50">
        <v>0</v>
      </c>
      <c r="M37" s="34">
        <v>2.6</v>
      </c>
      <c r="N37" s="48">
        <v>0</v>
      </c>
      <c r="O37" s="34">
        <v>0</v>
      </c>
      <c r="P37" s="34">
        <v>0</v>
      </c>
      <c r="Q37" s="34">
        <v>0</v>
      </c>
      <c r="R37" s="34">
        <v>0</v>
      </c>
      <c r="S37" s="47">
        <v>0</v>
      </c>
      <c r="T37" s="47">
        <v>0</v>
      </c>
      <c r="U37" s="34">
        <v>4.9000000000000004</v>
      </c>
      <c r="V37" s="50">
        <v>0</v>
      </c>
      <c r="W37" s="34">
        <v>248</v>
      </c>
      <c r="X37" s="48">
        <v>0</v>
      </c>
      <c r="Y37" s="34">
        <v>0</v>
      </c>
      <c r="Z37" s="34">
        <v>0</v>
      </c>
      <c r="AA37" s="34">
        <v>0</v>
      </c>
      <c r="AB37" s="34">
        <v>0</v>
      </c>
      <c r="AC37" s="34">
        <v>0</v>
      </c>
      <c r="AD37" s="34">
        <v>0</v>
      </c>
      <c r="AE37" s="34">
        <v>0</v>
      </c>
      <c r="AF37" s="47">
        <v>0</v>
      </c>
      <c r="AG37" s="34">
        <v>310</v>
      </c>
      <c r="AH37" s="48">
        <v>0</v>
      </c>
      <c r="AI37" s="34">
        <v>0</v>
      </c>
      <c r="AJ37" s="34">
        <v>0</v>
      </c>
      <c r="AK37" s="34">
        <v>0</v>
      </c>
      <c r="AL37" s="34">
        <v>0</v>
      </c>
      <c r="AM37" s="34">
        <v>0</v>
      </c>
      <c r="AN37" s="34">
        <v>0</v>
      </c>
      <c r="AO37" s="34">
        <v>0</v>
      </c>
      <c r="AP37" s="34">
        <v>0</v>
      </c>
      <c r="AQ37" s="34">
        <v>0</v>
      </c>
      <c r="AR37" s="34">
        <v>0</v>
      </c>
      <c r="AS37" s="34">
        <v>0</v>
      </c>
      <c r="AT37" s="34">
        <v>0</v>
      </c>
      <c r="AU37" s="34">
        <v>0</v>
      </c>
      <c r="AV37" s="34">
        <v>0</v>
      </c>
      <c r="AW37" s="34">
        <v>0</v>
      </c>
      <c r="AX37" s="34">
        <v>0</v>
      </c>
      <c r="AY37" s="34">
        <v>0</v>
      </c>
      <c r="AZ37" s="34">
        <v>0</v>
      </c>
      <c r="BA37" s="34">
        <v>0</v>
      </c>
      <c r="BB37" s="34">
        <v>0</v>
      </c>
      <c r="BC37" s="34">
        <v>0</v>
      </c>
      <c r="BD37" s="34">
        <v>0</v>
      </c>
      <c r="BE37" s="34">
        <v>0</v>
      </c>
      <c r="BF37" s="34">
        <v>0</v>
      </c>
      <c r="BG37" s="34">
        <v>0</v>
      </c>
      <c r="BH37" s="34">
        <v>0</v>
      </c>
      <c r="BI37" s="34">
        <v>0</v>
      </c>
      <c r="BJ37" s="34">
        <v>0</v>
      </c>
      <c r="BK37" s="34">
        <v>0</v>
      </c>
      <c r="BL37" s="34">
        <v>0</v>
      </c>
      <c r="BM37" s="34">
        <v>0</v>
      </c>
      <c r="BN37" s="34">
        <v>0</v>
      </c>
    </row>
    <row r="38" spans="1:66">
      <c r="C38">
        <f>SUM(C8:C37)</f>
        <v>1475</v>
      </c>
      <c r="D38">
        <f>SUM(D8:D37)</f>
        <v>7372</v>
      </c>
      <c r="E38" s="15">
        <f>SUM(E8:E37)</f>
        <v>429.3</v>
      </c>
      <c r="F38" s="15">
        <f>SUM(F8:F37)</f>
        <v>0</v>
      </c>
      <c r="G38" s="15">
        <f>SUM(G8:G37)</f>
        <v>0</v>
      </c>
      <c r="H38" s="15">
        <f>SUM(H8:H37)</f>
        <v>0</v>
      </c>
      <c r="I38" s="15">
        <f>SUM(I8:I37)</f>
        <v>0</v>
      </c>
      <c r="J38" s="15">
        <f>SUM(J8:J37)</f>
        <v>0</v>
      </c>
      <c r="K38" s="15">
        <f>SUM(K8:K37)</f>
        <v>244.5</v>
      </c>
      <c r="L38" s="34">
        <v>0</v>
      </c>
      <c r="M38" s="15">
        <f>SUM(M8:M37)</f>
        <v>122.29999999999997</v>
      </c>
      <c r="N38" s="15">
        <f>SUM(N8:N37)</f>
        <v>0</v>
      </c>
      <c r="O38" s="15">
        <f>SUM(O8:O37)</f>
        <v>0</v>
      </c>
      <c r="P38" s="15">
        <f>SUM(P8:P37)</f>
        <v>0</v>
      </c>
      <c r="Q38" s="15">
        <f>SUM(Q8:Q37)</f>
        <v>0</v>
      </c>
      <c r="R38" s="15">
        <f>SUM(R8:R37)</f>
        <v>0</v>
      </c>
      <c r="S38" s="15">
        <f>SUM(S8:S37)</f>
        <v>0</v>
      </c>
      <c r="T38" s="15">
        <f>SUM(T8:T37)</f>
        <v>0</v>
      </c>
      <c r="U38" s="15">
        <f>SUM(U8:U37)</f>
        <v>161.79999999999998</v>
      </c>
      <c r="V38" s="15">
        <f>SUM(V8:V37)</f>
        <v>0</v>
      </c>
      <c r="W38" s="15">
        <f>SUM(W8:W37)</f>
        <v>5088</v>
      </c>
      <c r="X38" s="15">
        <f>SUM(X8:X37)</f>
        <v>17800000</v>
      </c>
      <c r="Y38" s="15">
        <f>SUM(Y8:Y37)</f>
        <v>0</v>
      </c>
      <c r="Z38" s="15">
        <f>SUM(Z8:Z37)</f>
        <v>0</v>
      </c>
      <c r="AA38" s="15">
        <f>SUM(AA8:AA37)</f>
        <v>0</v>
      </c>
      <c r="AB38" s="15">
        <f>SUM(AB8:AB37)</f>
        <v>0</v>
      </c>
      <c r="AC38" s="15">
        <f>SUM(AC8:AC37)</f>
        <v>0</v>
      </c>
      <c r="AD38" s="15">
        <f>SUM(AD8:AD37)</f>
        <v>0</v>
      </c>
      <c r="AE38" s="15">
        <f>SUM(AE8:AE37)</f>
        <v>0</v>
      </c>
      <c r="AF38" s="15">
        <f>SUM(AF8:AF37)</f>
        <v>0</v>
      </c>
      <c r="AG38" s="15">
        <f>SUM(AG8:AG37)</f>
        <v>12250</v>
      </c>
      <c r="AH38" s="15">
        <f>SUM(AH8:AH37)</f>
        <v>0</v>
      </c>
      <c r="AI38" s="15">
        <f>SUM(AI8:AI37)</f>
        <v>0</v>
      </c>
      <c r="AJ38" s="15">
        <f>SUM(AJ8:AJ37)</f>
        <v>0</v>
      </c>
      <c r="AK38" s="15">
        <f>SUM(AK8:AK37)</f>
        <v>0</v>
      </c>
      <c r="AL38" s="15">
        <f>SUM(AL8:AL37)</f>
        <v>0</v>
      </c>
      <c r="AM38" s="15">
        <f>SUM(AM8:AM37)</f>
        <v>0</v>
      </c>
      <c r="AN38" s="15">
        <f>SUM(AN8:AN37)</f>
        <v>0</v>
      </c>
      <c r="AO38" s="15">
        <f>SUM(AO8:AO37)</f>
        <v>0</v>
      </c>
      <c r="AP38" s="15">
        <f>SUM(AP8:AP37)</f>
        <v>0</v>
      </c>
      <c r="AQ38" s="15">
        <f>SUM(AQ8:AQ37)</f>
        <v>0</v>
      </c>
      <c r="AR38" s="15">
        <f>SUM(AR8:AR37)</f>
        <v>0</v>
      </c>
      <c r="AS38" s="15">
        <f>SUM(AS8:AS37)</f>
        <v>0</v>
      </c>
      <c r="AT38" s="15">
        <f>SUM(AT8:AT37)</f>
        <v>0</v>
      </c>
      <c r="AU38" s="15">
        <f>SUM(AU8:AU37)</f>
        <v>0</v>
      </c>
      <c r="AV38" s="15">
        <f>SUM(AV8:AV37)</f>
        <v>0</v>
      </c>
      <c r="AW38" s="15">
        <f>SUM(AW8:AW37)</f>
        <v>0</v>
      </c>
      <c r="AX38" s="15">
        <f>SUM(AX8:AX37)</f>
        <v>0</v>
      </c>
      <c r="AY38" s="15">
        <f>SUM(AY8:AY37)</f>
        <v>0</v>
      </c>
      <c r="AZ38" s="15">
        <f>SUM(AZ8:AZ37)</f>
        <v>0</v>
      </c>
      <c r="BA38" s="15">
        <f>SUM(BA8:BA37)</f>
        <v>0</v>
      </c>
      <c r="BB38" s="15">
        <f>SUM(BB8:BB37)</f>
        <v>0</v>
      </c>
      <c r="BC38" s="15">
        <f>SUM(BC8:BC37)</f>
        <v>0</v>
      </c>
      <c r="BD38" s="15">
        <f>SUM(BD8:BD37)</f>
        <v>0</v>
      </c>
      <c r="BE38" s="15">
        <f>SUM(BE8:BE37)</f>
        <v>0</v>
      </c>
      <c r="BF38" s="15">
        <f>SUM(BF8:BF37)</f>
        <v>0</v>
      </c>
      <c r="BG38" s="15">
        <f>SUM(BG8:BG37)</f>
        <v>0</v>
      </c>
      <c r="BH38" s="15">
        <f>SUM(BH8:BH37)</f>
        <v>0</v>
      </c>
      <c r="BI38" s="15">
        <f>SUM(BI8:BI37)</f>
        <v>0</v>
      </c>
      <c r="BJ38" s="15">
        <f>SUM(BJ8:BJ37)</f>
        <v>0</v>
      </c>
      <c r="BK38" s="15">
        <f>SUM(BK8:BK37)</f>
        <v>0</v>
      </c>
      <c r="BL38" s="15">
        <f>SUM(BL8:BL37)</f>
        <v>0</v>
      </c>
      <c r="BM38" s="15">
        <f>SUM(BM8:BM37)</f>
        <v>0</v>
      </c>
      <c r="BN38" s="15">
        <f>SUM(BN8:BN37)</f>
        <v>0</v>
      </c>
    </row>
  </sheetData>
  <mergeCells count="11">
    <mergeCell ref="E4:J5"/>
    <mergeCell ref="B3:D3"/>
    <mergeCell ref="B4:B6"/>
    <mergeCell ref="C4:C6"/>
    <mergeCell ref="D4:D6"/>
    <mergeCell ref="U4:V5"/>
    <mergeCell ref="W4:AJ5"/>
    <mergeCell ref="AK4:BB5"/>
    <mergeCell ref="BC4:BN5"/>
    <mergeCell ref="K4:L5"/>
    <mergeCell ref="M4:T5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  <SharedWithUsers xmlns="a2b08d59-ce98-408b-b7f1-7ea559ce0d50">
      <UserInfo>
        <DisplayName/>
        <AccountId xsi:nil="true"/>
        <AccountType/>
      </UserInfo>
    </SharedWithUsers>
    <MediaLengthInSeconds xmlns="2e11796f-5f26-4c51-a1e5-22e0f1616a7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6" ma:contentTypeDescription="Create a new document." ma:contentTypeScope="" ma:versionID="81c4672c6da02fb7b1db7e17f6ab04dc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5e8184ae449050ae8cb2550de7fb5cfb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2154773-ac21-4fb3-b0da-32da3ecd890c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EAE74F4-7ADC-443D-BDD6-B8BBEBD453EB}"/>
</file>

<file path=customXml/itemProps2.xml><?xml version="1.0" encoding="utf-8"?>
<ds:datastoreItem xmlns:ds="http://schemas.openxmlformats.org/officeDocument/2006/customXml" ds:itemID="{3F63AC17-9EFD-48DA-BB12-4FD1F7102A5E}"/>
</file>

<file path=customXml/itemProps3.xml><?xml version="1.0" encoding="utf-8"?>
<ds:datastoreItem xmlns:ds="http://schemas.openxmlformats.org/officeDocument/2006/customXml" ds:itemID="{F9D93A6F-4B04-4E8E-B18F-8C2CDED87FD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Wu</dc:creator>
  <cp:keywords/>
  <dc:description/>
  <cp:lastModifiedBy>Dinna Wiji Safitri</cp:lastModifiedBy>
  <cp:revision/>
  <dcterms:created xsi:type="dcterms:W3CDTF">2020-09-16T08:52:25Z</dcterms:created>
  <dcterms:modified xsi:type="dcterms:W3CDTF">2023-02-24T09:27:36Z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Order">
    <vt:r8>5782800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