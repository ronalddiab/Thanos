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8" i="7" l="1"/>
  <c r="BV29" i="7"/>
  <c r="AV19" i="7"/>
  <c r="CS27" i="7" l="1"/>
  <c r="BZ27" i="7"/>
  <c r="AJ27" i="7"/>
  <c r="AJ28" i="7"/>
  <c r="BD24" i="7" l="1"/>
  <c r="BD25" i="7"/>
  <c r="BX22" i="7" l="1"/>
  <c r="BT22" i="7"/>
  <c r="BB22" i="7"/>
  <c r="AZ22" i="7"/>
  <c r="BP18" i="7" l="1"/>
  <c r="T19" i="7"/>
  <c r="F16" i="7" l="1"/>
  <c r="CF15" i="7" l="1"/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M18" i="7" s="1"/>
  <c r="CS19" i="7"/>
  <c r="CS20" i="7"/>
  <c r="CS21" i="7"/>
  <c r="CS22" i="7"/>
  <c r="CS23" i="7"/>
  <c r="CS24" i="7"/>
  <c r="CS25" i="7"/>
  <c r="CS26" i="7"/>
  <c r="CM26" i="7" s="1"/>
  <c r="CS28" i="7"/>
  <c r="CS29" i="7"/>
  <c r="CS30" i="7"/>
  <c r="CS31" i="7"/>
  <c r="CS32" i="7"/>
  <c r="CS33" i="7"/>
  <c r="CS34" i="7"/>
  <c r="CS4" i="7"/>
  <c r="CQ5" i="7"/>
  <c r="CQ6" i="7"/>
  <c r="CM6" i="7" s="1"/>
  <c r="CQ7" i="7"/>
  <c r="CM7" i="7" s="1"/>
  <c r="CQ8" i="7"/>
  <c r="CM8" i="7" s="1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M31" i="7" s="1"/>
  <c r="CQ32" i="7"/>
  <c r="CM32" i="7" s="1"/>
  <c r="CQ33" i="7"/>
  <c r="CM33" i="7" s="1"/>
  <c r="CQ34" i="7"/>
  <c r="CQ4" i="7"/>
  <c r="CM4" i="7" s="1"/>
  <c r="CM29" i="7" l="1"/>
  <c r="CM30" i="7"/>
  <c r="CM34" i="7"/>
  <c r="CM5" i="7"/>
  <c r="CM28" i="7"/>
  <c r="CM27" i="7"/>
  <c r="CM25" i="7"/>
  <c r="CM24" i="7"/>
  <c r="CM23" i="7"/>
  <c r="CM22" i="7"/>
  <c r="CM21" i="7"/>
  <c r="CM20" i="7"/>
  <c r="CM19" i="7"/>
  <c r="CM17" i="7"/>
  <c r="CM16" i="7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8" i="7"/>
  <c r="BZ29" i="7"/>
  <c r="BZ30" i="7"/>
  <c r="BZ31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27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AM20" i="6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<sst xmlns="http://schemas.openxmlformats.org/spreadsheetml/2006/main" count="314" uniqueCount="149">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</sst>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6740.000000000583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36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7160.0000000000755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35.699999999999818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7200.00000000004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48.599999999999909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7280.0000000003774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50.300000000000182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8359.9999999995016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51.699999999999818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8989.9999999998145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63.300000000000182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9740.0000000004729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65.599999999999909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8559.9999999998108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53.200000000000273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11769.999999999749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74.599999999999909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10610.000000000404</v>
      </c>
      <c r="F23" s="11">
        <f t="shared" si="1"/>
        <v>0.58765030286592534</v>
      </c>
      <c r="G23" s="12">
        <f>(Submetering!AX23+Submetering!AY23+Submetering!AZ23+Submetering!BA23+Submetering!BB23)</f>
        <v>23.8095</v>
      </c>
      <c r="H23" s="11">
        <f t="shared" si="2"/>
        <v>0.99</v>
      </c>
      <c r="I23" s="12">
        <f>'FS Desroches Daily'!CM25</f>
        <v>55.400000000000091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8829.9999999995471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56.599999999999909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9850.0000000002001</v>
      </c>
      <c r="F25" s="11">
        <f t="shared" si="1"/>
        <v>0.58765030286592534</v>
      </c>
      <c r="G25" s="12">
        <f>(Submetering!AX25+Submetering!AY25+Submetering!AZ25+Submetering!BA25+Submetering!BB25)</f>
        <v>25.640999999999998</v>
      </c>
      <c r="H25" s="11">
        <f t="shared" si="2"/>
        <v>0.99</v>
      </c>
      <c r="I25" s="12">
        <f>'FS Desroches Daily'!CM27</f>
        <v>64.400000000000091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11740.000000000409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61.199999999999818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195.31</v>
      </c>
      <c r="AM11" s="32">
        <f>'FS Desroches Daily'!BT13</f>
        <v>20.000000000010232</v>
      </c>
      <c r="AN11" s="32">
        <f>'FS Desroches Daily'!BV13</f>
        <v>26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26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26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 t="str">
        <f>'FS Desroches Daily'!CF15</f>
        <v/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2099.9999999999909</v>
      </c>
      <c r="F14" s="32">
        <f>'FS Desroches Daily'!F16</f>
        <v>1600.0000000002678</v>
      </c>
      <c r="G14" s="31">
        <f>'FS Desroches Daily'!H16</f>
        <v>1700.0000000000348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700.00000000014495</v>
      </c>
      <c r="K14" s="13">
        <f>'FS Desroches Daily'!P16</f>
        <v>0</v>
      </c>
      <c r="L14" s="31">
        <f>'FS Desroches Daily'!R16</f>
        <v>0</v>
      </c>
      <c r="M14" s="31">
        <f>'FS Desroches Daily'!T16</f>
        <v>95</v>
      </c>
      <c r="N14" s="31">
        <f>'FS Desroches Daily'!V16</f>
        <v>73.800000000046566</v>
      </c>
      <c r="O14" s="31">
        <f>'FS Desroches Daily'!X16</f>
        <v>189.99999999999773</v>
      </c>
      <c r="P14" s="31">
        <f>'FS Desroches Daily'!Z16</f>
        <v>1300.0000000000789</v>
      </c>
      <c r="Q14" s="31">
        <f>'FS Desroches Daily'!AB16</f>
        <v>199.99999999998863</v>
      </c>
      <c r="R14" s="31">
        <f>'FS Desroches Daily'!AD16</f>
        <v>250</v>
      </c>
      <c r="S14" s="31">
        <f>'FS Desroches Daily'!AF16</f>
        <v>169.99999999995907</v>
      </c>
      <c r="T14" s="31">
        <f>'FS Desroches Daily'!AH16</f>
        <v>0.70000000000004547</v>
      </c>
      <c r="U14" s="35">
        <f>'FS Desroches Daily'!AJ16</f>
        <v>600.00000000002274</v>
      </c>
      <c r="V14" s="35">
        <f>'FS Desroches Daily'!AL16</f>
        <v>159.99999999999659</v>
      </c>
      <c r="W14" s="35">
        <f>'FS Desroches Daily'!AN16</f>
        <v>179.9999999999784</v>
      </c>
      <c r="X14" s="35">
        <f>'FS Desroches Daily'!AP16</f>
        <v>140.00000000001478</v>
      </c>
      <c r="Y14" s="35">
        <f>'FS Desroches Daily'!AR16</f>
        <v>100.00000000002274</v>
      </c>
      <c r="Z14" s="35">
        <f>'FS Desroches Daily'!AT16</f>
        <v>110.00000000001364</v>
      </c>
      <c r="AA14" s="35">
        <f>'FS Desroches Daily'!AT16</f>
        <v>110.00000000001364</v>
      </c>
      <c r="AB14" s="35">
        <f>'FS Desroches Daily'!AV16</f>
        <v>120.00000000000455</v>
      </c>
      <c r="AC14" s="35">
        <f>'FS Desroches Daily'!AZ16</f>
        <v>129.99999999999545</v>
      </c>
      <c r="AD14" s="35">
        <f>'FS Desroches Daily'!BB16</f>
        <v>129.99999999999545</v>
      </c>
      <c r="AE14" s="35">
        <f>'FS Desroches Daily'!BD16</f>
        <v>50.000000000011369</v>
      </c>
      <c r="AF14" s="31">
        <f>'FS Desroches Daily'!BF16</f>
        <v>37</v>
      </c>
      <c r="AG14" s="32">
        <f>'FS Desroches Daily'!BH16</f>
        <v>39.999999999992042</v>
      </c>
      <c r="AH14" s="32">
        <f>'FS Desroches Daily'!BJ16</f>
        <v>49.999999999954525</v>
      </c>
      <c r="AI14" s="32">
        <f>'FS Desroches Daily'!BL16</f>
        <v>20.000000000010232</v>
      </c>
      <c r="AJ14" s="32">
        <f>'FS Desroches Daily'!BN16</f>
        <v>30.000000000001137</v>
      </c>
      <c r="AK14" s="32">
        <f>'FS Desroches Daily'!BP16</f>
        <v>29.999999999972715</v>
      </c>
      <c r="AL14" s="32">
        <f>'FS Desroches Daily'!BR16</f>
        <v>27</v>
      </c>
      <c r="AM14" s="32">
        <f>'FS Desroches Daily'!BT16</f>
        <v>19.99999999998181</v>
      </c>
      <c r="AN14" s="32">
        <f>'FS Desroches Daily'!BV16</f>
        <v>26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15.799999999999272</v>
      </c>
      <c r="AR14" s="31">
        <f>'FS Desroches Daily'!CD16</f>
        <v>0</v>
      </c>
      <c r="AS14" s="31">
        <f>'FS Desroches Daily'!CF16</f>
        <v>0.5999999999994543</v>
      </c>
      <c r="AT14" s="31">
        <f>'FS Desroches Daily'!CH16</f>
        <v>40.599999999998545</v>
      </c>
      <c r="AU14" s="31">
        <f>'FS Desroches Daily'!CJ16</f>
        <v>276</v>
      </c>
      <c r="AV14" s="31">
        <f>'FS Desroches Daily'!CL16</f>
        <v>559.99999999994543</v>
      </c>
      <c r="AW14" s="31">
        <f>'FS Desroches Daily'!CM16</f>
        <v>36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2400.0000000001796</v>
      </c>
      <c r="F15" s="32">
        <f>'FS Desroches Daily'!F17</f>
        <v>799.99999999991189</v>
      </c>
      <c r="G15" s="31">
        <f>'FS Desroches Daily'!H17</f>
        <v>2200.0000000002019</v>
      </c>
      <c r="H15" s="32">
        <f>'FS Desroches Daily'!J17</f>
        <v>1399.9999999998458</v>
      </c>
      <c r="I15" s="31">
        <f>'FS Desroches Daily'!L17</f>
        <v>1900.0000000000127</v>
      </c>
      <c r="J15" s="32">
        <f>'FS Desroches Daily'!N17</f>
        <v>899.99999999990087</v>
      </c>
      <c r="K15" s="13">
        <f>'FS Desroches Daily'!P17</f>
        <v>1</v>
      </c>
      <c r="L15" s="31" t="str">
        <f>'FS Desroches Daily'!R17</f>
        <v/>
      </c>
      <c r="M15" s="31">
        <f>'FS Desroches Daily'!T17</f>
        <v>523.40000000002328</v>
      </c>
      <c r="N15" s="31">
        <f>'FS Desroches Daily'!V17</f>
        <v>302.79999999998836</v>
      </c>
      <c r="O15" s="31">
        <f>'FS Desroches Daily'!X17</f>
        <v>210.00000000003638</v>
      </c>
      <c r="P15" s="31">
        <f>'FS Desroches Daily'!Z17</f>
        <v>1600.0000000002678</v>
      </c>
      <c r="Q15" s="31">
        <f>'FS Desroches Daily'!AB17</f>
        <v>290.00000000002046</v>
      </c>
      <c r="R15" s="31">
        <f>'FS Desroches Daily'!AD17</f>
        <v>239.99999999995225</v>
      </c>
      <c r="S15" s="31">
        <f>'FS Desroches Daily'!AF17</f>
        <v>269.99999999998181</v>
      </c>
      <c r="T15" s="31">
        <f>'FS Desroches Daily'!AH17</f>
        <v>0.70000000000004547</v>
      </c>
      <c r="U15" s="35">
        <f>'FS Desroches Daily'!AJ17</f>
        <v>629.99999999999545</v>
      </c>
      <c r="V15" s="35">
        <f>'FS Desroches Daily'!AL17</f>
        <v>210.00000000000796</v>
      </c>
      <c r="W15" s="35">
        <f>'FS Desroches Daily'!AN17</f>
        <v>200.00000000001705</v>
      </c>
      <c r="X15" s="35">
        <f>'FS Desroches Daily'!AP17</f>
        <v>159.99999999999659</v>
      </c>
      <c r="Y15" s="35">
        <f>'FS Desroches Daily'!AR17</f>
        <v>139.99999999998636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139.99999999998636</v>
      </c>
      <c r="AC15" s="35">
        <f>'FS Desroches Daily'!AZ17</f>
        <v>129.99999999999545</v>
      </c>
      <c r="AD15" s="35">
        <f>'FS Desroches Daily'!BB17</f>
        <v>159.99999999996817</v>
      </c>
      <c r="AE15" s="35">
        <f>'FS Desroches Daily'!BD17</f>
        <v>59.999999999973852</v>
      </c>
      <c r="AF15" s="31">
        <f>'FS Desroches Daily'!BF17</f>
        <v>32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19.99999999998181</v>
      </c>
      <c r="AJ15" s="32">
        <f>'FS Desroches Daily'!BN17</f>
        <v>30.000000000001137</v>
      </c>
      <c r="AK15" s="32">
        <f>'FS Desroches Daily'!BP17</f>
        <v>40.000000000020464</v>
      </c>
      <c r="AL15" s="32">
        <f>'FS Desroches Daily'!BR17</f>
        <v>26</v>
      </c>
      <c r="AM15" s="32">
        <f>'FS Desroches Daily'!BT17</f>
        <v>30.000000000001137</v>
      </c>
      <c r="AN15" s="32">
        <f>'FS Desroches Daily'!BV17</f>
        <v>26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9.7000000000007276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42.200000000004366</v>
      </c>
      <c r="AU15" s="31">
        <f>'FS Desroches Daily'!CJ17</f>
        <v>300</v>
      </c>
      <c r="AV15" s="31">
        <f>'FS Desroches Daily'!CL17</f>
        <v>539.99999999996362</v>
      </c>
      <c r="AW15" s="31">
        <f>'FS Desroches Daily'!CM17</f>
        <v>35.699999999999818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1699.9999999998129</v>
      </c>
      <c r="F16" s="32">
        <f>'FS Desroches Daily'!F18</f>
        <v>2299.9999999999686</v>
      </c>
      <c r="G16" s="31">
        <f>'FS Desroches Daily'!H18</f>
        <v>1900.0000000000127</v>
      </c>
      <c r="H16" s="32">
        <f>'FS Desroches Daily'!J18</f>
        <v>1100.000000000101</v>
      </c>
      <c r="I16" s="31">
        <f>'FS Desroches Daily'!L18</f>
        <v>1999.9999999997797</v>
      </c>
      <c r="J16" s="32">
        <f>'FS Desroches Daily'!N18</f>
        <v>700.00000000014495</v>
      </c>
      <c r="K16" s="13">
        <f>'FS Desroches Daily'!P18</f>
        <v>1</v>
      </c>
      <c r="L16" s="31">
        <f>'FS Desroches Daily'!R18</f>
        <v>0</v>
      </c>
      <c r="M16" s="31">
        <f>'FS Desroches Daily'!T18</f>
        <v>327.80000000004657</v>
      </c>
      <c r="N16" s="31">
        <f>'FS Desroches Daily'!V18</f>
        <v>145.09999999997672</v>
      </c>
      <c r="O16" s="31">
        <f>'FS Desroches Daily'!X18</f>
        <v>149.99999999997726</v>
      </c>
      <c r="P16" s="31">
        <f>'FS Desroches Daily'!Z18</f>
        <v>1099.9999999996569</v>
      </c>
      <c r="Q16" s="31">
        <f>'FS Desroches Daily'!AB18</f>
        <v>250</v>
      </c>
      <c r="R16" s="31">
        <f>'FS Desroches Daily'!AD18</f>
        <v>140.0000000000432</v>
      </c>
      <c r="S16" s="31">
        <f>'FS Desroches Daily'!AF18</f>
        <v>170.00000000007276</v>
      </c>
      <c r="T16" s="31">
        <f>'FS Desroches Daily'!AH18</f>
        <v>0.6999999999998181</v>
      </c>
      <c r="U16" s="35">
        <f>'FS Desroches Daily'!AJ18</f>
        <v>519.99999999998181</v>
      </c>
      <c r="V16" s="35">
        <f>'FS Desroches Daily'!AL18</f>
        <v>109.99999999998522</v>
      </c>
      <c r="W16" s="35">
        <f>'FS Desroches Daily'!AN18</f>
        <v>149.99999999997726</v>
      </c>
      <c r="X16" s="35">
        <f>'FS Desroches Daily'!AP18</f>
        <v>99.999999999994316</v>
      </c>
      <c r="Y16" s="35">
        <f>'FS Desroches Daily'!AR18</f>
        <v>99.999999999994316</v>
      </c>
      <c r="Z16" s="35">
        <f>'FS Desroches Daily'!AT18</f>
        <v>90.000000000031832</v>
      </c>
      <c r="AA16" s="35">
        <f>'FS Desroches Daily'!AT18</f>
        <v>90.000000000031832</v>
      </c>
      <c r="AB16" s="35">
        <f>'FS Desroches Daily'!AV18</f>
        <v>110.00000000001364</v>
      </c>
      <c r="AC16" s="35">
        <f>'FS Desroches Daily'!AZ18</f>
        <v>129.99999999999545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27</v>
      </c>
      <c r="AG16" s="32">
        <f>'FS Desroches Daily'!BH18</f>
        <v>50.000000000011369</v>
      </c>
      <c r="AH16" s="32">
        <f>'FS Desroches Daily'!BJ18</f>
        <v>40.000000000020464</v>
      </c>
      <c r="AI16" s="32">
        <f>'FS Desroches Daily'!BL18</f>
        <v>30.000000000001137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17</v>
      </c>
      <c r="AM16" s="32">
        <f>'FS Desroches Daily'!BT18</f>
        <v>30.000000000001137</v>
      </c>
      <c r="AN16" s="32">
        <f>'FS Desroches Daily'!BV18</f>
        <v>26</v>
      </c>
      <c r="AO16" s="32">
        <f>'FS Desroches Daily'!BX18</f>
        <v>30.000000000001137</v>
      </c>
      <c r="AP16" s="32">
        <f>'FS Desroches Daily'!BZ18</f>
        <v>35</v>
      </c>
      <c r="AQ16" s="31">
        <f>'FS Desroches Daily'!CB18</f>
        <v>42.5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44</v>
      </c>
      <c r="AU16" s="31">
        <f>'FS Desroches Daily'!CJ18</f>
        <v>265</v>
      </c>
      <c r="AV16" s="31">
        <f>'FS Desroches Daily'!CL18</f>
        <v>500</v>
      </c>
      <c r="AW16" s="31">
        <f>'FS Desroches Daily'!CM18</f>
        <v>48.599999999999909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2200.0000000002019</v>
      </c>
      <c r="F17" s="32">
        <f>'FS Desroches Daily'!F19</f>
        <v>1600.0000000002678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699.99999999992292</v>
      </c>
      <c r="K17" s="13">
        <f>'FS Desroches Daily'!P19</f>
        <v>1</v>
      </c>
      <c r="L17" s="31">
        <f>'FS Desroches Daily'!R19</f>
        <v>0</v>
      </c>
      <c r="M17" s="31">
        <f>'FS Desroches Daily'!T19</f>
        <v>436.67999999993481</v>
      </c>
      <c r="N17" s="31">
        <f>'FS Desroches Daily'!V19</f>
        <v>231.70000000001164</v>
      </c>
      <c r="O17" s="31">
        <f>'FS Desroches Daily'!X19</f>
        <v>170.00000000001592</v>
      </c>
      <c r="P17" s="31">
        <f>'FS Desroches Daily'!Z19</f>
        <v>1300.0000000000789</v>
      </c>
      <c r="Q17" s="31">
        <f>'FS Desroches Daily'!AB19</f>
        <v>240.00000000000909</v>
      </c>
      <c r="R17" s="31">
        <f>'FS Desroches Daily'!AD19</f>
        <v>129.99999999999545</v>
      </c>
      <c r="S17" s="31">
        <f>'FS Desroches Daily'!AF19</f>
        <v>209.99999999992269</v>
      </c>
      <c r="T17" s="31">
        <f>'FS Desroches Daily'!AH19</f>
        <v>1</v>
      </c>
      <c r="U17" s="35">
        <f>'FS Desroches Daily'!AJ19</f>
        <v>620.00000000000455</v>
      </c>
      <c r="V17" s="35">
        <f>'FS Desroches Daily'!AL19</f>
        <v>140.00000000001478</v>
      </c>
      <c r="W17" s="35">
        <f>'FS Desroches Daily'!AN19</f>
        <v>120.00000000000455</v>
      </c>
      <c r="X17" s="35">
        <f>'FS Desroches Daily'!AP19</f>
        <v>129.99999999999545</v>
      </c>
      <c r="Y17" s="35">
        <f>'FS Desroches Daily'!AR19</f>
        <v>90.000000000003411</v>
      </c>
      <c r="Z17" s="35">
        <f>'FS Desroches Daily'!AU20</f>
        <v>272.02</v>
      </c>
      <c r="AA17" s="35">
        <f>'FS Desroches Daily'!AU20</f>
        <v>272.02</v>
      </c>
      <c r="AB17" s="35" t="str">
        <f>'FS Desroches Daily'!AV19</f>
        <v/>
      </c>
      <c r="AC17" s="35">
        <f>'FS Desroches Daily'!AZ19</f>
        <v>170.00000000001592</v>
      </c>
      <c r="AD17" s="35">
        <f>'FS Desroches Daily'!BB19</f>
        <v>199.99999999998863</v>
      </c>
      <c r="AE17" s="35">
        <f>'FS Desroches Daily'!BD19</f>
        <v>49.999999999982947</v>
      </c>
      <c r="AF17" s="31">
        <f>'FS Desroches Daily'!BF19</f>
        <v>28</v>
      </c>
      <c r="AG17" s="32">
        <f>'FS Desroches Daily'!BH19</f>
        <v>19.99999999998181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20.000000000010232</v>
      </c>
      <c r="AK17" s="32">
        <f>'FS Desroches Daily'!BP19</f>
        <v>30.000000000029559</v>
      </c>
      <c r="AL17" s="32">
        <f>'FS Desroches Daily'!BR19</f>
        <v>19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23</v>
      </c>
      <c r="AR17" s="31">
        <f>'FS Desroches Daily'!CD19</f>
        <v>0</v>
      </c>
      <c r="AS17" s="31">
        <f>'FS Desroches Daily'!CF19</f>
        <v>1.9000000000005457</v>
      </c>
      <c r="AT17" s="31">
        <f>'FS Desroches Daily'!CH19</f>
        <v>39.799999999995634</v>
      </c>
      <c r="AU17" s="31">
        <f>'FS Desroches Daily'!CJ19</f>
        <v>289</v>
      </c>
      <c r="AV17" s="31">
        <f>'FS Desroches Daily'!CL19</f>
        <v>520.0000000000955</v>
      </c>
      <c r="AW17" s="31">
        <f>'FS Desroches Daily'!CM19</f>
        <v>50.300000000000182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2499.9999999999468</v>
      </c>
      <c r="F18" s="32">
        <f>'FS Desroches Daily'!F20</f>
        <v>2299.9999999999686</v>
      </c>
      <c r="G18" s="31">
        <f>'FS Desroches Daily'!H20</f>
        <v>1999.9999999997797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799.99999999991189</v>
      </c>
      <c r="K18" s="13">
        <f>'FS Desroches Daily'!P20</f>
        <v>1</v>
      </c>
      <c r="L18" s="31">
        <f>'FS Desroches Daily'!R20</f>
        <v>0</v>
      </c>
      <c r="M18" s="31">
        <f>'FS Desroches Daily'!T20</f>
        <v>357.11999999999534</v>
      </c>
      <c r="N18" s="31">
        <f>'FS Desroches Daily'!V20</f>
        <v>191.40000000002328</v>
      </c>
      <c r="O18" s="31">
        <f>'FS Desroches Daily'!X20</f>
        <v>219.99999999997044</v>
      </c>
      <c r="P18" s="31">
        <f>'FS Desroches Daily'!Z20</f>
        <v>2200.0000000002019</v>
      </c>
      <c r="Q18" s="31">
        <f>'FS Desroches Daily'!AB20</f>
        <v>310.00000000000227</v>
      </c>
      <c r="R18" s="31">
        <f>'FS Desroches Daily'!AD20</f>
        <v>139.99999999998636</v>
      </c>
      <c r="S18" s="31">
        <f>'FS Desroches Daily'!AF20</f>
        <v>250</v>
      </c>
      <c r="T18" s="31">
        <f>'FS Desroches Daily'!AH20</f>
        <v>1.8000000000001819</v>
      </c>
      <c r="U18" s="35">
        <f>'FS Desroches Daily'!AJ20</f>
        <v>600.00000000002274</v>
      </c>
      <c r="V18" s="35">
        <f>'FS Desroches Daily'!AL20</f>
        <v>239.99999999998067</v>
      </c>
      <c r="W18" s="35">
        <f>'FS Desroches Daily'!AN20</f>
        <v>159.99999999999659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219.99999999997044</v>
      </c>
      <c r="AA18" s="35">
        <f>'FS Desroches Daily'!AT20</f>
        <v>219.99999999997044</v>
      </c>
      <c r="AB18" s="35">
        <f>'FS Desroches Daily'!AV20</f>
        <v>930.00000000000682</v>
      </c>
      <c r="AC18" s="35">
        <f>'FS Desroches Daily'!AZ20</f>
        <v>250</v>
      </c>
      <c r="AD18" s="35">
        <f>'FS Desroches Daily'!BB20</f>
        <v>300.00000000001137</v>
      </c>
      <c r="AE18" s="35">
        <f>'FS Desroches Daily'!BD20</f>
        <v>60.000000000002274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39.99999999996362</v>
      </c>
      <c r="AI18" s="32">
        <f>'FS Desroches Daily'!BL20</f>
        <v>30.000000000001137</v>
      </c>
      <c r="AJ18" s="32">
        <f>'FS Desroches Daily'!BN20</f>
        <v>19.99999999998181</v>
      </c>
      <c r="AK18" s="32">
        <f>'FS Desroches Daily'!BP20</f>
        <v>29.999999999972715</v>
      </c>
      <c r="AL18" s="32">
        <f>'FS Desroches Daily'!BR20</f>
        <v>22</v>
      </c>
      <c r="AM18" s="32">
        <f>'FS Desroches Daily'!BT20</f>
        <v>39.999999999992042</v>
      </c>
      <c r="AN18" s="32">
        <f>'FS Desroches Daily'!BV20</f>
        <v>26</v>
      </c>
      <c r="AO18" s="32">
        <f>'FS Desroches Daily'!BX20</f>
        <v>30.000000000001137</v>
      </c>
      <c r="AP18" s="32">
        <f>'FS Desroches Daily'!BZ20</f>
        <v>46</v>
      </c>
      <c r="AQ18" s="31">
        <f>'FS Desroches Daily'!CB20</f>
        <v>38.799999999999272</v>
      </c>
      <c r="AR18" s="31">
        <f>'FS Desroches Daily'!CD20</f>
        <v>0</v>
      </c>
      <c r="AS18" s="31">
        <f>'FS Desroches Daily'!CF20</f>
        <v>1.5</v>
      </c>
      <c r="AT18" s="31">
        <f>'FS Desroches Daily'!CH20</f>
        <v>46.599999999998545</v>
      </c>
      <c r="AU18" s="31">
        <f>'FS Desroches Daily'!CJ20</f>
        <v>279</v>
      </c>
      <c r="AV18" s="31">
        <f>'FS Desroches Daily'!CL20</f>
        <v>539.99999999996362</v>
      </c>
      <c r="AW18" s="31">
        <f>'FS Desroches Daily'!CM20</f>
        <v>51.699999999999818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2799.9999999999136</v>
      </c>
      <c r="F19" s="32">
        <f>'FS Desroches Daily'!F21</f>
        <v>2199.9999999997576</v>
      </c>
      <c r="G19" s="31">
        <f>'FS Desroches Daily'!H21</f>
        <v>2299.9999999999686</v>
      </c>
      <c r="H19" s="32">
        <f>'FS Desroches Daily'!J21</f>
        <v>1300.0000000000789</v>
      </c>
      <c r="I19" s="31">
        <f>'FS Desroches Daily'!L21</f>
        <v>2000.0000000002237</v>
      </c>
      <c r="J19" s="32">
        <f>'FS Desroches Daily'!N21</f>
        <v>1000.0000000001119</v>
      </c>
      <c r="K19" s="13">
        <f>'FS Desroches Daily'!P21</f>
        <v>1</v>
      </c>
      <c r="L19" s="31">
        <f>'FS Desroches Daily'!R21</f>
        <v>0</v>
      </c>
      <c r="M19" s="31">
        <f>'FS Desroches Daily'!T21</f>
        <v>493.20000000006985</v>
      </c>
      <c r="N19" s="31">
        <f>'FS Desroches Daily'!V21</f>
        <v>268.59999999997672</v>
      </c>
      <c r="O19" s="31">
        <f>'FS Desroches Daily'!X21</f>
        <v>250</v>
      </c>
      <c r="P19" s="31">
        <f>'FS Desroches Daily'!Z21</f>
        <v>1900.0000000000127</v>
      </c>
      <c r="Q19" s="31">
        <f>'FS Desroches Daily'!AB21</f>
        <v>449.99999999998863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1.3999999999998636</v>
      </c>
      <c r="U19" s="35">
        <f>'FS Desroches Daily'!AJ21</f>
        <v>639.99999999998636</v>
      </c>
      <c r="V19" s="35">
        <f>'FS Desroches Daily'!AL21</f>
        <v>310.00000000000227</v>
      </c>
      <c r="W19" s="35">
        <f>'FS Desroches Daily'!AN21</f>
        <v>160.00000000002501</v>
      </c>
      <c r="X19" s="35">
        <f>'FS Desroches Daily'!AP21</f>
        <v>150.00000000000568</v>
      </c>
      <c r="Y19" s="35">
        <f>'FS Desroches Daily'!AR21</f>
        <v>120.00000000000455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129.99999999999545</v>
      </c>
      <c r="AC19" s="35">
        <f>'FS Desroches Daily'!AZ21</f>
        <v>259.99999999999091</v>
      </c>
      <c r="AD19" s="35">
        <f>'FS Desroches Daily'!BB21</f>
        <v>240.00000000000909</v>
      </c>
      <c r="AE19" s="35">
        <f>'FS Desroches Daily'!BD21</f>
        <v>110.00000000001364</v>
      </c>
      <c r="AF19" s="31">
        <f>'FS Desroches Daily'!BF21</f>
        <v>29</v>
      </c>
      <c r="AG19" s="32">
        <f>'FS Desroches Daily'!BH21</f>
        <v>30.000000000001137</v>
      </c>
      <c r="AH19" s="32">
        <f>'FS Desroches Daily'!BJ21</f>
        <v>40.000000000020464</v>
      </c>
      <c r="AI19" s="32">
        <f>'FS Desroches Daily'!BL21</f>
        <v>30.000000000001137</v>
      </c>
      <c r="AJ19" s="32">
        <f>'FS Desroches Daily'!BN21</f>
        <v>20.000000000010232</v>
      </c>
      <c r="AK19" s="32">
        <f>'FS Desroches Daily'!BP21</f>
        <v>30.000000000029559</v>
      </c>
      <c r="AL19" s="32">
        <f>'FS Desroches Daily'!BR21</f>
        <v>22</v>
      </c>
      <c r="AM19" s="32">
        <f>'FS Desroches Daily'!BT21</f>
        <v>39.999999999992042</v>
      </c>
      <c r="AN19" s="32">
        <f>'FS Desroches Daily'!BV21</f>
        <v>26</v>
      </c>
      <c r="AO19" s="32">
        <f>'FS Desroches Daily'!BX21</f>
        <v>20.000000000010232</v>
      </c>
      <c r="AP19" s="32">
        <f>'FS Desroches Daily'!BZ21</f>
        <v>36</v>
      </c>
      <c r="AQ19" s="31">
        <f>'FS Desroches Daily'!CB21</f>
        <v>40.400000000001455</v>
      </c>
      <c r="AR19" s="31">
        <f>'FS Desroches Daily'!CD21</f>
        <v>0</v>
      </c>
      <c r="AS19" s="31">
        <f>'FS Desroches Daily'!CF21</f>
        <v>12.5</v>
      </c>
      <c r="AT19" s="31">
        <f>'FS Desroches Daily'!CH21</f>
        <v>45</v>
      </c>
      <c r="AU19" s="31">
        <f>'FS Desroches Daily'!CJ21</f>
        <v>319</v>
      </c>
      <c r="AV19" s="31">
        <f>'FS Desroches Daily'!CL21</f>
        <v>610.00000000001364</v>
      </c>
      <c r="AW19" s="31">
        <f>'FS Desroches Daily'!CM21</f>
        <v>63.300000000000182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2800.0000000001355</v>
      </c>
      <c r="F20" s="32">
        <f>'FS Desroches Daily'!F22</f>
        <v>2800.0000000001355</v>
      </c>
      <c r="G20" s="31">
        <f>'FS Desroches Daily'!H22</f>
        <v>2400.0000000001796</v>
      </c>
      <c r="H20" s="32">
        <f>'FS Desroches Daily'!J22</f>
        <v>1400.0000000000678</v>
      </c>
      <c r="I20" s="31">
        <f>'FS Desroches Daily'!L22</f>
        <v>2199.9999999997576</v>
      </c>
      <c r="J20" s="32">
        <f>'FS Desroches Daily'!N22</f>
        <v>899.99999999990087</v>
      </c>
      <c r="K20" s="13">
        <f>'FS Desroches Daily'!P22</f>
        <v>1</v>
      </c>
      <c r="L20" s="31">
        <f>'FS Desroches Daily'!R22</f>
        <v>10</v>
      </c>
      <c r="M20" s="31">
        <f>'FS Desroches Daily'!T22</f>
        <v>606.79999999993015</v>
      </c>
      <c r="N20" s="31">
        <f>'FS Desroches Daily'!V22</f>
        <v>288.20000000001164</v>
      </c>
      <c r="O20" s="31">
        <f>'FS Desroches Daily'!X22</f>
        <v>240.00000000000909</v>
      </c>
      <c r="P20" s="31">
        <f>'FS Desroches Daily'!Z22</f>
        <v>2499.9999999999468</v>
      </c>
      <c r="Q20" s="31">
        <f>'FS Desroches Daily'!AB22</f>
        <v>409.99999999996817</v>
      </c>
      <c r="R20" s="31">
        <f>'FS Desroches Daily'!AD22</f>
        <v>189.99999999999773</v>
      </c>
      <c r="S20" s="31">
        <f>'FS Desroches Daily'!AF22</f>
        <v>200.00000000004547</v>
      </c>
      <c r="T20" s="31">
        <f>'FS Desroches Daily'!AH22</f>
        <v>1.7000000000000455</v>
      </c>
      <c r="U20" s="35">
        <f>'FS Desroches Daily'!AJ22</f>
        <v>680.00000000000682</v>
      </c>
      <c r="V20" s="35">
        <f>'FS Desroches Daily'!AL22</f>
        <v>300.00000000001137</v>
      </c>
      <c r="W20" s="35">
        <f>'FS Desroches Daily'!AN22</f>
        <v>149.99999999997726</v>
      </c>
      <c r="X20" s="35">
        <f>'FS Desroches Daily'!AP22</f>
        <v>159.99999999999659</v>
      </c>
      <c r="Y20" s="35">
        <f>'FS Desroches Daily'!AR22</f>
        <v>119.99999999997613</v>
      </c>
      <c r="Z20" s="35">
        <f>'FS Desroches Daily'!AT22</f>
        <v>269.99999999998181</v>
      </c>
      <c r="AA20" s="35">
        <f>'FS Desroches Daily'!AT22</f>
        <v>269.99999999998181</v>
      </c>
      <c r="AB20" s="35">
        <f>'FS Desroches Daily'!AV22</f>
        <v>140.0000000000432</v>
      </c>
      <c r="AC20" s="35">
        <f>'FS Desroches Daily'!AZ22</f>
        <v>269.99999999998181</v>
      </c>
      <c r="AD20" s="35">
        <f>'FS Desroches Daily'!BB22</f>
        <v>139.99999999998636</v>
      </c>
      <c r="AE20" s="35">
        <f>'FS Desroches Daily'!BD22</f>
        <v>120.00000000000455</v>
      </c>
      <c r="AF20" s="31">
        <f>'FS Desroches Daily'!BF22</f>
        <v>35</v>
      </c>
      <c r="AG20" s="32">
        <f>'FS Desroches Daily'!BH22</f>
        <v>39.999999999992042</v>
      </c>
      <c r="AH20" s="32">
        <f>'FS Desroches Daily'!BJ22</f>
        <v>50.000000000011369</v>
      </c>
      <c r="AI20" s="32" t="str">
        <f>'FS Desroches Daily'!BL22</f>
        <v/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33</v>
      </c>
      <c r="AM20" s="32">
        <f>'FS Desroches Daily'!BT22</f>
        <v>40.000000000020464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45.5</v>
      </c>
      <c r="AR20" s="31">
        <f>'FS Desroches Daily'!CD22</f>
        <v>0</v>
      </c>
      <c r="AS20" s="31">
        <f>'FS Desroches Daily'!CF22</f>
        <v>3.5999999999994543</v>
      </c>
      <c r="AT20" s="31">
        <f>'FS Desroches Daily'!CH22</f>
        <v>41.5</v>
      </c>
      <c r="AU20" s="31">
        <f>'FS Desroches Daily'!CJ22</f>
        <v>287</v>
      </c>
      <c r="AV20" s="31">
        <f>'FS Desroches Daily'!CL22</f>
        <v>559.99999999994543</v>
      </c>
      <c r="AW20" s="31">
        <f>'FS Desroches Daily'!CM22</f>
        <v>65.599999999999909</v>
      </c>
      <c r="AX20" s="31" t="str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2000.0000000000018</v>
      </c>
      <c r="F21" s="32">
        <f>'FS Desroches Daily'!F23</f>
        <v>2499.9999999999468</v>
      </c>
      <c r="G21" s="31">
        <f>'FS Desroches Daily'!H23</f>
        <v>2299.9999999999686</v>
      </c>
      <c r="H21" s="32">
        <f>'FS Desroches Daily'!J23</f>
        <v>1399.9999999998458</v>
      </c>
      <c r="I21" s="31">
        <f>'FS Desroches Daily'!L23</f>
        <v>2200.0000000002019</v>
      </c>
      <c r="J21" s="32">
        <f>'FS Desroches Daily'!N23</f>
        <v>900.0000000001229</v>
      </c>
      <c r="K21" s="13">
        <f>'FS Desroches Daily'!P23</f>
        <v>1</v>
      </c>
      <c r="L21" s="31">
        <f>'FS Desroches Daily'!R23</f>
        <v>14</v>
      </c>
      <c r="M21" s="31">
        <f>'FS Desroches Daily'!T23</f>
        <v>564.60000000009313</v>
      </c>
      <c r="N21" s="31">
        <f>'FS Desroches Daily'!V23</f>
        <v>243.59999999997672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400.00000000003411</v>
      </c>
      <c r="R21" s="31">
        <f>'FS Desroches Daily'!AD23</f>
        <v>189.99999999999773</v>
      </c>
      <c r="S21" s="31">
        <f>'FS Desroches Daily'!AF23</f>
        <v>179.99999999994998</v>
      </c>
      <c r="T21" s="31">
        <f>'FS Desroches Daily'!AH23</f>
        <v>2</v>
      </c>
      <c r="U21" s="35">
        <f>'FS Desroches Daily'!AJ23</f>
        <v>709.99999999997954</v>
      </c>
      <c r="V21" s="35">
        <f>'FS Desroches Daily'!AL23</f>
        <v>340.00000000000341</v>
      </c>
      <c r="W21" s="35">
        <f>'FS Desroches Daily'!AN23</f>
        <v>159.99999999999659</v>
      </c>
      <c r="X21" s="35">
        <f>'FS Desroches Daily'!AP23</f>
        <v>170.00000000001592</v>
      </c>
      <c r="Y21" s="35">
        <f>'FS Desroches Daily'!AR23</f>
        <v>120.00000000000455</v>
      </c>
      <c r="Z21" s="35">
        <f>'FS Desroches Daily'!AT23</f>
        <v>250</v>
      </c>
      <c r="AA21" s="35">
        <f>'FS Desroches Daily'!AT23</f>
        <v>250</v>
      </c>
      <c r="AB21" s="35">
        <f>'FS Desroches Daily'!AV23</f>
        <v>159.99999999996817</v>
      </c>
      <c r="AC21" s="35">
        <f>'FS Desroches Daily'!AZ23</f>
        <v>250</v>
      </c>
      <c r="AD21" s="35">
        <f>'FS Desroches Daily'!BB23</f>
        <v>400.00000000003411</v>
      </c>
      <c r="AE21" s="35">
        <f>'FS Desroches Daily'!BD23</f>
        <v>99.999999999994316</v>
      </c>
      <c r="AF21" s="31">
        <f>'FS Desroches Daily'!BF23</f>
        <v>21</v>
      </c>
      <c r="AG21" s="32">
        <f>'FS Desroches Daily'!BH23</f>
        <v>40.000000000020464</v>
      </c>
      <c r="AH21" s="32">
        <f>'FS Desroches Daily'!BJ23</f>
        <v>49.999999999954525</v>
      </c>
      <c r="AI21" s="32">
        <f>'FS Desroches Daily'!BL23</f>
        <v>120.00000000000455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30</v>
      </c>
      <c r="AM21" s="32">
        <f>'FS Desroches Daily'!BT23</f>
        <v>49.999999999982947</v>
      </c>
      <c r="AN21" s="32">
        <f>'FS Desroches Daily'!BV23</f>
        <v>26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53.5</v>
      </c>
      <c r="AR21" s="31">
        <f>'FS Desroches Daily'!CD23</f>
        <v>0</v>
      </c>
      <c r="AS21" s="31">
        <f>'FS Desroches Daily'!CF23</f>
        <v>5.6999999999998181</v>
      </c>
      <c r="AT21" s="31">
        <f>'FS Desroches Daily'!CH23</f>
        <v>46</v>
      </c>
      <c r="AU21" s="31">
        <f>'FS Desroches Daily'!CJ23</f>
        <v>262</v>
      </c>
      <c r="AV21" s="31">
        <f>'FS Desroches Daily'!CL23</f>
        <v>540.00000000007731</v>
      </c>
      <c r="AW21" s="31">
        <f>'FS Desroches Daily'!CM23</f>
        <v>53.200000000000273</v>
      </c>
      <c r="AX21" s="31">
        <f>IF(LPG!F28-LPG!F27&lt;0,"0",(LPG!F28-LPG!F27)*1.8315)</f>
        <v>12.820499999999999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9.1574999999999989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4299.9999999999709</v>
      </c>
      <c r="F22" s="32">
        <f>'FS Desroches Daily'!F24</f>
        <v>2899.9999999999027</v>
      </c>
      <c r="G22" s="31">
        <f>'FS Desroches Daily'!H24</f>
        <v>2699.9999999999245</v>
      </c>
      <c r="H22" s="32">
        <f>'FS Desroches Daily'!J24</f>
        <v>1500.0000000000568</v>
      </c>
      <c r="I22" s="31">
        <f>'FS Desroches Daily'!L24</f>
        <v>2299.9999999999686</v>
      </c>
      <c r="J22" s="32">
        <f>'FS Desroches Daily'!N24</f>
        <v>999.99999999988984</v>
      </c>
      <c r="K22" s="13">
        <f>'FS Desroches Daily'!P24</f>
        <v>1</v>
      </c>
      <c r="L22" s="31">
        <f>'FS Desroches Daily'!R24</f>
        <v>13</v>
      </c>
      <c r="M22" s="31">
        <f>'FS Desroches Daily'!T24</f>
        <v>677.09999999997672</v>
      </c>
      <c r="N22" s="31">
        <f>'FS Desroches Daily'!V24</f>
        <v>362.60000000003492</v>
      </c>
      <c r="O22" s="31">
        <f>'FS Desroches Daily'!X24</f>
        <v>340.00000000003183</v>
      </c>
      <c r="P22" s="31">
        <f>'FS Desroches Daily'!Z24</f>
        <v>2499.9999999999468</v>
      </c>
      <c r="Q22" s="31">
        <f>'FS Desroches Daily'!AB24</f>
        <v>399.99999999997726</v>
      </c>
      <c r="R22" s="31">
        <f>'FS Desroches Daily'!AD24</f>
        <v>189.99999999999773</v>
      </c>
      <c r="S22" s="31">
        <f>'FS Desroches Daily'!AF24</f>
        <v>270.0000000000955</v>
      </c>
      <c r="T22" s="31">
        <f>'FS Desroches Daily'!AH24</f>
        <v>1.9000000000000909</v>
      </c>
      <c r="U22" s="35">
        <f>'FS Desroches Daily'!AJ24</f>
        <v>730.00000000001819</v>
      </c>
      <c r="V22" s="35">
        <f>'FS Desroches Daily'!AL24</f>
        <v>329.99999999998408</v>
      </c>
      <c r="W22" s="35">
        <f>'FS Desroches Daily'!AN24</f>
        <v>280.00000000000114</v>
      </c>
      <c r="X22" s="35">
        <f>'FS Desroches Daily'!AP24</f>
        <v>229.99999999998977</v>
      </c>
      <c r="Y22" s="35">
        <f>'FS Desroches Daily'!AR24</f>
        <v>140.00000000001478</v>
      </c>
      <c r="Z22" s="35">
        <f>'FS Desroches Daily'!AT24</f>
        <v>270.00000000003865</v>
      </c>
      <c r="AA22" s="35">
        <f>'FS Desroches Daily'!AT24</f>
        <v>270.00000000003865</v>
      </c>
      <c r="AB22" s="35">
        <f>'FS Desroches Daily'!AV24</f>
        <v>150.00000000003411</v>
      </c>
      <c r="AC22" s="35">
        <f>'FS Desroches Daily'!AZ24</f>
        <v>269.99999999998181</v>
      </c>
      <c r="AD22" s="35">
        <f>'FS Desroches Daily'!BB24</f>
        <v>310.00000000000227</v>
      </c>
      <c r="AE22" s="35">
        <f>'FS Desroches Daily'!BD24</f>
        <v>99.999999999994316</v>
      </c>
      <c r="AF22" s="31">
        <f>'FS Desroches Daily'!BF24</f>
        <v>39</v>
      </c>
      <c r="AG22" s="32">
        <f>'FS Desroches Daily'!BH24</f>
        <v>39.999999999992042</v>
      </c>
      <c r="AH22" s="32">
        <f>'FS Desroches Daily'!BJ24</f>
        <v>50.000000000011369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40.000000000020464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26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47.700000000000728</v>
      </c>
      <c r="AR22" s="31">
        <f>'FS Desroches Daily'!CD24</f>
        <v>0</v>
      </c>
      <c r="AS22" s="31">
        <f>'FS Desroches Daily'!CF24</f>
        <v>6.2000000000007276</v>
      </c>
      <c r="AT22" s="31">
        <f>'FS Desroches Daily'!CH24</f>
        <v>46.400000000001455</v>
      </c>
      <c r="AU22" s="31">
        <f>'FS Desroches Daily'!CJ24</f>
        <v>295</v>
      </c>
      <c r="AV22" s="31">
        <f>'FS Desroches Daily'!CL24</f>
        <v>629.99999999999545</v>
      </c>
      <c r="AW22" s="31">
        <f>'FS Desroches Daily'!CM24</f>
        <v>74.599999999999909</v>
      </c>
      <c r="AX22" s="31">
        <f>IF(LPG!F29-LPG!F28&lt;0,"0",(LPG!F29-LPG!F28)*1.8315)</f>
        <v>16.483499999999999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3600.0000000000477</v>
      </c>
      <c r="F23" s="32">
        <f>'FS Desroches Daily'!F25</f>
        <v>2899.9999999999027</v>
      </c>
      <c r="G23" s="31">
        <f>'FS Desroches Daily'!H25</f>
        <v>2400.0000000001796</v>
      </c>
      <c r="H23" s="32">
        <f>'FS Desroches Daily'!J25</f>
        <v>1500.0000000000568</v>
      </c>
      <c r="I23" s="31">
        <f>'FS Desroches Daily'!L25</f>
        <v>2499.9999999999468</v>
      </c>
      <c r="J23" s="32">
        <f>'FS Desroches Daily'!N25</f>
        <v>800.00000000013392</v>
      </c>
      <c r="K23" s="13">
        <f>'FS Desroches Daily'!P25</f>
        <v>1</v>
      </c>
      <c r="L23" s="31">
        <f>'FS Desroches Daily'!R25</f>
        <v>13</v>
      </c>
      <c r="M23" s="31">
        <f>'FS Desroches Daily'!T25</f>
        <v>531.5</v>
      </c>
      <c r="N23" s="31">
        <f>'FS Desroches Daily'!V25</f>
        <v>276.89999999996508</v>
      </c>
      <c r="O23" s="31">
        <f>'FS Desroches Daily'!X25</f>
        <v>329.99999999998408</v>
      </c>
      <c r="P23" s="31">
        <f>'FS Desroches Daily'!Z25</f>
        <v>2600.0000000001578</v>
      </c>
      <c r="Q23" s="31">
        <f>'FS Desroches Daily'!AB25</f>
        <v>290.00000000002046</v>
      </c>
      <c r="R23" s="31">
        <f>'FS Desroches Daily'!AD25</f>
        <v>180.00000000000682</v>
      </c>
      <c r="S23" s="31">
        <f>'FS Desroches Daily'!AF25</f>
        <v>209.99999999992269</v>
      </c>
      <c r="T23" s="31">
        <f>'FS Desroches Daily'!AH25</f>
        <v>2.5</v>
      </c>
      <c r="U23" s="35">
        <f>'FS Desroches Daily'!AJ25</f>
        <v>740.00000000000909</v>
      </c>
      <c r="V23" s="35">
        <f>'FS Desroches Daily'!AL25</f>
        <v>360.00000000001364</v>
      </c>
      <c r="W23" s="35">
        <f>'FS Desroches Daily'!AN25</f>
        <v>300.00000000001137</v>
      </c>
      <c r="X23" s="35">
        <f>'FS Desroches Daily'!AP25</f>
        <v>200.00000000001705</v>
      </c>
      <c r="Y23" s="35">
        <f>'FS Desroches Daily'!AR25</f>
        <v>139.99999999998636</v>
      </c>
      <c r="Z23" s="35">
        <f>'FS Desroches Daily'!AT25</f>
        <v>269.99999999998181</v>
      </c>
      <c r="AA23" s="35">
        <f>'FS Desroches Daily'!AT25</f>
        <v>269.99999999998181</v>
      </c>
      <c r="AB23" s="35">
        <f>'FS Desroches Daily'!AV25</f>
        <v>169.99999999995907</v>
      </c>
      <c r="AC23" s="35">
        <f>'FS Desroches Daily'!AZ25</f>
        <v>300.00000000001137</v>
      </c>
      <c r="AD23" s="35">
        <f>'FS Desroches Daily'!BB25</f>
        <v>349.99999999996589</v>
      </c>
      <c r="AE23" s="35">
        <f>'FS Desroches Daily'!BD25</f>
        <v>80.000000000012506</v>
      </c>
      <c r="AF23" s="31">
        <f>'FS Desroches Daily'!BF25</f>
        <v>25</v>
      </c>
      <c r="AG23" s="32">
        <f>'FS Desroches Daily'!BH25</f>
        <v>39.999999999992042</v>
      </c>
      <c r="AH23" s="32">
        <f>'FS Desroches Daily'!BJ25</f>
        <v>60.000000000002274</v>
      </c>
      <c r="AI23" s="32">
        <f>'FS Desroches Daily'!BL25</f>
        <v>30.000000000001137</v>
      </c>
      <c r="AJ23" s="32">
        <f>'FS Desroches Daily'!BN25</f>
        <v>19.99999999998181</v>
      </c>
      <c r="AK23" s="32">
        <f>'FS Desroches Daily'!BP25</f>
        <v>40.000000000020464</v>
      </c>
      <c r="AL23" s="32">
        <f>'FS Desroches Daily'!BR25</f>
        <v>31</v>
      </c>
      <c r="AM23" s="32">
        <f>'FS Desroches Daily'!BT25</f>
        <v>60.000000000002274</v>
      </c>
      <c r="AN23" s="32">
        <f>'FS Desroches Daily'!BV25</f>
        <v>26</v>
      </c>
      <c r="AO23" s="32">
        <f>'FS Desroches Daily'!BX25</f>
        <v>30.000000000001137</v>
      </c>
      <c r="AP23" s="32">
        <f>'FS Desroches Daily'!BZ25</f>
        <v>34</v>
      </c>
      <c r="AQ23" s="31">
        <f>'FS Desroches Daily'!CB25</f>
        <v>31.299999999999272</v>
      </c>
      <c r="AR23" s="31">
        <f>'FS Desroches Daily'!CD25</f>
        <v>0</v>
      </c>
      <c r="AS23" s="31">
        <f>'FS Desroches Daily'!CF25</f>
        <v>0.5999999999994543</v>
      </c>
      <c r="AT23" s="31">
        <f>'FS Desroches Daily'!CH25</f>
        <v>47.30000000000291</v>
      </c>
      <c r="AU23" s="31">
        <f>'FS Desroches Daily'!CJ25</f>
        <v>302</v>
      </c>
      <c r="AV23" s="31">
        <f>'FS Desroches Daily'!CL25</f>
        <v>589.99999999991815</v>
      </c>
      <c r="AW23" s="31">
        <f>'FS Desroches Daily'!CM25</f>
        <v>55.400000000000091</v>
      </c>
      <c r="AX23" s="31">
        <f>IF(LPG!F30-LPG!F29&lt;0,"0",(LPG!F30-LPG!F29)*1.8315)</f>
        <v>12.820499999999999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2699.9999999999245</v>
      </c>
      <c r="F24" s="32">
        <f>'FS Desroches Daily'!F26</f>
        <v>2299.9999999999686</v>
      </c>
      <c r="G24" s="31">
        <f>'FS Desroches Daily'!H26</f>
        <v>2499.9999999999468</v>
      </c>
      <c r="H24" s="32">
        <f>'FS Desroches Daily'!J26</f>
        <v>1199.9999999998679</v>
      </c>
      <c r="I24" s="31">
        <f>'FS Desroches Daily'!L26</f>
        <v>2200.0000000002019</v>
      </c>
      <c r="J24" s="32">
        <f>'FS Desroches Daily'!N26</f>
        <v>799.99999999991189</v>
      </c>
      <c r="K24" s="13">
        <f>'FS Desroches Daily'!P26</f>
        <v>1</v>
      </c>
      <c r="L24" s="31">
        <f>'FS Desroches Daily'!R26</f>
        <v>10</v>
      </c>
      <c r="M24" s="31">
        <f>'FS Desroches Daily'!T26</f>
        <v>714.5</v>
      </c>
      <c r="N24" s="31">
        <f>'FS Desroches Daily'!V26</f>
        <v>308.20000000001164</v>
      </c>
      <c r="O24" s="31">
        <f>'FS Desroches Daily'!X26</f>
        <v>240.00000000000909</v>
      </c>
      <c r="P24" s="31">
        <f>'FS Desroches Daily'!Z26</f>
        <v>1900.0000000000127</v>
      </c>
      <c r="Q24" s="31">
        <f>'FS Desroches Daily'!AB26</f>
        <v>399.99999999997726</v>
      </c>
      <c r="R24" s="31">
        <f>'FS Desroches Daily'!AD26</f>
        <v>129.99999999999545</v>
      </c>
      <c r="S24" s="31">
        <f>'FS Desroches Daily'!AF26</f>
        <v>170.00000000007276</v>
      </c>
      <c r="T24" s="31">
        <f>'FS Desroches Daily'!AH26</f>
        <v>1.5</v>
      </c>
      <c r="U24" s="35">
        <f>'FS Desroches Daily'!AJ26</f>
        <v>810.00000000000227</v>
      </c>
      <c r="V24" s="35">
        <f>'FS Desroches Daily'!AL26</f>
        <v>259.99999999999091</v>
      </c>
      <c r="W24" s="35">
        <f>'FS Desroches Daily'!AN26</f>
        <v>199.99999999998863</v>
      </c>
      <c r="X24" s="35">
        <f>'FS Desroches Daily'!AP26</f>
        <v>109.99999999998522</v>
      </c>
      <c r="Y24" s="35">
        <f>'FS Desroches Daily'!AR26</f>
        <v>90.000000000003411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110.00000000001364</v>
      </c>
      <c r="AC24" s="35">
        <f>'FS Desroches Daily'!AZ26</f>
        <v>230.00000000001819</v>
      </c>
      <c r="AD24" s="35">
        <f>'FS Desroches Daily'!BB26</f>
        <v>270.00000000003865</v>
      </c>
      <c r="AE24" s="35">
        <f>'FS Desroches Daily'!BD26</f>
        <v>39.999999999992042</v>
      </c>
      <c r="AF24" s="31">
        <f>'FS Desroches Daily'!BF26</f>
        <v>21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29.999999999972715</v>
      </c>
      <c r="AJ24" s="32">
        <f>'FS Desroches Daily'!BN26</f>
        <v>20.000000000010232</v>
      </c>
      <c r="AK24" s="32">
        <f>'FS Desroches Daily'!BP26</f>
        <v>29.999999999972715</v>
      </c>
      <c r="AL24" s="32">
        <f>'FS Desroches Daily'!BR26</f>
        <v>27</v>
      </c>
      <c r="AM24" s="32">
        <f>'FS Desroches Daily'!BT26</f>
        <v>30.000000000001137</v>
      </c>
      <c r="AN24" s="32">
        <f>'FS Desroches Daily'!BV26</f>
        <v>26</v>
      </c>
      <c r="AO24" s="32">
        <f>'FS Desroches Daily'!BX26</f>
        <v>30.000000000001137</v>
      </c>
      <c r="AP24" s="32">
        <f>'FS Desroches Daily'!BZ26</f>
        <v>39</v>
      </c>
      <c r="AQ24" s="31">
        <f>'FS Desroches Daily'!CB26</f>
        <v>41.400000000001455</v>
      </c>
      <c r="AR24" s="31">
        <f>'FS Desroches Daily'!CD26</f>
        <v>0</v>
      </c>
      <c r="AS24" s="31">
        <f>'FS Desroches Daily'!CF26</f>
        <v>10.5</v>
      </c>
      <c r="AT24" s="31">
        <f>'FS Desroches Daily'!CH26</f>
        <v>44.900000000001455</v>
      </c>
      <c r="AU24" s="31">
        <f>'FS Desroches Daily'!CJ26</f>
        <v>272</v>
      </c>
      <c r="AV24" s="31">
        <f>'FS Desroches Daily'!CL26</f>
        <v>670.00000000007276</v>
      </c>
      <c r="AW24" s="31">
        <f>'FS Desroches Daily'!CM26</f>
        <v>56.599999999999909</v>
      </c>
      <c r="AX24" s="31">
        <f>IF(LPG!F31-LPG!F30&lt;0,"0",(LPG!F31-LPG!F30)*1.8315)</f>
        <v>14.651999999999999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3500.0000000000587</v>
      </c>
      <c r="F25" s="32">
        <f>'FS Desroches Daily'!F27</f>
        <v>2800.0000000001355</v>
      </c>
      <c r="G25" s="31">
        <f>'FS Desroches Daily'!H27</f>
        <v>2499.9999999999468</v>
      </c>
      <c r="H25" s="32">
        <f>'FS Desroches Daily'!J27</f>
        <v>1000.0000000001119</v>
      </c>
      <c r="I25" s="31">
        <f>'FS Desroches Daily'!L27</f>
        <v>2299.9999999999686</v>
      </c>
      <c r="J25" s="32">
        <f>'FS Desroches Daily'!N27</f>
        <v>699.99999999992292</v>
      </c>
      <c r="K25" s="13">
        <f>'FS Desroches Daily'!P27</f>
        <v>1</v>
      </c>
      <c r="L25" s="31">
        <f>'FS Desroches Daily'!R27</f>
        <v>12</v>
      </c>
      <c r="M25" s="31">
        <f>'FS Desroches Daily'!T27</f>
        <v>511.69999999995343</v>
      </c>
      <c r="N25" s="31">
        <f>'FS Desroches Daily'!V27</f>
        <v>258.90000000002328</v>
      </c>
      <c r="O25" s="31">
        <f>'FS Desroches Daily'!X27</f>
        <v>289.99999999996362</v>
      </c>
      <c r="P25" s="31">
        <f>'FS Desroches Daily'!Z27</f>
        <v>2599.9999999997135</v>
      </c>
      <c r="Q25" s="31">
        <f>'FS Desroches Daily'!AB27</f>
        <v>270.00000000003865</v>
      </c>
      <c r="R25" s="31">
        <f>'FS Desroches Daily'!AD27</f>
        <v>170.00000000001592</v>
      </c>
      <c r="S25" s="31">
        <f>'FS Desroches Daily'!AF27</f>
        <v>199.99999999993179</v>
      </c>
      <c r="T25" s="31">
        <f>'FS Desroches Daily'!AH27</f>
        <v>2.2999999999999545</v>
      </c>
      <c r="U25" s="35">
        <f>'FS Desroches Daily'!AJ27</f>
        <v>1089.999999999975</v>
      </c>
      <c r="V25" s="35">
        <f>'FS Desroches Daily'!AL27</f>
        <v>310.00000000000227</v>
      </c>
      <c r="W25" s="35">
        <f>'FS Desroches Daily'!AN27</f>
        <v>320.0000000000216</v>
      </c>
      <c r="X25" s="35">
        <f>'FS Desroches Daily'!AP27</f>
        <v>180.00000000000682</v>
      </c>
      <c r="Y25" s="35">
        <f>'FS Desroches Daily'!AR27</f>
        <v>120.00000000000455</v>
      </c>
      <c r="Z25" s="35">
        <f>'FS Desroches Daily'!AT27</f>
        <v>210.00000000003638</v>
      </c>
      <c r="AA25" s="35">
        <f>'FS Desroches Daily'!AT27</f>
        <v>210.00000000003638</v>
      </c>
      <c r="AB25" s="35">
        <f>'FS Desroches Daily'!AV27</f>
        <v>129.99999999999545</v>
      </c>
      <c r="AC25" s="35">
        <f>'FS Desroches Daily'!AZ27</f>
        <v>240.00000000000909</v>
      </c>
      <c r="AD25" s="35">
        <f>'FS Desroches Daily'!BB27</f>
        <v>349.99999999996589</v>
      </c>
      <c r="AE25" s="35">
        <f>'FS Desroches Daily'!BD27</f>
        <v>60.000000000002274</v>
      </c>
      <c r="AF25" s="31">
        <f>'FS Desroches Daily'!BF27</f>
        <v>28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26</v>
      </c>
      <c r="AM25" s="32">
        <f>'FS Desroches Daily'!BT27</f>
        <v>40.000000000020464</v>
      </c>
      <c r="AN25" s="32">
        <f>'FS Desroches Daily'!BV27</f>
        <v>9.3999999999999773</v>
      </c>
      <c r="AO25" s="32">
        <f>'FS Desroches Daily'!BX27</f>
        <v>30.000000000001137</v>
      </c>
      <c r="AP25" s="32">
        <f>'FS Desroches Daily'!BZ27</f>
        <v>38</v>
      </c>
      <c r="AQ25" s="31">
        <f>'FS Desroches Daily'!CB27</f>
        <v>41.899999999997817</v>
      </c>
      <c r="AR25" s="31">
        <f>'FS Desroches Daily'!CD27</f>
        <v>0</v>
      </c>
      <c r="AS25" s="31">
        <f>'FS Desroches Daily'!CF27</f>
        <v>1.4000000000005457</v>
      </c>
      <c r="AT25" s="31">
        <f>'FS Desroches Daily'!CH27</f>
        <v>55.899999999994179</v>
      </c>
      <c r="AU25" s="31">
        <f>'FS Desroches Daily'!CJ27</f>
        <v>292</v>
      </c>
      <c r="AV25" s="31">
        <f>'FS Desroches Daily'!CL27</f>
        <v>649.99999999997726</v>
      </c>
      <c r="AW25" s="31">
        <f>'FS Desroches Daily'!CM27</f>
        <v>64.400000000000091</v>
      </c>
      <c r="AX25" s="31">
        <f>IF(LPG!F32-LPG!F31&lt;0,"0",(LPG!F32-LPG!F31)*1.8315)</f>
        <v>14.651999999999999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1.8314999999999999</v>
      </c>
      <c r="BB25" s="31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3900.0000000000146</v>
      </c>
      <c r="F26" s="32">
        <f>'FS Desroches Daily'!F28</f>
        <v>2800.0000000001355</v>
      </c>
      <c r="G26" s="31">
        <f>'FS Desroches Daily'!H28</f>
        <v>2800.0000000001355</v>
      </c>
      <c r="H26" s="32">
        <f>'FS Desroches Daily'!J28</f>
        <v>2000.0000000000018</v>
      </c>
      <c r="I26" s="31">
        <f>'FS Desroches Daily'!L28</f>
        <v>2299.9999999999686</v>
      </c>
      <c r="J26" s="32">
        <f>'FS Desroches Daily'!N28</f>
        <v>1000.0000000001119</v>
      </c>
      <c r="K26" s="13">
        <f>'FS Desroches Daily'!P28</f>
        <v>1</v>
      </c>
      <c r="L26" s="31">
        <f>'FS Desroches Daily'!R28</f>
        <v>12</v>
      </c>
      <c r="M26" s="31">
        <f>'FS Desroches Daily'!T28</f>
        <v>776.59999999997672</v>
      </c>
      <c r="N26" s="31">
        <f>'FS Desroches Daily'!V28</f>
        <v>389.19999999995343</v>
      </c>
      <c r="O26" s="31">
        <f>'FS Desroches Daily'!X28</f>
        <v>319.99999999999318</v>
      </c>
      <c r="P26" s="31">
        <f>'FS Desroches Daily'!Z28</f>
        <v>2400.0000000001796</v>
      </c>
      <c r="Q26" s="31">
        <f>'FS Desroches Daily'!AB28</f>
        <v>439.99999999999773</v>
      </c>
      <c r="R26" s="31">
        <f>'FS Desroches Daily'!AD28</f>
        <v>189.99999999999773</v>
      </c>
      <c r="S26" s="31">
        <f>'FS Desroches Daily'!AF28</f>
        <v>210.00000000003638</v>
      </c>
      <c r="T26" s="31">
        <f>'FS Desroches Daily'!AH28</f>
        <v>2.0999999999999091</v>
      </c>
      <c r="U26" s="35">
        <f>'FS Desroches Daily'!AJ28</f>
        <v>1220.0000000000273</v>
      </c>
      <c r="V26" s="35">
        <f>'FS Desroches Daily'!AL28</f>
        <v>360.00000000001364</v>
      </c>
      <c r="W26" s="35">
        <f>'FS Desroches Daily'!AN28</f>
        <v>329.99999999998408</v>
      </c>
      <c r="X26" s="35">
        <f>'FS Desroches Daily'!AP28</f>
        <v>189.99999999999773</v>
      </c>
      <c r="Y26" s="35">
        <f>'FS Desroches Daily'!AR28</f>
        <v>129.99999999999545</v>
      </c>
      <c r="Z26" s="35">
        <f>'FS Desroches Daily'!AT28</f>
        <v>259.99999999999091</v>
      </c>
      <c r="AA26" s="35">
        <f>'FS Desroches Daily'!AT28</f>
        <v>259.99999999999091</v>
      </c>
      <c r="AB26" s="35">
        <f>'FS Desroches Daily'!AV28</f>
        <v>150.00000000003411</v>
      </c>
      <c r="AC26" s="35">
        <f>'FS Desroches Daily'!AZ28</f>
        <v>289.99999999996362</v>
      </c>
      <c r="AD26" s="35">
        <f>'FS Desroches Daily'!BB28</f>
        <v>329.99999999998408</v>
      </c>
      <c r="AE26" s="35">
        <f>'FS Desroches Daily'!BD28</f>
        <v>69.999999999993179</v>
      </c>
      <c r="AF26" s="31">
        <f>'FS Desroches Daily'!BF28</f>
        <v>56</v>
      </c>
      <c r="AG26" s="32">
        <f>'FS Desroches Daily'!BH28</f>
        <v>39.999999999992042</v>
      </c>
      <c r="AH26" s="32">
        <f>'FS Desroches Daily'!BJ28</f>
        <v>49.999999999954525</v>
      </c>
      <c r="AI26" s="32">
        <f>'FS Desroches Daily'!BL28</f>
        <v>30.000000000001137</v>
      </c>
      <c r="AJ26" s="32">
        <f>'FS Desroches Daily'!BN28</f>
        <v>20.000000000010232</v>
      </c>
      <c r="AK26" s="32">
        <f>'FS Desroches Daily'!BP28</f>
        <v>29.999999999972715</v>
      </c>
      <c r="AL26" s="32">
        <f>'FS Desroches Daily'!BR28</f>
        <v>23</v>
      </c>
      <c r="AM26" s="32">
        <f>'FS Desroches Daily'!BT28</f>
        <v>49.999999999982947</v>
      </c>
      <c r="AN26" s="32" t="str">
        <f>'FS Desroches Daily'!BV28</f>
        <v/>
      </c>
      <c r="AO26" s="32">
        <f>'FS Desroches Daily'!BX28</f>
        <v>30.000000000001137</v>
      </c>
      <c r="AP26" s="32">
        <f>'FS Desroches Daily'!BZ28</f>
        <v>42</v>
      </c>
      <c r="AQ26" s="31">
        <f>'FS Desroches Daily'!CB28</f>
        <v>50</v>
      </c>
      <c r="AR26" s="31">
        <f>'FS Desroches Daily'!CD28</f>
        <v>0</v>
      </c>
      <c r="AS26" s="31">
        <f>'FS Desroches Daily'!CF28</f>
        <v>4.3999999999996362</v>
      </c>
      <c r="AT26" s="31">
        <f>'FS Desroches Daily'!CH28</f>
        <v>59.400000000001455</v>
      </c>
      <c r="AU26" s="31">
        <f>'FS Desroches Daily'!CJ28</f>
        <v>295</v>
      </c>
      <c r="AV26" s="31">
        <f>'FS Desroches Daily'!CL28</f>
        <v>759.99999999999091</v>
      </c>
      <c r="AW26" s="31">
        <f>'FS Desroches Daily'!CM28</f>
        <v>61.199999999999818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61900.000000000073</v>
      </c>
      <c r="F33" s="17">
        <f t="shared" ref="F33:BC33" si="1">SUM(F2:F32)</f>
        <v>43900.000000000276</v>
      </c>
      <c r="G33" s="17">
        <f t="shared" si="1"/>
        <v>54500.000000000015</v>
      </c>
      <c r="H33" s="17">
        <f t="shared" si="1"/>
        <v>31000.000000000146</v>
      </c>
      <c r="I33" s="17">
        <f t="shared" si="1"/>
        <v>51000.000000000182</v>
      </c>
      <c r="J33" s="17">
        <f t="shared" si="1"/>
        <v>19400.000000000087</v>
      </c>
      <c r="K33" s="17">
        <f t="shared" si="1"/>
        <v>24</v>
      </c>
      <c r="L33" s="17">
        <f t="shared" si="1"/>
        <v>94</v>
      </c>
      <c r="M33" s="17">
        <f t="shared" si="1"/>
        <v>11249.79999999993</v>
      </c>
      <c r="N33" s="17">
        <f t="shared" si="1"/>
        <v>5803.7999999999884</v>
      </c>
      <c r="O33" s="17">
        <f t="shared" si="1"/>
        <v>5350.0000000000218</v>
      </c>
      <c r="P33" s="17">
        <f t="shared" si="1"/>
        <v>37100.000000000131</v>
      </c>
      <c r="Q33" s="17">
        <f t="shared" si="1"/>
        <v>7272.4100000000562</v>
      </c>
      <c r="R33" s="17">
        <f t="shared" si="1"/>
        <v>4340.0000000000327</v>
      </c>
      <c r="S33" s="17">
        <f t="shared" si="1"/>
        <v>5139.9999999999864</v>
      </c>
      <c r="T33" s="17">
        <f t="shared" si="1"/>
        <v>36.299999999999955</v>
      </c>
      <c r="U33" s="35">
        <f t="shared" si="1"/>
        <v>16249.999999999996</v>
      </c>
      <c r="V33" s="35">
        <f t="shared" si="1"/>
        <v>5590.0000000000045</v>
      </c>
      <c r="W33" s="35">
        <f t="shared" si="1"/>
        <v>4870.0000000000055</v>
      </c>
      <c r="X33" s="35">
        <f t="shared" si="1"/>
        <v>3849.9999999999945</v>
      </c>
      <c r="Y33" s="35">
        <f t="shared" si="1"/>
        <v>3030.0000000000009</v>
      </c>
      <c r="Z33" s="35">
        <f t="shared" si="1"/>
        <v>4162.0199999999859</v>
      </c>
      <c r="AA33" s="35">
        <f t="shared" si="1"/>
        <v>4162.0199999999859</v>
      </c>
      <c r="AB33" s="35">
        <f t="shared" si="1"/>
        <v>3950.0000000000455</v>
      </c>
      <c r="AC33" s="35">
        <f t="shared" si="1"/>
        <v>4439.9999999999982</v>
      </c>
      <c r="AD33" s="35">
        <f t="shared" si="1"/>
        <v>4919.9999999999582</v>
      </c>
      <c r="AE33" s="35">
        <f t="shared" si="1"/>
        <v>1569.9999999999932</v>
      </c>
      <c r="AF33" s="17">
        <f t="shared" si="1"/>
        <v>637</v>
      </c>
      <c r="AG33" s="32">
        <f t="shared" si="1"/>
        <v>1005.3799999999704</v>
      </c>
      <c r="AH33" s="32">
        <f t="shared" si="1"/>
        <v>1029.9999999999727</v>
      </c>
      <c r="AI33" s="32">
        <f t="shared" si="1"/>
        <v>659.99999999999659</v>
      </c>
      <c r="AJ33" s="32">
        <f t="shared" si="1"/>
        <v>580.00000000001251</v>
      </c>
      <c r="AK33" s="32">
        <f t="shared" si="1"/>
        <v>809.99999999994543</v>
      </c>
      <c r="AL33" s="32">
        <f t="shared" si="1"/>
        <v>911.59999999999991</v>
      </c>
      <c r="AM33" s="32">
        <f t="shared" si="1"/>
        <v>659.99999999999659</v>
      </c>
      <c r="AN33" s="32">
        <f t="shared" si="1"/>
        <v>607.4</v>
      </c>
      <c r="AO33" s="32">
        <f t="shared" si="1"/>
        <v>719.99999999999886</v>
      </c>
      <c r="AP33" s="32">
        <f t="shared" si="1"/>
        <v>901</v>
      </c>
      <c r="AQ33" s="17">
        <f t="shared" si="1"/>
        <v>540.20000000000073</v>
      </c>
      <c r="AR33" s="17">
        <f t="shared" si="1"/>
        <v>0</v>
      </c>
      <c r="AS33" s="17">
        <f t="shared" si="1"/>
        <v>48.899999999999636</v>
      </c>
      <c r="AT33" s="17">
        <f t="shared" si="1"/>
        <v>1103.7999999999956</v>
      </c>
      <c r="AU33" s="17">
        <f t="shared" si="1"/>
        <v>6863</v>
      </c>
      <c r="AV33" s="17">
        <f t="shared" si="1"/>
        <v>14629.999999999995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179.48699999999997</v>
      </c>
      <c r="BC33" s="17">
        <f t="shared" si="1"/>
        <v>0</v>
      </c>
    </row>
    <row r="35" spans="5:55" x14ac:dyDescent="0.25">
      <c r="E35" s="38">
        <f>E33/E37</f>
        <v>0.30668159613155055</v>
      </c>
      <c r="G35" s="29">
        <f>G33-M36</f>
        <v>37446.400000000096</v>
      </c>
      <c r="AE35" s="35">
        <f>SUM(U33:AE33)</f>
        <v>56794.039999999972</v>
      </c>
      <c r="AG35" s="32">
        <f>SUM(AG33:AP33)</f>
        <v>7885.3799999998928</v>
      </c>
    </row>
    <row r="36" spans="5:55" x14ac:dyDescent="0.25">
      <c r="G36" s="29">
        <f>G35-633*14</f>
        <v>28584.400000000096</v>
      </c>
      <c r="M36" s="29">
        <f>M33+N33</f>
        <v>17053.599999999919</v>
      </c>
    </row>
    <row r="37" spans="5:55" x14ac:dyDescent="0.25">
      <c r="E37" s="17">
        <f>E33+F33+G33+H33+J33-633*14</f>
        <v>201838.00000000058</v>
      </c>
      <c r="G37" s="37">
        <f>M36/E37</f>
        <v>8.4491522904506927E-2</v>
      </c>
      <c r="M37" s="35">
        <f>AE35</f>
        <v>56794.039999999972</v>
      </c>
    </row>
    <row r="38" spans="5:55" x14ac:dyDescent="0.25">
      <c r="L38" s="27">
        <f>M38/E37</f>
        <v>3.9067866308623106E-2</v>
      </c>
      <c r="M38" s="29">
        <f>AG35</f>
        <v>7885.3799999998928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Y14" activePane="bottomRight" state="frozen"/>
      <selection pane="topRight" activeCell="B1" sqref="B1"/>
      <selection pane="bottomLeft" activeCell="A3" sqref="A3"/>
      <selection pane="bottomRight" activeCell="BD32" sqref="BD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3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8"/>
        <v>21</v>
      </c>
      <c r="BG13" s="60">
        <v>227.08</v>
      </c>
      <c r="BH13" s="65">
        <v>285.38</v>
      </c>
      <c r="BI13" s="60">
        <v>285.38</v>
      </c>
      <c r="BJ13" s="65">
        <f t="shared" si="39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v>195.31</v>
      </c>
      <c r="BS13" s="60">
        <v>195.31</v>
      </c>
      <c r="BT13" s="65">
        <f t="shared" si="41"/>
        <v>20.000000000010232</v>
      </c>
      <c r="BU13" s="60">
        <v>340.24</v>
      </c>
      <c r="BV13" s="65">
        <v>26</v>
      </c>
      <c r="BW13" s="60">
        <v>226.97</v>
      </c>
      <c r="BX13" s="65">
        <f t="shared" si="29"/>
        <v>30.000000000001137</v>
      </c>
      <c r="BY13" s="60">
        <v>52212</v>
      </c>
      <c r="BZ13" s="67">
        <f t="shared" si="30"/>
        <v>43</v>
      </c>
      <c r="CA13" s="60">
        <v>27566.5</v>
      </c>
      <c r="CB13" s="67">
        <f t="shared" si="31"/>
        <v>50.900000000001455</v>
      </c>
      <c r="CC13" s="60">
        <v>11255.6</v>
      </c>
      <c r="CD13" s="67">
        <f t="shared" si="32"/>
        <v>0</v>
      </c>
      <c r="CE13" s="60">
        <v>50954.2</v>
      </c>
      <c r="CF13" s="67">
        <f t="shared" si="33"/>
        <v>0</v>
      </c>
      <c r="CG13" s="60">
        <v>52033.3</v>
      </c>
      <c r="CH13" s="67">
        <f t="shared" si="34"/>
        <v>36.700000000004366</v>
      </c>
      <c r="CI13" s="60">
        <v>895348</v>
      </c>
      <c r="CJ13" s="67">
        <f t="shared" si="35"/>
        <v>310</v>
      </c>
      <c r="CK13" s="60">
        <v>645.80999999999995</v>
      </c>
      <c r="CL13" s="64">
        <f t="shared" si="36"/>
        <v>529.99999999997272</v>
      </c>
      <c r="CM13" s="65">
        <f t="shared" si="40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7"/>
        <v>11</v>
      </c>
      <c r="CT13" s="75">
        <v>3934</v>
      </c>
      <c r="CU13" s="67">
        <f t="shared" si="37"/>
        <v>15</v>
      </c>
      <c r="CV13" s="68">
        <v>10666</v>
      </c>
      <c r="CW13" s="67">
        <f t="shared" si="37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3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8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39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1"/>
        <v>30.000000000001137</v>
      </c>
      <c r="BU14" s="60">
        <v>340.6</v>
      </c>
      <c r="BV14" s="65">
        <v>26</v>
      </c>
      <c r="BW14" s="60">
        <v>227</v>
      </c>
      <c r="BX14" s="65">
        <f t="shared" si="29"/>
        <v>30.000000000001137</v>
      </c>
      <c r="BY14" s="60">
        <v>52266</v>
      </c>
      <c r="BZ14" s="67">
        <f t="shared" si="30"/>
        <v>54</v>
      </c>
      <c r="CA14" s="60">
        <v>27572.400000000001</v>
      </c>
      <c r="CB14" s="67">
        <f t="shared" si="31"/>
        <v>5.9000000000014552</v>
      </c>
      <c r="CC14" s="60">
        <v>11255.6</v>
      </c>
      <c r="CD14" s="67">
        <f t="shared" si="32"/>
        <v>0</v>
      </c>
      <c r="CE14" s="60">
        <v>50954.2</v>
      </c>
      <c r="CF14" s="67">
        <f t="shared" si="33"/>
        <v>0</v>
      </c>
      <c r="CG14" s="60">
        <v>52100</v>
      </c>
      <c r="CH14" s="67">
        <f t="shared" si="34"/>
        <v>66.69999999999709</v>
      </c>
      <c r="CI14" s="60">
        <v>895658</v>
      </c>
      <c r="CJ14" s="67">
        <f t="shared" si="35"/>
        <v>310</v>
      </c>
      <c r="CK14" s="60">
        <v>646.4</v>
      </c>
      <c r="CL14" s="64">
        <f t="shared" si="36"/>
        <v>590.00000000003183</v>
      </c>
      <c r="CM14" s="65">
        <f t="shared" si="40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7"/>
        <v>23.699999999999818</v>
      </c>
      <c r="CR14" s="68">
        <v>11192</v>
      </c>
      <c r="CS14" s="67">
        <f t="shared" si="37"/>
        <v>9</v>
      </c>
      <c r="CT14" s="75">
        <v>3947</v>
      </c>
      <c r="CU14" s="67">
        <f t="shared" si="37"/>
        <v>13</v>
      </c>
      <c r="CV14" s="68">
        <v>10692</v>
      </c>
      <c r="CW14" s="67">
        <f t="shared" si="37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3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8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39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1"/>
        <v>20.000000000010232</v>
      </c>
      <c r="BU15" s="60">
        <v>340.95</v>
      </c>
      <c r="BV15" s="65">
        <v>26</v>
      </c>
      <c r="BW15" s="60">
        <v>227.03</v>
      </c>
      <c r="BX15" s="65">
        <f t="shared" si="29"/>
        <v>30.000000000001137</v>
      </c>
      <c r="BY15" s="60">
        <v>52319</v>
      </c>
      <c r="BZ15" s="67">
        <f t="shared" si="30"/>
        <v>53</v>
      </c>
      <c r="CA15" s="60">
        <v>27574.3</v>
      </c>
      <c r="CB15" s="67">
        <f t="shared" si="31"/>
        <v>1.8999999999978172</v>
      </c>
      <c r="CC15" s="60">
        <v>11255.6</v>
      </c>
      <c r="CD15" s="67">
        <f t="shared" si="32"/>
        <v>0</v>
      </c>
      <c r="CE15" s="60">
        <v>5506.6</v>
      </c>
      <c r="CF15" s="67" t="str">
        <f t="shared" si="33"/>
        <v/>
      </c>
      <c r="CG15" s="60">
        <v>52154</v>
      </c>
      <c r="CH15" s="67">
        <f t="shared" si="34"/>
        <v>54</v>
      </c>
      <c r="CI15" s="60">
        <v>896033</v>
      </c>
      <c r="CJ15" s="67">
        <f t="shared" si="35"/>
        <v>375</v>
      </c>
      <c r="CK15" s="60">
        <v>647.08000000000004</v>
      </c>
      <c r="CL15" s="64">
        <f t="shared" si="36"/>
        <v>680.00000000006366</v>
      </c>
      <c r="CM15" s="65">
        <f t="shared" si="40"/>
        <v>39.200000000000273</v>
      </c>
      <c r="CN15" s="62">
        <v>0</v>
      </c>
      <c r="CO15" s="62">
        <v>0</v>
      </c>
      <c r="CP15" s="68">
        <v>2223.4</v>
      </c>
      <c r="CQ15" s="67">
        <f t="shared" si="37"/>
        <v>32.200000000000273</v>
      </c>
      <c r="CR15" s="68">
        <v>11199</v>
      </c>
      <c r="CS15" s="67">
        <f t="shared" si="37"/>
        <v>7</v>
      </c>
      <c r="CT15" s="75">
        <v>3959</v>
      </c>
      <c r="CU15" s="67">
        <f t="shared" si="37"/>
        <v>12</v>
      </c>
      <c r="CV15" s="68">
        <v>10717</v>
      </c>
      <c r="CW15" s="67">
        <f t="shared" si="37"/>
        <v>25</v>
      </c>
    </row>
    <row r="16" spans="1:102" ht="25.5" customHeight="1" thickBot="1" x14ac:dyDescent="0.45">
      <c r="A16" s="63">
        <v>44178</v>
      </c>
      <c r="B16" s="44"/>
      <c r="C16" s="58">
        <v>1.9464999999999999</v>
      </c>
      <c r="D16" s="64">
        <f t="shared" si="0"/>
        <v>2099.9999999999909</v>
      </c>
      <c r="E16" s="58">
        <v>2.8342000000000001</v>
      </c>
      <c r="F16" s="64">
        <f t="shared" si="1"/>
        <v>1600.0000000002678</v>
      </c>
      <c r="G16" s="58">
        <v>2.8633999999999999</v>
      </c>
      <c r="H16" s="64">
        <f t="shared" si="2"/>
        <v>1700.0000000000348</v>
      </c>
      <c r="I16" s="58">
        <v>1.3947000000000001</v>
      </c>
      <c r="J16" s="64">
        <f t="shared" si="3"/>
        <v>1200.0000000000898</v>
      </c>
      <c r="K16" s="58">
        <v>2.2372000000000001</v>
      </c>
      <c r="L16" s="64">
        <f t="shared" si="4"/>
        <v>1800.0000000002458</v>
      </c>
      <c r="M16" s="58">
        <v>1.2979000000000001</v>
      </c>
      <c r="N16" s="64">
        <f t="shared" si="5"/>
        <v>700.00000000014495</v>
      </c>
      <c r="O16" s="58">
        <v>12721</v>
      </c>
      <c r="P16" s="67">
        <f t="shared" si="43"/>
        <v>0</v>
      </c>
      <c r="Q16" s="58">
        <v>6041</v>
      </c>
      <c r="R16" s="67">
        <f t="shared" si="6"/>
        <v>0</v>
      </c>
      <c r="S16" s="58">
        <v>874154.2</v>
      </c>
      <c r="T16" s="67">
        <f t="shared" si="7"/>
        <v>95</v>
      </c>
      <c r="U16" s="58">
        <v>359390.9</v>
      </c>
      <c r="V16" s="67">
        <f t="shared" si="8"/>
        <v>73.800000000046566</v>
      </c>
      <c r="W16" s="58">
        <v>350.9</v>
      </c>
      <c r="X16" s="65">
        <f t="shared" si="9"/>
        <v>189.99999999999773</v>
      </c>
      <c r="Y16" s="58">
        <v>2.4765999999999999</v>
      </c>
      <c r="Z16" s="65">
        <f t="shared" si="10"/>
        <v>1300.0000000000789</v>
      </c>
      <c r="AA16" s="58">
        <v>344.08</v>
      </c>
      <c r="AB16" s="65">
        <f t="shared" si="11"/>
        <v>199.99999999998863</v>
      </c>
      <c r="AC16" s="58">
        <v>332.66</v>
      </c>
      <c r="AD16" s="65">
        <f t="shared" si="12"/>
        <v>250</v>
      </c>
      <c r="AE16" s="58">
        <v>517.25</v>
      </c>
      <c r="AF16" s="65">
        <f t="shared" si="13"/>
        <v>169.99999999995907</v>
      </c>
      <c r="AG16" s="58">
        <v>1471.7</v>
      </c>
      <c r="AH16" s="67">
        <f t="shared" si="14"/>
        <v>0.70000000000004547</v>
      </c>
      <c r="AI16" s="58">
        <v>498.98</v>
      </c>
      <c r="AJ16" s="65">
        <f t="shared" si="15"/>
        <v>600.00000000002274</v>
      </c>
      <c r="AK16" s="58">
        <v>175.03</v>
      </c>
      <c r="AL16" s="65">
        <f t="shared" si="15"/>
        <v>159.99999999999659</v>
      </c>
      <c r="AM16" s="58">
        <v>173.54</v>
      </c>
      <c r="AN16" s="65">
        <f t="shared" si="15"/>
        <v>179.9999999999784</v>
      </c>
      <c r="AO16" s="58">
        <v>166.62</v>
      </c>
      <c r="AP16" s="65">
        <f t="shared" si="15"/>
        <v>140.00000000001478</v>
      </c>
      <c r="AQ16" s="58">
        <v>225.99</v>
      </c>
      <c r="AR16" s="65">
        <f t="shared" si="16"/>
        <v>100.00000000002274</v>
      </c>
      <c r="AS16" s="58">
        <v>351.25</v>
      </c>
      <c r="AT16" s="65">
        <f t="shared" si="17"/>
        <v>110.00000000001364</v>
      </c>
      <c r="AU16" s="58">
        <v>271.55</v>
      </c>
      <c r="AV16" s="65">
        <f t="shared" si="18"/>
        <v>120.00000000000455</v>
      </c>
      <c r="AW16" s="58">
        <v>299.14999999999998</v>
      </c>
      <c r="AX16" s="65">
        <f t="shared" si="19"/>
        <v>129.99999999999545</v>
      </c>
      <c r="AY16" s="58">
        <v>350.3</v>
      </c>
      <c r="AZ16" s="65">
        <f t="shared" si="20"/>
        <v>129.99999999999545</v>
      </c>
      <c r="BA16" s="58">
        <v>370.42</v>
      </c>
      <c r="BB16" s="65">
        <f t="shared" si="21"/>
        <v>129.99999999999545</v>
      </c>
      <c r="BC16" s="58">
        <v>234.83</v>
      </c>
      <c r="BD16" s="65">
        <f t="shared" si="22"/>
        <v>50.000000000011369</v>
      </c>
      <c r="BE16" s="59">
        <v>33575</v>
      </c>
      <c r="BF16" s="67">
        <f t="shared" si="38"/>
        <v>37</v>
      </c>
      <c r="BG16" s="60">
        <v>227.19</v>
      </c>
      <c r="BH16" s="65">
        <f t="shared" si="23"/>
        <v>39.999999999992042</v>
      </c>
      <c r="BI16" s="60">
        <v>285.52999999999997</v>
      </c>
      <c r="BJ16" s="65">
        <f t="shared" si="39"/>
        <v>49.999999999954525</v>
      </c>
      <c r="BK16" s="60">
        <v>232.11</v>
      </c>
      <c r="BL16" s="65">
        <f t="shared" si="24"/>
        <v>20.000000000010232</v>
      </c>
      <c r="BM16" s="60">
        <v>217.08</v>
      </c>
      <c r="BN16" s="65">
        <f t="shared" si="25"/>
        <v>30.000000000001137</v>
      </c>
      <c r="BO16" s="60">
        <v>282.32</v>
      </c>
      <c r="BP16" s="65">
        <f t="shared" si="26"/>
        <v>29.999999999972715</v>
      </c>
      <c r="BQ16" s="60">
        <v>40981</v>
      </c>
      <c r="BR16" s="65">
        <f t="shared" si="27"/>
        <v>27</v>
      </c>
      <c r="BS16" s="60">
        <v>195.38</v>
      </c>
      <c r="BT16" s="65">
        <f t="shared" si="41"/>
        <v>19.99999999998181</v>
      </c>
      <c r="BU16" s="60">
        <v>341.26</v>
      </c>
      <c r="BV16" s="65">
        <v>26</v>
      </c>
      <c r="BW16" s="60">
        <v>227.06</v>
      </c>
      <c r="BX16" s="65">
        <f t="shared" si="29"/>
        <v>30.000000000001137</v>
      </c>
      <c r="BY16" s="60">
        <v>52365</v>
      </c>
      <c r="BZ16" s="67">
        <f t="shared" si="30"/>
        <v>46</v>
      </c>
      <c r="CA16" s="60">
        <v>27590.1</v>
      </c>
      <c r="CB16" s="67">
        <f t="shared" si="31"/>
        <v>15.799999999999272</v>
      </c>
      <c r="CC16" s="60">
        <v>11255.6</v>
      </c>
      <c r="CD16" s="67">
        <f t="shared" si="32"/>
        <v>0</v>
      </c>
      <c r="CE16" s="60">
        <v>5507.2</v>
      </c>
      <c r="CF16" s="67">
        <f t="shared" si="33"/>
        <v>0.5999999999994543</v>
      </c>
      <c r="CG16" s="60">
        <v>52194.6</v>
      </c>
      <c r="CH16" s="67">
        <f t="shared" si="34"/>
        <v>40.599999999998545</v>
      </c>
      <c r="CI16" s="60">
        <v>896309</v>
      </c>
      <c r="CJ16" s="67">
        <f t="shared" si="35"/>
        <v>276</v>
      </c>
      <c r="CK16" s="60">
        <v>647.64</v>
      </c>
      <c r="CL16" s="64">
        <f t="shared" si="36"/>
        <v>559.99999999994543</v>
      </c>
      <c r="CM16" s="65">
        <f t="shared" si="40"/>
        <v>36</v>
      </c>
      <c r="CN16" s="62">
        <v>0</v>
      </c>
      <c r="CO16" s="62">
        <v>0</v>
      </c>
      <c r="CP16" s="68">
        <v>2251.4</v>
      </c>
      <c r="CQ16" s="67">
        <f t="shared" si="37"/>
        <v>28</v>
      </c>
      <c r="CR16" s="68">
        <v>11207</v>
      </c>
      <c r="CS16" s="67">
        <f t="shared" si="37"/>
        <v>8</v>
      </c>
      <c r="CT16" s="75">
        <v>3972</v>
      </c>
      <c r="CU16" s="67">
        <f t="shared" si="37"/>
        <v>13</v>
      </c>
      <c r="CV16" s="68">
        <v>10750</v>
      </c>
      <c r="CW16" s="67">
        <f t="shared" si="37"/>
        <v>33</v>
      </c>
    </row>
    <row r="17" spans="1:102" ht="25.5" customHeight="1" thickBot="1" x14ac:dyDescent="0.45">
      <c r="A17" s="63">
        <v>44179</v>
      </c>
      <c r="B17" s="44"/>
      <c r="C17" s="58">
        <v>1.9489000000000001</v>
      </c>
      <c r="D17" s="64">
        <f t="shared" si="0"/>
        <v>2400.0000000001796</v>
      </c>
      <c r="E17" s="58">
        <v>2.835</v>
      </c>
      <c r="F17" s="64">
        <f t="shared" si="1"/>
        <v>799.99999999991189</v>
      </c>
      <c r="G17" s="58">
        <v>2.8656000000000001</v>
      </c>
      <c r="H17" s="64">
        <f t="shared" si="2"/>
        <v>2200.0000000002019</v>
      </c>
      <c r="I17" s="58">
        <v>1.3960999999999999</v>
      </c>
      <c r="J17" s="64">
        <f t="shared" si="3"/>
        <v>1399.9999999998458</v>
      </c>
      <c r="K17" s="58">
        <v>2.2391000000000001</v>
      </c>
      <c r="L17" s="64">
        <f t="shared" si="4"/>
        <v>1900.0000000000127</v>
      </c>
      <c r="M17" s="58">
        <v>1.2988</v>
      </c>
      <c r="N17" s="64">
        <f t="shared" si="5"/>
        <v>899.99999999990087</v>
      </c>
      <c r="O17" s="58">
        <v>12722</v>
      </c>
      <c r="P17" s="67">
        <f t="shared" si="43"/>
        <v>1</v>
      </c>
      <c r="Q17" s="58">
        <v>0</v>
      </c>
      <c r="R17" s="67" t="str">
        <f t="shared" si="6"/>
        <v/>
      </c>
      <c r="S17" s="58">
        <v>874677.6</v>
      </c>
      <c r="T17" s="67">
        <f t="shared" si="7"/>
        <v>523.40000000002328</v>
      </c>
      <c r="U17" s="58">
        <v>359693.7</v>
      </c>
      <c r="V17" s="67">
        <f t="shared" si="8"/>
        <v>302.79999999998836</v>
      </c>
      <c r="W17" s="58">
        <v>351.11</v>
      </c>
      <c r="X17" s="65">
        <f t="shared" si="9"/>
        <v>210.00000000003638</v>
      </c>
      <c r="Y17" s="58">
        <v>2.4782000000000002</v>
      </c>
      <c r="Z17" s="65">
        <f t="shared" si="10"/>
        <v>1600.0000000002678</v>
      </c>
      <c r="AA17" s="58">
        <v>344.37</v>
      </c>
      <c r="AB17" s="65">
        <f t="shared" si="11"/>
        <v>290.00000000002046</v>
      </c>
      <c r="AC17" s="58">
        <v>332.9</v>
      </c>
      <c r="AD17" s="65">
        <f t="shared" si="12"/>
        <v>239.99999999995225</v>
      </c>
      <c r="AE17" s="58">
        <v>517.52</v>
      </c>
      <c r="AF17" s="65">
        <f t="shared" si="13"/>
        <v>269.99999999998181</v>
      </c>
      <c r="AG17" s="58">
        <v>1472.4</v>
      </c>
      <c r="AH17" s="67">
        <f t="shared" si="14"/>
        <v>0.70000000000004547</v>
      </c>
      <c r="AI17" s="58">
        <v>499.61</v>
      </c>
      <c r="AJ17" s="65">
        <f t="shared" si="15"/>
        <v>629.99999999999545</v>
      </c>
      <c r="AK17" s="58">
        <v>175.24</v>
      </c>
      <c r="AL17" s="65">
        <f t="shared" si="15"/>
        <v>210.00000000000796</v>
      </c>
      <c r="AM17" s="58">
        <v>173.74</v>
      </c>
      <c r="AN17" s="65">
        <f t="shared" si="15"/>
        <v>200.00000000001705</v>
      </c>
      <c r="AO17" s="58">
        <v>166.78</v>
      </c>
      <c r="AP17" s="65">
        <f t="shared" si="15"/>
        <v>159.99999999999659</v>
      </c>
      <c r="AQ17" s="58">
        <v>226.13</v>
      </c>
      <c r="AR17" s="65">
        <f t="shared" si="16"/>
        <v>139.99999999998636</v>
      </c>
      <c r="AS17" s="58">
        <v>351.38</v>
      </c>
      <c r="AT17" s="65">
        <f t="shared" si="17"/>
        <v>129.99999999999545</v>
      </c>
      <c r="AU17" s="58">
        <v>271.69</v>
      </c>
      <c r="AV17" s="65">
        <f t="shared" si="18"/>
        <v>139.99999999998636</v>
      </c>
      <c r="AW17" s="58">
        <v>299.3</v>
      </c>
      <c r="AX17" s="65">
        <f t="shared" si="19"/>
        <v>150.00000000003411</v>
      </c>
      <c r="AY17" s="58">
        <v>350.43</v>
      </c>
      <c r="AZ17" s="65">
        <f t="shared" si="20"/>
        <v>129.99999999999545</v>
      </c>
      <c r="BA17" s="58">
        <v>370.58</v>
      </c>
      <c r="BB17" s="65">
        <f t="shared" si="21"/>
        <v>159.99999999996817</v>
      </c>
      <c r="BC17" s="58">
        <v>234.89</v>
      </c>
      <c r="BD17" s="65">
        <f t="shared" si="22"/>
        <v>59.999999999973852</v>
      </c>
      <c r="BE17" s="59">
        <v>33607</v>
      </c>
      <c r="BF17" s="67">
        <f t="shared" si="38"/>
        <v>32</v>
      </c>
      <c r="BG17" s="60">
        <v>227.22</v>
      </c>
      <c r="BH17" s="65">
        <f t="shared" si="23"/>
        <v>30.000000000001137</v>
      </c>
      <c r="BI17" s="60">
        <v>285.58</v>
      </c>
      <c r="BJ17" s="65">
        <f t="shared" si="39"/>
        <v>50.000000000011369</v>
      </c>
      <c r="BK17" s="60">
        <v>232.13</v>
      </c>
      <c r="BL17" s="65">
        <f t="shared" si="24"/>
        <v>19.99999999998181</v>
      </c>
      <c r="BM17" s="60">
        <v>217.11</v>
      </c>
      <c r="BN17" s="65">
        <f t="shared" si="25"/>
        <v>30.000000000001137</v>
      </c>
      <c r="BO17" s="60">
        <v>282.36</v>
      </c>
      <c r="BP17" s="65">
        <f t="shared" si="26"/>
        <v>40.000000000020464</v>
      </c>
      <c r="BQ17" s="60">
        <v>41007</v>
      </c>
      <c r="BR17" s="65">
        <f t="shared" si="27"/>
        <v>26</v>
      </c>
      <c r="BS17" s="60">
        <v>195.41</v>
      </c>
      <c r="BT17" s="65">
        <f t="shared" si="41"/>
        <v>30.000000000001137</v>
      </c>
      <c r="BU17" s="60">
        <v>341.58</v>
      </c>
      <c r="BV17" s="65">
        <v>26</v>
      </c>
      <c r="BW17" s="60">
        <v>227.09</v>
      </c>
      <c r="BX17" s="65">
        <f t="shared" si="29"/>
        <v>30.000000000001137</v>
      </c>
      <c r="BY17" s="60">
        <v>52409</v>
      </c>
      <c r="BZ17" s="67">
        <f t="shared" si="30"/>
        <v>44</v>
      </c>
      <c r="CA17" s="60">
        <v>27599.8</v>
      </c>
      <c r="CB17" s="67">
        <f t="shared" si="31"/>
        <v>9.7000000000007276</v>
      </c>
      <c r="CC17" s="60">
        <v>11255.6</v>
      </c>
      <c r="CD17" s="67">
        <f t="shared" si="32"/>
        <v>0</v>
      </c>
      <c r="CE17" s="60">
        <v>5507.2</v>
      </c>
      <c r="CF17" s="67">
        <f t="shared" si="33"/>
        <v>0</v>
      </c>
      <c r="CG17" s="60">
        <v>52236.800000000003</v>
      </c>
      <c r="CH17" s="67">
        <f t="shared" si="34"/>
        <v>42.200000000004366</v>
      </c>
      <c r="CI17" s="60">
        <v>896609</v>
      </c>
      <c r="CJ17" s="67">
        <f t="shared" si="35"/>
        <v>300</v>
      </c>
      <c r="CK17" s="60">
        <v>648.17999999999995</v>
      </c>
      <c r="CL17" s="64">
        <f t="shared" si="36"/>
        <v>539.99999999996362</v>
      </c>
      <c r="CM17" s="65">
        <f t="shared" si="40"/>
        <v>35.699999999999818</v>
      </c>
      <c r="CN17" s="62">
        <v>0</v>
      </c>
      <c r="CO17" s="62">
        <v>0</v>
      </c>
      <c r="CP17" s="68">
        <v>2279.1</v>
      </c>
      <c r="CQ17" s="67">
        <f t="shared" si="37"/>
        <v>27.699999999999818</v>
      </c>
      <c r="CR17" s="68">
        <v>11215</v>
      </c>
      <c r="CS17" s="67">
        <f t="shared" si="37"/>
        <v>8</v>
      </c>
      <c r="CT17" s="75">
        <v>3984</v>
      </c>
      <c r="CU17" s="67">
        <f t="shared" si="37"/>
        <v>12</v>
      </c>
      <c r="CV17" s="68">
        <v>10775</v>
      </c>
      <c r="CW17" s="67">
        <f t="shared" si="37"/>
        <v>25</v>
      </c>
    </row>
    <row r="18" spans="1:102" ht="25.5" customHeight="1" thickBot="1" x14ac:dyDescent="0.45">
      <c r="A18" s="63">
        <v>44180</v>
      </c>
      <c r="B18" s="44"/>
      <c r="C18" s="58">
        <v>1.9505999999999999</v>
      </c>
      <c r="D18" s="64">
        <f t="shared" si="0"/>
        <v>1699.9999999998129</v>
      </c>
      <c r="E18" s="58">
        <v>2.8372999999999999</v>
      </c>
      <c r="F18" s="64">
        <f t="shared" si="1"/>
        <v>2299.9999999999686</v>
      </c>
      <c r="G18" s="58">
        <v>2.8675000000000002</v>
      </c>
      <c r="H18" s="64">
        <f t="shared" si="2"/>
        <v>1900.0000000000127</v>
      </c>
      <c r="I18" s="58">
        <v>1.3972</v>
      </c>
      <c r="J18" s="64">
        <f t="shared" si="3"/>
        <v>1100.000000000101</v>
      </c>
      <c r="K18" s="58">
        <v>2.2410999999999999</v>
      </c>
      <c r="L18" s="64">
        <f t="shared" si="4"/>
        <v>1999.9999999997797</v>
      </c>
      <c r="M18" s="58">
        <v>1.2995000000000001</v>
      </c>
      <c r="N18" s="64">
        <f t="shared" si="5"/>
        <v>700.00000000014495</v>
      </c>
      <c r="O18" s="58">
        <v>12723</v>
      </c>
      <c r="P18" s="67">
        <f t="shared" si="43"/>
        <v>1</v>
      </c>
      <c r="Q18" s="58">
        <v>0</v>
      </c>
      <c r="R18" s="67">
        <f t="shared" si="6"/>
        <v>0</v>
      </c>
      <c r="S18" s="58">
        <v>875005.4</v>
      </c>
      <c r="T18" s="67">
        <f t="shared" si="7"/>
        <v>327.80000000004657</v>
      </c>
      <c r="U18" s="58">
        <v>359838.8</v>
      </c>
      <c r="V18" s="67">
        <f t="shared" si="8"/>
        <v>145.09999999997672</v>
      </c>
      <c r="W18" s="58">
        <v>351.26</v>
      </c>
      <c r="X18" s="65">
        <f t="shared" si="9"/>
        <v>149.99999999997726</v>
      </c>
      <c r="Y18" s="58">
        <v>2.4792999999999998</v>
      </c>
      <c r="Z18" s="65">
        <f t="shared" si="10"/>
        <v>1099.9999999996569</v>
      </c>
      <c r="AA18" s="58">
        <v>344.62</v>
      </c>
      <c r="AB18" s="65">
        <f t="shared" si="11"/>
        <v>250</v>
      </c>
      <c r="AC18" s="58">
        <v>333.04</v>
      </c>
      <c r="AD18" s="65">
        <f t="shared" si="12"/>
        <v>140.0000000000432</v>
      </c>
      <c r="AE18" s="58">
        <v>517.69000000000005</v>
      </c>
      <c r="AF18" s="65">
        <f t="shared" si="13"/>
        <v>170.00000000007276</v>
      </c>
      <c r="AG18" s="58">
        <v>1473.1</v>
      </c>
      <c r="AH18" s="67">
        <f t="shared" si="14"/>
        <v>0.6999999999998181</v>
      </c>
      <c r="AI18" s="58">
        <v>500.13</v>
      </c>
      <c r="AJ18" s="65">
        <f t="shared" si="15"/>
        <v>519.99999999998181</v>
      </c>
      <c r="AK18" s="58">
        <v>175.35</v>
      </c>
      <c r="AL18" s="65">
        <f t="shared" si="15"/>
        <v>109.99999999998522</v>
      </c>
      <c r="AM18" s="58">
        <v>173.89</v>
      </c>
      <c r="AN18" s="65">
        <f t="shared" si="15"/>
        <v>149.99999999997726</v>
      </c>
      <c r="AO18" s="58">
        <v>166.88</v>
      </c>
      <c r="AP18" s="65">
        <f t="shared" si="15"/>
        <v>99.999999999994316</v>
      </c>
      <c r="AQ18" s="58">
        <v>226.23</v>
      </c>
      <c r="AR18" s="65">
        <f t="shared" si="16"/>
        <v>99.999999999994316</v>
      </c>
      <c r="AS18" s="58">
        <v>351.47</v>
      </c>
      <c r="AT18" s="65">
        <f t="shared" si="17"/>
        <v>90.000000000031832</v>
      </c>
      <c r="AU18" s="58">
        <v>271.8</v>
      </c>
      <c r="AV18" s="65">
        <f t="shared" si="18"/>
        <v>110.00000000001364</v>
      </c>
      <c r="AW18" s="58">
        <v>299.41000000000003</v>
      </c>
      <c r="AX18" s="65">
        <f t="shared" si="19"/>
        <v>110.00000000001364</v>
      </c>
      <c r="AY18" s="58">
        <v>350.56</v>
      </c>
      <c r="AZ18" s="65">
        <f t="shared" si="20"/>
        <v>129.99999999999545</v>
      </c>
      <c r="BA18" s="58">
        <v>370.7</v>
      </c>
      <c r="BB18" s="65">
        <f t="shared" si="21"/>
        <v>120.00000000000455</v>
      </c>
      <c r="BC18" s="58">
        <v>234.93</v>
      </c>
      <c r="BD18" s="65">
        <f t="shared" si="22"/>
        <v>40.000000000020464</v>
      </c>
      <c r="BE18" s="59">
        <v>33634</v>
      </c>
      <c r="BF18" s="67">
        <f t="shared" si="38"/>
        <v>27</v>
      </c>
      <c r="BG18" s="60">
        <v>227.27</v>
      </c>
      <c r="BH18" s="65">
        <f t="shared" si="23"/>
        <v>50.000000000011369</v>
      </c>
      <c r="BI18" s="60">
        <v>285.62</v>
      </c>
      <c r="BJ18" s="65">
        <f t="shared" si="39"/>
        <v>40.000000000020464</v>
      </c>
      <c r="BK18" s="60">
        <v>232.16</v>
      </c>
      <c r="BL18" s="65">
        <f t="shared" si="24"/>
        <v>30.000000000001137</v>
      </c>
      <c r="BM18" s="60">
        <v>217.13</v>
      </c>
      <c r="BN18" s="65">
        <f t="shared" si="25"/>
        <v>19.99999999998181</v>
      </c>
      <c r="BO18" s="60">
        <v>282.38</v>
      </c>
      <c r="BP18" s="65">
        <f t="shared" si="26"/>
        <v>19.99999999998181</v>
      </c>
      <c r="BQ18" s="60">
        <v>41024</v>
      </c>
      <c r="BR18" s="65">
        <f t="shared" si="27"/>
        <v>17</v>
      </c>
      <c r="BS18" s="60">
        <v>195.44</v>
      </c>
      <c r="BT18" s="65">
        <f t="shared" si="41"/>
        <v>30.000000000001137</v>
      </c>
      <c r="BU18" s="60">
        <v>341.76</v>
      </c>
      <c r="BV18" s="65">
        <v>26</v>
      </c>
      <c r="BW18" s="60">
        <v>227.12</v>
      </c>
      <c r="BX18" s="65">
        <f t="shared" si="29"/>
        <v>30.000000000001137</v>
      </c>
      <c r="BY18" s="60">
        <v>52444</v>
      </c>
      <c r="BZ18" s="67">
        <f t="shared" si="30"/>
        <v>35</v>
      </c>
      <c r="CA18" s="60">
        <v>27642.3</v>
      </c>
      <c r="CB18" s="67">
        <f t="shared" si="31"/>
        <v>42.5</v>
      </c>
      <c r="CC18" s="60">
        <v>11255.6</v>
      </c>
      <c r="CD18" s="67">
        <f t="shared" si="32"/>
        <v>0</v>
      </c>
      <c r="CE18" s="60">
        <v>5507.2</v>
      </c>
      <c r="CF18" s="67">
        <f t="shared" si="33"/>
        <v>0</v>
      </c>
      <c r="CG18" s="60">
        <v>52280.800000000003</v>
      </c>
      <c r="CH18" s="67">
        <f t="shared" si="34"/>
        <v>44</v>
      </c>
      <c r="CI18" s="60">
        <v>896874</v>
      </c>
      <c r="CJ18" s="67">
        <f t="shared" si="35"/>
        <v>265</v>
      </c>
      <c r="CK18" s="60">
        <v>648.67999999999995</v>
      </c>
      <c r="CL18" s="64">
        <f t="shared" si="36"/>
        <v>500</v>
      </c>
      <c r="CM18" s="65">
        <f t="shared" si="40"/>
        <v>48.599999999999909</v>
      </c>
      <c r="CN18" s="62">
        <v>0</v>
      </c>
      <c r="CO18" s="62">
        <v>0</v>
      </c>
      <c r="CP18" s="68">
        <v>2321.6999999999998</v>
      </c>
      <c r="CQ18" s="67">
        <f t="shared" si="37"/>
        <v>42.599999999999909</v>
      </c>
      <c r="CR18" s="68">
        <v>11221</v>
      </c>
      <c r="CS18" s="67">
        <f t="shared" si="37"/>
        <v>6</v>
      </c>
      <c r="CT18" s="75">
        <v>3997</v>
      </c>
      <c r="CU18" s="67">
        <f t="shared" si="37"/>
        <v>13</v>
      </c>
      <c r="CV18" s="68">
        <v>10799</v>
      </c>
      <c r="CW18" s="67">
        <f t="shared" si="37"/>
        <v>24</v>
      </c>
    </row>
    <row r="19" spans="1:102" ht="25.5" customHeight="1" thickBot="1" x14ac:dyDescent="0.45">
      <c r="A19" s="63">
        <v>44181</v>
      </c>
      <c r="B19" s="44"/>
      <c r="C19" s="58">
        <v>1.9528000000000001</v>
      </c>
      <c r="D19" s="64">
        <f t="shared" si="0"/>
        <v>2200.0000000002019</v>
      </c>
      <c r="E19" s="58">
        <v>2.8389000000000002</v>
      </c>
      <c r="F19" s="64">
        <f t="shared" si="1"/>
        <v>1600.0000000002678</v>
      </c>
      <c r="G19" s="58">
        <v>2.8696000000000002</v>
      </c>
      <c r="H19" s="64">
        <f t="shared" si="2"/>
        <v>2099.9999999999909</v>
      </c>
      <c r="I19" s="58">
        <v>1.3984000000000001</v>
      </c>
      <c r="J19" s="64">
        <f t="shared" si="3"/>
        <v>1200.0000000000898</v>
      </c>
      <c r="K19" s="58">
        <v>2.2429999999999999</v>
      </c>
      <c r="L19" s="64">
        <f t="shared" si="4"/>
        <v>1900.0000000000127</v>
      </c>
      <c r="M19" s="58">
        <v>1.3002</v>
      </c>
      <c r="N19" s="64">
        <f t="shared" si="5"/>
        <v>699.99999999992292</v>
      </c>
      <c r="O19" s="58">
        <v>12724</v>
      </c>
      <c r="P19" s="67">
        <f t="shared" si="43"/>
        <v>1</v>
      </c>
      <c r="Q19" s="58">
        <v>0</v>
      </c>
      <c r="R19" s="67">
        <f t="shared" si="6"/>
        <v>0</v>
      </c>
      <c r="S19" s="58">
        <v>875442.08</v>
      </c>
      <c r="T19" s="67">
        <f t="shared" si="7"/>
        <v>436.67999999993481</v>
      </c>
      <c r="U19" s="58">
        <v>360070.5</v>
      </c>
      <c r="V19" s="67">
        <f t="shared" si="8"/>
        <v>231.70000000001164</v>
      </c>
      <c r="W19" s="58">
        <v>351.43</v>
      </c>
      <c r="X19" s="65">
        <f t="shared" si="9"/>
        <v>170.00000000001592</v>
      </c>
      <c r="Y19" s="58">
        <v>2.4805999999999999</v>
      </c>
      <c r="Z19" s="65">
        <f t="shared" si="10"/>
        <v>1300.0000000000789</v>
      </c>
      <c r="AA19" s="58">
        <v>344.86</v>
      </c>
      <c r="AB19" s="65">
        <f t="shared" si="11"/>
        <v>240.00000000000909</v>
      </c>
      <c r="AC19" s="58">
        <v>333.17</v>
      </c>
      <c r="AD19" s="65">
        <f t="shared" si="12"/>
        <v>129.99999999999545</v>
      </c>
      <c r="AE19" s="58">
        <v>517.9</v>
      </c>
      <c r="AF19" s="65">
        <f t="shared" si="13"/>
        <v>209.99999999992269</v>
      </c>
      <c r="AG19" s="58">
        <v>1474.1</v>
      </c>
      <c r="AH19" s="67">
        <f t="shared" si="14"/>
        <v>1</v>
      </c>
      <c r="AI19" s="58">
        <v>500.75</v>
      </c>
      <c r="AJ19" s="65">
        <f t="shared" si="15"/>
        <v>620.00000000000455</v>
      </c>
      <c r="AK19" s="58">
        <v>175.49</v>
      </c>
      <c r="AL19" s="65">
        <f t="shared" si="15"/>
        <v>140.00000000001478</v>
      </c>
      <c r="AM19" s="58">
        <v>174.01</v>
      </c>
      <c r="AN19" s="65">
        <f t="shared" si="15"/>
        <v>120.00000000000455</v>
      </c>
      <c r="AO19" s="58">
        <v>167.01</v>
      </c>
      <c r="AP19" s="65">
        <f t="shared" si="15"/>
        <v>129.99999999999545</v>
      </c>
      <c r="AQ19" s="58">
        <v>226.32</v>
      </c>
      <c r="AR19" s="65">
        <f t="shared" si="16"/>
        <v>90.000000000003411</v>
      </c>
      <c r="AS19" s="58">
        <v>351.66</v>
      </c>
      <c r="AT19" s="65">
        <f t="shared" si="17"/>
        <v>189.99999999999773</v>
      </c>
      <c r="AU19" s="58">
        <v>271.08999999999997</v>
      </c>
      <c r="AV19" s="65" t="str">
        <f t="shared" si="18"/>
        <v/>
      </c>
      <c r="AW19" s="58">
        <v>299.52</v>
      </c>
      <c r="AX19" s="65">
        <f t="shared" si="19"/>
        <v>109.9999999999568</v>
      </c>
      <c r="AY19" s="58">
        <v>350.73</v>
      </c>
      <c r="AZ19" s="65">
        <f t="shared" si="20"/>
        <v>170.00000000001592</v>
      </c>
      <c r="BA19" s="58">
        <v>370.9</v>
      </c>
      <c r="BB19" s="65">
        <f t="shared" si="21"/>
        <v>199.99999999998863</v>
      </c>
      <c r="BC19" s="58">
        <v>234.98</v>
      </c>
      <c r="BD19" s="65">
        <f t="shared" si="22"/>
        <v>49.999999999982947</v>
      </c>
      <c r="BE19" s="59">
        <v>33662</v>
      </c>
      <c r="BF19" s="67">
        <f t="shared" si="38"/>
        <v>28</v>
      </c>
      <c r="BG19" s="60">
        <v>227.29</v>
      </c>
      <c r="BH19" s="65">
        <f t="shared" si="23"/>
        <v>19.99999999998181</v>
      </c>
      <c r="BI19" s="60">
        <v>285.66000000000003</v>
      </c>
      <c r="BJ19" s="65">
        <f t="shared" si="39"/>
        <v>40.000000000020464</v>
      </c>
      <c r="BK19" s="60">
        <v>232.18</v>
      </c>
      <c r="BL19" s="65">
        <f t="shared" si="24"/>
        <v>20.000000000010232</v>
      </c>
      <c r="BM19" s="60">
        <v>217.15</v>
      </c>
      <c r="BN19" s="65">
        <f t="shared" si="25"/>
        <v>20.000000000010232</v>
      </c>
      <c r="BO19" s="60">
        <v>282.41000000000003</v>
      </c>
      <c r="BP19" s="65">
        <f t="shared" si="26"/>
        <v>30.000000000029559</v>
      </c>
      <c r="BQ19" s="60">
        <v>41043</v>
      </c>
      <c r="BR19" s="65">
        <f t="shared" si="27"/>
        <v>19</v>
      </c>
      <c r="BS19" s="60">
        <v>195.46</v>
      </c>
      <c r="BT19" s="65">
        <f t="shared" si="41"/>
        <v>20.000000000010232</v>
      </c>
      <c r="BU19" s="60">
        <v>341.99</v>
      </c>
      <c r="BV19" s="65">
        <v>26</v>
      </c>
      <c r="BW19" s="60">
        <v>227.14</v>
      </c>
      <c r="BX19" s="65">
        <f t="shared" si="29"/>
        <v>19.99999999998181</v>
      </c>
      <c r="BY19" s="60">
        <v>52475</v>
      </c>
      <c r="BZ19" s="67">
        <f t="shared" si="30"/>
        <v>31</v>
      </c>
      <c r="CA19" s="60">
        <v>27665.3</v>
      </c>
      <c r="CB19" s="67">
        <f t="shared" si="31"/>
        <v>23</v>
      </c>
      <c r="CC19" s="60">
        <v>11255.6</v>
      </c>
      <c r="CD19" s="67">
        <f t="shared" si="32"/>
        <v>0</v>
      </c>
      <c r="CE19" s="60">
        <v>5509.1</v>
      </c>
      <c r="CF19" s="67">
        <f t="shared" si="33"/>
        <v>1.9000000000005457</v>
      </c>
      <c r="CG19" s="60">
        <v>52320.6</v>
      </c>
      <c r="CH19" s="67">
        <f t="shared" si="34"/>
        <v>39.799999999995634</v>
      </c>
      <c r="CI19" s="60">
        <v>897163</v>
      </c>
      <c r="CJ19" s="67">
        <f t="shared" si="35"/>
        <v>289</v>
      </c>
      <c r="CK19" s="60">
        <v>649.20000000000005</v>
      </c>
      <c r="CL19" s="64">
        <f t="shared" si="36"/>
        <v>520.0000000000955</v>
      </c>
      <c r="CM19" s="65">
        <f t="shared" si="40"/>
        <v>50.300000000000182</v>
      </c>
      <c r="CN19" s="62">
        <v>0</v>
      </c>
      <c r="CO19" s="62">
        <v>0</v>
      </c>
      <c r="CP19" s="68">
        <v>2361</v>
      </c>
      <c r="CQ19" s="67">
        <f t="shared" si="37"/>
        <v>39.300000000000182</v>
      </c>
      <c r="CR19" s="68">
        <v>11232</v>
      </c>
      <c r="CS19" s="67">
        <f t="shared" si="37"/>
        <v>11</v>
      </c>
      <c r="CT19" s="75">
        <v>4009</v>
      </c>
      <c r="CU19" s="67">
        <f t="shared" si="37"/>
        <v>12</v>
      </c>
      <c r="CV19" s="68">
        <v>10812</v>
      </c>
      <c r="CW19" s="67">
        <f t="shared" si="37"/>
        <v>13</v>
      </c>
    </row>
    <row r="20" spans="1:102" ht="25.5" customHeight="1" thickBot="1" x14ac:dyDescent="0.45">
      <c r="A20" s="63">
        <v>44182</v>
      </c>
      <c r="B20" s="44"/>
      <c r="C20" s="58">
        <v>1.9553</v>
      </c>
      <c r="D20" s="64">
        <f t="shared" si="0"/>
        <v>2499.9999999999468</v>
      </c>
      <c r="E20" s="58">
        <v>2.8412000000000002</v>
      </c>
      <c r="F20" s="64">
        <f t="shared" si="1"/>
        <v>2299.9999999999686</v>
      </c>
      <c r="G20" s="58">
        <v>2.8715999999999999</v>
      </c>
      <c r="H20" s="64">
        <f t="shared" si="2"/>
        <v>1999.9999999997797</v>
      </c>
      <c r="I20" s="58">
        <v>1.3996999999999999</v>
      </c>
      <c r="J20" s="64">
        <f t="shared" si="3"/>
        <v>1299.9999999998568</v>
      </c>
      <c r="K20" s="58">
        <v>2.2448999999999999</v>
      </c>
      <c r="L20" s="64">
        <f t="shared" si="4"/>
        <v>1900.0000000000127</v>
      </c>
      <c r="M20" s="58">
        <v>1.3009999999999999</v>
      </c>
      <c r="N20" s="64">
        <f t="shared" si="5"/>
        <v>799.99999999991189</v>
      </c>
      <c r="O20" s="58">
        <v>12725</v>
      </c>
      <c r="P20" s="67">
        <f t="shared" si="43"/>
        <v>1</v>
      </c>
      <c r="Q20" s="58">
        <v>0</v>
      </c>
      <c r="R20" s="67">
        <f t="shared" si="6"/>
        <v>0</v>
      </c>
      <c r="S20" s="58">
        <v>875799.2</v>
      </c>
      <c r="T20" s="67">
        <f t="shared" si="7"/>
        <v>357.11999999999534</v>
      </c>
      <c r="U20" s="58">
        <v>360261.9</v>
      </c>
      <c r="V20" s="67">
        <f t="shared" si="8"/>
        <v>191.40000000002328</v>
      </c>
      <c r="W20" s="58">
        <v>351.65</v>
      </c>
      <c r="X20" s="65">
        <f t="shared" si="9"/>
        <v>219.99999999997044</v>
      </c>
      <c r="Y20" s="58">
        <v>2.4828000000000001</v>
      </c>
      <c r="Z20" s="65">
        <f t="shared" si="10"/>
        <v>2200.0000000002019</v>
      </c>
      <c r="AA20" s="58">
        <v>345.17</v>
      </c>
      <c r="AB20" s="65">
        <f t="shared" si="11"/>
        <v>310.00000000000227</v>
      </c>
      <c r="AC20" s="58">
        <v>333.31</v>
      </c>
      <c r="AD20" s="65">
        <f t="shared" si="12"/>
        <v>139.99999999998636</v>
      </c>
      <c r="AE20" s="58">
        <v>518.15</v>
      </c>
      <c r="AF20" s="65">
        <f t="shared" si="13"/>
        <v>250</v>
      </c>
      <c r="AG20" s="58">
        <v>1475.9</v>
      </c>
      <c r="AH20" s="67">
        <f t="shared" si="14"/>
        <v>1.8000000000001819</v>
      </c>
      <c r="AI20" s="58">
        <v>501.35</v>
      </c>
      <c r="AJ20" s="65">
        <f t="shared" si="15"/>
        <v>600.00000000002274</v>
      </c>
      <c r="AK20" s="58">
        <v>175.73</v>
      </c>
      <c r="AL20" s="65">
        <f t="shared" si="15"/>
        <v>239.99999999998067</v>
      </c>
      <c r="AM20" s="58">
        <v>174.17</v>
      </c>
      <c r="AN20" s="65">
        <f t="shared" si="15"/>
        <v>159.99999999999659</v>
      </c>
      <c r="AO20" s="58">
        <v>167.14</v>
      </c>
      <c r="AP20" s="65">
        <f t="shared" si="15"/>
        <v>129.99999999999545</v>
      </c>
      <c r="AQ20" s="58">
        <v>226.43</v>
      </c>
      <c r="AR20" s="65">
        <f t="shared" si="16"/>
        <v>110.00000000001364</v>
      </c>
      <c r="AS20" s="58">
        <v>351.88</v>
      </c>
      <c r="AT20" s="65">
        <f t="shared" si="17"/>
        <v>219.99999999997044</v>
      </c>
      <c r="AU20" s="58">
        <v>272.02</v>
      </c>
      <c r="AV20" s="65">
        <f t="shared" si="18"/>
        <v>930.00000000000682</v>
      </c>
      <c r="AW20" s="58">
        <v>299.66000000000003</v>
      </c>
      <c r="AX20" s="65">
        <f t="shared" si="19"/>
        <v>140.0000000000432</v>
      </c>
      <c r="AY20" s="58">
        <v>350.98</v>
      </c>
      <c r="AZ20" s="65">
        <f t="shared" si="20"/>
        <v>250</v>
      </c>
      <c r="BA20" s="58">
        <v>371.2</v>
      </c>
      <c r="BB20" s="65">
        <f t="shared" si="21"/>
        <v>300.00000000001137</v>
      </c>
      <c r="BC20" s="58">
        <v>235.04</v>
      </c>
      <c r="BD20" s="65">
        <f t="shared" si="22"/>
        <v>60.000000000002274</v>
      </c>
      <c r="BE20" s="59">
        <v>33693</v>
      </c>
      <c r="BF20" s="67">
        <f t="shared" si="38"/>
        <v>31</v>
      </c>
      <c r="BG20" s="60">
        <v>227.32</v>
      </c>
      <c r="BH20" s="65">
        <f t="shared" si="23"/>
        <v>30.000000000001137</v>
      </c>
      <c r="BI20" s="60">
        <v>285.7</v>
      </c>
      <c r="BJ20" s="65">
        <f t="shared" si="39"/>
        <v>39.99999999996362</v>
      </c>
      <c r="BK20" s="60">
        <v>232.21</v>
      </c>
      <c r="BL20" s="65">
        <f t="shared" si="24"/>
        <v>30.000000000001137</v>
      </c>
      <c r="BM20" s="60">
        <v>217.17</v>
      </c>
      <c r="BN20" s="65">
        <f t="shared" si="25"/>
        <v>19.99999999998181</v>
      </c>
      <c r="BO20" s="60">
        <v>282.44</v>
      </c>
      <c r="BP20" s="65">
        <f t="shared" si="26"/>
        <v>29.999999999972715</v>
      </c>
      <c r="BQ20" s="60">
        <v>41065</v>
      </c>
      <c r="BR20" s="65">
        <f t="shared" si="27"/>
        <v>22</v>
      </c>
      <c r="BS20" s="60">
        <v>195.5</v>
      </c>
      <c r="BT20" s="65">
        <f t="shared" si="41"/>
        <v>39.999999999992042</v>
      </c>
      <c r="BU20" s="60">
        <v>342.24</v>
      </c>
      <c r="BV20" s="65">
        <v>26</v>
      </c>
      <c r="BW20" s="60">
        <v>227.17</v>
      </c>
      <c r="BX20" s="65">
        <f t="shared" si="29"/>
        <v>30.000000000001137</v>
      </c>
      <c r="BY20" s="60">
        <v>52521</v>
      </c>
      <c r="BZ20" s="67">
        <f t="shared" si="30"/>
        <v>46</v>
      </c>
      <c r="CA20" s="60">
        <v>27704.1</v>
      </c>
      <c r="CB20" s="67">
        <f t="shared" si="31"/>
        <v>38.799999999999272</v>
      </c>
      <c r="CC20" s="60">
        <v>11255.6</v>
      </c>
      <c r="CD20" s="67">
        <f t="shared" si="32"/>
        <v>0</v>
      </c>
      <c r="CE20" s="60">
        <v>5510.6</v>
      </c>
      <c r="CF20" s="67">
        <f t="shared" si="33"/>
        <v>1.5</v>
      </c>
      <c r="CG20" s="60">
        <v>52367.199999999997</v>
      </c>
      <c r="CH20" s="67">
        <f t="shared" si="34"/>
        <v>46.599999999998545</v>
      </c>
      <c r="CI20" s="60">
        <v>897442</v>
      </c>
      <c r="CJ20" s="67">
        <f t="shared" si="35"/>
        <v>279</v>
      </c>
      <c r="CK20" s="60">
        <v>649.74</v>
      </c>
      <c r="CL20" s="64">
        <f t="shared" si="36"/>
        <v>539.99999999996362</v>
      </c>
      <c r="CM20" s="65">
        <f t="shared" si="40"/>
        <v>51.699999999999818</v>
      </c>
      <c r="CN20" s="62">
        <v>0</v>
      </c>
      <c r="CO20" s="62">
        <v>0</v>
      </c>
      <c r="CP20" s="68">
        <v>2389.6999999999998</v>
      </c>
      <c r="CQ20" s="67">
        <f t="shared" si="37"/>
        <v>28.699999999999818</v>
      </c>
      <c r="CR20" s="68">
        <v>11255</v>
      </c>
      <c r="CS20" s="67">
        <f t="shared" si="37"/>
        <v>23</v>
      </c>
      <c r="CT20" s="75">
        <v>4020</v>
      </c>
      <c r="CU20" s="67">
        <f t="shared" si="37"/>
        <v>11</v>
      </c>
      <c r="CV20" s="68">
        <v>10828</v>
      </c>
      <c r="CW20" s="67">
        <f t="shared" si="37"/>
        <v>16</v>
      </c>
    </row>
    <row r="21" spans="1:102" ht="25.5" customHeight="1" thickBot="1" x14ac:dyDescent="0.45">
      <c r="A21" s="63">
        <v>44183</v>
      </c>
      <c r="B21" s="44"/>
      <c r="C21" s="58">
        <v>1.9581</v>
      </c>
      <c r="D21" s="64">
        <f t="shared" si="0"/>
        <v>2799.9999999999136</v>
      </c>
      <c r="E21" s="58">
        <v>2.8433999999999999</v>
      </c>
      <c r="F21" s="64">
        <f t="shared" si="1"/>
        <v>2199.9999999997576</v>
      </c>
      <c r="G21" s="58">
        <v>2.8738999999999999</v>
      </c>
      <c r="H21" s="64">
        <f t="shared" si="2"/>
        <v>2299.9999999999686</v>
      </c>
      <c r="I21" s="58">
        <v>1.401</v>
      </c>
      <c r="J21" s="64">
        <f t="shared" si="3"/>
        <v>1300.0000000000789</v>
      </c>
      <c r="K21" s="58">
        <v>2.2469000000000001</v>
      </c>
      <c r="L21" s="64">
        <f t="shared" si="4"/>
        <v>2000.0000000002237</v>
      </c>
      <c r="M21" s="58">
        <v>1.302</v>
      </c>
      <c r="N21" s="64">
        <f t="shared" si="5"/>
        <v>1000.0000000001119</v>
      </c>
      <c r="O21" s="58">
        <v>12726</v>
      </c>
      <c r="P21" s="67">
        <f t="shared" si="43"/>
        <v>1</v>
      </c>
      <c r="Q21" s="58">
        <v>0</v>
      </c>
      <c r="R21" s="67">
        <f t="shared" si="6"/>
        <v>0</v>
      </c>
      <c r="S21" s="58">
        <v>876292.4</v>
      </c>
      <c r="T21" s="67">
        <f t="shared" si="7"/>
        <v>493.20000000006985</v>
      </c>
      <c r="U21" s="58">
        <v>360530.5</v>
      </c>
      <c r="V21" s="67">
        <f t="shared" si="8"/>
        <v>268.59999999997672</v>
      </c>
      <c r="W21" s="58">
        <v>351.9</v>
      </c>
      <c r="X21" s="65">
        <f t="shared" si="9"/>
        <v>250</v>
      </c>
      <c r="Y21" s="58">
        <v>2.4847000000000001</v>
      </c>
      <c r="Z21" s="65">
        <f t="shared" si="10"/>
        <v>1900.0000000000127</v>
      </c>
      <c r="AA21" s="58">
        <v>345.62</v>
      </c>
      <c r="AB21" s="65">
        <f t="shared" si="11"/>
        <v>449.99999999998863</v>
      </c>
      <c r="AC21" s="58">
        <v>333.5</v>
      </c>
      <c r="AD21" s="65">
        <f t="shared" si="12"/>
        <v>189.99999999999773</v>
      </c>
      <c r="AE21" s="58">
        <v>518.41999999999996</v>
      </c>
      <c r="AF21" s="65">
        <f t="shared" si="13"/>
        <v>269.99999999998181</v>
      </c>
      <c r="AG21" s="58">
        <v>1477.3</v>
      </c>
      <c r="AH21" s="67">
        <f t="shared" si="14"/>
        <v>1.3999999999998636</v>
      </c>
      <c r="AI21" s="58">
        <v>501.99</v>
      </c>
      <c r="AJ21" s="65">
        <f t="shared" si="15"/>
        <v>639.99999999998636</v>
      </c>
      <c r="AK21" s="58">
        <v>176.04</v>
      </c>
      <c r="AL21" s="65">
        <f t="shared" si="15"/>
        <v>310.00000000000227</v>
      </c>
      <c r="AM21" s="58">
        <v>174.33</v>
      </c>
      <c r="AN21" s="65">
        <f t="shared" si="15"/>
        <v>160.00000000002501</v>
      </c>
      <c r="AO21" s="58">
        <v>167.29</v>
      </c>
      <c r="AP21" s="65">
        <f t="shared" si="15"/>
        <v>150.00000000000568</v>
      </c>
      <c r="AQ21" s="58">
        <v>226.55</v>
      </c>
      <c r="AR21" s="65">
        <f t="shared" si="16"/>
        <v>120.00000000000455</v>
      </c>
      <c r="AS21" s="58">
        <v>352.07</v>
      </c>
      <c r="AT21" s="65">
        <f t="shared" si="17"/>
        <v>189.99999999999773</v>
      </c>
      <c r="AU21" s="58">
        <v>272.14999999999998</v>
      </c>
      <c r="AV21" s="65">
        <f t="shared" si="18"/>
        <v>129.99999999999545</v>
      </c>
      <c r="AW21" s="58">
        <v>299.8</v>
      </c>
      <c r="AX21" s="65">
        <f t="shared" si="19"/>
        <v>139.99999999998636</v>
      </c>
      <c r="AY21" s="58">
        <v>351.24</v>
      </c>
      <c r="AZ21" s="65">
        <f t="shared" si="20"/>
        <v>259.99999999999091</v>
      </c>
      <c r="BA21" s="58">
        <v>371.44</v>
      </c>
      <c r="BB21" s="65">
        <f t="shared" si="21"/>
        <v>240.00000000000909</v>
      </c>
      <c r="BC21" s="58">
        <v>235.15</v>
      </c>
      <c r="BD21" s="65">
        <f t="shared" si="22"/>
        <v>110.00000000001364</v>
      </c>
      <c r="BE21" s="59">
        <v>33722</v>
      </c>
      <c r="BF21" s="67">
        <f t="shared" si="38"/>
        <v>29</v>
      </c>
      <c r="BG21" s="60">
        <v>227.35</v>
      </c>
      <c r="BH21" s="65">
        <f t="shared" si="23"/>
        <v>30.000000000001137</v>
      </c>
      <c r="BI21" s="60">
        <v>285.74</v>
      </c>
      <c r="BJ21" s="65">
        <f t="shared" si="39"/>
        <v>40.000000000020464</v>
      </c>
      <c r="BK21" s="60">
        <v>232.24</v>
      </c>
      <c r="BL21" s="65">
        <f t="shared" si="24"/>
        <v>30.000000000001137</v>
      </c>
      <c r="BM21" s="60">
        <v>217.19</v>
      </c>
      <c r="BN21" s="65">
        <f t="shared" si="25"/>
        <v>20.000000000010232</v>
      </c>
      <c r="BO21" s="60">
        <v>282.47000000000003</v>
      </c>
      <c r="BP21" s="65">
        <f t="shared" si="26"/>
        <v>30.000000000029559</v>
      </c>
      <c r="BQ21" s="60">
        <v>41087</v>
      </c>
      <c r="BR21" s="65">
        <f t="shared" si="27"/>
        <v>22</v>
      </c>
      <c r="BS21" s="60">
        <v>195.54</v>
      </c>
      <c r="BT21" s="65">
        <f t="shared" si="41"/>
        <v>39.999999999992042</v>
      </c>
      <c r="BU21" s="60">
        <v>342.64</v>
      </c>
      <c r="BV21" s="65">
        <v>26</v>
      </c>
      <c r="BW21" s="60">
        <v>227.19</v>
      </c>
      <c r="BX21" s="65">
        <f t="shared" si="29"/>
        <v>20.000000000010232</v>
      </c>
      <c r="BY21" s="60">
        <v>52557</v>
      </c>
      <c r="BZ21" s="67">
        <f t="shared" si="30"/>
        <v>36</v>
      </c>
      <c r="CA21" s="60">
        <v>27744.5</v>
      </c>
      <c r="CB21" s="67">
        <f t="shared" si="31"/>
        <v>40.400000000001455</v>
      </c>
      <c r="CC21" s="60">
        <v>11255.6</v>
      </c>
      <c r="CD21" s="67">
        <f t="shared" si="32"/>
        <v>0</v>
      </c>
      <c r="CE21" s="60">
        <v>5523.1</v>
      </c>
      <c r="CF21" s="67">
        <f t="shared" si="33"/>
        <v>12.5</v>
      </c>
      <c r="CG21" s="60">
        <v>52412.2</v>
      </c>
      <c r="CH21" s="67">
        <f t="shared" si="34"/>
        <v>45</v>
      </c>
      <c r="CI21" s="60">
        <v>897761</v>
      </c>
      <c r="CJ21" s="67">
        <f t="shared" si="35"/>
        <v>319</v>
      </c>
      <c r="CK21" s="60">
        <v>650.35</v>
      </c>
      <c r="CL21" s="64">
        <f t="shared" si="36"/>
        <v>610.00000000001364</v>
      </c>
      <c r="CM21" s="65">
        <f t="shared" si="40"/>
        <v>63.300000000000182</v>
      </c>
      <c r="CN21" s="62">
        <v>0</v>
      </c>
      <c r="CO21" s="62">
        <v>0</v>
      </c>
      <c r="CP21" s="68">
        <v>2434</v>
      </c>
      <c r="CQ21" s="67">
        <f t="shared" si="37"/>
        <v>44.300000000000182</v>
      </c>
      <c r="CR21" s="68">
        <v>11274</v>
      </c>
      <c r="CS21" s="67">
        <f t="shared" si="37"/>
        <v>19</v>
      </c>
      <c r="CT21" s="75">
        <v>4032</v>
      </c>
      <c r="CU21" s="67">
        <f t="shared" si="37"/>
        <v>12</v>
      </c>
      <c r="CV21" s="68">
        <v>10842</v>
      </c>
      <c r="CW21" s="67">
        <f t="shared" si="37"/>
        <v>14</v>
      </c>
    </row>
    <row r="22" spans="1:102" ht="25.5" customHeight="1" thickBot="1" x14ac:dyDescent="0.45">
      <c r="A22" s="63">
        <v>44184</v>
      </c>
      <c r="B22" s="44"/>
      <c r="C22" s="58">
        <v>1.9609000000000001</v>
      </c>
      <c r="D22" s="64">
        <f t="shared" si="0"/>
        <v>2800.0000000001355</v>
      </c>
      <c r="E22" s="58">
        <v>2.8462000000000001</v>
      </c>
      <c r="F22" s="64">
        <f t="shared" si="1"/>
        <v>2800.0000000001355</v>
      </c>
      <c r="G22" s="58">
        <v>2.8763000000000001</v>
      </c>
      <c r="H22" s="64">
        <f t="shared" si="2"/>
        <v>2400.0000000001796</v>
      </c>
      <c r="I22" s="58">
        <v>1.4024000000000001</v>
      </c>
      <c r="J22" s="64">
        <f t="shared" si="3"/>
        <v>1400.0000000000678</v>
      </c>
      <c r="K22" s="58">
        <v>2.2490999999999999</v>
      </c>
      <c r="L22" s="64">
        <f t="shared" si="4"/>
        <v>2199.9999999997576</v>
      </c>
      <c r="M22" s="58">
        <v>1.3028999999999999</v>
      </c>
      <c r="N22" s="64">
        <f t="shared" si="5"/>
        <v>899.99999999990087</v>
      </c>
      <c r="O22" s="58">
        <v>12727</v>
      </c>
      <c r="P22" s="67">
        <f t="shared" si="43"/>
        <v>1</v>
      </c>
      <c r="Q22" s="58">
        <v>10</v>
      </c>
      <c r="R22" s="67">
        <f t="shared" si="6"/>
        <v>10</v>
      </c>
      <c r="S22" s="58">
        <v>876899.2</v>
      </c>
      <c r="T22" s="67">
        <f t="shared" si="7"/>
        <v>606.79999999993015</v>
      </c>
      <c r="U22" s="58">
        <v>360818.7</v>
      </c>
      <c r="V22" s="67">
        <f t="shared" si="8"/>
        <v>288.20000000001164</v>
      </c>
      <c r="W22" s="58">
        <v>352.14</v>
      </c>
      <c r="X22" s="65">
        <f t="shared" si="9"/>
        <v>240.00000000000909</v>
      </c>
      <c r="Y22" s="58">
        <v>2.4872000000000001</v>
      </c>
      <c r="Z22" s="65">
        <f t="shared" si="10"/>
        <v>2499.9999999999468</v>
      </c>
      <c r="AA22" s="58">
        <v>346.03</v>
      </c>
      <c r="AB22" s="65">
        <f t="shared" si="11"/>
        <v>409.99999999996817</v>
      </c>
      <c r="AC22" s="58">
        <v>333.69</v>
      </c>
      <c r="AD22" s="65">
        <f t="shared" si="12"/>
        <v>189.99999999999773</v>
      </c>
      <c r="AE22" s="58">
        <v>518.62</v>
      </c>
      <c r="AF22" s="65">
        <f t="shared" si="13"/>
        <v>200.00000000004547</v>
      </c>
      <c r="AG22" s="58">
        <v>1479</v>
      </c>
      <c r="AH22" s="67">
        <f t="shared" si="14"/>
        <v>1.7000000000000455</v>
      </c>
      <c r="AI22" s="58">
        <v>502.67</v>
      </c>
      <c r="AJ22" s="65">
        <f t="shared" si="15"/>
        <v>680.00000000000682</v>
      </c>
      <c r="AK22" s="58">
        <v>176.34</v>
      </c>
      <c r="AL22" s="65">
        <f t="shared" si="15"/>
        <v>300.00000000001137</v>
      </c>
      <c r="AM22" s="58">
        <v>174.48</v>
      </c>
      <c r="AN22" s="65">
        <f t="shared" si="15"/>
        <v>149.99999999997726</v>
      </c>
      <c r="AO22" s="58">
        <v>167.45</v>
      </c>
      <c r="AP22" s="65">
        <f t="shared" si="15"/>
        <v>159.99999999999659</v>
      </c>
      <c r="AQ22" s="58">
        <v>226.67</v>
      </c>
      <c r="AR22" s="65">
        <f t="shared" si="16"/>
        <v>119.99999999997613</v>
      </c>
      <c r="AS22" s="58">
        <v>352.34</v>
      </c>
      <c r="AT22" s="65">
        <f t="shared" si="17"/>
        <v>269.99999999998181</v>
      </c>
      <c r="AU22" s="58">
        <v>272.29000000000002</v>
      </c>
      <c r="AV22" s="65">
        <f t="shared" si="18"/>
        <v>140.0000000000432</v>
      </c>
      <c r="AW22" s="58">
        <v>299.95</v>
      </c>
      <c r="AX22" s="65">
        <f t="shared" si="19"/>
        <v>149.99999999997726</v>
      </c>
      <c r="AY22" s="58">
        <v>351.51</v>
      </c>
      <c r="AZ22" s="65">
        <f t="shared" si="20"/>
        <v>269.99999999998181</v>
      </c>
      <c r="BA22" s="58">
        <v>371.58</v>
      </c>
      <c r="BB22" s="65">
        <f t="shared" si="21"/>
        <v>139.99999999998636</v>
      </c>
      <c r="BC22" s="58">
        <v>235.27</v>
      </c>
      <c r="BD22" s="65">
        <f t="shared" si="22"/>
        <v>120.00000000000455</v>
      </c>
      <c r="BE22" s="59">
        <v>33757</v>
      </c>
      <c r="BF22" s="67">
        <f t="shared" si="38"/>
        <v>35</v>
      </c>
      <c r="BG22" s="60">
        <v>227.39</v>
      </c>
      <c r="BH22" s="65">
        <f t="shared" si="23"/>
        <v>39.999999999992042</v>
      </c>
      <c r="BI22" s="60">
        <v>285.79000000000002</v>
      </c>
      <c r="BJ22" s="65">
        <f t="shared" si="39"/>
        <v>50.000000000011369</v>
      </c>
      <c r="BK22" s="60">
        <v>232.17</v>
      </c>
      <c r="BL22" s="65" t="str">
        <f t="shared" si="24"/>
        <v/>
      </c>
      <c r="BM22" s="60">
        <v>217.22</v>
      </c>
      <c r="BN22" s="65">
        <f t="shared" si="25"/>
        <v>30.000000000001137</v>
      </c>
      <c r="BO22" s="60">
        <v>282.5</v>
      </c>
      <c r="BP22" s="65">
        <f t="shared" si="26"/>
        <v>29.999999999972715</v>
      </c>
      <c r="BQ22" s="60">
        <v>41120</v>
      </c>
      <c r="BR22" s="65">
        <f t="shared" si="27"/>
        <v>33</v>
      </c>
      <c r="BS22" s="60">
        <v>195.58</v>
      </c>
      <c r="BT22" s="65">
        <f t="shared" si="41"/>
        <v>40.000000000020464</v>
      </c>
      <c r="BU22" s="60">
        <v>342.97</v>
      </c>
      <c r="BV22" s="65">
        <v>26</v>
      </c>
      <c r="BW22" s="60">
        <v>227.22</v>
      </c>
      <c r="BX22" s="65">
        <f t="shared" si="29"/>
        <v>30.000000000001137</v>
      </c>
      <c r="BY22" s="60">
        <v>52592</v>
      </c>
      <c r="BZ22" s="67">
        <f t="shared" si="30"/>
        <v>35</v>
      </c>
      <c r="CA22" s="60">
        <v>27790</v>
      </c>
      <c r="CB22" s="67">
        <f t="shared" si="31"/>
        <v>45.5</v>
      </c>
      <c r="CC22" s="60">
        <v>11255.6</v>
      </c>
      <c r="CD22" s="67">
        <f t="shared" si="32"/>
        <v>0</v>
      </c>
      <c r="CE22" s="60">
        <v>5526.7</v>
      </c>
      <c r="CF22" s="67">
        <f t="shared" si="33"/>
        <v>3.5999999999994543</v>
      </c>
      <c r="CG22" s="60">
        <v>52453.7</v>
      </c>
      <c r="CH22" s="67">
        <f t="shared" si="34"/>
        <v>41.5</v>
      </c>
      <c r="CI22" s="60">
        <v>898048</v>
      </c>
      <c r="CJ22" s="67">
        <f t="shared" si="35"/>
        <v>287</v>
      </c>
      <c r="CK22" s="60">
        <v>650.91</v>
      </c>
      <c r="CL22" s="64">
        <f t="shared" si="36"/>
        <v>559.99999999994543</v>
      </c>
      <c r="CM22" s="65">
        <f t="shared" si="40"/>
        <v>65.599999999999909</v>
      </c>
      <c r="CN22" s="62">
        <v>0</v>
      </c>
      <c r="CO22" s="62">
        <v>0</v>
      </c>
      <c r="CP22" s="68">
        <v>2481.6</v>
      </c>
      <c r="CQ22" s="67">
        <f t="shared" si="37"/>
        <v>47.599999999999909</v>
      </c>
      <c r="CR22" s="68">
        <v>11292</v>
      </c>
      <c r="CS22" s="67">
        <f t="shared" si="37"/>
        <v>18</v>
      </c>
      <c r="CT22" s="75">
        <v>4043</v>
      </c>
      <c r="CU22" s="67">
        <f t="shared" si="37"/>
        <v>11</v>
      </c>
      <c r="CV22" s="68">
        <v>10855</v>
      </c>
      <c r="CW22" s="67">
        <f t="shared" si="37"/>
        <v>13</v>
      </c>
    </row>
    <row r="23" spans="1:102" ht="25.5" customHeight="1" thickBot="1" x14ac:dyDescent="0.45">
      <c r="A23" s="63">
        <v>44185</v>
      </c>
      <c r="B23" s="44"/>
      <c r="C23" s="58">
        <v>1.9629000000000001</v>
      </c>
      <c r="D23" s="64">
        <f t="shared" si="0"/>
        <v>2000.0000000000018</v>
      </c>
      <c r="E23" s="58">
        <v>2.8487</v>
      </c>
      <c r="F23" s="64">
        <f t="shared" si="1"/>
        <v>2499.9999999999468</v>
      </c>
      <c r="G23" s="58">
        <v>2.8786</v>
      </c>
      <c r="H23" s="64">
        <f t="shared" si="2"/>
        <v>2299.9999999999686</v>
      </c>
      <c r="I23" s="58">
        <v>1.4037999999999999</v>
      </c>
      <c r="J23" s="64">
        <f t="shared" si="3"/>
        <v>1399.9999999998458</v>
      </c>
      <c r="K23" s="58">
        <v>2.2513000000000001</v>
      </c>
      <c r="L23" s="64">
        <f t="shared" si="4"/>
        <v>2200.0000000002019</v>
      </c>
      <c r="M23" s="58">
        <v>1.3038000000000001</v>
      </c>
      <c r="N23" s="64">
        <f t="shared" si="5"/>
        <v>900.0000000001229</v>
      </c>
      <c r="O23" s="58">
        <v>12728</v>
      </c>
      <c r="P23" s="67">
        <f t="shared" si="43"/>
        <v>1</v>
      </c>
      <c r="Q23" s="58">
        <v>24</v>
      </c>
      <c r="R23" s="67">
        <f t="shared" si="6"/>
        <v>14</v>
      </c>
      <c r="S23" s="58">
        <v>877463.8</v>
      </c>
      <c r="T23" s="67">
        <f t="shared" si="7"/>
        <v>564.60000000009313</v>
      </c>
      <c r="U23" s="58">
        <v>361062.3</v>
      </c>
      <c r="V23" s="67">
        <f t="shared" si="8"/>
        <v>243.59999999997672</v>
      </c>
      <c r="W23" s="58">
        <v>352.38</v>
      </c>
      <c r="X23" s="65">
        <f t="shared" si="9"/>
        <v>240.00000000000909</v>
      </c>
      <c r="Y23" s="58">
        <v>2.4895</v>
      </c>
      <c r="Z23" s="65">
        <f t="shared" si="10"/>
        <v>2299.9999999999686</v>
      </c>
      <c r="AA23" s="58">
        <v>346.43</v>
      </c>
      <c r="AB23" s="65">
        <f t="shared" si="11"/>
        <v>400.00000000003411</v>
      </c>
      <c r="AC23" s="58">
        <v>333.88</v>
      </c>
      <c r="AD23" s="65">
        <f t="shared" si="12"/>
        <v>189.99999999999773</v>
      </c>
      <c r="AE23" s="58">
        <v>518.79999999999995</v>
      </c>
      <c r="AF23" s="65">
        <f t="shared" si="13"/>
        <v>179.99999999994998</v>
      </c>
      <c r="AG23" s="58">
        <v>1481</v>
      </c>
      <c r="AH23" s="67">
        <f t="shared" si="14"/>
        <v>2</v>
      </c>
      <c r="AI23" s="58">
        <v>503.38</v>
      </c>
      <c r="AJ23" s="65">
        <f t="shared" si="15"/>
        <v>709.99999999997954</v>
      </c>
      <c r="AK23" s="58">
        <v>176.68</v>
      </c>
      <c r="AL23" s="65">
        <f t="shared" si="15"/>
        <v>340.00000000000341</v>
      </c>
      <c r="AM23" s="58">
        <v>174.64</v>
      </c>
      <c r="AN23" s="65">
        <f t="shared" si="15"/>
        <v>159.99999999999659</v>
      </c>
      <c r="AO23" s="58">
        <v>167.62</v>
      </c>
      <c r="AP23" s="65">
        <f t="shared" si="15"/>
        <v>170.00000000001592</v>
      </c>
      <c r="AQ23" s="58">
        <v>226.79</v>
      </c>
      <c r="AR23" s="65">
        <f t="shared" si="16"/>
        <v>120.00000000000455</v>
      </c>
      <c r="AS23" s="58">
        <v>352.59</v>
      </c>
      <c r="AT23" s="65">
        <f t="shared" si="17"/>
        <v>250</v>
      </c>
      <c r="AU23" s="58">
        <v>272.45</v>
      </c>
      <c r="AV23" s="65">
        <f t="shared" si="18"/>
        <v>159.99999999996817</v>
      </c>
      <c r="AW23" s="58">
        <v>300.10000000000002</v>
      </c>
      <c r="AX23" s="65">
        <f t="shared" si="19"/>
        <v>150.00000000003411</v>
      </c>
      <c r="AY23" s="58">
        <v>351.76</v>
      </c>
      <c r="AZ23" s="65">
        <f t="shared" si="20"/>
        <v>250</v>
      </c>
      <c r="BA23" s="58">
        <v>371.98</v>
      </c>
      <c r="BB23" s="65">
        <f t="shared" si="21"/>
        <v>400.00000000003411</v>
      </c>
      <c r="BC23" s="58">
        <v>235.37</v>
      </c>
      <c r="BD23" s="65">
        <f t="shared" si="22"/>
        <v>99.999999999994316</v>
      </c>
      <c r="BE23" s="59">
        <v>33778</v>
      </c>
      <c r="BF23" s="67">
        <f t="shared" si="38"/>
        <v>21</v>
      </c>
      <c r="BG23" s="60">
        <v>227.43</v>
      </c>
      <c r="BH23" s="65">
        <f t="shared" si="23"/>
        <v>40.000000000020464</v>
      </c>
      <c r="BI23" s="60">
        <v>285.83999999999997</v>
      </c>
      <c r="BJ23" s="65">
        <f t="shared" si="39"/>
        <v>49.999999999954525</v>
      </c>
      <c r="BK23" s="60">
        <v>232.29</v>
      </c>
      <c r="BL23" s="65">
        <f t="shared" si="24"/>
        <v>120.00000000000455</v>
      </c>
      <c r="BM23" s="60">
        <v>217.24</v>
      </c>
      <c r="BN23" s="65">
        <f t="shared" si="25"/>
        <v>20.000000000010232</v>
      </c>
      <c r="BO23" s="60">
        <v>282.52999999999997</v>
      </c>
      <c r="BP23" s="65">
        <f t="shared" si="26"/>
        <v>29.999999999972715</v>
      </c>
      <c r="BQ23" s="60">
        <v>41150</v>
      </c>
      <c r="BR23" s="65">
        <f t="shared" si="27"/>
        <v>30</v>
      </c>
      <c r="BS23" s="60">
        <v>195.63</v>
      </c>
      <c r="BT23" s="65">
        <f t="shared" si="41"/>
        <v>49.999999999982947</v>
      </c>
      <c r="BU23" s="60">
        <v>343.38</v>
      </c>
      <c r="BV23" s="65">
        <v>26</v>
      </c>
      <c r="BW23" s="60">
        <v>227.25</v>
      </c>
      <c r="BX23" s="65">
        <f t="shared" si="29"/>
        <v>30.000000000001137</v>
      </c>
      <c r="BY23" s="60">
        <v>52631</v>
      </c>
      <c r="BZ23" s="67">
        <f t="shared" si="30"/>
        <v>39</v>
      </c>
      <c r="CA23" s="60">
        <v>27843.5</v>
      </c>
      <c r="CB23" s="67">
        <f t="shared" si="31"/>
        <v>53.5</v>
      </c>
      <c r="CC23" s="60">
        <v>11255.6</v>
      </c>
      <c r="CD23" s="67">
        <f t="shared" si="32"/>
        <v>0</v>
      </c>
      <c r="CE23" s="60">
        <v>5532.4</v>
      </c>
      <c r="CF23" s="67">
        <f t="shared" si="33"/>
        <v>5.6999999999998181</v>
      </c>
      <c r="CG23" s="60">
        <v>52499.7</v>
      </c>
      <c r="CH23" s="67">
        <f t="shared" si="34"/>
        <v>46</v>
      </c>
      <c r="CI23" s="60">
        <v>898310</v>
      </c>
      <c r="CJ23" s="67">
        <f t="shared" si="35"/>
        <v>262</v>
      </c>
      <c r="CK23" s="60">
        <v>651.45000000000005</v>
      </c>
      <c r="CL23" s="64">
        <f t="shared" si="36"/>
        <v>540.00000000007731</v>
      </c>
      <c r="CM23" s="65">
        <f t="shared" si="40"/>
        <v>53.200000000000273</v>
      </c>
      <c r="CN23" s="62">
        <v>0</v>
      </c>
      <c r="CO23" s="62">
        <v>0</v>
      </c>
      <c r="CP23" s="68">
        <v>2523.8000000000002</v>
      </c>
      <c r="CQ23" s="67">
        <f t="shared" si="37"/>
        <v>42.200000000000273</v>
      </c>
      <c r="CR23" s="68">
        <v>11303</v>
      </c>
      <c r="CS23" s="67">
        <f t="shared" si="37"/>
        <v>11</v>
      </c>
      <c r="CT23" s="75">
        <v>4055</v>
      </c>
      <c r="CU23" s="67">
        <f t="shared" si="37"/>
        <v>12</v>
      </c>
      <c r="CV23" s="68">
        <v>10869</v>
      </c>
      <c r="CW23" s="67">
        <v>1</v>
      </c>
    </row>
    <row r="24" spans="1:102" ht="25.5" customHeight="1" thickBot="1" x14ac:dyDescent="0.45">
      <c r="A24" s="63">
        <v>44186</v>
      </c>
      <c r="B24" s="44"/>
      <c r="C24" s="58">
        <v>1.9672000000000001</v>
      </c>
      <c r="D24" s="64">
        <f t="shared" si="0"/>
        <v>4299.9999999999709</v>
      </c>
      <c r="E24" s="58">
        <v>2.8515999999999999</v>
      </c>
      <c r="F24" s="64">
        <f t="shared" si="1"/>
        <v>2899.9999999999027</v>
      </c>
      <c r="G24" s="58">
        <v>2.8813</v>
      </c>
      <c r="H24" s="64">
        <f t="shared" si="2"/>
        <v>2699.9999999999245</v>
      </c>
      <c r="I24" s="58">
        <v>1.4053</v>
      </c>
      <c r="J24" s="64">
        <f t="shared" si="3"/>
        <v>1500.0000000000568</v>
      </c>
      <c r="K24" s="58">
        <v>2.2536</v>
      </c>
      <c r="L24" s="64">
        <f t="shared" si="4"/>
        <v>2299.9999999999686</v>
      </c>
      <c r="M24" s="58">
        <v>1.3048</v>
      </c>
      <c r="N24" s="64">
        <f t="shared" si="5"/>
        <v>999.99999999988984</v>
      </c>
      <c r="O24" s="58">
        <v>12729</v>
      </c>
      <c r="P24" s="67">
        <f t="shared" si="43"/>
        <v>1</v>
      </c>
      <c r="Q24" s="58">
        <v>37</v>
      </c>
      <c r="R24" s="67">
        <f t="shared" si="6"/>
        <v>13</v>
      </c>
      <c r="S24" s="58">
        <v>878140.9</v>
      </c>
      <c r="T24" s="67">
        <f t="shared" si="7"/>
        <v>677.09999999997672</v>
      </c>
      <c r="U24" s="58">
        <v>361424.9</v>
      </c>
      <c r="V24" s="67">
        <f t="shared" si="8"/>
        <v>362.60000000003492</v>
      </c>
      <c r="W24" s="58">
        <v>352.72</v>
      </c>
      <c r="X24" s="65">
        <f t="shared" si="9"/>
        <v>340.00000000003183</v>
      </c>
      <c r="Y24" s="58">
        <v>2.492</v>
      </c>
      <c r="Z24" s="65">
        <f t="shared" si="10"/>
        <v>2499.9999999999468</v>
      </c>
      <c r="AA24" s="58">
        <v>346.83</v>
      </c>
      <c r="AB24" s="65">
        <f t="shared" si="11"/>
        <v>399.99999999997726</v>
      </c>
      <c r="AC24" s="58">
        <v>334.07</v>
      </c>
      <c r="AD24" s="65">
        <f t="shared" si="12"/>
        <v>189.99999999999773</v>
      </c>
      <c r="AE24" s="58">
        <v>519.07000000000005</v>
      </c>
      <c r="AF24" s="65">
        <f t="shared" si="13"/>
        <v>270.0000000000955</v>
      </c>
      <c r="AG24" s="58">
        <v>1482.9</v>
      </c>
      <c r="AH24" s="67">
        <f t="shared" si="14"/>
        <v>1.9000000000000909</v>
      </c>
      <c r="AI24" s="58">
        <v>504.11</v>
      </c>
      <c r="AJ24" s="65">
        <f t="shared" si="15"/>
        <v>730.00000000001819</v>
      </c>
      <c r="AK24" s="58">
        <v>177.01</v>
      </c>
      <c r="AL24" s="65">
        <f t="shared" si="15"/>
        <v>329.99999999998408</v>
      </c>
      <c r="AM24" s="58">
        <v>174.92</v>
      </c>
      <c r="AN24" s="65">
        <f t="shared" si="15"/>
        <v>280.00000000000114</v>
      </c>
      <c r="AO24" s="58">
        <v>167.85</v>
      </c>
      <c r="AP24" s="65">
        <f t="shared" si="15"/>
        <v>229.99999999998977</v>
      </c>
      <c r="AQ24" s="58">
        <v>226.93</v>
      </c>
      <c r="AR24" s="65">
        <f t="shared" si="16"/>
        <v>140.00000000001478</v>
      </c>
      <c r="AS24" s="58">
        <v>352.86</v>
      </c>
      <c r="AT24" s="65">
        <f t="shared" si="17"/>
        <v>270.00000000003865</v>
      </c>
      <c r="AU24" s="58">
        <v>272.60000000000002</v>
      </c>
      <c r="AV24" s="65">
        <f t="shared" si="18"/>
        <v>150.00000000003411</v>
      </c>
      <c r="AW24" s="58">
        <v>300.26</v>
      </c>
      <c r="AX24" s="65">
        <f t="shared" si="19"/>
        <v>159.99999999996817</v>
      </c>
      <c r="AY24" s="58">
        <v>352.03</v>
      </c>
      <c r="AZ24" s="65">
        <f t="shared" si="20"/>
        <v>269.99999999998181</v>
      </c>
      <c r="BA24" s="58">
        <v>372.29</v>
      </c>
      <c r="BB24" s="65">
        <f t="shared" si="21"/>
        <v>310.00000000000227</v>
      </c>
      <c r="BC24" s="58">
        <v>235.47</v>
      </c>
      <c r="BD24" s="65">
        <f t="shared" si="22"/>
        <v>99.999999999994316</v>
      </c>
      <c r="BE24" s="59">
        <v>33817</v>
      </c>
      <c r="BF24" s="67">
        <f t="shared" si="38"/>
        <v>39</v>
      </c>
      <c r="BG24" s="60">
        <v>227.47</v>
      </c>
      <c r="BH24" s="65">
        <f t="shared" si="23"/>
        <v>39.999999999992042</v>
      </c>
      <c r="BI24" s="60">
        <v>285.89</v>
      </c>
      <c r="BJ24" s="65">
        <f t="shared" si="39"/>
        <v>50.000000000011369</v>
      </c>
      <c r="BK24" s="60">
        <v>232.33</v>
      </c>
      <c r="BL24" s="65">
        <f t="shared" si="24"/>
        <v>40.000000000020464</v>
      </c>
      <c r="BM24" s="60">
        <v>217.27</v>
      </c>
      <c r="BN24" s="65">
        <f t="shared" si="25"/>
        <v>30.000000000001137</v>
      </c>
      <c r="BO24" s="60">
        <v>282.57</v>
      </c>
      <c r="BP24" s="65">
        <f t="shared" si="26"/>
        <v>40.000000000020464</v>
      </c>
      <c r="BQ24" s="60">
        <v>41177</v>
      </c>
      <c r="BR24" s="65">
        <f t="shared" si="27"/>
        <v>27</v>
      </c>
      <c r="BS24" s="60">
        <v>195.67</v>
      </c>
      <c r="BT24" s="65">
        <f t="shared" si="41"/>
        <v>39.999999999992042</v>
      </c>
      <c r="BU24" s="60">
        <v>343.85</v>
      </c>
      <c r="BV24" s="65">
        <v>26</v>
      </c>
      <c r="BW24" s="60">
        <v>227.28</v>
      </c>
      <c r="BX24" s="65">
        <f t="shared" si="29"/>
        <v>30.000000000001137</v>
      </c>
      <c r="BY24" s="60">
        <v>52678</v>
      </c>
      <c r="BZ24" s="67">
        <f t="shared" si="30"/>
        <v>47</v>
      </c>
      <c r="CA24" s="60">
        <v>27891.200000000001</v>
      </c>
      <c r="CB24" s="67">
        <f t="shared" si="31"/>
        <v>47.700000000000728</v>
      </c>
      <c r="CC24" s="60">
        <v>11255.6</v>
      </c>
      <c r="CD24" s="67">
        <f t="shared" si="32"/>
        <v>0</v>
      </c>
      <c r="CE24" s="60">
        <v>5538.6</v>
      </c>
      <c r="CF24" s="67">
        <f t="shared" si="33"/>
        <v>6.2000000000007276</v>
      </c>
      <c r="CG24" s="60">
        <v>52546.1</v>
      </c>
      <c r="CH24" s="67">
        <f t="shared" si="34"/>
        <v>46.400000000001455</v>
      </c>
      <c r="CI24" s="60">
        <v>898605</v>
      </c>
      <c r="CJ24" s="67">
        <f t="shared" si="35"/>
        <v>295</v>
      </c>
      <c r="CK24" s="60">
        <v>652.08000000000004</v>
      </c>
      <c r="CL24" s="64">
        <f t="shared" si="36"/>
        <v>629.99999999999545</v>
      </c>
      <c r="CM24" s="65">
        <f t="shared" si="40"/>
        <v>74.599999999999909</v>
      </c>
      <c r="CN24" s="62">
        <v>0</v>
      </c>
      <c r="CO24" s="62">
        <v>0</v>
      </c>
      <c r="CP24" s="68">
        <v>2568.4</v>
      </c>
      <c r="CQ24" s="67">
        <f t="shared" si="37"/>
        <v>44.599999999999909</v>
      </c>
      <c r="CR24" s="68">
        <v>11333</v>
      </c>
      <c r="CS24" s="67">
        <f t="shared" si="37"/>
        <v>30</v>
      </c>
      <c r="CT24" s="75">
        <v>4067</v>
      </c>
      <c r="CU24" s="67">
        <f t="shared" si="37"/>
        <v>12</v>
      </c>
      <c r="CV24" s="68">
        <v>10883</v>
      </c>
      <c r="CW24" s="67">
        <f t="shared" si="37"/>
        <v>14</v>
      </c>
    </row>
    <row r="25" spans="1:102" ht="25.5" customHeight="1" thickBot="1" x14ac:dyDescent="0.45">
      <c r="A25" s="63">
        <v>44187</v>
      </c>
      <c r="B25" s="44"/>
      <c r="C25" s="58">
        <v>1.9708000000000001</v>
      </c>
      <c r="D25" s="64">
        <f t="shared" si="0"/>
        <v>3600.0000000000477</v>
      </c>
      <c r="E25" s="58">
        <v>2.8544999999999998</v>
      </c>
      <c r="F25" s="64">
        <f t="shared" si="1"/>
        <v>2899.9999999999027</v>
      </c>
      <c r="G25" s="58">
        <v>2.8837000000000002</v>
      </c>
      <c r="H25" s="64">
        <f t="shared" si="2"/>
        <v>2400.0000000001796</v>
      </c>
      <c r="I25" s="58">
        <v>1.4068000000000001</v>
      </c>
      <c r="J25" s="64">
        <f t="shared" si="3"/>
        <v>1500.0000000000568</v>
      </c>
      <c r="K25" s="58">
        <v>2.2561</v>
      </c>
      <c r="L25" s="64">
        <f t="shared" si="4"/>
        <v>2499.9999999999468</v>
      </c>
      <c r="M25" s="58">
        <v>1.3056000000000001</v>
      </c>
      <c r="N25" s="64">
        <f t="shared" si="5"/>
        <v>800.00000000013392</v>
      </c>
      <c r="O25" s="58">
        <v>12730</v>
      </c>
      <c r="P25" s="67">
        <f t="shared" si="43"/>
        <v>1</v>
      </c>
      <c r="Q25" s="58">
        <v>50</v>
      </c>
      <c r="R25" s="67">
        <f t="shared" si="6"/>
        <v>13</v>
      </c>
      <c r="S25" s="58">
        <v>878672.4</v>
      </c>
      <c r="T25" s="67">
        <f t="shared" si="7"/>
        <v>531.5</v>
      </c>
      <c r="U25" s="58">
        <v>361701.8</v>
      </c>
      <c r="V25" s="67">
        <f t="shared" si="8"/>
        <v>276.89999999996508</v>
      </c>
      <c r="W25" s="58">
        <v>353.05</v>
      </c>
      <c r="X25" s="65">
        <f t="shared" si="9"/>
        <v>329.99999999998408</v>
      </c>
      <c r="Y25" s="58">
        <v>2.4946000000000002</v>
      </c>
      <c r="Z25" s="65">
        <f t="shared" si="10"/>
        <v>2600.0000000001578</v>
      </c>
      <c r="AA25" s="58">
        <v>347.12</v>
      </c>
      <c r="AB25" s="65">
        <f t="shared" si="11"/>
        <v>290.00000000002046</v>
      </c>
      <c r="AC25" s="58">
        <v>334.25</v>
      </c>
      <c r="AD25" s="65">
        <f t="shared" si="12"/>
        <v>180.00000000000682</v>
      </c>
      <c r="AE25" s="58">
        <v>519.28</v>
      </c>
      <c r="AF25" s="65">
        <f t="shared" si="13"/>
        <v>209.99999999992269</v>
      </c>
      <c r="AG25" s="58">
        <v>1485.4</v>
      </c>
      <c r="AH25" s="67">
        <f t="shared" si="14"/>
        <v>2.5</v>
      </c>
      <c r="AI25" s="58">
        <v>504.85</v>
      </c>
      <c r="AJ25" s="65">
        <f t="shared" si="15"/>
        <v>740.00000000000909</v>
      </c>
      <c r="AK25" s="58">
        <v>177.37</v>
      </c>
      <c r="AL25" s="65">
        <f t="shared" si="15"/>
        <v>360.00000000001364</v>
      </c>
      <c r="AM25" s="58">
        <v>175.22</v>
      </c>
      <c r="AN25" s="65">
        <f t="shared" si="15"/>
        <v>300.00000000001137</v>
      </c>
      <c r="AO25" s="58">
        <v>168.05</v>
      </c>
      <c r="AP25" s="65">
        <f t="shared" si="15"/>
        <v>200.00000000001705</v>
      </c>
      <c r="AQ25" s="58">
        <v>227.07</v>
      </c>
      <c r="AR25" s="65">
        <f t="shared" si="16"/>
        <v>139.99999999998636</v>
      </c>
      <c r="AS25" s="58">
        <v>353.13</v>
      </c>
      <c r="AT25" s="65">
        <f t="shared" si="17"/>
        <v>269.99999999998181</v>
      </c>
      <c r="AU25" s="58">
        <v>272.77</v>
      </c>
      <c r="AV25" s="65">
        <f t="shared" si="18"/>
        <v>169.99999999995907</v>
      </c>
      <c r="AW25" s="58">
        <v>300.43</v>
      </c>
      <c r="AX25" s="65">
        <f t="shared" si="19"/>
        <v>170.00000000001592</v>
      </c>
      <c r="AY25" s="58">
        <v>352.33</v>
      </c>
      <c r="AZ25" s="65">
        <f t="shared" si="20"/>
        <v>300.00000000001137</v>
      </c>
      <c r="BA25" s="58">
        <v>372.64</v>
      </c>
      <c r="BB25" s="65">
        <f t="shared" si="21"/>
        <v>349.99999999996589</v>
      </c>
      <c r="BC25" s="58">
        <v>235.55</v>
      </c>
      <c r="BD25" s="65">
        <f t="shared" si="22"/>
        <v>80.000000000012506</v>
      </c>
      <c r="BE25" s="59">
        <v>33842</v>
      </c>
      <c r="BF25" s="67">
        <f t="shared" si="38"/>
        <v>25</v>
      </c>
      <c r="BG25" s="60">
        <v>227.51</v>
      </c>
      <c r="BH25" s="65">
        <f t="shared" si="23"/>
        <v>39.999999999992042</v>
      </c>
      <c r="BI25" s="60">
        <v>285.95</v>
      </c>
      <c r="BJ25" s="65">
        <f t="shared" si="39"/>
        <v>60.000000000002274</v>
      </c>
      <c r="BK25" s="60">
        <v>232.36</v>
      </c>
      <c r="BL25" s="65">
        <f t="shared" si="24"/>
        <v>30.000000000001137</v>
      </c>
      <c r="BM25" s="60">
        <v>217.29</v>
      </c>
      <c r="BN25" s="65">
        <f t="shared" si="25"/>
        <v>19.99999999998181</v>
      </c>
      <c r="BO25" s="60">
        <v>282.61</v>
      </c>
      <c r="BP25" s="65">
        <f t="shared" si="26"/>
        <v>40.000000000020464</v>
      </c>
      <c r="BQ25" s="60">
        <v>41208</v>
      </c>
      <c r="BR25" s="65">
        <f t="shared" si="27"/>
        <v>31</v>
      </c>
      <c r="BS25" s="60">
        <v>195.73</v>
      </c>
      <c r="BT25" s="65">
        <f t="shared" si="41"/>
        <v>60.000000000002274</v>
      </c>
      <c r="BU25" s="60">
        <v>344.29</v>
      </c>
      <c r="BV25" s="65">
        <v>26</v>
      </c>
      <c r="BW25" s="60">
        <v>227.31</v>
      </c>
      <c r="BX25" s="65">
        <f t="shared" si="29"/>
        <v>30.000000000001137</v>
      </c>
      <c r="BY25" s="60">
        <v>52712</v>
      </c>
      <c r="BZ25" s="67">
        <f t="shared" si="30"/>
        <v>34</v>
      </c>
      <c r="CA25" s="60">
        <v>27922.5</v>
      </c>
      <c r="CB25" s="67">
        <f t="shared" si="31"/>
        <v>31.299999999999272</v>
      </c>
      <c r="CC25" s="60">
        <v>11255.6</v>
      </c>
      <c r="CD25" s="67">
        <f t="shared" si="32"/>
        <v>0</v>
      </c>
      <c r="CE25" s="60">
        <v>5539.2</v>
      </c>
      <c r="CF25" s="67">
        <f t="shared" si="33"/>
        <v>0.5999999999994543</v>
      </c>
      <c r="CG25" s="60">
        <v>52593.4</v>
      </c>
      <c r="CH25" s="67">
        <f t="shared" si="34"/>
        <v>47.30000000000291</v>
      </c>
      <c r="CI25" s="60">
        <v>898907</v>
      </c>
      <c r="CJ25" s="67">
        <f t="shared" si="35"/>
        <v>302</v>
      </c>
      <c r="CK25" s="60">
        <v>652.66999999999996</v>
      </c>
      <c r="CL25" s="64">
        <f t="shared" si="36"/>
        <v>589.99999999991815</v>
      </c>
      <c r="CM25" s="65">
        <f t="shared" si="40"/>
        <v>55.400000000000091</v>
      </c>
      <c r="CN25" s="62">
        <v>0</v>
      </c>
      <c r="CO25" s="62">
        <v>0</v>
      </c>
      <c r="CP25" s="68">
        <v>2603.8000000000002</v>
      </c>
      <c r="CQ25" s="67">
        <f t="shared" si="37"/>
        <v>35.400000000000091</v>
      </c>
      <c r="CR25" s="68">
        <v>11353</v>
      </c>
      <c r="CS25" s="67">
        <f t="shared" si="37"/>
        <v>20</v>
      </c>
      <c r="CT25" s="75">
        <v>4078</v>
      </c>
      <c r="CU25" s="67">
        <f t="shared" si="37"/>
        <v>11</v>
      </c>
      <c r="CV25" s="68">
        <v>10896</v>
      </c>
      <c r="CW25" s="67">
        <f t="shared" si="37"/>
        <v>13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>
        <v>1.9735</v>
      </c>
      <c r="D26" s="64">
        <f t="shared" si="0"/>
        <v>2699.9999999999245</v>
      </c>
      <c r="E26" s="58">
        <v>2.8567999999999998</v>
      </c>
      <c r="F26" s="64">
        <f t="shared" si="1"/>
        <v>2299.9999999999686</v>
      </c>
      <c r="G26" s="58">
        <v>2.8862000000000001</v>
      </c>
      <c r="H26" s="64">
        <f t="shared" si="2"/>
        <v>2499.9999999999468</v>
      </c>
      <c r="I26" s="58">
        <v>1.4079999999999999</v>
      </c>
      <c r="J26" s="64">
        <f t="shared" si="3"/>
        <v>1199.9999999998679</v>
      </c>
      <c r="K26" s="58">
        <v>2.2583000000000002</v>
      </c>
      <c r="L26" s="64">
        <f t="shared" si="4"/>
        <v>2200.0000000002019</v>
      </c>
      <c r="M26" s="58">
        <v>1.3064</v>
      </c>
      <c r="N26" s="64">
        <f t="shared" si="5"/>
        <v>799.99999999991189</v>
      </c>
      <c r="O26" s="58">
        <v>12731</v>
      </c>
      <c r="P26" s="67">
        <f t="shared" si="43"/>
        <v>1</v>
      </c>
      <c r="Q26" s="58">
        <v>60</v>
      </c>
      <c r="R26" s="67">
        <f t="shared" si="6"/>
        <v>10</v>
      </c>
      <c r="S26" s="58">
        <v>879386.9</v>
      </c>
      <c r="T26" s="67">
        <f t="shared" si="7"/>
        <v>714.5</v>
      </c>
      <c r="U26" s="58">
        <v>362010</v>
      </c>
      <c r="V26" s="67">
        <f t="shared" si="8"/>
        <v>308.20000000001164</v>
      </c>
      <c r="W26" s="58">
        <v>353.29</v>
      </c>
      <c r="X26" s="65">
        <f t="shared" si="9"/>
        <v>240.00000000000909</v>
      </c>
      <c r="Y26" s="58">
        <v>2.4965000000000002</v>
      </c>
      <c r="Z26" s="65">
        <f t="shared" si="10"/>
        <v>1900.0000000000127</v>
      </c>
      <c r="AA26" s="58">
        <v>347.52</v>
      </c>
      <c r="AB26" s="65">
        <f t="shared" si="11"/>
        <v>399.99999999997726</v>
      </c>
      <c r="AC26" s="58">
        <v>334.38</v>
      </c>
      <c r="AD26" s="65">
        <f t="shared" si="12"/>
        <v>129.99999999999545</v>
      </c>
      <c r="AE26" s="58">
        <v>519.45000000000005</v>
      </c>
      <c r="AF26" s="65">
        <f t="shared" si="13"/>
        <v>170.00000000007276</v>
      </c>
      <c r="AG26" s="58">
        <v>1486.9</v>
      </c>
      <c r="AH26" s="67">
        <f t="shared" si="14"/>
        <v>1.5</v>
      </c>
      <c r="AI26" s="58">
        <v>505.66</v>
      </c>
      <c r="AJ26" s="65">
        <f t="shared" si="15"/>
        <v>810.00000000000227</v>
      </c>
      <c r="AK26" s="58">
        <v>177.63</v>
      </c>
      <c r="AL26" s="65">
        <f t="shared" si="15"/>
        <v>259.99999999999091</v>
      </c>
      <c r="AM26" s="58">
        <v>175.42</v>
      </c>
      <c r="AN26" s="65">
        <f t="shared" si="15"/>
        <v>199.99999999998863</v>
      </c>
      <c r="AO26" s="58">
        <v>168.16</v>
      </c>
      <c r="AP26" s="65">
        <f t="shared" si="15"/>
        <v>109.99999999998522</v>
      </c>
      <c r="AQ26" s="58">
        <v>227.16</v>
      </c>
      <c r="AR26" s="65">
        <f t="shared" si="16"/>
        <v>90.000000000003411</v>
      </c>
      <c r="AS26" s="58">
        <v>353.33</v>
      </c>
      <c r="AT26" s="65">
        <f t="shared" si="17"/>
        <v>199.99999999998863</v>
      </c>
      <c r="AU26" s="58">
        <v>272.88</v>
      </c>
      <c r="AV26" s="65">
        <f t="shared" si="18"/>
        <v>110.00000000001364</v>
      </c>
      <c r="AW26" s="58">
        <v>300.55</v>
      </c>
      <c r="AX26" s="65">
        <f t="shared" si="19"/>
        <v>120.00000000000455</v>
      </c>
      <c r="AY26" s="58">
        <v>352.56</v>
      </c>
      <c r="AZ26" s="65">
        <f t="shared" si="20"/>
        <v>230.00000000001819</v>
      </c>
      <c r="BA26" s="58">
        <v>372.91</v>
      </c>
      <c r="BB26" s="65">
        <f t="shared" si="21"/>
        <v>270.00000000003865</v>
      </c>
      <c r="BC26" s="58">
        <v>235.59</v>
      </c>
      <c r="BD26" s="65">
        <f t="shared" si="22"/>
        <v>39.999999999992042</v>
      </c>
      <c r="BE26" s="59">
        <v>33863</v>
      </c>
      <c r="BF26" s="67">
        <f t="shared" si="38"/>
        <v>21</v>
      </c>
      <c r="BG26" s="60">
        <v>227.54</v>
      </c>
      <c r="BH26" s="65">
        <f t="shared" si="23"/>
        <v>30.000000000001137</v>
      </c>
      <c r="BI26" s="60">
        <v>285.99</v>
      </c>
      <c r="BJ26" s="65">
        <f t="shared" si="39"/>
        <v>40.000000000020464</v>
      </c>
      <c r="BK26" s="60">
        <v>232.39</v>
      </c>
      <c r="BL26" s="65">
        <f t="shared" si="24"/>
        <v>29.999999999972715</v>
      </c>
      <c r="BM26" s="60">
        <v>217.31</v>
      </c>
      <c r="BN26" s="65">
        <f t="shared" si="25"/>
        <v>20.000000000010232</v>
      </c>
      <c r="BO26" s="60">
        <v>282.64</v>
      </c>
      <c r="BP26" s="65">
        <f t="shared" si="26"/>
        <v>29.999999999972715</v>
      </c>
      <c r="BQ26" s="60">
        <v>41235</v>
      </c>
      <c r="BR26" s="65">
        <f t="shared" si="27"/>
        <v>27</v>
      </c>
      <c r="BS26" s="60">
        <v>195.76</v>
      </c>
      <c r="BT26" s="65">
        <f t="shared" si="41"/>
        <v>30.000000000001137</v>
      </c>
      <c r="BU26" s="60">
        <v>344.61</v>
      </c>
      <c r="BV26" s="65">
        <v>26</v>
      </c>
      <c r="BW26" s="60">
        <v>227.34</v>
      </c>
      <c r="BX26" s="65">
        <f t="shared" si="29"/>
        <v>30.000000000001137</v>
      </c>
      <c r="BY26" s="60">
        <v>52751</v>
      </c>
      <c r="BZ26" s="67">
        <f t="shared" si="30"/>
        <v>39</v>
      </c>
      <c r="CA26" s="60">
        <v>27963.9</v>
      </c>
      <c r="CB26" s="67">
        <f t="shared" si="31"/>
        <v>41.400000000001455</v>
      </c>
      <c r="CC26" s="60">
        <v>11255.6</v>
      </c>
      <c r="CD26" s="67">
        <f t="shared" si="32"/>
        <v>0</v>
      </c>
      <c r="CE26" s="60">
        <v>5549.7</v>
      </c>
      <c r="CF26" s="67">
        <f t="shared" si="33"/>
        <v>10.5</v>
      </c>
      <c r="CG26" s="60">
        <v>52638.3</v>
      </c>
      <c r="CH26" s="67">
        <f t="shared" si="34"/>
        <v>44.900000000001455</v>
      </c>
      <c r="CI26" s="60">
        <v>899179</v>
      </c>
      <c r="CJ26" s="67">
        <f t="shared" si="35"/>
        <v>272</v>
      </c>
      <c r="CK26" s="60">
        <v>653.34</v>
      </c>
      <c r="CL26" s="64">
        <f t="shared" si="36"/>
        <v>670.00000000007276</v>
      </c>
      <c r="CM26" s="65">
        <f t="shared" si="40"/>
        <v>56.599999999999909</v>
      </c>
      <c r="CN26" s="62">
        <v>0</v>
      </c>
      <c r="CO26" s="62">
        <v>0</v>
      </c>
      <c r="CP26" s="68">
        <v>2643.4</v>
      </c>
      <c r="CQ26" s="67">
        <f t="shared" si="37"/>
        <v>39.599999999999909</v>
      </c>
      <c r="CR26" s="68">
        <v>11370</v>
      </c>
      <c r="CS26" s="67">
        <f t="shared" si="37"/>
        <v>17</v>
      </c>
      <c r="CT26" s="75">
        <v>4092</v>
      </c>
      <c r="CU26" s="67">
        <f t="shared" si="37"/>
        <v>14</v>
      </c>
      <c r="CV26" s="68">
        <v>10912</v>
      </c>
      <c r="CW26" s="67">
        <f t="shared" si="37"/>
        <v>16</v>
      </c>
    </row>
    <row r="27" spans="1:102" ht="25.5" customHeight="1" thickBot="1" x14ac:dyDescent="0.45">
      <c r="A27" s="63">
        <v>44189</v>
      </c>
      <c r="B27" s="44"/>
      <c r="C27" s="58">
        <v>1.9770000000000001</v>
      </c>
      <c r="D27" s="64">
        <f t="shared" si="0"/>
        <v>3500.0000000000587</v>
      </c>
      <c r="E27" s="58">
        <v>2.8595999999999999</v>
      </c>
      <c r="F27" s="64">
        <f t="shared" si="1"/>
        <v>2800.0000000001355</v>
      </c>
      <c r="G27" s="58">
        <v>2.8887</v>
      </c>
      <c r="H27" s="64">
        <f t="shared" si="2"/>
        <v>2499.9999999999468</v>
      </c>
      <c r="I27" s="58">
        <v>1.409</v>
      </c>
      <c r="J27" s="64">
        <f t="shared" si="3"/>
        <v>1000.0000000001119</v>
      </c>
      <c r="K27" s="58">
        <v>2.2606000000000002</v>
      </c>
      <c r="L27" s="64">
        <f t="shared" si="4"/>
        <v>2299.9999999999686</v>
      </c>
      <c r="M27" s="58">
        <v>1.3070999999999999</v>
      </c>
      <c r="N27" s="64">
        <f t="shared" si="5"/>
        <v>699.99999999992292</v>
      </c>
      <c r="O27" s="58">
        <v>12732</v>
      </c>
      <c r="P27" s="67">
        <f>IF((O27-O26&lt;0), "",O27-O26)</f>
        <v>1</v>
      </c>
      <c r="Q27" s="58">
        <v>72</v>
      </c>
      <c r="R27" s="67">
        <f t="shared" si="6"/>
        <v>12</v>
      </c>
      <c r="S27" s="58">
        <v>879898.6</v>
      </c>
      <c r="T27" s="67">
        <f t="shared" si="7"/>
        <v>511.69999999995343</v>
      </c>
      <c r="U27" s="58">
        <v>362268.9</v>
      </c>
      <c r="V27" s="67">
        <f t="shared" si="8"/>
        <v>258.90000000002328</v>
      </c>
      <c r="W27" s="58">
        <v>353.58</v>
      </c>
      <c r="X27" s="65">
        <f t="shared" si="9"/>
        <v>289.99999999996362</v>
      </c>
      <c r="Y27" s="58">
        <v>2.4990999999999999</v>
      </c>
      <c r="Z27" s="65">
        <f t="shared" si="10"/>
        <v>2599.9999999997135</v>
      </c>
      <c r="AA27" s="58">
        <v>347.79</v>
      </c>
      <c r="AB27" s="65">
        <f t="shared" si="11"/>
        <v>270.00000000003865</v>
      </c>
      <c r="AC27" s="58">
        <v>334.55</v>
      </c>
      <c r="AD27" s="65">
        <f t="shared" si="12"/>
        <v>170.00000000001592</v>
      </c>
      <c r="AE27" s="58">
        <v>519.65</v>
      </c>
      <c r="AF27" s="65">
        <f t="shared" si="13"/>
        <v>199.99999999993179</v>
      </c>
      <c r="AG27" s="58">
        <v>1489.2</v>
      </c>
      <c r="AH27" s="67">
        <f t="shared" si="14"/>
        <v>2.2999999999999545</v>
      </c>
      <c r="AI27" s="58">
        <v>506.75</v>
      </c>
      <c r="AJ27" s="65">
        <f t="shared" si="15"/>
        <v>1089.999999999975</v>
      </c>
      <c r="AK27" s="58">
        <v>177.94</v>
      </c>
      <c r="AL27" s="65">
        <f t="shared" si="15"/>
        <v>310.00000000000227</v>
      </c>
      <c r="AM27" s="58">
        <v>175.74</v>
      </c>
      <c r="AN27" s="65">
        <f t="shared" si="15"/>
        <v>320.0000000000216</v>
      </c>
      <c r="AO27" s="58">
        <v>168.34</v>
      </c>
      <c r="AP27" s="65">
        <f t="shared" si="15"/>
        <v>180.00000000000682</v>
      </c>
      <c r="AQ27" s="58">
        <v>227.28</v>
      </c>
      <c r="AR27" s="65">
        <f t="shared" si="16"/>
        <v>120.00000000000455</v>
      </c>
      <c r="AS27" s="58">
        <v>353.54</v>
      </c>
      <c r="AT27" s="65">
        <f t="shared" si="17"/>
        <v>210.00000000003638</v>
      </c>
      <c r="AU27" s="58">
        <v>273.01</v>
      </c>
      <c r="AV27" s="65">
        <f t="shared" si="18"/>
        <v>129.99999999999545</v>
      </c>
      <c r="AW27" s="58">
        <v>300.69</v>
      </c>
      <c r="AX27" s="65">
        <f t="shared" si="19"/>
        <v>139.99999999998636</v>
      </c>
      <c r="AY27" s="58">
        <v>352.8</v>
      </c>
      <c r="AZ27" s="65">
        <f t="shared" si="20"/>
        <v>240.00000000000909</v>
      </c>
      <c r="BA27" s="58">
        <v>373.26</v>
      </c>
      <c r="BB27" s="65">
        <f t="shared" si="21"/>
        <v>349.99999999996589</v>
      </c>
      <c r="BC27" s="58">
        <v>235.65</v>
      </c>
      <c r="BD27" s="65">
        <f t="shared" si="22"/>
        <v>60.000000000002274</v>
      </c>
      <c r="BE27" s="59">
        <v>33891</v>
      </c>
      <c r="BF27" s="67">
        <f t="shared" si="38"/>
        <v>28</v>
      </c>
      <c r="BG27" s="60">
        <v>227.59</v>
      </c>
      <c r="BH27" s="65">
        <f t="shared" si="23"/>
        <v>50.000000000011369</v>
      </c>
      <c r="BI27" s="60">
        <v>286.04000000000002</v>
      </c>
      <c r="BJ27" s="65">
        <f t="shared" si="39"/>
        <v>50.000000000011369</v>
      </c>
      <c r="BK27" s="60">
        <v>232.42</v>
      </c>
      <c r="BL27" s="65">
        <f t="shared" si="24"/>
        <v>30.000000000001137</v>
      </c>
      <c r="BM27" s="60">
        <v>217.34</v>
      </c>
      <c r="BN27" s="65">
        <f t="shared" si="25"/>
        <v>30.000000000001137</v>
      </c>
      <c r="BO27" s="60">
        <v>282.68</v>
      </c>
      <c r="BP27" s="65">
        <f t="shared" si="26"/>
        <v>40.000000000020464</v>
      </c>
      <c r="BQ27" s="60">
        <v>41261</v>
      </c>
      <c r="BR27" s="65">
        <f t="shared" si="27"/>
        <v>26</v>
      </c>
      <c r="BS27" s="60">
        <v>195.8</v>
      </c>
      <c r="BT27" s="65">
        <f t="shared" si="41"/>
        <v>40.000000000020464</v>
      </c>
      <c r="BU27" s="60">
        <v>354.01</v>
      </c>
      <c r="BV27" s="65">
        <f t="shared" ref="BV27:BV35" si="44">IF((BU27-BU26&lt;0), "",BU27-BU26)</f>
        <v>9.3999999999999773</v>
      </c>
      <c r="BW27" s="60">
        <v>227.37</v>
      </c>
      <c r="BX27" s="65">
        <f t="shared" si="29"/>
        <v>30.000000000001137</v>
      </c>
      <c r="BY27" s="60">
        <v>52789</v>
      </c>
      <c r="BZ27" s="67">
        <f t="shared" si="30"/>
        <v>38</v>
      </c>
      <c r="CA27" s="60">
        <v>28005.8</v>
      </c>
      <c r="CB27" s="67">
        <f t="shared" si="31"/>
        <v>41.899999999997817</v>
      </c>
      <c r="CC27" s="60">
        <v>11255.6</v>
      </c>
      <c r="CD27" s="67">
        <f t="shared" si="32"/>
        <v>0</v>
      </c>
      <c r="CE27" s="60">
        <v>5551.1</v>
      </c>
      <c r="CF27" s="67">
        <f t="shared" si="33"/>
        <v>1.4000000000005457</v>
      </c>
      <c r="CG27" s="60">
        <v>52694.2</v>
      </c>
      <c r="CH27" s="67">
        <f t="shared" si="34"/>
        <v>55.899999999994179</v>
      </c>
      <c r="CI27" s="60">
        <v>899471</v>
      </c>
      <c r="CJ27" s="67">
        <f t="shared" si="35"/>
        <v>292</v>
      </c>
      <c r="CK27" s="60">
        <v>653.99</v>
      </c>
      <c r="CL27" s="64">
        <f t="shared" si="36"/>
        <v>649.99999999997726</v>
      </c>
      <c r="CM27" s="65">
        <f t="shared" si="40"/>
        <v>64.400000000000091</v>
      </c>
      <c r="CN27" s="62">
        <v>0</v>
      </c>
      <c r="CO27" s="62">
        <v>0</v>
      </c>
      <c r="CP27" s="68">
        <v>2685.8</v>
      </c>
      <c r="CQ27" s="67">
        <f t="shared" si="37"/>
        <v>42.400000000000091</v>
      </c>
      <c r="CR27" s="68">
        <v>11392</v>
      </c>
      <c r="CS27" s="67">
        <f t="shared" si="37"/>
        <v>22</v>
      </c>
      <c r="CT27" s="75">
        <v>4107</v>
      </c>
      <c r="CU27" s="67">
        <f t="shared" si="37"/>
        <v>15</v>
      </c>
      <c r="CV27" s="68">
        <v>10951</v>
      </c>
      <c r="CW27" s="67">
        <f t="shared" si="37"/>
        <v>39</v>
      </c>
    </row>
    <row r="28" spans="1:102" ht="25.5" customHeight="1" thickBot="1" x14ac:dyDescent="0.45">
      <c r="A28" s="63">
        <v>44190</v>
      </c>
      <c r="B28" s="44"/>
      <c r="C28" s="58">
        <v>1.9809000000000001</v>
      </c>
      <c r="D28" s="64">
        <f t="shared" si="0"/>
        <v>3900.0000000000146</v>
      </c>
      <c r="E28" s="58">
        <v>2.8624000000000001</v>
      </c>
      <c r="F28" s="64">
        <f t="shared" si="1"/>
        <v>2800.0000000001355</v>
      </c>
      <c r="G28" s="58">
        <v>2.8915000000000002</v>
      </c>
      <c r="H28" s="64">
        <f t="shared" si="2"/>
        <v>2800.0000000001355</v>
      </c>
      <c r="I28" s="58">
        <v>1.411</v>
      </c>
      <c r="J28" s="64">
        <f t="shared" si="3"/>
        <v>2000.0000000000018</v>
      </c>
      <c r="K28" s="58">
        <v>2.2629000000000001</v>
      </c>
      <c r="L28" s="64">
        <f t="shared" si="4"/>
        <v>2299.9999999999686</v>
      </c>
      <c r="M28" s="58">
        <v>1.3081</v>
      </c>
      <c r="N28" s="64">
        <f t="shared" si="5"/>
        <v>1000.0000000001119</v>
      </c>
      <c r="O28" s="58">
        <v>12733</v>
      </c>
      <c r="P28" s="67">
        <f>IF((O28-O27&lt;0), "",O28-O27)</f>
        <v>1</v>
      </c>
      <c r="Q28" s="58">
        <v>84</v>
      </c>
      <c r="R28" s="67">
        <f t="shared" si="6"/>
        <v>12</v>
      </c>
      <c r="S28" s="58">
        <v>880675.2</v>
      </c>
      <c r="T28" s="67">
        <f t="shared" si="7"/>
        <v>776.59999999997672</v>
      </c>
      <c r="U28" s="58">
        <v>362658.1</v>
      </c>
      <c r="V28" s="67">
        <f t="shared" si="8"/>
        <v>389.19999999995343</v>
      </c>
      <c r="W28" s="58">
        <v>353.9</v>
      </c>
      <c r="X28" s="65">
        <f t="shared" si="9"/>
        <v>319.99999999999318</v>
      </c>
      <c r="Y28" s="58">
        <v>2.5015000000000001</v>
      </c>
      <c r="Z28" s="65">
        <f t="shared" si="10"/>
        <v>2400.0000000001796</v>
      </c>
      <c r="AA28" s="58">
        <v>348.23</v>
      </c>
      <c r="AB28" s="65">
        <f t="shared" si="11"/>
        <v>439.99999999999773</v>
      </c>
      <c r="AC28" s="58">
        <v>334.74</v>
      </c>
      <c r="AD28" s="65">
        <f t="shared" si="12"/>
        <v>189.99999999999773</v>
      </c>
      <c r="AE28" s="58">
        <v>519.86</v>
      </c>
      <c r="AF28" s="65">
        <f t="shared" si="13"/>
        <v>210.00000000003638</v>
      </c>
      <c r="AG28" s="58">
        <v>1491.3</v>
      </c>
      <c r="AH28" s="67">
        <f t="shared" si="14"/>
        <v>2.0999999999999091</v>
      </c>
      <c r="AI28" s="58">
        <v>507.97</v>
      </c>
      <c r="AJ28" s="65">
        <f t="shared" si="15"/>
        <v>1220.0000000000273</v>
      </c>
      <c r="AK28" s="58">
        <v>178.3</v>
      </c>
      <c r="AL28" s="65">
        <f t="shared" si="15"/>
        <v>360.00000000001364</v>
      </c>
      <c r="AM28" s="58">
        <v>176.07</v>
      </c>
      <c r="AN28" s="65">
        <f t="shared" si="15"/>
        <v>329.99999999998408</v>
      </c>
      <c r="AO28" s="58">
        <v>168.53</v>
      </c>
      <c r="AP28" s="65">
        <f t="shared" si="15"/>
        <v>189.99999999999773</v>
      </c>
      <c r="AQ28" s="58">
        <v>227.41</v>
      </c>
      <c r="AR28" s="65">
        <f t="shared" si="16"/>
        <v>129.99999999999545</v>
      </c>
      <c r="AS28" s="58">
        <v>353.8</v>
      </c>
      <c r="AT28" s="65">
        <f t="shared" si="17"/>
        <v>259.99999999999091</v>
      </c>
      <c r="AU28" s="58">
        <v>273.16000000000003</v>
      </c>
      <c r="AV28" s="65">
        <f t="shared" si="18"/>
        <v>150.00000000003411</v>
      </c>
      <c r="AW28" s="58">
        <v>300.89</v>
      </c>
      <c r="AX28" s="65">
        <f t="shared" si="19"/>
        <v>199.99999999998863</v>
      </c>
      <c r="AY28" s="58">
        <v>353.09</v>
      </c>
      <c r="AZ28" s="65">
        <f t="shared" si="20"/>
        <v>289.99999999996362</v>
      </c>
      <c r="BA28" s="58">
        <v>373.59</v>
      </c>
      <c r="BB28" s="65">
        <f t="shared" si="21"/>
        <v>329.99999999998408</v>
      </c>
      <c r="BC28" s="58">
        <v>235.72</v>
      </c>
      <c r="BD28" s="65">
        <f t="shared" si="22"/>
        <v>69.999999999993179</v>
      </c>
      <c r="BE28" s="59">
        <v>33947</v>
      </c>
      <c r="BF28" s="67">
        <f t="shared" si="38"/>
        <v>56</v>
      </c>
      <c r="BG28" s="60">
        <v>227.63</v>
      </c>
      <c r="BH28" s="65">
        <f t="shared" si="23"/>
        <v>39.999999999992042</v>
      </c>
      <c r="BI28" s="60">
        <v>286.08999999999997</v>
      </c>
      <c r="BJ28" s="65">
        <f t="shared" si="39"/>
        <v>49.999999999954525</v>
      </c>
      <c r="BK28" s="60">
        <v>232.45</v>
      </c>
      <c r="BL28" s="65">
        <f t="shared" si="24"/>
        <v>30.000000000001137</v>
      </c>
      <c r="BM28" s="60">
        <v>217.36</v>
      </c>
      <c r="BN28" s="65">
        <f t="shared" si="25"/>
        <v>20.000000000010232</v>
      </c>
      <c r="BO28" s="60">
        <v>282.70999999999998</v>
      </c>
      <c r="BP28" s="65">
        <f t="shared" si="26"/>
        <v>29.999999999972715</v>
      </c>
      <c r="BQ28" s="60">
        <v>41284</v>
      </c>
      <c r="BR28" s="65">
        <f t="shared" si="27"/>
        <v>23</v>
      </c>
      <c r="BS28" s="60">
        <v>195.85</v>
      </c>
      <c r="BT28" s="65">
        <f t="shared" si="41"/>
        <v>49.999999999982947</v>
      </c>
      <c r="BU28" s="60">
        <v>345.43</v>
      </c>
      <c r="BV28" s="65" t="str">
        <f t="shared" si="44"/>
        <v/>
      </c>
      <c r="BW28" s="60">
        <v>227.4</v>
      </c>
      <c r="BX28" s="65">
        <f t="shared" si="29"/>
        <v>30.000000000001137</v>
      </c>
      <c r="BY28" s="60">
        <v>52831</v>
      </c>
      <c r="BZ28" s="67">
        <f t="shared" si="30"/>
        <v>42</v>
      </c>
      <c r="CA28" s="60">
        <v>28055.8</v>
      </c>
      <c r="CB28" s="67">
        <f t="shared" si="31"/>
        <v>50</v>
      </c>
      <c r="CC28" s="60">
        <v>11255.6</v>
      </c>
      <c r="CD28" s="67">
        <f t="shared" si="32"/>
        <v>0</v>
      </c>
      <c r="CE28" s="60">
        <v>5555.5</v>
      </c>
      <c r="CF28" s="67">
        <f t="shared" si="33"/>
        <v>4.3999999999996362</v>
      </c>
      <c r="CG28" s="60">
        <v>52753.599999999999</v>
      </c>
      <c r="CH28" s="67">
        <f t="shared" si="34"/>
        <v>59.400000000001455</v>
      </c>
      <c r="CI28" s="60">
        <v>899766</v>
      </c>
      <c r="CJ28" s="67">
        <f t="shared" si="35"/>
        <v>295</v>
      </c>
      <c r="CK28" s="60">
        <v>654.75</v>
      </c>
      <c r="CL28" s="64">
        <f t="shared" si="36"/>
        <v>759.99999999999091</v>
      </c>
      <c r="CM28" s="65">
        <f t="shared" si="40"/>
        <v>61.199999999999818</v>
      </c>
      <c r="CN28" s="62">
        <v>0</v>
      </c>
      <c r="CO28" s="62">
        <v>0</v>
      </c>
      <c r="CP28" s="68">
        <v>2726</v>
      </c>
      <c r="CQ28" s="67">
        <f t="shared" si="37"/>
        <v>40.199999999999818</v>
      </c>
      <c r="CR28" s="68">
        <v>11413</v>
      </c>
      <c r="CS28" s="67">
        <f t="shared" si="37"/>
        <v>21</v>
      </c>
      <c r="CT28" s="75">
        <v>4121</v>
      </c>
      <c r="CU28" s="67">
        <f t="shared" si="37"/>
        <v>14</v>
      </c>
      <c r="CV28" s="68">
        <v>10991</v>
      </c>
      <c r="CW28" s="67">
        <f t="shared" si="37"/>
        <v>40</v>
      </c>
    </row>
    <row r="29" spans="1:102" ht="25.5" customHeight="1" thickBot="1" x14ac:dyDescent="0.45">
      <c r="A29" s="63">
        <v>44191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4"/>
        <v>0</v>
      </c>
      <c r="M29" s="58"/>
      <c r="N29" s="64" t="str">
        <f t="shared" si="5"/>
        <v/>
      </c>
      <c r="O29" s="58"/>
      <c r="P29" s="67" t="str">
        <f>IF((O29-O28&lt;0), "",O29-O28)</f>
        <v/>
      </c>
      <c r="Q29" s="58"/>
      <c r="R29" s="67" t="str">
        <f t="shared" si="6"/>
        <v/>
      </c>
      <c r="S29" s="58"/>
      <c r="T29" s="67" t="str">
        <f t="shared" si="7"/>
        <v/>
      </c>
      <c r="U29" s="58"/>
      <c r="V29" s="67" t="str">
        <f t="shared" si="8"/>
        <v/>
      </c>
      <c r="W29" s="58"/>
      <c r="X29" s="65" t="str">
        <f t="shared" si="9"/>
        <v/>
      </c>
      <c r="Y29" s="58"/>
      <c r="Z29" s="65" t="str">
        <f t="shared" si="10"/>
        <v/>
      </c>
      <c r="AA29" s="58"/>
      <c r="AB29" s="65" t="str">
        <f t="shared" si="11"/>
        <v/>
      </c>
      <c r="AC29" s="58"/>
      <c r="AD29" s="65" t="str">
        <f t="shared" si="12"/>
        <v/>
      </c>
      <c r="AE29" s="58"/>
      <c r="AF29" s="65" t="str">
        <f t="shared" si="13"/>
        <v/>
      </c>
      <c r="AG29" s="58"/>
      <c r="AH29" s="67" t="str">
        <f t="shared" si="14"/>
        <v/>
      </c>
      <c r="AI29" s="58"/>
      <c r="AJ29" s="65" t="str">
        <f t="shared" si="15"/>
        <v/>
      </c>
      <c r="AK29" s="58"/>
      <c r="AL29" s="65" t="str">
        <f t="shared" si="15"/>
        <v/>
      </c>
      <c r="AM29" s="58"/>
      <c r="AN29" s="65" t="str">
        <f t="shared" si="15"/>
        <v/>
      </c>
      <c r="AO29" s="58"/>
      <c r="AP29" s="65" t="str">
        <f t="shared" si="15"/>
        <v/>
      </c>
      <c r="AQ29" s="58"/>
      <c r="AR29" s="65" t="str">
        <f t="shared" si="16"/>
        <v/>
      </c>
      <c r="AS29" s="58"/>
      <c r="AT29" s="65" t="str">
        <f t="shared" si="17"/>
        <v/>
      </c>
      <c r="AU29" s="58"/>
      <c r="AV29" s="65" t="str">
        <f t="shared" si="18"/>
        <v/>
      </c>
      <c r="AW29" s="58"/>
      <c r="AX29" s="65" t="str">
        <f t="shared" si="19"/>
        <v/>
      </c>
      <c r="AY29" s="58"/>
      <c r="AZ29" s="65" t="str">
        <f t="shared" si="20"/>
        <v/>
      </c>
      <c r="BA29" s="58"/>
      <c r="BB29" s="65" t="str">
        <f t="shared" si="21"/>
        <v/>
      </c>
      <c r="BC29" s="58"/>
      <c r="BD29" s="65" t="str">
        <f t="shared" si="22"/>
        <v/>
      </c>
      <c r="BE29" s="59"/>
      <c r="BF29" s="67" t="str">
        <f t="shared" si="38"/>
        <v/>
      </c>
      <c r="BG29" s="60"/>
      <c r="BH29" s="65" t="str">
        <f t="shared" si="23"/>
        <v/>
      </c>
      <c r="BI29" s="60"/>
      <c r="BJ29" s="65" t="str">
        <f t="shared" si="39"/>
        <v/>
      </c>
      <c r="BK29" s="60"/>
      <c r="BL29" s="65" t="str">
        <f t="shared" si="24"/>
        <v/>
      </c>
      <c r="BM29" s="60"/>
      <c r="BN29" s="65" t="str">
        <f t="shared" si="25"/>
        <v/>
      </c>
      <c r="BO29" s="60"/>
      <c r="BP29" s="65" t="str">
        <f t="shared" si="26"/>
        <v/>
      </c>
      <c r="BQ29" s="60"/>
      <c r="BR29" s="65" t="str">
        <f t="shared" si="27"/>
        <v/>
      </c>
      <c r="BS29" s="60"/>
      <c r="BT29" s="65" t="str">
        <f t="shared" si="41"/>
        <v/>
      </c>
      <c r="BU29" s="60"/>
      <c r="BV29" s="65" t="str">
        <f t="shared" si="44"/>
        <v/>
      </c>
      <c r="BW29" s="60"/>
      <c r="BX29" s="65" t="str">
        <f t="shared" si="29"/>
        <v/>
      </c>
      <c r="BY29" s="60"/>
      <c r="BZ29" s="67" t="str">
        <f t="shared" si="30"/>
        <v/>
      </c>
      <c r="CA29" s="60"/>
      <c r="CB29" s="67" t="str">
        <f t="shared" si="31"/>
        <v/>
      </c>
      <c r="CC29" s="60"/>
      <c r="CD29" s="67" t="str">
        <f t="shared" si="32"/>
        <v/>
      </c>
      <c r="CE29" s="60"/>
      <c r="CF29" s="67" t="str">
        <f t="shared" si="33"/>
        <v/>
      </c>
      <c r="CG29" s="60"/>
      <c r="CH29" s="67" t="str">
        <f t="shared" si="34"/>
        <v/>
      </c>
      <c r="CI29" s="60"/>
      <c r="CJ29" s="67" t="str">
        <f t="shared" si="35"/>
        <v/>
      </c>
      <c r="CK29" s="60"/>
      <c r="CL29" s="64" t="str">
        <f t="shared" si="36"/>
        <v/>
      </c>
      <c r="CM29" s="65" t="e">
        <f t="shared" si="40"/>
        <v>#VALUE!</v>
      </c>
      <c r="CN29" s="62">
        <v>0</v>
      </c>
      <c r="CO29" s="62">
        <v>0</v>
      </c>
      <c r="CP29" s="68"/>
      <c r="CQ29" s="67" t="str">
        <f t="shared" si="37"/>
        <v/>
      </c>
      <c r="CR29" s="68"/>
      <c r="CS29" s="67" t="str">
        <f t="shared" si="37"/>
        <v/>
      </c>
      <c r="CT29" s="75"/>
      <c r="CU29" s="67" t="str">
        <f t="shared" si="37"/>
        <v/>
      </c>
      <c r="CV29" s="68"/>
      <c r="CW29" s="67" t="str">
        <f t="shared" si="37"/>
        <v/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/>
      <c r="BZ32" s="67"/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32" sqref="S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</v>
      </c>
      <c r="O20" s="39">
        <v>9</v>
      </c>
      <c r="P20" s="39">
        <v>83</v>
      </c>
      <c r="Q20" s="39">
        <v>3079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</v>
      </c>
      <c r="O21" s="39">
        <v>7</v>
      </c>
      <c r="P21" s="39">
        <v>83</v>
      </c>
      <c r="Q21" s="39">
        <v>3082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</v>
      </c>
      <c r="O22" s="39">
        <v>3</v>
      </c>
      <c r="P22" s="39">
        <v>83</v>
      </c>
      <c r="Q22" s="39">
        <v>3086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</v>
      </c>
      <c r="O23" s="39">
        <v>3</v>
      </c>
      <c r="P23" s="39">
        <v>83</v>
      </c>
      <c r="Q23" s="39">
        <v>3091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1</v>
      </c>
      <c r="O24" s="39">
        <v>3</v>
      </c>
      <c r="P24" s="39">
        <v>81</v>
      </c>
      <c r="Q24" s="39">
        <v>3095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1</v>
      </c>
      <c r="O25" s="39">
        <v>3</v>
      </c>
      <c r="P25" s="39">
        <v>76</v>
      </c>
      <c r="Q25" s="39">
        <v>3100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</v>
      </c>
      <c r="O26" s="39">
        <v>3</v>
      </c>
      <c r="P26" s="39">
        <v>70</v>
      </c>
      <c r="Q26" s="39">
        <v>3105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>
        <v>85</v>
      </c>
      <c r="F27" s="41">
        <v>4727</v>
      </c>
      <c r="G27" s="41">
        <v>85</v>
      </c>
      <c r="H27" s="41">
        <v>1374</v>
      </c>
      <c r="I27" s="41">
        <v>19</v>
      </c>
      <c r="J27" s="41">
        <v>273</v>
      </c>
      <c r="K27" s="42">
        <v>82</v>
      </c>
      <c r="L27" s="42">
        <v>86</v>
      </c>
      <c r="M27" s="42">
        <v>1152</v>
      </c>
      <c r="N27" s="39">
        <v>1</v>
      </c>
      <c r="O27" s="39">
        <v>3</v>
      </c>
      <c r="P27" s="39">
        <v>66</v>
      </c>
      <c r="Q27" s="39">
        <v>3109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>
        <v>85</v>
      </c>
      <c r="F28" s="41">
        <v>4734</v>
      </c>
      <c r="G28" s="41">
        <v>85</v>
      </c>
      <c r="H28" s="41">
        <v>1374</v>
      </c>
      <c r="I28" s="41">
        <v>11</v>
      </c>
      <c r="J28" s="41">
        <v>273</v>
      </c>
      <c r="K28" s="42">
        <v>82</v>
      </c>
      <c r="L28" s="42">
        <v>86</v>
      </c>
      <c r="M28" s="42">
        <v>1157</v>
      </c>
      <c r="N28" s="39">
        <v>1</v>
      </c>
      <c r="O28" s="39">
        <v>3</v>
      </c>
      <c r="P28" s="39">
        <v>60</v>
      </c>
      <c r="Q28" s="39">
        <v>3114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>
        <v>85</v>
      </c>
      <c r="F29" s="41">
        <v>4743</v>
      </c>
      <c r="G29" s="41">
        <v>86</v>
      </c>
      <c r="H29" s="41">
        <v>1374</v>
      </c>
      <c r="I29" s="41">
        <v>5</v>
      </c>
      <c r="J29" s="41">
        <v>273</v>
      </c>
      <c r="K29" s="42">
        <v>82</v>
      </c>
      <c r="L29" s="42">
        <v>86</v>
      </c>
      <c r="M29" s="42">
        <v>1157</v>
      </c>
      <c r="N29" s="39">
        <v>1</v>
      </c>
      <c r="O29" s="39">
        <v>3</v>
      </c>
      <c r="P29" s="39">
        <v>55</v>
      </c>
      <c r="Q29" s="39">
        <v>3118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>
        <v>83</v>
      </c>
      <c r="F30" s="41">
        <v>4750</v>
      </c>
      <c r="G30" s="41">
        <v>85</v>
      </c>
      <c r="H30" s="41">
        <v>1374</v>
      </c>
      <c r="I30" s="41">
        <v>3</v>
      </c>
      <c r="J30" s="41">
        <v>273</v>
      </c>
      <c r="K30" s="42">
        <v>80</v>
      </c>
      <c r="L30" s="42">
        <v>86</v>
      </c>
      <c r="M30" s="42">
        <v>1158</v>
      </c>
      <c r="N30" s="39">
        <v>1</v>
      </c>
      <c r="O30" s="39">
        <v>3</v>
      </c>
      <c r="P30" s="39">
        <v>50</v>
      </c>
      <c r="Q30" s="39">
        <v>3123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>
        <v>75</v>
      </c>
      <c r="F31" s="41">
        <v>4758</v>
      </c>
      <c r="G31" s="41">
        <v>85</v>
      </c>
      <c r="H31" s="41">
        <v>1374</v>
      </c>
      <c r="I31" s="41">
        <v>3</v>
      </c>
      <c r="J31" s="41">
        <v>273</v>
      </c>
      <c r="K31" s="42">
        <v>80</v>
      </c>
      <c r="L31" s="42">
        <v>86</v>
      </c>
      <c r="M31" s="42">
        <v>1158</v>
      </c>
      <c r="N31" s="39">
        <v>1</v>
      </c>
      <c r="O31" s="39">
        <v>3</v>
      </c>
      <c r="P31" s="39">
        <v>45</v>
      </c>
      <c r="Q31" s="39">
        <v>3127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>
        <v>65</v>
      </c>
      <c r="F32" s="41">
        <v>4766</v>
      </c>
      <c r="G32" s="41">
        <v>85</v>
      </c>
      <c r="H32" s="41">
        <v>1374</v>
      </c>
      <c r="I32" s="41">
        <v>3</v>
      </c>
      <c r="J32" s="41">
        <v>273</v>
      </c>
      <c r="K32" s="42">
        <v>80</v>
      </c>
      <c r="L32" s="42">
        <v>86</v>
      </c>
      <c r="M32" s="42">
        <v>1159</v>
      </c>
      <c r="N32" s="39">
        <v>1</v>
      </c>
      <c r="O32" s="39">
        <v>3</v>
      </c>
      <c r="P32" s="39">
        <v>38</v>
      </c>
      <c r="Q32" s="39">
        <v>3132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-196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2020-12-26T15:31:38Z</dcterms:modified>
</cp:coreProperties>
</file>