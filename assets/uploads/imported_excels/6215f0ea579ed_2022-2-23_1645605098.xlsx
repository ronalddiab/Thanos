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97796453-AEE3-4A9D-BF07-B42F90A87FA1}" xr6:coauthVersionLast="47" xr6:coauthVersionMax="47" xr10:uidLastSave="{00000000-0000-0000-0000-000000000000}"/>
  <bookViews>
    <workbookView xWindow="-120" yWindow="-120" windowWidth="20730" windowHeight="11160" tabRatio="620" xr2:uid="{00000000-000D-0000-FFFF-FFFF00000000}"/>
  </bookViews>
  <sheets>
    <sheet name="2022.1" sheetId="120" r:id="rId1"/>
    <sheet name="HangzhouDaily" sheetId="119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120" l="1"/>
  <c r="L31" i="120"/>
  <c r="L32" i="120"/>
  <c r="L29" i="120" l="1"/>
  <c r="L28" i="120"/>
  <c r="L27" i="120"/>
  <c r="L26" i="120"/>
  <c r="L25" i="120"/>
  <c r="L24" i="120"/>
  <c r="L23" i="120"/>
  <c r="L22" i="120"/>
  <c r="L21" i="120"/>
  <c r="L20" i="120"/>
  <c r="L19" i="120"/>
  <c r="L18" i="120"/>
  <c r="L17" i="120"/>
  <c r="L16" i="120"/>
  <c r="L15" i="120"/>
  <c r="L14" i="120"/>
  <c r="L13" i="120"/>
  <c r="L12" i="120"/>
  <c r="L11" i="120"/>
  <c r="L10" i="120"/>
  <c r="L9" i="120"/>
  <c r="L8" i="120"/>
  <c r="L7" i="120"/>
  <c r="L6" i="120"/>
  <c r="L5" i="120"/>
  <c r="L4" i="120"/>
  <c r="L3" i="120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L2" i="120"/>
  <c r="H32" i="119" l="1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<sst xmlns="http://schemas.openxmlformats.org/spreadsheetml/2006/main" count="56" uniqueCount="25">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</sst>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tabSelected="1" workbookViewId="0">
      <selection activeCell="E9" activeCellId="1" sqref="E24 E9:F11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1</v>
      </c>
      <c r="D2" s="7">
        <v>2022</v>
      </c>
      <c r="E2" s="9">
        <v>12640</v>
      </c>
      <c r="F2" s="35">
        <v>0.745</v>
      </c>
      <c r="G2" s="37">
        <v>2793</v>
      </c>
      <c r="H2" s="35">
        <v>4.42</v>
      </c>
      <c r="I2" s="9">
        <v>428</v>
      </c>
      <c r="J2" s="35">
        <v>4.2699999999999996</v>
      </c>
      <c r="K2" s="9">
        <v>15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1</v>
      </c>
      <c r="D3" s="7">
        <v>2022</v>
      </c>
      <c r="E3" s="9">
        <v>12640</v>
      </c>
      <c r="F3" s="35">
        <v>0.745</v>
      </c>
      <c r="G3" s="9">
        <v>3103</v>
      </c>
      <c r="H3" s="35">
        <v>4.42</v>
      </c>
      <c r="I3" s="9">
        <v>481</v>
      </c>
      <c r="J3" s="35">
        <v>4.2699999999999996</v>
      </c>
      <c r="K3" s="9">
        <v>23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32" si="0">B3+1</f>
        <v>3</v>
      </c>
      <c r="C4" s="8">
        <v>1</v>
      </c>
      <c r="D4" s="7">
        <v>2022</v>
      </c>
      <c r="E4" s="36">
        <v>12760</v>
      </c>
      <c r="F4" s="35">
        <v>0.75</v>
      </c>
      <c r="G4" s="9">
        <v>2918</v>
      </c>
      <c r="H4" s="35">
        <v>4.42</v>
      </c>
      <c r="I4" s="9">
        <v>466</v>
      </c>
      <c r="J4" s="35">
        <v>4.2699999999999996</v>
      </c>
      <c r="K4" s="9">
        <v>20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1</v>
      </c>
      <c r="D5" s="7">
        <v>2022</v>
      </c>
      <c r="E5" s="9">
        <v>13090</v>
      </c>
      <c r="F5" s="35">
        <v>0.75</v>
      </c>
      <c r="G5" s="37">
        <v>2785</v>
      </c>
      <c r="H5" s="35">
        <v>4.42</v>
      </c>
      <c r="I5" s="9">
        <v>492</v>
      </c>
      <c r="J5" s="35">
        <v>4.2699999999999996</v>
      </c>
      <c r="K5" s="9">
        <v>19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1</v>
      </c>
      <c r="D6" s="7">
        <v>2022</v>
      </c>
      <c r="E6" s="9">
        <v>12460</v>
      </c>
      <c r="F6" s="35">
        <v>0.75</v>
      </c>
      <c r="G6" s="9">
        <v>2684</v>
      </c>
      <c r="H6" s="35">
        <v>4.42</v>
      </c>
      <c r="I6" s="9">
        <v>470</v>
      </c>
      <c r="J6" s="35">
        <v>4.2699999999999996</v>
      </c>
      <c r="K6" s="9">
        <v>12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1</v>
      </c>
      <c r="D7" s="7">
        <v>2022</v>
      </c>
      <c r="E7" s="9">
        <v>12220</v>
      </c>
      <c r="F7" s="35">
        <v>0.75</v>
      </c>
      <c r="G7" s="9">
        <v>2417</v>
      </c>
      <c r="H7" s="35">
        <v>4.42</v>
      </c>
      <c r="I7" s="9">
        <v>396</v>
      </c>
      <c r="J7" s="35">
        <v>4.2699999999999996</v>
      </c>
      <c r="K7" s="9">
        <v>11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1</v>
      </c>
      <c r="D8" s="7">
        <v>2022</v>
      </c>
      <c r="E8" s="9">
        <v>12220</v>
      </c>
      <c r="F8" s="35">
        <v>0.75</v>
      </c>
      <c r="G8" s="9">
        <v>2610</v>
      </c>
      <c r="H8" s="35">
        <v>4.42</v>
      </c>
      <c r="I8" s="9">
        <v>428</v>
      </c>
      <c r="J8" s="35">
        <v>4.2699999999999996</v>
      </c>
      <c r="K8" s="9">
        <v>20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1</v>
      </c>
      <c r="D9" s="7">
        <v>2022</v>
      </c>
      <c r="E9" s="9">
        <v>13030</v>
      </c>
      <c r="F9" s="35">
        <v>0.75</v>
      </c>
      <c r="G9" s="9">
        <v>2765</v>
      </c>
      <c r="H9" s="35">
        <v>4.42</v>
      </c>
      <c r="I9" s="9">
        <v>468</v>
      </c>
      <c r="J9" s="35">
        <v>4.2699999999999996</v>
      </c>
      <c r="K9" s="9">
        <v>38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1</v>
      </c>
      <c r="D10" s="7">
        <v>2022</v>
      </c>
      <c r="E10" s="9">
        <v>13480</v>
      </c>
      <c r="F10" s="35">
        <v>0.75</v>
      </c>
      <c r="G10" s="9">
        <v>2843</v>
      </c>
      <c r="H10" s="35">
        <v>4.42</v>
      </c>
      <c r="I10" s="9">
        <v>647</v>
      </c>
      <c r="J10" s="35">
        <v>4.2699999999999996</v>
      </c>
      <c r="K10" s="9">
        <v>16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1</v>
      </c>
      <c r="D11" s="7">
        <v>2022</v>
      </c>
      <c r="E11" s="9">
        <v>12550</v>
      </c>
      <c r="F11" s="35">
        <v>0.75</v>
      </c>
      <c r="G11" s="9">
        <v>2765</v>
      </c>
      <c r="H11" s="35">
        <v>4.42</v>
      </c>
      <c r="I11" s="9">
        <v>425</v>
      </c>
      <c r="J11" s="35">
        <v>4.2699999999999996</v>
      </c>
      <c r="K11" s="9">
        <v>9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1</v>
      </c>
      <c r="D12" s="7">
        <v>2022</v>
      </c>
      <c r="E12" s="9">
        <v>11980</v>
      </c>
      <c r="F12" s="35">
        <v>0.75</v>
      </c>
      <c r="G12" s="9">
        <v>2715</v>
      </c>
      <c r="H12" s="35">
        <v>4.42</v>
      </c>
      <c r="I12" s="9">
        <v>492</v>
      </c>
      <c r="J12" s="35">
        <v>4.2699999999999996</v>
      </c>
      <c r="K12" s="9">
        <v>7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1</v>
      </c>
      <c r="D13" s="7">
        <v>2022</v>
      </c>
      <c r="E13" s="9">
        <v>11950</v>
      </c>
      <c r="F13" s="35">
        <v>0.75</v>
      </c>
      <c r="G13" s="9">
        <v>2838</v>
      </c>
      <c r="H13" s="35">
        <v>4.42</v>
      </c>
      <c r="I13" s="9">
        <v>465</v>
      </c>
      <c r="J13" s="35">
        <v>4.2699999999999996</v>
      </c>
      <c r="K13" s="9">
        <v>13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1</v>
      </c>
      <c r="D14" s="7">
        <v>2022</v>
      </c>
      <c r="E14" s="9">
        <v>12250</v>
      </c>
      <c r="F14" s="35">
        <v>0.75</v>
      </c>
      <c r="G14" s="9">
        <v>3082</v>
      </c>
      <c r="H14" s="35">
        <v>4.42</v>
      </c>
      <c r="I14" s="9">
        <v>517</v>
      </c>
      <c r="J14" s="35">
        <v>4.2699999999999996</v>
      </c>
      <c r="K14" s="9">
        <v>8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1</v>
      </c>
      <c r="D15" s="7">
        <v>2022</v>
      </c>
      <c r="E15" s="9">
        <v>12250</v>
      </c>
      <c r="F15" s="35">
        <v>0.75</v>
      </c>
      <c r="G15" s="9">
        <v>3040</v>
      </c>
      <c r="H15" s="35">
        <v>4.42</v>
      </c>
      <c r="I15" s="9">
        <v>474</v>
      </c>
      <c r="J15" s="35">
        <v>4.2699999999999996</v>
      </c>
      <c r="K15" s="9">
        <v>7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1</v>
      </c>
      <c r="D16" s="7">
        <v>2022</v>
      </c>
      <c r="E16" s="9">
        <v>11350</v>
      </c>
      <c r="F16" s="35">
        <v>0.75</v>
      </c>
      <c r="G16" s="9">
        <v>3059</v>
      </c>
      <c r="H16" s="35">
        <v>4.42</v>
      </c>
      <c r="I16" s="9">
        <v>534</v>
      </c>
      <c r="J16" s="35">
        <v>4.2699999999999996</v>
      </c>
      <c r="K16" s="9">
        <v>8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1</v>
      </c>
      <c r="D17" s="7">
        <v>2022</v>
      </c>
      <c r="E17" s="9">
        <v>13090</v>
      </c>
      <c r="F17" s="35">
        <v>0.75</v>
      </c>
      <c r="G17" s="9">
        <v>2962</v>
      </c>
      <c r="H17" s="35">
        <v>4.42</v>
      </c>
      <c r="I17" s="9">
        <v>519</v>
      </c>
      <c r="J17" s="35">
        <v>4.2699999999999996</v>
      </c>
      <c r="K17" s="9">
        <v>9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1</v>
      </c>
      <c r="D18" s="7">
        <v>2022</v>
      </c>
      <c r="E18" s="9">
        <v>11770</v>
      </c>
      <c r="F18" s="35">
        <v>0.75</v>
      </c>
      <c r="G18" s="9">
        <v>2776</v>
      </c>
      <c r="H18" s="35">
        <v>4.42</v>
      </c>
      <c r="I18" s="9">
        <v>460</v>
      </c>
      <c r="J18" s="35">
        <v>4.2699999999999996</v>
      </c>
      <c r="K18" s="9">
        <v>8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1</v>
      </c>
      <c r="D19" s="7">
        <v>2022</v>
      </c>
      <c r="E19" s="9">
        <v>12160</v>
      </c>
      <c r="F19" s="35">
        <v>0.75</v>
      </c>
      <c r="G19" s="9">
        <v>2585</v>
      </c>
      <c r="H19" s="35">
        <v>4.42</v>
      </c>
      <c r="I19" s="9">
        <v>485</v>
      </c>
      <c r="J19" s="35">
        <v>4.2699999999999996</v>
      </c>
      <c r="K19" s="9">
        <v>7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1</v>
      </c>
      <c r="D20" s="7">
        <v>2022</v>
      </c>
      <c r="E20" s="9">
        <v>12460</v>
      </c>
      <c r="F20" s="35">
        <v>0.75</v>
      </c>
      <c r="G20" s="9">
        <v>2596</v>
      </c>
      <c r="H20" s="35">
        <v>4.42</v>
      </c>
      <c r="I20" s="9">
        <v>451</v>
      </c>
      <c r="J20" s="35">
        <v>4.2699999999999996</v>
      </c>
      <c r="K20" s="9">
        <v>8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1</v>
      </c>
      <c r="D21" s="7">
        <v>2022</v>
      </c>
      <c r="E21" s="9">
        <v>12370</v>
      </c>
      <c r="F21" s="35">
        <v>0.75</v>
      </c>
      <c r="G21" s="9">
        <v>2427</v>
      </c>
      <c r="H21" s="35">
        <v>4.42</v>
      </c>
      <c r="I21" s="9">
        <v>460</v>
      </c>
      <c r="J21" s="35">
        <v>4.2699999999999996</v>
      </c>
      <c r="K21" s="9">
        <v>13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1</v>
      </c>
      <c r="D22" s="7">
        <v>2022</v>
      </c>
      <c r="E22" s="9">
        <v>10540</v>
      </c>
      <c r="F22" s="35">
        <v>0.75</v>
      </c>
      <c r="G22" s="9">
        <v>2771</v>
      </c>
      <c r="H22" s="35">
        <v>4.42</v>
      </c>
      <c r="I22" s="9">
        <v>474</v>
      </c>
      <c r="J22" s="35">
        <v>4.2699999999999996</v>
      </c>
      <c r="K22" s="9">
        <v>14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1</v>
      </c>
      <c r="D23" s="7">
        <v>2022</v>
      </c>
      <c r="E23" s="9">
        <v>14410</v>
      </c>
      <c r="F23" s="35">
        <v>0.75</v>
      </c>
      <c r="G23" s="9">
        <v>2794</v>
      </c>
      <c r="H23" s="35">
        <v>4.42</v>
      </c>
      <c r="I23" s="9">
        <v>450</v>
      </c>
      <c r="J23" s="35">
        <v>4.2699999999999996</v>
      </c>
      <c r="K23" s="9">
        <v>10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1</v>
      </c>
      <c r="D24" s="7">
        <v>2022</v>
      </c>
      <c r="E24" s="9">
        <v>12190</v>
      </c>
      <c r="F24" s="35">
        <v>0.75</v>
      </c>
      <c r="G24" s="9">
        <v>2737</v>
      </c>
      <c r="H24" s="35">
        <v>4.42</v>
      </c>
      <c r="I24" s="9">
        <v>444</v>
      </c>
      <c r="J24" s="35">
        <v>4.2699999999999996</v>
      </c>
      <c r="K24" s="9">
        <v>16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1</v>
      </c>
      <c r="D25" s="7">
        <v>2022</v>
      </c>
      <c r="E25" s="9">
        <v>11800</v>
      </c>
      <c r="F25" s="35">
        <v>0.75</v>
      </c>
      <c r="G25" s="9">
        <v>2496</v>
      </c>
      <c r="H25" s="35">
        <v>4.42</v>
      </c>
      <c r="I25" s="9">
        <v>451</v>
      </c>
      <c r="J25" s="35">
        <v>4.2699999999999996</v>
      </c>
      <c r="K25" s="9">
        <v>13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1</v>
      </c>
      <c r="D26" s="7">
        <v>2022</v>
      </c>
      <c r="E26" s="9">
        <v>11860</v>
      </c>
      <c r="F26" s="35">
        <v>0.75</v>
      </c>
      <c r="G26" s="9">
        <v>2670</v>
      </c>
      <c r="H26" s="35">
        <v>4.42</v>
      </c>
      <c r="I26" s="9">
        <v>476</v>
      </c>
      <c r="J26" s="35">
        <v>4.2699999999999996</v>
      </c>
      <c r="K26" s="9">
        <v>8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1</v>
      </c>
      <c r="D27" s="7">
        <v>2022</v>
      </c>
      <c r="E27" s="9">
        <v>12070</v>
      </c>
      <c r="F27" s="35">
        <v>0.75</v>
      </c>
      <c r="G27" s="9">
        <v>2742</v>
      </c>
      <c r="H27" s="35">
        <v>4.42</v>
      </c>
      <c r="I27" s="9">
        <v>436</v>
      </c>
      <c r="J27" s="35">
        <v>4.2699999999999996</v>
      </c>
      <c r="K27" s="9">
        <v>16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1</v>
      </c>
      <c r="D28" s="7">
        <v>2022</v>
      </c>
      <c r="E28" s="9">
        <v>12580</v>
      </c>
      <c r="F28" s="35">
        <v>0.75</v>
      </c>
      <c r="G28" s="9">
        <v>2755</v>
      </c>
      <c r="H28" s="35">
        <v>4.42</v>
      </c>
      <c r="I28" s="9">
        <v>456</v>
      </c>
      <c r="J28" s="35">
        <v>4.2699999999999996</v>
      </c>
      <c r="K28" s="9">
        <v>14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1</v>
      </c>
      <c r="D29" s="7">
        <v>2022</v>
      </c>
      <c r="E29" s="9">
        <v>12190</v>
      </c>
      <c r="F29" s="35">
        <v>0.75</v>
      </c>
      <c r="G29" s="9">
        <v>2762</v>
      </c>
      <c r="H29" s="35">
        <v>4.42</v>
      </c>
      <c r="I29" s="9">
        <v>413</v>
      </c>
      <c r="J29" s="35">
        <v>4.2699999999999996</v>
      </c>
      <c r="K29" s="9">
        <v>7</v>
      </c>
      <c r="L29" s="9">
        <f>HangzhouDaily!J32</f>
        <v>0</v>
      </c>
    </row>
    <row r="30" spans="1:12" ht="15" x14ac:dyDescent="0.25">
      <c r="A30" s="6" t="s">
        <v>12</v>
      </c>
      <c r="B30" s="7">
        <f t="shared" si="0"/>
        <v>29</v>
      </c>
      <c r="C30" s="8">
        <v>1</v>
      </c>
      <c r="D30" s="7">
        <v>2022</v>
      </c>
      <c r="E30" s="9">
        <v>12730</v>
      </c>
      <c r="F30" s="35">
        <v>0.75</v>
      </c>
      <c r="G30" s="9">
        <v>3263</v>
      </c>
      <c r="H30" s="35">
        <v>4.42</v>
      </c>
      <c r="I30" s="7">
        <v>412</v>
      </c>
      <c r="J30" s="35">
        <v>4.2699999999999996</v>
      </c>
      <c r="K30" s="7">
        <v>6</v>
      </c>
      <c r="L30" s="9">
        <f>HangzhouDaily!J33</f>
        <v>0</v>
      </c>
    </row>
    <row r="31" spans="1:12" ht="15" x14ac:dyDescent="0.25">
      <c r="A31" s="6" t="s">
        <v>12</v>
      </c>
      <c r="B31" s="7">
        <f t="shared" si="0"/>
        <v>30</v>
      </c>
      <c r="C31" s="8">
        <v>1</v>
      </c>
      <c r="D31" s="7">
        <v>2022</v>
      </c>
      <c r="E31" s="9">
        <v>13420</v>
      </c>
      <c r="F31" s="35">
        <v>0.75</v>
      </c>
      <c r="G31" s="9">
        <v>3537</v>
      </c>
      <c r="H31" s="35">
        <v>4.42</v>
      </c>
      <c r="I31" s="7">
        <v>421</v>
      </c>
      <c r="J31" s="35">
        <v>4.2699999999999996</v>
      </c>
      <c r="K31" s="7">
        <v>5</v>
      </c>
      <c r="L31" s="9">
        <f>HangzhouDaily!J34</f>
        <v>0</v>
      </c>
    </row>
    <row r="32" spans="1:12" ht="15" x14ac:dyDescent="0.25">
      <c r="A32" s="6" t="s">
        <v>12</v>
      </c>
      <c r="B32" s="7">
        <f t="shared" si="0"/>
        <v>31</v>
      </c>
      <c r="C32" s="8">
        <v>1</v>
      </c>
      <c r="D32" s="7">
        <v>2022</v>
      </c>
      <c r="E32" s="9">
        <v>10630</v>
      </c>
      <c r="F32" s="35">
        <v>0.75</v>
      </c>
      <c r="G32" s="9">
        <v>3269</v>
      </c>
      <c r="H32" s="35">
        <v>4.42</v>
      </c>
      <c r="I32" s="7">
        <v>429</v>
      </c>
      <c r="J32" s="35">
        <v>4.2699999999999996</v>
      </c>
      <c r="K32" s="7">
        <v>8</v>
      </c>
      <c r="L32" s="9">
        <f>HangzhouDaily!J35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8"/>
      <c r="C1" s="10"/>
      <c r="D1" s="11"/>
      <c r="E1" s="10"/>
      <c r="F1" s="10"/>
      <c r="G1" s="39"/>
      <c r="H1" s="39"/>
      <c r="I1" s="12"/>
      <c r="J1" s="12"/>
    </row>
    <row r="2" spans="1:10" ht="35.25" customHeight="1" thickBot="1" x14ac:dyDescent="0.3">
      <c r="A2" s="14" t="s">
        <v>13</v>
      </c>
      <c r="B2" s="38"/>
      <c r="C2" s="40" t="s">
        <v>14</v>
      </c>
      <c r="D2" s="41"/>
      <c r="E2" s="42" t="s">
        <v>15</v>
      </c>
      <c r="F2" s="42"/>
      <c r="G2" s="43" t="s">
        <v>16</v>
      </c>
      <c r="H2" s="44"/>
      <c r="I2" s="15"/>
      <c r="J2" s="15"/>
    </row>
    <row r="3" spans="1:10" ht="44.25" customHeight="1" x14ac:dyDescent="0.25">
      <c r="A3" s="16" t="s">
        <v>17</v>
      </c>
      <c r="B3" s="38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38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38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38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38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38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38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38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38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38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38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38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38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38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38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38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38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38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38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38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38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38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38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38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38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38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38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38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38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38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2022.1</vt:lpstr>
      <vt:lpstr>HangzhouDaily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J. El Khoury</cp:lastModifiedBy>
  <cp:revision/>
  <dcterms:created xsi:type="dcterms:W3CDTF">2009-02-11T09:03:59Z</dcterms:created>
  <dcterms:modified xsi:type="dcterms:W3CDTF">2022-02-23T08:31:27Z</dcterms:modified>
  <cp:category/>
  <cp:contentStatus/>
</cp:coreProperties>
</file>