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2" activeTab="2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40" i="3" l="1"/>
  <c r="U18" i="3" l="1"/>
  <c r="U19" i="3"/>
  <c r="U20" i="3"/>
  <c r="U21" i="3"/>
  <c r="U22" i="3"/>
  <c r="U23" i="3"/>
  <c r="U38" i="3" l="1"/>
  <c r="J31" i="2" s="1"/>
  <c r="U39" i="3"/>
  <c r="J32" i="2" s="1"/>
  <c r="P38" i="3"/>
  <c r="I31" i="2" s="1"/>
  <c r="P39" i="3"/>
  <c r="I32" i="2" s="1"/>
  <c r="N38" i="3"/>
  <c r="H31" i="2" s="1"/>
  <c r="N39" i="3"/>
  <c r="H32" i="2" s="1"/>
  <c r="H38" i="3"/>
  <c r="G31" i="2" s="1"/>
  <c r="H39" i="3"/>
  <c r="G32" i="2" s="1"/>
  <c r="F38" i="3"/>
  <c r="F31" i="2" s="1"/>
  <c r="F39" i="3"/>
  <c r="F32" i="2" s="1"/>
  <c r="D38" i="3"/>
  <c r="E31" i="2" s="1"/>
  <c r="D39" i="3"/>
  <c r="E32" i="2" s="1"/>
  <c r="K31" i="1"/>
  <c r="K32" i="1"/>
  <c r="K27" i="2"/>
  <c r="K28" i="2"/>
  <c r="K29" i="2"/>
  <c r="K30" i="2"/>
  <c r="K31" i="2"/>
  <c r="K32" i="2"/>
  <c r="B37" i="3"/>
  <c r="B38" i="3"/>
  <c r="B39" i="3" s="1"/>
  <c r="V39" i="3" l="1"/>
  <c r="I39" i="3"/>
  <c r="K39" i="3" s="1"/>
  <c r="Q39" i="3"/>
  <c r="R39" i="3"/>
  <c r="V38" i="3"/>
  <c r="R38" i="3"/>
  <c r="Q38" i="3"/>
  <c r="I38" i="3"/>
  <c r="K38" i="3" s="1"/>
  <c r="X39" i="3" l="1"/>
  <c r="Z39" i="3" s="1"/>
  <c r="X38" i="3"/>
  <c r="Z38" i="3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U37" i="3"/>
  <c r="P36" i="3"/>
  <c r="I29" i="2" s="1"/>
  <c r="P37" i="3"/>
  <c r="I30" i="2" s="1"/>
  <c r="N36" i="3"/>
  <c r="H29" i="2" s="1"/>
  <c r="N37" i="3"/>
  <c r="H30" i="2" s="1"/>
  <c r="H35" i="3"/>
  <c r="G28" i="2" s="1"/>
  <c r="H36" i="3"/>
  <c r="G29" i="2" s="1"/>
  <c r="H37" i="3"/>
  <c r="G30" i="2" s="1"/>
  <c r="F36" i="3"/>
  <c r="F29" i="2" s="1"/>
  <c r="F37" i="3"/>
  <c r="F30" i="2" s="1"/>
  <c r="D36" i="3"/>
  <c r="E29" i="2" s="1"/>
  <c r="D37" i="3"/>
  <c r="E30" i="2" s="1"/>
  <c r="H9" i="3"/>
  <c r="G2" i="2" s="1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2" i="2" s="1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E2" i="2" s="1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J2" i="2" s="1"/>
  <c r="I2" i="1" s="1"/>
  <c r="P9" i="3"/>
  <c r="I2" i="2" s="1"/>
  <c r="N9" i="3"/>
  <c r="H2" i="2" s="1"/>
  <c r="U6" i="3"/>
  <c r="V6" i="3" s="1"/>
  <c r="P6" i="3"/>
  <c r="N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V33" i="3" l="1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J30" i="2"/>
  <c r="I30" i="1" s="1"/>
  <c r="R32" i="3"/>
  <c r="E7" i="1"/>
  <c r="J6" i="2"/>
  <c r="I6" i="1" s="1"/>
  <c r="I10" i="3"/>
  <c r="K10" i="3" s="1"/>
  <c r="E9" i="1"/>
  <c r="E5" i="1"/>
  <c r="I32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I37" i="3"/>
  <c r="K37" i="3" s="1"/>
  <c r="J11" i="2"/>
  <c r="I11" i="1" s="1"/>
  <c r="J7" i="2"/>
  <c r="I7" i="1" s="1"/>
  <c r="J3" i="2"/>
  <c r="I3" i="1" s="1"/>
  <c r="G2" i="1"/>
  <c r="K6" i="3"/>
  <c r="E2" i="1"/>
  <c r="V37" i="3"/>
  <c r="I31" i="1"/>
  <c r="J23" i="2"/>
  <c r="I23" i="1" s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Q37" i="3"/>
  <c r="G32" i="1"/>
  <c r="Q30" i="3"/>
  <c r="R34" i="3"/>
  <c r="R37" i="3"/>
  <c r="G27" i="1"/>
  <c r="E23" i="1"/>
  <c r="E32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O40" i="3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M40" i="3"/>
  <c r="R10" i="3"/>
  <c r="R16" i="3"/>
  <c r="I9" i="3"/>
  <c r="K9" i="3" s="1"/>
  <c r="V9" i="3"/>
  <c r="T40" i="3"/>
  <c r="C40" i="3"/>
  <c r="R11" i="3"/>
  <c r="R13" i="3"/>
  <c r="X13" i="3" s="1"/>
  <c r="Z13" i="3" s="1"/>
  <c r="R15" i="3"/>
  <c r="I17" i="3"/>
  <c r="K17" i="3" s="1"/>
  <c r="R17" i="3"/>
  <c r="I23" i="3"/>
  <c r="K23" i="3" s="1"/>
  <c r="E40" i="3"/>
  <c r="Q6" i="3"/>
  <c r="R6" i="3" s="1"/>
  <c r="G40" i="3"/>
  <c r="I19" i="3"/>
  <c r="K19" i="3" s="1"/>
  <c r="R19" i="3"/>
  <c r="I21" i="3"/>
  <c r="K21" i="3" s="1"/>
  <c r="R21" i="3"/>
  <c r="R9" i="3"/>
  <c r="X6" i="3" l="1"/>
  <c r="Z6" i="3" s="1"/>
  <c r="X32" i="3"/>
  <c r="Z32" i="3" s="1"/>
  <c r="X10" i="3"/>
  <c r="Z10" i="3" s="1"/>
  <c r="V40" i="3"/>
  <c r="X24" i="3"/>
  <c r="Z24" i="3" s="1"/>
  <c r="E26" i="1"/>
  <c r="X31" i="3"/>
  <c r="Z31" i="3" s="1"/>
  <c r="X37" i="3"/>
  <c r="Z37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R40" i="3"/>
  <c r="Q40" i="3"/>
  <c r="K40" i="3"/>
  <c r="X9" i="3"/>
  <c r="X21" i="3"/>
  <c r="Z21" i="3" s="1"/>
  <c r="I40" i="3"/>
  <c r="X40" i="3" l="1"/>
  <c r="Z9" i="3"/>
  <c r="Z40" i="3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<sst xmlns="http://schemas.openxmlformats.org/spreadsheetml/2006/main" count="310" uniqueCount="123">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</sst>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3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3" fontId="19" fillId="0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7" fillId="0" borderId="17" xfId="0" applyNumberFormat="1" applyFont="1" applyFill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0" fontId="0" fillId="0" borderId="40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O24" sqref="O24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8</v>
      </c>
      <c r="D2" s="6">
        <v>2021</v>
      </c>
      <c r="E2" s="8">
        <f>Submetring!E2+Submetring!F2+Submetring!G2</f>
        <v>13738</v>
      </c>
      <c r="F2" s="6">
        <v>0.251</v>
      </c>
      <c r="G2" s="8">
        <f>Submetring!H2+Submetring!I2</f>
        <v>885</v>
      </c>
      <c r="H2" s="6">
        <v>0.56711199999999995</v>
      </c>
      <c r="I2" s="8">
        <f>Submetring!J2</f>
        <v>428</v>
      </c>
      <c r="J2" s="6">
        <v>3.03</v>
      </c>
      <c r="K2" s="8">
        <f>Hotel!Y9</f>
        <v>111</v>
      </c>
    </row>
    <row r="3" spans="1:11" x14ac:dyDescent="0.25">
      <c r="A3" s="6" t="s">
        <v>11</v>
      </c>
      <c r="B3" s="9">
        <f>B2+1</f>
        <v>2</v>
      </c>
      <c r="C3" s="7">
        <v>8</v>
      </c>
      <c r="D3" s="6">
        <v>2021</v>
      </c>
      <c r="E3" s="8">
        <f>Submetring!E3+Submetring!F3+Submetring!G3</f>
        <v>14867</v>
      </c>
      <c r="F3" s="6">
        <v>0.251</v>
      </c>
      <c r="G3" s="8">
        <f>Submetring!H3+Submetring!I3</f>
        <v>989</v>
      </c>
      <c r="H3" s="6">
        <v>0.56711199999999995</v>
      </c>
      <c r="I3" s="8">
        <f>Submetring!J3</f>
        <v>403</v>
      </c>
      <c r="J3" s="6">
        <v>3.03</v>
      </c>
      <c r="K3" s="8">
        <f>Hotel!Y10</f>
        <v>84</v>
      </c>
    </row>
    <row r="4" spans="1:11" x14ac:dyDescent="0.25">
      <c r="A4" s="6" t="s">
        <v>11</v>
      </c>
      <c r="B4" s="9">
        <f t="shared" ref="B4:B32" si="0">B3+1</f>
        <v>3</v>
      </c>
      <c r="C4" s="7">
        <v>8</v>
      </c>
      <c r="D4" s="6">
        <v>2021</v>
      </c>
      <c r="E4" s="8">
        <f>Submetring!E4+Submetring!F4+Submetring!G4</f>
        <v>14523</v>
      </c>
      <c r="F4" s="6">
        <v>0.251</v>
      </c>
      <c r="G4" s="8">
        <f>Submetring!H4+Submetring!I4</f>
        <v>863</v>
      </c>
      <c r="H4" s="6">
        <v>0.56711199999999995</v>
      </c>
      <c r="I4" s="8">
        <f>Submetring!J4</f>
        <v>391</v>
      </c>
      <c r="J4" s="6">
        <v>3.03</v>
      </c>
      <c r="K4" s="8">
        <f>Hotel!Y11</f>
        <v>79</v>
      </c>
    </row>
    <row r="5" spans="1:11" x14ac:dyDescent="0.25">
      <c r="A5" s="6" t="s">
        <v>11</v>
      </c>
      <c r="B5" s="9">
        <f t="shared" si="0"/>
        <v>4</v>
      </c>
      <c r="C5" s="7">
        <v>8</v>
      </c>
      <c r="D5" s="6">
        <v>2021</v>
      </c>
      <c r="E5" s="8">
        <f>Submetring!E5+Submetring!F5+Submetring!G5</f>
        <v>14740</v>
      </c>
      <c r="F5" s="6">
        <v>0.251</v>
      </c>
      <c r="G5" s="8">
        <f>Submetring!H5+Submetring!I5</f>
        <v>760</v>
      </c>
      <c r="H5" s="6">
        <v>0.56711199999999995</v>
      </c>
      <c r="I5" s="8">
        <f>Submetring!J5</f>
        <v>425</v>
      </c>
      <c r="J5" s="6">
        <v>3.03</v>
      </c>
      <c r="K5" s="8">
        <f>Hotel!Y12</f>
        <v>82</v>
      </c>
    </row>
    <row r="6" spans="1:11" x14ac:dyDescent="0.25">
      <c r="A6" s="6" t="s">
        <v>11</v>
      </c>
      <c r="B6" s="9">
        <f t="shared" si="0"/>
        <v>5</v>
      </c>
      <c r="C6" s="7">
        <v>8</v>
      </c>
      <c r="D6" s="6">
        <v>2021</v>
      </c>
      <c r="E6" s="8">
        <f>Submetring!E6+Submetring!F6+Submetring!G6</f>
        <v>15884</v>
      </c>
      <c r="F6" s="6">
        <v>0.251</v>
      </c>
      <c r="G6" s="8">
        <f>Submetring!H6+Submetring!I6</f>
        <v>1094</v>
      </c>
      <c r="H6" s="6">
        <v>0.56711199999999995</v>
      </c>
      <c r="I6" s="8">
        <f>Submetring!J6</f>
        <v>552</v>
      </c>
      <c r="J6" s="6">
        <v>3.03</v>
      </c>
      <c r="K6" s="8">
        <f>Hotel!Y13</f>
        <v>81</v>
      </c>
    </row>
    <row r="7" spans="1:11" x14ac:dyDescent="0.25">
      <c r="A7" s="6" t="s">
        <v>11</v>
      </c>
      <c r="B7" s="9">
        <f t="shared" si="0"/>
        <v>6</v>
      </c>
      <c r="C7" s="7">
        <v>8</v>
      </c>
      <c r="D7" s="6">
        <v>2021</v>
      </c>
      <c r="E7" s="8">
        <f>Submetring!E7+Submetring!F7+Submetring!G7</f>
        <v>14449</v>
      </c>
      <c r="F7" s="6">
        <v>0.251</v>
      </c>
      <c r="G7" s="8">
        <f>Submetring!H7+Submetring!I7</f>
        <v>1080</v>
      </c>
      <c r="H7" s="6">
        <v>0.56711199999999995</v>
      </c>
      <c r="I7" s="8">
        <f>Submetring!J7</f>
        <v>437</v>
      </c>
      <c r="J7" s="6">
        <v>3.03</v>
      </c>
      <c r="K7" s="8">
        <f>Hotel!Y14</f>
        <v>89</v>
      </c>
    </row>
    <row r="8" spans="1:11" x14ac:dyDescent="0.25">
      <c r="A8" s="6" t="s">
        <v>11</v>
      </c>
      <c r="B8" s="9">
        <f t="shared" si="0"/>
        <v>7</v>
      </c>
      <c r="C8" s="7">
        <v>8</v>
      </c>
      <c r="D8" s="6">
        <v>2021</v>
      </c>
      <c r="E8" s="8">
        <f>Submetring!E8+Submetring!F8+Submetring!G8</f>
        <v>14627</v>
      </c>
      <c r="F8" s="6">
        <v>0.251</v>
      </c>
      <c r="G8" s="8">
        <f>Submetring!H8+Submetring!I8</f>
        <v>1044</v>
      </c>
      <c r="H8" s="6">
        <v>0.56711199999999995</v>
      </c>
      <c r="I8" s="8">
        <f>Submetring!J8</f>
        <v>534</v>
      </c>
      <c r="J8" s="6">
        <v>3.03</v>
      </c>
      <c r="K8" s="8">
        <f>Hotel!Y15</f>
        <v>87</v>
      </c>
    </row>
    <row r="9" spans="1:11" x14ac:dyDescent="0.25">
      <c r="A9" s="6" t="s">
        <v>11</v>
      </c>
      <c r="B9" s="9">
        <f t="shared" si="0"/>
        <v>8</v>
      </c>
      <c r="C9" s="7">
        <v>8</v>
      </c>
      <c r="D9" s="6">
        <v>2021</v>
      </c>
      <c r="E9" s="8">
        <f>Submetring!E9+Submetring!F9+Submetring!G9</f>
        <v>15208</v>
      </c>
      <c r="F9" s="6">
        <v>0.251</v>
      </c>
      <c r="G9" s="8">
        <f>Submetring!H9+Submetring!I9</f>
        <v>1066</v>
      </c>
      <c r="H9" s="6">
        <v>0.56711199999999995</v>
      </c>
      <c r="I9" s="8">
        <f>Submetring!J9</f>
        <v>480</v>
      </c>
      <c r="J9" s="6">
        <v>3.03</v>
      </c>
      <c r="K9" s="8">
        <f>Hotel!Y16</f>
        <v>124</v>
      </c>
    </row>
    <row r="10" spans="1:11" x14ac:dyDescent="0.25">
      <c r="A10" s="6" t="s">
        <v>11</v>
      </c>
      <c r="B10" s="9">
        <f t="shared" si="0"/>
        <v>9</v>
      </c>
      <c r="C10" s="7">
        <v>8</v>
      </c>
      <c r="D10" s="6">
        <v>2021</v>
      </c>
      <c r="E10" s="8">
        <f>Submetring!E10+Submetring!F10+Submetring!G10</f>
        <v>16554</v>
      </c>
      <c r="F10" s="6">
        <v>0.251</v>
      </c>
      <c r="G10" s="8">
        <f>Submetring!H10+Submetring!I10</f>
        <v>1026</v>
      </c>
      <c r="H10" s="6">
        <v>0.56711199999999995</v>
      </c>
      <c r="I10" s="8">
        <f>Submetring!J10</f>
        <v>445</v>
      </c>
      <c r="J10" s="6">
        <v>3.03</v>
      </c>
      <c r="K10" s="8">
        <f>Hotel!Y17</f>
        <v>94</v>
      </c>
    </row>
    <row r="11" spans="1:11" x14ac:dyDescent="0.25">
      <c r="A11" s="6" t="s">
        <v>11</v>
      </c>
      <c r="B11" s="9">
        <f t="shared" si="0"/>
        <v>10</v>
      </c>
      <c r="C11" s="7">
        <v>8</v>
      </c>
      <c r="D11" s="6">
        <v>2021</v>
      </c>
      <c r="E11" s="8">
        <f>Submetring!E11+Submetring!F11+Submetring!G11</f>
        <v>16466</v>
      </c>
      <c r="F11" s="6">
        <v>0.251</v>
      </c>
      <c r="G11" s="8">
        <f>Submetring!H11+Submetring!I11</f>
        <v>900</v>
      </c>
      <c r="H11" s="6">
        <v>0.56711199999999995</v>
      </c>
      <c r="I11" s="8">
        <f>Submetring!J11</f>
        <v>230</v>
      </c>
      <c r="J11" s="6">
        <v>3.03</v>
      </c>
      <c r="K11" s="8">
        <f>Hotel!Y18</f>
        <v>100</v>
      </c>
    </row>
    <row r="12" spans="1:11" x14ac:dyDescent="0.25">
      <c r="A12" s="6" t="s">
        <v>11</v>
      </c>
      <c r="B12" s="9">
        <f t="shared" si="0"/>
        <v>11</v>
      </c>
      <c r="C12" s="7">
        <v>8</v>
      </c>
      <c r="D12" s="6">
        <v>2021</v>
      </c>
      <c r="E12" s="8">
        <f>Submetring!E12+Submetring!F12+Submetring!G12</f>
        <v>17613</v>
      </c>
      <c r="F12" s="6">
        <v>0.251</v>
      </c>
      <c r="G12" s="8">
        <f>Submetring!H12+Submetring!I12</f>
        <v>1008</v>
      </c>
      <c r="H12" s="6">
        <v>0.56711199999999995</v>
      </c>
      <c r="I12" s="8">
        <f>Submetring!J12</f>
        <v>203</v>
      </c>
      <c r="J12" s="6">
        <v>3.03</v>
      </c>
      <c r="K12" s="8">
        <f>Hotel!Y19</f>
        <v>100</v>
      </c>
    </row>
    <row r="13" spans="1:11" x14ac:dyDescent="0.25">
      <c r="A13" s="6" t="s">
        <v>11</v>
      </c>
      <c r="B13" s="9">
        <f t="shared" si="0"/>
        <v>12</v>
      </c>
      <c r="C13" s="7">
        <v>8</v>
      </c>
      <c r="D13" s="6">
        <v>2021</v>
      </c>
      <c r="E13" s="8">
        <f>Submetring!E13+Submetring!F13+Submetring!G13</f>
        <v>15996</v>
      </c>
      <c r="F13" s="6">
        <v>0.251</v>
      </c>
      <c r="G13" s="8">
        <f>Submetring!H13+Submetring!I13</f>
        <v>990</v>
      </c>
      <c r="H13" s="6">
        <v>0.56711199999999995</v>
      </c>
      <c r="I13" s="8">
        <f>Submetring!J13</f>
        <v>436</v>
      </c>
      <c r="J13" s="6">
        <v>3.03</v>
      </c>
      <c r="K13" s="8">
        <f>Hotel!Y20</f>
        <v>99</v>
      </c>
    </row>
    <row r="14" spans="1:11" x14ac:dyDescent="0.25">
      <c r="A14" s="6" t="s">
        <v>11</v>
      </c>
      <c r="B14" s="9">
        <f t="shared" si="0"/>
        <v>13</v>
      </c>
      <c r="C14" s="7">
        <v>8</v>
      </c>
      <c r="D14" s="6">
        <v>2021</v>
      </c>
      <c r="E14" s="8">
        <f>Submetring!E14+Submetring!F14+Submetring!G14</f>
        <v>18451</v>
      </c>
      <c r="F14" s="6">
        <v>0.251</v>
      </c>
      <c r="G14" s="8">
        <f>Submetring!H14+Submetring!I14</f>
        <v>940</v>
      </c>
      <c r="H14" s="6">
        <v>0.56711199999999995</v>
      </c>
      <c r="I14" s="8">
        <f>Submetring!J14</f>
        <v>410</v>
      </c>
      <c r="J14" s="6">
        <v>3.03</v>
      </c>
      <c r="K14" s="8">
        <f>Hotel!Y21</f>
        <v>109</v>
      </c>
    </row>
    <row r="15" spans="1:11" x14ac:dyDescent="0.25">
      <c r="A15" s="6" t="s">
        <v>11</v>
      </c>
      <c r="B15" s="9">
        <f t="shared" si="0"/>
        <v>14</v>
      </c>
      <c r="C15" s="7">
        <v>8</v>
      </c>
      <c r="D15" s="6">
        <v>2021</v>
      </c>
      <c r="E15" s="8">
        <f>Submetring!E15+Submetring!F15+Submetring!G15</f>
        <v>16537</v>
      </c>
      <c r="F15" s="6">
        <v>0.251</v>
      </c>
      <c r="G15" s="8">
        <f>Submetring!H15+Submetring!I15</f>
        <v>1153</v>
      </c>
      <c r="H15" s="6">
        <v>0.56711199999999995</v>
      </c>
      <c r="I15" s="8">
        <f>Submetring!J15</f>
        <v>453</v>
      </c>
      <c r="J15" s="6">
        <v>3.03</v>
      </c>
      <c r="K15" s="8">
        <f>Hotel!Y22</f>
        <v>116</v>
      </c>
    </row>
    <row r="16" spans="1:11" x14ac:dyDescent="0.25">
      <c r="A16" s="6" t="s">
        <v>11</v>
      </c>
      <c r="B16" s="9">
        <f t="shared" si="0"/>
        <v>15</v>
      </c>
      <c r="C16" s="7">
        <v>8</v>
      </c>
      <c r="D16" s="6">
        <v>2021</v>
      </c>
      <c r="E16" s="8">
        <f>Submetring!E16+Submetring!F16+Submetring!G16</f>
        <v>16623</v>
      </c>
      <c r="F16" s="6">
        <v>0.251</v>
      </c>
      <c r="G16" s="8">
        <f>Submetring!H16+Submetring!I16</f>
        <v>1021</v>
      </c>
      <c r="H16" s="6">
        <v>0.56711199999999995</v>
      </c>
      <c r="I16" s="8">
        <f>Submetring!J16</f>
        <v>476</v>
      </c>
      <c r="J16" s="6">
        <v>3.03</v>
      </c>
      <c r="K16" s="8">
        <f>Hotel!Y23</f>
        <v>131</v>
      </c>
    </row>
    <row r="17" spans="1:11" x14ac:dyDescent="0.25">
      <c r="A17" s="6" t="s">
        <v>11</v>
      </c>
      <c r="B17" s="9">
        <f t="shared" si="0"/>
        <v>16</v>
      </c>
      <c r="C17" s="7">
        <v>8</v>
      </c>
      <c r="D17" s="6">
        <v>2021</v>
      </c>
      <c r="E17" s="8">
        <f>Submetring!E17+Submetring!F17+Submetring!G17</f>
        <v>16453</v>
      </c>
      <c r="F17" s="6">
        <v>0.251</v>
      </c>
      <c r="G17" s="8">
        <f>Submetring!H17+Submetring!I17</f>
        <v>1083</v>
      </c>
      <c r="H17" s="6">
        <v>0.56711199999999995</v>
      </c>
      <c r="I17" s="8">
        <f>Submetring!J17</f>
        <v>466</v>
      </c>
      <c r="J17" s="6">
        <v>3.03</v>
      </c>
      <c r="K17" s="8">
        <f>Hotel!Y24</f>
        <v>104</v>
      </c>
    </row>
    <row r="18" spans="1:11" x14ac:dyDescent="0.25">
      <c r="A18" s="6" t="s">
        <v>11</v>
      </c>
      <c r="B18" s="9">
        <f t="shared" si="0"/>
        <v>17</v>
      </c>
      <c r="C18" s="7">
        <v>8</v>
      </c>
      <c r="D18" s="6">
        <v>2021</v>
      </c>
      <c r="E18" s="8">
        <f>Submetring!E18+Submetring!F18+Submetring!G18</f>
        <v>16561</v>
      </c>
      <c r="F18" s="6">
        <v>0.251</v>
      </c>
      <c r="G18" s="8">
        <f>Submetring!H18+Submetring!I18</f>
        <v>993</v>
      </c>
      <c r="H18" s="6">
        <v>0.56711199999999995</v>
      </c>
      <c r="I18" s="8">
        <f>Submetring!J18</f>
        <v>168</v>
      </c>
      <c r="J18" s="6">
        <v>3.03</v>
      </c>
      <c r="K18" s="8">
        <f>Hotel!Y25</f>
        <v>114</v>
      </c>
    </row>
    <row r="19" spans="1:11" x14ac:dyDescent="0.25">
      <c r="A19" s="6" t="s">
        <v>11</v>
      </c>
      <c r="B19" s="9">
        <f t="shared" si="0"/>
        <v>18</v>
      </c>
      <c r="C19" s="7">
        <v>8</v>
      </c>
      <c r="D19" s="6">
        <v>2021</v>
      </c>
      <c r="E19" s="8">
        <f>Submetring!E19+Submetring!F19+Submetring!G19</f>
        <v>16644</v>
      </c>
      <c r="F19" s="6">
        <v>0.251</v>
      </c>
      <c r="G19" s="8">
        <f>Submetring!H19+Submetring!I19</f>
        <v>1077</v>
      </c>
      <c r="H19" s="6">
        <v>0.56711199999999995</v>
      </c>
      <c r="I19" s="8">
        <f>Submetring!J19</f>
        <v>409</v>
      </c>
      <c r="J19" s="6">
        <v>3.03</v>
      </c>
      <c r="K19" s="8">
        <f>Hotel!Y26</f>
        <v>122</v>
      </c>
    </row>
    <row r="20" spans="1:11" x14ac:dyDescent="0.25">
      <c r="A20" s="6" t="s">
        <v>11</v>
      </c>
      <c r="B20" s="9">
        <f t="shared" si="0"/>
        <v>19</v>
      </c>
      <c r="C20" s="7">
        <v>8</v>
      </c>
      <c r="D20" s="6">
        <v>2021</v>
      </c>
      <c r="E20" s="8">
        <f>Submetring!E20+Submetring!F20+Submetring!G20</f>
        <v>14666</v>
      </c>
      <c r="F20" s="6">
        <v>0.251</v>
      </c>
      <c r="G20" s="8">
        <f>Submetring!H20+Submetring!I20</f>
        <v>1028</v>
      </c>
      <c r="H20" s="6">
        <v>0.56711199999999995</v>
      </c>
      <c r="I20" s="8">
        <f>Submetring!J20</f>
        <v>449</v>
      </c>
      <c r="J20" s="6">
        <v>3.03</v>
      </c>
      <c r="K20" s="8">
        <f>Hotel!Y27</f>
        <v>107</v>
      </c>
    </row>
    <row r="21" spans="1:11" x14ac:dyDescent="0.25">
      <c r="A21" s="6" t="s">
        <v>11</v>
      </c>
      <c r="B21" s="9">
        <f t="shared" si="0"/>
        <v>20</v>
      </c>
      <c r="C21" s="7">
        <v>8</v>
      </c>
      <c r="D21" s="6">
        <v>2021</v>
      </c>
      <c r="E21" s="8">
        <f>Submetring!E21+Submetring!F21+Submetring!G21</f>
        <v>14584</v>
      </c>
      <c r="F21" s="6">
        <v>0.251</v>
      </c>
      <c r="G21" s="8">
        <f>Submetring!H21+Submetring!I21</f>
        <v>1066</v>
      </c>
      <c r="H21" s="6">
        <v>0.56711199999999995</v>
      </c>
      <c r="I21" s="8">
        <f>Submetring!J21</f>
        <v>438</v>
      </c>
      <c r="J21" s="6">
        <v>3.03</v>
      </c>
      <c r="K21" s="8">
        <f>Hotel!Y28</f>
        <v>118</v>
      </c>
    </row>
    <row r="22" spans="1:11" x14ac:dyDescent="0.25">
      <c r="A22" s="6" t="s">
        <v>11</v>
      </c>
      <c r="B22" s="9">
        <f t="shared" si="0"/>
        <v>21</v>
      </c>
      <c r="C22" s="7">
        <v>8</v>
      </c>
      <c r="D22" s="6">
        <v>2021</v>
      </c>
      <c r="E22" s="8">
        <f>Submetring!E22+Submetring!F22+Submetring!G22</f>
        <v>15725</v>
      </c>
      <c r="F22" s="6">
        <v>0.251</v>
      </c>
      <c r="G22" s="8">
        <f>Submetring!H22+Submetring!I22</f>
        <v>1089</v>
      </c>
      <c r="H22" s="6">
        <v>0.56711199999999995</v>
      </c>
      <c r="I22" s="8">
        <f>Submetring!J22</f>
        <v>203</v>
      </c>
      <c r="J22" s="6">
        <v>3.03</v>
      </c>
      <c r="K22" s="8">
        <f>Hotel!Y29</f>
        <v>112</v>
      </c>
    </row>
    <row r="23" spans="1:11" x14ac:dyDescent="0.25">
      <c r="A23" s="6" t="s">
        <v>11</v>
      </c>
      <c r="B23" s="9">
        <f t="shared" si="0"/>
        <v>22</v>
      </c>
      <c r="C23" s="7">
        <v>8</v>
      </c>
      <c r="D23" s="6">
        <v>2021</v>
      </c>
      <c r="E23" s="8">
        <f>Submetring!E23+Submetring!F23+Submetring!G23</f>
        <v>14792</v>
      </c>
      <c r="F23" s="6">
        <v>0.251</v>
      </c>
      <c r="G23" s="8">
        <f>Submetring!H23+Submetring!I23</f>
        <v>1098</v>
      </c>
      <c r="H23" s="6">
        <v>0.56711199999999995</v>
      </c>
      <c r="I23" s="8">
        <f>Submetring!J23</f>
        <v>240</v>
      </c>
      <c r="J23" s="6">
        <v>3.03</v>
      </c>
      <c r="K23" s="8">
        <f>Hotel!Y30</f>
        <v>130</v>
      </c>
    </row>
    <row r="24" spans="1:11" x14ac:dyDescent="0.25">
      <c r="A24" s="6" t="s">
        <v>11</v>
      </c>
      <c r="B24" s="9">
        <f t="shared" si="0"/>
        <v>23</v>
      </c>
      <c r="C24" s="7">
        <v>8</v>
      </c>
      <c r="D24" s="6">
        <v>2021</v>
      </c>
      <c r="E24" s="8">
        <f>Submetring!E24+Submetring!F24+Submetring!G24</f>
        <v>13890</v>
      </c>
      <c r="F24" s="6">
        <v>0.251</v>
      </c>
      <c r="G24" s="8">
        <f>Submetring!H24+Submetring!I24</f>
        <v>1012</v>
      </c>
      <c r="H24" s="6">
        <v>0.56711199999999995</v>
      </c>
      <c r="I24" s="8">
        <f>Submetring!J24</f>
        <v>516</v>
      </c>
      <c r="J24" s="6">
        <v>3.03</v>
      </c>
      <c r="K24" s="8">
        <f>Hotel!Y31</f>
        <v>122</v>
      </c>
    </row>
    <row r="25" spans="1:11" x14ac:dyDescent="0.25">
      <c r="A25" s="6" t="s">
        <v>11</v>
      </c>
      <c r="B25" s="9">
        <f t="shared" si="0"/>
        <v>24</v>
      </c>
      <c r="C25" s="7">
        <v>8</v>
      </c>
      <c r="D25" s="6">
        <v>2021</v>
      </c>
      <c r="E25" s="8">
        <f>Submetring!E25+Submetring!F25+Submetring!G25</f>
        <v>14766</v>
      </c>
      <c r="F25" s="6">
        <v>0.251</v>
      </c>
      <c r="G25" s="8">
        <f>Submetring!H25+Submetring!I25</f>
        <v>1041</v>
      </c>
      <c r="H25" s="6">
        <v>0.56711199999999995</v>
      </c>
      <c r="I25" s="8">
        <f>Submetring!J25</f>
        <v>415</v>
      </c>
      <c r="J25" s="6">
        <v>3.03</v>
      </c>
      <c r="K25" s="8">
        <f>Hotel!Y32</f>
        <v>129</v>
      </c>
    </row>
    <row r="26" spans="1:11" x14ac:dyDescent="0.25">
      <c r="A26" s="6" t="s">
        <v>11</v>
      </c>
      <c r="B26" s="9">
        <f>B25+1</f>
        <v>25</v>
      </c>
      <c r="C26" s="7">
        <v>8</v>
      </c>
      <c r="D26" s="6">
        <v>2021</v>
      </c>
      <c r="E26" s="8">
        <f>Submetring!E26+Submetring!F26+Submetring!G26</f>
        <v>15304</v>
      </c>
      <c r="F26" s="6">
        <v>0.251</v>
      </c>
      <c r="G26" s="8">
        <f>Submetring!H26+Submetring!I26</f>
        <v>1067</v>
      </c>
      <c r="H26" s="6">
        <v>0.56711199999999995</v>
      </c>
      <c r="I26" s="8">
        <f>Submetring!J26</f>
        <v>544</v>
      </c>
      <c r="J26" s="6">
        <v>3.03</v>
      </c>
      <c r="K26" s="8">
        <f>Hotel!Y33</f>
        <v>98</v>
      </c>
    </row>
    <row r="27" spans="1:11" x14ac:dyDescent="0.25">
      <c r="A27" s="6" t="s">
        <v>11</v>
      </c>
      <c r="B27" s="9">
        <f t="shared" si="0"/>
        <v>26</v>
      </c>
      <c r="C27" s="7">
        <v>8</v>
      </c>
      <c r="D27" s="6">
        <v>2021</v>
      </c>
      <c r="E27" s="8">
        <f>Submetring!E27+Submetring!F27+Submetring!G27</f>
        <v>14064</v>
      </c>
      <c r="F27" s="6">
        <v>0.251</v>
      </c>
      <c r="G27" s="8">
        <f>Submetring!H27+Submetring!I27</f>
        <v>1111</v>
      </c>
      <c r="H27" s="6">
        <v>0.56711199999999995</v>
      </c>
      <c r="I27" s="8">
        <f>Submetring!J27</f>
        <v>394</v>
      </c>
      <c r="J27" s="6">
        <v>3.03</v>
      </c>
      <c r="K27" s="8">
        <f>Hotel!Y34</f>
        <v>93</v>
      </c>
    </row>
    <row r="28" spans="1:11" x14ac:dyDescent="0.25">
      <c r="A28" s="6" t="s">
        <v>11</v>
      </c>
      <c r="B28" s="9">
        <f t="shared" si="0"/>
        <v>27</v>
      </c>
      <c r="C28" s="7">
        <v>8</v>
      </c>
      <c r="D28" s="6">
        <v>2021</v>
      </c>
      <c r="E28" s="8">
        <f>Submetring!E28+Submetring!F28+Submetring!G28</f>
        <v>14511</v>
      </c>
      <c r="F28" s="6">
        <v>0.251</v>
      </c>
      <c r="G28" s="8">
        <f>Submetring!H28+Submetring!I28</f>
        <v>1002</v>
      </c>
      <c r="H28" s="6">
        <v>0.56711199999999995</v>
      </c>
      <c r="I28" s="8">
        <f>Submetring!J28</f>
        <v>414</v>
      </c>
      <c r="J28" s="6">
        <v>3.03</v>
      </c>
      <c r="K28" s="8">
        <f>Hotel!Y35</f>
        <v>98</v>
      </c>
    </row>
    <row r="29" spans="1:11" x14ac:dyDescent="0.25">
      <c r="A29" s="6" t="s">
        <v>11</v>
      </c>
      <c r="B29" s="9">
        <f t="shared" si="0"/>
        <v>28</v>
      </c>
      <c r="C29" s="7">
        <v>8</v>
      </c>
      <c r="D29" s="6">
        <v>2021</v>
      </c>
      <c r="E29" s="8">
        <f>Submetring!E29+Submetring!F29+Submetring!G29</f>
        <v>0</v>
      </c>
      <c r="F29" s="6">
        <v>0.251</v>
      </c>
      <c r="G29" s="8">
        <f>Submetring!H29+Submetring!I29</f>
        <v>0</v>
      </c>
      <c r="H29" s="6">
        <v>0.56711199999999995</v>
      </c>
      <c r="I29" s="8" t="str">
        <f>Submetring!J29</f>
        <v>0</v>
      </c>
      <c r="J29" s="6">
        <v>3.03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8</v>
      </c>
      <c r="D30" s="6">
        <v>2021</v>
      </c>
      <c r="E30" s="8">
        <f>Submetring!E30+Submetring!F30+Submetring!G30</f>
        <v>0</v>
      </c>
      <c r="F30" s="6">
        <v>0.251</v>
      </c>
      <c r="G30" s="8">
        <f>Submetring!H30+Submetring!I30</f>
        <v>0</v>
      </c>
      <c r="H30" s="6">
        <v>0.56711199999999995</v>
      </c>
      <c r="I30" s="8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8</v>
      </c>
      <c r="D31" s="6">
        <v>2021</v>
      </c>
      <c r="E31" s="8">
        <f>Submetring!E31+Submetring!F31+Submetring!G31</f>
        <v>0</v>
      </c>
      <c r="F31" s="6">
        <v>0.251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8</v>
      </c>
      <c r="D32" s="6">
        <v>2021</v>
      </c>
      <c r="E32" s="8">
        <f>Submetring!E32+Submetring!F32+Submetring!G32</f>
        <v>0</v>
      </c>
      <c r="F32" s="6">
        <v>0.251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workbookViewId="0">
      <selection activeCell="Q16" sqref="Q16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8</v>
      </c>
      <c r="D2" s="10">
        <v>2021</v>
      </c>
      <c r="E2" s="11">
        <f>Hotel!D9</f>
        <v>4687</v>
      </c>
      <c r="F2" s="11">
        <f>Hotel!F9</f>
        <v>4631</v>
      </c>
      <c r="G2" s="11">
        <f>Hotel!H9</f>
        <v>4420</v>
      </c>
      <c r="H2" s="11">
        <f>Hotel!N9</f>
        <v>146</v>
      </c>
      <c r="I2" s="11">
        <f>Hotel!P9</f>
        <v>739</v>
      </c>
      <c r="J2" s="11">
        <f>Hotel!U9</f>
        <v>428</v>
      </c>
      <c r="K2" s="11">
        <f>Hotel!Y9</f>
        <v>111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8</v>
      </c>
      <c r="D3" s="10">
        <v>2021</v>
      </c>
      <c r="E3" s="11">
        <f>Hotel!D10</f>
        <v>5065</v>
      </c>
      <c r="F3" s="11">
        <f>Hotel!F10</f>
        <v>5001</v>
      </c>
      <c r="G3" s="11">
        <f>Hotel!H10</f>
        <v>4801</v>
      </c>
      <c r="H3" s="11">
        <f>Hotel!N10</f>
        <v>147</v>
      </c>
      <c r="I3" s="11">
        <f>Hotel!P10</f>
        <v>842</v>
      </c>
      <c r="J3" s="11">
        <f>Hotel!U10</f>
        <v>403</v>
      </c>
      <c r="K3" s="11">
        <f>Hotel!Y10</f>
        <v>84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8</v>
      </c>
      <c r="D4" s="10">
        <v>2021</v>
      </c>
      <c r="E4" s="11">
        <f>Hotel!D11</f>
        <v>4949</v>
      </c>
      <c r="F4" s="11">
        <f>Hotel!F11</f>
        <v>4905</v>
      </c>
      <c r="G4" s="11">
        <f>Hotel!H11</f>
        <v>4669</v>
      </c>
      <c r="H4" s="11">
        <f>Hotel!N11</f>
        <v>84</v>
      </c>
      <c r="I4" s="11">
        <f>Hotel!P11</f>
        <v>779</v>
      </c>
      <c r="J4" s="11">
        <f>Hotel!U11</f>
        <v>391</v>
      </c>
      <c r="K4" s="11">
        <f>Hotel!Y11</f>
        <v>79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8</v>
      </c>
      <c r="D5" s="10">
        <v>2021</v>
      </c>
      <c r="E5" s="11">
        <f>Hotel!D12</f>
        <v>5120</v>
      </c>
      <c r="F5" s="11">
        <f>Hotel!F12</f>
        <v>4866</v>
      </c>
      <c r="G5" s="11">
        <f>Hotel!H12</f>
        <v>4754</v>
      </c>
      <c r="H5" s="11">
        <f>Hotel!N12</f>
        <v>93</v>
      </c>
      <c r="I5" s="11">
        <f>Hotel!P12</f>
        <v>667</v>
      </c>
      <c r="J5" s="11">
        <f>Hotel!U12</f>
        <v>425</v>
      </c>
      <c r="K5" s="11">
        <f>Hotel!Y12</f>
        <v>82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8</v>
      </c>
      <c r="D6" s="10">
        <v>2021</v>
      </c>
      <c r="E6" s="11">
        <f>Hotel!D13</f>
        <v>5324</v>
      </c>
      <c r="F6" s="11">
        <f>Hotel!F13</f>
        <v>5478</v>
      </c>
      <c r="G6" s="11">
        <f>Hotel!H13</f>
        <v>5082</v>
      </c>
      <c r="H6" s="11">
        <f>Hotel!N13</f>
        <v>200</v>
      </c>
      <c r="I6" s="11">
        <f>Hotel!P13</f>
        <v>894</v>
      </c>
      <c r="J6" s="11">
        <f>Hotel!U13</f>
        <v>552</v>
      </c>
      <c r="K6" s="11">
        <f>Hotel!Y13</f>
        <v>81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8</v>
      </c>
      <c r="D7" s="10">
        <v>2021</v>
      </c>
      <c r="E7" s="11">
        <f>Hotel!D14</f>
        <v>4916</v>
      </c>
      <c r="F7" s="11">
        <f>Hotel!F14</f>
        <v>4897</v>
      </c>
      <c r="G7" s="11">
        <f>Hotel!H14</f>
        <v>4636</v>
      </c>
      <c r="H7" s="11">
        <f>Hotel!N14</f>
        <v>145</v>
      </c>
      <c r="I7" s="11">
        <f>Hotel!P14</f>
        <v>935</v>
      </c>
      <c r="J7" s="11">
        <f>Hotel!U14</f>
        <v>437</v>
      </c>
      <c r="K7" s="11">
        <f>Hotel!Y14</f>
        <v>89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8</v>
      </c>
      <c r="D8" s="10">
        <v>2021</v>
      </c>
      <c r="E8" s="11">
        <f>Hotel!D15</f>
        <v>4985</v>
      </c>
      <c r="F8" s="11">
        <f>Hotel!F15</f>
        <v>4952</v>
      </c>
      <c r="G8" s="11">
        <f>Hotel!H15</f>
        <v>4690</v>
      </c>
      <c r="H8" s="11">
        <f>Hotel!N15</f>
        <v>155</v>
      </c>
      <c r="I8" s="11">
        <f>Hotel!P15</f>
        <v>889</v>
      </c>
      <c r="J8" s="11">
        <f>Hotel!U15</f>
        <v>534</v>
      </c>
      <c r="K8" s="11">
        <f>Hotel!Y15</f>
        <v>87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8</v>
      </c>
      <c r="D9" s="10">
        <v>2021</v>
      </c>
      <c r="E9" s="11">
        <f>Hotel!D16</f>
        <v>5179</v>
      </c>
      <c r="F9" s="11">
        <f>Hotel!F16</f>
        <v>5143</v>
      </c>
      <c r="G9" s="11">
        <f>Hotel!H16</f>
        <v>4886</v>
      </c>
      <c r="H9" s="11">
        <f>Hotel!N16</f>
        <v>149</v>
      </c>
      <c r="I9" s="11">
        <f>Hotel!P16</f>
        <v>917</v>
      </c>
      <c r="J9" s="11">
        <f>Hotel!U16</f>
        <v>480</v>
      </c>
      <c r="K9" s="11">
        <f>Hotel!Y16</f>
        <v>124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8</v>
      </c>
      <c r="D10" s="10">
        <v>2021</v>
      </c>
      <c r="E10" s="11">
        <f>Hotel!D17</f>
        <v>5658</v>
      </c>
      <c r="F10" s="11">
        <f>Hotel!F17</f>
        <v>5581</v>
      </c>
      <c r="G10" s="11">
        <f>Hotel!H17</f>
        <v>5315</v>
      </c>
      <c r="H10" s="11">
        <f>Hotel!N17</f>
        <v>155</v>
      </c>
      <c r="I10" s="11">
        <f>Hotel!P17</f>
        <v>871</v>
      </c>
      <c r="J10" s="11">
        <f>Hotel!U17</f>
        <v>445</v>
      </c>
      <c r="K10" s="11">
        <f>Hotel!Y17</f>
        <v>94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8</v>
      </c>
      <c r="D11" s="10">
        <v>2021</v>
      </c>
      <c r="E11" s="11">
        <f>Hotel!D18</f>
        <v>5735</v>
      </c>
      <c r="F11" s="11">
        <f>Hotel!F18</f>
        <v>5620</v>
      </c>
      <c r="G11" s="11">
        <f>Hotel!H18</f>
        <v>5111</v>
      </c>
      <c r="H11" s="11">
        <f>Hotel!N18</f>
        <v>106</v>
      </c>
      <c r="I11" s="11">
        <f>Hotel!P18</f>
        <v>794</v>
      </c>
      <c r="J11" s="11">
        <f>Hotel!U18</f>
        <v>230</v>
      </c>
      <c r="K11" s="11">
        <f>Hotel!Y18</f>
        <v>100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8</v>
      </c>
      <c r="D12" s="10">
        <v>2021</v>
      </c>
      <c r="E12" s="11">
        <f>Hotel!D19</f>
        <v>5891</v>
      </c>
      <c r="F12" s="11">
        <f>Hotel!F19</f>
        <v>5889</v>
      </c>
      <c r="G12" s="11">
        <f>Hotel!H19</f>
        <v>5833</v>
      </c>
      <c r="H12" s="11">
        <f>Hotel!N19</f>
        <v>159</v>
      </c>
      <c r="I12" s="11">
        <f>Hotel!P19</f>
        <v>849</v>
      </c>
      <c r="J12" s="11">
        <f>Hotel!U19</f>
        <v>203</v>
      </c>
      <c r="K12" s="11">
        <f>Hotel!Y19</f>
        <v>100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8</v>
      </c>
      <c r="D13" s="10">
        <v>2021</v>
      </c>
      <c r="E13" s="11">
        <f>Hotel!D20</f>
        <v>5438</v>
      </c>
      <c r="F13" s="11">
        <f>Hotel!F20</f>
        <v>5430</v>
      </c>
      <c r="G13" s="11">
        <f>Hotel!H20</f>
        <v>5128</v>
      </c>
      <c r="H13" s="11">
        <f>Hotel!N20</f>
        <v>143</v>
      </c>
      <c r="I13" s="11">
        <f>Hotel!P20</f>
        <v>847</v>
      </c>
      <c r="J13" s="11">
        <f>Hotel!U20</f>
        <v>436</v>
      </c>
      <c r="K13" s="11">
        <f>Hotel!Y20</f>
        <v>99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8</v>
      </c>
      <c r="D14" s="10">
        <v>2021</v>
      </c>
      <c r="E14" s="11">
        <f>Hotel!D21</f>
        <v>5872</v>
      </c>
      <c r="F14" s="11">
        <f>Hotel!F21</f>
        <v>6380</v>
      </c>
      <c r="G14" s="11">
        <f>Hotel!H21</f>
        <v>6199</v>
      </c>
      <c r="H14" s="11">
        <f>Hotel!N21</f>
        <v>143</v>
      </c>
      <c r="I14" s="11">
        <f>Hotel!P21</f>
        <v>797</v>
      </c>
      <c r="J14" s="11">
        <f>Hotel!U21</f>
        <v>410</v>
      </c>
      <c r="K14" s="11">
        <f>Hotel!Y21</f>
        <v>109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8</v>
      </c>
      <c r="D15" s="10">
        <v>2021</v>
      </c>
      <c r="E15" s="11">
        <f>Hotel!D22</f>
        <v>6056</v>
      </c>
      <c r="F15" s="11">
        <f>Hotel!F22</f>
        <v>5462</v>
      </c>
      <c r="G15" s="11">
        <f>Hotel!H22</f>
        <v>5019</v>
      </c>
      <c r="H15" s="11">
        <f>Hotel!N22</f>
        <v>165</v>
      </c>
      <c r="I15" s="11">
        <f>Hotel!P22</f>
        <v>988</v>
      </c>
      <c r="J15" s="11">
        <f>Hotel!U22</f>
        <v>453</v>
      </c>
      <c r="K15" s="11">
        <f>Hotel!Y22</f>
        <v>116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8</v>
      </c>
      <c r="D16" s="10">
        <v>2021</v>
      </c>
      <c r="E16" s="11">
        <f>Hotel!D23</f>
        <v>5662</v>
      </c>
      <c r="F16" s="11">
        <f>Hotel!F23</f>
        <v>5642</v>
      </c>
      <c r="G16" s="11">
        <f>Hotel!H23</f>
        <v>5319</v>
      </c>
      <c r="H16" s="11">
        <f>Hotel!N23</f>
        <v>158</v>
      </c>
      <c r="I16" s="11">
        <f>Hotel!P23</f>
        <v>863</v>
      </c>
      <c r="J16" s="11">
        <f>Hotel!U23</f>
        <v>476</v>
      </c>
      <c r="K16" s="11">
        <f>Hotel!Y23</f>
        <v>131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8</v>
      </c>
      <c r="D17" s="10">
        <v>2021</v>
      </c>
      <c r="E17" s="11">
        <f>Hotel!D24</f>
        <v>5589</v>
      </c>
      <c r="F17" s="11">
        <f>Hotel!F24</f>
        <v>5599</v>
      </c>
      <c r="G17" s="11">
        <f>Hotel!H24</f>
        <v>5265</v>
      </c>
      <c r="H17" s="11">
        <f>Hotel!N24</f>
        <v>153</v>
      </c>
      <c r="I17" s="11">
        <f>Hotel!P24</f>
        <v>930</v>
      </c>
      <c r="J17" s="11">
        <f>Hotel!U24</f>
        <v>466</v>
      </c>
      <c r="K17" s="11">
        <f>Hotel!Y24</f>
        <v>104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8</v>
      </c>
      <c r="D18" s="10">
        <v>2021</v>
      </c>
      <c r="E18" s="11">
        <f>Hotel!D25</f>
        <v>5682</v>
      </c>
      <c r="F18" s="11">
        <f>Hotel!F25</f>
        <v>5569</v>
      </c>
      <c r="G18" s="11">
        <f>Hotel!H25</f>
        <v>5310</v>
      </c>
      <c r="H18" s="11">
        <f>Hotel!N25</f>
        <v>90</v>
      </c>
      <c r="I18" s="11">
        <f>Hotel!P25</f>
        <v>903</v>
      </c>
      <c r="J18" s="11">
        <f>Hotel!U25</f>
        <v>168</v>
      </c>
      <c r="K18" s="11">
        <f>Hotel!Y25</f>
        <v>114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8</v>
      </c>
      <c r="D19" s="10">
        <v>2021</v>
      </c>
      <c r="E19" s="11">
        <f>Hotel!D26</f>
        <v>5681</v>
      </c>
      <c r="F19" s="11">
        <f>Hotel!F26</f>
        <v>5645</v>
      </c>
      <c r="G19" s="11">
        <f>Hotel!H26</f>
        <v>5318</v>
      </c>
      <c r="H19" s="11">
        <f>Hotel!N26</f>
        <v>149</v>
      </c>
      <c r="I19" s="11">
        <f>Hotel!P26</f>
        <v>928</v>
      </c>
      <c r="J19" s="11">
        <f>Hotel!U26</f>
        <v>409</v>
      </c>
      <c r="K19" s="11">
        <f>Hotel!Y26</f>
        <v>122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8</v>
      </c>
      <c r="D20" s="10">
        <v>2021</v>
      </c>
      <c r="E20" s="11">
        <f>Hotel!D27</f>
        <v>4998</v>
      </c>
      <c r="F20" s="11">
        <f>Hotel!F27</f>
        <v>5002</v>
      </c>
      <c r="G20" s="11">
        <f>Hotel!H27</f>
        <v>4666</v>
      </c>
      <c r="H20" s="11">
        <f>Hotel!N27</f>
        <v>138</v>
      </c>
      <c r="I20" s="11">
        <f>Hotel!P27</f>
        <v>890</v>
      </c>
      <c r="J20" s="11">
        <f>Hotel!U27</f>
        <v>449</v>
      </c>
      <c r="K20" s="11">
        <f>Hotel!Y27</f>
        <v>107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8</v>
      </c>
      <c r="D21" s="10">
        <v>2021</v>
      </c>
      <c r="E21" s="11">
        <f>Hotel!D28</f>
        <v>4950</v>
      </c>
      <c r="F21" s="11">
        <f>Hotel!F28</f>
        <v>4989</v>
      </c>
      <c r="G21" s="11">
        <f>Hotel!H28</f>
        <v>4645</v>
      </c>
      <c r="H21" s="11">
        <f>Hotel!N28</f>
        <v>140</v>
      </c>
      <c r="I21" s="11">
        <f>Hotel!P28</f>
        <v>926</v>
      </c>
      <c r="J21" s="11">
        <f>Hotel!U28</f>
        <v>438</v>
      </c>
      <c r="K21" s="11">
        <f>Hotel!Y28</f>
        <v>118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8</v>
      </c>
      <c r="D22" s="10">
        <v>2021</v>
      </c>
      <c r="E22" s="11">
        <f>Hotel!D29</f>
        <v>5365</v>
      </c>
      <c r="F22" s="11">
        <f>Hotel!F29</f>
        <v>5353</v>
      </c>
      <c r="G22" s="11">
        <f>Hotel!H29</f>
        <v>5007</v>
      </c>
      <c r="H22" s="11">
        <f>Hotel!N29</f>
        <v>143</v>
      </c>
      <c r="I22" s="11">
        <f>Hotel!P29</f>
        <v>946</v>
      </c>
      <c r="J22" s="11">
        <f>Hotel!U29</f>
        <v>203</v>
      </c>
      <c r="K22" s="11">
        <f>Hotel!Y29</f>
        <v>112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8</v>
      </c>
      <c r="D23" s="10">
        <v>2021</v>
      </c>
      <c r="E23" s="11">
        <f>Hotel!D30</f>
        <v>5042</v>
      </c>
      <c r="F23" s="11">
        <f>Hotel!F30</f>
        <v>5043</v>
      </c>
      <c r="G23" s="11">
        <f>Hotel!H30</f>
        <v>4707</v>
      </c>
      <c r="H23" s="11">
        <f>Hotel!N30</f>
        <v>149</v>
      </c>
      <c r="I23" s="11">
        <f>Hotel!P30</f>
        <v>949</v>
      </c>
      <c r="J23" s="11">
        <f>Hotel!U30</f>
        <v>240</v>
      </c>
      <c r="K23" s="11">
        <f>Hotel!Y30</f>
        <v>130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8</v>
      </c>
      <c r="D24" s="10">
        <v>2021</v>
      </c>
      <c r="E24" s="11">
        <f>Hotel!D31</f>
        <v>4728</v>
      </c>
      <c r="F24" s="11">
        <f>Hotel!F31</f>
        <v>4733</v>
      </c>
      <c r="G24" s="11">
        <f>Hotel!H31</f>
        <v>4429</v>
      </c>
      <c r="H24" s="11">
        <f>Hotel!N31</f>
        <v>136</v>
      </c>
      <c r="I24" s="11">
        <f>Hotel!P31</f>
        <v>876</v>
      </c>
      <c r="J24" s="11">
        <f>Hotel!U31</f>
        <v>516</v>
      </c>
      <c r="K24" s="11">
        <f>Hotel!Y31</f>
        <v>122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8</v>
      </c>
      <c r="D25" s="10">
        <v>2021</v>
      </c>
      <c r="E25" s="11">
        <f>Hotel!D32</f>
        <v>5023</v>
      </c>
      <c r="F25" s="11">
        <f>Hotel!F32</f>
        <v>5036</v>
      </c>
      <c r="G25" s="11">
        <f>Hotel!H32</f>
        <v>4707</v>
      </c>
      <c r="H25" s="11">
        <f>Hotel!N32</f>
        <v>91</v>
      </c>
      <c r="I25" s="11">
        <f>Hotel!P32</f>
        <v>950</v>
      </c>
      <c r="J25" s="11">
        <f>Hotel!U32</f>
        <v>415</v>
      </c>
      <c r="K25" s="11">
        <f>Hotel!Y32</f>
        <v>129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8</v>
      </c>
      <c r="D26" s="10">
        <v>2021</v>
      </c>
      <c r="E26" s="11">
        <f>Hotel!D33</f>
        <v>5195</v>
      </c>
      <c r="F26" s="11">
        <f>Hotel!F33</f>
        <v>5228</v>
      </c>
      <c r="G26" s="11">
        <f>Hotel!H33</f>
        <v>4881</v>
      </c>
      <c r="H26" s="11">
        <f>Hotel!N33</f>
        <v>152</v>
      </c>
      <c r="I26" s="11">
        <f>Hotel!P33</f>
        <v>915</v>
      </c>
      <c r="J26" s="11">
        <f>Hotel!U33</f>
        <v>544</v>
      </c>
      <c r="K26" s="11">
        <f>Hotel!Y33</f>
        <v>98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8</v>
      </c>
      <c r="D27" s="10">
        <v>2021</v>
      </c>
      <c r="E27" s="11">
        <f>Hotel!D34</f>
        <v>4958</v>
      </c>
      <c r="F27" s="11">
        <f>Hotel!F34</f>
        <v>4729</v>
      </c>
      <c r="G27" s="11">
        <f>Hotel!H34</f>
        <v>4377</v>
      </c>
      <c r="H27" s="11">
        <f>Hotel!N34</f>
        <v>118</v>
      </c>
      <c r="I27" s="11">
        <f>Hotel!P34</f>
        <v>993</v>
      </c>
      <c r="J27" s="11">
        <f>Hotel!U34</f>
        <v>394</v>
      </c>
      <c r="K27" s="11">
        <f>Hotel!Y34</f>
        <v>93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8</v>
      </c>
      <c r="D28" s="10">
        <v>2021</v>
      </c>
      <c r="E28" s="11">
        <f>Hotel!D35</f>
        <v>4754</v>
      </c>
      <c r="F28" s="11">
        <f>Hotel!F35</f>
        <v>5021</v>
      </c>
      <c r="G28" s="11">
        <f>Hotel!H35</f>
        <v>4736</v>
      </c>
      <c r="H28" s="11">
        <f>Hotel!N35</f>
        <v>174</v>
      </c>
      <c r="I28" s="11">
        <f>Hotel!P35</f>
        <v>828</v>
      </c>
      <c r="J28" s="11">
        <f>Hotel!U35</f>
        <v>414</v>
      </c>
      <c r="K28" s="11">
        <f>Hotel!Y35</f>
        <v>98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8</v>
      </c>
      <c r="D29" s="10">
        <v>2021</v>
      </c>
      <c r="E29" s="11" t="str">
        <f>Hotel!D36</f>
        <v>0</v>
      </c>
      <c r="F29" s="11" t="str">
        <f>Hotel!F36</f>
        <v>0</v>
      </c>
      <c r="G29" s="11" t="str">
        <f>Hotel!H36</f>
        <v>0</v>
      </c>
      <c r="H29" s="11" t="str">
        <f>Hotel!N36</f>
        <v>0</v>
      </c>
      <c r="I29" s="11" t="str">
        <f>Hotel!P36</f>
        <v>0</v>
      </c>
      <c r="J29" s="11" t="str">
        <f>Hotel!U36</f>
        <v>0</v>
      </c>
      <c r="K29" s="11">
        <f>Hotel!Y36</f>
        <v>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8</v>
      </c>
      <c r="D30" s="10">
        <v>2021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8</v>
      </c>
      <c r="D31" s="10">
        <v>2021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8</v>
      </c>
      <c r="D32" s="10">
        <v>2021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zoomScale="91" zoomScaleNormal="91" workbookViewId="0">
      <selection activeCell="AB30" sqref="AB30:AC30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8"/>
      <c r="C1" s="138"/>
      <c r="D1" s="138"/>
      <c r="E1" s="138"/>
      <c r="F1" s="139" t="s">
        <v>95</v>
      </c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1"/>
      <c r="W1" s="139" t="s">
        <v>122</v>
      </c>
      <c r="X1" s="140"/>
      <c r="Y1" s="140"/>
      <c r="Z1" s="141"/>
    </row>
    <row r="2" spans="1:27" x14ac:dyDescent="0.25">
      <c r="A2" s="10"/>
      <c r="B2" s="138"/>
      <c r="C2" s="138"/>
      <c r="D2" s="138"/>
      <c r="E2" s="138"/>
      <c r="F2" s="142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42"/>
      <c r="X2" s="143"/>
      <c r="Y2" s="143"/>
      <c r="Z2" s="144"/>
    </row>
    <row r="3" spans="1:27" x14ac:dyDescent="0.25">
      <c r="A3" s="10"/>
      <c r="B3" s="138"/>
      <c r="C3" s="138"/>
      <c r="D3" s="138"/>
      <c r="E3" s="138"/>
      <c r="F3" s="142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4"/>
      <c r="W3" s="142">
        <v>2021</v>
      </c>
      <c r="X3" s="143"/>
      <c r="Y3" s="143"/>
      <c r="Z3" s="144"/>
    </row>
    <row r="4" spans="1:27" x14ac:dyDescent="0.25">
      <c r="A4" s="10"/>
      <c r="B4" s="138"/>
      <c r="C4" s="138"/>
      <c r="D4" s="138"/>
      <c r="E4" s="138"/>
      <c r="F4" s="145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7"/>
      <c r="W4" s="145"/>
      <c r="X4" s="146"/>
      <c r="Y4" s="146"/>
      <c r="Z4" s="147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5657793</v>
      </c>
      <c r="D6" s="28"/>
      <c r="E6" s="29">
        <v>5610038</v>
      </c>
      <c r="F6" s="30"/>
      <c r="G6" s="131">
        <v>5300477</v>
      </c>
      <c r="H6" s="31">
        <f>G6-G5</f>
        <v>5300477</v>
      </c>
      <c r="I6" s="32"/>
      <c r="J6" s="33">
        <f>D6+F6+H6</f>
        <v>5300477</v>
      </c>
      <c r="K6" s="33" t="e">
        <f>D6*0.152+F6*0.238+H6*0.115+#REF!*0.218</f>
        <v>#REF!</v>
      </c>
      <c r="L6" s="34"/>
      <c r="M6" s="35">
        <v>149207</v>
      </c>
      <c r="N6" s="31" t="e">
        <f>M6-#REF!</f>
        <v>#REF!</v>
      </c>
      <c r="O6" s="36">
        <v>2279024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283567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48" t="s">
        <v>97</v>
      </c>
      <c r="D7" s="149"/>
      <c r="E7" s="149"/>
      <c r="F7" s="149"/>
      <c r="G7" s="149"/>
      <c r="H7" s="149"/>
      <c r="I7" s="149"/>
      <c r="J7" s="149"/>
      <c r="K7" s="150"/>
      <c r="L7" s="41"/>
      <c r="M7" s="148" t="s">
        <v>98</v>
      </c>
      <c r="N7" s="149"/>
      <c r="O7" s="149"/>
      <c r="P7" s="149"/>
      <c r="Q7" s="149"/>
      <c r="R7" s="150"/>
      <c r="S7" s="41"/>
      <c r="T7" s="151" t="s">
        <v>99</v>
      </c>
      <c r="U7" s="151"/>
      <c r="V7" s="152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118</v>
      </c>
      <c r="B9" s="59">
        <v>1</v>
      </c>
      <c r="C9" s="60">
        <v>5662480</v>
      </c>
      <c r="D9" s="61">
        <f>IF((C9-C6&lt;0), "0",C9-C6)</f>
        <v>4687</v>
      </c>
      <c r="E9" s="62">
        <v>5614669</v>
      </c>
      <c r="F9" s="61">
        <f>IF((E9-E6&lt;0), "0",E9-E6)</f>
        <v>4631</v>
      </c>
      <c r="G9" s="63">
        <v>5304897</v>
      </c>
      <c r="H9" s="61">
        <f>IF((G9-G6&lt;0), "0",G9-G6)</f>
        <v>4420</v>
      </c>
      <c r="I9" s="60">
        <f>H9+F9+D9</f>
        <v>13738</v>
      </c>
      <c r="J9" s="64">
        <v>0.97</v>
      </c>
      <c r="K9" s="65">
        <f>I9*0.251</f>
        <v>3448.2379999999998</v>
      </c>
      <c r="L9" s="66"/>
      <c r="M9" s="60">
        <v>149353</v>
      </c>
      <c r="N9" s="61">
        <f>IF((M9-M6&lt;0), "0",M9-M6)</f>
        <v>146</v>
      </c>
      <c r="O9" s="60">
        <v>2279763</v>
      </c>
      <c r="P9" s="61">
        <f>IF((O9-O6&lt;0), "0",O9-O6)</f>
        <v>739</v>
      </c>
      <c r="Q9" s="67">
        <f t="shared" ref="Q9:Q39" si="0">N9+P9</f>
        <v>885</v>
      </c>
      <c r="R9" s="68">
        <f>(P9+N9*1.2285)*0.056*10.127</f>
        <v>520.81354343200007</v>
      </c>
      <c r="S9" s="69"/>
      <c r="T9" s="70">
        <v>283995</v>
      </c>
      <c r="U9" s="61">
        <f>IF((T9-T6&lt;0), "0",T9-T6)</f>
        <v>428</v>
      </c>
      <c r="V9" s="71">
        <f>U9*(1.315+1.54)</f>
        <v>1221.94</v>
      </c>
      <c r="W9" s="72"/>
      <c r="X9" s="73">
        <f t="shared" ref="X9:X39" si="1">K9+R9+V9</f>
        <v>5190.9915434320001</v>
      </c>
      <c r="Y9" s="74">
        <v>111</v>
      </c>
      <c r="Z9" s="75">
        <f>X9/Y9</f>
        <v>46.765689580468468</v>
      </c>
    </row>
    <row r="10" spans="1:27" x14ac:dyDescent="0.25">
      <c r="A10" s="10" t="s">
        <v>119</v>
      </c>
      <c r="B10" s="59">
        <f>B9+1</f>
        <v>2</v>
      </c>
      <c r="C10" s="76">
        <v>5667545</v>
      </c>
      <c r="D10" s="61">
        <f t="shared" ref="D10:D39" si="2">IF((C10-C9&lt;0), "0",C10-C9)</f>
        <v>5065</v>
      </c>
      <c r="E10" s="77">
        <v>5619670</v>
      </c>
      <c r="F10" s="61">
        <f>IF((E10-E9&lt;0), "0",E10-E9)</f>
        <v>5001</v>
      </c>
      <c r="G10" s="77">
        <v>5309698</v>
      </c>
      <c r="H10" s="61">
        <f t="shared" ref="H10:H39" si="3">IF((G10-G9&lt;0), "0",G10-G9)</f>
        <v>4801</v>
      </c>
      <c r="I10" s="60">
        <f t="shared" ref="I10:I39" si="4">H10+F10+D10</f>
        <v>14867</v>
      </c>
      <c r="J10" s="64">
        <v>0.97</v>
      </c>
      <c r="K10" s="65">
        <f t="shared" ref="K10:K39" si="5">I10*0.251</f>
        <v>3731.6170000000002</v>
      </c>
      <c r="L10" s="66"/>
      <c r="M10" s="77">
        <v>149500</v>
      </c>
      <c r="N10" s="61">
        <f>IF((M10-M9&lt;0), "0",M10-M9)</f>
        <v>147</v>
      </c>
      <c r="O10" s="77">
        <v>2280605</v>
      </c>
      <c r="P10" s="61">
        <f>IF((O10-O9&lt;0), "0",O10-O9)</f>
        <v>842</v>
      </c>
      <c r="Q10" s="67">
        <f t="shared" si="0"/>
        <v>989</v>
      </c>
      <c r="R10" s="68">
        <f t="shared" ref="R10:R39" si="6">(P10+N10*1.2285)*0.056*10.127</f>
        <v>579.92277652400014</v>
      </c>
      <c r="S10" s="69"/>
      <c r="T10" s="78">
        <v>284398</v>
      </c>
      <c r="U10" s="61">
        <f>IF((T10-T9&lt;0), "0",T10-T9)</f>
        <v>403</v>
      </c>
      <c r="V10" s="71">
        <f t="shared" ref="V10:V39" si="7">U10*(1.315+1.54)</f>
        <v>1150.5650000000001</v>
      </c>
      <c r="W10" s="72"/>
      <c r="X10" s="79">
        <f t="shared" si="1"/>
        <v>5462.104776524</v>
      </c>
      <c r="Y10" s="80">
        <v>84</v>
      </c>
      <c r="Z10" s="81">
        <f t="shared" ref="Z10:Z39" si="8">X10/Y10</f>
        <v>65.025056863380954</v>
      </c>
    </row>
    <row r="11" spans="1:27" x14ac:dyDescent="0.25">
      <c r="A11" s="10" t="s">
        <v>120</v>
      </c>
      <c r="B11" s="59">
        <f t="shared" ref="B11:B39" si="9">B10+1</f>
        <v>3</v>
      </c>
      <c r="C11" s="76">
        <v>5672494</v>
      </c>
      <c r="D11" s="61">
        <f t="shared" si="2"/>
        <v>4949</v>
      </c>
      <c r="E11" s="76">
        <v>5624575</v>
      </c>
      <c r="F11" s="61">
        <f t="shared" ref="F11:F39" si="10">IF((E11-E10&lt;0), "0",E11-E10)</f>
        <v>4905</v>
      </c>
      <c r="G11" s="77">
        <v>5314367</v>
      </c>
      <c r="H11" s="61">
        <f t="shared" si="3"/>
        <v>4669</v>
      </c>
      <c r="I11" s="60">
        <f t="shared" si="4"/>
        <v>14523</v>
      </c>
      <c r="J11" s="64">
        <v>0.97</v>
      </c>
      <c r="K11" s="65">
        <f t="shared" si="5"/>
        <v>3645.2730000000001</v>
      </c>
      <c r="L11" s="66"/>
      <c r="M11" s="77">
        <v>149584</v>
      </c>
      <c r="N11" s="61">
        <f t="shared" ref="N11:N39" si="11">IF((M11-M10&lt;0), "0",M11-M10)</f>
        <v>84</v>
      </c>
      <c r="O11" s="77">
        <v>2281384</v>
      </c>
      <c r="P11" s="61">
        <f t="shared" ref="P11:P39" si="12">IF((O11-O10&lt;0), "0",O11-O10)</f>
        <v>779</v>
      </c>
      <c r="Q11" s="67">
        <f t="shared" si="0"/>
        <v>863</v>
      </c>
      <c r="R11" s="68">
        <f t="shared" si="6"/>
        <v>500.30280372800001</v>
      </c>
      <c r="S11" s="69"/>
      <c r="T11" s="82">
        <v>284789</v>
      </c>
      <c r="U11" s="61">
        <f t="shared" ref="U11:U39" si="13">IF((T11-T10&lt;0), "0",T11-T10)</f>
        <v>391</v>
      </c>
      <c r="V11" s="71">
        <f t="shared" si="7"/>
        <v>1116.3050000000001</v>
      </c>
      <c r="W11" s="72"/>
      <c r="X11" s="79">
        <f t="shared" si="1"/>
        <v>5261.8808037280005</v>
      </c>
      <c r="Y11" s="80">
        <v>79</v>
      </c>
      <c r="Z11" s="81">
        <f t="shared" si="8"/>
        <v>66.606086123139249</v>
      </c>
    </row>
    <row r="12" spans="1:27" x14ac:dyDescent="0.25">
      <c r="A12" s="10" t="s">
        <v>121</v>
      </c>
      <c r="B12" s="59">
        <f t="shared" si="9"/>
        <v>4</v>
      </c>
      <c r="C12" s="76">
        <v>5677614</v>
      </c>
      <c r="D12" s="61">
        <f t="shared" si="2"/>
        <v>5120</v>
      </c>
      <c r="E12" s="76">
        <v>5629441</v>
      </c>
      <c r="F12" s="61">
        <f t="shared" si="10"/>
        <v>4866</v>
      </c>
      <c r="G12" s="77">
        <v>5319121</v>
      </c>
      <c r="H12" s="61">
        <f t="shared" si="3"/>
        <v>4754</v>
      </c>
      <c r="I12" s="60">
        <f t="shared" si="4"/>
        <v>14740</v>
      </c>
      <c r="J12" s="64">
        <v>0.97</v>
      </c>
      <c r="K12" s="65">
        <f t="shared" si="5"/>
        <v>3699.7400000000002</v>
      </c>
      <c r="L12" s="66"/>
      <c r="M12" s="77">
        <v>149677</v>
      </c>
      <c r="N12" s="61">
        <f t="shared" si="11"/>
        <v>93</v>
      </c>
      <c r="O12" s="77">
        <v>2282051</v>
      </c>
      <c r="P12" s="61">
        <f t="shared" si="12"/>
        <v>667</v>
      </c>
      <c r="Q12" s="67">
        <f t="shared" si="0"/>
        <v>760</v>
      </c>
      <c r="R12" s="68">
        <f t="shared" si="6"/>
        <v>443.05653355600003</v>
      </c>
      <c r="S12" s="69"/>
      <c r="T12" s="78">
        <v>285214</v>
      </c>
      <c r="U12" s="61">
        <f t="shared" si="13"/>
        <v>425</v>
      </c>
      <c r="V12" s="71">
        <f t="shared" si="7"/>
        <v>1213.375</v>
      </c>
      <c r="W12" s="72"/>
      <c r="X12" s="79">
        <f t="shared" si="1"/>
        <v>5356.1715335560002</v>
      </c>
      <c r="Y12" s="80">
        <v>82</v>
      </c>
      <c r="Z12" s="81">
        <f t="shared" si="8"/>
        <v>65.319165043365857</v>
      </c>
    </row>
    <row r="13" spans="1:27" x14ac:dyDescent="0.25">
      <c r="A13" s="10" t="s">
        <v>96</v>
      </c>
      <c r="B13" s="59">
        <f t="shared" si="9"/>
        <v>5</v>
      </c>
      <c r="C13" s="63">
        <v>5682938</v>
      </c>
      <c r="D13" s="61">
        <f t="shared" si="2"/>
        <v>5324</v>
      </c>
      <c r="E13" s="76">
        <v>5634919</v>
      </c>
      <c r="F13" s="61">
        <f t="shared" si="10"/>
        <v>5478</v>
      </c>
      <c r="G13" s="63">
        <v>5324203</v>
      </c>
      <c r="H13" s="61">
        <f t="shared" si="3"/>
        <v>5082</v>
      </c>
      <c r="I13" s="60">
        <f t="shared" si="4"/>
        <v>15884</v>
      </c>
      <c r="J13" s="64">
        <v>0.97</v>
      </c>
      <c r="K13" s="65">
        <f t="shared" si="5"/>
        <v>3986.884</v>
      </c>
      <c r="L13" s="66"/>
      <c r="M13" s="77">
        <v>149877</v>
      </c>
      <c r="N13" s="61">
        <f t="shared" si="11"/>
        <v>200</v>
      </c>
      <c r="O13" s="76">
        <v>2282945</v>
      </c>
      <c r="P13" s="61">
        <f t="shared" si="12"/>
        <v>894</v>
      </c>
      <c r="Q13" s="67">
        <f t="shared" si="0"/>
        <v>1094</v>
      </c>
      <c r="R13" s="68">
        <f t="shared" si="6"/>
        <v>646.33754640000006</v>
      </c>
      <c r="S13" s="69"/>
      <c r="T13" s="83">
        <v>285766</v>
      </c>
      <c r="U13" s="61">
        <f t="shared" si="13"/>
        <v>552</v>
      </c>
      <c r="V13" s="71">
        <f t="shared" si="7"/>
        <v>1575.96</v>
      </c>
      <c r="W13" s="72"/>
      <c r="X13" s="79">
        <f t="shared" si="1"/>
        <v>6209.1815464000001</v>
      </c>
      <c r="Y13" s="80">
        <v>81</v>
      </c>
      <c r="Z13" s="81">
        <f t="shared" si="8"/>
        <v>76.656562301234572</v>
      </c>
    </row>
    <row r="14" spans="1:27" x14ac:dyDescent="0.25">
      <c r="A14" s="10" t="s">
        <v>116</v>
      </c>
      <c r="B14" s="59">
        <f t="shared" si="9"/>
        <v>6</v>
      </c>
      <c r="C14" s="76">
        <v>5687854</v>
      </c>
      <c r="D14" s="61">
        <f t="shared" si="2"/>
        <v>4916</v>
      </c>
      <c r="E14" s="76">
        <v>5639816</v>
      </c>
      <c r="F14" s="61">
        <f t="shared" si="10"/>
        <v>4897</v>
      </c>
      <c r="G14" s="63">
        <v>5328839</v>
      </c>
      <c r="H14" s="61">
        <f t="shared" si="3"/>
        <v>4636</v>
      </c>
      <c r="I14" s="60">
        <f t="shared" si="4"/>
        <v>14449</v>
      </c>
      <c r="J14" s="64">
        <v>0.97</v>
      </c>
      <c r="K14" s="65">
        <f t="shared" si="5"/>
        <v>3626.6990000000001</v>
      </c>
      <c r="L14" s="66"/>
      <c r="M14" s="77">
        <v>150022</v>
      </c>
      <c r="N14" s="61">
        <f t="shared" si="11"/>
        <v>145</v>
      </c>
      <c r="O14" s="76">
        <v>2283880</v>
      </c>
      <c r="P14" s="61">
        <f t="shared" si="12"/>
        <v>935</v>
      </c>
      <c r="Q14" s="67">
        <f t="shared" si="0"/>
        <v>1080</v>
      </c>
      <c r="R14" s="68">
        <f t="shared" si="6"/>
        <v>631.27079834000006</v>
      </c>
      <c r="S14" s="69"/>
      <c r="T14" s="83">
        <v>286203</v>
      </c>
      <c r="U14" s="61">
        <f t="shared" si="13"/>
        <v>437</v>
      </c>
      <c r="V14" s="71">
        <f t="shared" si="7"/>
        <v>1247.635</v>
      </c>
      <c r="W14" s="72"/>
      <c r="X14" s="79">
        <f t="shared" si="1"/>
        <v>5505.6047983400003</v>
      </c>
      <c r="Y14" s="80">
        <v>89</v>
      </c>
      <c r="Z14" s="81">
        <f t="shared" si="8"/>
        <v>61.860728071235961</v>
      </c>
    </row>
    <row r="15" spans="1:27" x14ac:dyDescent="0.25">
      <c r="A15" s="10" t="s">
        <v>117</v>
      </c>
      <c r="B15" s="59">
        <f t="shared" si="9"/>
        <v>7</v>
      </c>
      <c r="C15" s="76">
        <v>5692839</v>
      </c>
      <c r="D15" s="61">
        <f t="shared" si="2"/>
        <v>4985</v>
      </c>
      <c r="E15" s="76">
        <v>5644768</v>
      </c>
      <c r="F15" s="61">
        <f t="shared" si="10"/>
        <v>4952</v>
      </c>
      <c r="G15" s="76">
        <v>5333529</v>
      </c>
      <c r="H15" s="61">
        <f t="shared" si="3"/>
        <v>4690</v>
      </c>
      <c r="I15" s="60">
        <f t="shared" si="4"/>
        <v>14627</v>
      </c>
      <c r="J15" s="64">
        <v>0.97</v>
      </c>
      <c r="K15" s="65">
        <f t="shared" si="5"/>
        <v>3671.377</v>
      </c>
      <c r="L15" s="66"/>
      <c r="M15" s="77">
        <v>150177</v>
      </c>
      <c r="N15" s="61">
        <f t="shared" si="11"/>
        <v>155</v>
      </c>
      <c r="O15" s="76">
        <v>2284769</v>
      </c>
      <c r="P15" s="61">
        <f t="shared" si="12"/>
        <v>889</v>
      </c>
      <c r="Q15" s="67">
        <f t="shared" si="0"/>
        <v>1044</v>
      </c>
      <c r="R15" s="68">
        <f t="shared" si="6"/>
        <v>612.1506172600001</v>
      </c>
      <c r="S15" s="69"/>
      <c r="T15" s="83">
        <v>286737</v>
      </c>
      <c r="U15" s="61">
        <f t="shared" si="13"/>
        <v>534</v>
      </c>
      <c r="V15" s="71">
        <f t="shared" si="7"/>
        <v>1524.57</v>
      </c>
      <c r="W15" s="72"/>
      <c r="X15" s="79">
        <f t="shared" si="1"/>
        <v>5808.0976172599994</v>
      </c>
      <c r="Y15" s="80">
        <v>87</v>
      </c>
      <c r="Z15" s="81">
        <f t="shared" si="8"/>
        <v>66.759742727126437</v>
      </c>
    </row>
    <row r="16" spans="1:27" x14ac:dyDescent="0.25">
      <c r="A16" s="10" t="s">
        <v>118</v>
      </c>
      <c r="B16" s="59">
        <f t="shared" si="9"/>
        <v>8</v>
      </c>
      <c r="C16" s="76">
        <v>5698018</v>
      </c>
      <c r="D16" s="61">
        <f t="shared" si="2"/>
        <v>5179</v>
      </c>
      <c r="E16" s="76">
        <v>5649911</v>
      </c>
      <c r="F16" s="61">
        <f t="shared" si="10"/>
        <v>5143</v>
      </c>
      <c r="G16" s="76">
        <v>5338415</v>
      </c>
      <c r="H16" s="61">
        <f t="shared" si="3"/>
        <v>4886</v>
      </c>
      <c r="I16" s="60">
        <f t="shared" si="4"/>
        <v>15208</v>
      </c>
      <c r="J16" s="64">
        <v>0.97</v>
      </c>
      <c r="K16" s="65">
        <f t="shared" si="5"/>
        <v>3817.2080000000001</v>
      </c>
      <c r="L16" s="66"/>
      <c r="M16" s="77">
        <v>150326</v>
      </c>
      <c r="N16" s="61">
        <f t="shared" si="11"/>
        <v>149</v>
      </c>
      <c r="O16" s="76">
        <v>2285686</v>
      </c>
      <c r="P16" s="61">
        <f t="shared" si="12"/>
        <v>917</v>
      </c>
      <c r="Q16" s="67">
        <f t="shared" si="0"/>
        <v>1066</v>
      </c>
      <c r="R16" s="68">
        <f t="shared" si="6"/>
        <v>623.84957070799999</v>
      </c>
      <c r="S16" s="69"/>
      <c r="T16" s="83">
        <v>287217</v>
      </c>
      <c r="U16" s="61">
        <f t="shared" si="13"/>
        <v>480</v>
      </c>
      <c r="V16" s="71">
        <f t="shared" si="7"/>
        <v>1370.4</v>
      </c>
      <c r="W16" s="72"/>
      <c r="X16" s="79">
        <f t="shared" si="1"/>
        <v>5811.4575707080003</v>
      </c>
      <c r="Y16" s="80">
        <v>124</v>
      </c>
      <c r="Z16" s="81">
        <f t="shared" si="8"/>
        <v>46.866593312161292</v>
      </c>
    </row>
    <row r="17" spans="1:26" x14ac:dyDescent="0.25">
      <c r="A17" s="10" t="s">
        <v>119</v>
      </c>
      <c r="B17" s="59">
        <v>9</v>
      </c>
      <c r="C17" s="84">
        <v>5703676</v>
      </c>
      <c r="D17" s="61">
        <f t="shared" si="2"/>
        <v>5658</v>
      </c>
      <c r="E17" s="84">
        <v>5655492</v>
      </c>
      <c r="F17" s="61">
        <f t="shared" si="10"/>
        <v>5581</v>
      </c>
      <c r="G17" s="84">
        <v>5343730</v>
      </c>
      <c r="H17" s="61">
        <f t="shared" si="3"/>
        <v>5315</v>
      </c>
      <c r="I17" s="60">
        <f t="shared" si="4"/>
        <v>16554</v>
      </c>
      <c r="J17" s="64">
        <v>0.96</v>
      </c>
      <c r="K17" s="65">
        <f t="shared" si="5"/>
        <v>4155.0540000000001</v>
      </c>
      <c r="L17" s="66"/>
      <c r="M17" s="84">
        <v>150481</v>
      </c>
      <c r="N17" s="61">
        <f t="shared" si="11"/>
        <v>155</v>
      </c>
      <c r="O17" s="84">
        <v>2286557</v>
      </c>
      <c r="P17" s="61">
        <f t="shared" si="12"/>
        <v>871</v>
      </c>
      <c r="Q17" s="67">
        <f t="shared" si="0"/>
        <v>1026</v>
      </c>
      <c r="R17" s="68">
        <f t="shared" si="6"/>
        <v>601.94260126000006</v>
      </c>
      <c r="S17" s="69"/>
      <c r="T17" s="85">
        <v>287662</v>
      </c>
      <c r="U17" s="61">
        <f t="shared" si="13"/>
        <v>445</v>
      </c>
      <c r="V17" s="71">
        <f t="shared" si="7"/>
        <v>1270.4749999999999</v>
      </c>
      <c r="W17" s="72"/>
      <c r="X17" s="79">
        <f t="shared" si="1"/>
        <v>6027.4716012600002</v>
      </c>
      <c r="Y17" s="80">
        <v>94</v>
      </c>
      <c r="Z17" s="81">
        <f t="shared" si="8"/>
        <v>64.122038311276597</v>
      </c>
    </row>
    <row r="18" spans="1:26" x14ac:dyDescent="0.25">
      <c r="A18" s="10" t="s">
        <v>120</v>
      </c>
      <c r="B18" s="86">
        <f t="shared" si="9"/>
        <v>10</v>
      </c>
      <c r="C18" s="84">
        <v>5709411</v>
      </c>
      <c r="D18" s="61">
        <f t="shared" si="2"/>
        <v>5735</v>
      </c>
      <c r="E18" s="76">
        <v>5661112</v>
      </c>
      <c r="F18" s="61">
        <f t="shared" si="10"/>
        <v>5620</v>
      </c>
      <c r="G18" s="76">
        <v>5348841</v>
      </c>
      <c r="H18" s="61">
        <f t="shared" si="3"/>
        <v>5111</v>
      </c>
      <c r="I18" s="60">
        <f t="shared" si="4"/>
        <v>16466</v>
      </c>
      <c r="J18" s="64">
        <v>0.99</v>
      </c>
      <c r="K18" s="65">
        <f t="shared" si="5"/>
        <v>4132.9660000000003</v>
      </c>
      <c r="L18" s="87"/>
      <c r="M18" s="77">
        <v>150587</v>
      </c>
      <c r="N18" s="61">
        <f t="shared" si="11"/>
        <v>106</v>
      </c>
      <c r="O18" s="76">
        <v>2287351</v>
      </c>
      <c r="P18" s="61">
        <f t="shared" si="12"/>
        <v>794</v>
      </c>
      <c r="Q18" s="67">
        <f t="shared" si="0"/>
        <v>900</v>
      </c>
      <c r="R18" s="68">
        <f t="shared" si="6"/>
        <v>524.13681975200006</v>
      </c>
      <c r="S18" s="88"/>
      <c r="T18" s="83">
        <v>287892</v>
      </c>
      <c r="U18" s="61">
        <f t="shared" si="13"/>
        <v>230</v>
      </c>
      <c r="V18" s="71">
        <f t="shared" si="7"/>
        <v>656.65</v>
      </c>
      <c r="W18" s="72"/>
      <c r="X18" s="79">
        <f t="shared" si="1"/>
        <v>5313.7528197520005</v>
      </c>
      <c r="Y18" s="80">
        <v>100</v>
      </c>
      <c r="Z18" s="89">
        <f t="shared" si="8"/>
        <v>53.137528197520005</v>
      </c>
    </row>
    <row r="19" spans="1:26" x14ac:dyDescent="0.25">
      <c r="A19" s="10" t="s">
        <v>121</v>
      </c>
      <c r="B19" s="90">
        <f t="shared" si="9"/>
        <v>11</v>
      </c>
      <c r="C19" s="76">
        <v>5715302</v>
      </c>
      <c r="D19" s="61">
        <f t="shared" si="2"/>
        <v>5891</v>
      </c>
      <c r="E19" s="76">
        <v>5667001</v>
      </c>
      <c r="F19" s="61">
        <f t="shared" si="10"/>
        <v>5889</v>
      </c>
      <c r="G19" s="76">
        <v>5354674</v>
      </c>
      <c r="H19" s="61">
        <f t="shared" si="3"/>
        <v>5833</v>
      </c>
      <c r="I19" s="60">
        <f t="shared" si="4"/>
        <v>17613</v>
      </c>
      <c r="J19" s="64">
        <v>0.99</v>
      </c>
      <c r="K19" s="65">
        <f t="shared" si="5"/>
        <v>4420.8630000000003</v>
      </c>
      <c r="L19" s="66"/>
      <c r="M19" s="77">
        <v>150746</v>
      </c>
      <c r="N19" s="61">
        <f t="shared" si="11"/>
        <v>159</v>
      </c>
      <c r="O19" s="91">
        <v>2288200</v>
      </c>
      <c r="P19" s="61">
        <f t="shared" si="12"/>
        <v>849</v>
      </c>
      <c r="Q19" s="67">
        <f t="shared" si="0"/>
        <v>1008</v>
      </c>
      <c r="R19" s="68">
        <f t="shared" si="6"/>
        <v>592.25292562800007</v>
      </c>
      <c r="S19" s="69"/>
      <c r="T19" s="92">
        <v>288095</v>
      </c>
      <c r="U19" s="61">
        <f t="shared" si="13"/>
        <v>203</v>
      </c>
      <c r="V19" s="71">
        <f t="shared" si="7"/>
        <v>579.56499999999994</v>
      </c>
      <c r="W19" s="72"/>
      <c r="X19" s="79">
        <f t="shared" si="1"/>
        <v>5592.6809256280003</v>
      </c>
      <c r="Y19" s="80">
        <v>100</v>
      </c>
      <c r="Z19" s="75">
        <f t="shared" si="8"/>
        <v>55.926809256280002</v>
      </c>
    </row>
    <row r="20" spans="1:26" x14ac:dyDescent="0.25">
      <c r="A20" s="10" t="s">
        <v>96</v>
      </c>
      <c r="B20" s="59">
        <f t="shared" si="9"/>
        <v>12</v>
      </c>
      <c r="C20" s="76">
        <v>5720740</v>
      </c>
      <c r="D20" s="61">
        <f t="shared" si="2"/>
        <v>5438</v>
      </c>
      <c r="E20" s="76">
        <v>5672431</v>
      </c>
      <c r="F20" s="61">
        <f t="shared" si="10"/>
        <v>5430</v>
      </c>
      <c r="G20" s="76">
        <v>5359802</v>
      </c>
      <c r="H20" s="61">
        <f t="shared" si="3"/>
        <v>5128</v>
      </c>
      <c r="I20" s="60">
        <f t="shared" si="4"/>
        <v>15996</v>
      </c>
      <c r="J20" s="64">
        <v>0.99</v>
      </c>
      <c r="K20" s="65">
        <f t="shared" si="5"/>
        <v>4014.9960000000001</v>
      </c>
      <c r="L20" s="66"/>
      <c r="M20" s="77">
        <v>150889</v>
      </c>
      <c r="N20" s="61">
        <f t="shared" si="11"/>
        <v>143</v>
      </c>
      <c r="O20" s="76">
        <v>2289047</v>
      </c>
      <c r="P20" s="61">
        <f t="shared" si="12"/>
        <v>847</v>
      </c>
      <c r="Q20" s="67">
        <f t="shared" si="0"/>
        <v>990</v>
      </c>
      <c r="R20" s="68">
        <f t="shared" si="6"/>
        <v>579.97154815600004</v>
      </c>
      <c r="S20" s="69"/>
      <c r="T20" s="83">
        <v>288531</v>
      </c>
      <c r="U20" s="61">
        <f t="shared" si="13"/>
        <v>436</v>
      </c>
      <c r="V20" s="71">
        <f t="shared" si="7"/>
        <v>1244.78</v>
      </c>
      <c r="W20" s="72"/>
      <c r="X20" s="79">
        <f t="shared" si="1"/>
        <v>5839.7475481559995</v>
      </c>
      <c r="Y20" s="80">
        <v>99</v>
      </c>
      <c r="Z20" s="81">
        <f t="shared" si="8"/>
        <v>58.987348971272723</v>
      </c>
    </row>
    <row r="21" spans="1:26" x14ac:dyDescent="0.25">
      <c r="A21" s="10" t="s">
        <v>116</v>
      </c>
      <c r="B21" s="59">
        <f t="shared" si="9"/>
        <v>13</v>
      </c>
      <c r="C21" s="84">
        <v>5726612</v>
      </c>
      <c r="D21" s="61">
        <f t="shared" si="2"/>
        <v>5872</v>
      </c>
      <c r="E21" s="76">
        <v>5678811</v>
      </c>
      <c r="F21" s="61">
        <f t="shared" si="10"/>
        <v>6380</v>
      </c>
      <c r="G21" s="76">
        <v>5366001</v>
      </c>
      <c r="H21" s="61">
        <f t="shared" si="3"/>
        <v>6199</v>
      </c>
      <c r="I21" s="60">
        <f t="shared" si="4"/>
        <v>18451</v>
      </c>
      <c r="J21" s="64">
        <v>0.99</v>
      </c>
      <c r="K21" s="65">
        <f t="shared" si="5"/>
        <v>4631.201</v>
      </c>
      <c r="L21" s="66"/>
      <c r="M21" s="77">
        <v>151032</v>
      </c>
      <c r="N21" s="61">
        <f t="shared" si="11"/>
        <v>143</v>
      </c>
      <c r="O21" s="76">
        <v>2289844</v>
      </c>
      <c r="P21" s="61">
        <f t="shared" si="12"/>
        <v>797</v>
      </c>
      <c r="Q21" s="67">
        <f t="shared" si="0"/>
        <v>940</v>
      </c>
      <c r="R21" s="68">
        <f t="shared" si="6"/>
        <v>551.61594815600006</v>
      </c>
      <c r="S21" s="69"/>
      <c r="T21" s="83">
        <v>288941</v>
      </c>
      <c r="U21" s="61">
        <f t="shared" si="13"/>
        <v>410</v>
      </c>
      <c r="V21" s="71">
        <f t="shared" si="7"/>
        <v>1170.55</v>
      </c>
      <c r="W21" s="72"/>
      <c r="X21" s="79">
        <f t="shared" si="1"/>
        <v>6353.366948156</v>
      </c>
      <c r="Y21" s="80">
        <v>109</v>
      </c>
      <c r="Z21" s="81">
        <f t="shared" si="8"/>
        <v>58.287770166568805</v>
      </c>
    </row>
    <row r="22" spans="1:26" x14ac:dyDescent="0.25">
      <c r="A22" s="10" t="s">
        <v>117</v>
      </c>
      <c r="B22" s="59">
        <f t="shared" si="9"/>
        <v>14</v>
      </c>
      <c r="C22" s="84">
        <v>5732668</v>
      </c>
      <c r="D22" s="61">
        <f t="shared" si="2"/>
        <v>6056</v>
      </c>
      <c r="E22" s="76">
        <v>5684273</v>
      </c>
      <c r="F22" s="61">
        <f t="shared" si="10"/>
        <v>5462</v>
      </c>
      <c r="G22" s="76">
        <v>5371020</v>
      </c>
      <c r="H22" s="61">
        <f t="shared" si="3"/>
        <v>5019</v>
      </c>
      <c r="I22" s="60">
        <f t="shared" si="4"/>
        <v>16537</v>
      </c>
      <c r="J22" s="64">
        <v>0.99</v>
      </c>
      <c r="K22" s="65">
        <f t="shared" si="5"/>
        <v>4150.7870000000003</v>
      </c>
      <c r="L22" s="66"/>
      <c r="M22" s="77">
        <v>151197</v>
      </c>
      <c r="N22" s="61">
        <f t="shared" si="11"/>
        <v>165</v>
      </c>
      <c r="O22" s="76">
        <v>2290832</v>
      </c>
      <c r="P22" s="61">
        <f t="shared" si="12"/>
        <v>988</v>
      </c>
      <c r="Q22" s="67">
        <f t="shared" si="0"/>
        <v>1153</v>
      </c>
      <c r="R22" s="68">
        <f t="shared" si="6"/>
        <v>675.26167617999999</v>
      </c>
      <c r="S22" s="69"/>
      <c r="T22" s="83">
        <v>289394</v>
      </c>
      <c r="U22" s="61">
        <f t="shared" si="13"/>
        <v>453</v>
      </c>
      <c r="V22" s="71">
        <f t="shared" si="7"/>
        <v>1293.3150000000001</v>
      </c>
      <c r="W22" s="72"/>
      <c r="X22" s="79">
        <f t="shared" si="1"/>
        <v>6119.3636761800008</v>
      </c>
      <c r="Y22" s="80">
        <v>116</v>
      </c>
      <c r="Z22" s="81">
        <f t="shared" si="8"/>
        <v>52.753135139482765</v>
      </c>
    </row>
    <row r="23" spans="1:26" x14ac:dyDescent="0.25">
      <c r="A23" s="10" t="s">
        <v>118</v>
      </c>
      <c r="B23" s="59">
        <f t="shared" si="9"/>
        <v>15</v>
      </c>
      <c r="C23" s="76">
        <v>5738330</v>
      </c>
      <c r="D23" s="61">
        <f t="shared" si="2"/>
        <v>5662</v>
      </c>
      <c r="E23" s="76">
        <v>5689915</v>
      </c>
      <c r="F23" s="61">
        <f t="shared" si="10"/>
        <v>5642</v>
      </c>
      <c r="G23" s="76">
        <v>5376339</v>
      </c>
      <c r="H23" s="61">
        <f t="shared" si="3"/>
        <v>5319</v>
      </c>
      <c r="I23" s="60">
        <f t="shared" si="4"/>
        <v>16623</v>
      </c>
      <c r="J23" s="64">
        <v>0.99</v>
      </c>
      <c r="K23" s="65">
        <f t="shared" si="5"/>
        <v>4172.3729999999996</v>
      </c>
      <c r="L23" s="66"/>
      <c r="M23" s="77">
        <v>151355</v>
      </c>
      <c r="N23" s="61">
        <f t="shared" si="11"/>
        <v>158</v>
      </c>
      <c r="O23" s="76">
        <v>2291695</v>
      </c>
      <c r="P23" s="61">
        <f t="shared" si="12"/>
        <v>863</v>
      </c>
      <c r="Q23" s="67">
        <f t="shared" si="0"/>
        <v>1021</v>
      </c>
      <c r="R23" s="68">
        <f t="shared" si="6"/>
        <v>599.49579653600006</v>
      </c>
      <c r="S23" s="69"/>
      <c r="T23" s="83">
        <v>289870</v>
      </c>
      <c r="U23" s="61">
        <f t="shared" si="13"/>
        <v>476</v>
      </c>
      <c r="V23" s="71">
        <f t="shared" si="7"/>
        <v>1358.98</v>
      </c>
      <c r="W23" s="72"/>
      <c r="X23" s="79">
        <f t="shared" si="1"/>
        <v>6130.848796536</v>
      </c>
      <c r="Y23" s="80">
        <v>131</v>
      </c>
      <c r="Z23" s="81">
        <f t="shared" si="8"/>
        <v>46.800372492641223</v>
      </c>
    </row>
    <row r="24" spans="1:26" x14ac:dyDescent="0.25">
      <c r="A24" s="10" t="s">
        <v>119</v>
      </c>
      <c r="B24" s="59">
        <f t="shared" si="9"/>
        <v>16</v>
      </c>
      <c r="C24" s="76">
        <v>5743919</v>
      </c>
      <c r="D24" s="61">
        <f t="shared" si="2"/>
        <v>5589</v>
      </c>
      <c r="E24" s="76">
        <v>5695514</v>
      </c>
      <c r="F24" s="61">
        <f t="shared" si="10"/>
        <v>5599</v>
      </c>
      <c r="G24" s="76">
        <v>5381604</v>
      </c>
      <c r="H24" s="61">
        <f t="shared" si="3"/>
        <v>5265</v>
      </c>
      <c r="I24" s="60">
        <f t="shared" si="4"/>
        <v>16453</v>
      </c>
      <c r="J24" s="64">
        <v>0.99</v>
      </c>
      <c r="K24" s="65">
        <f t="shared" si="5"/>
        <v>4129.7030000000004</v>
      </c>
      <c r="L24" s="66"/>
      <c r="M24" s="77">
        <v>151508</v>
      </c>
      <c r="N24" s="61">
        <f t="shared" si="11"/>
        <v>153</v>
      </c>
      <c r="O24" s="76">
        <v>2292625</v>
      </c>
      <c r="P24" s="61">
        <f t="shared" si="12"/>
        <v>930</v>
      </c>
      <c r="Q24" s="67">
        <f t="shared" si="0"/>
        <v>1083</v>
      </c>
      <c r="R24" s="68">
        <f t="shared" si="6"/>
        <v>634.00881507600002</v>
      </c>
      <c r="S24" s="69"/>
      <c r="T24" s="83">
        <v>290336</v>
      </c>
      <c r="U24" s="61">
        <f t="shared" si="13"/>
        <v>466</v>
      </c>
      <c r="V24" s="71">
        <f t="shared" si="7"/>
        <v>1330.43</v>
      </c>
      <c r="W24" s="72"/>
      <c r="X24" s="79">
        <f t="shared" si="1"/>
        <v>6094.141815076001</v>
      </c>
      <c r="Y24" s="80">
        <v>104</v>
      </c>
      <c r="Z24" s="81">
        <f t="shared" si="8"/>
        <v>58.597517452653854</v>
      </c>
    </row>
    <row r="25" spans="1:26" x14ac:dyDescent="0.25">
      <c r="A25" s="10" t="s">
        <v>120</v>
      </c>
      <c r="B25" s="59">
        <f t="shared" si="9"/>
        <v>17</v>
      </c>
      <c r="C25" s="76">
        <v>5749601</v>
      </c>
      <c r="D25" s="61">
        <f t="shared" si="2"/>
        <v>5682</v>
      </c>
      <c r="E25" s="76">
        <v>5701083</v>
      </c>
      <c r="F25" s="61">
        <f t="shared" si="10"/>
        <v>5569</v>
      </c>
      <c r="G25" s="76">
        <v>5386914</v>
      </c>
      <c r="H25" s="61">
        <f t="shared" si="3"/>
        <v>5310</v>
      </c>
      <c r="I25" s="60">
        <f t="shared" si="4"/>
        <v>16561</v>
      </c>
      <c r="J25" s="64">
        <v>0.99</v>
      </c>
      <c r="K25" s="65">
        <f t="shared" si="5"/>
        <v>4156.8109999999997</v>
      </c>
      <c r="L25" s="66"/>
      <c r="M25" s="77">
        <v>151598</v>
      </c>
      <c r="N25" s="61">
        <f t="shared" si="11"/>
        <v>90</v>
      </c>
      <c r="O25" s="76">
        <v>2293528</v>
      </c>
      <c r="P25" s="61">
        <f t="shared" si="12"/>
        <v>903</v>
      </c>
      <c r="Q25" s="67">
        <f t="shared" si="0"/>
        <v>993</v>
      </c>
      <c r="R25" s="68">
        <f t="shared" si="6"/>
        <v>574.80487428000004</v>
      </c>
      <c r="S25" s="69"/>
      <c r="T25" s="83">
        <v>290504</v>
      </c>
      <c r="U25" s="61">
        <f t="shared" si="13"/>
        <v>168</v>
      </c>
      <c r="V25" s="71">
        <f t="shared" si="7"/>
        <v>479.64</v>
      </c>
      <c r="W25" s="72"/>
      <c r="X25" s="79">
        <f t="shared" si="1"/>
        <v>5211.2558742800002</v>
      </c>
      <c r="Y25" s="80">
        <v>114</v>
      </c>
      <c r="Z25" s="81">
        <f t="shared" si="8"/>
        <v>45.712770827017543</v>
      </c>
    </row>
    <row r="26" spans="1:26" x14ac:dyDescent="0.25">
      <c r="A26" s="10" t="s">
        <v>121</v>
      </c>
      <c r="B26" s="59">
        <f t="shared" si="9"/>
        <v>18</v>
      </c>
      <c r="C26" s="76">
        <v>5755282</v>
      </c>
      <c r="D26" s="61">
        <f t="shared" si="2"/>
        <v>5681</v>
      </c>
      <c r="E26" s="76">
        <v>5706728</v>
      </c>
      <c r="F26" s="61">
        <f t="shared" si="10"/>
        <v>5645</v>
      </c>
      <c r="G26" s="76">
        <v>5392232</v>
      </c>
      <c r="H26" s="61">
        <f t="shared" si="3"/>
        <v>5318</v>
      </c>
      <c r="I26" s="60">
        <f t="shared" si="4"/>
        <v>16644</v>
      </c>
      <c r="J26" s="64">
        <v>0.99</v>
      </c>
      <c r="K26" s="65">
        <f t="shared" si="5"/>
        <v>4177.6440000000002</v>
      </c>
      <c r="L26" s="66"/>
      <c r="M26" s="77">
        <v>151747</v>
      </c>
      <c r="N26" s="61">
        <f t="shared" si="11"/>
        <v>149</v>
      </c>
      <c r="O26" s="76">
        <v>2294456</v>
      </c>
      <c r="P26" s="61">
        <f t="shared" si="12"/>
        <v>928</v>
      </c>
      <c r="Q26" s="67">
        <f t="shared" si="0"/>
        <v>1077</v>
      </c>
      <c r="R26" s="68">
        <f t="shared" si="6"/>
        <v>630.08780270800003</v>
      </c>
      <c r="S26" s="69"/>
      <c r="T26" s="83">
        <v>290913</v>
      </c>
      <c r="U26" s="61">
        <f t="shared" si="13"/>
        <v>409</v>
      </c>
      <c r="V26" s="71">
        <f t="shared" si="7"/>
        <v>1167.6949999999999</v>
      </c>
      <c r="W26" s="72"/>
      <c r="X26" s="79">
        <f t="shared" si="1"/>
        <v>5975.4268027079997</v>
      </c>
      <c r="Y26" s="80">
        <v>122</v>
      </c>
      <c r="Z26" s="81">
        <f t="shared" si="8"/>
        <v>48.978908218918029</v>
      </c>
    </row>
    <row r="27" spans="1:26" x14ac:dyDescent="0.25">
      <c r="A27" s="10" t="s">
        <v>96</v>
      </c>
      <c r="B27" s="59">
        <f t="shared" si="9"/>
        <v>19</v>
      </c>
      <c r="C27" s="76">
        <v>5760280</v>
      </c>
      <c r="D27" s="61">
        <f t="shared" si="2"/>
        <v>4998</v>
      </c>
      <c r="E27" s="76">
        <v>5711730</v>
      </c>
      <c r="F27" s="61">
        <f t="shared" si="10"/>
        <v>5002</v>
      </c>
      <c r="G27" s="76">
        <v>5396898</v>
      </c>
      <c r="H27" s="61">
        <f t="shared" si="3"/>
        <v>4666</v>
      </c>
      <c r="I27" s="60">
        <f t="shared" si="4"/>
        <v>14666</v>
      </c>
      <c r="J27" s="64">
        <v>0.99</v>
      </c>
      <c r="K27" s="65">
        <f t="shared" si="5"/>
        <v>3681.1660000000002</v>
      </c>
      <c r="L27" s="93"/>
      <c r="M27" s="77">
        <v>151885</v>
      </c>
      <c r="N27" s="61">
        <f t="shared" si="11"/>
        <v>138</v>
      </c>
      <c r="O27" s="76">
        <v>2295346</v>
      </c>
      <c r="P27" s="61">
        <f t="shared" si="12"/>
        <v>890</v>
      </c>
      <c r="Q27" s="67">
        <f t="shared" si="0"/>
        <v>1028</v>
      </c>
      <c r="R27" s="68">
        <f t="shared" si="6"/>
        <v>600.87387869600002</v>
      </c>
      <c r="S27" s="69"/>
      <c r="T27" s="83">
        <v>291362</v>
      </c>
      <c r="U27" s="61">
        <f t="shared" si="13"/>
        <v>449</v>
      </c>
      <c r="V27" s="71">
        <f t="shared" si="7"/>
        <v>1281.895</v>
      </c>
      <c r="W27" s="72"/>
      <c r="X27" s="79">
        <f t="shared" si="1"/>
        <v>5563.9348786959999</v>
      </c>
      <c r="Y27" s="80">
        <v>107</v>
      </c>
      <c r="Z27" s="81">
        <f t="shared" si="8"/>
        <v>51.999391389682245</v>
      </c>
    </row>
    <row r="28" spans="1:26" x14ac:dyDescent="0.25">
      <c r="A28" s="10" t="s">
        <v>116</v>
      </c>
      <c r="B28" s="86">
        <f t="shared" si="9"/>
        <v>20</v>
      </c>
      <c r="C28" s="84">
        <v>5765230</v>
      </c>
      <c r="D28" s="61">
        <f t="shared" si="2"/>
        <v>4950</v>
      </c>
      <c r="E28" s="84">
        <v>5716719</v>
      </c>
      <c r="F28" s="61">
        <f t="shared" si="10"/>
        <v>4989</v>
      </c>
      <c r="G28" s="84">
        <v>5401543</v>
      </c>
      <c r="H28" s="61">
        <f t="shared" si="3"/>
        <v>4645</v>
      </c>
      <c r="I28" s="60">
        <f t="shared" si="4"/>
        <v>14584</v>
      </c>
      <c r="J28" s="64">
        <v>0.99</v>
      </c>
      <c r="K28" s="65">
        <f t="shared" si="5"/>
        <v>3660.5839999999998</v>
      </c>
      <c r="L28" s="94"/>
      <c r="M28" s="77">
        <v>152025</v>
      </c>
      <c r="N28" s="61">
        <f t="shared" si="11"/>
        <v>140</v>
      </c>
      <c r="O28" s="76">
        <v>2296272</v>
      </c>
      <c r="P28" s="61">
        <f t="shared" si="12"/>
        <v>926</v>
      </c>
      <c r="Q28" s="67">
        <f t="shared" si="0"/>
        <v>1066</v>
      </c>
      <c r="R28" s="68">
        <f t="shared" si="6"/>
        <v>622.68330488000004</v>
      </c>
      <c r="S28" s="76"/>
      <c r="T28" s="83">
        <v>291800</v>
      </c>
      <c r="U28" s="61">
        <f t="shared" si="13"/>
        <v>438</v>
      </c>
      <c r="V28" s="71">
        <f t="shared" si="7"/>
        <v>1250.49</v>
      </c>
      <c r="W28" s="72"/>
      <c r="X28" s="95">
        <f t="shared" si="1"/>
        <v>5533.7573048799995</v>
      </c>
      <c r="Y28" s="80">
        <v>118</v>
      </c>
      <c r="Z28" s="89">
        <f t="shared" si="8"/>
        <v>46.896248346440672</v>
      </c>
    </row>
    <row r="29" spans="1:26" x14ac:dyDescent="0.25">
      <c r="A29" s="10" t="s">
        <v>117</v>
      </c>
      <c r="B29" s="90">
        <f t="shared" si="9"/>
        <v>21</v>
      </c>
      <c r="C29" s="76">
        <v>5770595</v>
      </c>
      <c r="D29" s="61">
        <f t="shared" si="2"/>
        <v>5365</v>
      </c>
      <c r="E29" s="76">
        <v>5722072</v>
      </c>
      <c r="F29" s="61">
        <f t="shared" si="10"/>
        <v>5353</v>
      </c>
      <c r="G29" s="76">
        <v>5406550</v>
      </c>
      <c r="H29" s="61">
        <f t="shared" si="3"/>
        <v>5007</v>
      </c>
      <c r="I29" s="60">
        <f t="shared" si="4"/>
        <v>15725</v>
      </c>
      <c r="J29" s="64">
        <v>0.99</v>
      </c>
      <c r="K29" s="65">
        <f t="shared" si="5"/>
        <v>3946.9749999999999</v>
      </c>
      <c r="L29" s="66"/>
      <c r="M29" s="77">
        <v>152168</v>
      </c>
      <c r="N29" s="61">
        <f t="shared" si="11"/>
        <v>143</v>
      </c>
      <c r="O29" s="76">
        <v>2297218</v>
      </c>
      <c r="P29" s="61">
        <f t="shared" si="12"/>
        <v>946</v>
      </c>
      <c r="Q29" s="67">
        <f t="shared" si="0"/>
        <v>1089</v>
      </c>
      <c r="R29" s="68">
        <f t="shared" si="6"/>
        <v>636.11563615600016</v>
      </c>
      <c r="S29" s="69"/>
      <c r="T29" s="83">
        <v>292003</v>
      </c>
      <c r="U29" s="61">
        <f t="shared" si="13"/>
        <v>203</v>
      </c>
      <c r="V29" s="71">
        <f t="shared" si="7"/>
        <v>579.56499999999994</v>
      </c>
      <c r="W29" s="72"/>
      <c r="X29" s="73">
        <f t="shared" si="1"/>
        <v>5162.6556361559997</v>
      </c>
      <c r="Y29" s="80">
        <v>112</v>
      </c>
      <c r="Z29" s="75">
        <f t="shared" si="8"/>
        <v>46.09513960853571</v>
      </c>
    </row>
    <row r="30" spans="1:26" x14ac:dyDescent="0.25">
      <c r="A30" s="10" t="s">
        <v>118</v>
      </c>
      <c r="B30" s="59">
        <f t="shared" si="9"/>
        <v>22</v>
      </c>
      <c r="C30" s="76">
        <v>5775637</v>
      </c>
      <c r="D30" s="61">
        <f t="shared" si="2"/>
        <v>5042</v>
      </c>
      <c r="E30" s="76">
        <v>5727115</v>
      </c>
      <c r="F30" s="61">
        <f t="shared" si="10"/>
        <v>5043</v>
      </c>
      <c r="G30" s="76">
        <v>5411257</v>
      </c>
      <c r="H30" s="61">
        <f t="shared" si="3"/>
        <v>4707</v>
      </c>
      <c r="I30" s="60">
        <f t="shared" si="4"/>
        <v>14792</v>
      </c>
      <c r="J30" s="64">
        <v>0.99</v>
      </c>
      <c r="K30" s="65">
        <f t="shared" si="5"/>
        <v>3712.7919999999999</v>
      </c>
      <c r="L30" s="66"/>
      <c r="M30" s="77">
        <v>152317</v>
      </c>
      <c r="N30" s="61">
        <f t="shared" si="11"/>
        <v>149</v>
      </c>
      <c r="O30" s="76">
        <v>2298167</v>
      </c>
      <c r="P30" s="61">
        <f t="shared" si="12"/>
        <v>949</v>
      </c>
      <c r="Q30" s="67">
        <f t="shared" si="0"/>
        <v>1098</v>
      </c>
      <c r="R30" s="68">
        <f t="shared" si="6"/>
        <v>641.99715470799993</v>
      </c>
      <c r="S30" s="69"/>
      <c r="T30" s="83">
        <v>292243</v>
      </c>
      <c r="U30" s="61">
        <f t="shared" si="13"/>
        <v>240</v>
      </c>
      <c r="V30" s="71">
        <f t="shared" si="7"/>
        <v>685.2</v>
      </c>
      <c r="W30" s="72"/>
      <c r="X30" s="79">
        <f t="shared" si="1"/>
        <v>5039.9891547079997</v>
      </c>
      <c r="Y30" s="80">
        <v>130</v>
      </c>
      <c r="Z30" s="81">
        <f t="shared" si="8"/>
        <v>38.76914734390769</v>
      </c>
    </row>
    <row r="31" spans="1:26" x14ac:dyDescent="0.25">
      <c r="A31" s="10" t="s">
        <v>119</v>
      </c>
      <c r="B31" s="59">
        <f t="shared" si="9"/>
        <v>23</v>
      </c>
      <c r="C31" s="76">
        <v>5780365</v>
      </c>
      <c r="D31" s="61">
        <f t="shared" si="2"/>
        <v>4728</v>
      </c>
      <c r="E31" s="76">
        <v>5731848</v>
      </c>
      <c r="F31" s="61">
        <f t="shared" si="10"/>
        <v>4733</v>
      </c>
      <c r="G31" s="76">
        <v>5415686</v>
      </c>
      <c r="H31" s="61">
        <f t="shared" si="3"/>
        <v>4429</v>
      </c>
      <c r="I31" s="60">
        <f t="shared" si="4"/>
        <v>13890</v>
      </c>
      <c r="J31" s="64">
        <v>0.99</v>
      </c>
      <c r="K31" s="65">
        <f t="shared" si="5"/>
        <v>3486.39</v>
      </c>
      <c r="L31" s="66"/>
      <c r="M31" s="77">
        <v>152453</v>
      </c>
      <c r="N31" s="61">
        <f t="shared" si="11"/>
        <v>136</v>
      </c>
      <c r="O31" s="76">
        <v>2299043</v>
      </c>
      <c r="P31" s="61">
        <f t="shared" si="12"/>
        <v>876</v>
      </c>
      <c r="Q31" s="67">
        <f t="shared" si="0"/>
        <v>1012</v>
      </c>
      <c r="R31" s="68">
        <f t="shared" si="6"/>
        <v>591.54091651200008</v>
      </c>
      <c r="S31" s="69"/>
      <c r="T31" s="83">
        <v>292759</v>
      </c>
      <c r="U31" s="61">
        <f t="shared" si="13"/>
        <v>516</v>
      </c>
      <c r="V31" s="71">
        <f t="shared" si="7"/>
        <v>1473.18</v>
      </c>
      <c r="W31" s="72"/>
      <c r="X31" s="96">
        <f t="shared" si="1"/>
        <v>5551.1109165119997</v>
      </c>
      <c r="Y31" s="80">
        <v>122</v>
      </c>
      <c r="Z31" s="81">
        <f t="shared" si="8"/>
        <v>45.500909151737702</v>
      </c>
    </row>
    <row r="32" spans="1:26" x14ac:dyDescent="0.25">
      <c r="A32" s="10" t="s">
        <v>120</v>
      </c>
      <c r="B32" s="59">
        <f t="shared" si="9"/>
        <v>24</v>
      </c>
      <c r="C32" s="76">
        <v>5785388</v>
      </c>
      <c r="D32" s="61">
        <f t="shared" si="2"/>
        <v>5023</v>
      </c>
      <c r="E32" s="76">
        <v>5736884</v>
      </c>
      <c r="F32" s="61">
        <f t="shared" si="10"/>
        <v>5036</v>
      </c>
      <c r="G32" s="76">
        <v>5420393</v>
      </c>
      <c r="H32" s="61">
        <f t="shared" si="3"/>
        <v>4707</v>
      </c>
      <c r="I32" s="60">
        <f t="shared" si="4"/>
        <v>14766</v>
      </c>
      <c r="J32" s="64">
        <v>0.99</v>
      </c>
      <c r="K32" s="65">
        <f t="shared" si="5"/>
        <v>3706.2660000000001</v>
      </c>
      <c r="L32" s="66"/>
      <c r="M32" s="77">
        <v>152544</v>
      </c>
      <c r="N32" s="61">
        <f t="shared" si="11"/>
        <v>91</v>
      </c>
      <c r="O32" s="76">
        <v>2299993</v>
      </c>
      <c r="P32" s="61">
        <f t="shared" si="12"/>
        <v>950</v>
      </c>
      <c r="Q32" s="67">
        <f t="shared" si="0"/>
        <v>1041</v>
      </c>
      <c r="R32" s="68">
        <f t="shared" si="6"/>
        <v>602.15583537200007</v>
      </c>
      <c r="S32" s="69"/>
      <c r="T32" s="83">
        <v>293174</v>
      </c>
      <c r="U32" s="61">
        <f t="shared" si="13"/>
        <v>415</v>
      </c>
      <c r="V32" s="71">
        <f t="shared" si="7"/>
        <v>1184.825</v>
      </c>
      <c r="W32" s="72"/>
      <c r="X32" s="96">
        <f t="shared" si="1"/>
        <v>5493.2468353719996</v>
      </c>
      <c r="Y32" s="80">
        <v>129</v>
      </c>
      <c r="Z32" s="81">
        <f t="shared" si="8"/>
        <v>42.583308801333331</v>
      </c>
    </row>
    <row r="33" spans="1:26" x14ac:dyDescent="0.25">
      <c r="A33" s="10" t="s">
        <v>121</v>
      </c>
      <c r="B33" s="59">
        <f t="shared" si="9"/>
        <v>25</v>
      </c>
      <c r="C33" s="76">
        <v>5790583</v>
      </c>
      <c r="D33" s="61">
        <f t="shared" si="2"/>
        <v>5195</v>
      </c>
      <c r="E33" s="76">
        <v>5742112</v>
      </c>
      <c r="F33" s="61">
        <f t="shared" si="10"/>
        <v>5228</v>
      </c>
      <c r="G33" s="76">
        <v>5425274</v>
      </c>
      <c r="H33" s="61">
        <f t="shared" si="3"/>
        <v>4881</v>
      </c>
      <c r="I33" s="60">
        <f t="shared" si="4"/>
        <v>15304</v>
      </c>
      <c r="J33" s="64">
        <v>0.99</v>
      </c>
      <c r="K33" s="65">
        <f t="shared" si="5"/>
        <v>3841.3040000000001</v>
      </c>
      <c r="L33" s="66"/>
      <c r="M33" s="77">
        <v>152696</v>
      </c>
      <c r="N33" s="61">
        <f t="shared" si="11"/>
        <v>152</v>
      </c>
      <c r="O33" s="76">
        <v>2300908</v>
      </c>
      <c r="P33" s="61">
        <f t="shared" si="12"/>
        <v>915</v>
      </c>
      <c r="Q33" s="67">
        <f t="shared" si="0"/>
        <v>1067</v>
      </c>
      <c r="R33" s="68">
        <f t="shared" si="6"/>
        <v>624.80543798400004</v>
      </c>
      <c r="S33" s="69"/>
      <c r="T33" s="83">
        <v>293718</v>
      </c>
      <c r="U33" s="61">
        <f t="shared" si="13"/>
        <v>544</v>
      </c>
      <c r="V33" s="71">
        <f t="shared" si="7"/>
        <v>1553.12</v>
      </c>
      <c r="W33" s="72"/>
      <c r="X33" s="96">
        <f t="shared" si="1"/>
        <v>6019.2294379839996</v>
      </c>
      <c r="Y33" s="80">
        <v>98</v>
      </c>
      <c r="Z33" s="81">
        <f t="shared" si="8"/>
        <v>61.420708550857135</v>
      </c>
    </row>
    <row r="34" spans="1:26" x14ac:dyDescent="0.25">
      <c r="A34" s="10" t="s">
        <v>96</v>
      </c>
      <c r="B34" s="59">
        <f t="shared" si="9"/>
        <v>26</v>
      </c>
      <c r="C34" s="84">
        <v>5795541</v>
      </c>
      <c r="D34" s="61">
        <f t="shared" si="2"/>
        <v>4958</v>
      </c>
      <c r="E34" s="76">
        <v>5746841</v>
      </c>
      <c r="F34" s="61">
        <f t="shared" si="10"/>
        <v>4729</v>
      </c>
      <c r="G34" s="76">
        <v>5429651</v>
      </c>
      <c r="H34" s="61">
        <f t="shared" si="3"/>
        <v>4377</v>
      </c>
      <c r="I34" s="60">
        <f t="shared" si="4"/>
        <v>14064</v>
      </c>
      <c r="J34" s="64">
        <v>0.99</v>
      </c>
      <c r="K34" s="65">
        <f t="shared" si="5"/>
        <v>3530.0639999999999</v>
      </c>
      <c r="L34" s="66"/>
      <c r="M34" s="77">
        <v>152814</v>
      </c>
      <c r="N34" s="61">
        <f t="shared" si="11"/>
        <v>118</v>
      </c>
      <c r="O34" s="76">
        <v>2301901</v>
      </c>
      <c r="P34" s="61">
        <f t="shared" si="12"/>
        <v>993</v>
      </c>
      <c r="Q34" s="67">
        <f t="shared" si="0"/>
        <v>1111</v>
      </c>
      <c r="R34" s="68">
        <f t="shared" si="6"/>
        <v>645.35247285599996</v>
      </c>
      <c r="S34" s="69"/>
      <c r="T34" s="83">
        <v>294112</v>
      </c>
      <c r="U34" s="61">
        <f t="shared" si="13"/>
        <v>394</v>
      </c>
      <c r="V34" s="71">
        <f t="shared" si="7"/>
        <v>1124.8699999999999</v>
      </c>
      <c r="W34" s="72"/>
      <c r="X34" s="96">
        <f t="shared" si="1"/>
        <v>5300.2864728559998</v>
      </c>
      <c r="Y34" s="80">
        <v>93</v>
      </c>
      <c r="Z34" s="81">
        <f t="shared" si="8"/>
        <v>56.992327665118275</v>
      </c>
    </row>
    <row r="35" spans="1:26" x14ac:dyDescent="0.25">
      <c r="A35" s="10" t="s">
        <v>116</v>
      </c>
      <c r="B35" s="59">
        <f t="shared" si="9"/>
        <v>27</v>
      </c>
      <c r="C35" s="84">
        <v>5800295</v>
      </c>
      <c r="D35" s="61">
        <f t="shared" si="2"/>
        <v>4754</v>
      </c>
      <c r="E35" s="76">
        <v>5751862</v>
      </c>
      <c r="F35" s="61">
        <f t="shared" si="10"/>
        <v>5021</v>
      </c>
      <c r="G35" s="76">
        <v>5434387</v>
      </c>
      <c r="H35" s="61">
        <f t="shared" si="3"/>
        <v>4736</v>
      </c>
      <c r="I35" s="60">
        <f t="shared" si="4"/>
        <v>14511</v>
      </c>
      <c r="J35" s="64">
        <v>0.99</v>
      </c>
      <c r="K35" s="65">
        <f t="shared" si="5"/>
        <v>3642.261</v>
      </c>
      <c r="L35" s="66"/>
      <c r="M35" s="77">
        <v>152988</v>
      </c>
      <c r="N35" s="61">
        <f t="shared" si="11"/>
        <v>174</v>
      </c>
      <c r="O35" s="76">
        <v>2302729</v>
      </c>
      <c r="P35" s="61">
        <f t="shared" si="12"/>
        <v>828</v>
      </c>
      <c r="Q35" s="67">
        <f t="shared" si="0"/>
        <v>1002</v>
      </c>
      <c r="R35" s="68">
        <f t="shared" si="6"/>
        <v>590.79403000800005</v>
      </c>
      <c r="S35" s="69"/>
      <c r="T35" s="83">
        <v>294526</v>
      </c>
      <c r="U35" s="61">
        <f t="shared" si="13"/>
        <v>414</v>
      </c>
      <c r="V35" s="71">
        <f t="shared" si="7"/>
        <v>1181.97</v>
      </c>
      <c r="W35" s="72"/>
      <c r="X35" s="96">
        <f t="shared" si="1"/>
        <v>5415.0250300080006</v>
      </c>
      <c r="Y35" s="80">
        <v>98</v>
      </c>
      <c r="Z35" s="81">
        <f t="shared" si="8"/>
        <v>55.255357449061229</v>
      </c>
    </row>
    <row r="36" spans="1:26" x14ac:dyDescent="0.25">
      <c r="A36" s="10" t="s">
        <v>117</v>
      </c>
      <c r="B36" s="59">
        <f t="shared" si="9"/>
        <v>28</v>
      </c>
      <c r="C36" s="84"/>
      <c r="D36" s="61" t="str">
        <f t="shared" si="2"/>
        <v>0</v>
      </c>
      <c r="E36" s="76"/>
      <c r="F36" s="61" t="str">
        <f t="shared" si="10"/>
        <v>0</v>
      </c>
      <c r="G36" s="76"/>
      <c r="H36" s="61" t="str">
        <f t="shared" si="3"/>
        <v>0</v>
      </c>
      <c r="I36" s="60">
        <f t="shared" si="4"/>
        <v>0</v>
      </c>
      <c r="J36" s="64"/>
      <c r="K36" s="65">
        <f t="shared" si="5"/>
        <v>0</v>
      </c>
      <c r="L36" s="66"/>
      <c r="M36" s="77"/>
      <c r="N36" s="61" t="str">
        <f t="shared" si="11"/>
        <v>0</v>
      </c>
      <c r="O36" s="76"/>
      <c r="P36" s="61" t="str">
        <f t="shared" si="12"/>
        <v>0</v>
      </c>
      <c r="Q36" s="67">
        <f t="shared" si="0"/>
        <v>0</v>
      </c>
      <c r="R36" s="68">
        <f t="shared" si="6"/>
        <v>0</v>
      </c>
      <c r="S36" s="69"/>
      <c r="T36" s="83"/>
      <c r="U36" s="61" t="str">
        <f t="shared" si="13"/>
        <v>0</v>
      </c>
      <c r="V36" s="71">
        <f t="shared" si="7"/>
        <v>0</v>
      </c>
      <c r="W36" s="72"/>
      <c r="X36" s="96">
        <f t="shared" si="1"/>
        <v>0</v>
      </c>
      <c r="Y36" s="80"/>
      <c r="Z36" s="81" t="e">
        <f t="shared" si="8"/>
        <v>#DIV/0!</v>
      </c>
    </row>
    <row r="37" spans="1:26" x14ac:dyDescent="0.25">
      <c r="A37" s="10" t="s">
        <v>118</v>
      </c>
      <c r="B37" s="59">
        <f t="shared" si="9"/>
        <v>29</v>
      </c>
      <c r="C37" s="63"/>
      <c r="D37" s="61">
        <f t="shared" si="2"/>
        <v>0</v>
      </c>
      <c r="E37" s="109"/>
      <c r="F37" s="61">
        <f t="shared" si="10"/>
        <v>0</v>
      </c>
      <c r="G37" s="60"/>
      <c r="H37" s="61">
        <f t="shared" si="3"/>
        <v>0</v>
      </c>
      <c r="I37" s="60">
        <f t="shared" si="4"/>
        <v>0</v>
      </c>
      <c r="J37" s="64"/>
      <c r="K37" s="65">
        <f t="shared" si="5"/>
        <v>0</v>
      </c>
      <c r="L37" s="66"/>
      <c r="M37" s="60"/>
      <c r="N37" s="61">
        <f t="shared" si="11"/>
        <v>0</v>
      </c>
      <c r="O37" s="60"/>
      <c r="P37" s="61">
        <f t="shared" si="12"/>
        <v>0</v>
      </c>
      <c r="Q37" s="67">
        <f t="shared" si="0"/>
        <v>0</v>
      </c>
      <c r="R37" s="68">
        <f t="shared" si="6"/>
        <v>0</v>
      </c>
      <c r="S37" s="69"/>
      <c r="T37" s="83"/>
      <c r="U37" s="61">
        <f t="shared" si="13"/>
        <v>0</v>
      </c>
      <c r="V37" s="71">
        <f t="shared" si="7"/>
        <v>0</v>
      </c>
      <c r="W37" s="72"/>
      <c r="X37" s="96">
        <f t="shared" si="1"/>
        <v>0</v>
      </c>
      <c r="Y37" s="110"/>
      <c r="Z37" s="81" t="e">
        <f t="shared" si="8"/>
        <v>#DIV/0!</v>
      </c>
    </row>
    <row r="38" spans="1:26" x14ac:dyDescent="0.25">
      <c r="A38" s="10" t="s">
        <v>119</v>
      </c>
      <c r="B38" s="59">
        <f t="shared" si="9"/>
        <v>30</v>
      </c>
      <c r="C38" s="63"/>
      <c r="D38" s="61">
        <f t="shared" si="2"/>
        <v>0</v>
      </c>
      <c r="E38" s="109"/>
      <c r="F38" s="61">
        <f t="shared" si="10"/>
        <v>0</v>
      </c>
      <c r="G38" s="60"/>
      <c r="H38" s="61">
        <f t="shared" si="3"/>
        <v>0</v>
      </c>
      <c r="I38" s="60">
        <f t="shared" si="4"/>
        <v>0</v>
      </c>
      <c r="J38" s="64"/>
      <c r="K38" s="65">
        <f t="shared" si="5"/>
        <v>0</v>
      </c>
      <c r="L38" s="66"/>
      <c r="M38" s="60"/>
      <c r="N38" s="61">
        <f t="shared" si="11"/>
        <v>0</v>
      </c>
      <c r="O38" s="60"/>
      <c r="P38" s="61">
        <f t="shared" si="12"/>
        <v>0</v>
      </c>
      <c r="Q38" s="67">
        <f t="shared" si="0"/>
        <v>0</v>
      </c>
      <c r="R38" s="68">
        <f t="shared" si="6"/>
        <v>0</v>
      </c>
      <c r="S38" s="69"/>
      <c r="T38" s="83"/>
      <c r="U38" s="61">
        <f t="shared" si="13"/>
        <v>0</v>
      </c>
      <c r="V38" s="71">
        <f t="shared" si="7"/>
        <v>0</v>
      </c>
      <c r="W38" s="72"/>
      <c r="X38" s="96">
        <f t="shared" si="1"/>
        <v>0</v>
      </c>
      <c r="Y38" s="110"/>
      <c r="Z38" s="81" t="e">
        <f t="shared" si="8"/>
        <v>#DIV/0!</v>
      </c>
    </row>
    <row r="39" spans="1:26" x14ac:dyDescent="0.25">
      <c r="A39" s="10" t="s">
        <v>120</v>
      </c>
      <c r="B39" s="59">
        <f t="shared" si="9"/>
        <v>31</v>
      </c>
      <c r="C39" s="63"/>
      <c r="D39" s="61">
        <f t="shared" si="2"/>
        <v>0</v>
      </c>
      <c r="E39" s="109"/>
      <c r="F39" s="61">
        <f t="shared" si="10"/>
        <v>0</v>
      </c>
      <c r="G39" s="60"/>
      <c r="H39" s="61">
        <f t="shared" si="3"/>
        <v>0</v>
      </c>
      <c r="I39" s="60">
        <f t="shared" si="4"/>
        <v>0</v>
      </c>
      <c r="J39" s="64"/>
      <c r="K39" s="65">
        <f t="shared" si="5"/>
        <v>0</v>
      </c>
      <c r="L39" s="66"/>
      <c r="M39" s="60"/>
      <c r="N39" s="61">
        <f t="shared" si="11"/>
        <v>0</v>
      </c>
      <c r="O39" s="60"/>
      <c r="P39" s="61">
        <f t="shared" si="12"/>
        <v>0</v>
      </c>
      <c r="Q39" s="67">
        <f t="shared" si="0"/>
        <v>0</v>
      </c>
      <c r="R39" s="68">
        <f t="shared" si="6"/>
        <v>0</v>
      </c>
      <c r="S39" s="69"/>
      <c r="T39" s="83"/>
      <c r="U39" s="61">
        <f t="shared" si="13"/>
        <v>0</v>
      </c>
      <c r="V39" s="71">
        <f t="shared" si="7"/>
        <v>0</v>
      </c>
      <c r="W39" s="72"/>
      <c r="X39" s="96">
        <f t="shared" si="1"/>
        <v>0</v>
      </c>
      <c r="Y39" s="110"/>
      <c r="Z39" s="81" t="e">
        <f t="shared" si="8"/>
        <v>#DIV/0!</v>
      </c>
    </row>
    <row r="40" spans="1:26" x14ac:dyDescent="0.25">
      <c r="A40" s="10"/>
      <c r="B40" s="97"/>
      <c r="C40" s="98">
        <f>SUMIF(D9:D36,"&gt;0")</f>
        <v>142502</v>
      </c>
      <c r="D40" s="99"/>
      <c r="E40" s="134">
        <f>SUMIF(F9:F36,"&gt;0")</f>
        <v>141824</v>
      </c>
      <c r="F40" s="135"/>
      <c r="G40" s="136">
        <f>SUMIF(H9:H36,"&gt;0")</f>
        <v>133910</v>
      </c>
      <c r="H40" s="135"/>
      <c r="I40" s="100">
        <f>SUMIF(I9:I36,"&gt;0")</f>
        <v>418236</v>
      </c>
      <c r="J40" s="101"/>
      <c r="K40" s="102">
        <f>SUMIF(K9:K36,"&gt;0")</f>
        <v>104977.236</v>
      </c>
      <c r="L40" s="100"/>
      <c r="M40" s="136">
        <f>SUMIF(N9:N36,"&gt;0")</f>
        <v>3781</v>
      </c>
      <c r="N40" s="135"/>
      <c r="O40" s="136">
        <f>SUMIF(P9:P36,"&gt;0")</f>
        <v>23705</v>
      </c>
      <c r="P40" s="135"/>
      <c r="Q40" s="101">
        <f>SUMIF(Q9:Q36,"&gt;0")</f>
        <v>27486</v>
      </c>
      <c r="R40" s="102">
        <f>SUMIF(R9:R36,"&gt;0")</f>
        <v>16077.601664852002</v>
      </c>
      <c r="S40" s="103"/>
      <c r="T40" s="137">
        <f>SUMIF(U9:U36,"&gt;0")</f>
        <v>10959</v>
      </c>
      <c r="U40" s="137"/>
      <c r="V40" s="104">
        <f>SUMIF(V9:V36,"&gt;0")</f>
        <v>31287.945</v>
      </c>
      <c r="W40" s="105"/>
      <c r="X40" s="106">
        <f>SUMIF(X9:X36,"&gt;0")</f>
        <v>152342.78266485201</v>
      </c>
      <c r="Y40" s="107">
        <f>SUM(Y9:Y39)</f>
        <v>2833</v>
      </c>
      <c r="Z40" s="108">
        <f>(SUMIF(Z9:Z36,"&gt;0")/31)</f>
        <v>47.892785850400571</v>
      </c>
    </row>
  </sheetData>
  <mergeCells count="12">
    <mergeCell ref="B1:E4"/>
    <mergeCell ref="F1:V4"/>
    <mergeCell ref="W1:Z2"/>
    <mergeCell ref="W3:Z4"/>
    <mergeCell ref="C7:K7"/>
    <mergeCell ref="M7:R7"/>
    <mergeCell ref="T7:V7"/>
    <mergeCell ref="E40:F40"/>
    <mergeCell ref="G40:H40"/>
    <mergeCell ref="M40:N40"/>
    <mergeCell ref="O40:P40"/>
    <mergeCell ref="T40:U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zoomScale="68" zoomScaleNormal="68" workbookViewId="0">
      <selection activeCell="V44" sqref="V44:V45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11">
        <v>49433</v>
      </c>
      <c r="C6" s="112">
        <v>79236</v>
      </c>
      <c r="D6" s="113">
        <v>15207</v>
      </c>
      <c r="E6" s="113">
        <v>13719</v>
      </c>
      <c r="F6" s="113">
        <v>189420</v>
      </c>
      <c r="G6" s="113">
        <v>3495</v>
      </c>
      <c r="H6" s="112">
        <v>1485</v>
      </c>
      <c r="I6" s="113">
        <v>380288</v>
      </c>
      <c r="J6" s="113">
        <v>68377</v>
      </c>
      <c r="K6" s="113">
        <v>7921</v>
      </c>
      <c r="L6" s="113">
        <v>29890</v>
      </c>
      <c r="M6" s="113">
        <v>52115</v>
      </c>
      <c r="N6" s="113">
        <v>38542</v>
      </c>
      <c r="O6" s="113">
        <v>181658</v>
      </c>
      <c r="P6" s="113">
        <v>375920</v>
      </c>
      <c r="Q6" s="113">
        <v>2808</v>
      </c>
      <c r="R6" s="113">
        <v>18050</v>
      </c>
      <c r="S6" s="113">
        <v>25503</v>
      </c>
      <c r="T6" s="113">
        <v>278413</v>
      </c>
      <c r="U6" s="113">
        <v>375407</v>
      </c>
      <c r="V6" s="113">
        <v>40159</v>
      </c>
      <c r="W6" s="113">
        <v>5416</v>
      </c>
      <c r="X6" s="113">
        <v>13927</v>
      </c>
      <c r="Y6" s="113">
        <v>86195</v>
      </c>
      <c r="Z6" s="112">
        <v>540</v>
      </c>
      <c r="AA6" s="113">
        <v>170186</v>
      </c>
      <c r="AB6" s="113">
        <v>7562</v>
      </c>
      <c r="AC6" s="113">
        <v>1974</v>
      </c>
      <c r="AD6" s="113">
        <v>17975</v>
      </c>
      <c r="AE6" s="113">
        <v>76508</v>
      </c>
      <c r="AF6" s="113">
        <v>205359</v>
      </c>
      <c r="AG6" s="113">
        <v>1125790</v>
      </c>
      <c r="AH6" s="113">
        <v>11123</v>
      </c>
      <c r="AI6" s="113">
        <v>483379</v>
      </c>
      <c r="AJ6" s="113">
        <v>637743</v>
      </c>
      <c r="AK6" s="113">
        <v>9334</v>
      </c>
      <c r="AL6" s="114">
        <v>29315</v>
      </c>
      <c r="AM6" s="113">
        <v>28542</v>
      </c>
      <c r="AN6" s="115">
        <v>596531</v>
      </c>
      <c r="AO6" s="115">
        <v>5246</v>
      </c>
      <c r="AP6" s="116">
        <v>0</v>
      </c>
      <c r="AQ6" s="113">
        <v>109712</v>
      </c>
      <c r="AR6" s="113">
        <v>217210</v>
      </c>
      <c r="AS6" s="113">
        <v>63112</v>
      </c>
      <c r="AT6" s="113">
        <v>560</v>
      </c>
      <c r="AU6" s="113">
        <v>107079</v>
      </c>
      <c r="AV6" s="113">
        <v>44534</v>
      </c>
      <c r="AW6" s="113">
        <v>38275</v>
      </c>
      <c r="AX6" s="113">
        <v>175158</v>
      </c>
      <c r="AY6" s="117">
        <v>481902</v>
      </c>
    </row>
    <row r="7" spans="1:83" ht="90" x14ac:dyDescent="0.25">
      <c r="A7" s="118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9" t="s">
        <v>63</v>
      </c>
      <c r="BA7" s="119" t="s">
        <v>64</v>
      </c>
      <c r="BB7" s="119" t="s">
        <v>65</v>
      </c>
      <c r="BC7" s="119" t="s">
        <v>66</v>
      </c>
      <c r="BD7" s="119" t="s">
        <v>67</v>
      </c>
      <c r="BE7" s="119" t="s">
        <v>68</v>
      </c>
      <c r="BF7" s="119" t="s">
        <v>69</v>
      </c>
      <c r="BG7" s="119" t="s">
        <v>70</v>
      </c>
      <c r="BH7" s="119" t="s">
        <v>71</v>
      </c>
      <c r="BI7" s="119" t="s">
        <v>72</v>
      </c>
      <c r="BJ7" s="119" t="s">
        <v>73</v>
      </c>
      <c r="BK7" s="119" t="s">
        <v>74</v>
      </c>
      <c r="BL7" s="119" t="s">
        <v>75</v>
      </c>
      <c r="BM7" s="119" t="s">
        <v>76</v>
      </c>
      <c r="BN7" s="119" t="s">
        <v>77</v>
      </c>
      <c r="BO7" s="119" t="s">
        <v>78</v>
      </c>
      <c r="BP7" s="119" t="s">
        <v>79</v>
      </c>
      <c r="BQ7" s="119" t="s">
        <v>80</v>
      </c>
      <c r="BR7" s="119" t="s">
        <v>81</v>
      </c>
      <c r="BS7" s="120" t="s">
        <v>82</v>
      </c>
      <c r="BT7" s="120" t="s">
        <v>83</v>
      </c>
      <c r="BU7" s="120" t="s">
        <v>84</v>
      </c>
      <c r="BV7" s="120" t="s">
        <v>85</v>
      </c>
      <c r="BW7" s="120" t="s">
        <v>86</v>
      </c>
      <c r="BX7" s="120" t="s">
        <v>87</v>
      </c>
      <c r="BY7" s="120" t="s">
        <v>88</v>
      </c>
      <c r="BZ7" s="120" t="s">
        <v>89</v>
      </c>
      <c r="CA7" s="120" t="s">
        <v>90</v>
      </c>
      <c r="CB7" s="120" t="s">
        <v>91</v>
      </c>
      <c r="CC7" s="120" t="s">
        <v>92</v>
      </c>
      <c r="CD7" s="120" t="s">
        <v>93</v>
      </c>
      <c r="CE7" s="120" t="s">
        <v>94</v>
      </c>
    </row>
    <row r="8" spans="1:83" x14ac:dyDescent="0.25">
      <c r="A8">
        <v>1</v>
      </c>
      <c r="B8" s="121">
        <v>78665</v>
      </c>
      <c r="C8" s="122">
        <v>109693</v>
      </c>
      <c r="D8" s="122">
        <v>19704</v>
      </c>
      <c r="E8" s="122">
        <v>21539</v>
      </c>
      <c r="F8" s="122">
        <v>273829</v>
      </c>
      <c r="G8" s="122">
        <v>4911</v>
      </c>
      <c r="H8" s="122">
        <v>10011</v>
      </c>
      <c r="I8" s="122">
        <v>540431</v>
      </c>
      <c r="J8" s="122">
        <v>91252</v>
      </c>
      <c r="K8" s="122">
        <v>8077</v>
      </c>
      <c r="L8" s="122">
        <v>39901</v>
      </c>
      <c r="M8" s="122">
        <v>61484</v>
      </c>
      <c r="N8" s="122">
        <v>55539</v>
      </c>
      <c r="O8" s="122">
        <v>269908</v>
      </c>
      <c r="P8" s="122">
        <v>561781</v>
      </c>
      <c r="Q8" s="122">
        <v>5098</v>
      </c>
      <c r="R8" s="122">
        <v>26608</v>
      </c>
      <c r="S8" s="122">
        <v>25503</v>
      </c>
      <c r="T8" s="122">
        <v>374396</v>
      </c>
      <c r="U8" s="122">
        <v>536193</v>
      </c>
      <c r="V8" s="122">
        <v>59337</v>
      </c>
      <c r="W8" s="122">
        <v>7566</v>
      </c>
      <c r="X8" s="122">
        <v>21967</v>
      </c>
      <c r="Y8" s="122">
        <v>123967</v>
      </c>
      <c r="Z8" s="122">
        <v>1302</v>
      </c>
      <c r="AA8" s="132">
        <v>235926</v>
      </c>
      <c r="AB8" s="122">
        <v>11340</v>
      </c>
      <c r="AC8" s="122">
        <v>2753</v>
      </c>
      <c r="AD8" s="122">
        <v>24995</v>
      </c>
      <c r="AE8" s="122">
        <v>121998</v>
      </c>
      <c r="AF8" s="122">
        <v>310420</v>
      </c>
      <c r="AG8" s="122">
        <v>1520062</v>
      </c>
      <c r="AH8" s="122">
        <v>13954</v>
      </c>
      <c r="AI8" s="122">
        <v>4944003</v>
      </c>
      <c r="AJ8" s="122">
        <v>910226</v>
      </c>
      <c r="AK8" s="122">
        <v>19573</v>
      </c>
      <c r="AL8" s="122">
        <v>48315</v>
      </c>
      <c r="AM8" s="123">
        <v>48576</v>
      </c>
      <c r="AN8" s="122">
        <v>845596</v>
      </c>
      <c r="AO8" s="124">
        <v>5710</v>
      </c>
      <c r="AP8" s="124">
        <v>0</v>
      </c>
      <c r="AQ8" s="124">
        <v>151987</v>
      </c>
      <c r="AR8" s="122">
        <v>302719</v>
      </c>
      <c r="AS8" s="122">
        <v>862857</v>
      </c>
      <c r="AT8" s="122">
        <v>865</v>
      </c>
      <c r="AU8" s="122">
        <v>162360</v>
      </c>
      <c r="AV8" s="122">
        <v>61387</v>
      </c>
      <c r="AW8" s="122">
        <v>51470</v>
      </c>
      <c r="AX8" s="122">
        <v>256991</v>
      </c>
      <c r="AY8" s="122">
        <v>693331</v>
      </c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</row>
    <row r="9" spans="1:83" x14ac:dyDescent="0.25">
      <c r="A9">
        <v>2</v>
      </c>
      <c r="B9" s="112">
        <v>78754</v>
      </c>
      <c r="C9" s="112">
        <v>109866</v>
      </c>
      <c r="D9" s="112">
        <v>19721</v>
      </c>
      <c r="E9" s="112">
        <v>21573</v>
      </c>
      <c r="F9" s="112">
        <v>274023</v>
      </c>
      <c r="G9" s="112">
        <v>4914</v>
      </c>
      <c r="H9" s="112">
        <v>10029</v>
      </c>
      <c r="I9" s="112">
        <v>540817</v>
      </c>
      <c r="J9" s="112">
        <v>91283</v>
      </c>
      <c r="K9" s="112">
        <v>8077</v>
      </c>
      <c r="L9" s="112">
        <v>39930</v>
      </c>
      <c r="M9" s="112">
        <v>61515</v>
      </c>
      <c r="N9" s="112">
        <v>55561</v>
      </c>
      <c r="O9" s="112">
        <v>270105</v>
      </c>
      <c r="P9" s="112">
        <v>562298</v>
      </c>
      <c r="Q9" s="112">
        <v>5104</v>
      </c>
      <c r="R9" s="112">
        <v>26622</v>
      </c>
      <c r="S9" s="112">
        <v>25503</v>
      </c>
      <c r="T9" s="112">
        <v>374536</v>
      </c>
      <c r="U9" s="112">
        <v>536581</v>
      </c>
      <c r="V9" s="112">
        <v>59384</v>
      </c>
      <c r="W9" s="112">
        <v>7607</v>
      </c>
      <c r="X9" s="112">
        <v>21990</v>
      </c>
      <c r="Y9" s="112">
        <v>124102</v>
      </c>
      <c r="Z9" s="112">
        <v>1302</v>
      </c>
      <c r="AA9" s="112">
        <v>236194</v>
      </c>
      <c r="AB9" s="112">
        <v>11343</v>
      </c>
      <c r="AC9" s="112">
        <v>2755</v>
      </c>
      <c r="AD9" s="112">
        <v>25022</v>
      </c>
      <c r="AE9" s="112">
        <v>122103</v>
      </c>
      <c r="AF9" s="112">
        <v>310613</v>
      </c>
      <c r="AG9" s="112">
        <v>1520757</v>
      </c>
      <c r="AH9" s="112">
        <v>13961</v>
      </c>
      <c r="AI9" s="112">
        <v>494020</v>
      </c>
      <c r="AJ9" s="112">
        <v>910881</v>
      </c>
      <c r="AK9" s="112">
        <v>14588</v>
      </c>
      <c r="AL9" s="126">
        <v>48329</v>
      </c>
      <c r="AM9" s="112">
        <v>48783</v>
      </c>
      <c r="AN9" s="116">
        <v>846391</v>
      </c>
      <c r="AO9" s="116">
        <v>5710</v>
      </c>
      <c r="AP9" s="116">
        <v>0</v>
      </c>
      <c r="AQ9" s="112">
        <v>152115</v>
      </c>
      <c r="AR9" s="112">
        <v>302962</v>
      </c>
      <c r="AS9" s="112">
        <v>863252</v>
      </c>
      <c r="AT9" s="112">
        <v>866</v>
      </c>
      <c r="AU9" s="112">
        <v>162513</v>
      </c>
      <c r="AV9" s="112">
        <v>61427</v>
      </c>
      <c r="AW9" s="112">
        <v>51508</v>
      </c>
      <c r="AX9" s="112">
        <v>257181</v>
      </c>
      <c r="AY9" s="112">
        <v>693940</v>
      </c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</row>
    <row r="10" spans="1:83" x14ac:dyDescent="0.25">
      <c r="A10">
        <v>3</v>
      </c>
      <c r="B10" s="112">
        <v>78853</v>
      </c>
      <c r="C10" s="112">
        <v>119049</v>
      </c>
      <c r="D10" s="112">
        <v>19731</v>
      </c>
      <c r="E10" s="112">
        <v>21599</v>
      </c>
      <c r="F10" s="112">
        <v>274211</v>
      </c>
      <c r="G10" s="112">
        <v>4917</v>
      </c>
      <c r="H10" s="112">
        <v>10052</v>
      </c>
      <c r="I10" s="112">
        <v>541210</v>
      </c>
      <c r="J10" s="112">
        <v>91324</v>
      </c>
      <c r="K10" s="112">
        <v>8078</v>
      </c>
      <c r="L10" s="112">
        <v>39964</v>
      </c>
      <c r="M10" s="112">
        <v>61543</v>
      </c>
      <c r="N10" s="112">
        <v>55588</v>
      </c>
      <c r="O10" s="112">
        <v>270301</v>
      </c>
      <c r="P10" s="112">
        <v>562941</v>
      </c>
      <c r="Q10" s="112">
        <v>5110</v>
      </c>
      <c r="R10" s="112">
        <v>26636</v>
      </c>
      <c r="S10" s="112">
        <v>25503</v>
      </c>
      <c r="T10" s="112">
        <v>374686</v>
      </c>
      <c r="U10" s="112">
        <v>536958</v>
      </c>
      <c r="V10" s="112">
        <v>59424</v>
      </c>
      <c r="W10" s="112">
        <v>7633</v>
      </c>
      <c r="X10" s="112">
        <v>22001</v>
      </c>
      <c r="Y10" s="112">
        <v>124175</v>
      </c>
      <c r="Z10" s="112">
        <v>1302</v>
      </c>
      <c r="AA10" s="112">
        <v>236328</v>
      </c>
      <c r="AB10" s="112">
        <v>11343</v>
      </c>
      <c r="AC10" s="112">
        <v>2756</v>
      </c>
      <c r="AD10" s="112">
        <v>25050</v>
      </c>
      <c r="AE10" s="112">
        <v>122220</v>
      </c>
      <c r="AF10" s="112">
        <v>310802</v>
      </c>
      <c r="AG10" s="112">
        <v>1521468</v>
      </c>
      <c r="AH10" s="112">
        <v>13969</v>
      </c>
      <c r="AI10" s="112">
        <v>494037</v>
      </c>
      <c r="AJ10" s="112">
        <v>911538</v>
      </c>
      <c r="AK10" s="112">
        <v>14601</v>
      </c>
      <c r="AL10" s="126">
        <v>48344</v>
      </c>
      <c r="AM10" s="112">
        <v>48883</v>
      </c>
      <c r="AN10" s="116">
        <v>847255</v>
      </c>
      <c r="AO10" s="116">
        <v>5710</v>
      </c>
      <c r="AP10" s="116">
        <v>0</v>
      </c>
      <c r="AQ10" s="112">
        <v>152242</v>
      </c>
      <c r="AR10" s="112">
        <v>303193</v>
      </c>
      <c r="AS10" s="112">
        <v>863644</v>
      </c>
      <c r="AT10" s="112">
        <v>867</v>
      </c>
      <c r="AU10" s="112">
        <v>162693</v>
      </c>
      <c r="AV10" s="112">
        <v>61468</v>
      </c>
      <c r="AW10" s="112">
        <v>51545</v>
      </c>
      <c r="AX10" s="112">
        <v>257383</v>
      </c>
      <c r="AY10" s="112">
        <v>6945661</v>
      </c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</row>
    <row r="11" spans="1:83" x14ac:dyDescent="0.25">
      <c r="A11">
        <v>4</v>
      </c>
      <c r="B11" s="112">
        <v>78940</v>
      </c>
      <c r="C11" s="112">
        <v>110234</v>
      </c>
      <c r="D11" s="112">
        <v>19739</v>
      </c>
      <c r="E11" s="112">
        <v>21613</v>
      </c>
      <c r="F11" s="112">
        <v>274402</v>
      </c>
      <c r="G11" s="112">
        <v>4920</v>
      </c>
      <c r="H11" s="112">
        <v>10079</v>
      </c>
      <c r="I11" s="112">
        <v>541605</v>
      </c>
      <c r="J11" s="112">
        <v>91359</v>
      </c>
      <c r="K11" s="112">
        <v>8078</v>
      </c>
      <c r="L11" s="112">
        <v>39992</v>
      </c>
      <c r="M11" s="112">
        <v>61568</v>
      </c>
      <c r="N11" s="112">
        <v>55622</v>
      </c>
      <c r="O11" s="112">
        <v>270505</v>
      </c>
      <c r="P11" s="112">
        <v>563557</v>
      </c>
      <c r="Q11" s="112">
        <v>5117</v>
      </c>
      <c r="R11" s="112">
        <v>26649</v>
      </c>
      <c r="S11" s="112">
        <v>25503</v>
      </c>
      <c r="T11" s="112">
        <v>374830</v>
      </c>
      <c r="U11" s="112">
        <v>537343</v>
      </c>
      <c r="V11" s="112">
        <v>59471</v>
      </c>
      <c r="W11" s="112">
        <v>7656</v>
      </c>
      <c r="X11" s="112">
        <v>22020</v>
      </c>
      <c r="Y11" s="112">
        <v>124244</v>
      </c>
      <c r="Z11" s="112">
        <v>1302</v>
      </c>
      <c r="AA11" s="112">
        <v>236455</v>
      </c>
      <c r="AB11" s="112">
        <v>11343</v>
      </c>
      <c r="AC11" s="112">
        <v>2758</v>
      </c>
      <c r="AD11" s="112">
        <v>25081</v>
      </c>
      <c r="AE11" s="112">
        <v>122331</v>
      </c>
      <c r="AF11" s="112">
        <v>311020</v>
      </c>
      <c r="AG11" s="112">
        <v>1522288</v>
      </c>
      <c r="AH11" s="112">
        <v>13977</v>
      </c>
      <c r="AI11" s="112">
        <v>494054</v>
      </c>
      <c r="AJ11" s="112">
        <v>912126</v>
      </c>
      <c r="AK11" s="112">
        <v>14609</v>
      </c>
      <c r="AL11" s="126">
        <v>48358</v>
      </c>
      <c r="AM11" s="112">
        <v>48989</v>
      </c>
      <c r="AN11" s="116">
        <v>848008</v>
      </c>
      <c r="AO11" s="116">
        <v>5710</v>
      </c>
      <c r="AP11" s="116">
        <v>0</v>
      </c>
      <c r="AQ11" s="112">
        <v>152362</v>
      </c>
      <c r="AR11" s="112">
        <v>303431</v>
      </c>
      <c r="AS11" s="112">
        <v>864021</v>
      </c>
      <c r="AT11" s="112">
        <v>867</v>
      </c>
      <c r="AU11" s="112">
        <v>162873</v>
      </c>
      <c r="AV11" s="112">
        <v>61506</v>
      </c>
      <c r="AW11" s="112">
        <v>51579</v>
      </c>
      <c r="AX11" s="112">
        <v>257590</v>
      </c>
      <c r="AY11" s="112">
        <v>695151</v>
      </c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</row>
    <row r="12" spans="1:83" x14ac:dyDescent="0.25">
      <c r="A12">
        <v>5</v>
      </c>
      <c r="B12" s="112">
        <v>79044</v>
      </c>
      <c r="C12" s="112">
        <v>110425</v>
      </c>
      <c r="D12" s="112">
        <v>19752</v>
      </c>
      <c r="E12" s="112">
        <v>21621</v>
      </c>
      <c r="F12" s="112">
        <v>274607</v>
      </c>
      <c r="G12" s="112">
        <v>4923</v>
      </c>
      <c r="H12" s="112">
        <v>10104</v>
      </c>
      <c r="I12" s="112">
        <v>541989</v>
      </c>
      <c r="J12" s="112">
        <v>91406</v>
      </c>
      <c r="K12" s="112">
        <v>8079</v>
      </c>
      <c r="L12" s="112">
        <v>40024</v>
      </c>
      <c r="M12" s="112">
        <v>61591</v>
      </c>
      <c r="N12" s="112">
        <v>55652</v>
      </c>
      <c r="O12" s="112">
        <v>270710</v>
      </c>
      <c r="P12" s="112">
        <v>564141</v>
      </c>
      <c r="Q12" s="112">
        <v>5124</v>
      </c>
      <c r="R12" s="112">
        <v>26660</v>
      </c>
      <c r="S12" s="112">
        <v>25503</v>
      </c>
      <c r="T12" s="112">
        <v>374979</v>
      </c>
      <c r="U12" s="112">
        <v>537737</v>
      </c>
      <c r="V12" s="112">
        <v>59513</v>
      </c>
      <c r="W12" s="112">
        <v>7677</v>
      </c>
      <c r="X12" s="112">
        <v>22033</v>
      </c>
      <c r="Y12" s="112">
        <v>124314</v>
      </c>
      <c r="Z12" s="112">
        <v>1302</v>
      </c>
      <c r="AA12" s="112">
        <v>236617</v>
      </c>
      <c r="AB12" s="112">
        <v>11344</v>
      </c>
      <c r="AC12" s="112">
        <v>2761</v>
      </c>
      <c r="AD12" s="112">
        <v>25112</v>
      </c>
      <c r="AE12" s="112">
        <v>122431</v>
      </c>
      <c r="AF12" s="112">
        <v>311284</v>
      </c>
      <c r="AG12" s="112">
        <v>1523102</v>
      </c>
      <c r="AH12" s="112">
        <v>13986</v>
      </c>
      <c r="AI12" s="112">
        <v>494071</v>
      </c>
      <c r="AJ12" s="112">
        <v>912763</v>
      </c>
      <c r="AK12" s="112">
        <v>14619</v>
      </c>
      <c r="AL12" s="112">
        <v>48372</v>
      </c>
      <c r="AM12" s="112">
        <v>49093</v>
      </c>
      <c r="AN12" s="112">
        <v>848822</v>
      </c>
      <c r="AO12" s="112">
        <v>5710</v>
      </c>
      <c r="AP12" s="112">
        <v>0</v>
      </c>
      <c r="AQ12" s="112">
        <v>152490</v>
      </c>
      <c r="AR12" s="112">
        <v>303675</v>
      </c>
      <c r="AS12" s="112">
        <v>864412</v>
      </c>
      <c r="AT12" s="112">
        <v>868</v>
      </c>
      <c r="AU12" s="112">
        <v>163043</v>
      </c>
      <c r="AV12" s="112">
        <v>61544</v>
      </c>
      <c r="AW12" s="112">
        <v>51614</v>
      </c>
      <c r="AX12" s="112">
        <v>257806</v>
      </c>
      <c r="AY12" s="112">
        <v>695719</v>
      </c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</row>
    <row r="13" spans="1:83" x14ac:dyDescent="0.25">
      <c r="A13">
        <v>6</v>
      </c>
      <c r="B13" s="112">
        <v>79144</v>
      </c>
      <c r="C13" s="112">
        <v>110605</v>
      </c>
      <c r="D13" s="112">
        <v>19771</v>
      </c>
      <c r="E13" s="112">
        <v>21631</v>
      </c>
      <c r="F13" s="112">
        <v>274792</v>
      </c>
      <c r="G13" s="112">
        <v>4925</v>
      </c>
      <c r="H13" s="112">
        <v>10133</v>
      </c>
      <c r="I13" s="112">
        <v>542378</v>
      </c>
      <c r="J13" s="112">
        <v>91453</v>
      </c>
      <c r="K13" s="112">
        <v>8080</v>
      </c>
      <c r="L13" s="112">
        <v>40053</v>
      </c>
      <c r="M13" s="112">
        <v>61610</v>
      </c>
      <c r="N13" s="112">
        <v>55679</v>
      </c>
      <c r="O13" s="112">
        <v>270904</v>
      </c>
      <c r="P13" s="112">
        <v>564570</v>
      </c>
      <c r="Q13" s="112">
        <v>5130</v>
      </c>
      <c r="R13" s="112">
        <v>26673</v>
      </c>
      <c r="S13" s="112">
        <v>25503</v>
      </c>
      <c r="T13" s="112">
        <v>375117</v>
      </c>
      <c r="U13" s="112">
        <v>538105</v>
      </c>
      <c r="V13" s="112">
        <v>59564</v>
      </c>
      <c r="W13" s="112">
        <v>7699</v>
      </c>
      <c r="X13" s="112">
        <v>22046</v>
      </c>
      <c r="Y13" s="112">
        <v>124393</v>
      </c>
      <c r="Z13" s="112">
        <v>1302</v>
      </c>
      <c r="AA13" s="112">
        <v>236779</v>
      </c>
      <c r="AB13" s="112">
        <v>11346</v>
      </c>
      <c r="AC13" s="112">
        <v>2764</v>
      </c>
      <c r="AD13" s="112">
        <v>25131</v>
      </c>
      <c r="AE13" s="112">
        <v>122534</v>
      </c>
      <c r="AF13" s="112">
        <v>311536</v>
      </c>
      <c r="AG13" s="112">
        <v>1523870</v>
      </c>
      <c r="AH13" s="112">
        <v>13993</v>
      </c>
      <c r="AI13" s="112">
        <v>494088</v>
      </c>
      <c r="AJ13" s="112">
        <v>913392</v>
      </c>
      <c r="AK13" s="112">
        <v>14630</v>
      </c>
      <c r="AL13" s="126">
        <v>48386</v>
      </c>
      <c r="AM13" s="112">
        <v>49204</v>
      </c>
      <c r="AN13" s="116">
        <v>849784</v>
      </c>
      <c r="AO13" s="116">
        <v>5710</v>
      </c>
      <c r="AP13" s="116">
        <v>0</v>
      </c>
      <c r="AQ13" s="112">
        <v>152611</v>
      </c>
      <c r="AR13" s="112">
        <v>303918</v>
      </c>
      <c r="AS13" s="112">
        <v>86441</v>
      </c>
      <c r="AT13" s="112">
        <v>869</v>
      </c>
      <c r="AU13" s="112">
        <v>163212</v>
      </c>
      <c r="AV13" s="112">
        <v>61585</v>
      </c>
      <c r="AW13" s="112">
        <v>51650</v>
      </c>
      <c r="AX13" s="112">
        <v>258015</v>
      </c>
      <c r="AY13" s="112">
        <v>696281</v>
      </c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</row>
    <row r="14" spans="1:83" x14ac:dyDescent="0.25">
      <c r="A14">
        <v>7</v>
      </c>
      <c r="B14" s="112">
        <v>79235</v>
      </c>
      <c r="C14" s="112">
        <v>110798</v>
      </c>
      <c r="D14" s="112">
        <v>19786</v>
      </c>
      <c r="E14" s="112">
        <v>21667</v>
      </c>
      <c r="F14" s="112">
        <v>274978</v>
      </c>
      <c r="G14" s="112">
        <v>4928</v>
      </c>
      <c r="H14" s="112">
        <v>10156</v>
      </c>
      <c r="I14" s="112">
        <v>542770</v>
      </c>
      <c r="J14" s="112">
        <v>91501</v>
      </c>
      <c r="K14" s="112">
        <v>8081</v>
      </c>
      <c r="L14" s="112">
        <v>40085</v>
      </c>
      <c r="M14" s="112">
        <v>61651</v>
      </c>
      <c r="N14" s="112">
        <v>55708</v>
      </c>
      <c r="O14" s="112">
        <v>271105</v>
      </c>
      <c r="P14" s="112">
        <v>564941</v>
      </c>
      <c r="Q14" s="112">
        <v>5137</v>
      </c>
      <c r="R14" s="112">
        <v>26685</v>
      </c>
      <c r="S14" s="112">
        <v>25503</v>
      </c>
      <c r="T14" s="112">
        <v>375264</v>
      </c>
      <c r="U14" s="112">
        <v>538507</v>
      </c>
      <c r="V14" s="112">
        <v>59616</v>
      </c>
      <c r="W14" s="112">
        <v>7730</v>
      </c>
      <c r="X14" s="112">
        <v>22060</v>
      </c>
      <c r="Y14" s="112">
        <v>124459</v>
      </c>
      <c r="Z14" s="112">
        <v>1302</v>
      </c>
      <c r="AA14" s="112">
        <v>236938</v>
      </c>
      <c r="AB14" s="112">
        <v>11348</v>
      </c>
      <c r="AC14" s="112">
        <v>2766</v>
      </c>
      <c r="AD14" s="112">
        <v>25162</v>
      </c>
      <c r="AE14" s="112">
        <v>122636</v>
      </c>
      <c r="AF14" s="112">
        <v>311784</v>
      </c>
      <c r="AG14" s="112">
        <v>1524582</v>
      </c>
      <c r="AH14" s="112">
        <v>14002</v>
      </c>
      <c r="AI14" s="112">
        <v>494105</v>
      </c>
      <c r="AJ14" s="112">
        <v>914079</v>
      </c>
      <c r="AK14" s="112">
        <v>14640</v>
      </c>
      <c r="AL14" s="126">
        <v>48400</v>
      </c>
      <c r="AM14" s="112">
        <v>49317</v>
      </c>
      <c r="AN14" s="116">
        <v>850500</v>
      </c>
      <c r="AO14" s="116">
        <v>5710</v>
      </c>
      <c r="AP14" s="116">
        <v>0</v>
      </c>
      <c r="AQ14" s="112">
        <v>152740</v>
      </c>
      <c r="AR14" s="112">
        <v>304144</v>
      </c>
      <c r="AS14" s="112">
        <v>86477</v>
      </c>
      <c r="AT14" s="112">
        <v>869</v>
      </c>
      <c r="AU14" s="112">
        <v>163374</v>
      </c>
      <c r="AV14" s="112">
        <v>61623</v>
      </c>
      <c r="AW14" s="112">
        <v>51682</v>
      </c>
      <c r="AX14" s="112">
        <v>258224</v>
      </c>
      <c r="AY14" s="112">
        <v>696934</v>
      </c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</row>
    <row r="15" spans="1:83" x14ac:dyDescent="0.25">
      <c r="A15">
        <v>8</v>
      </c>
      <c r="B15" s="112">
        <v>79327</v>
      </c>
      <c r="C15" s="112">
        <v>110946</v>
      </c>
      <c r="D15" s="112">
        <v>19798</v>
      </c>
      <c r="E15" s="112">
        <v>21681</v>
      </c>
      <c r="F15" s="112">
        <v>275156</v>
      </c>
      <c r="G15" s="112">
        <v>4931</v>
      </c>
      <c r="H15" s="112">
        <v>10187</v>
      </c>
      <c r="I15" s="112">
        <v>543148</v>
      </c>
      <c r="J15" s="112">
        <v>91549</v>
      </c>
      <c r="K15" s="112">
        <v>8081</v>
      </c>
      <c r="L15" s="112">
        <v>40114</v>
      </c>
      <c r="M15" s="112">
        <v>61671</v>
      </c>
      <c r="N15" s="112">
        <v>55735</v>
      </c>
      <c r="O15" s="112">
        <v>271314</v>
      </c>
      <c r="P15" s="112">
        <v>565265</v>
      </c>
      <c r="Q15" s="112">
        <v>5143</v>
      </c>
      <c r="R15" s="112">
        <v>26697</v>
      </c>
      <c r="S15" s="112">
        <v>25503</v>
      </c>
      <c r="T15" s="112">
        <v>375432</v>
      </c>
      <c r="U15" s="112">
        <v>538882</v>
      </c>
      <c r="V15" s="112">
        <v>59667</v>
      </c>
      <c r="W15" s="112">
        <v>7761</v>
      </c>
      <c r="X15" s="112">
        <v>22074</v>
      </c>
      <c r="Y15" s="112">
        <v>124519</v>
      </c>
      <c r="Z15" s="112">
        <v>1302</v>
      </c>
      <c r="AA15" s="112">
        <v>237099</v>
      </c>
      <c r="AB15" s="112">
        <v>11350</v>
      </c>
      <c r="AC15" s="112">
        <v>2768</v>
      </c>
      <c r="AD15" s="112">
        <v>25193</v>
      </c>
      <c r="AE15" s="112">
        <v>122760</v>
      </c>
      <c r="AF15" s="112">
        <v>312035</v>
      </c>
      <c r="AG15" s="112">
        <v>1525244</v>
      </c>
      <c r="AH15" s="112">
        <v>14014</v>
      </c>
      <c r="AI15" s="112">
        <v>494123</v>
      </c>
      <c r="AJ15" s="112">
        <v>914879</v>
      </c>
      <c r="AK15" s="112">
        <v>14651</v>
      </c>
      <c r="AL15" s="126">
        <v>48414</v>
      </c>
      <c r="AM15" s="112">
        <v>49414</v>
      </c>
      <c r="AN15" s="116">
        <v>851355</v>
      </c>
      <c r="AO15" s="116">
        <v>5710</v>
      </c>
      <c r="AP15" s="116">
        <v>0</v>
      </c>
      <c r="AQ15" s="112">
        <v>152872</v>
      </c>
      <c r="AR15" s="112">
        <v>304386</v>
      </c>
      <c r="AS15" s="112">
        <v>86518</v>
      </c>
      <c r="AT15" s="112">
        <v>870</v>
      </c>
      <c r="AU15" s="112">
        <v>163532</v>
      </c>
      <c r="AV15" s="112">
        <v>61663</v>
      </c>
      <c r="AW15" s="112">
        <v>51716</v>
      </c>
      <c r="AX15" s="112">
        <v>258431</v>
      </c>
      <c r="AY15" s="112">
        <v>697570</v>
      </c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5"/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</row>
    <row r="16" spans="1:83" x14ac:dyDescent="0.25">
      <c r="A16">
        <v>9</v>
      </c>
      <c r="B16" s="112">
        <v>79426</v>
      </c>
      <c r="C16" s="112">
        <v>111110</v>
      </c>
      <c r="D16" s="112">
        <v>19813</v>
      </c>
      <c r="E16" s="112">
        <v>21695</v>
      </c>
      <c r="F16" s="112">
        <v>275341</v>
      </c>
      <c r="G16" s="112">
        <v>4934</v>
      </c>
      <c r="H16" s="112">
        <v>10212</v>
      </c>
      <c r="I16" s="112">
        <v>543532</v>
      </c>
      <c r="J16" s="112">
        <v>91606</v>
      </c>
      <c r="K16" s="112">
        <v>8082</v>
      </c>
      <c r="L16" s="112">
        <v>40148</v>
      </c>
      <c r="M16" s="112">
        <v>61690</v>
      </c>
      <c r="N16" s="112">
        <v>55761</v>
      </c>
      <c r="O16" s="112">
        <v>271522</v>
      </c>
      <c r="P16" s="112">
        <v>565979</v>
      </c>
      <c r="Q16" s="112">
        <v>5149</v>
      </c>
      <c r="R16" s="112">
        <v>26709</v>
      </c>
      <c r="S16" s="112">
        <v>25503</v>
      </c>
      <c r="T16" s="112">
        <v>375643</v>
      </c>
      <c r="U16" s="112">
        <v>539276</v>
      </c>
      <c r="V16" s="112">
        <v>59720</v>
      </c>
      <c r="W16" s="112">
        <v>7792</v>
      </c>
      <c r="X16" s="112">
        <v>22091</v>
      </c>
      <c r="Y16" s="112">
        <v>124588</v>
      </c>
      <c r="Z16" s="112">
        <v>1303</v>
      </c>
      <c r="AA16" s="112">
        <v>237260</v>
      </c>
      <c r="AB16" s="112">
        <v>11354</v>
      </c>
      <c r="AC16" s="112">
        <v>2769</v>
      </c>
      <c r="AD16" s="112">
        <v>25228</v>
      </c>
      <c r="AE16" s="112">
        <v>122877</v>
      </c>
      <c r="AF16" s="112">
        <v>312251</v>
      </c>
      <c r="AG16" s="112">
        <v>1525964</v>
      </c>
      <c r="AH16" s="112">
        <v>14026</v>
      </c>
      <c r="AI16" s="112">
        <v>494141</v>
      </c>
      <c r="AJ16" s="112">
        <v>915580</v>
      </c>
      <c r="AK16" s="112">
        <v>14661</v>
      </c>
      <c r="AL16" s="126">
        <v>48428</v>
      </c>
      <c r="AM16" s="112">
        <v>49512</v>
      </c>
      <c r="AN16" s="116">
        <v>852162</v>
      </c>
      <c r="AO16" s="116">
        <v>5710</v>
      </c>
      <c r="AP16" s="116">
        <v>0</v>
      </c>
      <c r="AQ16" s="112">
        <v>153011</v>
      </c>
      <c r="AR16" s="112">
        <v>304660</v>
      </c>
      <c r="AS16" s="112">
        <v>86602</v>
      </c>
      <c r="AT16" s="112">
        <v>870</v>
      </c>
      <c r="AU16" s="112">
        <v>163674</v>
      </c>
      <c r="AV16" s="112">
        <v>61705</v>
      </c>
      <c r="AW16" s="112">
        <v>51753</v>
      </c>
      <c r="AX16" s="112">
        <v>258647</v>
      </c>
      <c r="AY16" s="112">
        <v>698260</v>
      </c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</row>
    <row r="17" spans="1:83" x14ac:dyDescent="0.25">
      <c r="A17">
        <v>10</v>
      </c>
      <c r="B17" s="112">
        <v>79541</v>
      </c>
      <c r="C17" s="112">
        <v>111280</v>
      </c>
      <c r="D17" s="112">
        <v>19823</v>
      </c>
      <c r="E17" s="112">
        <v>21708</v>
      </c>
      <c r="F17" s="112">
        <v>275523</v>
      </c>
      <c r="G17" s="112">
        <v>4936</v>
      </c>
      <c r="H17" s="112">
        <v>10238</v>
      </c>
      <c r="I17" s="112">
        <v>543906</v>
      </c>
      <c r="J17" s="112">
        <v>91664</v>
      </c>
      <c r="K17" s="112">
        <v>8083</v>
      </c>
      <c r="L17" s="112">
        <v>40178</v>
      </c>
      <c r="M17" s="112">
        <v>61709</v>
      </c>
      <c r="N17" s="112">
        <v>55797</v>
      </c>
      <c r="O17" s="112">
        <v>271713</v>
      </c>
      <c r="P17" s="112">
        <v>566850</v>
      </c>
      <c r="Q17" s="112">
        <v>5155</v>
      </c>
      <c r="R17" s="112">
        <v>26723</v>
      </c>
      <c r="S17" s="112">
        <v>25503</v>
      </c>
      <c r="T17" s="112">
        <v>375832</v>
      </c>
      <c r="U17" s="112">
        <v>539666</v>
      </c>
      <c r="V17" s="112">
        <v>59771</v>
      </c>
      <c r="W17" s="112">
        <v>7815</v>
      </c>
      <c r="X17" s="112">
        <v>22109</v>
      </c>
      <c r="Y17" s="112">
        <v>124653</v>
      </c>
      <c r="Z17" s="112">
        <v>1303</v>
      </c>
      <c r="AA17" s="112">
        <v>237420</v>
      </c>
      <c r="AB17" s="112">
        <v>11356</v>
      </c>
      <c r="AC17" s="112">
        <v>2771</v>
      </c>
      <c r="AD17" s="112">
        <v>25261</v>
      </c>
      <c r="AE17" s="112">
        <v>123004</v>
      </c>
      <c r="AF17" s="112">
        <v>312489</v>
      </c>
      <c r="AG17" s="112">
        <v>1526696</v>
      </c>
      <c r="AH17" s="112">
        <v>14039</v>
      </c>
      <c r="AI17" s="112">
        <v>494158</v>
      </c>
      <c r="AJ17" s="112">
        <v>916341</v>
      </c>
      <c r="AK17" s="112">
        <v>14671</v>
      </c>
      <c r="AL17" s="126">
        <v>48512</v>
      </c>
      <c r="AM17" s="112">
        <v>49571</v>
      </c>
      <c r="AN17" s="116">
        <v>852917</v>
      </c>
      <c r="AO17" s="116">
        <v>5710</v>
      </c>
      <c r="AP17" s="116">
        <v>0</v>
      </c>
      <c r="AQ17" s="112">
        <v>153155</v>
      </c>
      <c r="AR17" s="112">
        <v>304919</v>
      </c>
      <c r="AS17" s="112">
        <v>86648</v>
      </c>
      <c r="AT17" s="112">
        <v>871</v>
      </c>
      <c r="AU17" s="112">
        <v>163810</v>
      </c>
      <c r="AV17" s="112">
        <v>61747</v>
      </c>
      <c r="AW17" s="112">
        <v>51791</v>
      </c>
      <c r="AX17" s="112">
        <v>258859</v>
      </c>
      <c r="AY17" s="112">
        <v>698900</v>
      </c>
      <c r="AZ17" s="125"/>
      <c r="BA17" s="125"/>
      <c r="BB17" s="125"/>
      <c r="BC17" s="125"/>
      <c r="BD17" s="125"/>
      <c r="BE17" s="125"/>
      <c r="BF17" s="125"/>
      <c r="BG17" s="125"/>
      <c r="BH17" s="125"/>
      <c r="BI17" s="125"/>
      <c r="BJ17" s="125"/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</row>
    <row r="18" spans="1:83" x14ac:dyDescent="0.25">
      <c r="A18">
        <v>11</v>
      </c>
      <c r="B18" s="112">
        <v>79633</v>
      </c>
      <c r="C18" s="112">
        <v>111462</v>
      </c>
      <c r="D18" s="112">
        <v>19834</v>
      </c>
      <c r="E18" s="112">
        <v>21740</v>
      </c>
      <c r="F18" s="112">
        <v>275699</v>
      </c>
      <c r="G18" s="112">
        <v>4939</v>
      </c>
      <c r="H18" s="112">
        <v>10259</v>
      </c>
      <c r="I18" s="112">
        <v>544265</v>
      </c>
      <c r="J18" s="112">
        <v>91718</v>
      </c>
      <c r="K18" s="112">
        <v>8083</v>
      </c>
      <c r="L18" s="112">
        <v>40211</v>
      </c>
      <c r="M18" s="112">
        <v>61738</v>
      </c>
      <c r="N18" s="112">
        <v>55836</v>
      </c>
      <c r="O18" s="112">
        <v>271912</v>
      </c>
      <c r="P18" s="112">
        <v>567478</v>
      </c>
      <c r="Q18" s="112">
        <v>5162</v>
      </c>
      <c r="R18" s="112">
        <v>26736</v>
      </c>
      <c r="S18" s="112">
        <v>25503</v>
      </c>
      <c r="T18" s="112">
        <v>376003</v>
      </c>
      <c r="U18" s="112">
        <v>540047</v>
      </c>
      <c r="V18" s="112">
        <v>59819</v>
      </c>
      <c r="W18" s="112">
        <v>7837</v>
      </c>
      <c r="X18" s="112">
        <v>22127</v>
      </c>
      <c r="Y18" s="112">
        <v>124730</v>
      </c>
      <c r="Z18" s="112">
        <v>1303</v>
      </c>
      <c r="AA18" s="112">
        <v>237551</v>
      </c>
      <c r="AB18" s="112">
        <v>11357</v>
      </c>
      <c r="AC18" s="112">
        <v>2773</v>
      </c>
      <c r="AD18" s="112">
        <v>25294</v>
      </c>
      <c r="AE18" s="112">
        <v>123124</v>
      </c>
      <c r="AF18" s="112">
        <v>312717</v>
      </c>
      <c r="AG18" s="112">
        <v>1527512</v>
      </c>
      <c r="AH18" s="112">
        <v>14047</v>
      </c>
      <c r="AI18" s="112">
        <v>494177</v>
      </c>
      <c r="AJ18" s="112">
        <v>916962</v>
      </c>
      <c r="AK18" s="112">
        <v>14681</v>
      </c>
      <c r="AL18" s="126">
        <v>48670</v>
      </c>
      <c r="AM18" s="112">
        <v>49587</v>
      </c>
      <c r="AN18" s="116">
        <v>853411</v>
      </c>
      <c r="AO18" s="116">
        <v>5710</v>
      </c>
      <c r="AP18" s="116">
        <v>0</v>
      </c>
      <c r="AQ18" s="112">
        <v>153271</v>
      </c>
      <c r="AR18" s="112">
        <v>305184</v>
      </c>
      <c r="AS18" s="112">
        <v>86691</v>
      </c>
      <c r="AT18" s="112">
        <v>872</v>
      </c>
      <c r="AU18" s="112">
        <v>163962</v>
      </c>
      <c r="AV18" s="112">
        <v>61792</v>
      </c>
      <c r="AW18" s="112">
        <v>51829</v>
      </c>
      <c r="AX18" s="112">
        <v>259070</v>
      </c>
      <c r="AY18" s="112">
        <v>699517</v>
      </c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</row>
    <row r="19" spans="1:83" x14ac:dyDescent="0.25">
      <c r="A19">
        <v>12</v>
      </c>
      <c r="B19" s="112">
        <v>79737</v>
      </c>
      <c r="C19" s="112">
        <v>111636</v>
      </c>
      <c r="D19" s="112">
        <v>19841</v>
      </c>
      <c r="E19" s="112">
        <v>21766</v>
      </c>
      <c r="F19" s="112">
        <v>275901</v>
      </c>
      <c r="G19" s="112">
        <v>4942</v>
      </c>
      <c r="H19" s="112">
        <v>10289</v>
      </c>
      <c r="I19" s="112">
        <v>544638</v>
      </c>
      <c r="J19" s="112">
        <v>91772</v>
      </c>
      <c r="K19" s="112">
        <v>8084</v>
      </c>
      <c r="L19" s="112">
        <v>40247</v>
      </c>
      <c r="M19" s="112">
        <v>61769</v>
      </c>
      <c r="N19" s="112">
        <v>55874</v>
      </c>
      <c r="O19" s="112">
        <v>272119</v>
      </c>
      <c r="P19" s="112">
        <v>568110</v>
      </c>
      <c r="Q19" s="112">
        <v>5168</v>
      </c>
      <c r="R19" s="112">
        <v>26748</v>
      </c>
      <c r="S19" s="112">
        <v>25503</v>
      </c>
      <c r="T19" s="112">
        <v>376184</v>
      </c>
      <c r="U19" s="112">
        <v>540432</v>
      </c>
      <c r="V19" s="112">
        <v>59867</v>
      </c>
      <c r="W19" s="112">
        <v>7864</v>
      </c>
      <c r="X19" s="112">
        <v>22147</v>
      </c>
      <c r="Y19" s="112">
        <v>124807</v>
      </c>
      <c r="Z19" s="112">
        <v>1303</v>
      </c>
      <c r="AA19" s="112">
        <v>237705</v>
      </c>
      <c r="AB19" s="112">
        <v>11361</v>
      </c>
      <c r="AC19" s="112">
        <v>2774</v>
      </c>
      <c r="AD19" s="112">
        <v>25326</v>
      </c>
      <c r="AE19" s="112">
        <v>123240</v>
      </c>
      <c r="AF19" s="112">
        <v>312970</v>
      </c>
      <c r="AG19" s="112">
        <v>1528365</v>
      </c>
      <c r="AH19" s="112">
        <v>14055</v>
      </c>
      <c r="AI19" s="112">
        <v>494855</v>
      </c>
      <c r="AJ19" s="112">
        <v>917643</v>
      </c>
      <c r="AK19" s="112">
        <v>14692</v>
      </c>
      <c r="AL19" s="126">
        <v>48818</v>
      </c>
      <c r="AM19" s="112">
        <v>49604</v>
      </c>
      <c r="AN19" s="116">
        <v>854089</v>
      </c>
      <c r="AO19" s="116">
        <v>5710</v>
      </c>
      <c r="AP19" s="116">
        <v>0</v>
      </c>
      <c r="AQ19" s="112">
        <v>153385</v>
      </c>
      <c r="AR19" s="112">
        <v>305469</v>
      </c>
      <c r="AS19" s="112">
        <v>86740</v>
      </c>
      <c r="AT19" s="112">
        <v>872</v>
      </c>
      <c r="AU19" s="112">
        <v>164121</v>
      </c>
      <c r="AV19" s="112">
        <v>61831</v>
      </c>
      <c r="AW19" s="112">
        <v>51858</v>
      </c>
      <c r="AX19" s="112">
        <v>259295</v>
      </c>
      <c r="AY19" s="112">
        <v>700166</v>
      </c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</row>
    <row r="20" spans="1:83" x14ac:dyDescent="0.25">
      <c r="A20">
        <v>13</v>
      </c>
      <c r="B20" s="112">
        <v>79834</v>
      </c>
      <c r="C20" s="112">
        <v>111818</v>
      </c>
      <c r="D20" s="112">
        <v>19853</v>
      </c>
      <c r="E20" s="112">
        <v>21806</v>
      </c>
      <c r="F20" s="112">
        <v>276088</v>
      </c>
      <c r="G20" s="112">
        <v>4945</v>
      </c>
      <c r="H20" s="112">
        <v>10321</v>
      </c>
      <c r="I20" s="112">
        <v>545034</v>
      </c>
      <c r="J20" s="112">
        <v>91833</v>
      </c>
      <c r="K20" s="112">
        <v>8085</v>
      </c>
      <c r="L20" s="112">
        <v>40281</v>
      </c>
      <c r="M20" s="112">
        <v>61790</v>
      </c>
      <c r="N20" s="112">
        <v>55915</v>
      </c>
      <c r="O20" s="112">
        <v>272322</v>
      </c>
      <c r="P20" s="112">
        <v>568709</v>
      </c>
      <c r="Q20" s="112">
        <v>5174</v>
      </c>
      <c r="R20" s="112">
        <v>26760</v>
      </c>
      <c r="S20" s="112">
        <v>25503</v>
      </c>
      <c r="T20" s="112">
        <v>376357</v>
      </c>
      <c r="U20" s="112">
        <v>540805</v>
      </c>
      <c r="V20" s="112">
        <v>59915</v>
      </c>
      <c r="W20" s="112">
        <v>7892</v>
      </c>
      <c r="X20" s="112">
        <v>22165</v>
      </c>
      <c r="Y20" s="112">
        <v>124882</v>
      </c>
      <c r="Z20" s="112">
        <v>1303</v>
      </c>
      <c r="AA20" s="112">
        <v>237864</v>
      </c>
      <c r="AB20" s="112">
        <v>11364</v>
      </c>
      <c r="AC20" s="112">
        <v>2776</v>
      </c>
      <c r="AD20" s="112">
        <v>25358</v>
      </c>
      <c r="AE20" s="112">
        <v>123360</v>
      </c>
      <c r="AF20" s="112">
        <v>313219</v>
      </c>
      <c r="AG20" s="112">
        <v>1529199</v>
      </c>
      <c r="AH20" s="112">
        <v>14064</v>
      </c>
      <c r="AI20" s="112">
        <v>495538</v>
      </c>
      <c r="AJ20" s="116">
        <v>918372</v>
      </c>
      <c r="AK20" s="116">
        <v>14704</v>
      </c>
      <c r="AL20" s="126">
        <v>48943</v>
      </c>
      <c r="AM20" s="116">
        <v>49620</v>
      </c>
      <c r="AN20" s="116">
        <v>854743</v>
      </c>
      <c r="AO20" s="116">
        <v>5710</v>
      </c>
      <c r="AP20" s="116">
        <v>0</v>
      </c>
      <c r="AQ20" s="116">
        <v>153499</v>
      </c>
      <c r="AR20" s="116">
        <v>305740</v>
      </c>
      <c r="AS20" s="116">
        <v>86785</v>
      </c>
      <c r="AT20" s="116">
        <v>873</v>
      </c>
      <c r="AU20" s="116">
        <v>164299</v>
      </c>
      <c r="AV20" s="116">
        <v>61865</v>
      </c>
      <c r="AW20" s="116">
        <v>51889</v>
      </c>
      <c r="AX20" s="116">
        <v>259499</v>
      </c>
      <c r="AY20" s="116">
        <v>700782</v>
      </c>
      <c r="AZ20" s="125"/>
      <c r="BA20" s="125"/>
      <c r="BB20" s="125"/>
      <c r="BC20" s="125"/>
      <c r="BD20" s="125"/>
      <c r="BE20" s="125"/>
      <c r="BF20" s="125"/>
      <c r="BG20" s="125"/>
      <c r="BH20" s="125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</row>
    <row r="21" spans="1:83" x14ac:dyDescent="0.25">
      <c r="A21">
        <v>14</v>
      </c>
      <c r="B21" s="112">
        <v>79936</v>
      </c>
      <c r="C21" s="112">
        <v>111984</v>
      </c>
      <c r="D21" s="112">
        <v>19858</v>
      </c>
      <c r="E21" s="112">
        <v>21808</v>
      </c>
      <c r="F21" s="112">
        <v>276264</v>
      </c>
      <c r="G21" s="112">
        <v>4948</v>
      </c>
      <c r="H21" s="112">
        <v>10343</v>
      </c>
      <c r="I21" s="112">
        <v>545432</v>
      </c>
      <c r="J21" s="112">
        <v>91899</v>
      </c>
      <c r="K21" s="112">
        <v>8086</v>
      </c>
      <c r="L21" s="112">
        <v>40319</v>
      </c>
      <c r="M21" s="112">
        <v>61821</v>
      </c>
      <c r="N21" s="112">
        <v>55954</v>
      </c>
      <c r="O21" s="112">
        <v>272526</v>
      </c>
      <c r="P21" s="112">
        <v>569375</v>
      </c>
      <c r="Q21" s="112">
        <v>5181</v>
      </c>
      <c r="R21" s="112">
        <v>26769</v>
      </c>
      <c r="S21" s="112">
        <v>25503</v>
      </c>
      <c r="T21" s="112">
        <v>376527</v>
      </c>
      <c r="U21" s="112">
        <v>541189</v>
      </c>
      <c r="V21" s="112">
        <v>59971</v>
      </c>
      <c r="W21" s="112">
        <v>7919</v>
      </c>
      <c r="X21" s="112">
        <v>22186</v>
      </c>
      <c r="Y21" s="112">
        <v>124944</v>
      </c>
      <c r="Z21" s="112">
        <v>1303</v>
      </c>
      <c r="AA21" s="112">
        <v>238016</v>
      </c>
      <c r="AB21" s="112">
        <v>11367</v>
      </c>
      <c r="AC21" s="112">
        <v>2778</v>
      </c>
      <c r="AD21" s="112">
        <v>25388</v>
      </c>
      <c r="AE21" s="112">
        <v>123486</v>
      </c>
      <c r="AF21" s="112">
        <v>313456</v>
      </c>
      <c r="AG21" s="112">
        <v>1529983</v>
      </c>
      <c r="AH21" s="112">
        <v>14081</v>
      </c>
      <c r="AI21" s="112">
        <v>500843</v>
      </c>
      <c r="AJ21" s="116">
        <v>919105</v>
      </c>
      <c r="AK21" s="116">
        <v>14717</v>
      </c>
      <c r="AL21" s="126">
        <v>49054</v>
      </c>
      <c r="AM21" s="116">
        <v>49637</v>
      </c>
      <c r="AN21" s="116">
        <v>855308</v>
      </c>
      <c r="AO21" s="116">
        <v>5710</v>
      </c>
      <c r="AP21" s="116">
        <v>0</v>
      </c>
      <c r="AQ21" s="116">
        <v>153607</v>
      </c>
      <c r="AR21" s="116">
        <v>306011</v>
      </c>
      <c r="AS21" s="116">
        <v>86827</v>
      </c>
      <c r="AT21" s="116">
        <v>874</v>
      </c>
      <c r="AU21" s="116">
        <v>164474</v>
      </c>
      <c r="AV21" s="116">
        <v>61898</v>
      </c>
      <c r="AW21" s="116">
        <v>51911</v>
      </c>
      <c r="AX21" s="116">
        <v>259628</v>
      </c>
      <c r="AY21" s="116">
        <v>701402</v>
      </c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</row>
    <row r="22" spans="1:83" x14ac:dyDescent="0.25">
      <c r="A22">
        <v>15</v>
      </c>
      <c r="B22" s="112">
        <v>80042</v>
      </c>
      <c r="C22" s="112">
        <v>112160</v>
      </c>
      <c r="D22" s="112">
        <v>19861</v>
      </c>
      <c r="E22" s="112">
        <v>21825</v>
      </c>
      <c r="F22" s="112">
        <v>276437</v>
      </c>
      <c r="G22" s="112">
        <v>4950</v>
      </c>
      <c r="H22" s="112">
        <v>10365</v>
      </c>
      <c r="I22" s="112">
        <v>545829</v>
      </c>
      <c r="J22" s="112">
        <v>91962</v>
      </c>
      <c r="K22" s="112">
        <v>8086</v>
      </c>
      <c r="L22" s="112">
        <v>40353</v>
      </c>
      <c r="M22" s="112">
        <v>61860</v>
      </c>
      <c r="N22" s="112">
        <v>55988</v>
      </c>
      <c r="O22" s="112">
        <v>272729</v>
      </c>
      <c r="P22" s="112">
        <v>570109</v>
      </c>
      <c r="Q22" s="112">
        <v>5188</v>
      </c>
      <c r="R22" s="112">
        <v>26778</v>
      </c>
      <c r="S22" s="112">
        <v>25503</v>
      </c>
      <c r="T22" s="112">
        <v>376713</v>
      </c>
      <c r="U22" s="112">
        <v>541572</v>
      </c>
      <c r="V22" s="112">
        <v>60018</v>
      </c>
      <c r="W22" s="10">
        <v>7943</v>
      </c>
      <c r="X22" s="112">
        <v>22206</v>
      </c>
      <c r="Y22" s="112">
        <v>125007</v>
      </c>
      <c r="Z22" s="112">
        <v>1303</v>
      </c>
      <c r="AA22" s="112">
        <v>238168</v>
      </c>
      <c r="AB22" s="112">
        <v>11370</v>
      </c>
      <c r="AC22" s="112">
        <v>2779</v>
      </c>
      <c r="AD22" s="10">
        <v>25418</v>
      </c>
      <c r="AE22" s="112">
        <v>123602</v>
      </c>
      <c r="AF22" s="112">
        <v>313700</v>
      </c>
      <c r="AG22" s="112">
        <v>1530715</v>
      </c>
      <c r="AH22" s="112">
        <v>14091</v>
      </c>
      <c r="AI22" s="112">
        <v>501939</v>
      </c>
      <c r="AJ22" s="116">
        <v>919824</v>
      </c>
      <c r="AK22" s="133">
        <v>14729</v>
      </c>
      <c r="AL22" s="116">
        <v>49164</v>
      </c>
      <c r="AM22" s="116">
        <v>49653</v>
      </c>
      <c r="AN22" s="116">
        <v>855932</v>
      </c>
      <c r="AO22" s="116">
        <v>5710</v>
      </c>
      <c r="AP22" s="116">
        <v>0</v>
      </c>
      <c r="AQ22" s="116">
        <v>153716</v>
      </c>
      <c r="AR22" s="116">
        <v>306274</v>
      </c>
      <c r="AS22" s="116">
        <v>86872</v>
      </c>
      <c r="AT22" s="116">
        <v>874</v>
      </c>
      <c r="AU22" s="116">
        <v>164661</v>
      </c>
      <c r="AV22" s="116">
        <v>61931</v>
      </c>
      <c r="AW22" s="116">
        <v>51938</v>
      </c>
      <c r="AX22" s="116">
        <v>259834</v>
      </c>
      <c r="AY22" s="116">
        <v>701996</v>
      </c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</row>
    <row r="23" spans="1:83" x14ac:dyDescent="0.25">
      <c r="A23">
        <v>16</v>
      </c>
      <c r="B23" s="112">
        <v>80141</v>
      </c>
      <c r="C23" s="112">
        <v>112340</v>
      </c>
      <c r="D23" s="112">
        <v>19866</v>
      </c>
      <c r="E23" s="112">
        <v>21845</v>
      </c>
      <c r="F23" s="112">
        <v>276679</v>
      </c>
      <c r="G23" s="112">
        <v>4953</v>
      </c>
      <c r="H23" s="112">
        <v>10379</v>
      </c>
      <c r="I23" s="112">
        <v>546228</v>
      </c>
      <c r="J23" s="112">
        <v>92032</v>
      </c>
      <c r="K23" s="112">
        <v>8087</v>
      </c>
      <c r="L23" s="112">
        <v>40393</v>
      </c>
      <c r="M23" s="112">
        <v>61896</v>
      </c>
      <c r="N23" s="112">
        <v>56022</v>
      </c>
      <c r="O23" s="112">
        <v>272935</v>
      </c>
      <c r="P23" s="112">
        <v>570766</v>
      </c>
      <c r="Q23" s="112">
        <v>5195</v>
      </c>
      <c r="R23" s="112">
        <v>26791</v>
      </c>
      <c r="S23" s="112">
        <v>25503</v>
      </c>
      <c r="T23" s="112">
        <v>376901</v>
      </c>
      <c r="U23" s="112">
        <v>541947</v>
      </c>
      <c r="V23" s="112">
        <v>60068</v>
      </c>
      <c r="W23" s="112">
        <v>7976</v>
      </c>
      <c r="X23" s="112">
        <v>22228</v>
      </c>
      <c r="Y23" s="112">
        <v>125079</v>
      </c>
      <c r="Z23" s="112">
        <v>1303</v>
      </c>
      <c r="AA23" s="112">
        <v>238325</v>
      </c>
      <c r="AB23" s="112">
        <v>11372</v>
      </c>
      <c r="AC23" s="112">
        <v>2781</v>
      </c>
      <c r="AD23" s="112">
        <v>25449</v>
      </c>
      <c r="AE23" s="112">
        <v>123722</v>
      </c>
      <c r="AF23" s="112">
        <v>313925</v>
      </c>
      <c r="AG23" s="112">
        <v>1531497</v>
      </c>
      <c r="AH23" s="112">
        <v>14102</v>
      </c>
      <c r="AI23" s="112">
        <v>502659</v>
      </c>
      <c r="AJ23" s="112">
        <v>920552</v>
      </c>
      <c r="AK23" s="112">
        <v>14749</v>
      </c>
      <c r="AL23" s="126">
        <v>49285</v>
      </c>
      <c r="AM23" s="112">
        <v>49670</v>
      </c>
      <c r="AN23" s="116">
        <v>856440</v>
      </c>
      <c r="AO23" s="116">
        <v>5710</v>
      </c>
      <c r="AP23" s="116">
        <v>0</v>
      </c>
      <c r="AQ23" s="112">
        <v>153822</v>
      </c>
      <c r="AR23" s="112">
        <v>306545</v>
      </c>
      <c r="AS23" s="112">
        <v>86918</v>
      </c>
      <c r="AT23" s="112">
        <v>875</v>
      </c>
      <c r="AU23" s="112">
        <v>164825</v>
      </c>
      <c r="AV23" s="112">
        <v>61965</v>
      </c>
      <c r="AW23" s="112">
        <v>51963</v>
      </c>
      <c r="AX23" s="112">
        <v>260050</v>
      </c>
      <c r="AY23" s="112">
        <v>702628</v>
      </c>
      <c r="AZ23" s="125"/>
      <c r="BA23" s="125"/>
      <c r="BB23" s="125"/>
      <c r="BC23" s="125"/>
      <c r="BD23" s="125"/>
      <c r="BE23" s="125"/>
      <c r="BF23" s="125"/>
      <c r="BG23" s="125"/>
      <c r="BH23" s="125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</row>
    <row r="24" spans="1:83" x14ac:dyDescent="0.25">
      <c r="A24">
        <v>17</v>
      </c>
      <c r="B24" s="112">
        <v>80234</v>
      </c>
      <c r="C24" s="112">
        <v>112520</v>
      </c>
      <c r="D24" s="112">
        <v>19874</v>
      </c>
      <c r="E24" s="112">
        <v>21871</v>
      </c>
      <c r="F24" s="112">
        <v>276796</v>
      </c>
      <c r="G24" s="112">
        <v>4956</v>
      </c>
      <c r="H24" s="112">
        <v>10393</v>
      </c>
      <c r="I24" s="112">
        <v>546625</v>
      </c>
      <c r="J24" s="112">
        <v>92099</v>
      </c>
      <c r="K24" s="112">
        <v>8088</v>
      </c>
      <c r="L24" s="112">
        <v>40427</v>
      </c>
      <c r="M24" s="112">
        <v>61929</v>
      </c>
      <c r="N24" s="112">
        <v>56061</v>
      </c>
      <c r="O24" s="112">
        <v>273136</v>
      </c>
      <c r="P24" s="112">
        <v>571427</v>
      </c>
      <c r="Q24" s="112">
        <v>5203</v>
      </c>
      <c r="R24" s="112">
        <v>26802</v>
      </c>
      <c r="S24" s="112">
        <v>25503</v>
      </c>
      <c r="T24" s="112">
        <v>377081</v>
      </c>
      <c r="U24" s="112">
        <v>542325</v>
      </c>
      <c r="V24" s="112">
        <v>60115</v>
      </c>
      <c r="W24" s="112">
        <v>7986</v>
      </c>
      <c r="X24" s="112">
        <v>22243</v>
      </c>
      <c r="Y24" s="112">
        <v>125149</v>
      </c>
      <c r="Z24" s="112">
        <v>1303</v>
      </c>
      <c r="AA24" s="112">
        <v>238482</v>
      </c>
      <c r="AB24" s="112">
        <v>11375</v>
      </c>
      <c r="AC24" s="112">
        <v>2783</v>
      </c>
      <c r="AD24" s="112">
        <v>25466</v>
      </c>
      <c r="AE24" s="112">
        <v>123810</v>
      </c>
      <c r="AF24" s="112">
        <v>314155</v>
      </c>
      <c r="AG24" s="112">
        <v>1532877</v>
      </c>
      <c r="AH24" s="112">
        <v>14112</v>
      </c>
      <c r="AI24" s="112">
        <v>503849</v>
      </c>
      <c r="AJ24" s="112">
        <v>921282</v>
      </c>
      <c r="AK24" s="112">
        <v>14763</v>
      </c>
      <c r="AL24" s="126">
        <v>49399</v>
      </c>
      <c r="AM24" s="112">
        <v>49688</v>
      </c>
      <c r="AN24" s="116">
        <v>857167</v>
      </c>
      <c r="AO24" s="116">
        <v>5710</v>
      </c>
      <c r="AP24" s="116">
        <v>0</v>
      </c>
      <c r="AQ24" s="112">
        <v>153936</v>
      </c>
      <c r="AR24" s="112">
        <v>306818</v>
      </c>
      <c r="AS24" s="112">
        <v>86967</v>
      </c>
      <c r="AT24" s="112">
        <v>875</v>
      </c>
      <c r="AU24" s="112">
        <v>165002</v>
      </c>
      <c r="AV24" s="112">
        <v>61994</v>
      </c>
      <c r="AW24" s="112">
        <v>51988</v>
      </c>
      <c r="AX24" s="112">
        <v>260260</v>
      </c>
      <c r="AY24" s="112">
        <v>703224</v>
      </c>
      <c r="AZ24" s="125"/>
      <c r="BA24" s="125"/>
      <c r="BB24" s="125"/>
      <c r="BC24" s="125"/>
      <c r="BD24" s="125"/>
      <c r="BE24" s="125"/>
      <c r="BF24" s="125"/>
      <c r="BG24" s="125"/>
      <c r="BH24" s="125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</row>
    <row r="25" spans="1:83" x14ac:dyDescent="0.25">
      <c r="A25">
        <v>18</v>
      </c>
      <c r="B25" s="112">
        <v>80322</v>
      </c>
      <c r="C25" s="112">
        <v>112699</v>
      </c>
      <c r="D25" s="112">
        <v>19884</v>
      </c>
      <c r="E25" s="112">
        <v>21891</v>
      </c>
      <c r="F25" s="112">
        <v>276967</v>
      </c>
      <c r="G25" s="112">
        <v>4959</v>
      </c>
      <c r="H25" s="112">
        <v>10409</v>
      </c>
      <c r="I25" s="112">
        <v>547019</v>
      </c>
      <c r="J25" s="112">
        <v>92174</v>
      </c>
      <c r="K25" s="112">
        <v>8088</v>
      </c>
      <c r="L25" s="112">
        <v>40459</v>
      </c>
      <c r="M25" s="112">
        <v>61956</v>
      </c>
      <c r="N25" s="112">
        <v>56099</v>
      </c>
      <c r="O25" s="112">
        <v>273345</v>
      </c>
      <c r="P25" s="112">
        <v>572036</v>
      </c>
      <c r="Q25" s="112">
        <v>5211</v>
      </c>
      <c r="R25" s="112">
        <v>26815</v>
      </c>
      <c r="S25" s="112">
        <v>25503</v>
      </c>
      <c r="T25" s="112">
        <v>377265</v>
      </c>
      <c r="U25" s="112">
        <v>542682</v>
      </c>
      <c r="V25" s="112">
        <v>60161</v>
      </c>
      <c r="W25" s="112">
        <v>8006</v>
      </c>
      <c r="X25" s="112">
        <v>22266</v>
      </c>
      <c r="Y25" s="112">
        <v>125218</v>
      </c>
      <c r="Z25" s="112">
        <v>1303</v>
      </c>
      <c r="AA25" s="112">
        <v>238631</v>
      </c>
      <c r="AB25" s="112">
        <v>11375</v>
      </c>
      <c r="AC25" s="112">
        <v>2784</v>
      </c>
      <c r="AD25" s="112">
        <v>25488</v>
      </c>
      <c r="AE25" s="112">
        <v>123899</v>
      </c>
      <c r="AF25" s="112">
        <v>314388</v>
      </c>
      <c r="AG25" s="112">
        <v>1533765</v>
      </c>
      <c r="AH25" s="112">
        <v>14124</v>
      </c>
      <c r="AI25" s="112">
        <v>504494</v>
      </c>
      <c r="AJ25" s="112">
        <v>922006</v>
      </c>
      <c r="AK25" s="112">
        <v>14773</v>
      </c>
      <c r="AL25" s="133">
        <v>49504</v>
      </c>
      <c r="AM25" s="133">
        <v>49705</v>
      </c>
      <c r="AN25" s="133">
        <v>857906</v>
      </c>
      <c r="AO25" s="126">
        <v>5710</v>
      </c>
      <c r="AP25" s="112">
        <v>0</v>
      </c>
      <c r="AQ25" s="116">
        <v>154058</v>
      </c>
      <c r="AR25" s="116">
        <v>307092</v>
      </c>
      <c r="AS25" s="116">
        <v>87007</v>
      </c>
      <c r="AT25" s="112">
        <v>876</v>
      </c>
      <c r="AU25" s="112">
        <v>165181</v>
      </c>
      <c r="AV25" s="112">
        <v>62037</v>
      </c>
      <c r="AW25" s="112">
        <v>52018</v>
      </c>
      <c r="AX25" s="112">
        <v>260466</v>
      </c>
      <c r="AY25" s="112">
        <v>703886</v>
      </c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</row>
    <row r="26" spans="1:83" x14ac:dyDescent="0.25">
      <c r="A26">
        <v>19</v>
      </c>
      <c r="B26" s="112">
        <v>80407</v>
      </c>
      <c r="C26" s="112">
        <v>112882</v>
      </c>
      <c r="D26" s="112">
        <v>19895</v>
      </c>
      <c r="E26" s="112">
        <v>21905</v>
      </c>
      <c r="F26" s="112">
        <v>277158</v>
      </c>
      <c r="G26" s="112">
        <v>4961</v>
      </c>
      <c r="H26" s="112">
        <v>10429</v>
      </c>
      <c r="I26" s="112">
        <v>547409</v>
      </c>
      <c r="J26" s="112">
        <v>92248</v>
      </c>
      <c r="K26" s="112">
        <v>8089</v>
      </c>
      <c r="L26" s="112">
        <v>40496</v>
      </c>
      <c r="M26" s="112">
        <v>62006</v>
      </c>
      <c r="N26" s="112">
        <v>56139</v>
      </c>
      <c r="O26" s="112">
        <v>273544</v>
      </c>
      <c r="P26" s="112">
        <v>572514</v>
      </c>
      <c r="Q26" s="133">
        <v>5219</v>
      </c>
      <c r="R26" s="112">
        <v>26827</v>
      </c>
      <c r="S26" s="112">
        <v>25503</v>
      </c>
      <c r="T26" s="112">
        <v>377448</v>
      </c>
      <c r="U26" s="112">
        <v>543063</v>
      </c>
      <c r="V26" s="112">
        <v>60205</v>
      </c>
      <c r="W26" s="112">
        <v>8025</v>
      </c>
      <c r="X26" s="112">
        <v>22284</v>
      </c>
      <c r="Y26" s="112">
        <v>125288</v>
      </c>
      <c r="Z26" s="112">
        <v>1303</v>
      </c>
      <c r="AA26" s="112">
        <v>238783</v>
      </c>
      <c r="AB26" s="112">
        <v>11375</v>
      </c>
      <c r="AC26" s="112">
        <v>2786</v>
      </c>
      <c r="AD26" s="112">
        <v>25509</v>
      </c>
      <c r="AE26" s="112">
        <v>123988</v>
      </c>
      <c r="AF26" s="112">
        <v>314636</v>
      </c>
      <c r="AG26" s="112">
        <v>1534682</v>
      </c>
      <c r="AH26" s="112">
        <v>14133</v>
      </c>
      <c r="AI26" s="112">
        <v>504994</v>
      </c>
      <c r="AJ26" s="112">
        <v>922621</v>
      </c>
      <c r="AK26" s="112">
        <v>14781</v>
      </c>
      <c r="AL26" s="126">
        <v>49610</v>
      </c>
      <c r="AM26" s="112">
        <v>49722</v>
      </c>
      <c r="AN26" s="116">
        <v>858665</v>
      </c>
      <c r="AO26" s="116">
        <v>5710</v>
      </c>
      <c r="AP26" s="116">
        <v>0</v>
      </c>
      <c r="AQ26" s="112">
        <v>154176</v>
      </c>
      <c r="AR26" s="112">
        <v>307343</v>
      </c>
      <c r="AS26" s="112">
        <v>87046</v>
      </c>
      <c r="AT26" s="112">
        <v>877</v>
      </c>
      <c r="AU26" s="112">
        <v>165357</v>
      </c>
      <c r="AV26" s="112">
        <v>62081</v>
      </c>
      <c r="AW26" s="112">
        <v>52053</v>
      </c>
      <c r="AX26" s="112">
        <v>260671</v>
      </c>
      <c r="AY26" s="112">
        <v>704460</v>
      </c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</row>
    <row r="27" spans="1:83" x14ac:dyDescent="0.25">
      <c r="A27">
        <v>20</v>
      </c>
      <c r="B27" s="112">
        <v>80491</v>
      </c>
      <c r="C27" s="112">
        <v>113063</v>
      </c>
      <c r="D27" s="112">
        <v>19906</v>
      </c>
      <c r="E27" s="112">
        <v>21911</v>
      </c>
      <c r="F27" s="112">
        <v>277345</v>
      </c>
      <c r="G27" s="112">
        <v>4964</v>
      </c>
      <c r="H27" s="112">
        <v>10445</v>
      </c>
      <c r="I27" s="112">
        <v>547808</v>
      </c>
      <c r="J27" s="112">
        <v>92320</v>
      </c>
      <c r="K27" s="112">
        <v>8090</v>
      </c>
      <c r="L27" s="112">
        <v>40532</v>
      </c>
      <c r="M27" s="112">
        <v>62038</v>
      </c>
      <c r="N27" s="112">
        <v>56177</v>
      </c>
      <c r="O27" s="112">
        <v>273741</v>
      </c>
      <c r="P27" s="112">
        <v>573080</v>
      </c>
      <c r="Q27" s="112">
        <v>5226</v>
      </c>
      <c r="R27" s="112">
        <v>26840</v>
      </c>
      <c r="S27" s="112">
        <v>25503</v>
      </c>
      <c r="T27" s="112">
        <v>377626</v>
      </c>
      <c r="U27" s="112">
        <v>543431</v>
      </c>
      <c r="V27" s="112">
        <v>60250</v>
      </c>
      <c r="W27" s="112">
        <v>8042</v>
      </c>
      <c r="X27" s="112">
        <v>22300</v>
      </c>
      <c r="Y27" s="112">
        <v>125366</v>
      </c>
      <c r="Z27" s="112">
        <v>1303</v>
      </c>
      <c r="AA27" s="112">
        <v>238938</v>
      </c>
      <c r="AB27" s="112">
        <v>11375</v>
      </c>
      <c r="AC27" s="112">
        <v>2787</v>
      </c>
      <c r="AD27" s="112">
        <v>25535</v>
      </c>
      <c r="AE27" s="112">
        <v>124098</v>
      </c>
      <c r="AF27" s="112">
        <v>314879</v>
      </c>
      <c r="AG27" s="112">
        <v>1535619</v>
      </c>
      <c r="AH27" s="112">
        <v>14145</v>
      </c>
      <c r="AI27" s="112">
        <v>505742</v>
      </c>
      <c r="AJ27" s="112">
        <v>923390</v>
      </c>
      <c r="AK27" s="112">
        <v>14793</v>
      </c>
      <c r="AL27" s="126">
        <v>49724</v>
      </c>
      <c r="AM27" s="112">
        <v>49740</v>
      </c>
      <c r="AN27" s="116">
        <v>859168</v>
      </c>
      <c r="AO27" s="116">
        <v>5710</v>
      </c>
      <c r="AP27" s="116">
        <v>0</v>
      </c>
      <c r="AQ27" s="112">
        <v>154304</v>
      </c>
      <c r="AR27" s="112">
        <v>307609</v>
      </c>
      <c r="AS27" s="112">
        <v>87089</v>
      </c>
      <c r="AT27" s="112">
        <v>877</v>
      </c>
      <c r="AU27" s="112">
        <v>165530</v>
      </c>
      <c r="AV27" s="112">
        <v>62124</v>
      </c>
      <c r="AW27" s="133">
        <v>52089</v>
      </c>
      <c r="AX27" s="112">
        <v>260896</v>
      </c>
      <c r="AY27" s="112">
        <v>705091</v>
      </c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</row>
    <row r="28" spans="1:83" x14ac:dyDescent="0.25">
      <c r="A28">
        <v>21</v>
      </c>
      <c r="B28" s="112">
        <v>80572</v>
      </c>
      <c r="C28" s="112">
        <v>113252</v>
      </c>
      <c r="D28" s="112">
        <v>19920</v>
      </c>
      <c r="E28" s="112">
        <v>21918</v>
      </c>
      <c r="F28" s="112">
        <v>277511</v>
      </c>
      <c r="G28" s="112">
        <v>4967</v>
      </c>
      <c r="H28" s="112">
        <v>10461</v>
      </c>
      <c r="I28" s="112">
        <v>548209</v>
      </c>
      <c r="J28" s="112">
        <v>92385</v>
      </c>
      <c r="K28" s="112">
        <v>8091</v>
      </c>
      <c r="L28" s="112">
        <v>40570</v>
      </c>
      <c r="M28" s="112">
        <v>62077</v>
      </c>
      <c r="N28" s="112">
        <v>56217</v>
      </c>
      <c r="O28" s="112">
        <v>273936</v>
      </c>
      <c r="P28" s="112">
        <v>573772</v>
      </c>
      <c r="Q28" s="112">
        <v>5234</v>
      </c>
      <c r="R28" s="133">
        <v>26852</v>
      </c>
      <c r="S28" s="112">
        <v>25503</v>
      </c>
      <c r="T28" s="112">
        <v>377821</v>
      </c>
      <c r="U28" s="133">
        <v>543821</v>
      </c>
      <c r="V28" s="112">
        <v>60295</v>
      </c>
      <c r="W28" s="112">
        <v>8043</v>
      </c>
      <c r="X28" s="112">
        <v>22317</v>
      </c>
      <c r="Y28" s="112">
        <v>125427</v>
      </c>
      <c r="Z28" s="112">
        <v>1303</v>
      </c>
      <c r="AA28" s="112">
        <v>239094</v>
      </c>
      <c r="AB28" s="112">
        <v>11379</v>
      </c>
      <c r="AC28" s="112">
        <v>2789</v>
      </c>
      <c r="AD28" s="112">
        <v>25560</v>
      </c>
      <c r="AE28" s="112">
        <v>124191</v>
      </c>
      <c r="AF28" s="112">
        <v>315082</v>
      </c>
      <c r="AG28" s="112">
        <v>1536502</v>
      </c>
      <c r="AH28" s="112">
        <v>14151</v>
      </c>
      <c r="AI28" s="112">
        <v>506405</v>
      </c>
      <c r="AJ28" s="112">
        <v>924112</v>
      </c>
      <c r="AK28" s="112">
        <v>14805</v>
      </c>
      <c r="AL28" s="126">
        <v>49837</v>
      </c>
      <c r="AM28" s="112">
        <v>49757</v>
      </c>
      <c r="AN28" s="116">
        <v>859614</v>
      </c>
      <c r="AO28" s="116">
        <v>5710</v>
      </c>
      <c r="AP28" s="116">
        <v>0</v>
      </c>
      <c r="AQ28" s="112">
        <v>154424</v>
      </c>
      <c r="AR28" s="112">
        <v>307879</v>
      </c>
      <c r="AS28" s="112">
        <v>87141</v>
      </c>
      <c r="AT28" s="112">
        <v>878</v>
      </c>
      <c r="AU28" s="112">
        <v>165696</v>
      </c>
      <c r="AV28" s="112">
        <v>62173</v>
      </c>
      <c r="AW28" s="112">
        <v>52117</v>
      </c>
      <c r="AX28" s="112">
        <v>261109</v>
      </c>
      <c r="AY28" s="112">
        <v>705765</v>
      </c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</row>
    <row r="29" spans="1:83" x14ac:dyDescent="0.25">
      <c r="A29">
        <v>22</v>
      </c>
      <c r="B29" s="112">
        <v>80641</v>
      </c>
      <c r="C29" s="112">
        <v>113433</v>
      </c>
      <c r="D29" s="112">
        <v>19924</v>
      </c>
      <c r="E29" s="112">
        <v>21926</v>
      </c>
      <c r="F29" s="112">
        <v>277687</v>
      </c>
      <c r="G29" s="112">
        <v>4970</v>
      </c>
      <c r="H29" s="112">
        <v>10478</v>
      </c>
      <c r="I29" s="112">
        <v>548603</v>
      </c>
      <c r="J29" s="112">
        <v>92456</v>
      </c>
      <c r="K29" s="112">
        <v>8091</v>
      </c>
      <c r="L29" s="112">
        <v>40604</v>
      </c>
      <c r="M29" s="112">
        <v>62103</v>
      </c>
      <c r="N29" s="112">
        <v>56254</v>
      </c>
      <c r="O29" s="112">
        <v>274130</v>
      </c>
      <c r="P29" s="112">
        <v>574395</v>
      </c>
      <c r="Q29" s="112">
        <v>5241</v>
      </c>
      <c r="R29" s="112">
        <v>26863</v>
      </c>
      <c r="S29" s="112">
        <v>25503</v>
      </c>
      <c r="T29" s="112">
        <v>377988</v>
      </c>
      <c r="U29" s="112">
        <v>544189</v>
      </c>
      <c r="V29" s="112">
        <v>60339</v>
      </c>
      <c r="W29" s="112">
        <v>8043</v>
      </c>
      <c r="X29" s="112">
        <v>22333</v>
      </c>
      <c r="Y29" s="112">
        <v>125481</v>
      </c>
      <c r="Z29" s="112">
        <v>1303</v>
      </c>
      <c r="AA29" s="112">
        <v>239247</v>
      </c>
      <c r="AB29" s="112">
        <v>11382</v>
      </c>
      <c r="AC29" s="112">
        <v>2790</v>
      </c>
      <c r="AD29" s="112">
        <v>25581</v>
      </c>
      <c r="AE29" s="112">
        <v>124283</v>
      </c>
      <c r="AF29" s="112">
        <v>315279</v>
      </c>
      <c r="AG29" s="112">
        <v>1537345</v>
      </c>
      <c r="AH29" s="112">
        <v>14156</v>
      </c>
      <c r="AI29" s="112">
        <v>507060</v>
      </c>
      <c r="AJ29" s="112">
        <v>924759</v>
      </c>
      <c r="AK29" s="112">
        <v>14822</v>
      </c>
      <c r="AL29" s="126">
        <v>49938</v>
      </c>
      <c r="AM29" s="112">
        <v>49810</v>
      </c>
      <c r="AN29" s="116">
        <v>860360</v>
      </c>
      <c r="AO29" s="116">
        <v>5710</v>
      </c>
      <c r="AP29" s="116">
        <v>0</v>
      </c>
      <c r="AQ29" s="112">
        <v>154537</v>
      </c>
      <c r="AR29" s="112">
        <v>308145</v>
      </c>
      <c r="AS29" s="112">
        <v>87193</v>
      </c>
      <c r="AT29" s="112">
        <v>879</v>
      </c>
      <c r="AU29" s="112">
        <v>165847</v>
      </c>
      <c r="AV29" s="112">
        <v>62207</v>
      </c>
      <c r="AW29" s="112">
        <v>52143</v>
      </c>
      <c r="AX29" s="112">
        <v>261316</v>
      </c>
      <c r="AY29" s="112">
        <v>706403</v>
      </c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</row>
    <row r="30" spans="1:83" x14ac:dyDescent="0.25">
      <c r="A30">
        <v>23</v>
      </c>
      <c r="B30" s="112">
        <v>80714</v>
      </c>
      <c r="C30" s="112">
        <v>113617</v>
      </c>
      <c r="D30" s="112">
        <v>19940</v>
      </c>
      <c r="E30" s="112">
        <v>21930</v>
      </c>
      <c r="F30" s="112">
        <v>277856</v>
      </c>
      <c r="G30" s="112">
        <v>4973</v>
      </c>
      <c r="H30" s="112">
        <v>10495</v>
      </c>
      <c r="I30" s="112">
        <v>549001</v>
      </c>
      <c r="J30" s="112">
        <v>92525</v>
      </c>
      <c r="K30" s="112">
        <v>8092</v>
      </c>
      <c r="L30" s="112">
        <v>40642</v>
      </c>
      <c r="M30" s="112">
        <v>62135</v>
      </c>
      <c r="N30" s="112">
        <v>56286</v>
      </c>
      <c r="O30" s="112">
        <v>274331</v>
      </c>
      <c r="P30" s="112">
        <v>574987</v>
      </c>
      <c r="Q30" s="112">
        <v>5248</v>
      </c>
      <c r="R30" s="112">
        <v>26874</v>
      </c>
      <c r="S30" s="112">
        <v>25503</v>
      </c>
      <c r="T30" s="112">
        <v>378168</v>
      </c>
      <c r="U30" s="112">
        <v>544581</v>
      </c>
      <c r="V30" s="112">
        <v>60386</v>
      </c>
      <c r="W30" s="112">
        <v>8051</v>
      </c>
      <c r="X30" s="112">
        <v>22349</v>
      </c>
      <c r="Y30" s="112">
        <v>125557</v>
      </c>
      <c r="Z30" s="112">
        <v>1303</v>
      </c>
      <c r="AA30" s="112">
        <v>239410</v>
      </c>
      <c r="AB30" s="112">
        <v>11385</v>
      </c>
      <c r="AC30" s="112">
        <v>2792</v>
      </c>
      <c r="AD30" s="112">
        <v>25598</v>
      </c>
      <c r="AE30" s="112">
        <v>124376</v>
      </c>
      <c r="AF30" s="112">
        <v>315442</v>
      </c>
      <c r="AG30" s="112">
        <v>1538217</v>
      </c>
      <c r="AH30" s="112">
        <v>14163</v>
      </c>
      <c r="AI30" s="112">
        <v>507613</v>
      </c>
      <c r="AJ30" s="112">
        <v>925459</v>
      </c>
      <c r="AK30" s="112">
        <v>14833</v>
      </c>
      <c r="AL30" s="126">
        <v>50050</v>
      </c>
      <c r="AM30" s="112">
        <v>49863</v>
      </c>
      <c r="AN30" s="116">
        <v>861135</v>
      </c>
      <c r="AO30" s="116">
        <v>5710</v>
      </c>
      <c r="AP30" s="116">
        <v>0</v>
      </c>
      <c r="AQ30" s="112">
        <v>154658</v>
      </c>
      <c r="AR30" s="116">
        <v>308416</v>
      </c>
      <c r="AS30" s="112">
        <v>87217</v>
      </c>
      <c r="AT30" s="112">
        <v>879</v>
      </c>
      <c r="AU30" s="112">
        <v>165992</v>
      </c>
      <c r="AV30" s="112">
        <v>62243</v>
      </c>
      <c r="AW30" s="112">
        <v>52171</v>
      </c>
      <c r="AX30" s="112">
        <v>261535</v>
      </c>
      <c r="AY30" s="112">
        <v>707083</v>
      </c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</row>
    <row r="31" spans="1:83" x14ac:dyDescent="0.25">
      <c r="A31">
        <v>24</v>
      </c>
      <c r="B31" s="112">
        <v>80801</v>
      </c>
      <c r="C31" s="112">
        <v>113799</v>
      </c>
      <c r="D31" s="112">
        <v>19949</v>
      </c>
      <c r="E31" s="112">
        <v>21948</v>
      </c>
      <c r="F31" s="112">
        <v>278031</v>
      </c>
      <c r="G31" s="112">
        <v>4976</v>
      </c>
      <c r="H31" s="112">
        <v>10511</v>
      </c>
      <c r="I31" s="112">
        <v>549391</v>
      </c>
      <c r="J31" s="112">
        <v>92582</v>
      </c>
      <c r="K31" s="112">
        <v>8093</v>
      </c>
      <c r="L31" s="112">
        <v>40680</v>
      </c>
      <c r="M31" s="112">
        <v>62171</v>
      </c>
      <c r="N31" s="112">
        <v>56326</v>
      </c>
      <c r="O31" s="112">
        <v>274523</v>
      </c>
      <c r="P31" s="112">
        <v>575579</v>
      </c>
      <c r="Q31" s="112">
        <v>5255</v>
      </c>
      <c r="R31" s="112">
        <v>26887</v>
      </c>
      <c r="S31" s="112">
        <v>25503</v>
      </c>
      <c r="T31" s="133">
        <v>378347</v>
      </c>
      <c r="U31" s="112">
        <v>544974</v>
      </c>
      <c r="V31" s="112">
        <v>60430</v>
      </c>
      <c r="W31" s="112">
        <v>8062</v>
      </c>
      <c r="X31" s="112">
        <v>22364</v>
      </c>
      <c r="Y31" s="112">
        <v>125631</v>
      </c>
      <c r="Z31" s="112">
        <v>1303</v>
      </c>
      <c r="AA31" s="112">
        <v>239567</v>
      </c>
      <c r="AB31" s="112">
        <v>11389</v>
      </c>
      <c r="AC31" s="112">
        <v>2794</v>
      </c>
      <c r="AD31" s="112">
        <v>25617</v>
      </c>
      <c r="AE31" s="112">
        <v>124467</v>
      </c>
      <c r="AF31" s="112">
        <v>315688</v>
      </c>
      <c r="AG31" s="112">
        <v>1539094</v>
      </c>
      <c r="AH31" s="112">
        <v>14173</v>
      </c>
      <c r="AI31" s="112">
        <v>508241</v>
      </c>
      <c r="AJ31" s="112">
        <v>926170</v>
      </c>
      <c r="AK31" s="112">
        <v>14843</v>
      </c>
      <c r="AL31" s="126">
        <v>50616</v>
      </c>
      <c r="AM31" s="112">
        <v>49918</v>
      </c>
      <c r="AN31" s="116">
        <v>861906</v>
      </c>
      <c r="AO31" s="116">
        <v>5710</v>
      </c>
      <c r="AP31" s="116">
        <v>0</v>
      </c>
      <c r="AQ31" s="112">
        <v>154772</v>
      </c>
      <c r="AR31" s="112">
        <v>308691</v>
      </c>
      <c r="AS31" s="112">
        <v>87253</v>
      </c>
      <c r="AT31" s="112">
        <v>880</v>
      </c>
      <c r="AU31" s="112">
        <v>166143</v>
      </c>
      <c r="AV31" s="112">
        <v>62299</v>
      </c>
      <c r="AW31" s="112">
        <v>52206</v>
      </c>
      <c r="AX31" s="112">
        <v>261750</v>
      </c>
      <c r="AY31" s="112">
        <v>707751</v>
      </c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</row>
    <row r="32" spans="1:83" x14ac:dyDescent="0.25">
      <c r="A32">
        <v>25</v>
      </c>
      <c r="B32" s="112">
        <v>80883</v>
      </c>
      <c r="C32" s="112">
        <v>113986</v>
      </c>
      <c r="D32" s="112">
        <v>19961</v>
      </c>
      <c r="E32" s="112">
        <v>21955</v>
      </c>
      <c r="F32" s="112">
        <v>278207</v>
      </c>
      <c r="G32" s="112">
        <v>4978</v>
      </c>
      <c r="H32" s="112">
        <v>10524</v>
      </c>
      <c r="I32" s="112">
        <v>549782</v>
      </c>
      <c r="J32" s="112">
        <v>92637</v>
      </c>
      <c r="K32" s="112">
        <v>8094</v>
      </c>
      <c r="L32" s="112">
        <v>40773</v>
      </c>
      <c r="M32" s="112">
        <v>62199</v>
      </c>
      <c r="N32" s="112">
        <v>56363</v>
      </c>
      <c r="O32" s="112">
        <v>274730</v>
      </c>
      <c r="P32" s="112">
        <v>576149</v>
      </c>
      <c r="Q32" s="112">
        <v>5262</v>
      </c>
      <c r="R32" s="112">
        <v>26899</v>
      </c>
      <c r="S32" s="112">
        <v>25503</v>
      </c>
      <c r="T32" s="112">
        <v>378532</v>
      </c>
      <c r="U32" s="112">
        <v>545358</v>
      </c>
      <c r="V32" s="112">
        <v>60473</v>
      </c>
      <c r="W32" s="112">
        <v>8072</v>
      </c>
      <c r="X32" s="112">
        <v>22379</v>
      </c>
      <c r="Y32" s="112">
        <v>125699</v>
      </c>
      <c r="Z32" s="112">
        <v>1303</v>
      </c>
      <c r="AA32" s="112">
        <v>239721</v>
      </c>
      <c r="AB32" s="112">
        <v>11390</v>
      </c>
      <c r="AC32" s="112">
        <v>2795</v>
      </c>
      <c r="AD32" s="112">
        <v>25645</v>
      </c>
      <c r="AE32" s="112">
        <v>124558</v>
      </c>
      <c r="AF32" s="112">
        <v>315912</v>
      </c>
      <c r="AG32" s="112">
        <v>1540025</v>
      </c>
      <c r="AH32" s="112">
        <v>14183</v>
      </c>
      <c r="AI32" s="112">
        <v>509193</v>
      </c>
      <c r="AJ32" s="112">
        <v>926819</v>
      </c>
      <c r="AK32" s="112">
        <v>14855</v>
      </c>
      <c r="AL32" s="126">
        <v>50251</v>
      </c>
      <c r="AM32" s="133">
        <v>49972</v>
      </c>
      <c r="AN32" s="112">
        <v>862527</v>
      </c>
      <c r="AO32" s="116">
        <v>5710</v>
      </c>
      <c r="AP32" s="116">
        <v>0</v>
      </c>
      <c r="AQ32" s="112">
        <v>154889</v>
      </c>
      <c r="AR32" s="112">
        <v>308963</v>
      </c>
      <c r="AS32" s="112">
        <v>87292</v>
      </c>
      <c r="AT32" s="112">
        <v>880</v>
      </c>
      <c r="AU32" s="112">
        <v>166237</v>
      </c>
      <c r="AV32" s="112">
        <v>62360</v>
      </c>
      <c r="AW32" s="112">
        <v>52247</v>
      </c>
      <c r="AX32" s="112">
        <v>261960</v>
      </c>
      <c r="AY32" s="112">
        <v>708396</v>
      </c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</row>
    <row r="33" spans="1:83" x14ac:dyDescent="0.25">
      <c r="A33">
        <v>26</v>
      </c>
      <c r="B33" s="112">
        <v>80965</v>
      </c>
      <c r="C33" s="112">
        <v>114154</v>
      </c>
      <c r="D33" s="112">
        <v>19976</v>
      </c>
      <c r="E33" s="112">
        <v>21963</v>
      </c>
      <c r="F33" s="112">
        <v>278400</v>
      </c>
      <c r="G33" s="112">
        <v>4981</v>
      </c>
      <c r="H33" s="112">
        <v>10536</v>
      </c>
      <c r="I33" s="112">
        <v>550169</v>
      </c>
      <c r="J33" s="112">
        <v>92688</v>
      </c>
      <c r="K33" s="112">
        <v>8094</v>
      </c>
      <c r="L33" s="112">
        <v>40780</v>
      </c>
      <c r="M33" s="112">
        <v>62228</v>
      </c>
      <c r="N33" s="112">
        <v>56405</v>
      </c>
      <c r="O33" s="112">
        <v>274920</v>
      </c>
      <c r="P33" s="112">
        <v>576765</v>
      </c>
      <c r="Q33" s="112">
        <v>5269</v>
      </c>
      <c r="R33" s="112">
        <v>26910</v>
      </c>
      <c r="S33" s="112">
        <v>25503</v>
      </c>
      <c r="T33" s="112">
        <v>378712</v>
      </c>
      <c r="U33" s="112">
        <v>545719</v>
      </c>
      <c r="V33" s="112">
        <v>60517</v>
      </c>
      <c r="W33" s="112">
        <v>8084</v>
      </c>
      <c r="X33" s="112">
        <v>22392</v>
      </c>
      <c r="Y33" s="112">
        <v>125769</v>
      </c>
      <c r="Z33" s="112">
        <v>1303</v>
      </c>
      <c r="AA33" s="112">
        <v>239875</v>
      </c>
      <c r="AB33" s="112">
        <v>11392</v>
      </c>
      <c r="AC33" s="112">
        <v>2797</v>
      </c>
      <c r="AD33" s="112">
        <v>25661</v>
      </c>
      <c r="AE33" s="112">
        <v>124650</v>
      </c>
      <c r="AF33" s="112">
        <v>316146</v>
      </c>
      <c r="AG33" s="112">
        <v>1540902</v>
      </c>
      <c r="AH33" s="112">
        <v>14191</v>
      </c>
      <c r="AI33" s="112">
        <v>509739</v>
      </c>
      <c r="AJ33" s="112">
        <v>927412</v>
      </c>
      <c r="AK33" s="112">
        <v>14865</v>
      </c>
      <c r="AL33" s="126">
        <v>50342</v>
      </c>
      <c r="AM33" s="112">
        <v>50028</v>
      </c>
      <c r="AN33" s="116">
        <v>863285</v>
      </c>
      <c r="AO33" s="116">
        <v>5720</v>
      </c>
      <c r="AP33" s="116">
        <v>0</v>
      </c>
      <c r="AQ33" s="112">
        <v>155012</v>
      </c>
      <c r="AR33" s="112">
        <v>309225</v>
      </c>
      <c r="AS33" s="112">
        <v>87330</v>
      </c>
      <c r="AT33" s="112">
        <v>881</v>
      </c>
      <c r="AU33" s="112">
        <v>166343</v>
      </c>
      <c r="AV33" s="112">
        <v>62405</v>
      </c>
      <c r="AW33" s="112">
        <v>52280</v>
      </c>
      <c r="AX33" s="112">
        <v>262168</v>
      </c>
      <c r="AY33" s="112">
        <v>709039</v>
      </c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</row>
    <row r="34" spans="1:83" x14ac:dyDescent="0.25">
      <c r="A34">
        <v>27</v>
      </c>
      <c r="B34" s="112">
        <v>81050</v>
      </c>
      <c r="C34" s="112">
        <v>114327</v>
      </c>
      <c r="D34" s="112">
        <v>19999</v>
      </c>
      <c r="E34" s="112">
        <v>21977</v>
      </c>
      <c r="F34" s="112">
        <v>278579</v>
      </c>
      <c r="G34" s="112">
        <v>4984</v>
      </c>
      <c r="H34" s="112">
        <v>10550</v>
      </c>
      <c r="I34" s="133">
        <v>550564</v>
      </c>
      <c r="J34" s="112">
        <v>92736</v>
      </c>
      <c r="K34" s="112">
        <v>8095</v>
      </c>
      <c r="L34" s="112">
        <v>40782</v>
      </c>
      <c r="M34" s="112">
        <v>62247</v>
      </c>
      <c r="N34" s="112">
        <v>56445</v>
      </c>
      <c r="O34" s="112">
        <v>275118</v>
      </c>
      <c r="P34" s="112">
        <v>577455</v>
      </c>
      <c r="Q34" s="112">
        <v>5275</v>
      </c>
      <c r="R34" s="112">
        <v>26921</v>
      </c>
      <c r="S34" s="112">
        <v>25503</v>
      </c>
      <c r="T34" s="112">
        <v>378896</v>
      </c>
      <c r="U34" s="112">
        <v>546089</v>
      </c>
      <c r="V34" s="112">
        <v>60563</v>
      </c>
      <c r="W34" s="112">
        <v>8099</v>
      </c>
      <c r="X34" s="112">
        <v>22406</v>
      </c>
      <c r="Y34" s="112">
        <v>125844</v>
      </c>
      <c r="Z34" s="112">
        <v>1303</v>
      </c>
      <c r="AA34" s="112">
        <v>240029</v>
      </c>
      <c r="AB34" s="112">
        <v>11397</v>
      </c>
      <c r="AC34" s="112">
        <v>2798</v>
      </c>
      <c r="AD34" s="112">
        <v>25677</v>
      </c>
      <c r="AE34" s="112">
        <v>124745</v>
      </c>
      <c r="AF34" s="112">
        <v>316403</v>
      </c>
      <c r="AG34" s="112">
        <v>1541859</v>
      </c>
      <c r="AH34" s="112">
        <v>14192</v>
      </c>
      <c r="AI34" s="112">
        <v>509885</v>
      </c>
      <c r="AJ34" s="112">
        <v>928140</v>
      </c>
      <c r="AK34" s="112">
        <v>14885</v>
      </c>
      <c r="AL34" s="126">
        <v>50834</v>
      </c>
      <c r="AM34" s="112">
        <v>50090</v>
      </c>
      <c r="AN34" s="116">
        <v>864084</v>
      </c>
      <c r="AO34" s="116">
        <v>5710</v>
      </c>
      <c r="AP34" s="116">
        <v>0</v>
      </c>
      <c r="AQ34" s="112">
        <v>155143</v>
      </c>
      <c r="AR34" s="112">
        <v>309496</v>
      </c>
      <c r="AS34" s="112">
        <v>87373</v>
      </c>
      <c r="AT34" s="112">
        <v>882</v>
      </c>
      <c r="AU34" s="112">
        <v>166472</v>
      </c>
      <c r="AV34" s="112">
        <v>62447</v>
      </c>
      <c r="AW34" s="112">
        <v>52319</v>
      </c>
      <c r="AX34" s="112">
        <v>262378</v>
      </c>
      <c r="AY34" s="112">
        <v>709672</v>
      </c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</row>
    <row r="35" spans="1:83" x14ac:dyDescent="0.25">
      <c r="A35">
        <v>28</v>
      </c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26"/>
      <c r="AM35" s="112"/>
      <c r="AN35" s="116"/>
      <c r="AO35" s="116"/>
      <c r="AP35" s="116"/>
      <c r="AQ35" s="112"/>
      <c r="AR35" s="112"/>
      <c r="AS35" s="112"/>
      <c r="AT35" s="112"/>
      <c r="AU35" s="112"/>
      <c r="AV35" s="112"/>
      <c r="AW35" s="112"/>
      <c r="AX35" s="112"/>
      <c r="AY35" s="112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</row>
    <row r="36" spans="1:83" x14ac:dyDescent="0.25">
      <c r="A36">
        <v>29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26"/>
      <c r="AM36" s="112"/>
      <c r="AN36" s="116"/>
      <c r="AO36" s="116"/>
      <c r="AP36" s="116"/>
      <c r="AQ36" s="112"/>
      <c r="AR36" s="112"/>
      <c r="AS36" s="112"/>
      <c r="AT36" s="112"/>
      <c r="AU36" s="112"/>
      <c r="AV36" s="112"/>
      <c r="AW36" s="112"/>
      <c r="AX36" s="112"/>
      <c r="AY36" s="112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</row>
    <row r="37" spans="1:83" ht="15.75" thickBot="1" x14ac:dyDescent="0.3">
      <c r="A37">
        <v>30</v>
      </c>
      <c r="B37" s="127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26"/>
      <c r="AM37" s="112"/>
      <c r="AN37" s="116"/>
      <c r="AO37" s="116"/>
      <c r="AP37" s="116"/>
      <c r="AQ37" s="112"/>
      <c r="AR37" s="112"/>
      <c r="AS37" s="112"/>
      <c r="AT37" s="112"/>
      <c r="AU37" s="112"/>
      <c r="AV37" s="112"/>
      <c r="AW37" s="112"/>
      <c r="AX37" s="112"/>
      <c r="AY37" s="128"/>
      <c r="AZ37" s="129"/>
      <c r="BA37" s="129"/>
      <c r="BB37" s="129"/>
      <c r="BC37" s="129"/>
      <c r="BD37" s="129"/>
      <c r="BE37" s="129"/>
      <c r="BF37" s="129"/>
      <c r="BG37" s="129"/>
      <c r="BH37" s="129"/>
      <c r="BI37" s="129"/>
      <c r="BJ37" s="129"/>
      <c r="BK37" s="129"/>
      <c r="BL37" s="129"/>
      <c r="BM37" s="129"/>
      <c r="BN37" s="129"/>
      <c r="BO37" s="129"/>
      <c r="BP37" s="129"/>
      <c r="BQ37" s="129"/>
      <c r="BR37" s="129"/>
      <c r="BS37" s="129"/>
      <c r="BT37" s="129"/>
      <c r="BU37" s="129"/>
      <c r="BV37" s="129"/>
      <c r="BW37" s="129"/>
      <c r="BX37" s="129"/>
      <c r="BY37" s="129"/>
      <c r="BZ37" s="129"/>
      <c r="CA37" s="129"/>
      <c r="CB37" s="129"/>
      <c r="CC37" s="129"/>
      <c r="CD37" s="129"/>
      <c r="CE37" s="129"/>
    </row>
    <row r="38" spans="1:83" ht="15.75" thickBot="1" x14ac:dyDescent="0.3">
      <c r="A38">
        <v>31</v>
      </c>
      <c r="B38" s="111"/>
      <c r="C38" s="112"/>
      <c r="D38" s="113"/>
      <c r="E38" s="113"/>
      <c r="F38" s="113"/>
      <c r="G38" s="113"/>
      <c r="H38" s="112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2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4"/>
      <c r="AM38" s="113"/>
      <c r="AN38" s="115"/>
      <c r="AO38" s="115"/>
      <c r="AP38" s="116"/>
      <c r="AQ38" s="113"/>
      <c r="AR38" s="113"/>
      <c r="AS38" s="113"/>
      <c r="AT38" s="113"/>
      <c r="AU38" s="113"/>
      <c r="AV38" s="113"/>
      <c r="AW38" s="113"/>
      <c r="AX38" s="113"/>
      <c r="AY38" s="117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</row>
    <row r="39" spans="1:83" x14ac:dyDescent="0.25">
      <c r="D39" s="130"/>
      <c r="E39" s="23"/>
    </row>
    <row r="40" spans="1:83" x14ac:dyDescent="0.25">
      <c r="D40" s="130"/>
      <c r="E40" s="23"/>
    </row>
    <row r="41" spans="1:83" x14ac:dyDescent="0.25">
      <c r="D41" s="130"/>
      <c r="E41" s="23"/>
    </row>
    <row r="42" spans="1:83" x14ac:dyDescent="0.25">
      <c r="D42" s="130"/>
      <c r="E42" s="23"/>
    </row>
    <row r="43" spans="1:83" x14ac:dyDescent="0.25">
      <c r="D43" s="130"/>
      <c r="E43" s="23"/>
    </row>
    <row r="44" spans="1:83" x14ac:dyDescent="0.25">
      <c r="D44" s="130"/>
      <c r="E44" s="23"/>
    </row>
    <row r="45" spans="1:83" x14ac:dyDescent="0.25">
      <c r="D45" s="130"/>
      <c r="E45" s="23"/>
    </row>
    <row r="46" spans="1:83" x14ac:dyDescent="0.25">
      <c r="D46" s="130"/>
      <c r="E46" s="23"/>
    </row>
    <row r="47" spans="1:83" x14ac:dyDescent="0.25">
      <c r="D47" s="130"/>
      <c r="E47" s="23"/>
    </row>
    <row r="48" spans="1:83" x14ac:dyDescent="0.25">
      <c r="D48" s="130"/>
      <c r="E48" s="23"/>
    </row>
    <row r="49" spans="4:5" x14ac:dyDescent="0.25">
      <c r="D49" s="130"/>
      <c r="E49" s="23"/>
    </row>
    <row r="50" spans="4:5" x14ac:dyDescent="0.25">
      <c r="D50" s="130"/>
      <c r="E50" s="1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2021-08-28T16:13:45Z</dcterms:modified>
</cp:coreProperties>
</file>