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<sst xmlns="http://schemas.openxmlformats.org/spreadsheetml/2006/main" count="128" uniqueCount="49">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</sst>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9" zoomScale="130" zoomScaleNormal="130" workbookViewId="0">
      <selection activeCell="P26" sqref="P26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57182</v>
      </c>
      <c r="F2" s="11">
        <v>5.0000000000000001E-3</v>
      </c>
      <c r="G2" s="12">
        <f>Submetering!R2</f>
        <v>688.1875379999999</v>
      </c>
      <c r="H2" s="11">
        <v>0.52800000000000002</v>
      </c>
      <c r="I2" s="12">
        <f>Hotel!B7</f>
        <v>102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57968</v>
      </c>
      <c r="F3" s="11">
        <v>5.0000000000000001E-3</v>
      </c>
      <c r="G3" s="12">
        <f>Submetering!R3</f>
        <v>475.06895499999996</v>
      </c>
      <c r="H3" s="11">
        <v>0.52800000000000002</v>
      </c>
      <c r="I3" s="12">
        <f>Hotel!B8</f>
        <v>126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56950</v>
      </c>
      <c r="F4" s="11">
        <v>5.0000000000000001E-3</v>
      </c>
      <c r="G4" s="12">
        <f>Submetering!R4</f>
        <v>642.76261799999997</v>
      </c>
      <c r="H4" s="11">
        <v>0.52800000000000002</v>
      </c>
      <c r="I4" s="12">
        <f>Hotel!B9</f>
        <v>144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60080</v>
      </c>
      <c r="F5" s="11">
        <v>5.0000000000000001E-3</v>
      </c>
      <c r="G5" s="12">
        <f>Submetering!R5</f>
        <v>559.86213899999996</v>
      </c>
      <c r="H5" s="11">
        <v>0.52800000000000002</v>
      </c>
      <c r="I5" s="12">
        <f>Hotel!B10</f>
        <v>132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55830</v>
      </c>
      <c r="F6" s="11">
        <v>5.0000000000000001E-3</v>
      </c>
      <c r="G6" s="12">
        <f>Submetering!R6</f>
        <v>720.36352299999999</v>
      </c>
      <c r="H6" s="11">
        <v>0.52800000000000002</v>
      </c>
      <c r="I6" s="12">
        <f>Hotel!B11</f>
        <v>103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58460</v>
      </c>
      <c r="F7" s="11">
        <v>5.0000000000000001E-3</v>
      </c>
      <c r="G7" s="12">
        <f>Submetering!R7</f>
        <v>861.55931599999997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55690</v>
      </c>
      <c r="F8" s="11">
        <v>5.0000000000000001E-3</v>
      </c>
      <c r="G8" s="12">
        <f>Submetering!R8</f>
        <v>525.41490799999997</v>
      </c>
      <c r="H8" s="11">
        <v>0.52800000000000002</v>
      </c>
      <c r="I8" s="12">
        <f>Hotel!B13</f>
        <v>79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55120</v>
      </c>
      <c r="F9" s="11">
        <v>5.0000000000000001E-3</v>
      </c>
      <c r="G9" s="12">
        <f>Submetering!R9</f>
        <v>713.54978500000004</v>
      </c>
      <c r="H9" s="11">
        <v>0.52800000000000002</v>
      </c>
      <c r="I9" s="12">
        <f>Hotel!B14</f>
        <v>84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54500</v>
      </c>
      <c r="F10" s="11">
        <v>5.0000000000000001E-3</v>
      </c>
      <c r="G10" s="12">
        <f>Submetering!R10</f>
        <v>561.75484400000005</v>
      </c>
      <c r="H10" s="11">
        <v>0.52800000000000002</v>
      </c>
      <c r="I10" s="12">
        <f>Hotel!B15</f>
        <v>84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54320</v>
      </c>
      <c r="F11" s="11">
        <v>5.0000000000000001E-3</v>
      </c>
      <c r="G11" s="12">
        <f>Submetering!R11</f>
        <v>685.916292</v>
      </c>
      <c r="H11" s="11">
        <v>0.52800000000000002</v>
      </c>
      <c r="I11" s="12">
        <f>Hotel!B16</f>
        <v>127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55530</v>
      </c>
      <c r="F12" s="11">
        <v>5.0000000000000001E-3</v>
      </c>
      <c r="G12" s="12">
        <f>Submetering!R12</f>
        <v>663.960914</v>
      </c>
      <c r="H12" s="11">
        <v>0.52800000000000002</v>
      </c>
      <c r="I12" s="12">
        <f>Hotel!B17</f>
        <v>136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53460</v>
      </c>
      <c r="F13" s="11">
        <v>5.0000000000000001E-3</v>
      </c>
      <c r="G13" s="12">
        <f>Submetering!R13</f>
        <v>835.43998699999997</v>
      </c>
      <c r="H13" s="11">
        <v>0.52800000000000002</v>
      </c>
      <c r="I13" s="12">
        <f>Hotel!B18</f>
        <v>88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2</v>
      </c>
      <c r="D2" s="11">
        <v>2022</v>
      </c>
      <c r="E2" s="4">
        <f>Hotel!Q7</f>
        <v>570</v>
      </c>
      <c r="F2" s="4">
        <f>Hotel!R7</f>
        <v>8430</v>
      </c>
      <c r="G2" s="4">
        <f>Hotel!S7</f>
        <v>0</v>
      </c>
      <c r="H2" s="4">
        <f>Hotel!T7</f>
        <v>1400</v>
      </c>
      <c r="I2" s="4">
        <f>Hotel!U7</f>
        <v>5320</v>
      </c>
      <c r="J2" s="4">
        <f>Hotel!V7</f>
        <v>4300</v>
      </c>
      <c r="K2" s="4">
        <f>Hotel!W7</f>
        <v>2510</v>
      </c>
      <c r="L2" s="4">
        <f>Hotel!X7</f>
        <v>4660</v>
      </c>
      <c r="M2" s="4">
        <f>Hotel!Y7</f>
        <v>4530</v>
      </c>
      <c r="N2" s="4">
        <f>Hotel!Z7</f>
        <v>2570</v>
      </c>
      <c r="O2" s="4">
        <f>Hotel!AA7</f>
        <v>2870</v>
      </c>
      <c r="P2" s="4">
        <f>Hotel!AB7</f>
        <v>7232</v>
      </c>
      <c r="Q2" s="4">
        <f>Hotel!AC7</f>
        <v>12790</v>
      </c>
      <c r="R2" s="4">
        <f>Hotel!AV7*0.00378541*100</f>
        <v>688.1875379999999</v>
      </c>
      <c r="S2" s="4">
        <f>Hotel!B7</f>
        <v>102</v>
      </c>
    </row>
    <row r="3" spans="1:19" x14ac:dyDescent="0.25">
      <c r="A3" s="21" t="s">
        <v>31</v>
      </c>
      <c r="B3" s="2">
        <f>B2+1</f>
        <v>2</v>
      </c>
      <c r="C3" s="3">
        <v>2</v>
      </c>
      <c r="D3" s="11">
        <v>2022</v>
      </c>
      <c r="E3" s="4">
        <f>Hotel!Q8</f>
        <v>560</v>
      </c>
      <c r="F3" s="4">
        <f>Hotel!R8</f>
        <v>8100</v>
      </c>
      <c r="G3" s="4">
        <f>Hotel!S8</f>
        <v>0</v>
      </c>
      <c r="H3" s="4">
        <f>Hotel!T8</f>
        <v>1390</v>
      </c>
      <c r="I3" s="4">
        <f>Hotel!U8</f>
        <v>5430</v>
      </c>
      <c r="J3" s="4">
        <f>Hotel!V8</f>
        <v>4480</v>
      </c>
      <c r="K3" s="4">
        <f>Hotel!W8</f>
        <v>2520</v>
      </c>
      <c r="L3" s="4">
        <f>Hotel!X8</f>
        <v>4800</v>
      </c>
      <c r="M3" s="4">
        <f>Hotel!Y8</f>
        <v>4500</v>
      </c>
      <c r="N3" s="4">
        <f>Hotel!Z8</f>
        <v>2550</v>
      </c>
      <c r="O3" s="4">
        <f>Hotel!AA8</f>
        <v>3040</v>
      </c>
      <c r="P3" s="4">
        <f>Hotel!AB8</f>
        <v>7358</v>
      </c>
      <c r="Q3" s="4">
        <f>Hotel!AC8</f>
        <v>13240</v>
      </c>
      <c r="R3" s="4">
        <f>Hotel!AV8*0.00378541*100</f>
        <v>475.06895499999996</v>
      </c>
      <c r="S3" s="4">
        <f>Hotel!B8</f>
        <v>126</v>
      </c>
    </row>
    <row r="4" spans="1:19" x14ac:dyDescent="0.25">
      <c r="A4" s="21" t="s">
        <v>31</v>
      </c>
      <c r="B4" s="2">
        <f t="shared" ref="B4:B29" si="0">B3+1</f>
        <v>3</v>
      </c>
      <c r="C4" s="3">
        <v>2</v>
      </c>
      <c r="D4" s="11">
        <v>2022</v>
      </c>
      <c r="E4" s="4">
        <f>Hotel!Q9</f>
        <v>560</v>
      </c>
      <c r="F4" s="4">
        <f>Hotel!R9</f>
        <v>8280</v>
      </c>
      <c r="G4" s="4">
        <f>Hotel!S9</f>
        <v>0</v>
      </c>
      <c r="H4" s="4">
        <f>Hotel!T9</f>
        <v>1390</v>
      </c>
      <c r="I4" s="4">
        <f>Hotel!U9</f>
        <v>5680</v>
      </c>
      <c r="J4" s="4">
        <f>Hotel!V9</f>
        <v>4420</v>
      </c>
      <c r="K4" s="4">
        <f>Hotel!W9</f>
        <v>2580</v>
      </c>
      <c r="L4" s="4">
        <f>Hotel!X9</f>
        <v>4710</v>
      </c>
      <c r="M4" s="4">
        <f>Hotel!Y9</f>
        <v>4860</v>
      </c>
      <c r="N4" s="4">
        <f>Hotel!Z9</f>
        <v>2620</v>
      </c>
      <c r="O4" s="4">
        <f>Hotel!AA9</f>
        <v>3220</v>
      </c>
      <c r="P4" s="4">
        <f>Hotel!AB9</f>
        <v>7180</v>
      </c>
      <c r="Q4" s="4">
        <f>Hotel!AC9</f>
        <v>11450</v>
      </c>
      <c r="R4" s="4">
        <f>Hotel!AV9*0.00378541*100</f>
        <v>642.76261799999997</v>
      </c>
      <c r="S4" s="4">
        <f>Hotel!B9</f>
        <v>144</v>
      </c>
    </row>
    <row r="5" spans="1:19" x14ac:dyDescent="0.25">
      <c r="A5" s="21" t="s">
        <v>31</v>
      </c>
      <c r="B5" s="2">
        <f t="shared" si="0"/>
        <v>4</v>
      </c>
      <c r="C5" s="3">
        <v>2</v>
      </c>
      <c r="D5" s="11">
        <v>2022</v>
      </c>
      <c r="E5" s="4">
        <f>Hotel!Q10</f>
        <v>590</v>
      </c>
      <c r="F5" s="4">
        <f>Hotel!R10</f>
        <v>9130</v>
      </c>
      <c r="G5" s="4">
        <f>Hotel!S10</f>
        <v>0</v>
      </c>
      <c r="H5" s="4">
        <f>Hotel!T10</f>
        <v>1490</v>
      </c>
      <c r="I5" s="4">
        <f>Hotel!U10</f>
        <v>6050</v>
      </c>
      <c r="J5" s="4">
        <f>Hotel!V10</f>
        <v>4610</v>
      </c>
      <c r="K5" s="4">
        <f>Hotel!W10</f>
        <v>2690</v>
      </c>
      <c r="L5" s="4">
        <f>Hotel!X10</f>
        <v>4630</v>
      </c>
      <c r="M5" s="4">
        <f>Hotel!Y10</f>
        <v>5120</v>
      </c>
      <c r="N5" s="4">
        <f>Hotel!Z10</f>
        <v>2800</v>
      </c>
      <c r="O5" s="4">
        <f>Hotel!AA10</f>
        <v>3500</v>
      </c>
      <c r="P5" s="4">
        <f>Hotel!AB10</f>
        <v>7690</v>
      </c>
      <c r="Q5" s="4">
        <f>Hotel!AC10</f>
        <v>11780</v>
      </c>
      <c r="R5" s="4">
        <f>Hotel!AV10*0.00378541*100</f>
        <v>559.86213899999996</v>
      </c>
      <c r="S5" s="4">
        <f>Hotel!B10</f>
        <v>132</v>
      </c>
    </row>
    <row r="6" spans="1:19" x14ac:dyDescent="0.25">
      <c r="A6" s="21" t="s">
        <v>31</v>
      </c>
      <c r="B6" s="2">
        <f t="shared" si="0"/>
        <v>5</v>
      </c>
      <c r="C6" s="3">
        <v>2</v>
      </c>
      <c r="D6" s="11">
        <v>2022</v>
      </c>
      <c r="E6" s="4">
        <f>Hotel!Q11</f>
        <v>540</v>
      </c>
      <c r="F6" s="4">
        <f>Hotel!R11</f>
        <v>8050</v>
      </c>
      <c r="G6" s="4">
        <f>Hotel!S11</f>
        <v>0</v>
      </c>
      <c r="H6" s="4">
        <f>Hotel!T11</f>
        <v>1340</v>
      </c>
      <c r="I6" s="4">
        <f>Hotel!U11</f>
        <v>5480</v>
      </c>
      <c r="J6" s="4">
        <f>Hotel!V11</f>
        <v>4250</v>
      </c>
      <c r="K6" s="4">
        <f>Hotel!W11</f>
        <v>2470</v>
      </c>
      <c r="L6" s="4">
        <f>Hotel!X11</f>
        <v>4610</v>
      </c>
      <c r="M6" s="4">
        <f>Hotel!Y11</f>
        <v>4730</v>
      </c>
      <c r="N6" s="4">
        <f>Hotel!Z11</f>
        <v>2430</v>
      </c>
      <c r="O6" s="4">
        <f>Hotel!AA11</f>
        <v>3230</v>
      </c>
      <c r="P6" s="4">
        <f>Hotel!AB11</f>
        <v>6810</v>
      </c>
      <c r="Q6" s="4">
        <f>Hotel!AC11</f>
        <v>11890</v>
      </c>
      <c r="R6" s="4">
        <f>Hotel!AV11*0.00378541*100</f>
        <v>720.36352299999999</v>
      </c>
      <c r="S6" s="4">
        <f>Hotel!B11</f>
        <v>103</v>
      </c>
    </row>
    <row r="7" spans="1:19" x14ac:dyDescent="0.25">
      <c r="A7" s="21" t="s">
        <v>31</v>
      </c>
      <c r="B7" s="2">
        <f t="shared" si="0"/>
        <v>6</v>
      </c>
      <c r="C7" s="3">
        <v>2</v>
      </c>
      <c r="D7" s="11">
        <v>2022</v>
      </c>
      <c r="E7" s="4">
        <f>Hotel!Q12</f>
        <v>590</v>
      </c>
      <c r="F7" s="4">
        <f>Hotel!R12</f>
        <v>8640</v>
      </c>
      <c r="G7" s="4">
        <f>Hotel!S12</f>
        <v>0</v>
      </c>
      <c r="H7" s="4">
        <f>Hotel!T12</f>
        <v>1460</v>
      </c>
      <c r="I7" s="4">
        <f>Hotel!U12</f>
        <v>5770</v>
      </c>
      <c r="J7" s="4">
        <f>Hotel!V12</f>
        <v>4550</v>
      </c>
      <c r="K7" s="4">
        <f>Hotel!W12</f>
        <v>2630</v>
      </c>
      <c r="L7" s="4">
        <f>Hotel!X12</f>
        <v>4590</v>
      </c>
      <c r="M7" s="4">
        <f>Hotel!Y12</f>
        <v>4790</v>
      </c>
      <c r="N7" s="4">
        <f>Hotel!Z12</f>
        <v>2610</v>
      </c>
      <c r="O7" s="4">
        <f>Hotel!AA12</f>
        <v>3240</v>
      </c>
      <c r="P7" s="4">
        <f>Hotel!AB12</f>
        <v>7260</v>
      </c>
      <c r="Q7" s="4">
        <f>Hotel!AC12</f>
        <v>12330</v>
      </c>
      <c r="R7" s="4">
        <f>Hotel!AV12*0.00378541*100</f>
        <v>861.55931599999997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2</v>
      </c>
      <c r="D8" s="11">
        <v>2022</v>
      </c>
      <c r="E8" s="4">
        <f>Hotel!Q13</f>
        <v>560</v>
      </c>
      <c r="F8" s="4">
        <f>Hotel!R13</f>
        <v>8230</v>
      </c>
      <c r="G8" s="4">
        <f>Hotel!S13</f>
        <v>0</v>
      </c>
      <c r="H8" s="4">
        <f>Hotel!T13</f>
        <v>1390</v>
      </c>
      <c r="I8" s="4">
        <f>Hotel!U13</f>
        <v>5770</v>
      </c>
      <c r="J8" s="4">
        <f>Hotel!V13</f>
        <v>4210</v>
      </c>
      <c r="K8" s="4">
        <f>Hotel!W13</f>
        <v>2490</v>
      </c>
      <c r="L8" s="4">
        <f>Hotel!X13</f>
        <v>4660</v>
      </c>
      <c r="M8" s="4">
        <f>Hotel!Y13</f>
        <v>4530</v>
      </c>
      <c r="N8" s="4">
        <f>Hotel!Z13</f>
        <v>2480</v>
      </c>
      <c r="O8" s="4">
        <f>Hotel!AA13</f>
        <v>2990</v>
      </c>
      <c r="P8" s="4">
        <f>Hotel!AB13</f>
        <v>6940</v>
      </c>
      <c r="Q8" s="4">
        <f>Hotel!AC13</f>
        <v>11440</v>
      </c>
      <c r="R8" s="4">
        <f>Hotel!AV13*0.00378541*100</f>
        <v>525.41490799999997</v>
      </c>
      <c r="S8" s="4">
        <f>Hotel!B13</f>
        <v>79</v>
      </c>
    </row>
    <row r="9" spans="1:19" x14ac:dyDescent="0.25">
      <c r="A9" s="21" t="s">
        <v>31</v>
      </c>
      <c r="B9" s="2">
        <f t="shared" si="0"/>
        <v>8</v>
      </c>
      <c r="C9" s="3">
        <v>2</v>
      </c>
      <c r="D9" s="11">
        <v>2022</v>
      </c>
      <c r="E9" s="4">
        <f>Hotel!Q14</f>
        <v>550</v>
      </c>
      <c r="F9" s="4">
        <f>Hotel!R14</f>
        <v>8120</v>
      </c>
      <c r="G9" s="4">
        <f>Hotel!S14</f>
        <v>0</v>
      </c>
      <c r="H9" s="4">
        <f>Hotel!T14</f>
        <v>1370</v>
      </c>
      <c r="I9" s="4">
        <f>Hotel!U14</f>
        <v>5340</v>
      </c>
      <c r="J9" s="4">
        <f>Hotel!V14</f>
        <v>4000</v>
      </c>
      <c r="K9" s="4">
        <f>Hotel!W14</f>
        <v>2470</v>
      </c>
      <c r="L9" s="4">
        <f>Hotel!X14</f>
        <v>5060</v>
      </c>
      <c r="M9" s="4">
        <f>Hotel!Y14</f>
        <v>4510</v>
      </c>
      <c r="N9" s="4">
        <f>Hotel!Z14</f>
        <v>2460</v>
      </c>
      <c r="O9" s="4">
        <f>Hotel!AA14</f>
        <v>2900</v>
      </c>
      <c r="P9" s="4">
        <f>Hotel!AB14</f>
        <v>6960</v>
      </c>
      <c r="Q9" s="4">
        <f>Hotel!AC14</f>
        <v>11380</v>
      </c>
      <c r="R9" s="4">
        <f>Hotel!AV14*0.00378541*100</f>
        <v>713.54978500000004</v>
      </c>
      <c r="S9" s="4">
        <f>Hotel!B14</f>
        <v>84</v>
      </c>
    </row>
    <row r="10" spans="1:19" x14ac:dyDescent="0.25">
      <c r="A10" s="21" t="s">
        <v>31</v>
      </c>
      <c r="B10" s="2">
        <f t="shared" si="0"/>
        <v>9</v>
      </c>
      <c r="C10" s="3">
        <v>2</v>
      </c>
      <c r="D10" s="11">
        <v>2022</v>
      </c>
      <c r="E10" s="4">
        <f>Hotel!Q15</f>
        <v>620</v>
      </c>
      <c r="F10" s="4">
        <f>Hotel!R15</f>
        <v>5170</v>
      </c>
      <c r="G10" s="4">
        <f>Hotel!S15</f>
        <v>1100</v>
      </c>
      <c r="H10" s="4">
        <f>Hotel!T15</f>
        <v>1440</v>
      </c>
      <c r="I10" s="4">
        <f>Hotel!U15</f>
        <v>5610</v>
      </c>
      <c r="J10" s="4">
        <f>Hotel!V15</f>
        <v>4430</v>
      </c>
      <c r="K10" s="4">
        <f>Hotel!W15</f>
        <v>2820</v>
      </c>
      <c r="L10" s="4">
        <f>Hotel!X15</f>
        <v>4670</v>
      </c>
      <c r="M10" s="4">
        <f>Hotel!Y15</f>
        <v>4670</v>
      </c>
      <c r="N10" s="4">
        <f>Hotel!Z15</f>
        <v>2510</v>
      </c>
      <c r="O10" s="4">
        <f>Hotel!AA15</f>
        <v>3160</v>
      </c>
      <c r="P10" s="4">
        <f>Hotel!AB15</f>
        <v>7280</v>
      </c>
      <c r="Q10" s="4">
        <f>Hotel!AC15</f>
        <v>11020</v>
      </c>
      <c r="R10" s="4">
        <f>Hotel!AV15*0.00378541*100</f>
        <v>561.75484400000005</v>
      </c>
      <c r="S10" s="4">
        <f>Hotel!B15</f>
        <v>84</v>
      </c>
    </row>
    <row r="11" spans="1:19" x14ac:dyDescent="0.25">
      <c r="A11" s="21" t="s">
        <v>31</v>
      </c>
      <c r="B11" s="2">
        <f t="shared" si="0"/>
        <v>10</v>
      </c>
      <c r="C11" s="3">
        <v>2</v>
      </c>
      <c r="D11" s="11">
        <v>2022</v>
      </c>
      <c r="E11" s="4">
        <f>Hotel!Q16</f>
        <v>4610</v>
      </c>
      <c r="F11" s="4">
        <f>Hotel!R16</f>
        <v>1860</v>
      </c>
      <c r="G11" s="4">
        <f>Hotel!S16</f>
        <v>710</v>
      </c>
      <c r="H11" s="4">
        <f>Hotel!T16</f>
        <v>1410</v>
      </c>
      <c r="I11" s="4">
        <f>Hotel!U16</f>
        <v>5250</v>
      </c>
      <c r="J11" s="4">
        <f>Hotel!V16</f>
        <v>4230</v>
      </c>
      <c r="K11" s="4">
        <f>Hotel!W16</f>
        <v>2620</v>
      </c>
      <c r="L11" s="4">
        <f>Hotel!X16</f>
        <v>4570</v>
      </c>
      <c r="M11" s="4">
        <f>Hotel!Y16</f>
        <v>4910</v>
      </c>
      <c r="N11" s="4">
        <f>Hotel!Z16</f>
        <v>2600</v>
      </c>
      <c r="O11" s="4">
        <f>Hotel!AA16</f>
        <v>3250</v>
      </c>
      <c r="P11" s="4">
        <f>Hotel!AB16</f>
        <v>7270</v>
      </c>
      <c r="Q11" s="4">
        <f>Hotel!AC16</f>
        <v>11030</v>
      </c>
      <c r="R11" s="4">
        <f>Hotel!AV16*0.00378541*100</f>
        <v>685.916292</v>
      </c>
      <c r="S11" s="4">
        <f>Hotel!B16</f>
        <v>127</v>
      </c>
    </row>
    <row r="12" spans="1:19" x14ac:dyDescent="0.25">
      <c r="A12" s="21" t="s">
        <v>31</v>
      </c>
      <c r="B12" s="2">
        <f t="shared" si="0"/>
        <v>11</v>
      </c>
      <c r="C12" s="3">
        <v>2</v>
      </c>
      <c r="D12" s="11">
        <v>2022</v>
      </c>
      <c r="E12" s="4">
        <f>Hotel!Q17</f>
        <v>7300</v>
      </c>
      <c r="F12" s="4">
        <f>Hotel!R17</f>
        <v>1870</v>
      </c>
      <c r="G12" s="4">
        <f>Hotel!S17</f>
        <v>30</v>
      </c>
      <c r="H12" s="4">
        <f>Hotel!T17</f>
        <v>1430</v>
      </c>
      <c r="I12" s="4">
        <f>Hotel!U17</f>
        <v>5380</v>
      </c>
      <c r="J12" s="4">
        <f>Hotel!V17</f>
        <v>4110</v>
      </c>
      <c r="K12" s="4">
        <f>Hotel!W17</f>
        <v>2560</v>
      </c>
      <c r="L12" s="4">
        <f>Hotel!X17</f>
        <v>4200</v>
      </c>
      <c r="M12" s="4">
        <f>Hotel!Y17</f>
        <v>4860</v>
      </c>
      <c r="N12" s="4">
        <f>Hotel!Z17</f>
        <v>2480</v>
      </c>
      <c r="O12" s="4">
        <f>Hotel!AA17</f>
        <v>3220</v>
      </c>
      <c r="P12" s="4">
        <f>Hotel!AB17</f>
        <v>7210</v>
      </c>
      <c r="Q12" s="4">
        <f>Hotel!AC17</f>
        <v>10880</v>
      </c>
      <c r="R12" s="4">
        <f>Hotel!AV17*0.00378541*100</f>
        <v>663.960914</v>
      </c>
      <c r="S12" s="4">
        <f>Hotel!B17</f>
        <v>136</v>
      </c>
    </row>
    <row r="13" spans="1:19" x14ac:dyDescent="0.25">
      <c r="A13" s="21" t="s">
        <v>31</v>
      </c>
      <c r="B13" s="2">
        <f t="shared" si="0"/>
        <v>12</v>
      </c>
      <c r="C13" s="3">
        <v>2</v>
      </c>
      <c r="D13" s="11">
        <v>2022</v>
      </c>
      <c r="E13" s="4">
        <f>Hotel!Q18</f>
        <v>6740</v>
      </c>
      <c r="F13" s="4">
        <f>Hotel!R18</f>
        <v>1790</v>
      </c>
      <c r="G13" s="4">
        <f>Hotel!S18</f>
        <v>0</v>
      </c>
      <c r="H13" s="4">
        <f>Hotel!T18</f>
        <v>1350</v>
      </c>
      <c r="I13" s="4">
        <f>Hotel!U18</f>
        <v>5260</v>
      </c>
      <c r="J13" s="4">
        <f>Hotel!V18</f>
        <v>4100</v>
      </c>
      <c r="K13" s="4">
        <f>Hotel!W18</f>
        <v>2500</v>
      </c>
      <c r="L13" s="4">
        <f>Hotel!X18</f>
        <v>4350</v>
      </c>
      <c r="M13" s="4">
        <f>Hotel!Y18</f>
        <v>4480</v>
      </c>
      <c r="N13" s="4">
        <f>Hotel!Z18</f>
        <v>2450</v>
      </c>
      <c r="O13" s="4">
        <f>Hotel!AA18</f>
        <v>3050</v>
      </c>
      <c r="P13" s="4">
        <f>Hotel!AB18</f>
        <v>6720</v>
      </c>
      <c r="Q13" s="4">
        <f>Hotel!AC18</f>
        <v>10670</v>
      </c>
      <c r="R13" s="4">
        <f>Hotel!AV18*0.00378541*100</f>
        <v>835.43998699999997</v>
      </c>
      <c r="S13" s="4">
        <f>Hotel!B18</f>
        <v>88</v>
      </c>
    </row>
    <row r="14" spans="1:19" x14ac:dyDescent="0.25">
      <c r="A14" s="21" t="s">
        <v>31</v>
      </c>
      <c r="B14" s="2">
        <f t="shared" si="0"/>
        <v>13</v>
      </c>
      <c r="C14" s="3">
        <v>2</v>
      </c>
      <c r="D14" s="11">
        <v>2022</v>
      </c>
      <c r="E14" s="4" t="str">
        <f>Hotel!Q19</f>
        <v>0</v>
      </c>
      <c r="F14" s="4" t="str">
        <f>Hotel!R19</f>
        <v>0</v>
      </c>
      <c r="G14" s="4" t="str">
        <f>Hotel!S19</f>
        <v>0</v>
      </c>
      <c r="H14" s="4" t="str">
        <f>Hotel!T19</f>
        <v>0</v>
      </c>
      <c r="I14" s="4" t="str">
        <f>Hotel!U19</f>
        <v>0</v>
      </c>
      <c r="J14" s="4" t="str">
        <f>Hotel!V19</f>
        <v>0</v>
      </c>
      <c r="K14" s="4" t="str">
        <f>Hotel!W19</f>
        <v>0</v>
      </c>
      <c r="L14" s="4" t="str">
        <f>Hotel!X19</f>
        <v>0</v>
      </c>
      <c r="M14" s="4" t="str">
        <f>Hotel!Y19</f>
        <v>0</v>
      </c>
      <c r="N14" s="4" t="str">
        <f>Hotel!Z19</f>
        <v>0</v>
      </c>
      <c r="O14" s="4" t="str">
        <f>Hotel!AA19</f>
        <v>0</v>
      </c>
      <c r="P14" s="4" t="str">
        <f>Hotel!AB19</f>
        <v>0</v>
      </c>
      <c r="Q14" s="4" t="str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2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2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2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2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2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2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2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2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2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2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2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2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2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2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2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2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2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2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I1" zoomScale="93" zoomScaleNormal="93" workbookViewId="0">
      <selection activeCell="AU19" sqref="AU1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44592</v>
      </c>
      <c r="B2" s="40">
        <v>97</v>
      </c>
      <c r="C2" s="24">
        <v>7482400</v>
      </c>
      <c r="D2" s="24">
        <v>18023760</v>
      </c>
      <c r="E2" s="24">
        <v>3198960</v>
      </c>
      <c r="F2" s="24">
        <v>3875220</v>
      </c>
      <c r="G2" s="24">
        <v>11454450</v>
      </c>
      <c r="H2" s="24">
        <v>6414930</v>
      </c>
      <c r="I2" s="24">
        <v>5651860</v>
      </c>
      <c r="J2" s="24">
        <v>6967560</v>
      </c>
      <c r="K2" s="24">
        <v>10461910</v>
      </c>
      <c r="L2" s="24">
        <v>4446160</v>
      </c>
      <c r="M2" s="24">
        <v>8639460</v>
      </c>
      <c r="N2" s="24">
        <v>13736580</v>
      </c>
      <c r="O2" s="24">
        <v>19103050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513807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513807</v>
      </c>
    </row>
    <row r="7" spans="1:49" x14ac:dyDescent="0.25">
      <c r="A7" s="23">
        <v>44593</v>
      </c>
      <c r="B7" s="40">
        <v>102</v>
      </c>
      <c r="C7" s="24">
        <v>7482970</v>
      </c>
      <c r="D7" s="24">
        <v>18032190</v>
      </c>
      <c r="E7" s="24">
        <v>3198960</v>
      </c>
      <c r="F7" s="24">
        <v>3876620</v>
      </c>
      <c r="G7" s="24">
        <v>11459770</v>
      </c>
      <c r="H7" s="24">
        <v>6419230</v>
      </c>
      <c r="I7" s="24">
        <v>5654370</v>
      </c>
      <c r="J7" s="24">
        <v>6972220</v>
      </c>
      <c r="K7" s="24">
        <v>10466440</v>
      </c>
      <c r="L7" s="24">
        <v>4448730</v>
      </c>
      <c r="M7" s="24">
        <v>8642330</v>
      </c>
      <c r="N7" s="24">
        <v>13743812</v>
      </c>
      <c r="O7" s="24">
        <v>19115840</v>
      </c>
      <c r="Q7" s="37">
        <f>IF((C7-C2&lt;0), "0",C7-C2)</f>
        <v>570</v>
      </c>
      <c r="R7" s="37">
        <f t="shared" ref="R7:AC7" si="0">IF((D7-D2&lt;0), "0",D7-D2)</f>
        <v>8430</v>
      </c>
      <c r="S7" s="37">
        <f>IF((E7-E2&lt;0), "0",E7-E2)</f>
        <v>0</v>
      </c>
      <c r="T7" s="37">
        <f t="shared" si="0"/>
        <v>1400</v>
      </c>
      <c r="U7" s="37">
        <f t="shared" si="0"/>
        <v>5320</v>
      </c>
      <c r="V7" s="37">
        <f t="shared" si="0"/>
        <v>4300</v>
      </c>
      <c r="W7" s="37">
        <f t="shared" si="0"/>
        <v>2510</v>
      </c>
      <c r="X7" s="37">
        <f t="shared" si="0"/>
        <v>4660</v>
      </c>
      <c r="Y7" s="37">
        <f t="shared" si="0"/>
        <v>4530</v>
      </c>
      <c r="Z7" s="37">
        <f t="shared" si="0"/>
        <v>2570</v>
      </c>
      <c r="AA7" s="37">
        <f t="shared" si="0"/>
        <v>2870</v>
      </c>
      <c r="AB7" s="37">
        <f t="shared" si="0"/>
        <v>7232</v>
      </c>
      <c r="AC7" s="37">
        <f t="shared" si="0"/>
        <v>12790</v>
      </c>
      <c r="AD7" s="34">
        <f>SUM(Q7:AC7)</f>
        <v>57182</v>
      </c>
      <c r="AF7" s="20">
        <f t="shared" ref="AF7:AF36" si="1">Q7*$D$39</f>
        <v>2.85</v>
      </c>
      <c r="AG7" s="20">
        <f t="shared" ref="AG7:AG36" si="2">R7*$D$39</f>
        <v>42.15</v>
      </c>
      <c r="AH7" s="20">
        <f t="shared" ref="AH7:AH36" si="3">S7*$D$39</f>
        <v>0</v>
      </c>
      <c r="AI7" s="20">
        <f t="shared" ref="AI7:AI36" si="4">T7*$D$39</f>
        <v>7</v>
      </c>
      <c r="AJ7" s="20">
        <f t="shared" ref="AJ7:AJ36" si="5">U7*$D$39</f>
        <v>26.6</v>
      </c>
      <c r="AK7" s="20">
        <f t="shared" ref="AK7:AK36" si="6">V7*$D$39</f>
        <v>21.5</v>
      </c>
      <c r="AL7" s="20">
        <f t="shared" ref="AL7:AL36" si="7">W7*$D$39</f>
        <v>12.55</v>
      </c>
      <c r="AM7" s="20">
        <f t="shared" ref="AM7:AM36" si="8">X7*$D$39</f>
        <v>23.3</v>
      </c>
      <c r="AN7" s="20">
        <f t="shared" ref="AN7:AN36" si="9">Y7*$D$39</f>
        <v>22.650000000000002</v>
      </c>
      <c r="AO7" s="20">
        <f t="shared" ref="AO7:AO36" si="10">Z7*$D$39</f>
        <v>12.85</v>
      </c>
      <c r="AP7" s="20">
        <f t="shared" ref="AP7:AP36" si="11">AA7*$D$39</f>
        <v>14.35</v>
      </c>
      <c r="AQ7" s="20">
        <f t="shared" ref="AQ7:AQ36" si="12">AB7*$D$39</f>
        <v>36.160000000000004</v>
      </c>
      <c r="AR7" s="20">
        <f t="shared" ref="AR7:AR36" si="13">AC7*$D$39</f>
        <v>63.95</v>
      </c>
      <c r="AS7" s="35">
        <f>SUM(AF7:AR7)</f>
        <v>285.90999999999997</v>
      </c>
      <c r="AU7" s="47">
        <v>515625</v>
      </c>
      <c r="AV7" s="37">
        <f>IF((AU7-AU6&lt;0),"0",AU7-AU6)</f>
        <v>1818</v>
      </c>
      <c r="AW7" s="35">
        <f t="shared" ref="AW7:AW35" si="14">AV7*$D$40</f>
        <v>3.6360000000000001</v>
      </c>
    </row>
    <row r="8" spans="1:49" x14ac:dyDescent="0.25">
      <c r="A8" s="23">
        <v>44594</v>
      </c>
      <c r="B8" s="40">
        <v>126</v>
      </c>
      <c r="C8" s="24">
        <v>7483530</v>
      </c>
      <c r="D8" s="24">
        <v>18040290</v>
      </c>
      <c r="E8" s="24">
        <v>3198960</v>
      </c>
      <c r="F8" s="24">
        <v>3878010</v>
      </c>
      <c r="G8" s="24">
        <v>11465200</v>
      </c>
      <c r="H8" s="24">
        <v>6423710</v>
      </c>
      <c r="I8" s="24">
        <v>5656890</v>
      </c>
      <c r="J8" s="24">
        <v>6977020</v>
      </c>
      <c r="K8" s="24">
        <v>10470940</v>
      </c>
      <c r="L8" s="24">
        <v>4451280</v>
      </c>
      <c r="M8" s="24">
        <v>8645370</v>
      </c>
      <c r="N8" s="24">
        <v>13751170</v>
      </c>
      <c r="O8" s="24">
        <v>19129080</v>
      </c>
      <c r="Q8" s="37">
        <f>IF((C8-C7&lt;0), "0",C8-C7)</f>
        <v>560</v>
      </c>
      <c r="R8" s="37">
        <f t="shared" ref="R8:AC8" si="15">IF((D8-D7&lt;0), "0",D8-D7)</f>
        <v>8100</v>
      </c>
      <c r="S8" s="37">
        <f t="shared" ref="S8:S35" si="16">IF((E8-E7&lt;0), "0",E8-E7)</f>
        <v>0</v>
      </c>
      <c r="T8" s="37">
        <f t="shared" si="15"/>
        <v>1390</v>
      </c>
      <c r="U8" s="37">
        <f t="shared" si="15"/>
        <v>5430</v>
      </c>
      <c r="V8" s="37">
        <f t="shared" si="15"/>
        <v>4480</v>
      </c>
      <c r="W8" s="37">
        <f t="shared" si="15"/>
        <v>2520</v>
      </c>
      <c r="X8" s="37">
        <f t="shared" si="15"/>
        <v>4800</v>
      </c>
      <c r="Y8" s="37">
        <f t="shared" si="15"/>
        <v>4500</v>
      </c>
      <c r="Z8" s="37">
        <f t="shared" si="15"/>
        <v>2550</v>
      </c>
      <c r="AA8" s="37">
        <f t="shared" si="15"/>
        <v>3040</v>
      </c>
      <c r="AB8" s="37">
        <f t="shared" si="15"/>
        <v>7358</v>
      </c>
      <c r="AC8" s="37">
        <f t="shared" si="15"/>
        <v>13240</v>
      </c>
      <c r="AD8" s="35">
        <f>SUM(Q8:AC8)</f>
        <v>57968</v>
      </c>
      <c r="AF8" s="20">
        <f t="shared" si="1"/>
        <v>2.8000000000000003</v>
      </c>
      <c r="AG8" s="20">
        <f t="shared" si="2"/>
        <v>40.5</v>
      </c>
      <c r="AH8" s="20">
        <f t="shared" si="3"/>
        <v>0</v>
      </c>
      <c r="AI8" s="20">
        <f t="shared" si="4"/>
        <v>6.95</v>
      </c>
      <c r="AJ8" s="20">
        <f t="shared" si="5"/>
        <v>27.150000000000002</v>
      </c>
      <c r="AK8" s="20">
        <f t="shared" si="6"/>
        <v>22.400000000000002</v>
      </c>
      <c r="AL8" s="20">
        <f t="shared" si="7"/>
        <v>12.6</v>
      </c>
      <c r="AM8" s="20">
        <f t="shared" si="8"/>
        <v>24</v>
      </c>
      <c r="AN8" s="20">
        <f t="shared" si="9"/>
        <v>22.5</v>
      </c>
      <c r="AO8" s="20">
        <f t="shared" si="10"/>
        <v>12.75</v>
      </c>
      <c r="AP8" s="20">
        <f t="shared" si="11"/>
        <v>15.200000000000001</v>
      </c>
      <c r="AQ8" s="20">
        <f t="shared" si="12"/>
        <v>36.79</v>
      </c>
      <c r="AR8" s="20">
        <f t="shared" si="13"/>
        <v>66.2</v>
      </c>
      <c r="AS8" s="35">
        <f>SUM(AF8:AR8)</f>
        <v>289.83999999999997</v>
      </c>
      <c r="AU8" s="47">
        <v>516880</v>
      </c>
      <c r="AV8" s="37">
        <f>IF((AU8-AU7&lt;0),"0",AU8-AU7)</f>
        <v>1255</v>
      </c>
      <c r="AW8" s="35">
        <f t="shared" si="14"/>
        <v>2.5100000000000002</v>
      </c>
    </row>
    <row r="9" spans="1:49" x14ac:dyDescent="0.25">
      <c r="A9" s="23">
        <v>44595</v>
      </c>
      <c r="B9" s="40">
        <v>144</v>
      </c>
      <c r="C9" s="24">
        <v>7484090</v>
      </c>
      <c r="D9" s="24">
        <v>18048570</v>
      </c>
      <c r="E9" s="24">
        <v>3198960</v>
      </c>
      <c r="F9" s="24">
        <v>3879400</v>
      </c>
      <c r="G9" s="24">
        <v>11470880</v>
      </c>
      <c r="H9" s="24">
        <v>6428130</v>
      </c>
      <c r="I9" s="24">
        <v>5659470</v>
      </c>
      <c r="J9" s="24">
        <v>6981730</v>
      </c>
      <c r="K9" s="24">
        <v>10475800</v>
      </c>
      <c r="L9" s="24">
        <v>4453900</v>
      </c>
      <c r="M9" s="24">
        <v>8648590</v>
      </c>
      <c r="N9" s="24">
        <v>13758350</v>
      </c>
      <c r="O9" s="24">
        <v>19140530</v>
      </c>
      <c r="Q9" s="37">
        <f t="shared" ref="Q9:Q30" si="17">IF((C9-C8&lt;0), "0",C9-C8)</f>
        <v>560</v>
      </c>
      <c r="R9" s="37">
        <f t="shared" ref="R9:R35" si="18">IF((D9-D8&lt;0), "0",D9-D8)</f>
        <v>8280</v>
      </c>
      <c r="S9" s="37">
        <f t="shared" si="16"/>
        <v>0</v>
      </c>
      <c r="T9" s="37">
        <f t="shared" ref="T9:T35" si="19">IF((F9-F8&lt;0), "0",F9-F8)</f>
        <v>1390</v>
      </c>
      <c r="U9" s="37">
        <f t="shared" ref="U9:U35" si="20">IF((G9-G8&lt;0), "0",G9-G8)</f>
        <v>5680</v>
      </c>
      <c r="V9" s="37">
        <f t="shared" ref="V9:V35" si="21">IF((H9-H8&lt;0), "0",H9-H8)</f>
        <v>4420</v>
      </c>
      <c r="W9" s="37">
        <f t="shared" ref="W9:W35" si="22">IF((I9-I8&lt;0), "0",I9-I8)</f>
        <v>2580</v>
      </c>
      <c r="X9" s="37">
        <f t="shared" ref="X9:X37" si="23">IF((J9-J8&lt;0), "0",J9-J8)</f>
        <v>4710</v>
      </c>
      <c r="Y9" s="37">
        <f t="shared" ref="Y9:Y35" si="24">IF((K9-K8&lt;0), "0",K9-K8)</f>
        <v>4860</v>
      </c>
      <c r="Z9" s="37">
        <f t="shared" ref="Z9:Z35" si="25">IF((L9-L8&lt;0), "0",L9-L8)</f>
        <v>2620</v>
      </c>
      <c r="AA9" s="37">
        <f t="shared" ref="AA9:AA35" si="26">IF((M9-M8&lt;0), "0",M9-M8)</f>
        <v>3220</v>
      </c>
      <c r="AB9" s="37">
        <f t="shared" ref="AB9:AB37" si="27">IF((N9-N8&lt;0), "0",N9-N8)</f>
        <v>7180</v>
      </c>
      <c r="AC9" s="37">
        <f t="shared" ref="AC9:AC37" si="28">IF((O9-O8&lt;0), "0",O9-O8)</f>
        <v>11450</v>
      </c>
      <c r="AD9" s="35">
        <f t="shared" ref="AD9:AD37" si="29">SUM(Q9:AC9)</f>
        <v>56950</v>
      </c>
      <c r="AF9" s="20">
        <f t="shared" si="1"/>
        <v>2.8000000000000003</v>
      </c>
      <c r="AG9" s="20">
        <f t="shared" si="2"/>
        <v>41.4</v>
      </c>
      <c r="AH9" s="20">
        <f t="shared" si="3"/>
        <v>0</v>
      </c>
      <c r="AI9" s="20">
        <f t="shared" si="4"/>
        <v>6.95</v>
      </c>
      <c r="AJ9" s="20">
        <f t="shared" si="5"/>
        <v>28.400000000000002</v>
      </c>
      <c r="AK9" s="20">
        <f t="shared" si="6"/>
        <v>22.1</v>
      </c>
      <c r="AL9" s="20">
        <f t="shared" si="7"/>
        <v>12.9</v>
      </c>
      <c r="AM9" s="20">
        <f t="shared" si="8"/>
        <v>23.55</v>
      </c>
      <c r="AN9" s="20">
        <f t="shared" si="9"/>
        <v>24.3</v>
      </c>
      <c r="AO9" s="20">
        <f t="shared" si="10"/>
        <v>13.1</v>
      </c>
      <c r="AP9" s="20">
        <f t="shared" si="11"/>
        <v>16.100000000000001</v>
      </c>
      <c r="AQ9" s="20">
        <f t="shared" si="12"/>
        <v>35.9</v>
      </c>
      <c r="AR9" s="20">
        <f t="shared" si="13"/>
        <v>57.25</v>
      </c>
      <c r="AS9" s="35">
        <f t="shared" ref="AS9:AS33" si="30">SUM(AF9:AR9)</f>
        <v>284.75</v>
      </c>
      <c r="AU9" s="47">
        <v>518578</v>
      </c>
      <c r="AV9" s="37">
        <f>IF((AU9-AU8&lt;0),"0",AU9-AU8)</f>
        <v>1698</v>
      </c>
      <c r="AW9" s="35">
        <f t="shared" si="14"/>
        <v>3.3959999999999999</v>
      </c>
    </row>
    <row r="10" spans="1:49" x14ac:dyDescent="0.25">
      <c r="A10" s="23">
        <v>44596</v>
      </c>
      <c r="B10" s="40">
        <v>132</v>
      </c>
      <c r="C10" s="24">
        <v>7484680</v>
      </c>
      <c r="D10" s="24">
        <v>18057700</v>
      </c>
      <c r="E10" s="24">
        <v>3198960</v>
      </c>
      <c r="F10" s="24">
        <v>3880890</v>
      </c>
      <c r="G10" s="24">
        <v>11476930</v>
      </c>
      <c r="H10" s="24">
        <v>6432740</v>
      </c>
      <c r="I10" s="24">
        <v>5662160</v>
      </c>
      <c r="J10" s="24">
        <v>6986360</v>
      </c>
      <c r="K10" s="24">
        <v>10480920</v>
      </c>
      <c r="L10" s="24">
        <v>4456700</v>
      </c>
      <c r="M10" s="24">
        <v>8652090</v>
      </c>
      <c r="N10" s="24">
        <v>13766040</v>
      </c>
      <c r="O10" s="24">
        <v>19152310</v>
      </c>
      <c r="Q10" s="37">
        <f t="shared" si="17"/>
        <v>590</v>
      </c>
      <c r="R10" s="37">
        <f t="shared" si="18"/>
        <v>9130</v>
      </c>
      <c r="S10" s="37">
        <f t="shared" si="16"/>
        <v>0</v>
      </c>
      <c r="T10" s="37">
        <f t="shared" si="19"/>
        <v>1490</v>
      </c>
      <c r="U10" s="37">
        <f t="shared" si="20"/>
        <v>6050</v>
      </c>
      <c r="V10" s="37">
        <f t="shared" si="21"/>
        <v>4610</v>
      </c>
      <c r="W10" s="37">
        <f t="shared" si="22"/>
        <v>2690</v>
      </c>
      <c r="X10" s="37">
        <f t="shared" si="23"/>
        <v>4630</v>
      </c>
      <c r="Y10" s="37">
        <f t="shared" si="24"/>
        <v>5120</v>
      </c>
      <c r="Z10" s="37">
        <f t="shared" si="25"/>
        <v>2800</v>
      </c>
      <c r="AA10" s="37">
        <f t="shared" si="26"/>
        <v>3500</v>
      </c>
      <c r="AB10" s="37">
        <f t="shared" si="27"/>
        <v>7690</v>
      </c>
      <c r="AC10" s="37">
        <f t="shared" si="28"/>
        <v>11780</v>
      </c>
      <c r="AD10" s="35">
        <f t="shared" si="29"/>
        <v>60080</v>
      </c>
      <c r="AF10" s="20">
        <f t="shared" si="1"/>
        <v>2.95</v>
      </c>
      <c r="AG10" s="20">
        <f t="shared" si="2"/>
        <v>45.65</v>
      </c>
      <c r="AH10" s="20">
        <f t="shared" si="3"/>
        <v>0</v>
      </c>
      <c r="AI10" s="20">
        <f t="shared" si="4"/>
        <v>7.45</v>
      </c>
      <c r="AJ10" s="20">
        <f t="shared" si="5"/>
        <v>30.25</v>
      </c>
      <c r="AK10" s="20">
        <f t="shared" si="6"/>
        <v>23.05</v>
      </c>
      <c r="AL10" s="20">
        <f t="shared" si="7"/>
        <v>13.450000000000001</v>
      </c>
      <c r="AM10" s="20">
        <f t="shared" si="8"/>
        <v>23.150000000000002</v>
      </c>
      <c r="AN10" s="20">
        <f t="shared" si="9"/>
        <v>25.6</v>
      </c>
      <c r="AO10" s="20">
        <f t="shared" si="10"/>
        <v>14</v>
      </c>
      <c r="AP10" s="20">
        <f t="shared" si="11"/>
        <v>17.5</v>
      </c>
      <c r="AQ10" s="20">
        <f t="shared" si="12"/>
        <v>38.450000000000003</v>
      </c>
      <c r="AR10" s="20">
        <f t="shared" si="13"/>
        <v>58.9</v>
      </c>
      <c r="AS10" s="35">
        <f t="shared" si="30"/>
        <v>300.39999999999998</v>
      </c>
      <c r="AU10" s="47">
        <v>520057</v>
      </c>
      <c r="AV10" s="37">
        <f t="shared" ref="AV10:AV26" si="31">IF((AU10-AU9&lt;0),"0",AU10-AU9)</f>
        <v>1479</v>
      </c>
      <c r="AW10" s="35">
        <f t="shared" si="14"/>
        <v>2.9580000000000002</v>
      </c>
    </row>
    <row r="11" spans="1:49" x14ac:dyDescent="0.25">
      <c r="A11" s="23">
        <v>44597</v>
      </c>
      <c r="B11" s="40">
        <v>103</v>
      </c>
      <c r="C11" s="24">
        <v>7485220</v>
      </c>
      <c r="D11" s="24">
        <v>18065750</v>
      </c>
      <c r="E11" s="24">
        <v>3198960</v>
      </c>
      <c r="F11" s="24">
        <v>3882230</v>
      </c>
      <c r="G11" s="24">
        <v>11482410</v>
      </c>
      <c r="H11" s="24">
        <v>6436990</v>
      </c>
      <c r="I11" s="24">
        <v>5664630</v>
      </c>
      <c r="J11" s="24">
        <v>6990970</v>
      </c>
      <c r="K11" s="24">
        <v>10485650</v>
      </c>
      <c r="L11" s="24">
        <v>4459130</v>
      </c>
      <c r="M11" s="24">
        <v>8655320</v>
      </c>
      <c r="N11" s="24">
        <v>13772850</v>
      </c>
      <c r="O11" s="24">
        <v>19164200</v>
      </c>
      <c r="Q11" s="37">
        <f t="shared" si="17"/>
        <v>540</v>
      </c>
      <c r="R11" s="37">
        <f t="shared" si="18"/>
        <v>8050</v>
      </c>
      <c r="S11" s="37">
        <f t="shared" si="16"/>
        <v>0</v>
      </c>
      <c r="T11" s="37">
        <f t="shared" si="19"/>
        <v>1340</v>
      </c>
      <c r="U11" s="37">
        <f t="shared" si="20"/>
        <v>5480</v>
      </c>
      <c r="V11" s="37">
        <f t="shared" si="21"/>
        <v>4250</v>
      </c>
      <c r="W11" s="37">
        <f t="shared" si="22"/>
        <v>2470</v>
      </c>
      <c r="X11" s="37">
        <f t="shared" si="23"/>
        <v>4610</v>
      </c>
      <c r="Y11" s="37">
        <f t="shared" si="24"/>
        <v>4730</v>
      </c>
      <c r="Z11" s="37">
        <f t="shared" si="25"/>
        <v>2430</v>
      </c>
      <c r="AA11" s="37">
        <f t="shared" si="26"/>
        <v>3230</v>
      </c>
      <c r="AB11" s="37">
        <f t="shared" si="27"/>
        <v>6810</v>
      </c>
      <c r="AC11" s="37">
        <f t="shared" si="28"/>
        <v>11890</v>
      </c>
      <c r="AD11" s="35">
        <f t="shared" si="29"/>
        <v>55830</v>
      </c>
      <c r="AF11" s="20">
        <f t="shared" si="1"/>
        <v>2.7</v>
      </c>
      <c r="AG11" s="20">
        <f t="shared" si="2"/>
        <v>40.25</v>
      </c>
      <c r="AH11" s="20">
        <f t="shared" si="3"/>
        <v>0</v>
      </c>
      <c r="AI11" s="20">
        <f t="shared" si="4"/>
        <v>6.7</v>
      </c>
      <c r="AJ11" s="20">
        <f t="shared" si="5"/>
        <v>27.400000000000002</v>
      </c>
      <c r="AK11" s="20">
        <f t="shared" si="6"/>
        <v>21.25</v>
      </c>
      <c r="AL11" s="20">
        <f t="shared" si="7"/>
        <v>12.35</v>
      </c>
      <c r="AM11" s="20">
        <f t="shared" si="8"/>
        <v>23.05</v>
      </c>
      <c r="AN11" s="20">
        <f t="shared" si="9"/>
        <v>23.650000000000002</v>
      </c>
      <c r="AO11" s="20">
        <f t="shared" si="10"/>
        <v>12.15</v>
      </c>
      <c r="AP11" s="20">
        <f t="shared" si="11"/>
        <v>16.149999999999999</v>
      </c>
      <c r="AQ11" s="20">
        <f t="shared" si="12"/>
        <v>34.049999999999997</v>
      </c>
      <c r="AR11" s="20">
        <f t="shared" si="13"/>
        <v>59.45</v>
      </c>
      <c r="AS11" s="35">
        <f t="shared" si="30"/>
        <v>279.15000000000003</v>
      </c>
      <c r="AU11" s="47">
        <v>521960</v>
      </c>
      <c r="AV11" s="37">
        <f t="shared" si="31"/>
        <v>1903</v>
      </c>
      <c r="AW11" s="35">
        <f t="shared" si="14"/>
        <v>3.806</v>
      </c>
    </row>
    <row r="12" spans="1:49" x14ac:dyDescent="0.25">
      <c r="A12" s="23">
        <v>44598</v>
      </c>
      <c r="B12" s="40">
        <v>79</v>
      </c>
      <c r="C12" s="49">
        <v>7485810</v>
      </c>
      <c r="D12" s="24">
        <v>18074390</v>
      </c>
      <c r="E12" s="24">
        <v>3198960</v>
      </c>
      <c r="F12" s="24">
        <v>3883690</v>
      </c>
      <c r="G12" s="24">
        <v>11488180</v>
      </c>
      <c r="H12" s="24">
        <v>6441540</v>
      </c>
      <c r="I12" s="24">
        <v>5667260</v>
      </c>
      <c r="J12" s="24">
        <v>6995560</v>
      </c>
      <c r="K12" s="24">
        <v>10490440</v>
      </c>
      <c r="L12" s="24">
        <v>4461740</v>
      </c>
      <c r="M12" s="24">
        <v>8658560</v>
      </c>
      <c r="N12" s="24">
        <v>13780110</v>
      </c>
      <c r="O12" s="24">
        <v>19176530</v>
      </c>
      <c r="Q12" s="37">
        <f t="shared" si="17"/>
        <v>590</v>
      </c>
      <c r="R12" s="37">
        <f t="shared" si="18"/>
        <v>8640</v>
      </c>
      <c r="S12" s="37">
        <f t="shared" si="16"/>
        <v>0</v>
      </c>
      <c r="T12" s="37">
        <f t="shared" ref="T12:W14" si="32">IF((F12-F11&lt;0), "0",F12-F11)</f>
        <v>1460</v>
      </c>
      <c r="U12" s="37">
        <f t="shared" si="32"/>
        <v>5770</v>
      </c>
      <c r="V12" s="37">
        <f t="shared" si="32"/>
        <v>4550</v>
      </c>
      <c r="W12" s="37">
        <f t="shared" si="32"/>
        <v>2630</v>
      </c>
      <c r="X12" s="37">
        <f t="shared" si="23"/>
        <v>4590</v>
      </c>
      <c r="Y12" s="37">
        <f t="shared" si="24"/>
        <v>4790</v>
      </c>
      <c r="Z12" s="37">
        <f>IF((L12-L11&lt;0), "0",L12-L11)</f>
        <v>2610</v>
      </c>
      <c r="AA12" s="37">
        <f t="shared" si="26"/>
        <v>3240</v>
      </c>
      <c r="AB12" s="37">
        <f t="shared" si="27"/>
        <v>7260</v>
      </c>
      <c r="AC12" s="37">
        <f t="shared" si="28"/>
        <v>12330</v>
      </c>
      <c r="AD12" s="35">
        <f t="shared" si="29"/>
        <v>58460</v>
      </c>
      <c r="AF12" s="20">
        <f t="shared" si="1"/>
        <v>2.95</v>
      </c>
      <c r="AG12" s="20">
        <f t="shared" si="2"/>
        <v>43.2</v>
      </c>
      <c r="AH12" s="20">
        <f t="shared" si="3"/>
        <v>0</v>
      </c>
      <c r="AI12" s="20">
        <f t="shared" si="4"/>
        <v>7.3</v>
      </c>
      <c r="AJ12" s="20">
        <f t="shared" si="5"/>
        <v>28.85</v>
      </c>
      <c r="AK12" s="20">
        <f t="shared" si="6"/>
        <v>22.75</v>
      </c>
      <c r="AL12" s="20">
        <f t="shared" si="7"/>
        <v>13.15</v>
      </c>
      <c r="AM12" s="20">
        <f t="shared" si="8"/>
        <v>22.95</v>
      </c>
      <c r="AN12" s="20">
        <f t="shared" si="9"/>
        <v>23.95</v>
      </c>
      <c r="AO12" s="20">
        <f t="shared" si="10"/>
        <v>13.05</v>
      </c>
      <c r="AP12" s="20">
        <f t="shared" si="11"/>
        <v>16.2</v>
      </c>
      <c r="AQ12" s="20">
        <f t="shared" si="12"/>
        <v>36.300000000000004</v>
      </c>
      <c r="AR12" s="20">
        <f t="shared" si="13"/>
        <v>61.65</v>
      </c>
      <c r="AS12" s="35">
        <f t="shared" si="30"/>
        <v>292.3</v>
      </c>
      <c r="AU12" s="47">
        <v>524236</v>
      </c>
      <c r="AV12" s="37">
        <f t="shared" si="31"/>
        <v>2276</v>
      </c>
      <c r="AW12" s="35">
        <f t="shared" si="14"/>
        <v>4.5520000000000005</v>
      </c>
    </row>
    <row r="13" spans="1:49" x14ac:dyDescent="0.25">
      <c r="A13" s="23">
        <v>44599</v>
      </c>
      <c r="B13" s="40">
        <v>79</v>
      </c>
      <c r="C13" s="24">
        <v>7486370</v>
      </c>
      <c r="D13" s="24">
        <v>18082620</v>
      </c>
      <c r="E13" s="24">
        <v>3198960</v>
      </c>
      <c r="F13" s="24">
        <v>3885080</v>
      </c>
      <c r="G13" s="24">
        <v>11493950</v>
      </c>
      <c r="H13" s="24">
        <v>6445750</v>
      </c>
      <c r="I13" s="24">
        <v>5669750</v>
      </c>
      <c r="J13" s="24">
        <v>7000220</v>
      </c>
      <c r="K13" s="24">
        <v>10494970</v>
      </c>
      <c r="L13" s="24">
        <v>4464220</v>
      </c>
      <c r="M13" s="24">
        <v>8661550</v>
      </c>
      <c r="N13" s="24">
        <v>13787050</v>
      </c>
      <c r="O13" s="24">
        <v>19187970</v>
      </c>
      <c r="Q13" s="37">
        <f t="shared" si="17"/>
        <v>560</v>
      </c>
      <c r="R13" s="37">
        <f t="shared" si="18"/>
        <v>8230</v>
      </c>
      <c r="S13" s="37">
        <f t="shared" si="16"/>
        <v>0</v>
      </c>
      <c r="T13" s="37">
        <f t="shared" si="32"/>
        <v>1390</v>
      </c>
      <c r="U13" s="37">
        <f t="shared" si="32"/>
        <v>5770</v>
      </c>
      <c r="V13" s="37">
        <f t="shared" si="32"/>
        <v>4210</v>
      </c>
      <c r="W13" s="37">
        <f t="shared" si="32"/>
        <v>2490</v>
      </c>
      <c r="X13" s="37">
        <f t="shared" si="23"/>
        <v>4660</v>
      </c>
      <c r="Y13" s="37">
        <f t="shared" si="24"/>
        <v>4530</v>
      </c>
      <c r="Z13" s="37">
        <f>IF((L13-L12&lt;0), "0",L13-L12)</f>
        <v>2480</v>
      </c>
      <c r="AA13" s="37">
        <f t="shared" si="26"/>
        <v>2990</v>
      </c>
      <c r="AB13" s="37">
        <f t="shared" si="27"/>
        <v>6940</v>
      </c>
      <c r="AC13" s="37">
        <f t="shared" si="28"/>
        <v>11440</v>
      </c>
      <c r="AD13" s="35">
        <f t="shared" si="29"/>
        <v>55690</v>
      </c>
      <c r="AF13" s="20">
        <f t="shared" si="1"/>
        <v>2.8000000000000003</v>
      </c>
      <c r="AG13" s="20">
        <f t="shared" si="2"/>
        <v>41.15</v>
      </c>
      <c r="AH13" s="20">
        <f t="shared" si="3"/>
        <v>0</v>
      </c>
      <c r="AI13" s="20">
        <f t="shared" si="4"/>
        <v>6.95</v>
      </c>
      <c r="AJ13" s="20">
        <f t="shared" si="5"/>
        <v>28.85</v>
      </c>
      <c r="AK13" s="20">
        <f t="shared" si="6"/>
        <v>21.05</v>
      </c>
      <c r="AL13" s="20">
        <f t="shared" si="7"/>
        <v>12.450000000000001</v>
      </c>
      <c r="AM13" s="20">
        <f t="shared" si="8"/>
        <v>23.3</v>
      </c>
      <c r="AN13" s="20">
        <f t="shared" si="9"/>
        <v>22.650000000000002</v>
      </c>
      <c r="AO13" s="20">
        <f t="shared" si="10"/>
        <v>12.4</v>
      </c>
      <c r="AP13" s="20">
        <f t="shared" si="11"/>
        <v>14.950000000000001</v>
      </c>
      <c r="AQ13" s="20">
        <f t="shared" si="12"/>
        <v>34.700000000000003</v>
      </c>
      <c r="AR13" s="20">
        <f t="shared" si="13"/>
        <v>57.2</v>
      </c>
      <c r="AS13" s="35">
        <f t="shared" si="30"/>
        <v>278.45</v>
      </c>
      <c r="AU13" s="47">
        <v>525624</v>
      </c>
      <c r="AV13" s="37">
        <f t="shared" si="31"/>
        <v>1388</v>
      </c>
      <c r="AW13" s="35">
        <f t="shared" si="14"/>
        <v>2.7760000000000002</v>
      </c>
    </row>
    <row r="14" spans="1:49" x14ac:dyDescent="0.25">
      <c r="A14" s="23">
        <v>44600</v>
      </c>
      <c r="B14" s="40">
        <v>84</v>
      </c>
      <c r="C14" s="24">
        <v>7486920</v>
      </c>
      <c r="D14" s="24">
        <v>18090740</v>
      </c>
      <c r="E14" s="24">
        <v>3198960</v>
      </c>
      <c r="F14" s="24">
        <v>3886450</v>
      </c>
      <c r="G14" s="24">
        <v>11499290</v>
      </c>
      <c r="H14" s="24">
        <v>6449750</v>
      </c>
      <c r="I14" s="24">
        <v>5672220</v>
      </c>
      <c r="J14" s="24">
        <v>7005280</v>
      </c>
      <c r="K14" s="24">
        <v>10499480</v>
      </c>
      <c r="L14" s="24">
        <v>4466680</v>
      </c>
      <c r="M14" s="24">
        <v>8664450</v>
      </c>
      <c r="N14" s="24">
        <v>13794010</v>
      </c>
      <c r="O14" s="24">
        <v>19199350</v>
      </c>
      <c r="P14" s="53"/>
      <c r="Q14" s="37">
        <f t="shared" si="17"/>
        <v>550</v>
      </c>
      <c r="R14" s="37">
        <f t="shared" si="18"/>
        <v>8120</v>
      </c>
      <c r="S14" s="37">
        <f t="shared" si="16"/>
        <v>0</v>
      </c>
      <c r="T14" s="37">
        <f t="shared" si="32"/>
        <v>1370</v>
      </c>
      <c r="U14" s="37">
        <f t="shared" si="32"/>
        <v>5340</v>
      </c>
      <c r="V14" s="37">
        <f t="shared" si="32"/>
        <v>4000</v>
      </c>
      <c r="W14" s="37">
        <f t="shared" si="32"/>
        <v>2470</v>
      </c>
      <c r="X14" s="37">
        <f t="shared" si="23"/>
        <v>5060</v>
      </c>
      <c r="Y14" s="37">
        <f t="shared" si="24"/>
        <v>4510</v>
      </c>
      <c r="Z14" s="37">
        <f>IF((L14-L13&lt;0), "0",L14-L13)</f>
        <v>2460</v>
      </c>
      <c r="AA14" s="37">
        <f t="shared" si="26"/>
        <v>2900</v>
      </c>
      <c r="AB14" s="37">
        <f t="shared" si="27"/>
        <v>6960</v>
      </c>
      <c r="AC14" s="37">
        <f t="shared" si="28"/>
        <v>11380</v>
      </c>
      <c r="AD14" s="35">
        <f t="shared" si="29"/>
        <v>55120</v>
      </c>
      <c r="AF14" s="20">
        <f t="shared" si="1"/>
        <v>2.75</v>
      </c>
      <c r="AG14" s="20">
        <f t="shared" si="2"/>
        <v>40.6</v>
      </c>
      <c r="AH14" s="20">
        <f t="shared" si="3"/>
        <v>0</v>
      </c>
      <c r="AI14" s="20">
        <f t="shared" si="4"/>
        <v>6.8500000000000005</v>
      </c>
      <c r="AJ14" s="20">
        <f t="shared" si="5"/>
        <v>26.7</v>
      </c>
      <c r="AK14" s="20">
        <f t="shared" si="6"/>
        <v>20</v>
      </c>
      <c r="AL14" s="20">
        <f t="shared" si="7"/>
        <v>12.35</v>
      </c>
      <c r="AM14" s="20">
        <f t="shared" si="8"/>
        <v>25.3</v>
      </c>
      <c r="AN14" s="20">
        <f t="shared" si="9"/>
        <v>22.55</v>
      </c>
      <c r="AO14" s="20">
        <f t="shared" si="10"/>
        <v>12.3</v>
      </c>
      <c r="AP14" s="20">
        <f t="shared" si="11"/>
        <v>14.5</v>
      </c>
      <c r="AQ14" s="20">
        <f t="shared" si="12"/>
        <v>34.800000000000004</v>
      </c>
      <c r="AR14" s="20">
        <f t="shared" si="13"/>
        <v>56.9</v>
      </c>
      <c r="AS14" s="35">
        <f t="shared" si="30"/>
        <v>275.60000000000002</v>
      </c>
      <c r="AU14" s="47">
        <v>527509</v>
      </c>
      <c r="AV14" s="37">
        <f t="shared" si="31"/>
        <v>1885</v>
      </c>
      <c r="AW14" s="35">
        <f t="shared" si="14"/>
        <v>3.77</v>
      </c>
    </row>
    <row r="15" spans="1:49" x14ac:dyDescent="0.25">
      <c r="A15" s="23">
        <v>44601</v>
      </c>
      <c r="B15" s="40">
        <v>84</v>
      </c>
      <c r="C15" s="24">
        <v>7487540</v>
      </c>
      <c r="D15" s="24">
        <v>18095910</v>
      </c>
      <c r="E15" s="24">
        <v>3200060</v>
      </c>
      <c r="F15" s="24">
        <v>3887890</v>
      </c>
      <c r="G15" s="24">
        <v>11504900</v>
      </c>
      <c r="H15" s="24">
        <v>6454180</v>
      </c>
      <c r="I15" s="24">
        <v>5675040</v>
      </c>
      <c r="J15" s="24">
        <v>7009950</v>
      </c>
      <c r="K15" s="24">
        <v>10504150</v>
      </c>
      <c r="L15" s="24">
        <v>4469190</v>
      </c>
      <c r="M15" s="24">
        <v>8667610</v>
      </c>
      <c r="N15" s="24">
        <v>13801290</v>
      </c>
      <c r="O15" s="24">
        <v>19210370</v>
      </c>
      <c r="Q15" s="37">
        <f t="shared" si="17"/>
        <v>620</v>
      </c>
      <c r="R15" s="37">
        <f t="shared" si="18"/>
        <v>5170</v>
      </c>
      <c r="S15" s="37">
        <f t="shared" si="16"/>
        <v>1100</v>
      </c>
      <c r="T15" s="37">
        <f t="shared" si="19"/>
        <v>1440</v>
      </c>
      <c r="U15" s="37">
        <f t="shared" si="20"/>
        <v>5610</v>
      </c>
      <c r="V15" s="37">
        <f t="shared" si="21"/>
        <v>4430</v>
      </c>
      <c r="W15" s="37">
        <f t="shared" si="22"/>
        <v>2820</v>
      </c>
      <c r="X15" s="37">
        <f t="shared" si="23"/>
        <v>4670</v>
      </c>
      <c r="Y15" s="37">
        <f t="shared" si="24"/>
        <v>4670</v>
      </c>
      <c r="Z15" s="37">
        <f t="shared" si="25"/>
        <v>2510</v>
      </c>
      <c r="AA15" s="37">
        <f t="shared" si="26"/>
        <v>3160</v>
      </c>
      <c r="AB15" s="37">
        <f t="shared" si="27"/>
        <v>7280</v>
      </c>
      <c r="AC15" s="37">
        <f t="shared" si="28"/>
        <v>11020</v>
      </c>
      <c r="AD15" s="35">
        <f t="shared" si="29"/>
        <v>54500</v>
      </c>
      <c r="AF15" s="20">
        <f t="shared" si="1"/>
        <v>3.1</v>
      </c>
      <c r="AG15" s="20">
        <f t="shared" si="2"/>
        <v>25.85</v>
      </c>
      <c r="AH15" s="20">
        <f t="shared" si="3"/>
        <v>5.5</v>
      </c>
      <c r="AI15" s="20">
        <f t="shared" si="4"/>
        <v>7.2</v>
      </c>
      <c r="AJ15" s="20">
        <f t="shared" si="5"/>
        <v>28.05</v>
      </c>
      <c r="AK15" s="20">
        <f t="shared" si="6"/>
        <v>22.150000000000002</v>
      </c>
      <c r="AL15" s="20">
        <f t="shared" si="7"/>
        <v>14.1</v>
      </c>
      <c r="AM15" s="20">
        <f t="shared" si="8"/>
        <v>23.35</v>
      </c>
      <c r="AN15" s="20">
        <f t="shared" si="9"/>
        <v>23.35</v>
      </c>
      <c r="AO15" s="20">
        <f t="shared" si="10"/>
        <v>12.55</v>
      </c>
      <c r="AP15" s="20">
        <f t="shared" si="11"/>
        <v>15.8</v>
      </c>
      <c r="AQ15" s="20">
        <f t="shared" si="12"/>
        <v>36.4</v>
      </c>
      <c r="AR15" s="20">
        <f t="shared" si="13"/>
        <v>55.1</v>
      </c>
      <c r="AS15" s="35">
        <f t="shared" si="30"/>
        <v>272.50000000000006</v>
      </c>
      <c r="AU15" s="47">
        <v>528993</v>
      </c>
      <c r="AV15" s="37">
        <f t="shared" si="31"/>
        <v>1484</v>
      </c>
      <c r="AW15" s="35">
        <f t="shared" si="14"/>
        <v>2.968</v>
      </c>
    </row>
    <row r="16" spans="1:49" x14ac:dyDescent="0.25">
      <c r="A16" s="23">
        <v>44602</v>
      </c>
      <c r="B16" s="40">
        <v>127</v>
      </c>
      <c r="C16" s="24">
        <v>7492150</v>
      </c>
      <c r="D16" s="24">
        <v>18097770</v>
      </c>
      <c r="E16" s="24">
        <v>3200770</v>
      </c>
      <c r="F16" s="24">
        <v>3889300</v>
      </c>
      <c r="G16" s="24">
        <v>11510150</v>
      </c>
      <c r="H16" s="24">
        <v>6458410</v>
      </c>
      <c r="I16" s="24">
        <v>5677660</v>
      </c>
      <c r="J16" s="24">
        <v>7014520</v>
      </c>
      <c r="K16" s="24">
        <v>10509060</v>
      </c>
      <c r="L16" s="24">
        <v>4471790</v>
      </c>
      <c r="M16" s="24">
        <v>8670860</v>
      </c>
      <c r="N16" s="24">
        <v>13808560</v>
      </c>
      <c r="O16" s="24">
        <v>19221400</v>
      </c>
      <c r="Q16" s="37">
        <f t="shared" si="17"/>
        <v>4610</v>
      </c>
      <c r="R16" s="37">
        <f t="shared" si="18"/>
        <v>1860</v>
      </c>
      <c r="S16" s="37">
        <f t="shared" si="16"/>
        <v>710</v>
      </c>
      <c r="T16" s="37">
        <f t="shared" si="19"/>
        <v>1410</v>
      </c>
      <c r="U16" s="37">
        <f t="shared" si="20"/>
        <v>5250</v>
      </c>
      <c r="V16" s="37">
        <f t="shared" si="21"/>
        <v>4230</v>
      </c>
      <c r="W16" s="37">
        <f t="shared" si="22"/>
        <v>2620</v>
      </c>
      <c r="X16" s="37">
        <f t="shared" si="23"/>
        <v>4570</v>
      </c>
      <c r="Y16" s="37">
        <f t="shared" si="24"/>
        <v>4910</v>
      </c>
      <c r="Z16" s="37">
        <f t="shared" si="25"/>
        <v>2600</v>
      </c>
      <c r="AA16" s="37">
        <f t="shared" si="26"/>
        <v>3250</v>
      </c>
      <c r="AB16" s="37">
        <f t="shared" si="27"/>
        <v>7270</v>
      </c>
      <c r="AC16" s="37">
        <f t="shared" si="28"/>
        <v>11030</v>
      </c>
      <c r="AD16" s="35">
        <f t="shared" si="29"/>
        <v>54320</v>
      </c>
      <c r="AF16" s="20">
        <f t="shared" si="1"/>
        <v>23.05</v>
      </c>
      <c r="AG16" s="20">
        <f t="shared" si="2"/>
        <v>9.3000000000000007</v>
      </c>
      <c r="AH16" s="20">
        <f t="shared" si="3"/>
        <v>3.5500000000000003</v>
      </c>
      <c r="AI16" s="20">
        <f t="shared" si="4"/>
        <v>7.05</v>
      </c>
      <c r="AJ16" s="20">
        <f t="shared" si="5"/>
        <v>26.25</v>
      </c>
      <c r="AK16" s="20">
        <f t="shared" si="6"/>
        <v>21.150000000000002</v>
      </c>
      <c r="AL16" s="20">
        <f t="shared" si="7"/>
        <v>13.1</v>
      </c>
      <c r="AM16" s="20">
        <f t="shared" si="8"/>
        <v>22.85</v>
      </c>
      <c r="AN16" s="20">
        <f t="shared" si="9"/>
        <v>24.55</v>
      </c>
      <c r="AO16" s="20">
        <f t="shared" si="10"/>
        <v>13</v>
      </c>
      <c r="AP16" s="20">
        <f t="shared" si="11"/>
        <v>16.25</v>
      </c>
      <c r="AQ16" s="20">
        <f t="shared" si="12"/>
        <v>36.35</v>
      </c>
      <c r="AR16" s="20">
        <f t="shared" si="13"/>
        <v>55.15</v>
      </c>
      <c r="AS16" s="35">
        <f t="shared" si="30"/>
        <v>271.59999999999997</v>
      </c>
      <c r="AU16" s="47">
        <v>530805</v>
      </c>
      <c r="AV16" s="37">
        <f t="shared" si="31"/>
        <v>1812</v>
      </c>
      <c r="AW16" s="35">
        <f t="shared" si="14"/>
        <v>3.6240000000000001</v>
      </c>
    </row>
    <row r="17" spans="1:49" x14ac:dyDescent="0.25">
      <c r="A17" s="23">
        <v>44603</v>
      </c>
      <c r="B17" s="40">
        <v>136</v>
      </c>
      <c r="C17" s="24">
        <v>7499450</v>
      </c>
      <c r="D17" s="24">
        <v>18099640</v>
      </c>
      <c r="E17" s="24">
        <v>3200800</v>
      </c>
      <c r="F17" s="24">
        <v>3890730</v>
      </c>
      <c r="G17" s="24">
        <v>11515530</v>
      </c>
      <c r="H17" s="24">
        <v>6462520</v>
      </c>
      <c r="I17" s="24">
        <v>5680220</v>
      </c>
      <c r="J17" s="24">
        <v>7018720</v>
      </c>
      <c r="K17" s="24">
        <v>10513920</v>
      </c>
      <c r="L17" s="24">
        <v>4474270</v>
      </c>
      <c r="M17" s="24">
        <v>8674080</v>
      </c>
      <c r="N17" s="24">
        <v>13815770</v>
      </c>
      <c r="O17" s="24">
        <v>19232280</v>
      </c>
      <c r="Q17" s="37">
        <f t="shared" si="17"/>
        <v>7300</v>
      </c>
      <c r="R17" s="37">
        <f t="shared" si="18"/>
        <v>1870</v>
      </c>
      <c r="S17" s="37">
        <f t="shared" si="16"/>
        <v>30</v>
      </c>
      <c r="T17" s="37">
        <f t="shared" si="19"/>
        <v>1430</v>
      </c>
      <c r="U17" s="37">
        <f t="shared" si="20"/>
        <v>5380</v>
      </c>
      <c r="V17" s="37">
        <f t="shared" si="21"/>
        <v>4110</v>
      </c>
      <c r="W17" s="37">
        <f t="shared" si="22"/>
        <v>2560</v>
      </c>
      <c r="X17" s="37">
        <f t="shared" si="23"/>
        <v>4200</v>
      </c>
      <c r="Y17" s="37">
        <f t="shared" si="24"/>
        <v>4860</v>
      </c>
      <c r="Z17" s="37">
        <f t="shared" si="25"/>
        <v>2480</v>
      </c>
      <c r="AA17" s="37">
        <f t="shared" si="26"/>
        <v>3220</v>
      </c>
      <c r="AB17" s="37">
        <f t="shared" si="27"/>
        <v>7210</v>
      </c>
      <c r="AC17" s="37">
        <f t="shared" si="28"/>
        <v>10880</v>
      </c>
      <c r="AD17" s="35">
        <f t="shared" si="29"/>
        <v>55530</v>
      </c>
      <c r="AF17" s="20">
        <f t="shared" si="1"/>
        <v>36.5</v>
      </c>
      <c r="AG17" s="20">
        <f t="shared" si="2"/>
        <v>9.35</v>
      </c>
      <c r="AH17" s="20">
        <f t="shared" si="3"/>
        <v>0.15</v>
      </c>
      <c r="AI17" s="20">
        <f t="shared" si="4"/>
        <v>7.15</v>
      </c>
      <c r="AJ17" s="20">
        <f t="shared" si="5"/>
        <v>26.900000000000002</v>
      </c>
      <c r="AK17" s="20">
        <f t="shared" si="6"/>
        <v>20.55</v>
      </c>
      <c r="AL17" s="20">
        <f t="shared" si="7"/>
        <v>12.8</v>
      </c>
      <c r="AM17" s="20">
        <f t="shared" si="8"/>
        <v>21</v>
      </c>
      <c r="AN17" s="20">
        <f t="shared" si="9"/>
        <v>24.3</v>
      </c>
      <c r="AO17" s="20">
        <f t="shared" si="10"/>
        <v>12.4</v>
      </c>
      <c r="AP17" s="20">
        <f t="shared" si="11"/>
        <v>16.100000000000001</v>
      </c>
      <c r="AQ17" s="20">
        <f t="shared" si="12"/>
        <v>36.050000000000004</v>
      </c>
      <c r="AR17" s="20">
        <f t="shared" si="13"/>
        <v>54.4</v>
      </c>
      <c r="AS17" s="35">
        <f t="shared" si="30"/>
        <v>277.64999999999998</v>
      </c>
      <c r="AU17" s="47">
        <v>532559</v>
      </c>
      <c r="AV17" s="37">
        <f t="shared" si="31"/>
        <v>1754</v>
      </c>
      <c r="AW17" s="35">
        <f t="shared" si="14"/>
        <v>3.508</v>
      </c>
    </row>
    <row r="18" spans="1:49" x14ac:dyDescent="0.25">
      <c r="A18" s="23">
        <v>44604</v>
      </c>
      <c r="B18" s="40">
        <v>88</v>
      </c>
      <c r="C18" s="24">
        <v>7506190</v>
      </c>
      <c r="D18" s="24">
        <v>18101430</v>
      </c>
      <c r="E18" s="24">
        <v>3200800</v>
      </c>
      <c r="F18" s="24">
        <v>3892080</v>
      </c>
      <c r="G18" s="24">
        <v>11520790</v>
      </c>
      <c r="H18" s="24">
        <v>6466620</v>
      </c>
      <c r="I18" s="24">
        <v>5682720</v>
      </c>
      <c r="J18" s="24">
        <v>7023070</v>
      </c>
      <c r="K18" s="24">
        <v>10518400</v>
      </c>
      <c r="L18" s="24">
        <v>4476720</v>
      </c>
      <c r="M18" s="24">
        <v>8677130</v>
      </c>
      <c r="N18" s="24">
        <v>13822490</v>
      </c>
      <c r="O18" s="24">
        <v>19242950</v>
      </c>
      <c r="Q18" s="37">
        <f t="shared" si="17"/>
        <v>6740</v>
      </c>
      <c r="R18" s="37">
        <f t="shared" si="18"/>
        <v>1790</v>
      </c>
      <c r="S18" s="37">
        <f t="shared" si="16"/>
        <v>0</v>
      </c>
      <c r="T18" s="37">
        <f t="shared" si="19"/>
        <v>1350</v>
      </c>
      <c r="U18" s="37">
        <f t="shared" si="20"/>
        <v>5260</v>
      </c>
      <c r="V18" s="37">
        <f t="shared" si="21"/>
        <v>4100</v>
      </c>
      <c r="W18" s="37">
        <f t="shared" si="22"/>
        <v>2500</v>
      </c>
      <c r="X18" s="37">
        <f t="shared" si="23"/>
        <v>4350</v>
      </c>
      <c r="Y18" s="37">
        <f t="shared" si="24"/>
        <v>4480</v>
      </c>
      <c r="Z18" s="37">
        <f t="shared" si="25"/>
        <v>2450</v>
      </c>
      <c r="AA18" s="37">
        <f t="shared" si="26"/>
        <v>3050</v>
      </c>
      <c r="AB18" s="37">
        <f t="shared" si="27"/>
        <v>6720</v>
      </c>
      <c r="AC18" s="37">
        <f t="shared" si="28"/>
        <v>10670</v>
      </c>
      <c r="AD18" s="35">
        <f t="shared" si="29"/>
        <v>53460</v>
      </c>
      <c r="AF18" s="20">
        <f t="shared" si="1"/>
        <v>33.700000000000003</v>
      </c>
      <c r="AG18" s="20">
        <f t="shared" si="2"/>
        <v>8.9500000000000011</v>
      </c>
      <c r="AH18" s="20">
        <f t="shared" si="3"/>
        <v>0</v>
      </c>
      <c r="AI18" s="20">
        <f t="shared" si="4"/>
        <v>6.75</v>
      </c>
      <c r="AJ18" s="20">
        <f t="shared" si="5"/>
        <v>26.3</v>
      </c>
      <c r="AK18" s="20">
        <f t="shared" si="6"/>
        <v>20.5</v>
      </c>
      <c r="AL18" s="20">
        <f t="shared" si="7"/>
        <v>12.5</v>
      </c>
      <c r="AM18" s="20">
        <f t="shared" si="8"/>
        <v>21.75</v>
      </c>
      <c r="AN18" s="20">
        <f t="shared" si="9"/>
        <v>22.400000000000002</v>
      </c>
      <c r="AO18" s="20">
        <f t="shared" si="10"/>
        <v>12.25</v>
      </c>
      <c r="AP18" s="20">
        <f t="shared" si="11"/>
        <v>15.25</v>
      </c>
      <c r="AQ18" s="20">
        <f t="shared" si="12"/>
        <v>33.6</v>
      </c>
      <c r="AR18" s="20">
        <f t="shared" si="13"/>
        <v>53.35</v>
      </c>
      <c r="AS18" s="35">
        <f t="shared" si="30"/>
        <v>267.3</v>
      </c>
      <c r="AU18" s="47">
        <v>534766</v>
      </c>
      <c r="AV18" s="37">
        <f t="shared" si="31"/>
        <v>2207</v>
      </c>
      <c r="AW18" s="35">
        <f t="shared" si="14"/>
        <v>4.4139999999999997</v>
      </c>
    </row>
    <row r="19" spans="1:49" x14ac:dyDescent="0.25">
      <c r="A19" s="23">
        <v>44605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 t="str">
        <f t="shared" si="17"/>
        <v>0</v>
      </c>
      <c r="R19" s="37" t="str">
        <f t="shared" si="18"/>
        <v>0</v>
      </c>
      <c r="S19" s="37" t="str">
        <f t="shared" si="16"/>
        <v>0</v>
      </c>
      <c r="T19" s="37" t="str">
        <f t="shared" si="19"/>
        <v>0</v>
      </c>
      <c r="U19" s="37" t="str">
        <f t="shared" si="20"/>
        <v>0</v>
      </c>
      <c r="V19" s="37" t="str">
        <f t="shared" si="21"/>
        <v>0</v>
      </c>
      <c r="W19" s="37" t="str">
        <f t="shared" si="22"/>
        <v>0</v>
      </c>
      <c r="X19" s="37" t="str">
        <f t="shared" si="23"/>
        <v>0</v>
      </c>
      <c r="Y19" s="37" t="str">
        <f t="shared" si="24"/>
        <v>0</v>
      </c>
      <c r="Z19" s="37" t="str">
        <f t="shared" si="25"/>
        <v>0</v>
      </c>
      <c r="AA19" s="37" t="str">
        <f t="shared" si="26"/>
        <v>0</v>
      </c>
      <c r="AB19" s="37" t="str">
        <f t="shared" si="27"/>
        <v>0</v>
      </c>
      <c r="AC19" s="37" t="str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 t="str">
        <f t="shared" si="31"/>
        <v>0</v>
      </c>
      <c r="AW19" s="35">
        <f t="shared" si="14"/>
        <v>0</v>
      </c>
    </row>
    <row r="20" spans="1:49" x14ac:dyDescent="0.25">
      <c r="A20" s="23">
        <v>44606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44607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44608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44609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44610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44611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44612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44613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44614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44615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44616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44617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44618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44619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44620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/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/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si="23"/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8">Q37*$D$39</f>
        <v>0</v>
      </c>
      <c r="AG37" s="20">
        <f t="shared" ref="AG37" si="49">R37*$D$39</f>
        <v>0</v>
      </c>
      <c r="AH37" s="20">
        <f t="shared" ref="AH37" si="50">S37*$D$39</f>
        <v>0</v>
      </c>
      <c r="AI37" s="20">
        <f t="shared" ref="AI37" si="51">T37*$D$39</f>
        <v>0</v>
      </c>
      <c r="AJ37" s="20">
        <f t="shared" ref="AJ37" si="52">U37*$D$39</f>
        <v>0</v>
      </c>
      <c r="AK37" s="20">
        <f t="shared" ref="AK37" si="53">V37*$D$39</f>
        <v>0</v>
      </c>
      <c r="AL37" s="20">
        <f t="shared" ref="AL37" si="54">W37*$D$39</f>
        <v>0</v>
      </c>
      <c r="AM37" s="20">
        <f t="shared" ref="AM37" si="55">X37*$D$39</f>
        <v>0</v>
      </c>
      <c r="AN37" s="20">
        <f t="shared" ref="AN37" si="56">Y37*$D$39</f>
        <v>0</v>
      </c>
      <c r="AO37" s="20">
        <f t="shared" ref="AO37" si="57">Z37*$D$39</f>
        <v>0</v>
      </c>
      <c r="AP37" s="20">
        <f t="shared" ref="AP37" si="58">AA37*$D$39</f>
        <v>0</v>
      </c>
      <c r="AQ37" s="20">
        <f t="shared" ref="AQ37" si="59">AB37*$D$39</f>
        <v>0</v>
      </c>
      <c r="AR37" s="20">
        <f t="shared" ref="AR37" si="60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23790</v>
      </c>
      <c r="R38" s="38">
        <f t="shared" ref="R38:AD38" si="61">SUM(R7:R37)</f>
        <v>77670</v>
      </c>
      <c r="S38" s="38">
        <f t="shared" si="61"/>
        <v>1840</v>
      </c>
      <c r="T38" s="38">
        <f t="shared" si="61"/>
        <v>16860</v>
      </c>
      <c r="U38" s="38">
        <f t="shared" si="61"/>
        <v>66340</v>
      </c>
      <c r="V38" s="38">
        <f t="shared" si="61"/>
        <v>51690</v>
      </c>
      <c r="W38" s="38">
        <f t="shared" si="61"/>
        <v>30860</v>
      </c>
      <c r="X38" s="38">
        <f t="shared" si="61"/>
        <v>55510</v>
      </c>
      <c r="Y38" s="38">
        <f t="shared" si="61"/>
        <v>56490</v>
      </c>
      <c r="Z38" s="38">
        <f t="shared" si="61"/>
        <v>30560</v>
      </c>
      <c r="AA38" s="38">
        <f t="shared" si="61"/>
        <v>37670</v>
      </c>
      <c r="AB38" s="38">
        <f t="shared" si="61"/>
        <v>85910</v>
      </c>
      <c r="AC38" s="38">
        <f t="shared" si="61"/>
        <v>139900</v>
      </c>
      <c r="AD38" s="38">
        <f t="shared" si="61"/>
        <v>675090</v>
      </c>
      <c r="AF38" s="35">
        <f>SUM(AF7:AF37)</f>
        <v>118.95</v>
      </c>
      <c r="AG38" s="35">
        <f t="shared" ref="AG38:AS38" si="62">SUM(AG7:AG37)</f>
        <v>388.35000000000008</v>
      </c>
      <c r="AH38" s="35">
        <f t="shared" si="62"/>
        <v>9.2000000000000011</v>
      </c>
      <c r="AI38" s="35">
        <f t="shared" si="62"/>
        <v>84.300000000000011</v>
      </c>
      <c r="AJ38" s="35">
        <f t="shared" si="62"/>
        <v>331.7</v>
      </c>
      <c r="AK38" s="35">
        <f t="shared" si="62"/>
        <v>258.45000000000005</v>
      </c>
      <c r="AL38" s="35">
        <f t="shared" si="62"/>
        <v>154.30000000000001</v>
      </c>
      <c r="AM38" s="35">
        <f t="shared" si="62"/>
        <v>277.55</v>
      </c>
      <c r="AN38" s="35">
        <f t="shared" si="62"/>
        <v>282.45</v>
      </c>
      <c r="AO38" s="35">
        <f t="shared" si="62"/>
        <v>152.80000000000001</v>
      </c>
      <c r="AP38" s="35">
        <f t="shared" si="62"/>
        <v>188.35000000000002</v>
      </c>
      <c r="AQ38" s="35">
        <f t="shared" si="62"/>
        <v>429.55000000000007</v>
      </c>
      <c r="AR38" s="35">
        <f t="shared" si="62"/>
        <v>699.49999999999989</v>
      </c>
      <c r="AS38" s="35">
        <f t="shared" si="62"/>
        <v>3375.4500000000003</v>
      </c>
      <c r="AU38" s="48"/>
      <c r="AV38" s="35">
        <f>SUM(AV7:AV34)</f>
        <v>20959</v>
      </c>
      <c r="AW38" s="35">
        <f>SUM(AW7:AW34)</f>
        <v>41.918000000000006</v>
      </c>
    </row>
    <row r="39" spans="1:49" x14ac:dyDescent="0.25">
      <c r="D39">
        <v>5.0000000000000001E-3</v>
      </c>
      <c r="AV39" s="36">
        <f>AV38*0.00378541*1000</f>
        <v>79338.408190000002</v>
      </c>
    </row>
    <row r="40" spans="1:49" x14ac:dyDescent="0.25">
      <c r="D40">
        <v>2E-3</v>
      </c>
      <c r="AV40">
        <f>AV39/31</f>
        <v>2559.3034900000002</v>
      </c>
    </row>
    <row r="41" spans="1:49" x14ac:dyDescent="0.25">
      <c r="AV41">
        <f>AV38*0.00378541</f>
        <v>79.338408189999996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2022-02-13T07:11:39Z</dcterms:modified>
</cp:coreProperties>
</file>