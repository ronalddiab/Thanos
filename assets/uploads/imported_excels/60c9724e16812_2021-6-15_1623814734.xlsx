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3" i="10" l="1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4" i="10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4" i="9"/>
  <c r="E33" i="8"/>
  <c r="G33" i="8" s="1"/>
  <c r="E32" i="8"/>
  <c r="E31" i="8"/>
  <c r="G31" i="8" s="1"/>
  <c r="E30" i="8"/>
  <c r="G30" i="8" s="1"/>
  <c r="E29" i="8"/>
  <c r="G29" i="8" s="1"/>
  <c r="E28" i="8"/>
  <c r="G28" i="8" s="1"/>
  <c r="E27" i="8"/>
  <c r="G27" i="8" s="1"/>
  <c r="E26" i="8"/>
  <c r="E25" i="8"/>
  <c r="G25" i="8" s="1"/>
  <c r="E24" i="8"/>
  <c r="G24" i="8" s="1"/>
  <c r="E23" i="8"/>
  <c r="E22" i="8"/>
  <c r="G22" i="8" s="1"/>
  <c r="E21" i="8"/>
  <c r="G21" i="8" s="1"/>
  <c r="E20" i="8"/>
  <c r="G20" i="8" s="1"/>
  <c r="G19" i="8"/>
  <c r="G18" i="8"/>
  <c r="G17" i="8"/>
  <c r="G16" i="8"/>
  <c r="G15" i="8"/>
  <c r="E14" i="8"/>
  <c r="G14" i="8" s="1"/>
  <c r="G13" i="8"/>
  <c r="G11" i="8"/>
  <c r="G10" i="8"/>
  <c r="G9" i="8"/>
  <c r="G26" i="8"/>
  <c r="G7" i="8"/>
  <c r="G8" i="8"/>
  <c r="G12" i="8"/>
  <c r="G23" i="8"/>
  <c r="G32" i="8"/>
  <c r="G4" i="8"/>
  <c r="H4" i="8" s="1"/>
  <c r="G6" i="8"/>
  <c r="G5" i="8"/>
  <c r="J35" i="10" l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I34" i="8"/>
  <c r="I28" i="10" l="1"/>
  <c r="J30" i="9"/>
  <c r="I8" i="10"/>
  <c r="I5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U28" i="10" s="1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U23" i="10" s="1"/>
  <c r="AX21" i="10"/>
  <c r="AV21" i="10"/>
  <c r="AS21" i="10"/>
  <c r="AQ21" i="10"/>
  <c r="AO21" i="10"/>
  <c r="AC21" i="10"/>
  <c r="T21" i="10"/>
  <c r="U22" i="10" s="1"/>
  <c r="AX20" i="10"/>
  <c r="AV20" i="10"/>
  <c r="AS20" i="10"/>
  <c r="AQ20" i="10"/>
  <c r="AO20" i="10"/>
  <c r="AP21" i="10" s="1"/>
  <c r="AC20" i="10"/>
  <c r="T20" i="10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Q16" i="10"/>
  <c r="AO16" i="10"/>
  <c r="AC16" i="10"/>
  <c r="T16" i="10"/>
  <c r="U17" i="10" s="1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R11" i="10" s="1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31" i="10"/>
  <c r="AW8" i="10"/>
  <c r="V8" i="10"/>
  <c r="AD17" i="10"/>
  <c r="AD25" i="10"/>
  <c r="AD29" i="10"/>
  <c r="AT31" i="10"/>
  <c r="AT34" i="10"/>
  <c r="AP35" i="10"/>
  <c r="AW13" i="10"/>
  <c r="V13" i="10"/>
  <c r="AD21" i="10" l="1"/>
  <c r="AR12" i="10"/>
  <c r="AT21" i="10"/>
  <c r="AT23" i="10"/>
  <c r="AT9" i="10"/>
  <c r="AT16" i="10"/>
  <c r="U20" i="10"/>
  <c r="AD5" i="10"/>
  <c r="AT25" i="10"/>
  <c r="U8" i="10"/>
  <c r="W8" i="10" s="1"/>
  <c r="AP6" i="10"/>
  <c r="AD6" i="10"/>
  <c r="AD24" i="10"/>
  <c r="AT27" i="10"/>
  <c r="AT6" i="10"/>
  <c r="AR18" i="10"/>
  <c r="AR30" i="10"/>
  <c r="AT30" i="10"/>
  <c r="AT22" i="10"/>
  <c r="AR5" i="10"/>
  <c r="AD11" i="10"/>
  <c r="AP13" i="10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U5" i="10"/>
  <c r="V7" i="10"/>
  <c r="AW6" i="10"/>
  <c r="AE5" i="10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3" i="10" l="1"/>
  <c r="AU16" i="10"/>
  <c r="AF5" i="10"/>
  <c r="AU18" i="10"/>
  <c r="AU35" i="10"/>
  <c r="AU6" i="10"/>
  <c r="AU17" i="10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<sst xmlns="http://schemas.openxmlformats.org/spreadsheetml/2006/main" count="110" uniqueCount="57">
  <si>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</si>
  <si>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</si>
  <si>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</si>
  <si>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</si>
  <si>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</si>
  <si>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</si>
  <si>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</si>
  <si>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</si>
  <si>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</si>
  <si>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</si>
  <si>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</si>
  <si>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</si>
  <si>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</si>
  <si>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</si>
  <si>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</si>
  <si>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</si>
  <si>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</si>
  <si>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</si>
  <si>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</si>
  <si>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</si>
  <si>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</si>
  <si>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</si>
  <si>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</si>
  <si>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</si>
  <si>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</si>
  <si>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</si>
  <si>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</si>
  <si>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</si>
  <si>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</si>
  <si>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</si>
  <si>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</si>
  <si>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</si>
  <si>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</si>
  <si>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</si>
  <si>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</si>
  <si>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</si>
  <si>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</si>
  <si>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</si>
  <si>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</si>
  <si>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</si>
  <si>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</si>
  <si>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</si>
  <si>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</si>
  <si>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</si>
  <si>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</si>
  <si>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</si>
  <si>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</si>
  <si>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ELECTRICITY CONSUMPTION , MART.2021</t>
  </si>
  <si>
    <t>Istanbul at Sultanahmet</t>
  </si>
  <si>
    <t>BİRİM FİYAT :   12,93 TL/m3 + KDV x  217 = 2805,8 TL + KDV</t>
  </si>
  <si>
    <t>WATER CONSUMPTION , JUNE.2021</t>
  </si>
  <si>
    <t>NATURAL GAS CONSUMPTION , JUNE.2021</t>
  </si>
  <si>
    <t>CAPACITIVE / ACTIVE CONSUMPTIONS , JUNE.2021</t>
  </si>
  <si>
    <t>REACTIVE / ACTIVE CONSUMPTIONS , JUNE.2021</t>
  </si>
  <si>
    <t>ELECTRICITY CONSUMPTION , JUNE.2021</t>
  </si>
  <si>
    <t>BİRİM FİYAT : 0.75  x 44794,8 =28668,6 TL/Kwh+KDV</t>
  </si>
  <si>
    <t>BİRİM FİYAT : 1.69 TL/m3 + KDV  x 39 = 64.74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</si>
</sst>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341400"/>
        <c:axId val="369232824"/>
      </c:lineChart>
      <c:dateAx>
        <c:axId val="369341400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9232824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69232824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9341400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451624"/>
        <c:axId val="369540200"/>
      </c:lineChart>
      <c:dateAx>
        <c:axId val="369451624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540200"/>
        <c:crosses val="autoZero"/>
        <c:auto val="0"/>
        <c:lblOffset val="100"/>
        <c:baseTimeUnit val="days"/>
      </c:dateAx>
      <c:valAx>
        <c:axId val="36954020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451624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600576"/>
        <c:axId val="370053080"/>
      </c:lineChart>
      <c:dateAx>
        <c:axId val="3696005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053080"/>
        <c:crosses val="autoZero"/>
        <c:auto val="0"/>
        <c:lblOffset val="100"/>
        <c:baseTimeUnit val="days"/>
        <c:majorUnit val="1"/>
        <c:majorTimeUnit val="days"/>
      </c:dateAx>
      <c:valAx>
        <c:axId val="37005308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60057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G34">
            <v>10677</v>
          </cell>
        </row>
      </sheetData>
      <sheetData sheetId="5">
        <row r="14">
          <cell r="E14">
            <v>9694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I34">
            <v>1212080.9483089999</v>
          </cell>
        </row>
      </sheetData>
      <sheetData sheetId="5">
        <row r="14">
          <cell r="E14">
            <v>760788</v>
          </cell>
          <cell r="F14">
            <v>172141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>
        <row r="14">
          <cell r="F14">
            <v>4688.3969999999999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zoomScale="110" zoomScaleNormal="110" workbookViewId="0">
      <selection activeCell="A17" sqref="A17:XFD17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48</v>
      </c>
      <c r="B2" s="12">
        <v>1</v>
      </c>
      <c r="C2" s="3">
        <v>6</v>
      </c>
      <c r="D2" s="12">
        <v>2021</v>
      </c>
      <c r="E2" s="13">
        <f>Electricity!I4</f>
        <v>963.2</v>
      </c>
      <c r="F2" s="3">
        <v>0.75</v>
      </c>
      <c r="G2" s="13">
        <v>0</v>
      </c>
      <c r="H2" s="3">
        <v>1.66</v>
      </c>
      <c r="I2" s="13">
        <v>14</v>
      </c>
      <c r="J2" s="3">
        <v>12.93</v>
      </c>
      <c r="K2" s="12">
        <v>0</v>
      </c>
    </row>
    <row r="3" spans="1:11" s="16" customFormat="1" x14ac:dyDescent="0.25">
      <c r="A3" s="26" t="s">
        <v>48</v>
      </c>
      <c r="B3" s="15">
        <f>B2+1</f>
        <v>2</v>
      </c>
      <c r="C3" s="3">
        <v>6</v>
      </c>
      <c r="D3" s="12">
        <v>2021</v>
      </c>
      <c r="E3" s="13">
        <f>Electricity!I5</f>
        <v>990.84000000171363</v>
      </c>
      <c r="F3" s="3">
        <v>0.75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48</v>
      </c>
      <c r="B4" s="15">
        <f t="shared" ref="B4:B31" si="0">B3+1</f>
        <v>3</v>
      </c>
      <c r="C4" s="3">
        <v>6</v>
      </c>
      <c r="D4" s="12">
        <v>2021</v>
      </c>
      <c r="E4" s="13">
        <f>Electricity!I6</f>
        <v>971.51999999955297</v>
      </c>
      <c r="F4" s="3">
        <v>0.75</v>
      </c>
      <c r="G4" s="13">
        <f>Gas!J6</f>
        <v>0</v>
      </c>
      <c r="H4" s="3">
        <v>1.66</v>
      </c>
      <c r="I4" s="13">
        <v>0</v>
      </c>
      <c r="J4" s="3">
        <v>12.93</v>
      </c>
      <c r="K4" s="12">
        <v>0</v>
      </c>
    </row>
    <row r="5" spans="1:11" s="16" customFormat="1" x14ac:dyDescent="0.25">
      <c r="A5" s="26" t="s">
        <v>48</v>
      </c>
      <c r="B5" s="15">
        <f t="shared" si="0"/>
        <v>4</v>
      </c>
      <c r="C5" s="3">
        <v>6</v>
      </c>
      <c r="D5" s="12">
        <v>2021</v>
      </c>
      <c r="E5" s="13">
        <f>Electricity!I7</f>
        <v>1040.5200000014156</v>
      </c>
      <c r="F5" s="3">
        <v>0.75</v>
      </c>
      <c r="G5" s="13">
        <f>Gas!J7</f>
        <v>0</v>
      </c>
      <c r="H5" s="3">
        <v>1.66</v>
      </c>
      <c r="I5" s="13">
        <f>Water!H7</f>
        <v>11</v>
      </c>
      <c r="J5" s="3">
        <v>12.93</v>
      </c>
      <c r="K5" s="12">
        <v>0</v>
      </c>
    </row>
    <row r="6" spans="1:11" s="16" customFormat="1" x14ac:dyDescent="0.25">
      <c r="A6" s="26" t="s">
        <v>48</v>
      </c>
      <c r="B6" s="15">
        <f t="shared" si="0"/>
        <v>5</v>
      </c>
      <c r="C6" s="3">
        <v>6</v>
      </c>
      <c r="D6" s="12">
        <v>2021</v>
      </c>
      <c r="E6" s="13">
        <f>Electricity!I8</f>
        <v>1004.6399999987334</v>
      </c>
      <c r="F6" s="3">
        <v>0.75</v>
      </c>
      <c r="G6" s="13">
        <f>Gas!J8</f>
        <v>0</v>
      </c>
      <c r="H6" s="3">
        <v>1.66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48</v>
      </c>
      <c r="B7" s="15">
        <f t="shared" si="0"/>
        <v>6</v>
      </c>
      <c r="C7" s="3">
        <v>6</v>
      </c>
      <c r="D7" s="12">
        <v>2021</v>
      </c>
      <c r="E7" s="13">
        <f>Electricity!I9</f>
        <v>971.51999999955297</v>
      </c>
      <c r="F7" s="3">
        <v>0.75</v>
      </c>
      <c r="G7" s="13">
        <f>Gas!J9</f>
        <v>0</v>
      </c>
      <c r="H7" s="3">
        <v>1.66</v>
      </c>
      <c r="I7" s="13">
        <f>Water!H9</f>
        <v>4</v>
      </c>
      <c r="J7" s="3">
        <v>12.93</v>
      </c>
      <c r="K7" s="12">
        <v>0</v>
      </c>
    </row>
    <row r="8" spans="1:11" s="16" customFormat="1" x14ac:dyDescent="0.25">
      <c r="A8" s="26" t="s">
        <v>48</v>
      </c>
      <c r="B8" s="15">
        <f t="shared" si="0"/>
        <v>7</v>
      </c>
      <c r="C8" s="3">
        <v>6</v>
      </c>
      <c r="D8" s="12">
        <v>2021</v>
      </c>
      <c r="E8" s="13">
        <f>Electricity!I10</f>
        <v>988.08000000007451</v>
      </c>
      <c r="F8" s="3">
        <v>0.75</v>
      </c>
      <c r="G8" s="13">
        <f>Gas!J10</f>
        <v>0</v>
      </c>
      <c r="H8" s="3">
        <v>1.66</v>
      </c>
      <c r="I8" s="13">
        <f>Water!H10</f>
        <v>9</v>
      </c>
      <c r="J8" s="3">
        <v>12.93</v>
      </c>
      <c r="K8" s="12">
        <v>0</v>
      </c>
    </row>
    <row r="9" spans="1:11" s="16" customFormat="1" x14ac:dyDescent="0.25">
      <c r="A9" s="26" t="s">
        <v>48</v>
      </c>
      <c r="B9" s="15">
        <f t="shared" si="0"/>
        <v>8</v>
      </c>
      <c r="C9" s="3">
        <v>6</v>
      </c>
      <c r="D9" s="12">
        <v>2021</v>
      </c>
      <c r="E9" s="13">
        <f>Electricity!I11</f>
        <v>999.12000000104308</v>
      </c>
      <c r="F9" s="3">
        <v>0.75</v>
      </c>
      <c r="G9" s="13">
        <f>Gas!J11</f>
        <v>0</v>
      </c>
      <c r="H9" s="3">
        <v>1.66</v>
      </c>
      <c r="I9" s="13">
        <f>Water!H11</f>
        <v>12</v>
      </c>
      <c r="J9" s="3">
        <v>12.93</v>
      </c>
      <c r="K9" s="12">
        <v>0</v>
      </c>
    </row>
    <row r="10" spans="1:11" s="16" customFormat="1" x14ac:dyDescent="0.25">
      <c r="A10" s="26" t="s">
        <v>48</v>
      </c>
      <c r="B10" s="15">
        <f t="shared" si="0"/>
        <v>9</v>
      </c>
      <c r="C10" s="3">
        <v>6</v>
      </c>
      <c r="D10" s="12">
        <v>2021</v>
      </c>
      <c r="E10" s="13">
        <f>Electricity!I12</f>
        <v>979.79999999888241</v>
      </c>
      <c r="F10" s="3">
        <v>0.75</v>
      </c>
      <c r="G10" s="13">
        <f>Gas!J12</f>
        <v>0</v>
      </c>
      <c r="H10" s="3">
        <v>1.66</v>
      </c>
      <c r="I10" s="13">
        <f>Water!H12</f>
        <v>9</v>
      </c>
      <c r="J10" s="3">
        <v>12.93</v>
      </c>
      <c r="K10" s="12">
        <v>0</v>
      </c>
    </row>
    <row r="11" spans="1:11" s="16" customFormat="1" x14ac:dyDescent="0.25">
      <c r="A11" s="26" t="s">
        <v>48</v>
      </c>
      <c r="B11" s="15">
        <f t="shared" si="0"/>
        <v>10</v>
      </c>
      <c r="C11" s="3">
        <v>6</v>
      </c>
      <c r="D11" s="12">
        <v>2021</v>
      </c>
      <c r="E11" s="13">
        <f>Electricity!I13</f>
        <v>1004.640000000596</v>
      </c>
      <c r="F11" s="3">
        <v>0.75</v>
      </c>
      <c r="G11" s="13">
        <f>Gas!J13</f>
        <v>0</v>
      </c>
      <c r="H11" s="3">
        <v>1.66</v>
      </c>
      <c r="I11" s="13">
        <f>Water!H13</f>
        <v>8</v>
      </c>
      <c r="J11" s="3">
        <v>12.93</v>
      </c>
      <c r="K11" s="12">
        <v>0</v>
      </c>
    </row>
    <row r="12" spans="1:11" s="16" customFormat="1" x14ac:dyDescent="0.25">
      <c r="A12" s="26" t="s">
        <v>48</v>
      </c>
      <c r="B12" s="15">
        <f t="shared" si="0"/>
        <v>11</v>
      </c>
      <c r="C12" s="3">
        <v>6</v>
      </c>
      <c r="D12" s="12">
        <v>2021</v>
      </c>
      <c r="E12" s="13">
        <f>Electricity!I14</f>
        <v>1032.2400000002235</v>
      </c>
      <c r="F12" s="3">
        <v>0.75</v>
      </c>
      <c r="G12" s="13">
        <f>Gas!J14</f>
        <v>0</v>
      </c>
      <c r="H12" s="3">
        <v>1.66</v>
      </c>
      <c r="I12" s="13">
        <f>Water!H14</f>
        <v>6</v>
      </c>
      <c r="J12" s="3">
        <v>12.93</v>
      </c>
      <c r="K12" s="12">
        <v>0</v>
      </c>
    </row>
    <row r="13" spans="1:11" s="16" customFormat="1" x14ac:dyDescent="0.25">
      <c r="A13" s="26" t="s">
        <v>48</v>
      </c>
      <c r="B13" s="15">
        <f t="shared" si="0"/>
        <v>12</v>
      </c>
      <c r="C13" s="3">
        <v>6</v>
      </c>
      <c r="D13" s="12">
        <v>2021</v>
      </c>
      <c r="E13" s="13">
        <f>Electricity!I15</f>
        <v>988.08000000007451</v>
      </c>
      <c r="F13" s="3">
        <v>0.75</v>
      </c>
      <c r="G13" s="13">
        <f>Gas!J15</f>
        <v>0</v>
      </c>
      <c r="H13" s="3">
        <v>1.66</v>
      </c>
      <c r="I13" s="13">
        <f>Water!H15</f>
        <v>4</v>
      </c>
      <c r="J13" s="3">
        <v>12.93</v>
      </c>
      <c r="K13" s="12">
        <v>0</v>
      </c>
    </row>
    <row r="14" spans="1:11" s="16" customFormat="1" x14ac:dyDescent="0.25">
      <c r="A14" s="26" t="s">
        <v>48</v>
      </c>
      <c r="B14" s="15">
        <f t="shared" si="0"/>
        <v>13</v>
      </c>
      <c r="C14" s="3">
        <v>6</v>
      </c>
      <c r="D14" s="12">
        <v>2021</v>
      </c>
      <c r="E14" s="13">
        <f>Electricity!I16</f>
        <v>1035</v>
      </c>
      <c r="F14" s="3">
        <v>0.75</v>
      </c>
      <c r="G14" s="13">
        <f>Gas!J16</f>
        <v>0</v>
      </c>
      <c r="H14" s="3">
        <v>1.66</v>
      </c>
      <c r="I14" s="13">
        <f>Water!H16</f>
        <v>6</v>
      </c>
      <c r="J14" s="3">
        <v>12.93</v>
      </c>
      <c r="K14" s="12">
        <v>0</v>
      </c>
    </row>
    <row r="15" spans="1:11" s="16" customFormat="1" x14ac:dyDescent="0.25">
      <c r="A15" s="26" t="s">
        <v>48</v>
      </c>
      <c r="B15" s="15">
        <f t="shared" si="0"/>
        <v>14</v>
      </c>
      <c r="C15" s="3">
        <v>6</v>
      </c>
      <c r="D15" s="12">
        <v>2021</v>
      </c>
      <c r="E15" s="13">
        <f>Electricity!I17</f>
        <v>968.75999999791384</v>
      </c>
      <c r="F15" s="3">
        <v>0.75</v>
      </c>
      <c r="G15" s="13">
        <f>Gas!J17</f>
        <v>0</v>
      </c>
      <c r="H15" s="3">
        <v>1.66</v>
      </c>
      <c r="I15" s="13">
        <f>Water!H17</f>
        <v>4</v>
      </c>
      <c r="J15" s="3">
        <v>12.93</v>
      </c>
      <c r="K15" s="12">
        <v>0</v>
      </c>
    </row>
    <row r="16" spans="1:11" s="16" customFormat="1" x14ac:dyDescent="0.25">
      <c r="A16" s="26" t="s">
        <v>48</v>
      </c>
      <c r="B16" s="15">
        <f t="shared" si="0"/>
        <v>15</v>
      </c>
      <c r="C16" s="3">
        <v>6</v>
      </c>
      <c r="D16" s="12">
        <v>2021</v>
      </c>
      <c r="E16" s="13">
        <f>Electricity!I18</f>
        <v>1059.839999999851</v>
      </c>
      <c r="F16" s="3">
        <v>0.75</v>
      </c>
      <c r="G16" s="13">
        <f>Gas!J18</f>
        <v>0</v>
      </c>
      <c r="H16" s="3">
        <v>1.66</v>
      </c>
      <c r="I16" s="13">
        <f>Water!H18</f>
        <v>2</v>
      </c>
      <c r="J16" s="3">
        <v>12.93</v>
      </c>
      <c r="K16" s="12">
        <v>0</v>
      </c>
    </row>
    <row r="17" spans="1:11" s="16" customFormat="1" x14ac:dyDescent="0.25">
      <c r="A17" s="26" t="s">
        <v>48</v>
      </c>
      <c r="B17" s="15">
        <f t="shared" si="0"/>
        <v>16</v>
      </c>
      <c r="C17" s="3">
        <v>6</v>
      </c>
      <c r="D17" s="12">
        <v>2021</v>
      </c>
      <c r="E17" s="13">
        <f>Electricity!I19</f>
        <v>1104.0000000018626</v>
      </c>
      <c r="F17" s="3">
        <v>0.75</v>
      </c>
      <c r="G17" s="13">
        <f>Gas!J19</f>
        <v>0</v>
      </c>
      <c r="H17" s="3">
        <v>1.66</v>
      </c>
      <c r="I17" s="13">
        <f>Water!H19</f>
        <v>1</v>
      </c>
      <c r="J17" s="3">
        <v>12.93</v>
      </c>
      <c r="K17" s="12">
        <v>0</v>
      </c>
    </row>
    <row r="18" spans="1:11" s="16" customFormat="1" x14ac:dyDescent="0.25">
      <c r="A18" s="26" t="s">
        <v>48</v>
      </c>
      <c r="B18" s="15">
        <f t="shared" si="0"/>
        <v>17</v>
      </c>
      <c r="C18" s="3">
        <v>6</v>
      </c>
      <c r="D18" s="12">
        <v>2021</v>
      </c>
      <c r="E18" s="13">
        <f>Electricity!I20</f>
        <v>-12945131.4</v>
      </c>
      <c r="F18" s="3">
        <v>0.75</v>
      </c>
      <c r="G18" s="13">
        <f>Gas!J20</f>
        <v>-1212080.9483089999</v>
      </c>
      <c r="H18" s="3">
        <v>1.66</v>
      </c>
      <c r="I18" s="13">
        <f>Water!H20</f>
        <v>-9711</v>
      </c>
      <c r="J18" s="3">
        <v>12.93</v>
      </c>
      <c r="K18" s="12">
        <v>0</v>
      </c>
    </row>
    <row r="19" spans="1:11" s="16" customFormat="1" x14ac:dyDescent="0.25">
      <c r="A19" s="26" t="s">
        <v>48</v>
      </c>
      <c r="B19" s="15">
        <f t="shared" si="0"/>
        <v>18</v>
      </c>
      <c r="C19" s="3">
        <v>6</v>
      </c>
      <c r="D19" s="12">
        <v>2021</v>
      </c>
      <c r="E19" s="13">
        <f>Electricity!I21</f>
        <v>0</v>
      </c>
      <c r="F19" s="3">
        <v>0.75</v>
      </c>
      <c r="G19" s="13">
        <f>Gas!J21</f>
        <v>0</v>
      </c>
      <c r="H19" s="3">
        <v>1.66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6" t="s">
        <v>48</v>
      </c>
      <c r="B20" s="15">
        <f t="shared" si="0"/>
        <v>19</v>
      </c>
      <c r="C20" s="3">
        <v>6</v>
      </c>
      <c r="D20" s="12">
        <v>2021</v>
      </c>
      <c r="E20" s="13">
        <f>Electricity!I22</f>
        <v>0</v>
      </c>
      <c r="F20" s="3">
        <v>0.75</v>
      </c>
      <c r="G20" s="13">
        <f>Gas!J22</f>
        <v>0</v>
      </c>
      <c r="H20" s="3">
        <v>1.66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6" t="s">
        <v>48</v>
      </c>
      <c r="B21" s="15">
        <f t="shared" si="0"/>
        <v>20</v>
      </c>
      <c r="C21" s="3">
        <v>6</v>
      </c>
      <c r="D21" s="12">
        <v>2021</v>
      </c>
      <c r="E21" s="13">
        <f>Electricity!I23</f>
        <v>0</v>
      </c>
      <c r="F21" s="3">
        <v>0.75</v>
      </c>
      <c r="G21" s="13">
        <f>Gas!J23</f>
        <v>0</v>
      </c>
      <c r="H21" s="3">
        <v>1.66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6" t="s">
        <v>48</v>
      </c>
      <c r="B22" s="15">
        <f t="shared" si="0"/>
        <v>21</v>
      </c>
      <c r="C22" s="3">
        <v>6</v>
      </c>
      <c r="D22" s="12">
        <v>2021</v>
      </c>
      <c r="E22" s="13">
        <f>Electricity!I24</f>
        <v>0</v>
      </c>
      <c r="F22" s="3">
        <v>0.75</v>
      </c>
      <c r="G22" s="13">
        <f>Gas!J24</f>
        <v>0</v>
      </c>
      <c r="H22" s="3">
        <v>1.66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6" t="s">
        <v>48</v>
      </c>
      <c r="B23" s="15">
        <f t="shared" si="0"/>
        <v>22</v>
      </c>
      <c r="C23" s="3">
        <v>6</v>
      </c>
      <c r="D23" s="12">
        <v>2021</v>
      </c>
      <c r="E23" s="13">
        <f>Electricity!I25</f>
        <v>0</v>
      </c>
      <c r="F23" s="3">
        <v>0.75</v>
      </c>
      <c r="G23" s="13">
        <f>Gas!J25</f>
        <v>0</v>
      </c>
      <c r="H23" s="3">
        <v>1.66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48</v>
      </c>
      <c r="B24" s="15">
        <f t="shared" si="0"/>
        <v>23</v>
      </c>
      <c r="C24" s="3">
        <v>6</v>
      </c>
      <c r="D24" s="12">
        <v>2021</v>
      </c>
      <c r="E24" s="13">
        <f>Electricity!I26</f>
        <v>0</v>
      </c>
      <c r="F24" s="3">
        <v>0.75</v>
      </c>
      <c r="G24" s="13">
        <f>Gas!J26</f>
        <v>0</v>
      </c>
      <c r="H24" s="3">
        <v>1.66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48</v>
      </c>
      <c r="B25" s="15">
        <f t="shared" si="0"/>
        <v>24</v>
      </c>
      <c r="C25" s="3">
        <v>6</v>
      </c>
      <c r="D25" s="12">
        <v>2021</v>
      </c>
      <c r="E25" s="13">
        <f>Electricity!I27</f>
        <v>0</v>
      </c>
      <c r="F25" s="3">
        <v>0.75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48</v>
      </c>
      <c r="B26" s="15">
        <f>B25+1</f>
        <v>25</v>
      </c>
      <c r="C26" s="3">
        <v>6</v>
      </c>
      <c r="D26" s="12">
        <v>2021</v>
      </c>
      <c r="E26" s="13">
        <f>Electricity!I28</f>
        <v>0</v>
      </c>
      <c r="F26" s="3">
        <v>0.75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48</v>
      </c>
      <c r="B27" s="15">
        <f t="shared" si="0"/>
        <v>26</v>
      </c>
      <c r="C27" s="3">
        <v>6</v>
      </c>
      <c r="D27" s="12">
        <v>2021</v>
      </c>
      <c r="E27" s="13">
        <f>Electricity!I29</f>
        <v>0</v>
      </c>
      <c r="F27" s="3">
        <v>0.75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48</v>
      </c>
      <c r="B28" s="15">
        <f t="shared" si="0"/>
        <v>27</v>
      </c>
      <c r="C28" s="3">
        <v>6</v>
      </c>
      <c r="D28" s="12">
        <v>2021</v>
      </c>
      <c r="E28" s="13">
        <f>Electricity!I30</f>
        <v>0</v>
      </c>
      <c r="F28" s="3">
        <v>0.75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48</v>
      </c>
      <c r="B29" s="15">
        <f t="shared" si="0"/>
        <v>28</v>
      </c>
      <c r="C29" s="3">
        <v>6</v>
      </c>
      <c r="D29" s="12">
        <v>2021</v>
      </c>
      <c r="E29" s="13">
        <f>Electricity!I31</f>
        <v>0</v>
      </c>
      <c r="F29" s="3">
        <v>0.75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48</v>
      </c>
      <c r="B30" s="15">
        <f t="shared" si="0"/>
        <v>29</v>
      </c>
      <c r="C30" s="3">
        <v>6</v>
      </c>
      <c r="D30" s="12">
        <v>2021</v>
      </c>
      <c r="E30" s="13">
        <f>Electricity!I32</f>
        <v>0</v>
      </c>
      <c r="F30" s="3">
        <v>0.75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48</v>
      </c>
      <c r="B31" s="15">
        <f t="shared" si="0"/>
        <v>30</v>
      </c>
      <c r="C31" s="3">
        <v>6</v>
      </c>
      <c r="D31" s="12">
        <v>2021</v>
      </c>
      <c r="E31" s="13">
        <f>Electricity!I33</f>
        <v>0</v>
      </c>
      <c r="F31" s="3">
        <v>0.75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20" sqref="E20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7" t="s">
        <v>50</v>
      </c>
      <c r="E1" s="107"/>
      <c r="F1" s="107"/>
      <c r="G1" s="107"/>
      <c r="H1" s="107"/>
      <c r="I1" s="107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44348</v>
      </c>
      <c r="E4" s="24">
        <v>9626</v>
      </c>
      <c r="F4" s="24">
        <v>1065</v>
      </c>
      <c r="G4" s="24">
        <f>E4+F4</f>
        <v>10691</v>
      </c>
      <c r="H4" s="25">
        <f>+(G4-[1]May.2021!$G$34)</f>
        <v>14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44349</v>
      </c>
      <c r="E5" s="24">
        <v>9628</v>
      </c>
      <c r="F5" s="24">
        <v>1065</v>
      </c>
      <c r="G5" s="24">
        <f>E5+F5</f>
        <v>10693</v>
      </c>
      <c r="H5" s="25">
        <f t="shared" ref="H5:H33" si="0">G5-G4</f>
        <v>2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44350</v>
      </c>
      <c r="E6" s="24">
        <v>9632</v>
      </c>
      <c r="F6" s="24">
        <v>1065</v>
      </c>
      <c r="G6" s="24">
        <f t="shared" ref="G6:G33" si="1">E6+F6</f>
        <v>10697</v>
      </c>
      <c r="H6" s="25">
        <f t="shared" si="0"/>
        <v>4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44351</v>
      </c>
      <c r="E7" s="24">
        <v>9643</v>
      </c>
      <c r="F7" s="24">
        <v>1065</v>
      </c>
      <c r="G7" s="24">
        <f t="shared" si="1"/>
        <v>10708</v>
      </c>
      <c r="H7" s="25">
        <f t="shared" si="0"/>
        <v>11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44352</v>
      </c>
      <c r="E8" s="24">
        <v>9646</v>
      </c>
      <c r="F8" s="24">
        <v>1065</v>
      </c>
      <c r="G8" s="24">
        <f t="shared" si="1"/>
        <v>10711</v>
      </c>
      <c r="H8" s="25">
        <f t="shared" si="0"/>
        <v>3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44353</v>
      </c>
      <c r="E9" s="24">
        <v>9650</v>
      </c>
      <c r="F9" s="24">
        <v>1065</v>
      </c>
      <c r="G9" s="24">
        <f t="shared" si="1"/>
        <v>10715</v>
      </c>
      <c r="H9" s="25">
        <f t="shared" si="0"/>
        <v>4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44354</v>
      </c>
      <c r="E10" s="24">
        <v>9659</v>
      </c>
      <c r="F10" s="24">
        <v>1065</v>
      </c>
      <c r="G10" s="24">
        <f t="shared" si="1"/>
        <v>10724</v>
      </c>
      <c r="H10" s="25">
        <f t="shared" si="0"/>
        <v>9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44355</v>
      </c>
      <c r="E11" s="24">
        <v>9671</v>
      </c>
      <c r="F11" s="24">
        <v>1065</v>
      </c>
      <c r="G11" s="24">
        <f t="shared" si="1"/>
        <v>10736</v>
      </c>
      <c r="H11" s="25">
        <f t="shared" si="0"/>
        <v>12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44356</v>
      </c>
      <c r="E12" s="24">
        <v>9680</v>
      </c>
      <c r="F12" s="24">
        <v>1065</v>
      </c>
      <c r="G12" s="24">
        <f t="shared" si="1"/>
        <v>10745</v>
      </c>
      <c r="H12" s="25">
        <f t="shared" si="0"/>
        <v>9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44357</v>
      </c>
      <c r="E13" s="24">
        <v>9688</v>
      </c>
      <c r="F13" s="24">
        <v>1065</v>
      </c>
      <c r="G13" s="24">
        <f t="shared" si="1"/>
        <v>10753</v>
      </c>
      <c r="H13" s="25">
        <f t="shared" si="0"/>
        <v>8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44358</v>
      </c>
      <c r="E14" s="24">
        <f>[1]Jun.2021!$E$14</f>
        <v>9694</v>
      </c>
      <c r="F14" s="24">
        <v>1065</v>
      </c>
      <c r="G14" s="24">
        <f t="shared" si="1"/>
        <v>10759</v>
      </c>
      <c r="H14" s="25">
        <f t="shared" si="0"/>
        <v>6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44359</v>
      </c>
      <c r="E15" s="24">
        <v>9698</v>
      </c>
      <c r="F15" s="24">
        <v>1065</v>
      </c>
      <c r="G15" s="24">
        <f t="shared" si="1"/>
        <v>10763</v>
      </c>
      <c r="H15" s="25">
        <f t="shared" si="0"/>
        <v>4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44360</v>
      </c>
      <c r="E16" s="24">
        <v>9704</v>
      </c>
      <c r="F16" s="24">
        <v>1065</v>
      </c>
      <c r="G16" s="24">
        <f t="shared" si="1"/>
        <v>10769</v>
      </c>
      <c r="H16" s="25">
        <f t="shared" si="0"/>
        <v>6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44361</v>
      </c>
      <c r="E17" s="24">
        <v>9708</v>
      </c>
      <c r="F17" s="24">
        <v>1065</v>
      </c>
      <c r="G17" s="24">
        <f t="shared" si="1"/>
        <v>10773</v>
      </c>
      <c r="H17" s="25">
        <f t="shared" si="0"/>
        <v>4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44362</v>
      </c>
      <c r="E18" s="24">
        <v>9710</v>
      </c>
      <c r="F18" s="24">
        <v>1065</v>
      </c>
      <c r="G18" s="24">
        <f t="shared" si="1"/>
        <v>10775</v>
      </c>
      <c r="H18" s="25">
        <f t="shared" si="0"/>
        <v>2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44363</v>
      </c>
      <c r="E19" s="24">
        <v>9711</v>
      </c>
      <c r="F19" s="24">
        <v>1065</v>
      </c>
      <c r="G19" s="24">
        <f t="shared" si="1"/>
        <v>10776</v>
      </c>
      <c r="H19" s="25">
        <f t="shared" si="0"/>
        <v>1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44364</v>
      </c>
      <c r="E20" s="24">
        <f>[1]Jun.2021!$E$20</f>
        <v>0</v>
      </c>
      <c r="F20" s="24">
        <v>1065</v>
      </c>
      <c r="G20" s="24">
        <f t="shared" si="1"/>
        <v>1065</v>
      </c>
      <c r="H20" s="25">
        <f t="shared" si="0"/>
        <v>-9711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44365</v>
      </c>
      <c r="E21" s="24">
        <f>[1]Jun.2021!$E$21</f>
        <v>0</v>
      </c>
      <c r="F21" s="24">
        <v>1065</v>
      </c>
      <c r="G21" s="24">
        <f t="shared" si="1"/>
        <v>1065</v>
      </c>
      <c r="H21" s="25">
        <f t="shared" si="0"/>
        <v>0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44366</v>
      </c>
      <c r="E22" s="24">
        <f>[1]Jun.2021!$E$22</f>
        <v>0</v>
      </c>
      <c r="F22" s="24">
        <v>1065</v>
      </c>
      <c r="G22" s="24">
        <f t="shared" si="1"/>
        <v>1065</v>
      </c>
      <c r="H22" s="25">
        <f t="shared" si="0"/>
        <v>0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44367</v>
      </c>
      <c r="E23" s="24">
        <f>[1]Jun.2021!$E$23</f>
        <v>0</v>
      </c>
      <c r="F23" s="24">
        <v>1065</v>
      </c>
      <c r="G23" s="24">
        <f t="shared" si="1"/>
        <v>1065</v>
      </c>
      <c r="H23" s="25">
        <f t="shared" si="0"/>
        <v>0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44368</v>
      </c>
      <c r="E24" s="24">
        <f>[1]Jun.2021!$E$24</f>
        <v>0</v>
      </c>
      <c r="F24" s="24">
        <v>1065</v>
      </c>
      <c r="G24" s="24">
        <f t="shared" si="1"/>
        <v>1065</v>
      </c>
      <c r="H24" s="25">
        <f t="shared" si="0"/>
        <v>0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44369</v>
      </c>
      <c r="E25" s="24">
        <f>[1]Jun.2021!$E$25</f>
        <v>0</v>
      </c>
      <c r="F25" s="24">
        <v>1065</v>
      </c>
      <c r="G25" s="24">
        <f t="shared" si="1"/>
        <v>1065</v>
      </c>
      <c r="H25" s="25">
        <f t="shared" si="0"/>
        <v>0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44370</v>
      </c>
      <c r="E26" s="24">
        <f>[1]Jun.2021!$E$26</f>
        <v>0</v>
      </c>
      <c r="F26" s="24">
        <v>1065</v>
      </c>
      <c r="G26" s="24">
        <f t="shared" si="1"/>
        <v>1065</v>
      </c>
      <c r="H26" s="25">
        <f t="shared" si="0"/>
        <v>0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44371</v>
      </c>
      <c r="E27" s="24">
        <f>[1]Jun.2021!$E$27</f>
        <v>0</v>
      </c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44372</v>
      </c>
      <c r="E28" s="24">
        <f>[1]Jun.2021!$E$28</f>
        <v>0</v>
      </c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44373</v>
      </c>
      <c r="E29" s="24">
        <f>[1]Jun.2021!$E$29</f>
        <v>0</v>
      </c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44374</v>
      </c>
      <c r="E30" s="24">
        <f>[1]Jun.2021!$E$30</f>
        <v>0</v>
      </c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44375</v>
      </c>
      <c r="E31" s="24">
        <f>[1]Jun.2021!$E$31</f>
        <v>0</v>
      </c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44376</v>
      </c>
      <c r="E32" s="24">
        <f>[1]Jun.2021!$E$32</f>
        <v>0</v>
      </c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44377</v>
      </c>
      <c r="E33" s="24">
        <f>[1]Jun.2021!$E$33</f>
        <v>0</v>
      </c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-9612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49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18" sqref="F18:F19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51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44348</v>
      </c>
      <c r="E4" s="24">
        <v>760788</v>
      </c>
      <c r="F4" s="24">
        <v>172141</v>
      </c>
      <c r="G4" s="24">
        <f>E4+F4</f>
        <v>932929</v>
      </c>
      <c r="H4" s="18">
        <v>1.299221</v>
      </c>
      <c r="I4" s="24">
        <f t="shared" ref="I4:I33" si="0">H4*G4</f>
        <v>1212080.9483089999</v>
      </c>
      <c r="J4" s="25">
        <f>I4-[2]May.2021!$I$34</f>
        <v>0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44349</v>
      </c>
      <c r="E5" s="24">
        <v>760788</v>
      </c>
      <c r="F5" s="24">
        <v>172141</v>
      </c>
      <c r="G5" s="24">
        <f t="shared" ref="G5:G33" si="1">E5+F5</f>
        <v>932929</v>
      </c>
      <c r="H5" s="18">
        <v>1.299221</v>
      </c>
      <c r="I5" s="24">
        <f t="shared" si="0"/>
        <v>1212080.9483089999</v>
      </c>
      <c r="J5" s="25">
        <f t="shared" ref="J5:J31" si="2">I5-I4</f>
        <v>0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44350</v>
      </c>
      <c r="E6" s="24">
        <v>760788</v>
      </c>
      <c r="F6" s="24">
        <v>172141</v>
      </c>
      <c r="G6" s="24">
        <f t="shared" si="1"/>
        <v>932929</v>
      </c>
      <c r="H6" s="18">
        <v>1.299221</v>
      </c>
      <c r="I6" s="24">
        <f t="shared" si="0"/>
        <v>1212080.9483089999</v>
      </c>
      <c r="J6" s="25">
        <f t="shared" si="2"/>
        <v>0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44351</v>
      </c>
      <c r="E7" s="24">
        <v>760788</v>
      </c>
      <c r="F7" s="24">
        <v>172141</v>
      </c>
      <c r="G7" s="24">
        <f t="shared" si="1"/>
        <v>932929</v>
      </c>
      <c r="H7" s="18">
        <v>1.299221</v>
      </c>
      <c r="I7" s="24">
        <f t="shared" si="0"/>
        <v>1212080.9483089999</v>
      </c>
      <c r="J7" s="25">
        <f t="shared" si="2"/>
        <v>0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44352</v>
      </c>
      <c r="E8" s="24">
        <v>760788</v>
      </c>
      <c r="F8" s="24">
        <v>172141</v>
      </c>
      <c r="G8" s="24">
        <f t="shared" si="1"/>
        <v>932929</v>
      </c>
      <c r="H8" s="18">
        <v>1.299221</v>
      </c>
      <c r="I8" s="24">
        <f t="shared" si="0"/>
        <v>1212080.9483089999</v>
      </c>
      <c r="J8" s="25">
        <f t="shared" si="2"/>
        <v>0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44353</v>
      </c>
      <c r="E9" s="24">
        <v>760788</v>
      </c>
      <c r="F9" s="24">
        <v>172141</v>
      </c>
      <c r="G9" s="24">
        <f t="shared" si="1"/>
        <v>932929</v>
      </c>
      <c r="H9" s="18">
        <v>1.299221</v>
      </c>
      <c r="I9" s="24">
        <f t="shared" si="0"/>
        <v>1212080.9483089999</v>
      </c>
      <c r="J9" s="25">
        <f t="shared" si="2"/>
        <v>0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44354</v>
      </c>
      <c r="E10" s="24">
        <v>760788</v>
      </c>
      <c r="F10" s="24">
        <v>172141</v>
      </c>
      <c r="G10" s="24">
        <f t="shared" si="1"/>
        <v>932929</v>
      </c>
      <c r="H10" s="18">
        <v>1.299221</v>
      </c>
      <c r="I10" s="24">
        <f t="shared" si="0"/>
        <v>1212080.9483089999</v>
      </c>
      <c r="J10" s="25">
        <f t="shared" si="2"/>
        <v>0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44355</v>
      </c>
      <c r="E11" s="24">
        <v>760788</v>
      </c>
      <c r="F11" s="24">
        <v>172141</v>
      </c>
      <c r="G11" s="24">
        <f t="shared" si="1"/>
        <v>932929</v>
      </c>
      <c r="H11" s="18">
        <v>1.299221</v>
      </c>
      <c r="I11" s="24">
        <f t="shared" si="0"/>
        <v>1212080.9483089999</v>
      </c>
      <c r="J11" s="25">
        <f t="shared" si="2"/>
        <v>0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44356</v>
      </c>
      <c r="E12" s="24">
        <v>760788</v>
      </c>
      <c r="F12" s="24">
        <v>172141</v>
      </c>
      <c r="G12" s="24">
        <f>E12+F12</f>
        <v>932929</v>
      </c>
      <c r="H12" s="18">
        <v>1.299221</v>
      </c>
      <c r="I12" s="24">
        <f t="shared" si="0"/>
        <v>1212080.9483089999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44357</v>
      </c>
      <c r="E13" s="24">
        <v>760788</v>
      </c>
      <c r="F13" s="24">
        <v>172141</v>
      </c>
      <c r="G13" s="24">
        <f>E13+F13</f>
        <v>932929</v>
      </c>
      <c r="H13" s="18">
        <v>1.299221</v>
      </c>
      <c r="I13" s="24">
        <f t="shared" si="0"/>
        <v>1212080.9483089999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44358</v>
      </c>
      <c r="E14" s="24">
        <f>[2]Jun.2021!$E$14</f>
        <v>760788</v>
      </c>
      <c r="F14" s="24">
        <f>[2]Jun.2021!$F$14</f>
        <v>172141</v>
      </c>
      <c r="G14" s="24">
        <f t="shared" si="1"/>
        <v>932929</v>
      </c>
      <c r="H14" s="18">
        <v>1.299221</v>
      </c>
      <c r="I14" s="24">
        <f t="shared" si="0"/>
        <v>1212080.9483089999</v>
      </c>
      <c r="J14" s="25">
        <f t="shared" si="2"/>
        <v>0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44359</v>
      </c>
      <c r="E15" s="24">
        <v>760788</v>
      </c>
      <c r="F15" s="24">
        <v>172141</v>
      </c>
      <c r="G15" s="24">
        <f>E15+F15</f>
        <v>932929</v>
      </c>
      <c r="H15" s="18">
        <v>1.299221</v>
      </c>
      <c r="I15" s="24">
        <f t="shared" si="0"/>
        <v>1212080.9483089999</v>
      </c>
      <c r="J15" s="25">
        <f t="shared" si="2"/>
        <v>0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44360</v>
      </c>
      <c r="E16" s="24">
        <v>760788</v>
      </c>
      <c r="F16" s="24">
        <v>172141</v>
      </c>
      <c r="G16" s="24">
        <f>E16+F16</f>
        <v>932929</v>
      </c>
      <c r="H16" s="18">
        <v>1.299221</v>
      </c>
      <c r="I16" s="24">
        <f t="shared" si="0"/>
        <v>1212080.9483089999</v>
      </c>
      <c r="J16" s="25">
        <f t="shared" si="2"/>
        <v>0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44361</v>
      </c>
      <c r="E17" s="24">
        <v>760788</v>
      </c>
      <c r="F17" s="24">
        <v>172141</v>
      </c>
      <c r="G17" s="24">
        <f t="shared" si="1"/>
        <v>932929</v>
      </c>
      <c r="H17" s="18">
        <v>1.299221</v>
      </c>
      <c r="I17" s="24">
        <f t="shared" si="0"/>
        <v>1212080.9483089999</v>
      </c>
      <c r="J17" s="25">
        <f t="shared" si="2"/>
        <v>0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44362</v>
      </c>
      <c r="E18" s="24">
        <v>760788</v>
      </c>
      <c r="F18" s="24">
        <v>172141</v>
      </c>
      <c r="G18" s="24">
        <f t="shared" si="1"/>
        <v>932929</v>
      </c>
      <c r="H18" s="18">
        <v>1.299221</v>
      </c>
      <c r="I18" s="24">
        <f t="shared" si="0"/>
        <v>1212080.9483089999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44363</v>
      </c>
      <c r="E19" s="24">
        <v>760788</v>
      </c>
      <c r="F19" s="24">
        <v>172141</v>
      </c>
      <c r="G19" s="24">
        <f t="shared" si="1"/>
        <v>932929</v>
      </c>
      <c r="H19" s="18">
        <v>1.299221</v>
      </c>
      <c r="I19" s="24">
        <f t="shared" si="0"/>
        <v>1212080.9483089999</v>
      </c>
      <c r="J19" s="25">
        <f t="shared" si="2"/>
        <v>0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44364</v>
      </c>
      <c r="E20" s="24">
        <f>[2]Jun.2021!$E$20</f>
        <v>0</v>
      </c>
      <c r="F20" s="24">
        <f>[2]Jun.2021!$F$20</f>
        <v>0</v>
      </c>
      <c r="G20" s="24">
        <f t="shared" si="1"/>
        <v>0</v>
      </c>
      <c r="H20" s="18">
        <v>1.299221</v>
      </c>
      <c r="I20" s="24">
        <f t="shared" si="0"/>
        <v>0</v>
      </c>
      <c r="J20" s="25">
        <f t="shared" si="2"/>
        <v>-1212080.9483089999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44365</v>
      </c>
      <c r="E21" s="24">
        <f>[2]Jun.2021!$E$21</f>
        <v>0</v>
      </c>
      <c r="F21" s="24">
        <f>[2]Jun.2021!$F$21</f>
        <v>0</v>
      </c>
      <c r="G21" s="24">
        <f t="shared" si="1"/>
        <v>0</v>
      </c>
      <c r="H21" s="18">
        <v>1.299221</v>
      </c>
      <c r="I21" s="24">
        <f t="shared" si="0"/>
        <v>0</v>
      </c>
      <c r="J21" s="25">
        <f t="shared" si="2"/>
        <v>0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44366</v>
      </c>
      <c r="E22" s="24">
        <f>[2]Jun.2021!$E$22</f>
        <v>0</v>
      </c>
      <c r="F22" s="24">
        <f>[2]Jun.2021!$F$22</f>
        <v>0</v>
      </c>
      <c r="G22" s="24">
        <f t="shared" si="1"/>
        <v>0</v>
      </c>
      <c r="H22" s="18">
        <v>1.299221</v>
      </c>
      <c r="I22" s="24">
        <f t="shared" si="0"/>
        <v>0</v>
      </c>
      <c r="J22" s="25">
        <f t="shared" si="2"/>
        <v>0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44367</v>
      </c>
      <c r="E23" s="24">
        <f>[2]Jun.2021!$E$23</f>
        <v>0</v>
      </c>
      <c r="F23" s="24">
        <f>[2]Jun.2021!$F$23</f>
        <v>0</v>
      </c>
      <c r="G23" s="24">
        <f t="shared" si="1"/>
        <v>0</v>
      </c>
      <c r="H23" s="18">
        <v>1.299221</v>
      </c>
      <c r="I23" s="24">
        <f t="shared" si="0"/>
        <v>0</v>
      </c>
      <c r="J23" s="25">
        <f t="shared" si="2"/>
        <v>0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44368</v>
      </c>
      <c r="E24" s="24">
        <f>[2]Jun.2021!$E$24</f>
        <v>0</v>
      </c>
      <c r="F24" s="24">
        <f>[2]Jun.2021!$F$24</f>
        <v>0</v>
      </c>
      <c r="G24" s="24">
        <f t="shared" si="1"/>
        <v>0</v>
      </c>
      <c r="H24" s="18">
        <v>1.299221</v>
      </c>
      <c r="I24" s="24">
        <f t="shared" si="0"/>
        <v>0</v>
      </c>
      <c r="J24" s="25">
        <f t="shared" si="2"/>
        <v>0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44369</v>
      </c>
      <c r="E25" s="24">
        <f>[2]Jun.2021!$E$25</f>
        <v>0</v>
      </c>
      <c r="F25" s="24">
        <f>[2]Jun.2021!$F$25</f>
        <v>0</v>
      </c>
      <c r="G25" s="24">
        <f t="shared" si="1"/>
        <v>0</v>
      </c>
      <c r="H25" s="18">
        <v>1.299221</v>
      </c>
      <c r="I25" s="24">
        <f t="shared" si="0"/>
        <v>0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44370</v>
      </c>
      <c r="E26" s="24">
        <f>[2]Jun.2021!$E$26</f>
        <v>0</v>
      </c>
      <c r="F26" s="24">
        <f>[2]Jun.2021!$F$26</f>
        <v>0</v>
      </c>
      <c r="G26" s="24">
        <f t="shared" si="1"/>
        <v>0</v>
      </c>
      <c r="H26" s="18">
        <v>1.299221</v>
      </c>
      <c r="I26" s="24">
        <f t="shared" si="0"/>
        <v>0</v>
      </c>
      <c r="J26" s="25">
        <f>I26-I25</f>
        <v>0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44371</v>
      </c>
      <c r="E27" s="24">
        <f>[2]Jun.2021!$E$27</f>
        <v>0</v>
      </c>
      <c r="F27" s="24">
        <f>[2]Jun.2021!$F$27</f>
        <v>0</v>
      </c>
      <c r="G27" s="24">
        <f t="shared" si="1"/>
        <v>0</v>
      </c>
      <c r="H27" s="18">
        <v>1.299221</v>
      </c>
      <c r="I27" s="24">
        <f t="shared" si="0"/>
        <v>0</v>
      </c>
      <c r="J27" s="25">
        <f t="shared" si="2"/>
        <v>0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44372</v>
      </c>
      <c r="E28" s="24">
        <f>[2]Jun.2021!$E$28</f>
        <v>0</v>
      </c>
      <c r="F28" s="24">
        <f>[2]Jun.2021!$F$28</f>
        <v>0</v>
      </c>
      <c r="G28" s="24">
        <f t="shared" si="1"/>
        <v>0</v>
      </c>
      <c r="H28" s="18">
        <v>1.299221</v>
      </c>
      <c r="I28" s="24">
        <f t="shared" si="0"/>
        <v>0</v>
      </c>
      <c r="J28" s="25">
        <f t="shared" si="2"/>
        <v>0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44373</v>
      </c>
      <c r="E29" s="24">
        <f>[2]Jun.2021!$E$29</f>
        <v>0</v>
      </c>
      <c r="F29" s="24">
        <f>[2]Jun.2021!$F$29</f>
        <v>0</v>
      </c>
      <c r="G29" s="24">
        <f t="shared" si="1"/>
        <v>0</v>
      </c>
      <c r="H29" s="18">
        <v>1.299221</v>
      </c>
      <c r="I29" s="24">
        <f t="shared" si="0"/>
        <v>0</v>
      </c>
      <c r="J29" s="25">
        <f t="shared" si="2"/>
        <v>0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44374</v>
      </c>
      <c r="E30" s="24">
        <f>[2]Jun.2021!$E$30</f>
        <v>0</v>
      </c>
      <c r="F30" s="24">
        <f>[2]Jun.2021!$F$30</f>
        <v>0</v>
      </c>
      <c r="G30" s="24">
        <f t="shared" si="1"/>
        <v>0</v>
      </c>
      <c r="H30" s="18">
        <v>1.299221</v>
      </c>
      <c r="I30" s="24">
        <f t="shared" si="0"/>
        <v>0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44375</v>
      </c>
      <c r="E31" s="24">
        <f>[2]Jun.2021!$E$31</f>
        <v>0</v>
      </c>
      <c r="F31" s="24">
        <f>[2]Jun.2021!$F$31</f>
        <v>0</v>
      </c>
      <c r="G31" s="24">
        <f t="shared" si="1"/>
        <v>0</v>
      </c>
      <c r="H31" s="18">
        <v>1.299221</v>
      </c>
      <c r="I31" s="24">
        <f t="shared" si="0"/>
        <v>0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44376</v>
      </c>
      <c r="E32" s="24">
        <f>[2]Jun.2021!$E$32</f>
        <v>0</v>
      </c>
      <c r="F32" s="24">
        <f>[2]Jun.2021!$F$32</f>
        <v>0</v>
      </c>
      <c r="G32" s="24">
        <f t="shared" si="1"/>
        <v>0</v>
      </c>
      <c r="H32" s="18">
        <v>1.299221</v>
      </c>
      <c r="I32" s="24">
        <f t="shared" si="0"/>
        <v>0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44377</v>
      </c>
      <c r="E33" s="24">
        <f>[2]Jun.2021!$E$33</f>
        <v>0</v>
      </c>
      <c r="F33" s="24">
        <f>[2]Jun.2021!$F$33</f>
        <v>0</v>
      </c>
      <c r="G33" s="24">
        <f t="shared" si="1"/>
        <v>0</v>
      </c>
      <c r="H33" s="18">
        <v>1.299221</v>
      </c>
      <c r="I33" s="24">
        <f t="shared" si="0"/>
        <v>0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-1212080.9483089999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0</v>
      </c>
      <c r="M36" s="17">
        <f>+(L36*31)</f>
        <v>0</v>
      </c>
    </row>
    <row r="37" spans="4:18" ht="12.75" customHeight="1" x14ac:dyDescent="0.25">
      <c r="D37" s="50" t="s">
        <v>56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20" sqref="F20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54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53</v>
      </c>
      <c r="R1" s="107"/>
      <c r="S1" s="107"/>
      <c r="T1" s="107"/>
      <c r="U1" s="107"/>
      <c r="V1" s="107"/>
      <c r="W1" s="107"/>
      <c r="X1" s="107"/>
      <c r="Y1" s="17"/>
      <c r="Z1" s="107" t="s">
        <v>52</v>
      </c>
      <c r="AA1" s="107"/>
      <c r="AB1" s="107"/>
      <c r="AC1" s="107"/>
      <c r="AD1" s="107"/>
      <c r="AE1" s="107"/>
      <c r="AF1" s="107"/>
      <c r="AG1" s="107"/>
      <c r="AI1" s="107" t="s">
        <v>47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8" t="s">
        <v>43</v>
      </c>
      <c r="AP3" s="109"/>
      <c r="AQ3" s="108" t="s">
        <v>44</v>
      </c>
      <c r="AR3" s="109"/>
      <c r="AS3" s="108" t="s">
        <v>45</v>
      </c>
      <c r="AT3" s="109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44348</v>
      </c>
      <c r="F4" s="92">
        <v>4684.78</v>
      </c>
      <c r="G4" s="23">
        <v>2760</v>
      </c>
      <c r="H4" s="24">
        <f>G4*F4</f>
        <v>12929992.799999999</v>
      </c>
      <c r="I4" s="25">
        <v>963.2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44348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963.2</v>
      </c>
      <c r="W4" s="74">
        <f t="shared" ref="W4:W33" si="2">U4/V4</f>
        <v>5.4443521594686801E-2</v>
      </c>
      <c r="X4" s="75">
        <v>0.2</v>
      </c>
      <c r="Y4" s="33"/>
      <c r="Z4" s="39">
        <v>44348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963.2</v>
      </c>
      <c r="AF4" s="74">
        <f t="shared" ref="AF4:AF9" si="5">AD4/AE4</f>
        <v>5.1578073089693741E-2</v>
      </c>
      <c r="AG4" s="75">
        <v>0.15</v>
      </c>
      <c r="AI4" s="39">
        <v>44348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963.2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44349</v>
      </c>
      <c r="F5" s="92">
        <v>4685.1390000000001</v>
      </c>
      <c r="G5" s="23">
        <v>2760</v>
      </c>
      <c r="H5" s="24">
        <f t="shared" ref="H5:H33" si="11">G5*F5</f>
        <v>12930983.640000001</v>
      </c>
      <c r="I5" s="25">
        <f>H5-H4</f>
        <v>990.84000000171363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44349</v>
      </c>
      <c r="R5" s="73"/>
      <c r="S5" s="73">
        <v>2760</v>
      </c>
      <c r="T5" s="73">
        <f t="shared" si="0"/>
        <v>0</v>
      </c>
      <c r="U5" s="25">
        <f t="shared" ref="U5:U10" si="12">T5-T4</f>
        <v>-342201.36</v>
      </c>
      <c r="V5" s="25">
        <f t="shared" si="1"/>
        <v>990.84000000171363</v>
      </c>
      <c r="W5" s="74">
        <f t="shared" si="2"/>
        <v>-345.36490250636649</v>
      </c>
      <c r="X5" s="75">
        <v>0.2</v>
      </c>
      <c r="Y5" s="33"/>
      <c r="Z5" s="39">
        <v>44349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990.84000000171363</v>
      </c>
      <c r="AF5" s="74">
        <f t="shared" si="5"/>
        <v>5.5710306406600636E-2</v>
      </c>
      <c r="AG5" s="75">
        <v>0.15</v>
      </c>
      <c r="AI5" s="39">
        <v>44349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990.84000000171363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44350</v>
      </c>
      <c r="F6" s="92">
        <v>4685.491</v>
      </c>
      <c r="G6" s="23">
        <v>2760</v>
      </c>
      <c r="H6" s="24">
        <f t="shared" si="11"/>
        <v>12931955.16</v>
      </c>
      <c r="I6" s="25">
        <f t="shared" ref="I6:I32" si="18">H6-H5</f>
        <v>971.51999999955297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44350</v>
      </c>
      <c r="R6" s="73"/>
      <c r="S6" s="73">
        <v>2760</v>
      </c>
      <c r="T6" s="73">
        <f t="shared" si="0"/>
        <v>0</v>
      </c>
      <c r="U6" s="25">
        <f t="shared" si="12"/>
        <v>0</v>
      </c>
      <c r="V6" s="25">
        <f t="shared" si="1"/>
        <v>971.51999999955297</v>
      </c>
      <c r="W6" s="74">
        <f t="shared" si="2"/>
        <v>0</v>
      </c>
      <c r="X6" s="75">
        <v>0.2</v>
      </c>
      <c r="Y6" s="33"/>
      <c r="Z6" s="39">
        <v>44350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971.51999999955297</v>
      </c>
      <c r="AF6" s="74">
        <f t="shared" si="5"/>
        <v>5.3977272727359873E-2</v>
      </c>
      <c r="AG6" s="75">
        <v>0.15</v>
      </c>
      <c r="AI6" s="39">
        <v>44350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971.51999999955297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44351</v>
      </c>
      <c r="F7" s="92">
        <v>4685.8680000000004</v>
      </c>
      <c r="G7" s="23">
        <v>2760</v>
      </c>
      <c r="H7" s="24">
        <f t="shared" si="11"/>
        <v>12932995.680000002</v>
      </c>
      <c r="I7" s="25">
        <f t="shared" si="18"/>
        <v>1040.5200000014156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44351</v>
      </c>
      <c r="R7" s="73"/>
      <c r="S7" s="73">
        <v>2760</v>
      </c>
      <c r="T7" s="73">
        <f t="shared" si="0"/>
        <v>0</v>
      </c>
      <c r="U7" s="25">
        <f t="shared" si="12"/>
        <v>0</v>
      </c>
      <c r="V7" s="25">
        <f t="shared" si="1"/>
        <v>1040.5200000014156</v>
      </c>
      <c r="W7" s="74">
        <f t="shared" si="2"/>
        <v>0</v>
      </c>
      <c r="X7" s="75">
        <v>0.2</v>
      </c>
      <c r="Y7" s="33"/>
      <c r="Z7" s="39">
        <v>44351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1040.5200000014156</v>
      </c>
      <c r="AF7" s="74">
        <f t="shared" si="5"/>
        <v>-436.85145888534737</v>
      </c>
      <c r="AG7" s="75">
        <v>0.15</v>
      </c>
      <c r="AI7" s="39">
        <v>44351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1040.5200000014156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44352</v>
      </c>
      <c r="F8" s="92">
        <v>4686.232</v>
      </c>
      <c r="G8" s="23">
        <v>2760</v>
      </c>
      <c r="H8" s="24">
        <f t="shared" si="11"/>
        <v>12934000.32</v>
      </c>
      <c r="I8" s="25">
        <f t="shared" si="18"/>
        <v>1004.6399999987334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44352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1004.6399999987334</v>
      </c>
      <c r="W8" s="74">
        <f t="shared" si="2"/>
        <v>0</v>
      </c>
      <c r="X8" s="75">
        <v>0.2</v>
      </c>
      <c r="Y8" s="33"/>
      <c r="Z8" s="39">
        <v>44352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1004.6399999987334</v>
      </c>
      <c r="AF8" s="74">
        <f t="shared" si="5"/>
        <v>0</v>
      </c>
      <c r="AG8" s="75">
        <v>0.15</v>
      </c>
      <c r="AI8" s="39">
        <v>44352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1004.6399999987334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44353</v>
      </c>
      <c r="F9" s="92">
        <v>4686.5839999999998</v>
      </c>
      <c r="G9" s="23">
        <v>2760</v>
      </c>
      <c r="H9" s="24">
        <f t="shared" si="11"/>
        <v>12934971.84</v>
      </c>
      <c r="I9" s="25">
        <f t="shared" si="18"/>
        <v>971.51999999955297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44353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971.51999999955297</v>
      </c>
      <c r="W9" s="74">
        <f t="shared" si="2"/>
        <v>0</v>
      </c>
      <c r="X9" s="75">
        <v>0.2</v>
      </c>
      <c r="Y9" s="33"/>
      <c r="Z9" s="39">
        <v>44353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971.51999999955297</v>
      </c>
      <c r="AF9" s="74">
        <f t="shared" si="5"/>
        <v>0</v>
      </c>
      <c r="AG9" s="75">
        <v>0.15</v>
      </c>
      <c r="AI9" s="39">
        <v>44353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971.51999999955297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44354</v>
      </c>
      <c r="F10" s="92">
        <v>4686.942</v>
      </c>
      <c r="G10" s="23">
        <v>2760</v>
      </c>
      <c r="H10" s="24">
        <f t="shared" si="11"/>
        <v>12935959.92</v>
      </c>
      <c r="I10" s="25">
        <f t="shared" si="18"/>
        <v>988.08000000007451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44354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988.08000000007451</v>
      </c>
      <c r="W10" s="74">
        <f t="shared" si="2"/>
        <v>0</v>
      </c>
      <c r="X10" s="75">
        <v>0.2</v>
      </c>
      <c r="Y10" s="33"/>
      <c r="Z10" s="39">
        <v>44354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988.08000000007451</v>
      </c>
      <c r="AF10" s="74">
        <f>AD10/AE10</f>
        <v>0</v>
      </c>
      <c r="AG10" s="75">
        <v>0.15</v>
      </c>
      <c r="AI10" s="39">
        <v>44354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988.08000000007451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44355</v>
      </c>
      <c r="F11" s="92">
        <v>4687.3040000000001</v>
      </c>
      <c r="G11" s="23">
        <v>2760</v>
      </c>
      <c r="H11" s="24">
        <f t="shared" si="11"/>
        <v>12936959.040000001</v>
      </c>
      <c r="I11" s="25">
        <f t="shared" si="18"/>
        <v>999.12000000104308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44355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999.12000000104308</v>
      </c>
      <c r="W11" s="74">
        <f t="shared" si="2"/>
        <v>0</v>
      </c>
      <c r="X11" s="75">
        <v>0.2</v>
      </c>
      <c r="Y11" s="33"/>
      <c r="Z11" s="39">
        <v>44355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999.12000000104308</v>
      </c>
      <c r="AF11" s="74">
        <f>AD11/AE11</f>
        <v>0</v>
      </c>
      <c r="AG11" s="75">
        <v>0.15</v>
      </c>
      <c r="AI11" s="39">
        <v>44355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999.12000000104308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44356</v>
      </c>
      <c r="F12" s="92">
        <v>4687.6589999999997</v>
      </c>
      <c r="G12" s="23">
        <v>2760</v>
      </c>
      <c r="H12" s="24">
        <f t="shared" si="11"/>
        <v>12937938.84</v>
      </c>
      <c r="I12" s="25">
        <f t="shared" si="18"/>
        <v>979.79999999888241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44356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979.79999999888241</v>
      </c>
      <c r="W12" s="74">
        <f t="shared" si="2"/>
        <v>0</v>
      </c>
      <c r="X12" s="75">
        <v>0.2</v>
      </c>
      <c r="Y12" s="33"/>
      <c r="Z12" s="39">
        <v>44356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979.79999999888241</v>
      </c>
      <c r="AF12" s="74">
        <f>AD12/AE12</f>
        <v>0</v>
      </c>
      <c r="AG12" s="75">
        <v>0.15</v>
      </c>
      <c r="AI12" s="39">
        <v>44356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979.79999999888241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44357</v>
      </c>
      <c r="F13" s="92">
        <v>4688.0230000000001</v>
      </c>
      <c r="G13" s="23">
        <v>2760</v>
      </c>
      <c r="H13" s="24">
        <f t="shared" si="11"/>
        <v>12938943.48</v>
      </c>
      <c r="I13" s="25">
        <f t="shared" si="18"/>
        <v>1004.640000000596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44357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1004.640000000596</v>
      </c>
      <c r="W13" s="74">
        <f t="shared" si="2"/>
        <v>0</v>
      </c>
      <c r="X13" s="75">
        <v>0.2</v>
      </c>
      <c r="Y13" s="33"/>
      <c r="Z13" s="39">
        <v>44357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1004.640000000596</v>
      </c>
      <c r="AF13" s="74">
        <f>AD13/AE13</f>
        <v>0</v>
      </c>
      <c r="AG13" s="75">
        <v>0.15</v>
      </c>
      <c r="AI13" s="39">
        <v>44357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1004.640000000596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44358</v>
      </c>
      <c r="F14" s="92">
        <f>'[4]Haziran.2021  '!$F$14</f>
        <v>4688.3969999999999</v>
      </c>
      <c r="G14" s="23">
        <v>2760</v>
      </c>
      <c r="H14" s="24">
        <f t="shared" si="11"/>
        <v>12939975.720000001</v>
      </c>
      <c r="I14" s="25">
        <f t="shared" si="18"/>
        <v>1032.2400000002235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44358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1032.2400000002235</v>
      </c>
      <c r="W14" s="74">
        <f t="shared" si="2"/>
        <v>0</v>
      </c>
      <c r="X14" s="75">
        <v>0.2</v>
      </c>
      <c r="Y14" s="33"/>
      <c r="Z14" s="39">
        <v>44358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1032.2400000002235</v>
      </c>
      <c r="AF14" s="74">
        <f>AD14/AE14</f>
        <v>0</v>
      </c>
      <c r="AG14" s="75">
        <v>0.15</v>
      </c>
      <c r="AI14" s="39">
        <v>44358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1032.2400000002235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44359</v>
      </c>
      <c r="F15" s="92">
        <v>4688.7550000000001</v>
      </c>
      <c r="G15" s="23">
        <v>2760</v>
      </c>
      <c r="H15" s="24">
        <f t="shared" si="11"/>
        <v>12940963.800000001</v>
      </c>
      <c r="I15" s="25">
        <f t="shared" si="18"/>
        <v>988.08000000007451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44359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988.08000000007451</v>
      </c>
      <c r="W15" s="81">
        <f t="shared" si="2"/>
        <v>0</v>
      </c>
      <c r="X15" s="75">
        <v>0.2</v>
      </c>
      <c r="Y15" s="33"/>
      <c r="Z15" s="39">
        <v>44359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988.08000000007451</v>
      </c>
      <c r="AF15" s="74">
        <f t="shared" ref="AF15:AF35" si="25">AD15/AE15</f>
        <v>0</v>
      </c>
      <c r="AG15" s="75">
        <v>0.15</v>
      </c>
      <c r="AI15" s="39">
        <v>44359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988.08000000007451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44360</v>
      </c>
      <c r="F16" s="92">
        <v>4689.13</v>
      </c>
      <c r="G16" s="23">
        <v>2760</v>
      </c>
      <c r="H16" s="24">
        <f t="shared" si="11"/>
        <v>12941998.800000001</v>
      </c>
      <c r="I16" s="25">
        <f t="shared" si="18"/>
        <v>1035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44360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1035</v>
      </c>
      <c r="W16" s="81">
        <f t="shared" si="2"/>
        <v>0</v>
      </c>
      <c r="X16" s="75">
        <v>0.2</v>
      </c>
      <c r="Y16" s="33"/>
      <c r="Z16" s="39">
        <v>44360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1035</v>
      </c>
      <c r="AF16" s="74">
        <f t="shared" si="25"/>
        <v>0</v>
      </c>
      <c r="AG16" s="75">
        <v>0.15</v>
      </c>
      <c r="AI16" s="39">
        <v>44360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1035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44361</v>
      </c>
      <c r="F17" s="92">
        <v>4689.4809999999998</v>
      </c>
      <c r="G17" s="23">
        <v>2760</v>
      </c>
      <c r="H17" s="24">
        <f t="shared" si="11"/>
        <v>12942967.559999999</v>
      </c>
      <c r="I17" s="25">
        <f t="shared" si="18"/>
        <v>968.75999999791384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44361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968.75999999791384</v>
      </c>
      <c r="W17" s="74">
        <f t="shared" si="2"/>
        <v>0</v>
      </c>
      <c r="X17" s="75">
        <v>0.2</v>
      </c>
      <c r="Y17" s="33"/>
      <c r="Z17" s="39">
        <v>44361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968.75999999791384</v>
      </c>
      <c r="AF17" s="74">
        <f t="shared" si="25"/>
        <v>0</v>
      </c>
      <c r="AG17" s="75">
        <v>0.15</v>
      </c>
      <c r="AI17" s="39">
        <v>44361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968.75999999791384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44362</v>
      </c>
      <c r="F18" s="92">
        <v>4689.8649999999998</v>
      </c>
      <c r="G18" s="23">
        <v>2760</v>
      </c>
      <c r="H18" s="24">
        <f t="shared" si="11"/>
        <v>12944027.399999999</v>
      </c>
      <c r="I18" s="25">
        <f t="shared" si="18"/>
        <v>1059.839999999851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44362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1059.839999999851</v>
      </c>
      <c r="W18" s="74">
        <f>U18/V18</f>
        <v>0</v>
      </c>
      <c r="X18" s="75">
        <v>0.2</v>
      </c>
      <c r="Y18" s="33"/>
      <c r="Z18" s="39">
        <v>44362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1059.839999999851</v>
      </c>
      <c r="AF18" s="74">
        <f t="shared" si="25"/>
        <v>0</v>
      </c>
      <c r="AG18" s="75">
        <v>0.15</v>
      </c>
      <c r="AI18" s="39">
        <v>44362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1059.839999999851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44363</v>
      </c>
      <c r="F19" s="92">
        <v>4690.2650000000003</v>
      </c>
      <c r="G19" s="23">
        <v>2760</v>
      </c>
      <c r="H19" s="24">
        <f t="shared" si="11"/>
        <v>12945131.4</v>
      </c>
      <c r="I19" s="25">
        <f t="shared" si="18"/>
        <v>1104.0000000018626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44363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1104.0000000018626</v>
      </c>
      <c r="W19" s="74">
        <f>U19/V19</f>
        <v>0</v>
      </c>
      <c r="X19" s="75">
        <v>0.2</v>
      </c>
      <c r="Y19" s="33"/>
      <c r="Z19" s="39">
        <v>44363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1104.0000000018626</v>
      </c>
      <c r="AF19" s="74">
        <f t="shared" si="25"/>
        <v>0</v>
      </c>
      <c r="AG19" s="75">
        <v>0.15</v>
      </c>
      <c r="AI19" s="39">
        <v>44363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1104.0000000018626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44364</v>
      </c>
      <c r="F20" s="92">
        <f>'[4]Haziran.2021  '!$F$20</f>
        <v>0</v>
      </c>
      <c r="G20" s="23">
        <v>2760</v>
      </c>
      <c r="H20" s="24">
        <f t="shared" si="11"/>
        <v>0</v>
      </c>
      <c r="I20" s="25">
        <f t="shared" si="18"/>
        <v>-12945131.4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44364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-12945131.4</v>
      </c>
      <c r="W20" s="74">
        <f t="shared" si="2"/>
        <v>0</v>
      </c>
      <c r="X20" s="75">
        <v>0.2</v>
      </c>
      <c r="Y20" s="33"/>
      <c r="Z20" s="39">
        <v>44364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-12945131.4</v>
      </c>
      <c r="AF20" s="74">
        <f t="shared" si="25"/>
        <v>0</v>
      </c>
      <c r="AG20" s="75">
        <v>0.15</v>
      </c>
      <c r="AI20" s="39">
        <v>44364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-12945131.4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44365</v>
      </c>
      <c r="F21" s="92">
        <f>'[4]Haziran.2021  '!$F$21</f>
        <v>0</v>
      </c>
      <c r="G21" s="23">
        <v>2760</v>
      </c>
      <c r="H21" s="24">
        <f t="shared" si="11"/>
        <v>0</v>
      </c>
      <c r="I21" s="25">
        <f t="shared" si="18"/>
        <v>0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44365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0</v>
      </c>
      <c r="W21" s="74" t="e">
        <f t="shared" si="2"/>
        <v>#DIV/0!</v>
      </c>
      <c r="X21" s="75">
        <v>0.2</v>
      </c>
      <c r="Y21" s="33"/>
      <c r="Z21" s="39">
        <v>44365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0</v>
      </c>
      <c r="AF21" s="74" t="e">
        <f>AD21/AE21</f>
        <v>#DIV/0!</v>
      </c>
      <c r="AG21" s="75">
        <v>0.15</v>
      </c>
      <c r="AI21" s="39">
        <v>44365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0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44366</v>
      </c>
      <c r="F22" s="92">
        <f>'[4]Haziran.2021  '!$F$22</f>
        <v>0</v>
      </c>
      <c r="G22" s="23">
        <v>2760</v>
      </c>
      <c r="H22" s="24">
        <f t="shared" si="11"/>
        <v>0</v>
      </c>
      <c r="I22" s="25">
        <f t="shared" si="18"/>
        <v>0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44366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0</v>
      </c>
      <c r="W22" s="74" t="e">
        <f t="shared" si="2"/>
        <v>#DIV/0!</v>
      </c>
      <c r="X22" s="75">
        <v>0.2</v>
      </c>
      <c r="Y22" s="33"/>
      <c r="Z22" s="39">
        <v>44366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0</v>
      </c>
      <c r="AF22" s="74" t="e">
        <f t="shared" si="25"/>
        <v>#DIV/0!</v>
      </c>
      <c r="AG22" s="75">
        <v>0.15</v>
      </c>
      <c r="AI22" s="39">
        <v>44366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0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44367</v>
      </c>
      <c r="F23" s="92">
        <f>'[4]Haziran.2021  '!$F$23</f>
        <v>0</v>
      </c>
      <c r="G23" s="23">
        <v>2760</v>
      </c>
      <c r="H23" s="24">
        <f t="shared" si="11"/>
        <v>0</v>
      </c>
      <c r="I23" s="25">
        <f>H23-H22</f>
        <v>0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44367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0</v>
      </c>
      <c r="W23" s="74" t="e">
        <f t="shared" si="2"/>
        <v>#DIV/0!</v>
      </c>
      <c r="X23" s="75">
        <v>0.2</v>
      </c>
      <c r="Y23" s="33"/>
      <c r="Z23" s="39">
        <v>44367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0</v>
      </c>
      <c r="AF23" s="74" t="e">
        <f t="shared" si="25"/>
        <v>#DIV/0!</v>
      </c>
      <c r="AG23" s="75">
        <v>0.15</v>
      </c>
      <c r="AI23" s="39">
        <v>44367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0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44368</v>
      </c>
      <c r="F24" s="92">
        <f>'[4]Haziran.2021  '!$F$24</f>
        <v>0</v>
      </c>
      <c r="G24" s="23">
        <v>2760</v>
      </c>
      <c r="H24" s="24">
        <f t="shared" si="11"/>
        <v>0</v>
      </c>
      <c r="I24" s="25">
        <f t="shared" si="18"/>
        <v>0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44368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0</v>
      </c>
      <c r="W24" s="74" t="e">
        <f t="shared" si="2"/>
        <v>#DIV/0!</v>
      </c>
      <c r="X24" s="75">
        <v>0.2</v>
      </c>
      <c r="Y24" s="33"/>
      <c r="Z24" s="39">
        <v>44368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0</v>
      </c>
      <c r="AF24" s="74" t="e">
        <f t="shared" si="25"/>
        <v>#DIV/0!</v>
      </c>
      <c r="AG24" s="75">
        <v>0.15</v>
      </c>
      <c r="AI24" s="39">
        <v>44368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0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44369</v>
      </c>
      <c r="F25" s="92">
        <f>'[4]Haziran.2021  '!$F$25</f>
        <v>0</v>
      </c>
      <c r="G25" s="23">
        <v>2760</v>
      </c>
      <c r="H25" s="24">
        <f t="shared" si="11"/>
        <v>0</v>
      </c>
      <c r="I25" s="25">
        <f t="shared" si="18"/>
        <v>0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44369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0</v>
      </c>
      <c r="W25" s="74" t="e">
        <f t="shared" si="2"/>
        <v>#DIV/0!</v>
      </c>
      <c r="X25" s="75">
        <v>0.2</v>
      </c>
      <c r="Y25" s="33"/>
      <c r="Z25" s="39">
        <v>44369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0</v>
      </c>
      <c r="AF25" s="74" t="e">
        <f t="shared" si="25"/>
        <v>#DIV/0!</v>
      </c>
      <c r="AG25" s="75">
        <v>0.15</v>
      </c>
      <c r="AI25" s="39">
        <v>44369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0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44370</v>
      </c>
      <c r="F26" s="92">
        <f>'[4]Haziran.2021  '!$F$26</f>
        <v>0</v>
      </c>
      <c r="G26" s="23">
        <v>2760</v>
      </c>
      <c r="H26" s="24">
        <f t="shared" si="11"/>
        <v>0</v>
      </c>
      <c r="I26" s="25">
        <f t="shared" si="18"/>
        <v>0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44370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0</v>
      </c>
      <c r="W26" s="86" t="e">
        <f t="shared" si="2"/>
        <v>#DIV/0!</v>
      </c>
      <c r="X26" s="75">
        <v>0.2</v>
      </c>
      <c r="Y26" s="33"/>
      <c r="Z26" s="39">
        <v>44370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0</v>
      </c>
      <c r="AF26" s="86" t="e">
        <f>AD26/AE26</f>
        <v>#DIV/0!</v>
      </c>
      <c r="AG26" s="75">
        <v>0.15</v>
      </c>
      <c r="AI26" s="39">
        <v>44370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0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44371</v>
      </c>
      <c r="F27" s="92">
        <f>'[4]Haziran.2021  '!$F$27</f>
        <v>0</v>
      </c>
      <c r="G27" s="23">
        <v>2760</v>
      </c>
      <c r="H27" s="24">
        <f t="shared" si="11"/>
        <v>0</v>
      </c>
      <c r="I27" s="25">
        <f t="shared" si="18"/>
        <v>0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44371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0</v>
      </c>
      <c r="W27" s="86" t="e">
        <f t="shared" si="2"/>
        <v>#DIV/0!</v>
      </c>
      <c r="X27" s="75">
        <v>0.2</v>
      </c>
      <c r="Y27" s="33"/>
      <c r="Z27" s="39">
        <v>44371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0</v>
      </c>
      <c r="AF27" s="86" t="e">
        <f>AD27/AE27</f>
        <v>#DIV/0!</v>
      </c>
      <c r="AG27" s="75">
        <v>0.15</v>
      </c>
      <c r="AI27" s="39">
        <v>44371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0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44372</v>
      </c>
      <c r="F28" s="92">
        <f>'[4]Haziran.2021  '!$F$28</f>
        <v>0</v>
      </c>
      <c r="G28" s="23">
        <v>2760</v>
      </c>
      <c r="H28" s="24">
        <f t="shared" si="11"/>
        <v>0</v>
      </c>
      <c r="I28" s="25">
        <f t="shared" si="18"/>
        <v>0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44372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0</v>
      </c>
      <c r="W28" s="86" t="e">
        <f t="shared" si="2"/>
        <v>#DIV/0!</v>
      </c>
      <c r="X28" s="75">
        <v>0.2</v>
      </c>
      <c r="Y28" s="33"/>
      <c r="Z28" s="39">
        <v>44372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0</v>
      </c>
      <c r="AF28" s="86" t="e">
        <f>AD28/AE28</f>
        <v>#DIV/0!</v>
      </c>
      <c r="AG28" s="75">
        <v>0.15</v>
      </c>
      <c r="AI28" s="39">
        <v>44372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0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44373</v>
      </c>
      <c r="F29" s="92">
        <f>'[4]Haziran.2021  '!$F$29</f>
        <v>0</v>
      </c>
      <c r="G29" s="23">
        <v>2760</v>
      </c>
      <c r="H29" s="24">
        <f t="shared" si="11"/>
        <v>0</v>
      </c>
      <c r="I29" s="25">
        <f t="shared" si="18"/>
        <v>0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44373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0</v>
      </c>
      <c r="W29" s="86" t="e">
        <f t="shared" si="2"/>
        <v>#DIV/0!</v>
      </c>
      <c r="X29" s="75">
        <v>0.2</v>
      </c>
      <c r="Y29" s="33"/>
      <c r="Z29" s="39">
        <v>44373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0</v>
      </c>
      <c r="AF29" s="86" t="e">
        <f t="shared" si="25"/>
        <v>#DIV/0!</v>
      </c>
      <c r="AG29" s="75">
        <v>0.15</v>
      </c>
      <c r="AI29" s="39">
        <v>44373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0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44374</v>
      </c>
      <c r="F30" s="92">
        <f>'[4]Haziran.2021  '!$F$30</f>
        <v>0</v>
      </c>
      <c r="G30" s="23">
        <v>2760</v>
      </c>
      <c r="H30" s="24">
        <f t="shared" si="11"/>
        <v>0</v>
      </c>
      <c r="I30" s="25">
        <f t="shared" si="18"/>
        <v>0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44374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0</v>
      </c>
      <c r="W30" s="86" t="e">
        <f t="shared" si="2"/>
        <v>#DIV/0!</v>
      </c>
      <c r="X30" s="75">
        <v>0.2</v>
      </c>
      <c r="Y30" s="33"/>
      <c r="Z30" s="39">
        <v>44374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0</v>
      </c>
      <c r="AF30" s="86" t="e">
        <f t="shared" si="25"/>
        <v>#DIV/0!</v>
      </c>
      <c r="AG30" s="75">
        <v>0.15</v>
      </c>
      <c r="AI30" s="39">
        <v>44374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0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44375</v>
      </c>
      <c r="F31" s="92">
        <f>'[4]Haziran.2021  '!$F$31</f>
        <v>0</v>
      </c>
      <c r="G31" s="23">
        <v>2760</v>
      </c>
      <c r="H31" s="24">
        <f t="shared" si="11"/>
        <v>0</v>
      </c>
      <c r="I31" s="25">
        <f t="shared" si="18"/>
        <v>0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44375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0</v>
      </c>
      <c r="W31" s="86" t="e">
        <f t="shared" si="2"/>
        <v>#DIV/0!</v>
      </c>
      <c r="X31" s="75">
        <v>0.2</v>
      </c>
      <c r="Y31" s="33"/>
      <c r="Z31" s="39">
        <v>44375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0</v>
      </c>
      <c r="AF31" s="86" t="e">
        <f t="shared" si="25"/>
        <v>#DIV/0!</v>
      </c>
      <c r="AG31" s="75">
        <v>0.15</v>
      </c>
      <c r="AI31" s="39">
        <v>44375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0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44376</v>
      </c>
      <c r="F32" s="92">
        <f>'[4]Haziran.2021  '!$F$32</f>
        <v>0</v>
      </c>
      <c r="G32" s="23">
        <v>2760</v>
      </c>
      <c r="H32" s="24">
        <f t="shared" si="11"/>
        <v>0</v>
      </c>
      <c r="I32" s="25">
        <f t="shared" si="18"/>
        <v>0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44376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0</v>
      </c>
      <c r="W32" s="86" t="e">
        <f t="shared" si="2"/>
        <v>#DIV/0!</v>
      </c>
      <c r="X32" s="75">
        <v>0.2</v>
      </c>
      <c r="Y32" s="33"/>
      <c r="Z32" s="39">
        <v>44376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0</v>
      </c>
      <c r="AF32" s="86" t="e">
        <f t="shared" si="25"/>
        <v>#DIV/0!</v>
      </c>
      <c r="AG32" s="75">
        <v>0.15</v>
      </c>
      <c r="AI32" s="39">
        <v>44376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0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44377</v>
      </c>
      <c r="F33" s="92">
        <f>'[4]Haziran.2021  '!$F$33</f>
        <v>0</v>
      </c>
      <c r="G33" s="23">
        <v>2760</v>
      </c>
      <c r="H33" s="24">
        <f t="shared" si="11"/>
        <v>0</v>
      </c>
      <c r="I33" s="25">
        <f>H33-H32</f>
        <v>0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44377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0</v>
      </c>
      <c r="W33" s="86" t="e">
        <f t="shared" si="2"/>
        <v>#DIV/0!</v>
      </c>
      <c r="X33" s="75">
        <v>0.2</v>
      </c>
      <c r="Y33" s="33"/>
      <c r="Z33" s="39">
        <v>44377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0</v>
      </c>
      <c r="AF33" s="86" t="e">
        <f t="shared" si="25"/>
        <v>#DIV/0!</v>
      </c>
      <c r="AG33" s="75">
        <v>0.15</v>
      </c>
      <c r="AI33" s="39">
        <v>44377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0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/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-12929029.6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-12929029.6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-12929029.6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-12929029.6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55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2021-06-16T03:38:24Z</dcterms:modified>
</cp:coreProperties>
</file>